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/>
  <bookViews>
    <workbookView xWindow="218175" yWindow="510" windowWidth="24930" windowHeight="11205" tabRatio="778" firstSheet="1" activeTab="4"/>
  </bookViews>
  <sheets>
    <sheet name="general" sheetId="1" r:id="rId1"/>
    <sheet name="模板" sheetId="51" r:id="rId2"/>
    <sheet name="角色" sheetId="52" r:id="rId3"/>
    <sheet name="养成" sheetId="57" r:id="rId4"/>
    <sheet name="技能" sheetId="53" r:id="rId5"/>
    <sheet name="子弹" sheetId="54" r:id="rId6"/>
    <sheet name="陷阱" sheetId="55" r:id="rId7"/>
    <sheet name="Buff" sheetId="59" r:id="rId8"/>
    <sheet name="特效" sheetId="58" r:id="rId9"/>
    <sheet name="屏蔽字" sheetId="56" r:id="rId10"/>
  </sheets>
  <functionGroups builtInGroupCount="17"/>
  <externalReferences>
    <externalReference r:id="rId11"/>
  </externalReferences>
  <definedNames>
    <definedName name="_xlnm._FilterDatabase" localSheetId="4" hidden="1">技能!$H$271:$H$355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22" i="57" l="1"/>
  <c r="Q1622" i="57"/>
  <c r="O1622" i="57"/>
  <c r="N1622" i="57"/>
  <c r="I1622" i="57"/>
  <c r="S1621" i="57"/>
  <c r="Q1621" i="57"/>
  <c r="O1621" i="57"/>
  <c r="N1621" i="57"/>
  <c r="I1621" i="57"/>
  <c r="S1048" i="57" l="1"/>
  <c r="Q1048" i="57"/>
  <c r="N1048" i="57"/>
  <c r="I1048" i="57"/>
  <c r="S1047" i="57"/>
  <c r="Q1047" i="57"/>
  <c r="N1047" i="57"/>
  <c r="I1047" i="57"/>
  <c r="Y1156" i="57" l="1"/>
  <c r="Y1157" i="57"/>
  <c r="Y1158" i="57"/>
  <c r="Y1159" i="57"/>
  <c r="Y1160" i="57"/>
  <c r="Y1161" i="57"/>
  <c r="Y1162" i="57"/>
  <c r="Y1163" i="57"/>
  <c r="Y1164" i="57"/>
  <c r="Y1165" i="57"/>
  <c r="Y1166" i="57"/>
  <c r="Y1167" i="57"/>
  <c r="Y1168" i="57"/>
  <c r="Y1169" i="57"/>
  <c r="Y1170" i="57"/>
  <c r="Y1171" i="57"/>
  <c r="Y1172" i="57"/>
  <c r="Y1173" i="57"/>
  <c r="Y1174" i="57"/>
  <c r="Y1175" i="57"/>
  <c r="Y1176" i="57"/>
  <c r="Y1177" i="57"/>
  <c r="Y1178" i="57"/>
  <c r="Y1179" i="57"/>
  <c r="Y1180" i="57"/>
  <c r="Y1181" i="57"/>
  <c r="Y1182" i="57"/>
  <c r="Y1183" i="57"/>
  <c r="Y1184" i="57"/>
  <c r="Y1185" i="57"/>
  <c r="Y1186" i="57"/>
  <c r="Y1187" i="57"/>
  <c r="Y1188" i="57"/>
  <c r="Y1189" i="57"/>
  <c r="Y1190" i="57"/>
  <c r="Y1191" i="57"/>
  <c r="Y1192" i="57"/>
  <c r="Y1193" i="57"/>
  <c r="Y1194" i="57"/>
  <c r="Y1195" i="57"/>
  <c r="Y1196" i="57"/>
  <c r="Y1197" i="57"/>
  <c r="Y1198" i="57"/>
  <c r="Y1199" i="57"/>
  <c r="Y1200" i="57"/>
  <c r="Y1201" i="57"/>
  <c r="Y1202" i="57"/>
  <c r="Y1203" i="57"/>
  <c r="Y1204" i="57"/>
  <c r="Y1155" i="57"/>
  <c r="Y1104" i="57"/>
  <c r="Y1105" i="57"/>
  <c r="Y1106" i="57"/>
  <c r="Y1107" i="57"/>
  <c r="Y1108" i="57"/>
  <c r="Y1109" i="57"/>
  <c r="Y1110" i="57"/>
  <c r="Y1111" i="57"/>
  <c r="Y1112" i="57"/>
  <c r="Y1113" i="57"/>
  <c r="Y1114" i="57"/>
  <c r="Y1115" i="57"/>
  <c r="Y1116" i="57"/>
  <c r="Y1117" i="57"/>
  <c r="Y1118" i="57"/>
  <c r="Y1119" i="57"/>
  <c r="Y1120" i="57"/>
  <c r="Y1121" i="57"/>
  <c r="Y1122" i="57"/>
  <c r="Y1123" i="57"/>
  <c r="Y1124" i="57"/>
  <c r="Y1125" i="57"/>
  <c r="Y1126" i="57"/>
  <c r="Y1127" i="57"/>
  <c r="Y1128" i="57"/>
  <c r="Y1129" i="57"/>
  <c r="Y1130" i="57"/>
  <c r="Y1131" i="57"/>
  <c r="Y1132" i="57"/>
  <c r="Y1133" i="57"/>
  <c r="Y1134" i="57"/>
  <c r="Y1135" i="57"/>
  <c r="Y1136" i="57"/>
  <c r="Y1137" i="57"/>
  <c r="Y1138" i="57"/>
  <c r="Y1139" i="57"/>
  <c r="Y1140" i="57"/>
  <c r="Y1141" i="57"/>
  <c r="Y1142" i="57"/>
  <c r="Y1143" i="57"/>
  <c r="Y1144" i="57"/>
  <c r="Y1145" i="57"/>
  <c r="Y1146" i="57"/>
  <c r="Y1147" i="57"/>
  <c r="Y1148" i="57"/>
  <c r="Y1149" i="57"/>
  <c r="Y1150" i="57"/>
  <c r="Y1151" i="57"/>
  <c r="Y1152" i="57"/>
  <c r="Y1103" i="57"/>
  <c r="Y1052" i="57"/>
  <c r="Y1053" i="57"/>
  <c r="Y1054" i="57"/>
  <c r="Y1055" i="57"/>
  <c r="Y1056" i="57"/>
  <c r="Y1057" i="57"/>
  <c r="Y1058" i="57"/>
  <c r="Y1059" i="57"/>
  <c r="Y1060" i="57"/>
  <c r="Y1061" i="57"/>
  <c r="Y1062" i="57"/>
  <c r="Y1063" i="57"/>
  <c r="Y1064" i="57"/>
  <c r="Y1065" i="57"/>
  <c r="Y1066" i="57"/>
  <c r="Y1067" i="57"/>
  <c r="Y1068" i="57"/>
  <c r="Y1069" i="57"/>
  <c r="Y1070" i="57"/>
  <c r="Y1071" i="57"/>
  <c r="Y1072" i="57"/>
  <c r="Y1073" i="57"/>
  <c r="Y1074" i="57"/>
  <c r="Y1075" i="57"/>
  <c r="Y1076" i="57"/>
  <c r="Y1077" i="57"/>
  <c r="Y1078" i="57"/>
  <c r="Y1079" i="57"/>
  <c r="Y1080" i="57"/>
  <c r="Y1081" i="57"/>
  <c r="Y1082" i="57"/>
  <c r="Y1083" i="57"/>
  <c r="Y1084" i="57"/>
  <c r="Y1085" i="57"/>
  <c r="Y1086" i="57"/>
  <c r="Y1087" i="57"/>
  <c r="Y1088" i="57"/>
  <c r="Y1089" i="57"/>
  <c r="Y1090" i="57"/>
  <c r="Y1091" i="57"/>
  <c r="Y1092" i="57"/>
  <c r="Y1093" i="57"/>
  <c r="Y1094" i="57"/>
  <c r="Y1095" i="57"/>
  <c r="Y1096" i="57"/>
  <c r="Y1097" i="57"/>
  <c r="Y1098" i="57"/>
  <c r="Y1099" i="57"/>
  <c r="Y1100" i="57"/>
  <c r="Y1051" i="57"/>
  <c r="S1100" i="57" l="1"/>
  <c r="Q1100" i="57"/>
  <c r="O1100" i="57"/>
  <c r="N1100" i="57"/>
  <c r="M1100" i="57"/>
  <c r="S1099" i="57"/>
  <c r="Q1099" i="57"/>
  <c r="O1099" i="57"/>
  <c r="N1099" i="57"/>
  <c r="M1099" i="57"/>
  <c r="S1098" i="57"/>
  <c r="Q1098" i="57"/>
  <c r="O1098" i="57"/>
  <c r="N1098" i="57"/>
  <c r="M1098" i="57"/>
  <c r="S1097" i="57"/>
  <c r="Q1097" i="57"/>
  <c r="O1097" i="57"/>
  <c r="N1097" i="57"/>
  <c r="M1097" i="57"/>
  <c r="S1096" i="57"/>
  <c r="Q1096" i="57"/>
  <c r="O1096" i="57"/>
  <c r="N1096" i="57"/>
  <c r="M1096" i="57"/>
  <c r="S1095" i="57"/>
  <c r="Q1095" i="57"/>
  <c r="O1095" i="57"/>
  <c r="N1095" i="57"/>
  <c r="M1095" i="57"/>
  <c r="S1094" i="57"/>
  <c r="Q1094" i="57"/>
  <c r="O1094" i="57"/>
  <c r="N1094" i="57"/>
  <c r="M1094" i="57"/>
  <c r="S1093" i="57"/>
  <c r="Q1093" i="57"/>
  <c r="O1093" i="57"/>
  <c r="N1093" i="57"/>
  <c r="M1093" i="57"/>
  <c r="S1092" i="57"/>
  <c r="Q1092" i="57"/>
  <c r="O1092" i="57"/>
  <c r="N1092" i="57"/>
  <c r="M1092" i="57"/>
  <c r="S1091" i="57"/>
  <c r="Q1091" i="57"/>
  <c r="O1091" i="57"/>
  <c r="N1091" i="57"/>
  <c r="M1091" i="57"/>
  <c r="S1090" i="57"/>
  <c r="Q1090" i="57"/>
  <c r="O1090" i="57"/>
  <c r="N1090" i="57"/>
  <c r="M1090" i="57"/>
  <c r="S1089" i="57"/>
  <c r="Q1089" i="57"/>
  <c r="O1089" i="57"/>
  <c r="N1089" i="57"/>
  <c r="M1089" i="57"/>
  <c r="S1088" i="57"/>
  <c r="Q1088" i="57"/>
  <c r="O1088" i="57"/>
  <c r="N1088" i="57"/>
  <c r="M1088" i="57"/>
  <c r="S1087" i="57"/>
  <c r="Q1087" i="57"/>
  <c r="O1087" i="57"/>
  <c r="N1087" i="57"/>
  <c r="M1087" i="57"/>
  <c r="S1086" i="57"/>
  <c r="Q1086" i="57"/>
  <c r="O1086" i="57"/>
  <c r="N1086" i="57"/>
  <c r="M1086" i="57"/>
  <c r="S1085" i="57"/>
  <c r="Q1085" i="57"/>
  <c r="O1085" i="57"/>
  <c r="N1085" i="57"/>
  <c r="M1085" i="57"/>
  <c r="S1084" i="57"/>
  <c r="Q1084" i="57"/>
  <c r="O1084" i="57"/>
  <c r="N1084" i="57"/>
  <c r="M1084" i="57"/>
  <c r="S1083" i="57"/>
  <c r="Q1083" i="57"/>
  <c r="O1083" i="57"/>
  <c r="N1083" i="57"/>
  <c r="M1083" i="57"/>
  <c r="S1082" i="57"/>
  <c r="Q1082" i="57"/>
  <c r="O1082" i="57"/>
  <c r="N1082" i="57"/>
  <c r="M1082" i="57"/>
  <c r="S1081" i="57"/>
  <c r="Q1081" i="57"/>
  <c r="O1081" i="57"/>
  <c r="N1081" i="57"/>
  <c r="M1081" i="57"/>
  <c r="S1080" i="57"/>
  <c r="Q1080" i="57"/>
  <c r="O1080" i="57"/>
  <c r="N1080" i="57"/>
  <c r="M1080" i="57"/>
  <c r="S1079" i="57"/>
  <c r="Q1079" i="57"/>
  <c r="O1079" i="57"/>
  <c r="N1079" i="57"/>
  <c r="M1079" i="57"/>
  <c r="S1078" i="57"/>
  <c r="Q1078" i="57"/>
  <c r="O1078" i="57"/>
  <c r="N1078" i="57"/>
  <c r="M1078" i="57"/>
  <c r="S1077" i="57"/>
  <c r="Q1077" i="57"/>
  <c r="O1077" i="57"/>
  <c r="N1077" i="57"/>
  <c r="M1077" i="57"/>
  <c r="S1076" i="57"/>
  <c r="Q1076" i="57"/>
  <c r="O1076" i="57"/>
  <c r="N1076" i="57"/>
  <c r="M1076" i="57"/>
  <c r="S1075" i="57"/>
  <c r="Q1075" i="57"/>
  <c r="O1075" i="57"/>
  <c r="N1075" i="57"/>
  <c r="M1075" i="57"/>
  <c r="S1074" i="57"/>
  <c r="Q1074" i="57"/>
  <c r="O1074" i="57"/>
  <c r="N1074" i="57"/>
  <c r="M1074" i="57"/>
  <c r="S1073" i="57"/>
  <c r="Q1073" i="57"/>
  <c r="O1073" i="57"/>
  <c r="N1073" i="57"/>
  <c r="M1073" i="57"/>
  <c r="S1072" i="57"/>
  <c r="Q1072" i="57"/>
  <c r="O1072" i="57"/>
  <c r="N1072" i="57"/>
  <c r="M1072" i="57"/>
  <c r="S1071" i="57"/>
  <c r="Q1071" i="57"/>
  <c r="O1071" i="57"/>
  <c r="N1071" i="57"/>
  <c r="M1071" i="57"/>
  <c r="S1070" i="57"/>
  <c r="Q1070" i="57"/>
  <c r="O1070" i="57"/>
  <c r="N1070" i="57"/>
  <c r="M1070" i="57"/>
  <c r="S1069" i="57"/>
  <c r="Q1069" i="57"/>
  <c r="O1069" i="57"/>
  <c r="N1069" i="57"/>
  <c r="M1069" i="57"/>
  <c r="S1068" i="57"/>
  <c r="Q1068" i="57"/>
  <c r="O1068" i="57"/>
  <c r="N1068" i="57"/>
  <c r="M1068" i="57"/>
  <c r="S1067" i="57"/>
  <c r="Q1067" i="57"/>
  <c r="O1067" i="57"/>
  <c r="N1067" i="57"/>
  <c r="M1067" i="57"/>
  <c r="S1066" i="57"/>
  <c r="Q1066" i="57"/>
  <c r="O1066" i="57"/>
  <c r="N1066" i="57"/>
  <c r="M1066" i="57"/>
  <c r="S1065" i="57"/>
  <c r="Q1065" i="57"/>
  <c r="O1065" i="57"/>
  <c r="N1065" i="57"/>
  <c r="M1065" i="57"/>
  <c r="S1064" i="57"/>
  <c r="Q1064" i="57"/>
  <c r="O1064" i="57"/>
  <c r="N1064" i="57"/>
  <c r="M1064" i="57"/>
  <c r="S1063" i="57"/>
  <c r="Q1063" i="57"/>
  <c r="O1063" i="57"/>
  <c r="N1063" i="57"/>
  <c r="M1063" i="57"/>
  <c r="S1062" i="57"/>
  <c r="Q1062" i="57"/>
  <c r="O1062" i="57"/>
  <c r="N1062" i="57"/>
  <c r="M1062" i="57"/>
  <c r="S1061" i="57"/>
  <c r="Q1061" i="57"/>
  <c r="O1061" i="57"/>
  <c r="N1061" i="57"/>
  <c r="M1061" i="57"/>
  <c r="S1060" i="57"/>
  <c r="Q1060" i="57"/>
  <c r="O1060" i="57"/>
  <c r="N1060" i="57"/>
  <c r="M1060" i="57"/>
  <c r="S1059" i="57"/>
  <c r="Q1059" i="57"/>
  <c r="O1059" i="57"/>
  <c r="N1059" i="57"/>
  <c r="M1059" i="57"/>
  <c r="S1058" i="57"/>
  <c r="Q1058" i="57"/>
  <c r="O1058" i="57"/>
  <c r="N1058" i="57"/>
  <c r="M1058" i="57"/>
  <c r="S1057" i="57"/>
  <c r="Q1057" i="57"/>
  <c r="O1057" i="57"/>
  <c r="N1057" i="57"/>
  <c r="M1057" i="57"/>
  <c r="S1056" i="57"/>
  <c r="Q1056" i="57"/>
  <c r="O1056" i="57"/>
  <c r="N1056" i="57"/>
  <c r="M1056" i="57"/>
  <c r="S1055" i="57"/>
  <c r="Q1055" i="57"/>
  <c r="O1055" i="57"/>
  <c r="N1055" i="57"/>
  <c r="M1055" i="57"/>
  <c r="S1054" i="57"/>
  <c r="Q1054" i="57"/>
  <c r="O1054" i="57"/>
  <c r="N1054" i="57"/>
  <c r="M1054" i="57"/>
  <c r="S1053" i="57"/>
  <c r="Q1053" i="57"/>
  <c r="O1053" i="57"/>
  <c r="N1053" i="57"/>
  <c r="M1053" i="57"/>
  <c r="S1052" i="57"/>
  <c r="Q1052" i="57"/>
  <c r="O1052" i="57"/>
  <c r="N1052" i="57"/>
  <c r="M1052" i="57"/>
  <c r="S1051" i="57"/>
  <c r="Q1051" i="57"/>
  <c r="O1051" i="57"/>
  <c r="N1051" i="57"/>
  <c r="M1051" i="57"/>
  <c r="AF1204" i="57"/>
  <c r="AD1204" i="57"/>
  <c r="AB1204" i="57"/>
  <c r="AA1204" i="57"/>
  <c r="Z1204" i="57"/>
  <c r="AF1203" i="57"/>
  <c r="AD1203" i="57"/>
  <c r="AB1203" i="57"/>
  <c r="AA1203" i="57"/>
  <c r="Z1203" i="57"/>
  <c r="AF1202" i="57"/>
  <c r="AD1202" i="57"/>
  <c r="AB1202" i="57"/>
  <c r="AA1202" i="57"/>
  <c r="Z1202" i="57"/>
  <c r="AF1201" i="57"/>
  <c r="AD1201" i="57"/>
  <c r="AB1201" i="57"/>
  <c r="AA1201" i="57"/>
  <c r="Z1201" i="57"/>
  <c r="AF1200" i="57"/>
  <c r="AD1200" i="57"/>
  <c r="AB1200" i="57"/>
  <c r="AA1200" i="57"/>
  <c r="Z1200" i="57"/>
  <c r="AF1199" i="57"/>
  <c r="AD1199" i="57"/>
  <c r="AB1199" i="57"/>
  <c r="AA1199" i="57"/>
  <c r="Z1199" i="57"/>
  <c r="AF1198" i="57"/>
  <c r="AD1198" i="57"/>
  <c r="AB1198" i="57"/>
  <c r="AA1198" i="57"/>
  <c r="Z1198" i="57"/>
  <c r="AF1197" i="57"/>
  <c r="AD1197" i="57"/>
  <c r="AB1197" i="57"/>
  <c r="AA1197" i="57"/>
  <c r="Z1197" i="57"/>
  <c r="AF1196" i="57"/>
  <c r="AD1196" i="57"/>
  <c r="AB1196" i="57"/>
  <c r="AA1196" i="57"/>
  <c r="Z1196" i="57"/>
  <c r="AF1195" i="57"/>
  <c r="AD1195" i="57"/>
  <c r="AB1195" i="57"/>
  <c r="AA1195" i="57"/>
  <c r="Z1195" i="57"/>
  <c r="AF1194" i="57"/>
  <c r="AD1194" i="57"/>
  <c r="AB1194" i="57"/>
  <c r="AA1194" i="57"/>
  <c r="Z1194" i="57"/>
  <c r="AF1193" i="57"/>
  <c r="AD1193" i="57"/>
  <c r="AB1193" i="57"/>
  <c r="AA1193" i="57"/>
  <c r="Z1193" i="57"/>
  <c r="AF1192" i="57"/>
  <c r="AD1192" i="57"/>
  <c r="AB1192" i="57"/>
  <c r="AA1192" i="57"/>
  <c r="Z1192" i="57"/>
  <c r="AF1191" i="57"/>
  <c r="AD1191" i="57"/>
  <c r="AB1191" i="57"/>
  <c r="AA1191" i="57"/>
  <c r="Z1191" i="57"/>
  <c r="AF1190" i="57"/>
  <c r="AD1190" i="57"/>
  <c r="AB1190" i="57"/>
  <c r="AA1190" i="57"/>
  <c r="Z1190" i="57"/>
  <c r="AF1189" i="57"/>
  <c r="AD1189" i="57"/>
  <c r="AB1189" i="57"/>
  <c r="AA1189" i="57"/>
  <c r="Z1189" i="57"/>
  <c r="AF1188" i="57"/>
  <c r="AD1188" i="57"/>
  <c r="AB1188" i="57"/>
  <c r="AA1188" i="57"/>
  <c r="Z1188" i="57"/>
  <c r="AF1187" i="57"/>
  <c r="AD1187" i="57"/>
  <c r="AB1187" i="57"/>
  <c r="AA1187" i="57"/>
  <c r="Z1187" i="57"/>
  <c r="AF1186" i="57"/>
  <c r="AD1186" i="57"/>
  <c r="AB1186" i="57"/>
  <c r="AA1186" i="57"/>
  <c r="Z1186" i="57"/>
  <c r="AF1185" i="57"/>
  <c r="AD1185" i="57"/>
  <c r="AB1185" i="57"/>
  <c r="AA1185" i="57"/>
  <c r="Z1185" i="57"/>
  <c r="AF1184" i="57"/>
  <c r="AD1184" i="57"/>
  <c r="AB1184" i="57"/>
  <c r="AA1184" i="57"/>
  <c r="Z1184" i="57"/>
  <c r="AF1183" i="57"/>
  <c r="AD1183" i="57"/>
  <c r="AB1183" i="57"/>
  <c r="AA1183" i="57"/>
  <c r="Z1183" i="57"/>
  <c r="AF1182" i="57"/>
  <c r="AD1182" i="57"/>
  <c r="AB1182" i="57"/>
  <c r="AA1182" i="57"/>
  <c r="Z1182" i="57"/>
  <c r="AF1181" i="57"/>
  <c r="AD1181" i="57"/>
  <c r="AB1181" i="57"/>
  <c r="AA1181" i="57"/>
  <c r="Z1181" i="57"/>
  <c r="AF1180" i="57"/>
  <c r="AD1180" i="57"/>
  <c r="AB1180" i="57"/>
  <c r="AA1180" i="57"/>
  <c r="Z1180" i="57"/>
  <c r="AF1179" i="57"/>
  <c r="AD1179" i="57"/>
  <c r="AB1179" i="57"/>
  <c r="AA1179" i="57"/>
  <c r="Z1179" i="57"/>
  <c r="AF1178" i="57"/>
  <c r="AD1178" i="57"/>
  <c r="AB1178" i="57"/>
  <c r="AA1178" i="57"/>
  <c r="Z1178" i="57"/>
  <c r="AF1177" i="57"/>
  <c r="AD1177" i="57"/>
  <c r="AB1177" i="57"/>
  <c r="AA1177" i="57"/>
  <c r="Z1177" i="57"/>
  <c r="AF1176" i="57"/>
  <c r="AD1176" i="57"/>
  <c r="AB1176" i="57"/>
  <c r="AA1176" i="57"/>
  <c r="Z1176" i="57"/>
  <c r="AF1175" i="57"/>
  <c r="AD1175" i="57"/>
  <c r="AB1175" i="57"/>
  <c r="AA1175" i="57"/>
  <c r="Z1175" i="57"/>
  <c r="AF1174" i="57"/>
  <c r="AD1174" i="57"/>
  <c r="AB1174" i="57"/>
  <c r="AA1174" i="57"/>
  <c r="Z1174" i="57"/>
  <c r="AF1173" i="57"/>
  <c r="AD1173" i="57"/>
  <c r="AB1173" i="57"/>
  <c r="AA1173" i="57"/>
  <c r="Z1173" i="57"/>
  <c r="AF1172" i="57"/>
  <c r="AD1172" i="57"/>
  <c r="AB1172" i="57"/>
  <c r="AA1172" i="57"/>
  <c r="Z1172" i="57"/>
  <c r="AF1171" i="57"/>
  <c r="AD1171" i="57"/>
  <c r="AB1171" i="57"/>
  <c r="AA1171" i="57"/>
  <c r="Z1171" i="57"/>
  <c r="AF1170" i="57"/>
  <c r="AD1170" i="57"/>
  <c r="AB1170" i="57"/>
  <c r="AA1170" i="57"/>
  <c r="Z1170" i="57"/>
  <c r="AF1169" i="57"/>
  <c r="AD1169" i="57"/>
  <c r="AB1169" i="57"/>
  <c r="AA1169" i="57"/>
  <c r="Z1169" i="57"/>
  <c r="AF1168" i="57"/>
  <c r="AD1168" i="57"/>
  <c r="AB1168" i="57"/>
  <c r="AA1168" i="57"/>
  <c r="Z1168" i="57"/>
  <c r="AF1167" i="57"/>
  <c r="AD1167" i="57"/>
  <c r="AB1167" i="57"/>
  <c r="AA1167" i="57"/>
  <c r="Z1167" i="57"/>
  <c r="AF1166" i="57"/>
  <c r="AD1166" i="57"/>
  <c r="AB1166" i="57"/>
  <c r="AA1166" i="57"/>
  <c r="Z1166" i="57"/>
  <c r="AF1165" i="57"/>
  <c r="AD1165" i="57"/>
  <c r="AB1165" i="57"/>
  <c r="AA1165" i="57"/>
  <c r="Z1165" i="57"/>
  <c r="AF1164" i="57"/>
  <c r="AD1164" i="57"/>
  <c r="AB1164" i="57"/>
  <c r="AA1164" i="57"/>
  <c r="Z1164" i="57"/>
  <c r="AF1163" i="57"/>
  <c r="AD1163" i="57"/>
  <c r="AB1163" i="57"/>
  <c r="AA1163" i="57"/>
  <c r="Z1163" i="57"/>
  <c r="AF1162" i="57"/>
  <c r="AD1162" i="57"/>
  <c r="AB1162" i="57"/>
  <c r="AA1162" i="57"/>
  <c r="Z1162" i="57"/>
  <c r="AF1161" i="57"/>
  <c r="AD1161" i="57"/>
  <c r="AB1161" i="57"/>
  <c r="AA1161" i="57"/>
  <c r="Z1161" i="57"/>
  <c r="AF1160" i="57"/>
  <c r="AD1160" i="57"/>
  <c r="AB1160" i="57"/>
  <c r="AA1160" i="57"/>
  <c r="Z1160" i="57"/>
  <c r="AF1159" i="57"/>
  <c r="AD1159" i="57"/>
  <c r="AB1159" i="57"/>
  <c r="AA1159" i="57"/>
  <c r="Z1159" i="57"/>
  <c r="AF1158" i="57"/>
  <c r="AD1158" i="57"/>
  <c r="AB1158" i="57"/>
  <c r="AA1158" i="57"/>
  <c r="Z1158" i="57"/>
  <c r="AF1157" i="57"/>
  <c r="AD1157" i="57"/>
  <c r="AB1157" i="57"/>
  <c r="AA1157" i="57"/>
  <c r="Z1157" i="57"/>
  <c r="AF1156" i="57"/>
  <c r="AD1156" i="57"/>
  <c r="AB1156" i="57"/>
  <c r="AA1156" i="57"/>
  <c r="Z1156" i="57"/>
  <c r="AF1155" i="57"/>
  <c r="AD1155" i="57"/>
  <c r="AB1155" i="57"/>
  <c r="AA1155" i="57"/>
  <c r="Z1155" i="57"/>
  <c r="AF1152" i="57"/>
  <c r="AD1152" i="57"/>
  <c r="AB1152" i="57"/>
  <c r="AA1152" i="57"/>
  <c r="Z1152" i="57"/>
  <c r="AF1151" i="57"/>
  <c r="AD1151" i="57"/>
  <c r="AB1151" i="57"/>
  <c r="AA1151" i="57"/>
  <c r="Z1151" i="57"/>
  <c r="AF1150" i="57"/>
  <c r="AD1150" i="57"/>
  <c r="AB1150" i="57"/>
  <c r="AA1150" i="57"/>
  <c r="Z1150" i="57"/>
  <c r="AF1149" i="57"/>
  <c r="AD1149" i="57"/>
  <c r="AB1149" i="57"/>
  <c r="AA1149" i="57"/>
  <c r="Z1149" i="57"/>
  <c r="AF1148" i="57"/>
  <c r="AD1148" i="57"/>
  <c r="AB1148" i="57"/>
  <c r="AA1148" i="57"/>
  <c r="Z1148" i="57"/>
  <c r="AF1147" i="57"/>
  <c r="AD1147" i="57"/>
  <c r="AB1147" i="57"/>
  <c r="AA1147" i="57"/>
  <c r="Z1147" i="57"/>
  <c r="AF1146" i="57"/>
  <c r="AD1146" i="57"/>
  <c r="AB1146" i="57"/>
  <c r="AA1146" i="57"/>
  <c r="Z1146" i="57"/>
  <c r="AF1145" i="57"/>
  <c r="AD1145" i="57"/>
  <c r="AB1145" i="57"/>
  <c r="AA1145" i="57"/>
  <c r="Z1145" i="57"/>
  <c r="AF1144" i="57"/>
  <c r="AD1144" i="57"/>
  <c r="AB1144" i="57"/>
  <c r="AA1144" i="57"/>
  <c r="Z1144" i="57"/>
  <c r="AF1143" i="57"/>
  <c r="AD1143" i="57"/>
  <c r="AB1143" i="57"/>
  <c r="AA1143" i="57"/>
  <c r="Z1143" i="57"/>
  <c r="AF1142" i="57"/>
  <c r="AD1142" i="57"/>
  <c r="AB1142" i="57"/>
  <c r="AA1142" i="57"/>
  <c r="Z1142" i="57"/>
  <c r="AF1141" i="57"/>
  <c r="AD1141" i="57"/>
  <c r="AB1141" i="57"/>
  <c r="AA1141" i="57"/>
  <c r="Z1141" i="57"/>
  <c r="AF1140" i="57"/>
  <c r="AD1140" i="57"/>
  <c r="AB1140" i="57"/>
  <c r="AA1140" i="57"/>
  <c r="Z1140" i="57"/>
  <c r="AF1139" i="57"/>
  <c r="AD1139" i="57"/>
  <c r="AB1139" i="57"/>
  <c r="AA1139" i="57"/>
  <c r="Z1139" i="57"/>
  <c r="AF1138" i="57"/>
  <c r="AD1138" i="57"/>
  <c r="AB1138" i="57"/>
  <c r="AA1138" i="57"/>
  <c r="Z1138" i="57"/>
  <c r="AF1137" i="57"/>
  <c r="AD1137" i="57"/>
  <c r="AB1137" i="57"/>
  <c r="AA1137" i="57"/>
  <c r="Z1137" i="57"/>
  <c r="AF1136" i="57"/>
  <c r="AD1136" i="57"/>
  <c r="AB1136" i="57"/>
  <c r="AA1136" i="57"/>
  <c r="Z1136" i="57"/>
  <c r="AF1135" i="57"/>
  <c r="AD1135" i="57"/>
  <c r="AB1135" i="57"/>
  <c r="AA1135" i="57"/>
  <c r="Z1135" i="57"/>
  <c r="AF1134" i="57"/>
  <c r="AD1134" i="57"/>
  <c r="AB1134" i="57"/>
  <c r="AA1134" i="57"/>
  <c r="Z1134" i="57"/>
  <c r="AF1133" i="57"/>
  <c r="AD1133" i="57"/>
  <c r="AB1133" i="57"/>
  <c r="AA1133" i="57"/>
  <c r="Z1133" i="57"/>
  <c r="AF1132" i="57"/>
  <c r="AD1132" i="57"/>
  <c r="AB1132" i="57"/>
  <c r="AA1132" i="57"/>
  <c r="Z1132" i="57"/>
  <c r="AF1131" i="57"/>
  <c r="AD1131" i="57"/>
  <c r="AB1131" i="57"/>
  <c r="AA1131" i="57"/>
  <c r="Z1131" i="57"/>
  <c r="AF1130" i="57"/>
  <c r="AD1130" i="57"/>
  <c r="AB1130" i="57"/>
  <c r="AA1130" i="57"/>
  <c r="Z1130" i="57"/>
  <c r="AF1129" i="57"/>
  <c r="AD1129" i="57"/>
  <c r="AB1129" i="57"/>
  <c r="AA1129" i="57"/>
  <c r="Z1129" i="57"/>
  <c r="AF1128" i="57"/>
  <c r="AD1128" i="57"/>
  <c r="AB1128" i="57"/>
  <c r="AA1128" i="57"/>
  <c r="Z1128" i="57"/>
  <c r="AF1127" i="57"/>
  <c r="AD1127" i="57"/>
  <c r="AB1127" i="57"/>
  <c r="AA1127" i="57"/>
  <c r="Z1127" i="57"/>
  <c r="AF1126" i="57"/>
  <c r="AD1126" i="57"/>
  <c r="AB1126" i="57"/>
  <c r="AA1126" i="57"/>
  <c r="Z1126" i="57"/>
  <c r="AF1125" i="57"/>
  <c r="AD1125" i="57"/>
  <c r="AB1125" i="57"/>
  <c r="AA1125" i="57"/>
  <c r="Z1125" i="57"/>
  <c r="AF1124" i="57"/>
  <c r="AD1124" i="57"/>
  <c r="AB1124" i="57"/>
  <c r="AA1124" i="57"/>
  <c r="Z1124" i="57"/>
  <c r="AF1123" i="57"/>
  <c r="AD1123" i="57"/>
  <c r="AB1123" i="57"/>
  <c r="AA1123" i="57"/>
  <c r="Z1123" i="57"/>
  <c r="AF1122" i="57"/>
  <c r="AD1122" i="57"/>
  <c r="AB1122" i="57"/>
  <c r="AA1122" i="57"/>
  <c r="Z1122" i="57"/>
  <c r="AF1121" i="57"/>
  <c r="AD1121" i="57"/>
  <c r="AB1121" i="57"/>
  <c r="AA1121" i="57"/>
  <c r="Z1121" i="57"/>
  <c r="AF1120" i="57"/>
  <c r="AD1120" i="57"/>
  <c r="AB1120" i="57"/>
  <c r="AA1120" i="57"/>
  <c r="Z1120" i="57"/>
  <c r="AF1119" i="57"/>
  <c r="AD1119" i="57"/>
  <c r="AB1119" i="57"/>
  <c r="AA1119" i="57"/>
  <c r="Z1119" i="57"/>
  <c r="AF1118" i="57"/>
  <c r="AD1118" i="57"/>
  <c r="AB1118" i="57"/>
  <c r="AA1118" i="57"/>
  <c r="Z1118" i="57"/>
  <c r="AF1117" i="57"/>
  <c r="AD1117" i="57"/>
  <c r="AB1117" i="57"/>
  <c r="AA1117" i="57"/>
  <c r="Z1117" i="57"/>
  <c r="AF1116" i="57"/>
  <c r="AD1116" i="57"/>
  <c r="AB1116" i="57"/>
  <c r="AA1116" i="57"/>
  <c r="Z1116" i="57"/>
  <c r="AF1115" i="57"/>
  <c r="AD1115" i="57"/>
  <c r="AB1115" i="57"/>
  <c r="AA1115" i="57"/>
  <c r="Z1115" i="57"/>
  <c r="AF1114" i="57"/>
  <c r="AD1114" i="57"/>
  <c r="AB1114" i="57"/>
  <c r="AA1114" i="57"/>
  <c r="Z1114" i="57"/>
  <c r="AF1113" i="57"/>
  <c r="AD1113" i="57"/>
  <c r="AB1113" i="57"/>
  <c r="AA1113" i="57"/>
  <c r="Z1113" i="57"/>
  <c r="AF1112" i="57"/>
  <c r="AD1112" i="57"/>
  <c r="AB1112" i="57"/>
  <c r="AA1112" i="57"/>
  <c r="Z1112" i="57"/>
  <c r="AF1111" i="57"/>
  <c r="AD1111" i="57"/>
  <c r="AB1111" i="57"/>
  <c r="AA1111" i="57"/>
  <c r="Z1111" i="57"/>
  <c r="AF1110" i="57"/>
  <c r="AD1110" i="57"/>
  <c r="AB1110" i="57"/>
  <c r="AA1110" i="57"/>
  <c r="Z1110" i="57"/>
  <c r="AF1109" i="57"/>
  <c r="AD1109" i="57"/>
  <c r="AB1109" i="57"/>
  <c r="AA1109" i="57"/>
  <c r="Z1109" i="57"/>
  <c r="AF1108" i="57"/>
  <c r="AD1108" i="57"/>
  <c r="AB1108" i="57"/>
  <c r="AA1108" i="57"/>
  <c r="Z1108" i="57"/>
  <c r="AF1107" i="57"/>
  <c r="AD1107" i="57"/>
  <c r="AB1107" i="57"/>
  <c r="AA1107" i="57"/>
  <c r="Z1107" i="57"/>
  <c r="AF1106" i="57"/>
  <c r="AD1106" i="57"/>
  <c r="AB1106" i="57"/>
  <c r="AA1106" i="57"/>
  <c r="Z1106" i="57"/>
  <c r="AF1105" i="57"/>
  <c r="AD1105" i="57"/>
  <c r="AB1105" i="57"/>
  <c r="AA1105" i="57"/>
  <c r="Z1105" i="57"/>
  <c r="AF1104" i="57"/>
  <c r="AD1104" i="57"/>
  <c r="AB1104" i="57"/>
  <c r="AA1104" i="57"/>
  <c r="Z1104" i="57"/>
  <c r="AF1103" i="57"/>
  <c r="AD1103" i="57"/>
  <c r="AB1103" i="57"/>
  <c r="AA1103" i="57"/>
  <c r="Z1103" i="57"/>
  <c r="AF1100" i="57"/>
  <c r="AD1100" i="57"/>
  <c r="AB1100" i="57"/>
  <c r="AA1100" i="57"/>
  <c r="Z1100" i="57"/>
  <c r="AF1099" i="57"/>
  <c r="AD1099" i="57"/>
  <c r="AB1099" i="57"/>
  <c r="AA1099" i="57"/>
  <c r="Z1099" i="57"/>
  <c r="AF1098" i="57"/>
  <c r="AD1098" i="57"/>
  <c r="AB1098" i="57"/>
  <c r="AA1098" i="57"/>
  <c r="Z1098" i="57"/>
  <c r="AF1097" i="57"/>
  <c r="AD1097" i="57"/>
  <c r="AB1097" i="57"/>
  <c r="AA1097" i="57"/>
  <c r="Z1097" i="57"/>
  <c r="AF1096" i="57"/>
  <c r="AD1096" i="57"/>
  <c r="AB1096" i="57"/>
  <c r="AA1096" i="57"/>
  <c r="Z1096" i="57"/>
  <c r="AF1095" i="57"/>
  <c r="AD1095" i="57"/>
  <c r="AB1095" i="57"/>
  <c r="AA1095" i="57"/>
  <c r="Z1095" i="57"/>
  <c r="AF1094" i="57"/>
  <c r="AD1094" i="57"/>
  <c r="AB1094" i="57"/>
  <c r="AA1094" i="57"/>
  <c r="Z1094" i="57"/>
  <c r="AF1093" i="57"/>
  <c r="AD1093" i="57"/>
  <c r="AB1093" i="57"/>
  <c r="AA1093" i="57"/>
  <c r="Z1093" i="57"/>
  <c r="AF1092" i="57"/>
  <c r="AD1092" i="57"/>
  <c r="AB1092" i="57"/>
  <c r="AA1092" i="57"/>
  <c r="Z1092" i="57"/>
  <c r="AF1091" i="57"/>
  <c r="AD1091" i="57"/>
  <c r="AB1091" i="57"/>
  <c r="AA1091" i="57"/>
  <c r="Z1091" i="57"/>
  <c r="AF1090" i="57"/>
  <c r="AD1090" i="57"/>
  <c r="AB1090" i="57"/>
  <c r="AA1090" i="57"/>
  <c r="Z1090" i="57"/>
  <c r="AF1089" i="57"/>
  <c r="AD1089" i="57"/>
  <c r="AB1089" i="57"/>
  <c r="AA1089" i="57"/>
  <c r="Z1089" i="57"/>
  <c r="AF1088" i="57"/>
  <c r="AD1088" i="57"/>
  <c r="AB1088" i="57"/>
  <c r="AA1088" i="57"/>
  <c r="Z1088" i="57"/>
  <c r="AF1087" i="57"/>
  <c r="AD1087" i="57"/>
  <c r="AB1087" i="57"/>
  <c r="AA1087" i="57"/>
  <c r="Z1087" i="57"/>
  <c r="AF1086" i="57"/>
  <c r="AD1086" i="57"/>
  <c r="AB1086" i="57"/>
  <c r="AA1086" i="57"/>
  <c r="Z1086" i="57"/>
  <c r="AF1085" i="57"/>
  <c r="AD1085" i="57"/>
  <c r="AB1085" i="57"/>
  <c r="AA1085" i="57"/>
  <c r="Z1085" i="57"/>
  <c r="AF1084" i="57"/>
  <c r="AD1084" i="57"/>
  <c r="AB1084" i="57"/>
  <c r="AA1084" i="57"/>
  <c r="Z1084" i="57"/>
  <c r="AF1083" i="57"/>
  <c r="AD1083" i="57"/>
  <c r="AB1083" i="57"/>
  <c r="AA1083" i="57"/>
  <c r="Z1083" i="57"/>
  <c r="AF1082" i="57"/>
  <c r="AD1082" i="57"/>
  <c r="AB1082" i="57"/>
  <c r="AA1082" i="57"/>
  <c r="Z1082" i="57"/>
  <c r="AF1081" i="57"/>
  <c r="AD1081" i="57"/>
  <c r="AB1081" i="57"/>
  <c r="AA1081" i="57"/>
  <c r="Z1081" i="57"/>
  <c r="AF1080" i="57"/>
  <c r="AD1080" i="57"/>
  <c r="AB1080" i="57"/>
  <c r="AA1080" i="57"/>
  <c r="Z1080" i="57"/>
  <c r="AF1079" i="57"/>
  <c r="AD1079" i="57"/>
  <c r="AB1079" i="57"/>
  <c r="AA1079" i="57"/>
  <c r="Z1079" i="57"/>
  <c r="AF1078" i="57"/>
  <c r="AD1078" i="57"/>
  <c r="AB1078" i="57"/>
  <c r="AA1078" i="57"/>
  <c r="Z1078" i="57"/>
  <c r="AF1077" i="57"/>
  <c r="AD1077" i="57"/>
  <c r="AB1077" i="57"/>
  <c r="AA1077" i="57"/>
  <c r="Z1077" i="57"/>
  <c r="AF1076" i="57"/>
  <c r="AD1076" i="57"/>
  <c r="AB1076" i="57"/>
  <c r="AA1076" i="57"/>
  <c r="Z1076" i="57"/>
  <c r="AF1075" i="57"/>
  <c r="AD1075" i="57"/>
  <c r="AB1075" i="57"/>
  <c r="AA1075" i="57"/>
  <c r="Z1075" i="57"/>
  <c r="AF1074" i="57"/>
  <c r="AD1074" i="57"/>
  <c r="AB1074" i="57"/>
  <c r="AA1074" i="57"/>
  <c r="Z1074" i="57"/>
  <c r="AF1073" i="57"/>
  <c r="AD1073" i="57"/>
  <c r="AB1073" i="57"/>
  <c r="AA1073" i="57"/>
  <c r="Z1073" i="57"/>
  <c r="AF1072" i="57"/>
  <c r="AD1072" i="57"/>
  <c r="AB1072" i="57"/>
  <c r="AA1072" i="57"/>
  <c r="Z1072" i="57"/>
  <c r="AF1071" i="57"/>
  <c r="AD1071" i="57"/>
  <c r="AB1071" i="57"/>
  <c r="AA1071" i="57"/>
  <c r="Z1071" i="57"/>
  <c r="AF1070" i="57"/>
  <c r="AD1070" i="57"/>
  <c r="AB1070" i="57"/>
  <c r="AA1070" i="57"/>
  <c r="Z1070" i="57"/>
  <c r="AF1069" i="57"/>
  <c r="AD1069" i="57"/>
  <c r="AB1069" i="57"/>
  <c r="AA1069" i="57"/>
  <c r="Z1069" i="57"/>
  <c r="AF1068" i="57"/>
  <c r="AD1068" i="57"/>
  <c r="AB1068" i="57"/>
  <c r="AA1068" i="57"/>
  <c r="Z1068" i="57"/>
  <c r="AF1067" i="57"/>
  <c r="AD1067" i="57"/>
  <c r="AB1067" i="57"/>
  <c r="AA1067" i="57"/>
  <c r="Z1067" i="57"/>
  <c r="AF1066" i="57"/>
  <c r="AD1066" i="57"/>
  <c r="AB1066" i="57"/>
  <c r="AA1066" i="57"/>
  <c r="Z1066" i="57"/>
  <c r="AF1065" i="57"/>
  <c r="AD1065" i="57"/>
  <c r="AB1065" i="57"/>
  <c r="AA1065" i="57"/>
  <c r="Z1065" i="57"/>
  <c r="AF1064" i="57"/>
  <c r="AD1064" i="57"/>
  <c r="AB1064" i="57"/>
  <c r="AA1064" i="57"/>
  <c r="Z1064" i="57"/>
  <c r="AF1063" i="57"/>
  <c r="AD1063" i="57"/>
  <c r="AB1063" i="57"/>
  <c r="AA1063" i="57"/>
  <c r="Z1063" i="57"/>
  <c r="AF1062" i="57"/>
  <c r="AD1062" i="57"/>
  <c r="AB1062" i="57"/>
  <c r="AA1062" i="57"/>
  <c r="Z1062" i="57"/>
  <c r="AF1061" i="57"/>
  <c r="AD1061" i="57"/>
  <c r="AB1061" i="57"/>
  <c r="AA1061" i="57"/>
  <c r="Z1061" i="57"/>
  <c r="AF1060" i="57"/>
  <c r="AD1060" i="57"/>
  <c r="AB1060" i="57"/>
  <c r="AA1060" i="57"/>
  <c r="Z1060" i="57"/>
  <c r="AF1059" i="57"/>
  <c r="AD1059" i="57"/>
  <c r="AB1059" i="57"/>
  <c r="AA1059" i="57"/>
  <c r="Z1059" i="57"/>
  <c r="AF1058" i="57"/>
  <c r="AD1058" i="57"/>
  <c r="AB1058" i="57"/>
  <c r="AA1058" i="57"/>
  <c r="Z1058" i="57"/>
  <c r="AF1057" i="57"/>
  <c r="AD1057" i="57"/>
  <c r="AB1057" i="57"/>
  <c r="AA1057" i="57"/>
  <c r="Z1057" i="57"/>
  <c r="AF1056" i="57"/>
  <c r="AD1056" i="57"/>
  <c r="AB1056" i="57"/>
  <c r="AA1056" i="57"/>
  <c r="Z1056" i="57"/>
  <c r="AF1055" i="57"/>
  <c r="AD1055" i="57"/>
  <c r="AB1055" i="57"/>
  <c r="AA1055" i="57"/>
  <c r="Z1055" i="57"/>
  <c r="AF1054" i="57"/>
  <c r="AD1054" i="57"/>
  <c r="AB1054" i="57"/>
  <c r="AA1054" i="57"/>
  <c r="Z1054" i="57"/>
  <c r="AF1053" i="57"/>
  <c r="AD1053" i="57"/>
  <c r="AB1053" i="57"/>
  <c r="AA1053" i="57"/>
  <c r="Z1053" i="57"/>
  <c r="AF1052" i="57"/>
  <c r="AD1052" i="57"/>
  <c r="AB1052" i="57"/>
  <c r="AA1052" i="57"/>
  <c r="Z1052" i="57"/>
  <c r="AF1051" i="57"/>
  <c r="AD1051" i="57"/>
  <c r="AB1051" i="57"/>
  <c r="AA1051" i="57"/>
  <c r="Z1051" i="57"/>
  <c r="D1207" i="57"/>
  <c r="D1259" i="57" s="1"/>
  <c r="D1311" i="57" s="1"/>
  <c r="D1363" i="57" s="1"/>
  <c r="D1415" i="57" s="1"/>
  <c r="D1467" i="57" s="1"/>
  <c r="D1519" i="57" s="1"/>
  <c r="D1208" i="57"/>
  <c r="D1260" i="57" s="1"/>
  <c r="D1312" i="57" s="1"/>
  <c r="D1364" i="57" s="1"/>
  <c r="D1416" i="57" s="1"/>
  <c r="D1468" i="57" s="1"/>
  <c r="D1520" i="57" s="1"/>
  <c r="D1209" i="57"/>
  <c r="D1261" i="57" s="1"/>
  <c r="D1313" i="57" s="1"/>
  <c r="D1365" i="57" s="1"/>
  <c r="D1417" i="57" s="1"/>
  <c r="D1469" i="57" s="1"/>
  <c r="D1521" i="57" s="1"/>
  <c r="D1210" i="57"/>
  <c r="D1262" i="57" s="1"/>
  <c r="D1314" i="57" s="1"/>
  <c r="D1366" i="57" s="1"/>
  <c r="D1418" i="57" s="1"/>
  <c r="D1470" i="57" s="1"/>
  <c r="D1522" i="57" s="1"/>
  <c r="D1211" i="57"/>
  <c r="D1263" i="57" s="1"/>
  <c r="D1315" i="57" s="1"/>
  <c r="D1367" i="57" s="1"/>
  <c r="D1419" i="57" s="1"/>
  <c r="D1471" i="57" s="1"/>
  <c r="D1523" i="57" s="1"/>
  <c r="D1212" i="57"/>
  <c r="D1264" i="57" s="1"/>
  <c r="D1316" i="57" s="1"/>
  <c r="D1368" i="57" s="1"/>
  <c r="D1420" i="57" s="1"/>
  <c r="D1472" i="57" s="1"/>
  <c r="D1524" i="57" s="1"/>
  <c r="D1213" i="57"/>
  <c r="D1265" i="57" s="1"/>
  <c r="D1317" i="57" s="1"/>
  <c r="D1369" i="57" s="1"/>
  <c r="D1421" i="57" s="1"/>
  <c r="D1473" i="57" s="1"/>
  <c r="D1525" i="57" s="1"/>
  <c r="D1214" i="57"/>
  <c r="D1266" i="57" s="1"/>
  <c r="D1318" i="57" s="1"/>
  <c r="D1370" i="57" s="1"/>
  <c r="D1422" i="57" s="1"/>
  <c r="D1474" i="57" s="1"/>
  <c r="D1526" i="57" s="1"/>
  <c r="D1215" i="57"/>
  <c r="D1267" i="57" s="1"/>
  <c r="D1319" i="57" s="1"/>
  <c r="D1371" i="57" s="1"/>
  <c r="D1423" i="57" s="1"/>
  <c r="D1475" i="57" s="1"/>
  <c r="D1527" i="57" s="1"/>
  <c r="D1216" i="57"/>
  <c r="D1268" i="57" s="1"/>
  <c r="D1320" i="57" s="1"/>
  <c r="D1372" i="57" s="1"/>
  <c r="D1424" i="57" s="1"/>
  <c r="D1476" i="57" s="1"/>
  <c r="D1528" i="57" s="1"/>
  <c r="D1217" i="57"/>
  <c r="D1269" i="57" s="1"/>
  <c r="D1321" i="57" s="1"/>
  <c r="D1373" i="57" s="1"/>
  <c r="D1425" i="57" s="1"/>
  <c r="D1477" i="57" s="1"/>
  <c r="D1529" i="57" s="1"/>
  <c r="D1218" i="57"/>
  <c r="D1270" i="57" s="1"/>
  <c r="D1322" i="57" s="1"/>
  <c r="D1374" i="57" s="1"/>
  <c r="D1426" i="57" s="1"/>
  <c r="D1478" i="57" s="1"/>
  <c r="D1530" i="57" s="1"/>
  <c r="D1219" i="57"/>
  <c r="D1271" i="57" s="1"/>
  <c r="D1323" i="57" s="1"/>
  <c r="D1375" i="57" s="1"/>
  <c r="D1427" i="57" s="1"/>
  <c r="D1479" i="57" s="1"/>
  <c r="D1531" i="57" s="1"/>
  <c r="D1220" i="57"/>
  <c r="D1272" i="57" s="1"/>
  <c r="D1324" i="57" s="1"/>
  <c r="D1376" i="57" s="1"/>
  <c r="D1428" i="57" s="1"/>
  <c r="D1480" i="57" s="1"/>
  <c r="D1532" i="57" s="1"/>
  <c r="D1221" i="57"/>
  <c r="D1273" i="57" s="1"/>
  <c r="D1325" i="57" s="1"/>
  <c r="D1377" i="57" s="1"/>
  <c r="D1429" i="57" s="1"/>
  <c r="D1481" i="57" s="1"/>
  <c r="D1533" i="57" s="1"/>
  <c r="D1222" i="57"/>
  <c r="D1274" i="57" s="1"/>
  <c r="D1326" i="57" s="1"/>
  <c r="D1378" i="57" s="1"/>
  <c r="D1430" i="57" s="1"/>
  <c r="D1482" i="57" s="1"/>
  <c r="D1534" i="57" s="1"/>
  <c r="D1223" i="57"/>
  <c r="D1275" i="57" s="1"/>
  <c r="D1327" i="57" s="1"/>
  <c r="D1379" i="57" s="1"/>
  <c r="D1431" i="57" s="1"/>
  <c r="D1483" i="57" s="1"/>
  <c r="D1535" i="57" s="1"/>
  <c r="D1224" i="57"/>
  <c r="D1276" i="57" s="1"/>
  <c r="D1328" i="57" s="1"/>
  <c r="D1380" i="57" s="1"/>
  <c r="D1432" i="57" s="1"/>
  <c r="D1484" i="57" s="1"/>
  <c r="D1536" i="57" s="1"/>
  <c r="D1225" i="57"/>
  <c r="D1277" i="57" s="1"/>
  <c r="D1329" i="57" s="1"/>
  <c r="D1381" i="57" s="1"/>
  <c r="D1433" i="57" s="1"/>
  <c r="D1485" i="57" s="1"/>
  <c r="D1537" i="57" s="1"/>
  <c r="D1226" i="57"/>
  <c r="D1278" i="57" s="1"/>
  <c r="D1330" i="57" s="1"/>
  <c r="D1382" i="57" s="1"/>
  <c r="D1434" i="57" s="1"/>
  <c r="D1486" i="57" s="1"/>
  <c r="D1538" i="57" s="1"/>
  <c r="D1227" i="57"/>
  <c r="D1279" i="57" s="1"/>
  <c r="D1331" i="57" s="1"/>
  <c r="D1383" i="57" s="1"/>
  <c r="D1435" i="57" s="1"/>
  <c r="D1487" i="57" s="1"/>
  <c r="D1539" i="57" s="1"/>
  <c r="D1228" i="57"/>
  <c r="D1280" i="57" s="1"/>
  <c r="D1332" i="57" s="1"/>
  <c r="D1384" i="57" s="1"/>
  <c r="D1436" i="57" s="1"/>
  <c r="D1488" i="57" s="1"/>
  <c r="D1540" i="57" s="1"/>
  <c r="D1229" i="57"/>
  <c r="D1281" i="57" s="1"/>
  <c r="D1333" i="57" s="1"/>
  <c r="D1385" i="57" s="1"/>
  <c r="D1437" i="57" s="1"/>
  <c r="D1489" i="57" s="1"/>
  <c r="D1541" i="57" s="1"/>
  <c r="D1230" i="57"/>
  <c r="D1282" i="57" s="1"/>
  <c r="D1334" i="57" s="1"/>
  <c r="D1386" i="57" s="1"/>
  <c r="D1438" i="57" s="1"/>
  <c r="D1490" i="57" s="1"/>
  <c r="D1542" i="57" s="1"/>
  <c r="D1231" i="57"/>
  <c r="D1283" i="57" s="1"/>
  <c r="D1335" i="57" s="1"/>
  <c r="D1387" i="57" s="1"/>
  <c r="D1439" i="57" s="1"/>
  <c r="D1491" i="57" s="1"/>
  <c r="D1543" i="57" s="1"/>
  <c r="D1232" i="57"/>
  <c r="D1284" i="57" s="1"/>
  <c r="D1336" i="57" s="1"/>
  <c r="D1388" i="57" s="1"/>
  <c r="D1440" i="57" s="1"/>
  <c r="D1492" i="57" s="1"/>
  <c r="D1544" i="57" s="1"/>
  <c r="D1233" i="57"/>
  <c r="D1285" i="57" s="1"/>
  <c r="D1337" i="57" s="1"/>
  <c r="D1389" i="57" s="1"/>
  <c r="D1441" i="57" s="1"/>
  <c r="D1493" i="57" s="1"/>
  <c r="D1545" i="57" s="1"/>
  <c r="D1234" i="57"/>
  <c r="D1286" i="57" s="1"/>
  <c r="D1338" i="57" s="1"/>
  <c r="D1390" i="57" s="1"/>
  <c r="D1442" i="57" s="1"/>
  <c r="D1494" i="57" s="1"/>
  <c r="D1546" i="57" s="1"/>
  <c r="D1235" i="57"/>
  <c r="D1287" i="57" s="1"/>
  <c r="D1339" i="57" s="1"/>
  <c r="D1391" i="57" s="1"/>
  <c r="D1443" i="57" s="1"/>
  <c r="D1495" i="57" s="1"/>
  <c r="D1547" i="57" s="1"/>
  <c r="D1236" i="57"/>
  <c r="D1288" i="57" s="1"/>
  <c r="D1340" i="57" s="1"/>
  <c r="D1392" i="57" s="1"/>
  <c r="D1444" i="57" s="1"/>
  <c r="D1496" i="57" s="1"/>
  <c r="D1548" i="57" s="1"/>
  <c r="D1237" i="57"/>
  <c r="D1289" i="57" s="1"/>
  <c r="D1341" i="57" s="1"/>
  <c r="D1393" i="57" s="1"/>
  <c r="D1445" i="57" s="1"/>
  <c r="D1497" i="57" s="1"/>
  <c r="D1549" i="57" s="1"/>
  <c r="D1238" i="57"/>
  <c r="D1290" i="57" s="1"/>
  <c r="D1342" i="57" s="1"/>
  <c r="D1394" i="57" s="1"/>
  <c r="D1446" i="57" s="1"/>
  <c r="D1498" i="57" s="1"/>
  <c r="D1550" i="57" s="1"/>
  <c r="D1239" i="57"/>
  <c r="D1291" i="57" s="1"/>
  <c r="D1343" i="57" s="1"/>
  <c r="D1395" i="57" s="1"/>
  <c r="D1447" i="57" s="1"/>
  <c r="D1499" i="57" s="1"/>
  <c r="D1551" i="57" s="1"/>
  <c r="D1240" i="57"/>
  <c r="D1292" i="57" s="1"/>
  <c r="D1344" i="57" s="1"/>
  <c r="D1396" i="57" s="1"/>
  <c r="D1448" i="57" s="1"/>
  <c r="D1500" i="57" s="1"/>
  <c r="D1552" i="57" s="1"/>
  <c r="D1241" i="57"/>
  <c r="D1293" i="57" s="1"/>
  <c r="D1345" i="57" s="1"/>
  <c r="D1397" i="57" s="1"/>
  <c r="D1449" i="57" s="1"/>
  <c r="D1501" i="57" s="1"/>
  <c r="D1553" i="57" s="1"/>
  <c r="D1242" i="57"/>
  <c r="D1294" i="57" s="1"/>
  <c r="D1346" i="57" s="1"/>
  <c r="D1398" i="57" s="1"/>
  <c r="D1450" i="57" s="1"/>
  <c r="D1502" i="57" s="1"/>
  <c r="D1554" i="57" s="1"/>
  <c r="D1243" i="57"/>
  <c r="D1295" i="57" s="1"/>
  <c r="D1347" i="57" s="1"/>
  <c r="D1399" i="57" s="1"/>
  <c r="D1451" i="57" s="1"/>
  <c r="D1503" i="57" s="1"/>
  <c r="D1555" i="57" s="1"/>
  <c r="D1244" i="57"/>
  <c r="D1296" i="57" s="1"/>
  <c r="D1348" i="57" s="1"/>
  <c r="D1400" i="57" s="1"/>
  <c r="D1452" i="57" s="1"/>
  <c r="D1504" i="57" s="1"/>
  <c r="D1556" i="57" s="1"/>
  <c r="D1245" i="57"/>
  <c r="D1297" i="57" s="1"/>
  <c r="D1349" i="57" s="1"/>
  <c r="D1401" i="57" s="1"/>
  <c r="D1453" i="57" s="1"/>
  <c r="D1505" i="57" s="1"/>
  <c r="D1557" i="57" s="1"/>
  <c r="D1246" i="57"/>
  <c r="D1298" i="57" s="1"/>
  <c r="D1350" i="57" s="1"/>
  <c r="D1402" i="57" s="1"/>
  <c r="D1454" i="57" s="1"/>
  <c r="D1506" i="57" s="1"/>
  <c r="D1558" i="57" s="1"/>
  <c r="D1247" i="57"/>
  <c r="D1299" i="57" s="1"/>
  <c r="D1351" i="57" s="1"/>
  <c r="D1403" i="57" s="1"/>
  <c r="D1455" i="57" s="1"/>
  <c r="D1507" i="57" s="1"/>
  <c r="D1559" i="57" s="1"/>
  <c r="D1248" i="57"/>
  <c r="D1300" i="57" s="1"/>
  <c r="D1352" i="57" s="1"/>
  <c r="D1404" i="57" s="1"/>
  <c r="D1456" i="57" s="1"/>
  <c r="D1508" i="57" s="1"/>
  <c r="D1560" i="57" s="1"/>
  <c r="D1249" i="57"/>
  <c r="D1301" i="57" s="1"/>
  <c r="D1353" i="57" s="1"/>
  <c r="D1405" i="57" s="1"/>
  <c r="D1457" i="57" s="1"/>
  <c r="D1509" i="57" s="1"/>
  <c r="D1561" i="57" s="1"/>
  <c r="D1250" i="57"/>
  <c r="D1302" i="57" s="1"/>
  <c r="D1354" i="57" s="1"/>
  <c r="D1406" i="57" s="1"/>
  <c r="D1458" i="57" s="1"/>
  <c r="D1510" i="57" s="1"/>
  <c r="D1562" i="57" s="1"/>
  <c r="D1251" i="57"/>
  <c r="D1303" i="57" s="1"/>
  <c r="D1355" i="57" s="1"/>
  <c r="D1407" i="57" s="1"/>
  <c r="D1459" i="57" s="1"/>
  <c r="D1511" i="57" s="1"/>
  <c r="D1563" i="57" s="1"/>
  <c r="D1252" i="57"/>
  <c r="D1304" i="57" s="1"/>
  <c r="D1356" i="57" s="1"/>
  <c r="D1408" i="57" s="1"/>
  <c r="D1460" i="57" s="1"/>
  <c r="D1512" i="57" s="1"/>
  <c r="D1564" i="57" s="1"/>
  <c r="D1253" i="57"/>
  <c r="D1305" i="57" s="1"/>
  <c r="D1357" i="57" s="1"/>
  <c r="D1409" i="57" s="1"/>
  <c r="D1461" i="57" s="1"/>
  <c r="D1513" i="57" s="1"/>
  <c r="D1565" i="57" s="1"/>
  <c r="D1254" i="57"/>
  <c r="D1306" i="57" s="1"/>
  <c r="D1358" i="57" s="1"/>
  <c r="D1410" i="57" s="1"/>
  <c r="D1462" i="57" s="1"/>
  <c r="D1514" i="57" s="1"/>
  <c r="D1566" i="57" s="1"/>
  <c r="D1255" i="57"/>
  <c r="D1307" i="57" s="1"/>
  <c r="D1359" i="57" s="1"/>
  <c r="D1411" i="57" s="1"/>
  <c r="D1463" i="57" s="1"/>
  <c r="D1515" i="57" s="1"/>
  <c r="D1567" i="57" s="1"/>
  <c r="D1256" i="57"/>
  <c r="D1308" i="57" s="1"/>
  <c r="D1360" i="57" s="1"/>
  <c r="D1412" i="57" s="1"/>
  <c r="D1464" i="57" s="1"/>
  <c r="D1516" i="57" s="1"/>
  <c r="D1568" i="57" s="1"/>
  <c r="D1206" i="57"/>
  <c r="D1258" i="57" s="1"/>
  <c r="D1310" i="57" s="1"/>
  <c r="D1362" i="57" s="1"/>
  <c r="D1414" i="57" s="1"/>
  <c r="D1466" i="57" s="1"/>
  <c r="D1518" i="57" s="1"/>
  <c r="I1571" i="57"/>
  <c r="M1571" i="57"/>
  <c r="N1571" i="57"/>
  <c r="O1571" i="57"/>
  <c r="Q1571" i="57"/>
  <c r="S1571" i="57"/>
  <c r="I1572" i="57"/>
  <c r="M1572" i="57"/>
  <c r="N1572" i="57"/>
  <c r="O1572" i="57"/>
  <c r="Q1572" i="57"/>
  <c r="S1572" i="57"/>
  <c r="I1573" i="57"/>
  <c r="M1573" i="57"/>
  <c r="N1573" i="57"/>
  <c r="O1573" i="57"/>
  <c r="Q1573" i="57"/>
  <c r="S1573" i="57"/>
  <c r="I1574" i="57"/>
  <c r="M1574" i="57"/>
  <c r="N1574" i="57"/>
  <c r="O1574" i="57"/>
  <c r="Q1574" i="57"/>
  <c r="S1574" i="57"/>
  <c r="I1575" i="57"/>
  <c r="M1575" i="57"/>
  <c r="N1575" i="57"/>
  <c r="O1575" i="57"/>
  <c r="Q1575" i="57"/>
  <c r="S1575" i="57"/>
  <c r="I1576" i="57"/>
  <c r="M1576" i="57"/>
  <c r="N1576" i="57"/>
  <c r="O1576" i="57"/>
  <c r="Q1576" i="57"/>
  <c r="S1576" i="57"/>
  <c r="I1577" i="57"/>
  <c r="M1577" i="57"/>
  <c r="N1577" i="57"/>
  <c r="O1577" i="57"/>
  <c r="Q1577" i="57"/>
  <c r="S1577" i="57"/>
  <c r="I1578" i="57"/>
  <c r="M1578" i="57"/>
  <c r="N1578" i="57"/>
  <c r="O1578" i="57"/>
  <c r="Q1578" i="57"/>
  <c r="S1578" i="57"/>
  <c r="I1579" i="57"/>
  <c r="M1579" i="57"/>
  <c r="N1579" i="57"/>
  <c r="O1579" i="57"/>
  <c r="Q1579" i="57"/>
  <c r="S1579" i="57"/>
  <c r="I1580" i="57"/>
  <c r="M1580" i="57"/>
  <c r="N1580" i="57"/>
  <c r="O1580" i="57"/>
  <c r="Q1580" i="57"/>
  <c r="S1580" i="57"/>
  <c r="I1581" i="57"/>
  <c r="M1581" i="57"/>
  <c r="N1581" i="57"/>
  <c r="O1581" i="57"/>
  <c r="Q1581" i="57"/>
  <c r="S1581" i="57"/>
  <c r="I1582" i="57"/>
  <c r="M1582" i="57"/>
  <c r="N1582" i="57"/>
  <c r="O1582" i="57"/>
  <c r="Q1582" i="57"/>
  <c r="S1582" i="57"/>
  <c r="I1583" i="57"/>
  <c r="M1583" i="57"/>
  <c r="N1583" i="57"/>
  <c r="O1583" i="57"/>
  <c r="Q1583" i="57"/>
  <c r="S1583" i="57"/>
  <c r="I1584" i="57"/>
  <c r="M1584" i="57"/>
  <c r="N1584" i="57"/>
  <c r="O1584" i="57"/>
  <c r="Q1584" i="57"/>
  <c r="S1584" i="57"/>
  <c r="I1585" i="57"/>
  <c r="M1585" i="57"/>
  <c r="N1585" i="57"/>
  <c r="O1585" i="57"/>
  <c r="Q1585" i="57"/>
  <c r="S1585" i="57"/>
  <c r="I1586" i="57"/>
  <c r="M1586" i="57"/>
  <c r="N1586" i="57"/>
  <c r="O1586" i="57"/>
  <c r="Q1586" i="57"/>
  <c r="S1586" i="57"/>
  <c r="I1587" i="57"/>
  <c r="M1587" i="57"/>
  <c r="N1587" i="57"/>
  <c r="O1587" i="57"/>
  <c r="Q1587" i="57"/>
  <c r="S1587" i="57"/>
  <c r="I1588" i="57"/>
  <c r="M1588" i="57"/>
  <c r="N1588" i="57"/>
  <c r="O1588" i="57"/>
  <c r="Q1588" i="57"/>
  <c r="S1588" i="57"/>
  <c r="I1589" i="57"/>
  <c r="M1589" i="57"/>
  <c r="N1589" i="57"/>
  <c r="O1589" i="57"/>
  <c r="Q1589" i="57"/>
  <c r="S1589" i="57"/>
  <c r="I1590" i="57"/>
  <c r="M1590" i="57"/>
  <c r="N1590" i="57"/>
  <c r="O1590" i="57"/>
  <c r="Q1590" i="57"/>
  <c r="S1590" i="57"/>
  <c r="I1591" i="57"/>
  <c r="M1591" i="57"/>
  <c r="N1591" i="57"/>
  <c r="O1591" i="57"/>
  <c r="Q1591" i="57"/>
  <c r="S1591" i="57"/>
  <c r="I1592" i="57"/>
  <c r="M1592" i="57"/>
  <c r="N1592" i="57"/>
  <c r="O1592" i="57"/>
  <c r="Q1592" i="57"/>
  <c r="S1592" i="57"/>
  <c r="I1593" i="57"/>
  <c r="M1593" i="57"/>
  <c r="N1593" i="57"/>
  <c r="O1593" i="57"/>
  <c r="Q1593" i="57"/>
  <c r="S1593" i="57"/>
  <c r="I1594" i="57"/>
  <c r="M1594" i="57"/>
  <c r="N1594" i="57"/>
  <c r="O1594" i="57"/>
  <c r="Q1594" i="57"/>
  <c r="S1594" i="57"/>
  <c r="I1595" i="57"/>
  <c r="M1595" i="57"/>
  <c r="N1595" i="57"/>
  <c r="O1595" i="57"/>
  <c r="Q1595" i="57"/>
  <c r="S1595" i="57"/>
  <c r="I1596" i="57"/>
  <c r="M1596" i="57"/>
  <c r="N1596" i="57"/>
  <c r="O1596" i="57"/>
  <c r="Q1596" i="57"/>
  <c r="S1596" i="57"/>
  <c r="I1597" i="57"/>
  <c r="M1597" i="57"/>
  <c r="N1597" i="57"/>
  <c r="O1597" i="57"/>
  <c r="Q1597" i="57"/>
  <c r="S1597" i="57"/>
  <c r="I1598" i="57"/>
  <c r="M1598" i="57"/>
  <c r="N1598" i="57"/>
  <c r="O1598" i="57"/>
  <c r="Q1598" i="57"/>
  <c r="S1598" i="57"/>
  <c r="I1599" i="57"/>
  <c r="M1599" i="57"/>
  <c r="N1599" i="57"/>
  <c r="O1599" i="57"/>
  <c r="Q1599" i="57"/>
  <c r="S1599" i="57"/>
  <c r="I1600" i="57"/>
  <c r="M1600" i="57"/>
  <c r="N1600" i="57"/>
  <c r="O1600" i="57"/>
  <c r="Q1600" i="57"/>
  <c r="S1600" i="57"/>
  <c r="I1601" i="57"/>
  <c r="M1601" i="57"/>
  <c r="N1601" i="57"/>
  <c r="O1601" i="57"/>
  <c r="Q1601" i="57"/>
  <c r="S1601" i="57"/>
  <c r="I1602" i="57"/>
  <c r="M1602" i="57"/>
  <c r="N1602" i="57"/>
  <c r="O1602" i="57"/>
  <c r="Q1602" i="57"/>
  <c r="S1602" i="57"/>
  <c r="I1603" i="57"/>
  <c r="M1603" i="57"/>
  <c r="N1603" i="57"/>
  <c r="O1603" i="57"/>
  <c r="Q1603" i="57"/>
  <c r="S1603" i="57"/>
  <c r="I1604" i="57"/>
  <c r="M1604" i="57"/>
  <c r="N1604" i="57"/>
  <c r="O1604" i="57"/>
  <c r="Q1604" i="57"/>
  <c r="S1604" i="57"/>
  <c r="I1605" i="57"/>
  <c r="M1605" i="57"/>
  <c r="N1605" i="57"/>
  <c r="O1605" i="57"/>
  <c r="Q1605" i="57"/>
  <c r="S1605" i="57"/>
  <c r="I1606" i="57"/>
  <c r="M1606" i="57"/>
  <c r="N1606" i="57"/>
  <c r="O1606" i="57"/>
  <c r="Q1606" i="57"/>
  <c r="S1606" i="57"/>
  <c r="I1607" i="57"/>
  <c r="M1607" i="57"/>
  <c r="N1607" i="57"/>
  <c r="O1607" i="57"/>
  <c r="Q1607" i="57"/>
  <c r="S1607" i="57"/>
  <c r="I1608" i="57"/>
  <c r="M1608" i="57"/>
  <c r="N1608" i="57"/>
  <c r="O1608" i="57"/>
  <c r="Q1608" i="57"/>
  <c r="S1608" i="57"/>
  <c r="I1609" i="57"/>
  <c r="M1609" i="57"/>
  <c r="N1609" i="57"/>
  <c r="O1609" i="57"/>
  <c r="Q1609" i="57"/>
  <c r="S1609" i="57"/>
  <c r="I1610" i="57"/>
  <c r="M1610" i="57"/>
  <c r="N1610" i="57"/>
  <c r="O1610" i="57"/>
  <c r="Q1610" i="57"/>
  <c r="S1610" i="57"/>
  <c r="I1611" i="57"/>
  <c r="M1611" i="57"/>
  <c r="N1611" i="57"/>
  <c r="O1611" i="57"/>
  <c r="Q1611" i="57"/>
  <c r="S1611" i="57"/>
  <c r="I1612" i="57"/>
  <c r="M1612" i="57"/>
  <c r="N1612" i="57"/>
  <c r="O1612" i="57"/>
  <c r="Q1612" i="57"/>
  <c r="S1612" i="57"/>
  <c r="I1613" i="57"/>
  <c r="M1613" i="57"/>
  <c r="N1613" i="57"/>
  <c r="O1613" i="57"/>
  <c r="Q1613" i="57"/>
  <c r="S1613" i="57"/>
  <c r="I1614" i="57"/>
  <c r="M1614" i="57"/>
  <c r="N1614" i="57"/>
  <c r="O1614" i="57"/>
  <c r="Q1614" i="57"/>
  <c r="S1614" i="57"/>
  <c r="I1615" i="57"/>
  <c r="M1615" i="57"/>
  <c r="N1615" i="57"/>
  <c r="O1615" i="57"/>
  <c r="Q1615" i="57"/>
  <c r="S1615" i="57"/>
  <c r="I1616" i="57"/>
  <c r="M1616" i="57"/>
  <c r="N1616" i="57"/>
  <c r="O1616" i="57"/>
  <c r="Q1616" i="57"/>
  <c r="S1616" i="57"/>
  <c r="I1617" i="57"/>
  <c r="M1617" i="57"/>
  <c r="N1617" i="57"/>
  <c r="O1617" i="57"/>
  <c r="Q1617" i="57"/>
  <c r="S1617" i="57"/>
  <c r="I1618" i="57"/>
  <c r="M1618" i="57"/>
  <c r="N1618" i="57"/>
  <c r="O1618" i="57"/>
  <c r="Q1618" i="57"/>
  <c r="S1618" i="57"/>
  <c r="I1619" i="57"/>
  <c r="M1619" i="57"/>
  <c r="N1619" i="57"/>
  <c r="O1619" i="57"/>
  <c r="Q1619" i="57"/>
  <c r="S1619" i="57"/>
  <c r="I1620" i="57"/>
  <c r="M1620" i="57"/>
  <c r="N1620" i="57"/>
  <c r="O1620" i="57"/>
  <c r="Q1620" i="57"/>
  <c r="S1620" i="57"/>
  <c r="D133" i="53" l="1"/>
  <c r="D132" i="53"/>
  <c r="D131" i="53"/>
  <c r="D105" i="53"/>
  <c r="D109" i="53" s="1"/>
  <c r="D113" i="53" s="1"/>
  <c r="D117" i="53" s="1"/>
  <c r="D121" i="53" s="1"/>
  <c r="D106" i="53"/>
  <c r="D110" i="53" s="1"/>
  <c r="D114" i="53" s="1"/>
  <c r="D118" i="53" s="1"/>
  <c r="D122" i="53" s="1"/>
  <c r="D104" i="53"/>
  <c r="D108" i="53" s="1"/>
  <c r="D112" i="53" s="1"/>
  <c r="D116" i="53" s="1"/>
  <c r="D120" i="53" s="1"/>
  <c r="C262" i="53" l="1"/>
  <c r="I1052" i="57" l="1"/>
  <c r="I1053" i="57"/>
  <c r="I1054" i="57"/>
  <c r="I1055" i="57"/>
  <c r="I1056" i="57"/>
  <c r="I1057" i="57"/>
  <c r="I1058" i="57"/>
  <c r="I1059" i="57"/>
  <c r="I1060" i="57"/>
  <c r="I1061" i="57"/>
  <c r="I1062" i="57"/>
  <c r="I1063" i="57"/>
  <c r="I1064" i="57"/>
  <c r="I1065" i="57"/>
  <c r="I1066" i="57"/>
  <c r="I1067" i="57"/>
  <c r="I1068" i="57"/>
  <c r="I1069" i="57"/>
  <c r="I1070" i="57"/>
  <c r="I1071" i="57"/>
  <c r="I1072" i="57"/>
  <c r="I1073" i="57"/>
  <c r="I1074" i="57"/>
  <c r="I1075" i="57"/>
  <c r="I1076" i="57"/>
  <c r="I1077" i="57"/>
  <c r="I1078" i="57"/>
  <c r="I1079" i="57"/>
  <c r="I1080" i="57"/>
  <c r="I1081" i="57"/>
  <c r="I1082" i="57"/>
  <c r="I1083" i="57"/>
  <c r="I1084" i="57"/>
  <c r="I1085" i="57"/>
  <c r="I1086" i="57"/>
  <c r="I1087" i="57"/>
  <c r="I1088" i="57"/>
  <c r="I1089" i="57"/>
  <c r="I1090" i="57"/>
  <c r="I1091" i="57"/>
  <c r="I1092" i="57"/>
  <c r="I1093" i="57"/>
  <c r="I1094" i="57"/>
  <c r="I1095" i="57"/>
  <c r="I1096" i="57"/>
  <c r="I1097" i="57"/>
  <c r="I1098" i="57"/>
  <c r="I1099" i="57"/>
  <c r="I1100" i="57"/>
  <c r="I1051" i="57"/>
  <c r="P1638" i="57"/>
  <c r="R1638" i="57"/>
  <c r="T1638" i="57"/>
  <c r="U1638" i="57"/>
  <c r="V1638" i="57"/>
  <c r="P1639" i="57"/>
  <c r="R1639" i="57"/>
  <c r="T1639" i="57"/>
  <c r="U1639" i="57"/>
  <c r="V1639" i="57"/>
  <c r="P1640" i="57"/>
  <c r="R1640" i="57"/>
  <c r="T1640" i="57"/>
  <c r="U1640" i="57"/>
  <c r="V1640" i="57"/>
  <c r="P1641" i="57"/>
  <c r="R1641" i="57"/>
  <c r="T1641" i="57"/>
  <c r="U1641" i="57"/>
  <c r="V1641" i="57"/>
  <c r="P1642" i="57"/>
  <c r="R1642" i="57"/>
  <c r="T1642" i="57"/>
  <c r="U1642" i="57"/>
  <c r="V1642" i="57"/>
  <c r="P1643" i="57"/>
  <c r="R1643" i="57"/>
  <c r="T1643" i="57"/>
  <c r="U1643" i="57"/>
  <c r="V1643" i="57"/>
  <c r="P1644" i="57"/>
  <c r="R1644" i="57"/>
  <c r="T1644" i="57"/>
  <c r="U1644" i="57"/>
  <c r="V1644" i="57"/>
  <c r="P1645" i="57"/>
  <c r="R1645" i="57"/>
  <c r="T1645" i="57"/>
  <c r="U1645" i="57"/>
  <c r="V1645" i="57"/>
  <c r="P1646" i="57"/>
  <c r="R1646" i="57"/>
  <c r="T1646" i="57"/>
  <c r="U1646" i="57"/>
  <c r="V1646" i="57"/>
  <c r="P1647" i="57"/>
  <c r="R1647" i="57"/>
  <c r="T1647" i="57"/>
  <c r="U1647" i="57"/>
  <c r="V1647" i="57"/>
  <c r="P1648" i="57"/>
  <c r="R1648" i="57"/>
  <c r="T1648" i="57"/>
  <c r="U1648" i="57"/>
  <c r="V1648" i="57"/>
  <c r="P1649" i="57"/>
  <c r="R1649" i="57"/>
  <c r="T1649" i="57"/>
  <c r="U1649" i="57"/>
  <c r="V1649" i="57"/>
  <c r="P1650" i="57"/>
  <c r="R1650" i="57"/>
  <c r="T1650" i="57"/>
  <c r="U1650" i="57"/>
  <c r="V1650" i="57"/>
  <c r="P1651" i="57"/>
  <c r="R1651" i="57"/>
  <c r="T1651" i="57"/>
  <c r="U1651" i="57"/>
  <c r="V1651" i="57"/>
  <c r="P1652" i="57"/>
  <c r="R1652" i="57"/>
  <c r="T1652" i="57"/>
  <c r="U1652" i="57"/>
  <c r="V1652" i="57"/>
  <c r="P1653" i="57"/>
  <c r="R1653" i="57"/>
  <c r="T1653" i="57"/>
  <c r="U1653" i="57"/>
  <c r="V1653" i="57"/>
  <c r="P1654" i="57"/>
  <c r="R1654" i="57"/>
  <c r="T1654" i="57"/>
  <c r="U1654" i="57"/>
  <c r="V1654" i="57"/>
  <c r="P1655" i="57"/>
  <c r="R1655" i="57"/>
  <c r="T1655" i="57"/>
  <c r="U1655" i="57"/>
  <c r="V1655" i="57"/>
  <c r="P1656" i="57"/>
  <c r="R1656" i="57"/>
  <c r="T1656" i="57"/>
  <c r="U1656" i="57"/>
  <c r="V1656" i="57"/>
  <c r="P1657" i="57"/>
  <c r="R1657" i="57"/>
  <c r="T1657" i="57"/>
  <c r="U1657" i="57"/>
  <c r="V1657" i="57"/>
  <c r="P1658" i="57"/>
  <c r="R1658" i="57"/>
  <c r="T1658" i="57"/>
  <c r="U1658" i="57"/>
  <c r="V1658" i="57"/>
  <c r="P1659" i="57"/>
  <c r="R1659" i="57"/>
  <c r="T1659" i="57"/>
  <c r="U1659" i="57"/>
  <c r="V1659" i="57"/>
  <c r="P1660" i="57"/>
  <c r="R1660" i="57"/>
  <c r="T1660" i="57"/>
  <c r="U1660" i="57"/>
  <c r="V1660" i="57"/>
  <c r="P1661" i="57"/>
  <c r="R1661" i="57"/>
  <c r="T1661" i="57"/>
  <c r="U1661" i="57"/>
  <c r="V1661" i="57"/>
  <c r="P1662" i="57"/>
  <c r="R1662" i="57"/>
  <c r="T1662" i="57"/>
  <c r="U1662" i="57"/>
  <c r="V1662" i="57"/>
  <c r="P1663" i="57"/>
  <c r="R1663" i="57"/>
  <c r="T1663" i="57"/>
  <c r="U1663" i="57"/>
  <c r="V1663" i="57"/>
  <c r="P1664" i="57"/>
  <c r="R1664" i="57"/>
  <c r="T1664" i="57"/>
  <c r="U1664" i="57"/>
  <c r="V1664" i="57"/>
  <c r="P1665" i="57"/>
  <c r="R1665" i="57"/>
  <c r="T1665" i="57"/>
  <c r="U1665" i="57"/>
  <c r="V1665" i="57"/>
  <c r="P1666" i="57"/>
  <c r="R1666" i="57"/>
  <c r="T1666" i="57"/>
  <c r="U1666" i="57"/>
  <c r="V1666" i="57"/>
  <c r="P1667" i="57"/>
  <c r="R1667" i="57"/>
  <c r="T1667" i="57"/>
  <c r="U1667" i="57"/>
  <c r="V1667" i="57"/>
  <c r="P1668" i="57"/>
  <c r="R1668" i="57"/>
  <c r="T1668" i="57"/>
  <c r="U1668" i="57"/>
  <c r="V1668" i="57"/>
  <c r="P1669" i="57"/>
  <c r="R1669" i="57"/>
  <c r="T1669" i="57"/>
  <c r="U1669" i="57"/>
  <c r="V1669" i="57"/>
  <c r="P1670" i="57"/>
  <c r="R1670" i="57"/>
  <c r="T1670" i="57"/>
  <c r="U1670" i="57"/>
  <c r="V1670" i="57"/>
  <c r="P1671" i="57"/>
  <c r="R1671" i="57"/>
  <c r="T1671" i="57"/>
  <c r="U1671" i="57"/>
  <c r="V1671" i="57"/>
  <c r="P1672" i="57"/>
  <c r="R1672" i="57"/>
  <c r="T1672" i="57"/>
  <c r="U1672" i="57"/>
  <c r="V1672" i="57"/>
  <c r="P1673" i="57"/>
  <c r="R1673" i="57"/>
  <c r="T1673" i="57"/>
  <c r="U1673" i="57"/>
  <c r="V1673" i="57"/>
  <c r="P1674" i="57"/>
  <c r="R1674" i="57"/>
  <c r="T1674" i="57"/>
  <c r="U1674" i="57"/>
  <c r="V1674" i="57"/>
  <c r="M1675" i="57"/>
  <c r="N1675" i="57"/>
  <c r="O1675" i="57"/>
  <c r="P1675" i="57"/>
  <c r="Q1675" i="57"/>
  <c r="R1675" i="57"/>
  <c r="S1675" i="57"/>
  <c r="T1675" i="57"/>
  <c r="U1675" i="57"/>
  <c r="V1675" i="57"/>
  <c r="M1676" i="57"/>
  <c r="N1676" i="57"/>
  <c r="O1676" i="57"/>
  <c r="P1676" i="57"/>
  <c r="Q1676" i="57"/>
  <c r="R1676" i="57"/>
  <c r="S1676" i="57"/>
  <c r="T1676" i="57"/>
  <c r="U1676" i="57"/>
  <c r="V1676" i="57"/>
  <c r="P1677" i="57"/>
  <c r="R1677" i="57"/>
  <c r="T1677" i="57"/>
  <c r="U1677" i="57"/>
  <c r="V1677" i="57"/>
  <c r="P1678" i="57"/>
  <c r="R1678" i="57"/>
  <c r="T1678" i="57"/>
  <c r="U1678" i="57"/>
  <c r="V1678" i="57"/>
  <c r="P1679" i="57"/>
  <c r="R1679" i="57"/>
  <c r="T1679" i="57"/>
  <c r="U1679" i="57"/>
  <c r="V1679" i="57"/>
  <c r="P1680" i="57"/>
  <c r="R1680" i="57"/>
  <c r="T1680" i="57"/>
  <c r="U1680" i="57"/>
  <c r="V1680" i="57"/>
  <c r="P1681" i="57"/>
  <c r="R1681" i="57"/>
  <c r="T1681" i="57"/>
  <c r="U1681" i="57"/>
  <c r="V1681" i="57"/>
  <c r="P1682" i="57"/>
  <c r="R1682" i="57"/>
  <c r="T1682" i="57"/>
  <c r="U1682" i="57"/>
  <c r="V1682" i="57"/>
  <c r="P1683" i="57"/>
  <c r="R1683" i="57"/>
  <c r="T1683" i="57"/>
  <c r="U1683" i="57"/>
  <c r="V1683" i="57"/>
  <c r="P1684" i="57"/>
  <c r="R1684" i="57"/>
  <c r="T1684" i="57"/>
  <c r="U1684" i="57"/>
  <c r="V1684" i="57"/>
  <c r="P1685" i="57"/>
  <c r="R1685" i="57"/>
  <c r="T1685" i="57"/>
  <c r="U1685" i="57"/>
  <c r="V1685" i="57"/>
  <c r="P1686" i="57"/>
  <c r="R1686" i="57"/>
  <c r="T1686" i="57"/>
  <c r="U1686" i="57"/>
  <c r="V1686" i="57"/>
  <c r="P1687" i="57"/>
  <c r="R1687" i="57"/>
  <c r="T1687" i="57"/>
  <c r="U1687" i="57"/>
  <c r="V1687" i="57"/>
  <c r="P1688" i="57"/>
  <c r="R1688" i="57"/>
  <c r="T1688" i="57"/>
  <c r="U1688" i="57"/>
  <c r="V1688" i="57"/>
  <c r="P1689" i="57"/>
  <c r="R1689" i="57"/>
  <c r="T1689" i="57"/>
  <c r="U1689" i="57"/>
  <c r="V1689" i="57"/>
  <c r="P1690" i="57"/>
  <c r="R1690" i="57"/>
  <c r="T1690" i="57"/>
  <c r="U1690" i="57"/>
  <c r="V1690" i="57"/>
  <c r="P1691" i="57"/>
  <c r="R1691" i="57"/>
  <c r="T1691" i="57"/>
  <c r="U1691" i="57"/>
  <c r="V1691" i="57"/>
  <c r="P1692" i="57"/>
  <c r="R1692" i="57"/>
  <c r="T1692" i="57"/>
  <c r="U1692" i="57"/>
  <c r="V1692" i="57"/>
  <c r="P1693" i="57"/>
  <c r="R1693" i="57"/>
  <c r="T1693" i="57"/>
  <c r="U1693" i="57"/>
  <c r="V1693" i="57"/>
  <c r="P1694" i="57"/>
  <c r="R1694" i="57"/>
  <c r="T1694" i="57"/>
  <c r="U1694" i="57"/>
  <c r="V1694" i="57"/>
  <c r="P1695" i="57"/>
  <c r="R1695" i="57"/>
  <c r="T1695" i="57"/>
  <c r="U1695" i="57"/>
  <c r="V1695" i="57"/>
  <c r="P1696" i="57"/>
  <c r="R1696" i="57"/>
  <c r="T1696" i="57"/>
  <c r="U1696" i="57"/>
  <c r="V1696" i="57"/>
  <c r="P1697" i="57"/>
  <c r="R1697" i="57"/>
  <c r="T1697" i="57"/>
  <c r="U1697" i="57"/>
  <c r="V1697" i="57"/>
  <c r="P1698" i="57"/>
  <c r="R1698" i="57"/>
  <c r="T1698" i="57"/>
  <c r="U1698" i="57"/>
  <c r="V1698" i="57"/>
  <c r="P1699" i="57"/>
  <c r="R1699" i="57"/>
  <c r="T1699" i="57"/>
  <c r="U1699" i="57"/>
  <c r="V1699" i="57"/>
  <c r="P1700" i="57"/>
  <c r="R1700" i="57"/>
  <c r="T1700" i="57"/>
  <c r="U1700" i="57"/>
  <c r="V1700" i="57"/>
  <c r="P1701" i="57"/>
  <c r="R1701" i="57"/>
  <c r="T1701" i="57"/>
  <c r="U1701" i="57"/>
  <c r="V1701" i="57"/>
  <c r="P1702" i="57"/>
  <c r="R1702" i="57"/>
  <c r="T1702" i="57"/>
  <c r="U1702" i="57"/>
  <c r="V1702" i="57"/>
  <c r="P1703" i="57"/>
  <c r="R1703" i="57"/>
  <c r="T1703" i="57"/>
  <c r="U1703" i="57"/>
  <c r="V1703" i="57"/>
  <c r="P1704" i="57"/>
  <c r="R1704" i="57"/>
  <c r="T1704" i="57"/>
  <c r="U1704" i="57"/>
  <c r="V1704" i="57"/>
  <c r="P1705" i="57"/>
  <c r="R1705" i="57"/>
  <c r="T1705" i="57"/>
  <c r="U1705" i="57"/>
  <c r="V1705" i="57"/>
  <c r="P1706" i="57"/>
  <c r="R1706" i="57"/>
  <c r="T1706" i="57"/>
  <c r="U1706" i="57"/>
  <c r="V1706" i="57"/>
  <c r="P1707" i="57"/>
  <c r="R1707" i="57"/>
  <c r="T1707" i="57"/>
  <c r="U1707" i="57"/>
  <c r="V1707" i="57"/>
  <c r="P1708" i="57"/>
  <c r="R1708" i="57"/>
  <c r="T1708" i="57"/>
  <c r="U1708" i="57"/>
  <c r="V1708" i="57"/>
  <c r="P1709" i="57"/>
  <c r="R1709" i="57"/>
  <c r="T1709" i="57"/>
  <c r="U1709" i="57"/>
  <c r="V1709" i="57"/>
  <c r="P1710" i="57"/>
  <c r="R1710" i="57"/>
  <c r="T1710" i="57"/>
  <c r="U1710" i="57"/>
  <c r="V1710" i="57"/>
  <c r="P1711" i="57"/>
  <c r="R1711" i="57"/>
  <c r="T1711" i="57"/>
  <c r="U1711" i="57"/>
  <c r="V1711" i="57"/>
  <c r="P1712" i="57"/>
  <c r="R1712" i="57"/>
  <c r="T1712" i="57"/>
  <c r="U1712" i="57"/>
  <c r="V1712" i="57"/>
  <c r="P1713" i="57"/>
  <c r="R1713" i="57"/>
  <c r="T1713" i="57"/>
  <c r="U1713" i="57"/>
  <c r="V1713" i="57"/>
  <c r="P1714" i="57"/>
  <c r="R1714" i="57"/>
  <c r="T1714" i="57"/>
  <c r="U1714" i="57"/>
  <c r="V1714" i="57"/>
  <c r="P1715" i="57"/>
  <c r="R1715" i="57"/>
  <c r="T1715" i="57"/>
  <c r="U1715" i="57"/>
  <c r="V1715" i="57"/>
  <c r="P1716" i="57"/>
  <c r="R1716" i="57"/>
  <c r="T1716" i="57"/>
  <c r="U1716" i="57"/>
  <c r="V1716" i="57"/>
  <c r="P1717" i="57"/>
  <c r="R1717" i="57"/>
  <c r="T1717" i="57"/>
  <c r="U1717" i="57"/>
  <c r="V1717" i="57"/>
  <c r="P1718" i="57"/>
  <c r="R1718" i="57"/>
  <c r="T1718" i="57"/>
  <c r="U1718" i="57"/>
  <c r="V1718" i="57"/>
  <c r="P1719" i="57"/>
  <c r="R1719" i="57"/>
  <c r="T1719" i="57"/>
  <c r="U1719" i="57"/>
  <c r="V1719" i="57"/>
  <c r="P1720" i="57"/>
  <c r="R1720" i="57"/>
  <c r="T1720" i="57"/>
  <c r="U1720" i="57"/>
  <c r="V1720" i="57"/>
  <c r="P1721" i="57"/>
  <c r="R1721" i="57"/>
  <c r="T1721" i="57"/>
  <c r="U1721" i="57"/>
  <c r="V1721" i="57"/>
  <c r="P1722" i="57"/>
  <c r="R1722" i="57"/>
  <c r="T1722" i="57"/>
  <c r="U1722" i="57"/>
  <c r="V1722" i="57"/>
  <c r="P1723" i="57"/>
  <c r="R1723" i="57"/>
  <c r="T1723" i="57"/>
  <c r="U1723" i="57"/>
  <c r="V1723" i="57"/>
  <c r="P1724" i="57"/>
  <c r="R1724" i="57"/>
  <c r="T1724" i="57"/>
  <c r="U1724" i="57"/>
  <c r="V1724" i="57"/>
  <c r="P1725" i="57"/>
  <c r="R1725" i="57"/>
  <c r="T1725" i="57"/>
  <c r="U1725" i="57"/>
  <c r="V1725" i="57"/>
  <c r="P1726" i="57"/>
  <c r="R1726" i="57"/>
  <c r="T1726" i="57"/>
  <c r="U1726" i="57"/>
  <c r="V1726" i="57"/>
  <c r="M1727" i="57"/>
  <c r="N1727" i="57"/>
  <c r="O1727" i="57"/>
  <c r="P1727" i="57"/>
  <c r="Q1727" i="57"/>
  <c r="R1727" i="57"/>
  <c r="S1727" i="57"/>
  <c r="T1727" i="57"/>
  <c r="U1727" i="57"/>
  <c r="V1727" i="57"/>
  <c r="M1728" i="57"/>
  <c r="N1728" i="57"/>
  <c r="O1728" i="57"/>
  <c r="P1728" i="57"/>
  <c r="Q1728" i="57"/>
  <c r="R1728" i="57"/>
  <c r="S1728" i="57"/>
  <c r="T1728" i="57"/>
  <c r="U1728" i="57"/>
  <c r="V1728" i="57"/>
  <c r="P1729" i="57"/>
  <c r="R1729" i="57"/>
  <c r="T1729" i="57"/>
  <c r="U1729" i="57"/>
  <c r="V1729" i="57"/>
  <c r="P1730" i="57"/>
  <c r="R1730" i="57"/>
  <c r="T1730" i="57"/>
  <c r="U1730" i="57"/>
  <c r="V1730" i="57"/>
  <c r="P1731" i="57"/>
  <c r="R1731" i="57"/>
  <c r="T1731" i="57"/>
  <c r="U1731" i="57"/>
  <c r="V1731" i="57"/>
  <c r="P1732" i="57"/>
  <c r="R1732" i="57"/>
  <c r="T1732" i="57"/>
  <c r="U1732" i="57"/>
  <c r="V1732" i="57"/>
  <c r="P1733" i="57"/>
  <c r="R1733" i="57"/>
  <c r="T1733" i="57"/>
  <c r="U1733" i="57"/>
  <c r="V1733" i="57"/>
  <c r="P1734" i="57"/>
  <c r="R1734" i="57"/>
  <c r="T1734" i="57"/>
  <c r="U1734" i="57"/>
  <c r="V1734" i="57"/>
  <c r="P1735" i="57"/>
  <c r="R1735" i="57"/>
  <c r="T1735" i="57"/>
  <c r="U1735" i="57"/>
  <c r="V1735" i="57"/>
  <c r="P1736" i="57"/>
  <c r="R1736" i="57"/>
  <c r="T1736" i="57"/>
  <c r="U1736" i="57"/>
  <c r="V1736" i="57"/>
  <c r="P1737" i="57"/>
  <c r="R1737" i="57"/>
  <c r="T1737" i="57"/>
  <c r="U1737" i="57"/>
  <c r="V1737" i="57"/>
  <c r="P1738" i="57"/>
  <c r="R1738" i="57"/>
  <c r="T1738" i="57"/>
  <c r="U1738" i="57"/>
  <c r="V1738" i="57"/>
  <c r="P1739" i="57"/>
  <c r="R1739" i="57"/>
  <c r="T1739" i="57"/>
  <c r="U1739" i="57"/>
  <c r="V1739" i="57"/>
  <c r="P1740" i="57"/>
  <c r="R1740" i="57"/>
  <c r="T1740" i="57"/>
  <c r="U1740" i="57"/>
  <c r="V1740" i="57"/>
  <c r="P1741" i="57"/>
  <c r="R1741" i="57"/>
  <c r="T1741" i="57"/>
  <c r="U1741" i="57"/>
  <c r="V1741" i="57"/>
  <c r="P1742" i="57"/>
  <c r="R1742" i="57"/>
  <c r="T1742" i="57"/>
  <c r="U1742" i="57"/>
  <c r="V1742" i="57"/>
  <c r="P1743" i="57"/>
  <c r="R1743" i="57"/>
  <c r="T1743" i="57"/>
  <c r="U1743" i="57"/>
  <c r="V1743" i="57"/>
  <c r="P1744" i="57"/>
  <c r="R1744" i="57"/>
  <c r="T1744" i="57"/>
  <c r="U1744" i="57"/>
  <c r="V1744" i="57"/>
  <c r="P1745" i="57"/>
  <c r="R1745" i="57"/>
  <c r="T1745" i="57"/>
  <c r="U1745" i="57"/>
  <c r="V1745" i="57"/>
  <c r="P1746" i="57"/>
  <c r="R1746" i="57"/>
  <c r="T1746" i="57"/>
  <c r="U1746" i="57"/>
  <c r="V1746" i="57"/>
  <c r="P1747" i="57"/>
  <c r="R1747" i="57"/>
  <c r="T1747" i="57"/>
  <c r="U1747" i="57"/>
  <c r="V1747" i="57"/>
  <c r="P1748" i="57"/>
  <c r="R1748" i="57"/>
  <c r="T1748" i="57"/>
  <c r="U1748" i="57"/>
  <c r="V1748" i="57"/>
  <c r="P1749" i="57"/>
  <c r="R1749" i="57"/>
  <c r="T1749" i="57"/>
  <c r="U1749" i="57"/>
  <c r="V1749" i="57"/>
  <c r="P1750" i="57"/>
  <c r="R1750" i="57"/>
  <c r="T1750" i="57"/>
  <c r="U1750" i="57"/>
  <c r="V1750" i="57"/>
  <c r="P1751" i="57"/>
  <c r="R1751" i="57"/>
  <c r="T1751" i="57"/>
  <c r="U1751" i="57"/>
  <c r="V1751" i="57"/>
  <c r="P1752" i="57"/>
  <c r="R1752" i="57"/>
  <c r="T1752" i="57"/>
  <c r="U1752" i="57"/>
  <c r="V1752" i="57"/>
  <c r="P1753" i="57"/>
  <c r="R1753" i="57"/>
  <c r="T1753" i="57"/>
  <c r="U1753" i="57"/>
  <c r="V1753" i="57"/>
  <c r="P1754" i="57"/>
  <c r="R1754" i="57"/>
  <c r="T1754" i="57"/>
  <c r="U1754" i="57"/>
  <c r="V1754" i="57"/>
  <c r="P1755" i="57"/>
  <c r="R1755" i="57"/>
  <c r="T1755" i="57"/>
  <c r="U1755" i="57"/>
  <c r="V1755" i="57"/>
  <c r="P1756" i="57"/>
  <c r="R1756" i="57"/>
  <c r="T1756" i="57"/>
  <c r="U1756" i="57"/>
  <c r="V1756" i="57"/>
  <c r="P1757" i="57"/>
  <c r="R1757" i="57"/>
  <c r="T1757" i="57"/>
  <c r="U1757" i="57"/>
  <c r="V1757" i="57"/>
  <c r="P1758" i="57"/>
  <c r="R1758" i="57"/>
  <c r="T1758" i="57"/>
  <c r="U1758" i="57"/>
  <c r="V1758" i="57"/>
  <c r="P1759" i="57"/>
  <c r="R1759" i="57"/>
  <c r="T1759" i="57"/>
  <c r="U1759" i="57"/>
  <c r="V1759" i="57"/>
  <c r="P1760" i="57"/>
  <c r="R1760" i="57"/>
  <c r="T1760" i="57"/>
  <c r="U1760" i="57"/>
  <c r="V1760" i="57"/>
  <c r="P1761" i="57"/>
  <c r="R1761" i="57"/>
  <c r="T1761" i="57"/>
  <c r="U1761" i="57"/>
  <c r="V1761" i="57"/>
  <c r="P1762" i="57"/>
  <c r="R1762" i="57"/>
  <c r="T1762" i="57"/>
  <c r="U1762" i="57"/>
  <c r="V1762" i="57"/>
  <c r="P1763" i="57"/>
  <c r="R1763" i="57"/>
  <c r="T1763" i="57"/>
  <c r="U1763" i="57"/>
  <c r="V1763" i="57"/>
  <c r="P1764" i="57"/>
  <c r="R1764" i="57"/>
  <c r="T1764" i="57"/>
  <c r="U1764" i="57"/>
  <c r="V1764" i="57"/>
  <c r="P1765" i="57"/>
  <c r="R1765" i="57"/>
  <c r="T1765" i="57"/>
  <c r="U1765" i="57"/>
  <c r="V1765" i="57"/>
  <c r="P1766" i="57"/>
  <c r="R1766" i="57"/>
  <c r="T1766" i="57"/>
  <c r="U1766" i="57"/>
  <c r="V1766" i="57"/>
  <c r="P1767" i="57"/>
  <c r="R1767" i="57"/>
  <c r="T1767" i="57"/>
  <c r="U1767" i="57"/>
  <c r="V1767" i="57"/>
  <c r="P1768" i="57"/>
  <c r="R1768" i="57"/>
  <c r="T1768" i="57"/>
  <c r="U1768" i="57"/>
  <c r="V1768" i="57"/>
  <c r="P1769" i="57"/>
  <c r="R1769" i="57"/>
  <c r="T1769" i="57"/>
  <c r="U1769" i="57"/>
  <c r="V1769" i="57"/>
  <c r="P1770" i="57"/>
  <c r="R1770" i="57"/>
  <c r="T1770" i="57"/>
  <c r="U1770" i="57"/>
  <c r="V1770" i="57"/>
  <c r="P1771" i="57"/>
  <c r="R1771" i="57"/>
  <c r="T1771" i="57"/>
  <c r="U1771" i="57"/>
  <c r="V1771" i="57"/>
  <c r="P1772" i="57"/>
  <c r="R1772" i="57"/>
  <c r="T1772" i="57"/>
  <c r="U1772" i="57"/>
  <c r="V1772" i="57"/>
  <c r="P1773" i="57"/>
  <c r="R1773" i="57"/>
  <c r="T1773" i="57"/>
  <c r="U1773" i="57"/>
  <c r="V1773" i="57"/>
  <c r="P1774" i="57"/>
  <c r="R1774" i="57"/>
  <c r="T1774" i="57"/>
  <c r="U1774" i="57"/>
  <c r="V1774" i="57"/>
  <c r="P1775" i="57"/>
  <c r="R1775" i="57"/>
  <c r="T1775" i="57"/>
  <c r="U1775" i="57"/>
  <c r="V1775" i="57"/>
  <c r="P1776" i="57"/>
  <c r="R1776" i="57"/>
  <c r="T1776" i="57"/>
  <c r="U1776" i="57"/>
  <c r="V1776" i="57"/>
  <c r="P1777" i="57"/>
  <c r="R1777" i="57"/>
  <c r="T1777" i="57"/>
  <c r="U1777" i="57"/>
  <c r="V1777" i="57"/>
  <c r="P1778" i="57"/>
  <c r="R1778" i="57"/>
  <c r="T1778" i="57"/>
  <c r="U1778" i="57"/>
  <c r="V1778" i="57"/>
  <c r="M1779" i="57"/>
  <c r="N1779" i="57"/>
  <c r="O1779" i="57"/>
  <c r="P1779" i="57"/>
  <c r="Q1779" i="57"/>
  <c r="R1779" i="57"/>
  <c r="S1779" i="57"/>
  <c r="T1779" i="57"/>
  <c r="U1779" i="57"/>
  <c r="V1779" i="57"/>
  <c r="M1780" i="57"/>
  <c r="N1780" i="57"/>
  <c r="O1780" i="57"/>
  <c r="P1780" i="57"/>
  <c r="Q1780" i="57"/>
  <c r="R1780" i="57"/>
  <c r="S1780" i="57"/>
  <c r="T1780" i="57"/>
  <c r="U1780" i="57"/>
  <c r="V1780" i="57"/>
  <c r="P1781" i="57"/>
  <c r="R1781" i="57"/>
  <c r="T1781" i="57"/>
  <c r="U1781" i="57"/>
  <c r="V1781" i="57"/>
  <c r="P1782" i="57"/>
  <c r="R1782" i="57"/>
  <c r="T1782" i="57"/>
  <c r="U1782" i="57"/>
  <c r="V1782" i="57"/>
  <c r="P1783" i="57"/>
  <c r="R1783" i="57"/>
  <c r="T1783" i="57"/>
  <c r="U1783" i="57"/>
  <c r="V1783" i="57"/>
  <c r="P1784" i="57"/>
  <c r="R1784" i="57"/>
  <c r="T1784" i="57"/>
  <c r="U1784" i="57"/>
  <c r="V1784" i="57"/>
  <c r="P1785" i="57"/>
  <c r="R1785" i="57"/>
  <c r="T1785" i="57"/>
  <c r="U1785" i="57"/>
  <c r="V1785" i="57"/>
  <c r="P1786" i="57"/>
  <c r="R1786" i="57"/>
  <c r="T1786" i="57"/>
  <c r="U1786" i="57"/>
  <c r="V1786" i="57"/>
  <c r="P1787" i="57"/>
  <c r="R1787" i="57"/>
  <c r="T1787" i="57"/>
  <c r="U1787" i="57"/>
  <c r="V1787" i="57"/>
  <c r="P1788" i="57"/>
  <c r="R1788" i="57"/>
  <c r="T1788" i="57"/>
  <c r="U1788" i="57"/>
  <c r="V1788" i="57"/>
  <c r="P1789" i="57"/>
  <c r="R1789" i="57"/>
  <c r="T1789" i="57"/>
  <c r="U1789" i="57"/>
  <c r="V1789" i="57"/>
  <c r="P1790" i="57"/>
  <c r="R1790" i="57"/>
  <c r="T1790" i="57"/>
  <c r="U1790" i="57"/>
  <c r="V1790" i="57"/>
  <c r="P1791" i="57"/>
  <c r="R1791" i="57"/>
  <c r="T1791" i="57"/>
  <c r="U1791" i="57"/>
  <c r="V1791" i="57"/>
  <c r="P1792" i="57"/>
  <c r="R1792" i="57"/>
  <c r="T1792" i="57"/>
  <c r="U1792" i="57"/>
  <c r="V1792" i="57"/>
  <c r="P1793" i="57"/>
  <c r="R1793" i="57"/>
  <c r="T1793" i="57"/>
  <c r="U1793" i="57"/>
  <c r="V1793" i="57"/>
  <c r="P1794" i="57"/>
  <c r="R1794" i="57"/>
  <c r="T1794" i="57"/>
  <c r="U1794" i="57"/>
  <c r="V1794" i="57"/>
  <c r="P1795" i="57"/>
  <c r="R1795" i="57"/>
  <c r="T1795" i="57"/>
  <c r="U1795" i="57"/>
  <c r="V1795" i="57"/>
  <c r="P1796" i="57"/>
  <c r="R1796" i="57"/>
  <c r="T1796" i="57"/>
  <c r="U1796" i="57"/>
  <c r="V1796" i="57"/>
  <c r="P1797" i="57"/>
  <c r="R1797" i="57"/>
  <c r="T1797" i="57"/>
  <c r="U1797" i="57"/>
  <c r="V1797" i="57"/>
  <c r="P1798" i="57"/>
  <c r="R1798" i="57"/>
  <c r="T1798" i="57"/>
  <c r="U1798" i="57"/>
  <c r="V1798" i="57"/>
  <c r="P1799" i="57"/>
  <c r="R1799" i="57"/>
  <c r="T1799" i="57"/>
  <c r="U1799" i="57"/>
  <c r="V1799" i="57"/>
  <c r="P1800" i="57"/>
  <c r="R1800" i="57"/>
  <c r="T1800" i="57"/>
  <c r="U1800" i="57"/>
  <c r="V1800" i="57"/>
  <c r="P1801" i="57"/>
  <c r="R1801" i="57"/>
  <c r="T1801" i="57"/>
  <c r="U1801" i="57"/>
  <c r="V1801" i="57"/>
  <c r="P1802" i="57"/>
  <c r="R1802" i="57"/>
  <c r="T1802" i="57"/>
  <c r="U1802" i="57"/>
  <c r="V1802" i="57"/>
  <c r="P1803" i="57"/>
  <c r="R1803" i="57"/>
  <c r="T1803" i="57"/>
  <c r="U1803" i="57"/>
  <c r="V1803" i="57"/>
  <c r="P1804" i="57"/>
  <c r="R1804" i="57"/>
  <c r="T1804" i="57"/>
  <c r="U1804" i="57"/>
  <c r="V1804" i="57"/>
  <c r="P1805" i="57"/>
  <c r="R1805" i="57"/>
  <c r="T1805" i="57"/>
  <c r="U1805" i="57"/>
  <c r="V1805" i="57"/>
  <c r="P1806" i="57"/>
  <c r="R1806" i="57"/>
  <c r="T1806" i="57"/>
  <c r="U1806" i="57"/>
  <c r="V1806" i="57"/>
  <c r="P1807" i="57"/>
  <c r="R1807" i="57"/>
  <c r="T1807" i="57"/>
  <c r="U1807" i="57"/>
  <c r="V1807" i="57"/>
  <c r="P1808" i="57"/>
  <c r="R1808" i="57"/>
  <c r="T1808" i="57"/>
  <c r="U1808" i="57"/>
  <c r="V1808" i="57"/>
  <c r="P1809" i="57"/>
  <c r="R1809" i="57"/>
  <c r="T1809" i="57"/>
  <c r="U1809" i="57"/>
  <c r="V1809" i="57"/>
  <c r="P1810" i="57"/>
  <c r="R1810" i="57"/>
  <c r="T1810" i="57"/>
  <c r="U1810" i="57"/>
  <c r="V1810" i="57"/>
  <c r="P1811" i="57"/>
  <c r="R1811" i="57"/>
  <c r="T1811" i="57"/>
  <c r="U1811" i="57"/>
  <c r="V1811" i="57"/>
  <c r="P1812" i="57"/>
  <c r="R1812" i="57"/>
  <c r="T1812" i="57"/>
  <c r="U1812" i="57"/>
  <c r="V1812" i="57"/>
  <c r="P1813" i="57"/>
  <c r="R1813" i="57"/>
  <c r="T1813" i="57"/>
  <c r="U1813" i="57"/>
  <c r="V1813" i="57"/>
  <c r="P1814" i="57"/>
  <c r="R1814" i="57"/>
  <c r="T1814" i="57"/>
  <c r="U1814" i="57"/>
  <c r="V1814" i="57"/>
  <c r="P1815" i="57"/>
  <c r="R1815" i="57"/>
  <c r="T1815" i="57"/>
  <c r="U1815" i="57"/>
  <c r="V1815" i="57"/>
  <c r="P1816" i="57"/>
  <c r="R1816" i="57"/>
  <c r="T1816" i="57"/>
  <c r="U1816" i="57"/>
  <c r="V1816" i="57"/>
  <c r="P1817" i="57"/>
  <c r="R1817" i="57"/>
  <c r="T1817" i="57"/>
  <c r="U1817" i="57"/>
  <c r="V1817" i="57"/>
  <c r="P1818" i="57"/>
  <c r="R1818" i="57"/>
  <c r="T1818" i="57"/>
  <c r="U1818" i="57"/>
  <c r="V1818" i="57"/>
  <c r="P1819" i="57"/>
  <c r="R1819" i="57"/>
  <c r="T1819" i="57"/>
  <c r="U1819" i="57"/>
  <c r="V1819" i="57"/>
  <c r="P1820" i="57"/>
  <c r="R1820" i="57"/>
  <c r="T1820" i="57"/>
  <c r="U1820" i="57"/>
  <c r="V1820" i="57"/>
  <c r="P1821" i="57"/>
  <c r="R1821" i="57"/>
  <c r="T1821" i="57"/>
  <c r="U1821" i="57"/>
  <c r="V1821" i="57"/>
  <c r="P1822" i="57"/>
  <c r="R1822" i="57"/>
  <c r="T1822" i="57"/>
  <c r="U1822" i="57"/>
  <c r="V1822" i="57"/>
  <c r="P1823" i="57"/>
  <c r="R1823" i="57"/>
  <c r="T1823" i="57"/>
  <c r="U1823" i="57"/>
  <c r="V1823" i="57"/>
  <c r="P1824" i="57"/>
  <c r="R1824" i="57"/>
  <c r="T1824" i="57"/>
  <c r="U1824" i="57"/>
  <c r="V1824" i="57"/>
  <c r="P1825" i="57"/>
  <c r="R1825" i="57"/>
  <c r="T1825" i="57"/>
  <c r="U1825" i="57"/>
  <c r="V1825" i="57"/>
  <c r="P1826" i="57"/>
  <c r="R1826" i="57"/>
  <c r="T1826" i="57"/>
  <c r="U1826" i="57"/>
  <c r="V1826" i="57"/>
  <c r="P1827" i="57"/>
  <c r="R1827" i="57"/>
  <c r="T1827" i="57"/>
  <c r="U1827" i="57"/>
  <c r="V1827" i="57"/>
  <c r="P1828" i="57"/>
  <c r="R1828" i="57"/>
  <c r="T1828" i="57"/>
  <c r="U1828" i="57"/>
  <c r="V1828" i="57"/>
  <c r="P1829" i="57"/>
  <c r="R1829" i="57"/>
  <c r="T1829" i="57"/>
  <c r="U1829" i="57"/>
  <c r="V1829" i="57"/>
  <c r="P1830" i="57"/>
  <c r="R1830" i="57"/>
  <c r="T1830" i="57"/>
  <c r="U1830" i="57"/>
  <c r="V1830" i="57"/>
  <c r="M1831" i="57"/>
  <c r="N1831" i="57"/>
  <c r="O1831" i="57"/>
  <c r="P1831" i="57"/>
  <c r="Q1831" i="57"/>
  <c r="R1831" i="57"/>
  <c r="S1831" i="57"/>
  <c r="T1831" i="57"/>
  <c r="U1831" i="57"/>
  <c r="V1831" i="57"/>
  <c r="M1832" i="57"/>
  <c r="N1832" i="57"/>
  <c r="O1832" i="57"/>
  <c r="P1832" i="57"/>
  <c r="Q1832" i="57"/>
  <c r="R1832" i="57"/>
  <c r="S1832" i="57"/>
  <c r="T1832" i="57"/>
  <c r="U1832" i="57"/>
  <c r="V1832" i="57"/>
  <c r="P1833" i="57"/>
  <c r="R1833" i="57"/>
  <c r="T1833" i="57"/>
  <c r="U1833" i="57"/>
  <c r="V1833" i="57"/>
  <c r="P1834" i="57"/>
  <c r="R1834" i="57"/>
  <c r="T1834" i="57"/>
  <c r="U1834" i="57"/>
  <c r="V1834" i="57"/>
  <c r="P1835" i="57"/>
  <c r="R1835" i="57"/>
  <c r="T1835" i="57"/>
  <c r="U1835" i="57"/>
  <c r="V1835" i="57"/>
  <c r="P1836" i="57"/>
  <c r="R1836" i="57"/>
  <c r="T1836" i="57"/>
  <c r="U1836" i="57"/>
  <c r="V1836" i="57"/>
  <c r="P1837" i="57"/>
  <c r="R1837" i="57"/>
  <c r="T1837" i="57"/>
  <c r="U1837" i="57"/>
  <c r="V1837" i="57"/>
  <c r="P1838" i="57"/>
  <c r="R1838" i="57"/>
  <c r="T1838" i="57"/>
  <c r="U1838" i="57"/>
  <c r="V1838" i="57"/>
  <c r="P1839" i="57"/>
  <c r="R1839" i="57"/>
  <c r="T1839" i="57"/>
  <c r="U1839" i="57"/>
  <c r="V1839" i="57"/>
  <c r="P1840" i="57"/>
  <c r="R1840" i="57"/>
  <c r="T1840" i="57"/>
  <c r="U1840" i="57"/>
  <c r="V1840" i="57"/>
  <c r="P1841" i="57"/>
  <c r="R1841" i="57"/>
  <c r="T1841" i="57"/>
  <c r="U1841" i="57"/>
  <c r="V1841" i="57"/>
  <c r="P1842" i="57"/>
  <c r="R1842" i="57"/>
  <c r="T1842" i="57"/>
  <c r="U1842" i="57"/>
  <c r="V1842" i="57"/>
  <c r="P1843" i="57"/>
  <c r="R1843" i="57"/>
  <c r="T1843" i="57"/>
  <c r="U1843" i="57"/>
  <c r="V1843" i="57"/>
  <c r="P1844" i="57"/>
  <c r="R1844" i="57"/>
  <c r="T1844" i="57"/>
  <c r="U1844" i="57"/>
  <c r="V1844" i="57"/>
  <c r="P1845" i="57"/>
  <c r="R1845" i="57"/>
  <c r="T1845" i="57"/>
  <c r="U1845" i="57"/>
  <c r="V1845" i="57"/>
  <c r="P1846" i="57"/>
  <c r="R1846" i="57"/>
  <c r="T1846" i="57"/>
  <c r="U1846" i="57"/>
  <c r="V1846" i="57"/>
  <c r="P1847" i="57"/>
  <c r="R1847" i="57"/>
  <c r="T1847" i="57"/>
  <c r="U1847" i="57"/>
  <c r="V1847" i="57"/>
  <c r="P1848" i="57"/>
  <c r="R1848" i="57"/>
  <c r="T1848" i="57"/>
  <c r="U1848" i="57"/>
  <c r="V1848" i="57"/>
  <c r="P1849" i="57"/>
  <c r="R1849" i="57"/>
  <c r="T1849" i="57"/>
  <c r="U1849" i="57"/>
  <c r="V1849" i="57"/>
  <c r="P1850" i="57"/>
  <c r="R1850" i="57"/>
  <c r="T1850" i="57"/>
  <c r="U1850" i="57"/>
  <c r="V1850" i="57"/>
  <c r="P1851" i="57"/>
  <c r="R1851" i="57"/>
  <c r="T1851" i="57"/>
  <c r="U1851" i="57"/>
  <c r="V1851" i="57"/>
  <c r="P1852" i="57"/>
  <c r="R1852" i="57"/>
  <c r="T1852" i="57"/>
  <c r="U1852" i="57"/>
  <c r="V1852" i="57"/>
  <c r="P1853" i="57"/>
  <c r="R1853" i="57"/>
  <c r="T1853" i="57"/>
  <c r="U1853" i="57"/>
  <c r="V1853" i="57"/>
  <c r="P1854" i="57"/>
  <c r="R1854" i="57"/>
  <c r="T1854" i="57"/>
  <c r="U1854" i="57"/>
  <c r="V1854" i="57"/>
  <c r="P1855" i="57"/>
  <c r="R1855" i="57"/>
  <c r="T1855" i="57"/>
  <c r="U1855" i="57"/>
  <c r="V1855" i="57"/>
  <c r="P1856" i="57"/>
  <c r="R1856" i="57"/>
  <c r="T1856" i="57"/>
  <c r="U1856" i="57"/>
  <c r="V1856" i="57"/>
  <c r="P1857" i="57"/>
  <c r="R1857" i="57"/>
  <c r="T1857" i="57"/>
  <c r="U1857" i="57"/>
  <c r="V1857" i="57"/>
  <c r="P1858" i="57"/>
  <c r="R1858" i="57"/>
  <c r="T1858" i="57"/>
  <c r="U1858" i="57"/>
  <c r="V1858" i="57"/>
  <c r="P1859" i="57"/>
  <c r="R1859" i="57"/>
  <c r="T1859" i="57"/>
  <c r="U1859" i="57"/>
  <c r="V1859" i="57"/>
  <c r="P1860" i="57"/>
  <c r="R1860" i="57"/>
  <c r="T1860" i="57"/>
  <c r="U1860" i="57"/>
  <c r="V1860" i="57"/>
  <c r="P1861" i="57"/>
  <c r="R1861" i="57"/>
  <c r="T1861" i="57"/>
  <c r="U1861" i="57"/>
  <c r="V1861" i="57"/>
  <c r="P1862" i="57"/>
  <c r="R1862" i="57"/>
  <c r="T1862" i="57"/>
  <c r="U1862" i="57"/>
  <c r="V1862" i="57"/>
  <c r="P1863" i="57"/>
  <c r="R1863" i="57"/>
  <c r="T1863" i="57"/>
  <c r="U1863" i="57"/>
  <c r="V1863" i="57"/>
  <c r="P1864" i="57"/>
  <c r="R1864" i="57"/>
  <c r="T1864" i="57"/>
  <c r="U1864" i="57"/>
  <c r="V1864" i="57"/>
  <c r="P1865" i="57"/>
  <c r="R1865" i="57"/>
  <c r="T1865" i="57"/>
  <c r="U1865" i="57"/>
  <c r="V1865" i="57"/>
  <c r="P1866" i="57"/>
  <c r="R1866" i="57"/>
  <c r="T1866" i="57"/>
  <c r="U1866" i="57"/>
  <c r="V1866" i="57"/>
  <c r="P1867" i="57"/>
  <c r="R1867" i="57"/>
  <c r="T1867" i="57"/>
  <c r="U1867" i="57"/>
  <c r="V1867" i="57"/>
  <c r="P1868" i="57"/>
  <c r="R1868" i="57"/>
  <c r="T1868" i="57"/>
  <c r="U1868" i="57"/>
  <c r="V1868" i="57"/>
  <c r="P1869" i="57"/>
  <c r="R1869" i="57"/>
  <c r="T1869" i="57"/>
  <c r="U1869" i="57"/>
  <c r="V1869" i="57"/>
  <c r="P1870" i="57"/>
  <c r="R1870" i="57"/>
  <c r="T1870" i="57"/>
  <c r="U1870" i="57"/>
  <c r="V1870" i="57"/>
  <c r="P1871" i="57"/>
  <c r="R1871" i="57"/>
  <c r="T1871" i="57"/>
  <c r="U1871" i="57"/>
  <c r="V1871" i="57"/>
  <c r="P1872" i="57"/>
  <c r="R1872" i="57"/>
  <c r="T1872" i="57"/>
  <c r="U1872" i="57"/>
  <c r="V1872" i="57"/>
  <c r="P1873" i="57"/>
  <c r="R1873" i="57"/>
  <c r="T1873" i="57"/>
  <c r="U1873" i="57"/>
  <c r="V1873" i="57"/>
  <c r="P1874" i="57"/>
  <c r="R1874" i="57"/>
  <c r="T1874" i="57"/>
  <c r="U1874" i="57"/>
  <c r="V1874" i="57"/>
  <c r="P1875" i="57"/>
  <c r="R1875" i="57"/>
  <c r="T1875" i="57"/>
  <c r="U1875" i="57"/>
  <c r="V1875" i="57"/>
  <c r="P1876" i="57"/>
  <c r="R1876" i="57"/>
  <c r="T1876" i="57"/>
  <c r="U1876" i="57"/>
  <c r="V1876" i="57"/>
  <c r="P1877" i="57"/>
  <c r="R1877" i="57"/>
  <c r="T1877" i="57"/>
  <c r="U1877" i="57"/>
  <c r="V1877" i="57"/>
  <c r="P1878" i="57"/>
  <c r="R1878" i="57"/>
  <c r="T1878" i="57"/>
  <c r="U1878" i="57"/>
  <c r="V1878" i="57"/>
  <c r="P1879" i="57"/>
  <c r="R1879" i="57"/>
  <c r="T1879" i="57"/>
  <c r="U1879" i="57"/>
  <c r="V1879" i="57"/>
  <c r="P1880" i="57"/>
  <c r="R1880" i="57"/>
  <c r="T1880" i="57"/>
  <c r="U1880" i="57"/>
  <c r="V1880" i="57"/>
  <c r="P1881" i="57"/>
  <c r="R1881" i="57"/>
  <c r="T1881" i="57"/>
  <c r="U1881" i="57"/>
  <c r="V1881" i="57"/>
  <c r="P1882" i="57"/>
  <c r="R1882" i="57"/>
  <c r="T1882" i="57"/>
  <c r="U1882" i="57"/>
  <c r="V1882" i="57"/>
  <c r="M1883" i="57"/>
  <c r="N1883" i="57"/>
  <c r="O1883" i="57"/>
  <c r="P1883" i="57"/>
  <c r="Q1883" i="57"/>
  <c r="R1883" i="57"/>
  <c r="S1883" i="57"/>
  <c r="T1883" i="57"/>
  <c r="U1883" i="57"/>
  <c r="V1883" i="57"/>
  <c r="M1884" i="57"/>
  <c r="N1884" i="57"/>
  <c r="O1884" i="57"/>
  <c r="P1884" i="57"/>
  <c r="Q1884" i="57"/>
  <c r="R1884" i="57"/>
  <c r="S1884" i="57"/>
  <c r="T1884" i="57"/>
  <c r="U1884" i="57"/>
  <c r="V1884" i="57"/>
  <c r="P1885" i="57"/>
  <c r="R1885" i="57"/>
  <c r="T1885" i="57"/>
  <c r="U1885" i="57"/>
  <c r="V1885" i="57"/>
  <c r="P1886" i="57"/>
  <c r="R1886" i="57"/>
  <c r="T1886" i="57"/>
  <c r="U1886" i="57"/>
  <c r="V1886" i="57"/>
  <c r="P1887" i="57"/>
  <c r="R1887" i="57"/>
  <c r="T1887" i="57"/>
  <c r="U1887" i="57"/>
  <c r="V1887" i="57"/>
  <c r="P1888" i="57"/>
  <c r="R1888" i="57"/>
  <c r="T1888" i="57"/>
  <c r="U1888" i="57"/>
  <c r="V1888" i="57"/>
  <c r="P1889" i="57"/>
  <c r="R1889" i="57"/>
  <c r="T1889" i="57"/>
  <c r="U1889" i="57"/>
  <c r="V1889" i="57"/>
  <c r="P1890" i="57"/>
  <c r="R1890" i="57"/>
  <c r="T1890" i="57"/>
  <c r="U1890" i="57"/>
  <c r="V1890" i="57"/>
  <c r="P1891" i="57"/>
  <c r="R1891" i="57"/>
  <c r="T1891" i="57"/>
  <c r="U1891" i="57"/>
  <c r="V1891" i="57"/>
  <c r="P1892" i="57"/>
  <c r="R1892" i="57"/>
  <c r="T1892" i="57"/>
  <c r="U1892" i="57"/>
  <c r="V1892" i="57"/>
  <c r="P1893" i="57"/>
  <c r="R1893" i="57"/>
  <c r="T1893" i="57"/>
  <c r="U1893" i="57"/>
  <c r="V1893" i="57"/>
  <c r="P1894" i="57"/>
  <c r="R1894" i="57"/>
  <c r="T1894" i="57"/>
  <c r="U1894" i="57"/>
  <c r="V1894" i="57"/>
  <c r="P1895" i="57"/>
  <c r="R1895" i="57"/>
  <c r="T1895" i="57"/>
  <c r="U1895" i="57"/>
  <c r="V1895" i="57"/>
  <c r="P1896" i="57"/>
  <c r="R1896" i="57"/>
  <c r="T1896" i="57"/>
  <c r="U1896" i="57"/>
  <c r="V1896" i="57"/>
  <c r="P1897" i="57"/>
  <c r="R1897" i="57"/>
  <c r="T1897" i="57"/>
  <c r="U1897" i="57"/>
  <c r="V1897" i="57"/>
  <c r="P1898" i="57"/>
  <c r="R1898" i="57"/>
  <c r="T1898" i="57"/>
  <c r="U1898" i="57"/>
  <c r="V1898" i="57"/>
  <c r="P1899" i="57"/>
  <c r="R1899" i="57"/>
  <c r="T1899" i="57"/>
  <c r="U1899" i="57"/>
  <c r="V1899" i="57"/>
  <c r="P1900" i="57"/>
  <c r="R1900" i="57"/>
  <c r="T1900" i="57"/>
  <c r="U1900" i="57"/>
  <c r="V1900" i="57"/>
  <c r="P1901" i="57"/>
  <c r="R1901" i="57"/>
  <c r="T1901" i="57"/>
  <c r="U1901" i="57"/>
  <c r="V1901" i="57"/>
  <c r="P1902" i="57"/>
  <c r="R1902" i="57"/>
  <c r="T1902" i="57"/>
  <c r="U1902" i="57"/>
  <c r="V1902" i="57"/>
  <c r="P1903" i="57"/>
  <c r="R1903" i="57"/>
  <c r="T1903" i="57"/>
  <c r="U1903" i="57"/>
  <c r="V1903" i="57"/>
  <c r="P1904" i="57"/>
  <c r="R1904" i="57"/>
  <c r="T1904" i="57"/>
  <c r="U1904" i="57"/>
  <c r="V1904" i="57"/>
  <c r="P1905" i="57"/>
  <c r="R1905" i="57"/>
  <c r="T1905" i="57"/>
  <c r="U1905" i="57"/>
  <c r="V1905" i="57"/>
  <c r="P1906" i="57"/>
  <c r="R1906" i="57"/>
  <c r="T1906" i="57"/>
  <c r="U1906" i="57"/>
  <c r="V1906" i="57"/>
  <c r="P1907" i="57"/>
  <c r="R1907" i="57"/>
  <c r="T1907" i="57"/>
  <c r="U1907" i="57"/>
  <c r="V1907" i="57"/>
  <c r="P1908" i="57"/>
  <c r="R1908" i="57"/>
  <c r="T1908" i="57"/>
  <c r="U1908" i="57"/>
  <c r="V1908" i="57"/>
  <c r="P1909" i="57"/>
  <c r="R1909" i="57"/>
  <c r="T1909" i="57"/>
  <c r="U1909" i="57"/>
  <c r="V1909" i="57"/>
  <c r="P1910" i="57"/>
  <c r="R1910" i="57"/>
  <c r="T1910" i="57"/>
  <c r="U1910" i="57"/>
  <c r="V1910" i="57"/>
  <c r="P1911" i="57"/>
  <c r="R1911" i="57"/>
  <c r="T1911" i="57"/>
  <c r="U1911" i="57"/>
  <c r="V1911" i="57"/>
  <c r="P1912" i="57"/>
  <c r="R1912" i="57"/>
  <c r="T1912" i="57"/>
  <c r="U1912" i="57"/>
  <c r="V1912" i="57"/>
  <c r="P1913" i="57"/>
  <c r="R1913" i="57"/>
  <c r="T1913" i="57"/>
  <c r="U1913" i="57"/>
  <c r="V1913" i="57"/>
  <c r="P1914" i="57"/>
  <c r="R1914" i="57"/>
  <c r="T1914" i="57"/>
  <c r="U1914" i="57"/>
  <c r="V1914" i="57"/>
  <c r="P1915" i="57"/>
  <c r="R1915" i="57"/>
  <c r="T1915" i="57"/>
  <c r="U1915" i="57"/>
  <c r="V1915" i="57"/>
  <c r="P1916" i="57"/>
  <c r="R1916" i="57"/>
  <c r="T1916" i="57"/>
  <c r="U1916" i="57"/>
  <c r="V1916" i="57"/>
  <c r="P1917" i="57"/>
  <c r="R1917" i="57"/>
  <c r="T1917" i="57"/>
  <c r="U1917" i="57"/>
  <c r="V1917" i="57"/>
  <c r="P1918" i="57"/>
  <c r="R1918" i="57"/>
  <c r="T1918" i="57"/>
  <c r="U1918" i="57"/>
  <c r="V1918" i="57"/>
  <c r="P1919" i="57"/>
  <c r="R1919" i="57"/>
  <c r="T1919" i="57"/>
  <c r="U1919" i="57"/>
  <c r="V1919" i="57"/>
  <c r="P1920" i="57"/>
  <c r="R1920" i="57"/>
  <c r="T1920" i="57"/>
  <c r="U1920" i="57"/>
  <c r="V1920" i="57"/>
  <c r="P1921" i="57"/>
  <c r="R1921" i="57"/>
  <c r="T1921" i="57"/>
  <c r="U1921" i="57"/>
  <c r="V1921" i="57"/>
  <c r="P1922" i="57"/>
  <c r="R1922" i="57"/>
  <c r="T1922" i="57"/>
  <c r="U1922" i="57"/>
  <c r="V1922" i="57"/>
  <c r="P1923" i="57"/>
  <c r="R1923" i="57"/>
  <c r="T1923" i="57"/>
  <c r="U1923" i="57"/>
  <c r="V1923" i="57"/>
  <c r="P1924" i="57"/>
  <c r="R1924" i="57"/>
  <c r="T1924" i="57"/>
  <c r="U1924" i="57"/>
  <c r="V1924" i="57"/>
  <c r="P1925" i="57"/>
  <c r="R1925" i="57"/>
  <c r="T1925" i="57"/>
  <c r="U1925" i="57"/>
  <c r="V1925" i="57"/>
  <c r="P1926" i="57"/>
  <c r="R1926" i="57"/>
  <c r="T1926" i="57"/>
  <c r="U1926" i="57"/>
  <c r="V1926" i="57"/>
  <c r="P1927" i="57"/>
  <c r="R1927" i="57"/>
  <c r="T1927" i="57"/>
  <c r="U1927" i="57"/>
  <c r="V1927" i="57"/>
  <c r="P1928" i="57"/>
  <c r="R1928" i="57"/>
  <c r="T1928" i="57"/>
  <c r="U1928" i="57"/>
  <c r="V1928" i="57"/>
  <c r="P1929" i="57"/>
  <c r="R1929" i="57"/>
  <c r="T1929" i="57"/>
  <c r="U1929" i="57"/>
  <c r="V1929" i="57"/>
  <c r="P1930" i="57"/>
  <c r="R1930" i="57"/>
  <c r="T1930" i="57"/>
  <c r="U1930" i="57"/>
  <c r="V1930" i="57"/>
  <c r="P1931" i="57"/>
  <c r="R1931" i="57"/>
  <c r="T1931" i="57"/>
  <c r="U1931" i="57"/>
  <c r="V1931" i="57"/>
  <c r="P1932" i="57"/>
  <c r="R1932" i="57"/>
  <c r="T1932" i="57"/>
  <c r="U1932" i="57"/>
  <c r="V1932" i="57"/>
  <c r="P1933" i="57"/>
  <c r="R1933" i="57"/>
  <c r="T1933" i="57"/>
  <c r="U1933" i="57"/>
  <c r="V1933" i="57"/>
  <c r="P1934" i="57"/>
  <c r="R1934" i="57"/>
  <c r="T1934" i="57"/>
  <c r="U1934" i="57"/>
  <c r="V1934" i="57"/>
  <c r="M1935" i="57"/>
  <c r="N1935" i="57"/>
  <c r="O1935" i="57"/>
  <c r="P1935" i="57"/>
  <c r="Q1935" i="57"/>
  <c r="R1935" i="57"/>
  <c r="S1935" i="57"/>
  <c r="T1935" i="57"/>
  <c r="U1935" i="57"/>
  <c r="V1935" i="57"/>
  <c r="M1936" i="57"/>
  <c r="N1936" i="57"/>
  <c r="O1936" i="57"/>
  <c r="P1936" i="57"/>
  <c r="Q1936" i="57"/>
  <c r="R1936" i="57"/>
  <c r="S1936" i="57"/>
  <c r="T1936" i="57"/>
  <c r="U1936" i="57"/>
  <c r="V1936" i="57"/>
  <c r="P1937" i="57"/>
  <c r="R1937" i="57"/>
  <c r="T1937" i="57"/>
  <c r="U1937" i="57"/>
  <c r="V1937" i="57"/>
  <c r="P1938" i="57"/>
  <c r="R1938" i="57"/>
  <c r="T1938" i="57"/>
  <c r="U1938" i="57"/>
  <c r="V1938" i="57"/>
  <c r="P1939" i="57"/>
  <c r="R1939" i="57"/>
  <c r="T1939" i="57"/>
  <c r="U1939" i="57"/>
  <c r="V1939" i="57"/>
  <c r="P1940" i="57"/>
  <c r="R1940" i="57"/>
  <c r="T1940" i="57"/>
  <c r="U1940" i="57"/>
  <c r="V1940" i="57"/>
  <c r="P1941" i="57"/>
  <c r="R1941" i="57"/>
  <c r="T1941" i="57"/>
  <c r="U1941" i="57"/>
  <c r="V1941" i="57"/>
  <c r="P1942" i="57"/>
  <c r="R1942" i="57"/>
  <c r="T1942" i="57"/>
  <c r="U1942" i="57"/>
  <c r="V1942" i="57"/>
  <c r="P1943" i="57"/>
  <c r="R1943" i="57"/>
  <c r="T1943" i="57"/>
  <c r="U1943" i="57"/>
  <c r="V1943" i="57"/>
  <c r="P1944" i="57"/>
  <c r="R1944" i="57"/>
  <c r="T1944" i="57"/>
  <c r="U1944" i="57"/>
  <c r="V1944" i="57"/>
  <c r="P1945" i="57"/>
  <c r="R1945" i="57"/>
  <c r="T1945" i="57"/>
  <c r="U1945" i="57"/>
  <c r="V1945" i="57"/>
  <c r="P1946" i="57"/>
  <c r="R1946" i="57"/>
  <c r="T1946" i="57"/>
  <c r="U1946" i="57"/>
  <c r="V1946" i="57"/>
  <c r="P1947" i="57"/>
  <c r="R1947" i="57"/>
  <c r="T1947" i="57"/>
  <c r="U1947" i="57"/>
  <c r="V1947" i="57"/>
  <c r="P1948" i="57"/>
  <c r="R1948" i="57"/>
  <c r="T1948" i="57"/>
  <c r="U1948" i="57"/>
  <c r="V1948" i="57"/>
  <c r="P1949" i="57"/>
  <c r="R1949" i="57"/>
  <c r="T1949" i="57"/>
  <c r="U1949" i="57"/>
  <c r="V1949" i="57"/>
  <c r="P1950" i="57"/>
  <c r="R1950" i="57"/>
  <c r="T1950" i="57"/>
  <c r="U1950" i="57"/>
  <c r="V1950" i="57"/>
  <c r="P1951" i="57"/>
  <c r="R1951" i="57"/>
  <c r="T1951" i="57"/>
  <c r="U1951" i="57"/>
  <c r="V1951" i="57"/>
  <c r="P1952" i="57"/>
  <c r="R1952" i="57"/>
  <c r="T1952" i="57"/>
  <c r="U1952" i="57"/>
  <c r="V1952" i="57"/>
  <c r="P1953" i="57"/>
  <c r="R1953" i="57"/>
  <c r="T1953" i="57"/>
  <c r="U1953" i="57"/>
  <c r="V1953" i="57"/>
  <c r="P1954" i="57"/>
  <c r="R1954" i="57"/>
  <c r="T1954" i="57"/>
  <c r="U1954" i="57"/>
  <c r="V1954" i="57"/>
  <c r="P1955" i="57"/>
  <c r="R1955" i="57"/>
  <c r="T1955" i="57"/>
  <c r="U1955" i="57"/>
  <c r="V1955" i="57"/>
  <c r="P1956" i="57"/>
  <c r="R1956" i="57"/>
  <c r="T1956" i="57"/>
  <c r="U1956" i="57"/>
  <c r="V1956" i="57"/>
  <c r="P1957" i="57"/>
  <c r="R1957" i="57"/>
  <c r="T1957" i="57"/>
  <c r="U1957" i="57"/>
  <c r="V1957" i="57"/>
  <c r="P1958" i="57"/>
  <c r="R1958" i="57"/>
  <c r="T1958" i="57"/>
  <c r="U1958" i="57"/>
  <c r="V1958" i="57"/>
  <c r="P1959" i="57"/>
  <c r="R1959" i="57"/>
  <c r="T1959" i="57"/>
  <c r="U1959" i="57"/>
  <c r="V1959" i="57"/>
  <c r="P1960" i="57"/>
  <c r="R1960" i="57"/>
  <c r="T1960" i="57"/>
  <c r="U1960" i="57"/>
  <c r="V1960" i="57"/>
  <c r="P1961" i="57"/>
  <c r="R1961" i="57"/>
  <c r="T1961" i="57"/>
  <c r="U1961" i="57"/>
  <c r="V1961" i="57"/>
  <c r="P1962" i="57"/>
  <c r="R1962" i="57"/>
  <c r="T1962" i="57"/>
  <c r="U1962" i="57"/>
  <c r="V1962" i="57"/>
  <c r="P1963" i="57"/>
  <c r="R1963" i="57"/>
  <c r="T1963" i="57"/>
  <c r="U1963" i="57"/>
  <c r="V1963" i="57"/>
  <c r="P1964" i="57"/>
  <c r="R1964" i="57"/>
  <c r="T1964" i="57"/>
  <c r="U1964" i="57"/>
  <c r="V1964" i="57"/>
  <c r="P1965" i="57"/>
  <c r="R1965" i="57"/>
  <c r="T1965" i="57"/>
  <c r="U1965" i="57"/>
  <c r="V1965" i="57"/>
  <c r="P1966" i="57"/>
  <c r="R1966" i="57"/>
  <c r="T1966" i="57"/>
  <c r="U1966" i="57"/>
  <c r="V1966" i="57"/>
  <c r="P1967" i="57"/>
  <c r="R1967" i="57"/>
  <c r="T1967" i="57"/>
  <c r="U1967" i="57"/>
  <c r="V1967" i="57"/>
  <c r="P1968" i="57"/>
  <c r="R1968" i="57"/>
  <c r="T1968" i="57"/>
  <c r="U1968" i="57"/>
  <c r="V1968" i="57"/>
  <c r="P1969" i="57"/>
  <c r="R1969" i="57"/>
  <c r="T1969" i="57"/>
  <c r="U1969" i="57"/>
  <c r="V1969" i="57"/>
  <c r="P1970" i="57"/>
  <c r="R1970" i="57"/>
  <c r="T1970" i="57"/>
  <c r="U1970" i="57"/>
  <c r="V1970" i="57"/>
  <c r="P1971" i="57"/>
  <c r="R1971" i="57"/>
  <c r="T1971" i="57"/>
  <c r="U1971" i="57"/>
  <c r="V1971" i="57"/>
  <c r="P1972" i="57"/>
  <c r="R1972" i="57"/>
  <c r="T1972" i="57"/>
  <c r="U1972" i="57"/>
  <c r="V1972" i="57"/>
  <c r="P1973" i="57"/>
  <c r="R1973" i="57"/>
  <c r="T1973" i="57"/>
  <c r="U1973" i="57"/>
  <c r="V1973" i="57"/>
  <c r="P1974" i="57"/>
  <c r="R1974" i="57"/>
  <c r="T1974" i="57"/>
  <c r="U1974" i="57"/>
  <c r="V1974" i="57"/>
  <c r="P1975" i="57"/>
  <c r="R1975" i="57"/>
  <c r="T1975" i="57"/>
  <c r="U1975" i="57"/>
  <c r="V1975" i="57"/>
  <c r="P1976" i="57"/>
  <c r="R1976" i="57"/>
  <c r="T1976" i="57"/>
  <c r="U1976" i="57"/>
  <c r="V1976" i="57"/>
  <c r="P1977" i="57"/>
  <c r="R1977" i="57"/>
  <c r="T1977" i="57"/>
  <c r="U1977" i="57"/>
  <c r="V1977" i="57"/>
  <c r="P1978" i="57"/>
  <c r="R1978" i="57"/>
  <c r="T1978" i="57"/>
  <c r="U1978" i="57"/>
  <c r="V1978" i="57"/>
  <c r="P1979" i="57"/>
  <c r="R1979" i="57"/>
  <c r="T1979" i="57"/>
  <c r="U1979" i="57"/>
  <c r="V1979" i="57"/>
  <c r="P1980" i="57"/>
  <c r="R1980" i="57"/>
  <c r="T1980" i="57"/>
  <c r="U1980" i="57"/>
  <c r="V1980" i="57"/>
  <c r="P1981" i="57"/>
  <c r="R1981" i="57"/>
  <c r="T1981" i="57"/>
  <c r="U1981" i="57"/>
  <c r="V1981" i="57"/>
  <c r="P1982" i="57"/>
  <c r="R1982" i="57"/>
  <c r="T1982" i="57"/>
  <c r="U1982" i="57"/>
  <c r="V1982" i="57"/>
  <c r="P1983" i="57"/>
  <c r="R1983" i="57"/>
  <c r="T1983" i="57"/>
  <c r="U1983" i="57"/>
  <c r="V1983" i="57"/>
  <c r="P1984" i="57"/>
  <c r="R1984" i="57"/>
  <c r="T1984" i="57"/>
  <c r="U1984" i="57"/>
  <c r="V1984" i="57"/>
  <c r="P1985" i="57"/>
  <c r="R1985" i="57"/>
  <c r="T1985" i="57"/>
  <c r="U1985" i="57"/>
  <c r="V1985" i="57"/>
  <c r="P1986" i="57"/>
  <c r="R1986" i="57"/>
  <c r="T1986" i="57"/>
  <c r="U1986" i="57"/>
  <c r="V1986" i="57"/>
  <c r="M1987" i="57"/>
  <c r="N1987" i="57"/>
  <c r="O1987" i="57"/>
  <c r="P1987" i="57"/>
  <c r="Q1987" i="57"/>
  <c r="R1987" i="57"/>
  <c r="S1987" i="57"/>
  <c r="T1987" i="57"/>
  <c r="U1987" i="57"/>
  <c r="V1987" i="57"/>
  <c r="M1988" i="57"/>
  <c r="N1988" i="57"/>
  <c r="O1988" i="57"/>
  <c r="P1988" i="57"/>
  <c r="Q1988" i="57"/>
  <c r="R1988" i="57"/>
  <c r="S1988" i="57"/>
  <c r="T1988" i="57"/>
  <c r="U1988" i="57"/>
  <c r="V1988" i="57"/>
  <c r="P1989" i="57"/>
  <c r="R1989" i="57"/>
  <c r="T1989" i="57"/>
  <c r="U1989" i="57"/>
  <c r="V1989" i="57"/>
  <c r="P1990" i="57"/>
  <c r="R1990" i="57"/>
  <c r="T1990" i="57"/>
  <c r="U1990" i="57"/>
  <c r="V1990" i="57"/>
  <c r="P1991" i="57"/>
  <c r="R1991" i="57"/>
  <c r="T1991" i="57"/>
  <c r="U1991" i="57"/>
  <c r="V1991" i="57"/>
  <c r="P1992" i="57"/>
  <c r="R1992" i="57"/>
  <c r="T1992" i="57"/>
  <c r="U1992" i="57"/>
  <c r="V1992" i="57"/>
  <c r="P1993" i="57"/>
  <c r="R1993" i="57"/>
  <c r="T1993" i="57"/>
  <c r="U1993" i="57"/>
  <c r="V1993" i="57"/>
  <c r="P1994" i="57"/>
  <c r="R1994" i="57"/>
  <c r="T1994" i="57"/>
  <c r="U1994" i="57"/>
  <c r="V1994" i="57"/>
  <c r="P1995" i="57"/>
  <c r="R1995" i="57"/>
  <c r="T1995" i="57"/>
  <c r="U1995" i="57"/>
  <c r="V1995" i="57"/>
  <c r="P1996" i="57"/>
  <c r="R1996" i="57"/>
  <c r="T1996" i="57"/>
  <c r="U1996" i="57"/>
  <c r="V1996" i="57"/>
  <c r="P1997" i="57"/>
  <c r="R1997" i="57"/>
  <c r="T1997" i="57"/>
  <c r="U1997" i="57"/>
  <c r="V1997" i="57"/>
  <c r="P1998" i="57"/>
  <c r="R1998" i="57"/>
  <c r="T1998" i="57"/>
  <c r="U1998" i="57"/>
  <c r="V1998" i="57"/>
  <c r="P1999" i="57"/>
  <c r="R1999" i="57"/>
  <c r="T1999" i="57"/>
  <c r="U1999" i="57"/>
  <c r="V1999" i="57"/>
  <c r="P2000" i="57"/>
  <c r="R2000" i="57"/>
  <c r="T2000" i="57"/>
  <c r="U2000" i="57"/>
  <c r="V2000" i="57"/>
  <c r="P2001" i="57"/>
  <c r="R2001" i="57"/>
  <c r="T2001" i="57"/>
  <c r="U2001" i="57"/>
  <c r="V2001" i="57"/>
  <c r="P2002" i="57"/>
  <c r="R2002" i="57"/>
  <c r="T2002" i="57"/>
  <c r="U2002" i="57"/>
  <c r="V2002" i="57"/>
  <c r="P2003" i="57"/>
  <c r="R2003" i="57"/>
  <c r="T2003" i="57"/>
  <c r="U2003" i="57"/>
  <c r="V2003" i="57"/>
  <c r="P2004" i="57"/>
  <c r="R2004" i="57"/>
  <c r="T2004" i="57"/>
  <c r="U2004" i="57"/>
  <c r="V2004" i="57"/>
  <c r="P2005" i="57"/>
  <c r="R2005" i="57"/>
  <c r="T2005" i="57"/>
  <c r="U2005" i="57"/>
  <c r="V2005" i="57"/>
  <c r="P2006" i="57"/>
  <c r="R2006" i="57"/>
  <c r="T2006" i="57"/>
  <c r="U2006" i="57"/>
  <c r="V2006" i="57"/>
  <c r="P2007" i="57"/>
  <c r="R2007" i="57"/>
  <c r="T2007" i="57"/>
  <c r="U2007" i="57"/>
  <c r="V2007" i="57"/>
  <c r="P2008" i="57"/>
  <c r="R2008" i="57"/>
  <c r="T2008" i="57"/>
  <c r="U2008" i="57"/>
  <c r="V2008" i="57"/>
  <c r="P2009" i="57"/>
  <c r="R2009" i="57"/>
  <c r="T2009" i="57"/>
  <c r="U2009" i="57"/>
  <c r="V2009" i="57"/>
  <c r="P2010" i="57"/>
  <c r="R2010" i="57"/>
  <c r="T2010" i="57"/>
  <c r="U2010" i="57"/>
  <c r="V2010" i="57"/>
  <c r="P2011" i="57"/>
  <c r="R2011" i="57"/>
  <c r="T2011" i="57"/>
  <c r="U2011" i="57"/>
  <c r="V2011" i="57"/>
  <c r="P2012" i="57"/>
  <c r="R2012" i="57"/>
  <c r="T2012" i="57"/>
  <c r="U2012" i="57"/>
  <c r="V2012" i="57"/>
  <c r="P2013" i="57"/>
  <c r="R2013" i="57"/>
  <c r="T2013" i="57"/>
  <c r="U2013" i="57"/>
  <c r="V2013" i="57"/>
  <c r="P2014" i="57"/>
  <c r="R2014" i="57"/>
  <c r="T2014" i="57"/>
  <c r="U2014" i="57"/>
  <c r="V2014" i="57"/>
  <c r="P2015" i="57"/>
  <c r="R2015" i="57"/>
  <c r="T2015" i="57"/>
  <c r="U2015" i="57"/>
  <c r="V2015" i="57"/>
  <c r="P2016" i="57"/>
  <c r="R2016" i="57"/>
  <c r="T2016" i="57"/>
  <c r="U2016" i="57"/>
  <c r="V2016" i="57"/>
  <c r="P2017" i="57"/>
  <c r="R2017" i="57"/>
  <c r="T2017" i="57"/>
  <c r="U2017" i="57"/>
  <c r="V2017" i="57"/>
  <c r="P2018" i="57"/>
  <c r="R2018" i="57"/>
  <c r="T2018" i="57"/>
  <c r="U2018" i="57"/>
  <c r="V2018" i="57"/>
  <c r="P2019" i="57"/>
  <c r="R2019" i="57"/>
  <c r="T2019" i="57"/>
  <c r="U2019" i="57"/>
  <c r="V2019" i="57"/>
  <c r="P2020" i="57"/>
  <c r="R2020" i="57"/>
  <c r="T2020" i="57"/>
  <c r="U2020" i="57"/>
  <c r="V2020" i="57"/>
  <c r="P2021" i="57"/>
  <c r="R2021" i="57"/>
  <c r="T2021" i="57"/>
  <c r="U2021" i="57"/>
  <c r="V2021" i="57"/>
  <c r="P2022" i="57"/>
  <c r="R2022" i="57"/>
  <c r="T2022" i="57"/>
  <c r="U2022" i="57"/>
  <c r="V2022" i="57"/>
  <c r="P2023" i="57"/>
  <c r="R2023" i="57"/>
  <c r="T2023" i="57"/>
  <c r="U2023" i="57"/>
  <c r="V2023" i="57"/>
  <c r="P2024" i="57"/>
  <c r="R2024" i="57"/>
  <c r="T2024" i="57"/>
  <c r="U2024" i="57"/>
  <c r="V2024" i="57"/>
  <c r="P2025" i="57"/>
  <c r="R2025" i="57"/>
  <c r="T2025" i="57"/>
  <c r="U2025" i="57"/>
  <c r="V2025" i="57"/>
  <c r="P2026" i="57"/>
  <c r="R2026" i="57"/>
  <c r="T2026" i="57"/>
  <c r="U2026" i="57"/>
  <c r="V2026" i="57"/>
  <c r="P2027" i="57"/>
  <c r="R2027" i="57"/>
  <c r="T2027" i="57"/>
  <c r="U2027" i="57"/>
  <c r="V2027" i="57"/>
  <c r="P2028" i="57"/>
  <c r="R2028" i="57"/>
  <c r="T2028" i="57"/>
  <c r="U2028" i="57"/>
  <c r="V2028" i="57"/>
  <c r="P2029" i="57"/>
  <c r="R2029" i="57"/>
  <c r="T2029" i="57"/>
  <c r="U2029" i="57"/>
  <c r="V2029" i="57"/>
  <c r="P2030" i="57"/>
  <c r="R2030" i="57"/>
  <c r="T2030" i="57"/>
  <c r="U2030" i="57"/>
  <c r="V2030" i="57"/>
  <c r="P2031" i="57"/>
  <c r="R2031" i="57"/>
  <c r="T2031" i="57"/>
  <c r="U2031" i="57"/>
  <c r="V2031" i="57"/>
  <c r="P2032" i="57"/>
  <c r="R2032" i="57"/>
  <c r="T2032" i="57"/>
  <c r="U2032" i="57"/>
  <c r="V2032" i="57"/>
  <c r="P2033" i="57"/>
  <c r="R2033" i="57"/>
  <c r="T2033" i="57"/>
  <c r="U2033" i="57"/>
  <c r="V2033" i="57"/>
  <c r="P2034" i="57"/>
  <c r="R2034" i="57"/>
  <c r="T2034" i="57"/>
  <c r="U2034" i="57"/>
  <c r="V2034" i="57"/>
  <c r="P2035" i="57"/>
  <c r="R2035" i="57"/>
  <c r="T2035" i="57"/>
  <c r="U2035" i="57"/>
  <c r="V2035" i="57"/>
  <c r="P2036" i="57"/>
  <c r="R2036" i="57"/>
  <c r="T2036" i="57"/>
  <c r="U2036" i="57"/>
  <c r="V2036" i="57"/>
  <c r="P2037" i="57"/>
  <c r="R2037" i="57"/>
  <c r="T2037" i="57"/>
  <c r="U2037" i="57"/>
  <c r="V2037" i="57"/>
  <c r="P2038" i="57"/>
  <c r="R2038" i="57"/>
  <c r="T2038" i="57"/>
  <c r="U2038" i="57"/>
  <c r="V2038" i="57"/>
  <c r="M2039" i="57"/>
  <c r="N2039" i="57"/>
  <c r="O2039" i="57"/>
  <c r="P2039" i="57"/>
  <c r="Q2039" i="57"/>
  <c r="R2039" i="57"/>
  <c r="S2039" i="57"/>
  <c r="T2039" i="57"/>
  <c r="U2039" i="57"/>
  <c r="V2039" i="57"/>
  <c r="M2040" i="57"/>
  <c r="N2040" i="57"/>
  <c r="O2040" i="57"/>
  <c r="P2040" i="57"/>
  <c r="Q2040" i="57"/>
  <c r="R2040" i="57"/>
  <c r="S2040" i="57"/>
  <c r="T2040" i="57"/>
  <c r="U2040" i="57"/>
  <c r="V2040" i="57"/>
  <c r="P2041" i="57"/>
  <c r="R2041" i="57"/>
  <c r="T2041" i="57"/>
  <c r="U2041" i="57"/>
  <c r="V2041" i="57"/>
  <c r="P2042" i="57"/>
  <c r="R2042" i="57"/>
  <c r="T2042" i="57"/>
  <c r="U2042" i="57"/>
  <c r="V2042" i="57"/>
  <c r="P2043" i="57"/>
  <c r="R2043" i="57"/>
  <c r="T2043" i="57"/>
  <c r="U2043" i="57"/>
  <c r="V2043" i="57"/>
  <c r="P2044" i="57"/>
  <c r="R2044" i="57"/>
  <c r="T2044" i="57"/>
  <c r="U2044" i="57"/>
  <c r="V2044" i="57"/>
  <c r="P2045" i="57"/>
  <c r="R2045" i="57"/>
  <c r="T2045" i="57"/>
  <c r="U2045" i="57"/>
  <c r="V2045" i="57"/>
  <c r="P2046" i="57"/>
  <c r="R2046" i="57"/>
  <c r="T2046" i="57"/>
  <c r="U2046" i="57"/>
  <c r="V2046" i="57"/>
  <c r="P2047" i="57"/>
  <c r="R2047" i="57"/>
  <c r="T2047" i="57"/>
  <c r="U2047" i="57"/>
  <c r="V2047" i="57"/>
  <c r="P2048" i="57"/>
  <c r="R2048" i="57"/>
  <c r="T2048" i="57"/>
  <c r="U2048" i="57"/>
  <c r="V2048" i="57"/>
  <c r="P2049" i="57"/>
  <c r="R2049" i="57"/>
  <c r="T2049" i="57"/>
  <c r="U2049" i="57"/>
  <c r="V2049" i="57"/>
  <c r="P2050" i="57"/>
  <c r="R2050" i="57"/>
  <c r="T2050" i="57"/>
  <c r="U2050" i="57"/>
  <c r="V2050" i="57"/>
  <c r="P2051" i="57"/>
  <c r="R2051" i="57"/>
  <c r="T2051" i="57"/>
  <c r="U2051" i="57"/>
  <c r="V2051" i="57"/>
  <c r="P2052" i="57"/>
  <c r="R2052" i="57"/>
  <c r="T2052" i="57"/>
  <c r="U2052" i="57"/>
  <c r="V2052" i="57"/>
  <c r="P2053" i="57"/>
  <c r="R2053" i="57"/>
  <c r="T2053" i="57"/>
  <c r="U2053" i="57"/>
  <c r="V2053" i="57"/>
  <c r="P2054" i="57"/>
  <c r="R2054" i="57"/>
  <c r="T2054" i="57"/>
  <c r="U2054" i="57"/>
  <c r="V2054" i="57"/>
  <c r="P2055" i="57"/>
  <c r="R2055" i="57"/>
  <c r="T2055" i="57"/>
  <c r="U2055" i="57"/>
  <c r="V2055" i="57"/>
  <c r="P2056" i="57"/>
  <c r="R2056" i="57"/>
  <c r="T2056" i="57"/>
  <c r="U2056" i="57"/>
  <c r="V2056" i="57"/>
  <c r="P2057" i="57"/>
  <c r="R2057" i="57"/>
  <c r="T2057" i="57"/>
  <c r="U2057" i="57"/>
  <c r="V2057" i="57"/>
  <c r="P2058" i="57"/>
  <c r="R2058" i="57"/>
  <c r="T2058" i="57"/>
  <c r="U2058" i="57"/>
  <c r="V2058" i="57"/>
  <c r="P2059" i="57"/>
  <c r="R2059" i="57"/>
  <c r="T2059" i="57"/>
  <c r="U2059" i="57"/>
  <c r="V2059" i="57"/>
  <c r="P2060" i="57"/>
  <c r="R2060" i="57"/>
  <c r="T2060" i="57"/>
  <c r="U2060" i="57"/>
  <c r="V2060" i="57"/>
  <c r="P2061" i="57"/>
  <c r="R2061" i="57"/>
  <c r="T2061" i="57"/>
  <c r="U2061" i="57"/>
  <c r="V2061" i="57"/>
  <c r="P2062" i="57"/>
  <c r="R2062" i="57"/>
  <c r="T2062" i="57"/>
  <c r="U2062" i="57"/>
  <c r="V2062" i="57"/>
  <c r="P2063" i="57"/>
  <c r="R2063" i="57"/>
  <c r="T2063" i="57"/>
  <c r="U2063" i="57"/>
  <c r="V2063" i="57"/>
  <c r="P2064" i="57"/>
  <c r="R2064" i="57"/>
  <c r="T2064" i="57"/>
  <c r="U2064" i="57"/>
  <c r="V2064" i="57"/>
  <c r="P2065" i="57"/>
  <c r="R2065" i="57"/>
  <c r="T2065" i="57"/>
  <c r="U2065" i="57"/>
  <c r="V2065" i="57"/>
  <c r="P2066" i="57"/>
  <c r="R2066" i="57"/>
  <c r="T2066" i="57"/>
  <c r="U2066" i="57"/>
  <c r="V2066" i="57"/>
  <c r="P2067" i="57"/>
  <c r="R2067" i="57"/>
  <c r="T2067" i="57"/>
  <c r="U2067" i="57"/>
  <c r="V2067" i="57"/>
  <c r="P2068" i="57"/>
  <c r="R2068" i="57"/>
  <c r="T2068" i="57"/>
  <c r="U2068" i="57"/>
  <c r="V2068" i="57"/>
  <c r="P2069" i="57"/>
  <c r="R2069" i="57"/>
  <c r="T2069" i="57"/>
  <c r="U2069" i="57"/>
  <c r="V2069" i="57"/>
  <c r="P2070" i="57"/>
  <c r="R2070" i="57"/>
  <c r="T2070" i="57"/>
  <c r="U2070" i="57"/>
  <c r="V2070" i="57"/>
  <c r="P2071" i="57"/>
  <c r="R2071" i="57"/>
  <c r="T2071" i="57"/>
  <c r="U2071" i="57"/>
  <c r="V2071" i="57"/>
  <c r="P2072" i="57"/>
  <c r="R2072" i="57"/>
  <c r="T2072" i="57"/>
  <c r="U2072" i="57"/>
  <c r="V2072" i="57"/>
  <c r="P2073" i="57"/>
  <c r="R2073" i="57"/>
  <c r="T2073" i="57"/>
  <c r="U2073" i="57"/>
  <c r="V2073" i="57"/>
  <c r="P2074" i="57"/>
  <c r="R2074" i="57"/>
  <c r="T2074" i="57"/>
  <c r="U2074" i="57"/>
  <c r="V2074" i="57"/>
  <c r="P2075" i="57"/>
  <c r="R2075" i="57"/>
  <c r="T2075" i="57"/>
  <c r="U2075" i="57"/>
  <c r="V2075" i="57"/>
  <c r="P2076" i="57"/>
  <c r="R2076" i="57"/>
  <c r="T2076" i="57"/>
  <c r="U2076" i="57"/>
  <c r="V2076" i="57"/>
  <c r="P2077" i="57"/>
  <c r="R2077" i="57"/>
  <c r="T2077" i="57"/>
  <c r="U2077" i="57"/>
  <c r="V2077" i="57"/>
  <c r="P2078" i="57"/>
  <c r="R2078" i="57"/>
  <c r="T2078" i="57"/>
  <c r="U2078" i="57"/>
  <c r="V2078" i="57"/>
  <c r="P2079" i="57"/>
  <c r="R2079" i="57"/>
  <c r="T2079" i="57"/>
  <c r="U2079" i="57"/>
  <c r="V2079" i="57"/>
  <c r="P2080" i="57"/>
  <c r="R2080" i="57"/>
  <c r="T2080" i="57"/>
  <c r="U2080" i="57"/>
  <c r="V2080" i="57"/>
  <c r="P2081" i="57"/>
  <c r="R2081" i="57"/>
  <c r="T2081" i="57"/>
  <c r="U2081" i="57"/>
  <c r="V2081" i="57"/>
  <c r="P2082" i="57"/>
  <c r="R2082" i="57"/>
  <c r="T2082" i="57"/>
  <c r="U2082" i="57"/>
  <c r="V2082" i="57"/>
  <c r="P2083" i="57"/>
  <c r="R2083" i="57"/>
  <c r="T2083" i="57"/>
  <c r="U2083" i="57"/>
  <c r="V2083" i="57"/>
  <c r="P2084" i="57"/>
  <c r="R2084" i="57"/>
  <c r="T2084" i="57"/>
  <c r="U2084" i="57"/>
  <c r="V2084" i="57"/>
  <c r="P2085" i="57"/>
  <c r="R2085" i="57"/>
  <c r="T2085" i="57"/>
  <c r="U2085" i="57"/>
  <c r="V2085" i="57"/>
  <c r="P2086" i="57"/>
  <c r="R2086" i="57"/>
  <c r="T2086" i="57"/>
  <c r="U2086" i="57"/>
  <c r="V2086" i="57"/>
  <c r="P2087" i="57"/>
  <c r="R2087" i="57"/>
  <c r="T2087" i="57"/>
  <c r="U2087" i="57"/>
  <c r="V2087" i="57"/>
  <c r="P2088" i="57"/>
  <c r="R2088" i="57"/>
  <c r="T2088" i="57"/>
  <c r="U2088" i="57"/>
  <c r="V2088" i="57"/>
  <c r="P2089" i="57"/>
  <c r="R2089" i="57"/>
  <c r="T2089" i="57"/>
  <c r="U2089" i="57"/>
  <c r="V2089" i="57"/>
  <c r="P2090" i="57"/>
  <c r="R2090" i="57"/>
  <c r="T2090" i="57"/>
  <c r="U2090" i="57"/>
  <c r="V2090" i="57"/>
  <c r="M2091" i="57"/>
  <c r="N2091" i="57"/>
  <c r="O2091" i="57"/>
  <c r="P2091" i="57"/>
  <c r="Q2091" i="57"/>
  <c r="R2091" i="57"/>
  <c r="S2091" i="57"/>
  <c r="T2091" i="57"/>
  <c r="U2091" i="57"/>
  <c r="V2091" i="57"/>
  <c r="M2092" i="57"/>
  <c r="N2092" i="57"/>
  <c r="O2092" i="57"/>
  <c r="P2092" i="57"/>
  <c r="Q2092" i="57"/>
  <c r="R2092" i="57"/>
  <c r="S2092" i="57"/>
  <c r="T2092" i="57"/>
  <c r="U2092" i="57"/>
  <c r="V2092" i="57"/>
  <c r="P2093" i="57"/>
  <c r="R2093" i="57"/>
  <c r="T2093" i="57"/>
  <c r="U2093" i="57"/>
  <c r="V2093" i="57"/>
  <c r="P2094" i="57"/>
  <c r="R2094" i="57"/>
  <c r="T2094" i="57"/>
  <c r="U2094" i="57"/>
  <c r="V2094" i="57"/>
  <c r="P2095" i="57"/>
  <c r="R2095" i="57"/>
  <c r="T2095" i="57"/>
  <c r="U2095" i="57"/>
  <c r="V2095" i="57"/>
  <c r="P2096" i="57"/>
  <c r="R2096" i="57"/>
  <c r="T2096" i="57"/>
  <c r="U2096" i="57"/>
  <c r="V2096" i="57"/>
  <c r="P2097" i="57"/>
  <c r="R2097" i="57"/>
  <c r="T2097" i="57"/>
  <c r="U2097" i="57"/>
  <c r="V2097" i="57"/>
  <c r="P2098" i="57"/>
  <c r="R2098" i="57"/>
  <c r="T2098" i="57"/>
  <c r="U2098" i="57"/>
  <c r="V2098" i="57"/>
  <c r="P2099" i="57"/>
  <c r="R2099" i="57"/>
  <c r="T2099" i="57"/>
  <c r="U2099" i="57"/>
  <c r="V2099" i="57"/>
  <c r="P2100" i="57"/>
  <c r="R2100" i="57"/>
  <c r="T2100" i="57"/>
  <c r="U2100" i="57"/>
  <c r="V2100" i="57"/>
  <c r="P2101" i="57"/>
  <c r="R2101" i="57"/>
  <c r="T2101" i="57"/>
  <c r="U2101" i="57"/>
  <c r="V2101" i="57"/>
  <c r="P2102" i="57"/>
  <c r="R2102" i="57"/>
  <c r="T2102" i="57"/>
  <c r="U2102" i="57"/>
  <c r="V2102" i="57"/>
  <c r="P2103" i="57"/>
  <c r="R2103" i="57"/>
  <c r="T2103" i="57"/>
  <c r="U2103" i="57"/>
  <c r="V2103" i="57"/>
  <c r="P2104" i="57"/>
  <c r="R2104" i="57"/>
  <c r="T2104" i="57"/>
  <c r="U2104" i="57"/>
  <c r="V2104" i="57"/>
  <c r="P2105" i="57"/>
  <c r="R2105" i="57"/>
  <c r="T2105" i="57"/>
  <c r="U2105" i="57"/>
  <c r="V2105" i="57"/>
  <c r="P2106" i="57"/>
  <c r="R2106" i="57"/>
  <c r="T2106" i="57"/>
  <c r="U2106" i="57"/>
  <c r="V2106" i="57"/>
  <c r="P2107" i="57"/>
  <c r="R2107" i="57"/>
  <c r="T2107" i="57"/>
  <c r="U2107" i="57"/>
  <c r="V2107" i="57"/>
  <c r="P2108" i="57"/>
  <c r="R2108" i="57"/>
  <c r="T2108" i="57"/>
  <c r="U2108" i="57"/>
  <c r="V2108" i="57"/>
  <c r="P2109" i="57"/>
  <c r="R2109" i="57"/>
  <c r="T2109" i="57"/>
  <c r="U2109" i="57"/>
  <c r="V2109" i="57"/>
  <c r="P2110" i="57"/>
  <c r="R2110" i="57"/>
  <c r="T2110" i="57"/>
  <c r="U2110" i="57"/>
  <c r="V2110" i="57"/>
  <c r="P2111" i="57"/>
  <c r="R2111" i="57"/>
  <c r="T2111" i="57"/>
  <c r="U2111" i="57"/>
  <c r="V2111" i="57"/>
  <c r="P2112" i="57"/>
  <c r="R2112" i="57"/>
  <c r="T2112" i="57"/>
  <c r="U2112" i="57"/>
  <c r="V2112" i="57"/>
  <c r="P2113" i="57"/>
  <c r="R2113" i="57"/>
  <c r="T2113" i="57"/>
  <c r="U2113" i="57"/>
  <c r="V2113" i="57"/>
  <c r="P2114" i="57"/>
  <c r="R2114" i="57"/>
  <c r="T2114" i="57"/>
  <c r="U2114" i="57"/>
  <c r="V2114" i="57"/>
  <c r="P2115" i="57"/>
  <c r="R2115" i="57"/>
  <c r="T2115" i="57"/>
  <c r="U2115" i="57"/>
  <c r="V2115" i="57"/>
  <c r="P2116" i="57"/>
  <c r="R2116" i="57"/>
  <c r="T2116" i="57"/>
  <c r="U2116" i="57"/>
  <c r="V2116" i="57"/>
  <c r="P2117" i="57"/>
  <c r="R2117" i="57"/>
  <c r="T2117" i="57"/>
  <c r="U2117" i="57"/>
  <c r="V2117" i="57"/>
  <c r="P2118" i="57"/>
  <c r="R2118" i="57"/>
  <c r="T2118" i="57"/>
  <c r="U2118" i="57"/>
  <c r="V2118" i="57"/>
  <c r="P2119" i="57"/>
  <c r="R2119" i="57"/>
  <c r="T2119" i="57"/>
  <c r="U2119" i="57"/>
  <c r="V2119" i="57"/>
  <c r="P2120" i="57"/>
  <c r="R2120" i="57"/>
  <c r="T2120" i="57"/>
  <c r="U2120" i="57"/>
  <c r="V2120" i="57"/>
  <c r="P2121" i="57"/>
  <c r="R2121" i="57"/>
  <c r="T2121" i="57"/>
  <c r="U2121" i="57"/>
  <c r="V2121" i="57"/>
  <c r="P2122" i="57"/>
  <c r="R2122" i="57"/>
  <c r="T2122" i="57"/>
  <c r="U2122" i="57"/>
  <c r="V2122" i="57"/>
  <c r="P2123" i="57"/>
  <c r="R2123" i="57"/>
  <c r="T2123" i="57"/>
  <c r="U2123" i="57"/>
  <c r="V2123" i="57"/>
  <c r="P2124" i="57"/>
  <c r="R2124" i="57"/>
  <c r="T2124" i="57"/>
  <c r="U2124" i="57"/>
  <c r="V2124" i="57"/>
  <c r="P2125" i="57"/>
  <c r="R2125" i="57"/>
  <c r="T2125" i="57"/>
  <c r="U2125" i="57"/>
  <c r="V2125" i="57"/>
  <c r="P2126" i="57"/>
  <c r="R2126" i="57"/>
  <c r="T2126" i="57"/>
  <c r="U2126" i="57"/>
  <c r="V2126" i="57"/>
  <c r="P2127" i="57"/>
  <c r="R2127" i="57"/>
  <c r="T2127" i="57"/>
  <c r="U2127" i="57"/>
  <c r="V2127" i="57"/>
  <c r="P2128" i="57"/>
  <c r="R2128" i="57"/>
  <c r="T2128" i="57"/>
  <c r="U2128" i="57"/>
  <c r="V2128" i="57"/>
  <c r="P2129" i="57"/>
  <c r="R2129" i="57"/>
  <c r="T2129" i="57"/>
  <c r="U2129" i="57"/>
  <c r="V2129" i="57"/>
  <c r="P2130" i="57"/>
  <c r="R2130" i="57"/>
  <c r="T2130" i="57"/>
  <c r="U2130" i="57"/>
  <c r="V2130" i="57"/>
  <c r="P2131" i="57"/>
  <c r="R2131" i="57"/>
  <c r="T2131" i="57"/>
  <c r="U2131" i="57"/>
  <c r="V2131" i="57"/>
  <c r="P2132" i="57"/>
  <c r="R2132" i="57"/>
  <c r="T2132" i="57"/>
  <c r="U2132" i="57"/>
  <c r="V2132" i="57"/>
  <c r="P2133" i="57"/>
  <c r="R2133" i="57"/>
  <c r="T2133" i="57"/>
  <c r="U2133" i="57"/>
  <c r="V2133" i="57"/>
  <c r="P2134" i="57"/>
  <c r="R2134" i="57"/>
  <c r="T2134" i="57"/>
  <c r="U2134" i="57"/>
  <c r="V2134" i="57"/>
  <c r="P2135" i="57"/>
  <c r="R2135" i="57"/>
  <c r="T2135" i="57"/>
  <c r="U2135" i="57"/>
  <c r="V2135" i="57"/>
  <c r="P2136" i="57"/>
  <c r="R2136" i="57"/>
  <c r="T2136" i="57"/>
  <c r="U2136" i="57"/>
  <c r="V2136" i="57"/>
  <c r="P2137" i="57"/>
  <c r="R2137" i="57"/>
  <c r="T2137" i="57"/>
  <c r="U2137" i="57"/>
  <c r="V2137" i="57"/>
  <c r="P2138" i="57"/>
  <c r="R2138" i="57"/>
  <c r="T2138" i="57"/>
  <c r="U2138" i="57"/>
  <c r="V2138" i="57"/>
  <c r="P2139" i="57"/>
  <c r="R2139" i="57"/>
  <c r="T2139" i="57"/>
  <c r="U2139" i="57"/>
  <c r="V2139" i="57"/>
  <c r="P2140" i="57"/>
  <c r="R2140" i="57"/>
  <c r="T2140" i="57"/>
  <c r="U2140" i="57"/>
  <c r="V2140" i="57"/>
  <c r="P2141" i="57"/>
  <c r="R2141" i="57"/>
  <c r="T2141" i="57"/>
  <c r="U2141" i="57"/>
  <c r="V2141" i="57"/>
  <c r="P2142" i="57"/>
  <c r="R2142" i="57"/>
  <c r="T2142" i="57"/>
  <c r="U2142" i="57"/>
  <c r="V2142" i="57"/>
  <c r="M2143" i="57"/>
  <c r="N2143" i="57"/>
  <c r="O2143" i="57"/>
  <c r="P2143" i="57"/>
  <c r="Q2143" i="57"/>
  <c r="R2143" i="57"/>
  <c r="S2143" i="57"/>
  <c r="T2143" i="57"/>
  <c r="U2143" i="57"/>
  <c r="V2143" i="57"/>
  <c r="M2144" i="57"/>
  <c r="N2144" i="57"/>
  <c r="O2144" i="57"/>
  <c r="P2144" i="57"/>
  <c r="Q2144" i="57"/>
  <c r="R2144" i="57"/>
  <c r="S2144" i="57"/>
  <c r="T2144" i="57"/>
  <c r="U2144" i="57"/>
  <c r="V2144" i="57"/>
  <c r="P2145" i="57"/>
  <c r="R2145" i="57"/>
  <c r="T2145" i="57"/>
  <c r="U2145" i="57"/>
  <c r="V2145" i="57"/>
  <c r="P2146" i="57"/>
  <c r="R2146" i="57"/>
  <c r="T2146" i="57"/>
  <c r="U2146" i="57"/>
  <c r="V2146" i="57"/>
  <c r="P2147" i="57"/>
  <c r="R2147" i="57"/>
  <c r="T2147" i="57"/>
  <c r="U2147" i="57"/>
  <c r="V2147" i="57"/>
  <c r="P2148" i="57"/>
  <c r="R2148" i="57"/>
  <c r="T2148" i="57"/>
  <c r="U2148" i="57"/>
  <c r="V2148" i="57"/>
  <c r="P2149" i="57"/>
  <c r="R2149" i="57"/>
  <c r="T2149" i="57"/>
  <c r="U2149" i="57"/>
  <c r="V2149" i="57"/>
  <c r="P2150" i="57"/>
  <c r="R2150" i="57"/>
  <c r="T2150" i="57"/>
  <c r="U2150" i="57"/>
  <c r="V2150" i="57"/>
  <c r="P2151" i="57"/>
  <c r="R2151" i="57"/>
  <c r="T2151" i="57"/>
  <c r="U2151" i="57"/>
  <c r="V2151" i="57"/>
  <c r="P2152" i="57"/>
  <c r="R2152" i="57"/>
  <c r="T2152" i="57"/>
  <c r="U2152" i="57"/>
  <c r="V2152" i="57"/>
  <c r="P2153" i="57"/>
  <c r="R2153" i="57"/>
  <c r="T2153" i="57"/>
  <c r="U2153" i="57"/>
  <c r="V2153" i="57"/>
  <c r="P2154" i="57"/>
  <c r="R2154" i="57"/>
  <c r="T2154" i="57"/>
  <c r="U2154" i="57"/>
  <c r="V2154" i="57"/>
  <c r="P2155" i="57"/>
  <c r="R2155" i="57"/>
  <c r="T2155" i="57"/>
  <c r="U2155" i="57"/>
  <c r="V2155" i="57"/>
  <c r="P2156" i="57"/>
  <c r="R2156" i="57"/>
  <c r="T2156" i="57"/>
  <c r="U2156" i="57"/>
  <c r="V2156" i="57"/>
  <c r="P2157" i="57"/>
  <c r="R2157" i="57"/>
  <c r="T2157" i="57"/>
  <c r="U2157" i="57"/>
  <c r="V2157" i="57"/>
  <c r="P2158" i="57"/>
  <c r="R2158" i="57"/>
  <c r="T2158" i="57"/>
  <c r="U2158" i="57"/>
  <c r="V2158" i="57"/>
  <c r="P2159" i="57"/>
  <c r="R2159" i="57"/>
  <c r="T2159" i="57"/>
  <c r="U2159" i="57"/>
  <c r="V2159" i="57"/>
  <c r="P2160" i="57"/>
  <c r="R2160" i="57"/>
  <c r="T2160" i="57"/>
  <c r="U2160" i="57"/>
  <c r="V2160" i="57"/>
  <c r="P2161" i="57"/>
  <c r="R2161" i="57"/>
  <c r="T2161" i="57"/>
  <c r="U2161" i="57"/>
  <c r="V2161" i="57"/>
  <c r="P2162" i="57"/>
  <c r="R2162" i="57"/>
  <c r="T2162" i="57"/>
  <c r="U2162" i="57"/>
  <c r="V2162" i="57"/>
  <c r="P2163" i="57"/>
  <c r="R2163" i="57"/>
  <c r="T2163" i="57"/>
  <c r="U2163" i="57"/>
  <c r="V2163" i="57"/>
  <c r="P2164" i="57"/>
  <c r="R2164" i="57"/>
  <c r="T2164" i="57"/>
  <c r="U2164" i="57"/>
  <c r="V2164" i="57"/>
  <c r="P2165" i="57"/>
  <c r="R2165" i="57"/>
  <c r="T2165" i="57"/>
  <c r="U2165" i="57"/>
  <c r="V2165" i="57"/>
  <c r="P2166" i="57"/>
  <c r="R2166" i="57"/>
  <c r="T2166" i="57"/>
  <c r="U2166" i="57"/>
  <c r="V2166" i="57"/>
  <c r="P2167" i="57"/>
  <c r="R2167" i="57"/>
  <c r="T2167" i="57"/>
  <c r="U2167" i="57"/>
  <c r="V2167" i="57"/>
  <c r="P2168" i="57"/>
  <c r="R2168" i="57"/>
  <c r="T2168" i="57"/>
  <c r="U2168" i="57"/>
  <c r="V2168" i="57"/>
  <c r="P2169" i="57"/>
  <c r="R2169" i="57"/>
  <c r="T2169" i="57"/>
  <c r="U2169" i="57"/>
  <c r="V2169" i="57"/>
  <c r="P2170" i="57"/>
  <c r="R2170" i="57"/>
  <c r="T2170" i="57"/>
  <c r="U2170" i="57"/>
  <c r="V2170" i="57"/>
  <c r="P2171" i="57"/>
  <c r="R2171" i="57"/>
  <c r="T2171" i="57"/>
  <c r="U2171" i="57"/>
  <c r="V2171" i="57"/>
  <c r="P2172" i="57"/>
  <c r="R2172" i="57"/>
  <c r="T2172" i="57"/>
  <c r="U2172" i="57"/>
  <c r="V2172" i="57"/>
  <c r="P2173" i="57"/>
  <c r="R2173" i="57"/>
  <c r="T2173" i="57"/>
  <c r="U2173" i="57"/>
  <c r="V2173" i="57"/>
  <c r="P2174" i="57"/>
  <c r="R2174" i="57"/>
  <c r="T2174" i="57"/>
  <c r="U2174" i="57"/>
  <c r="V2174" i="57"/>
  <c r="P2175" i="57"/>
  <c r="R2175" i="57"/>
  <c r="T2175" i="57"/>
  <c r="U2175" i="57"/>
  <c r="V2175" i="57"/>
  <c r="P2176" i="57"/>
  <c r="R2176" i="57"/>
  <c r="T2176" i="57"/>
  <c r="U2176" i="57"/>
  <c r="V2176" i="57"/>
  <c r="P2177" i="57"/>
  <c r="R2177" i="57"/>
  <c r="T2177" i="57"/>
  <c r="U2177" i="57"/>
  <c r="V2177" i="57"/>
  <c r="P2178" i="57"/>
  <c r="R2178" i="57"/>
  <c r="T2178" i="57"/>
  <c r="U2178" i="57"/>
  <c r="V2178" i="57"/>
  <c r="P2179" i="57"/>
  <c r="R2179" i="57"/>
  <c r="T2179" i="57"/>
  <c r="U2179" i="57"/>
  <c r="V2179" i="57"/>
  <c r="P2180" i="57"/>
  <c r="R2180" i="57"/>
  <c r="T2180" i="57"/>
  <c r="U2180" i="57"/>
  <c r="V2180" i="57"/>
  <c r="P2181" i="57"/>
  <c r="R2181" i="57"/>
  <c r="T2181" i="57"/>
  <c r="U2181" i="57"/>
  <c r="V2181" i="57"/>
  <c r="P2182" i="57"/>
  <c r="R2182" i="57"/>
  <c r="T2182" i="57"/>
  <c r="U2182" i="57"/>
  <c r="V2182" i="57"/>
  <c r="P2183" i="57"/>
  <c r="R2183" i="57"/>
  <c r="T2183" i="57"/>
  <c r="U2183" i="57"/>
  <c r="V2183" i="57"/>
  <c r="P2184" i="57"/>
  <c r="R2184" i="57"/>
  <c r="T2184" i="57"/>
  <c r="U2184" i="57"/>
  <c r="V2184" i="57"/>
  <c r="P2185" i="57"/>
  <c r="R2185" i="57"/>
  <c r="T2185" i="57"/>
  <c r="U2185" i="57"/>
  <c r="V2185" i="57"/>
  <c r="P2186" i="57"/>
  <c r="R2186" i="57"/>
  <c r="T2186" i="57"/>
  <c r="U2186" i="57"/>
  <c r="V2186" i="57"/>
  <c r="P2187" i="57"/>
  <c r="R2187" i="57"/>
  <c r="T2187" i="57"/>
  <c r="U2187" i="57"/>
  <c r="V2187" i="57"/>
  <c r="P2188" i="57"/>
  <c r="R2188" i="57"/>
  <c r="T2188" i="57"/>
  <c r="U2188" i="57"/>
  <c r="V2188" i="57"/>
  <c r="P2189" i="57"/>
  <c r="R2189" i="57"/>
  <c r="T2189" i="57"/>
  <c r="U2189" i="57"/>
  <c r="V2189" i="57"/>
  <c r="P2190" i="57"/>
  <c r="R2190" i="57"/>
  <c r="T2190" i="57"/>
  <c r="U2190" i="57"/>
  <c r="V2190" i="57"/>
  <c r="P2191" i="57"/>
  <c r="R2191" i="57"/>
  <c r="T2191" i="57"/>
  <c r="U2191" i="57"/>
  <c r="V2191" i="57"/>
  <c r="P2192" i="57"/>
  <c r="R2192" i="57"/>
  <c r="T2192" i="57"/>
  <c r="U2192" i="57"/>
  <c r="V2192" i="57"/>
  <c r="P2193" i="57"/>
  <c r="R2193" i="57"/>
  <c r="T2193" i="57"/>
  <c r="U2193" i="57"/>
  <c r="V2193" i="57"/>
  <c r="P2194" i="57"/>
  <c r="R2194" i="57"/>
  <c r="T2194" i="57"/>
  <c r="U2194" i="57"/>
  <c r="V2194" i="57"/>
  <c r="M2195" i="57"/>
  <c r="N2195" i="57"/>
  <c r="O2195" i="57"/>
  <c r="P2195" i="57"/>
  <c r="Q2195" i="57"/>
  <c r="R2195" i="57"/>
  <c r="S2195" i="57"/>
  <c r="T2195" i="57"/>
  <c r="U2195" i="57"/>
  <c r="V2195" i="57"/>
  <c r="M2196" i="57"/>
  <c r="N2196" i="57"/>
  <c r="O2196" i="57"/>
  <c r="P2196" i="57"/>
  <c r="Q2196" i="57"/>
  <c r="R2196" i="57"/>
  <c r="S2196" i="57"/>
  <c r="T2196" i="57"/>
  <c r="U2196" i="57"/>
  <c r="V2196" i="57"/>
  <c r="P2197" i="57"/>
  <c r="R2197" i="57"/>
  <c r="T2197" i="57"/>
  <c r="U2197" i="57"/>
  <c r="V2197" i="57"/>
  <c r="P2198" i="57"/>
  <c r="R2198" i="57"/>
  <c r="T2198" i="57"/>
  <c r="U2198" i="57"/>
  <c r="V2198" i="57"/>
  <c r="P2199" i="57"/>
  <c r="R2199" i="57"/>
  <c r="T2199" i="57"/>
  <c r="U2199" i="57"/>
  <c r="V2199" i="57"/>
  <c r="P2200" i="57"/>
  <c r="R2200" i="57"/>
  <c r="T2200" i="57"/>
  <c r="U2200" i="57"/>
  <c r="V2200" i="57"/>
  <c r="P2201" i="57"/>
  <c r="R2201" i="57"/>
  <c r="T2201" i="57"/>
  <c r="U2201" i="57"/>
  <c r="V2201" i="57"/>
  <c r="P2202" i="57"/>
  <c r="R2202" i="57"/>
  <c r="T2202" i="57"/>
  <c r="U2202" i="57"/>
  <c r="V2202" i="57"/>
  <c r="P2203" i="57"/>
  <c r="R2203" i="57"/>
  <c r="T2203" i="57"/>
  <c r="U2203" i="57"/>
  <c r="V2203" i="57"/>
  <c r="P2204" i="57"/>
  <c r="R2204" i="57"/>
  <c r="T2204" i="57"/>
  <c r="U2204" i="57"/>
  <c r="V2204" i="57"/>
  <c r="P2205" i="57"/>
  <c r="R2205" i="57"/>
  <c r="T2205" i="57"/>
  <c r="U2205" i="57"/>
  <c r="V2205" i="57"/>
  <c r="P2206" i="57"/>
  <c r="R2206" i="57"/>
  <c r="T2206" i="57"/>
  <c r="U2206" i="57"/>
  <c r="V2206" i="57"/>
  <c r="P2207" i="57"/>
  <c r="R2207" i="57"/>
  <c r="T2207" i="57"/>
  <c r="U2207" i="57"/>
  <c r="V2207" i="57"/>
  <c r="P2208" i="57"/>
  <c r="R2208" i="57"/>
  <c r="T2208" i="57"/>
  <c r="U2208" i="57"/>
  <c r="V2208" i="57"/>
  <c r="P2209" i="57"/>
  <c r="R2209" i="57"/>
  <c r="T2209" i="57"/>
  <c r="U2209" i="57"/>
  <c r="V2209" i="57"/>
  <c r="P2210" i="57"/>
  <c r="R2210" i="57"/>
  <c r="T2210" i="57"/>
  <c r="U2210" i="57"/>
  <c r="V2210" i="57"/>
  <c r="P2211" i="57"/>
  <c r="R2211" i="57"/>
  <c r="T2211" i="57"/>
  <c r="U2211" i="57"/>
  <c r="V2211" i="57"/>
  <c r="P2212" i="57"/>
  <c r="R2212" i="57"/>
  <c r="T2212" i="57"/>
  <c r="U2212" i="57"/>
  <c r="V2212" i="57"/>
  <c r="P2213" i="57"/>
  <c r="R2213" i="57"/>
  <c r="T2213" i="57"/>
  <c r="U2213" i="57"/>
  <c r="V2213" i="57"/>
  <c r="P2214" i="57"/>
  <c r="R2214" i="57"/>
  <c r="T2214" i="57"/>
  <c r="U2214" i="57"/>
  <c r="V2214" i="57"/>
  <c r="P2215" i="57"/>
  <c r="R2215" i="57"/>
  <c r="T2215" i="57"/>
  <c r="U2215" i="57"/>
  <c r="V2215" i="57"/>
  <c r="P2216" i="57"/>
  <c r="R2216" i="57"/>
  <c r="T2216" i="57"/>
  <c r="U2216" i="57"/>
  <c r="V2216" i="57"/>
  <c r="P2217" i="57"/>
  <c r="R2217" i="57"/>
  <c r="T2217" i="57"/>
  <c r="U2217" i="57"/>
  <c r="V2217" i="57"/>
  <c r="P2218" i="57"/>
  <c r="R2218" i="57"/>
  <c r="T2218" i="57"/>
  <c r="U2218" i="57"/>
  <c r="V2218" i="57"/>
  <c r="P2219" i="57"/>
  <c r="R2219" i="57"/>
  <c r="T2219" i="57"/>
  <c r="U2219" i="57"/>
  <c r="V2219" i="57"/>
  <c r="P2220" i="57"/>
  <c r="R2220" i="57"/>
  <c r="T2220" i="57"/>
  <c r="U2220" i="57"/>
  <c r="V2220" i="57"/>
  <c r="P2221" i="57"/>
  <c r="R2221" i="57"/>
  <c r="T2221" i="57"/>
  <c r="U2221" i="57"/>
  <c r="V2221" i="57"/>
  <c r="P2222" i="57"/>
  <c r="R2222" i="57"/>
  <c r="T2222" i="57"/>
  <c r="U2222" i="57"/>
  <c r="V2222" i="57"/>
  <c r="P2223" i="57"/>
  <c r="R2223" i="57"/>
  <c r="T2223" i="57"/>
  <c r="U2223" i="57"/>
  <c r="V2223" i="57"/>
  <c r="P2224" i="57"/>
  <c r="R2224" i="57"/>
  <c r="T2224" i="57"/>
  <c r="U2224" i="57"/>
  <c r="V2224" i="57"/>
  <c r="P2225" i="57"/>
  <c r="R2225" i="57"/>
  <c r="T2225" i="57"/>
  <c r="U2225" i="57"/>
  <c r="V2225" i="57"/>
  <c r="P2226" i="57"/>
  <c r="R2226" i="57"/>
  <c r="T2226" i="57"/>
  <c r="U2226" i="57"/>
  <c r="V2226" i="57"/>
  <c r="P2227" i="57"/>
  <c r="R2227" i="57"/>
  <c r="T2227" i="57"/>
  <c r="U2227" i="57"/>
  <c r="V2227" i="57"/>
  <c r="P2228" i="57"/>
  <c r="R2228" i="57"/>
  <c r="T2228" i="57"/>
  <c r="U2228" i="57"/>
  <c r="V2228" i="57"/>
  <c r="P2229" i="57"/>
  <c r="R2229" i="57"/>
  <c r="T2229" i="57"/>
  <c r="U2229" i="57"/>
  <c r="V2229" i="57"/>
  <c r="P2230" i="57"/>
  <c r="R2230" i="57"/>
  <c r="T2230" i="57"/>
  <c r="U2230" i="57"/>
  <c r="V2230" i="57"/>
  <c r="P2231" i="57"/>
  <c r="R2231" i="57"/>
  <c r="T2231" i="57"/>
  <c r="U2231" i="57"/>
  <c r="V2231" i="57"/>
  <c r="P2232" i="57"/>
  <c r="R2232" i="57"/>
  <c r="T2232" i="57"/>
  <c r="U2232" i="57"/>
  <c r="V2232" i="57"/>
  <c r="P2233" i="57"/>
  <c r="R2233" i="57"/>
  <c r="T2233" i="57"/>
  <c r="U2233" i="57"/>
  <c r="V2233" i="57"/>
  <c r="P2234" i="57"/>
  <c r="R2234" i="57"/>
  <c r="T2234" i="57"/>
  <c r="U2234" i="57"/>
  <c r="V2234" i="57"/>
  <c r="P2235" i="57"/>
  <c r="R2235" i="57"/>
  <c r="T2235" i="57"/>
  <c r="U2235" i="57"/>
  <c r="V2235" i="57"/>
  <c r="P2236" i="57"/>
  <c r="R2236" i="57"/>
  <c r="T2236" i="57"/>
  <c r="U2236" i="57"/>
  <c r="V2236" i="57"/>
  <c r="P2237" i="57"/>
  <c r="R2237" i="57"/>
  <c r="T2237" i="57"/>
  <c r="U2237" i="57"/>
  <c r="V2237" i="57"/>
  <c r="P2238" i="57"/>
  <c r="R2238" i="57"/>
  <c r="T2238" i="57"/>
  <c r="U2238" i="57"/>
  <c r="V2238" i="57"/>
  <c r="P2239" i="57"/>
  <c r="R2239" i="57"/>
  <c r="T2239" i="57"/>
  <c r="U2239" i="57"/>
  <c r="V2239" i="57"/>
  <c r="P2240" i="57"/>
  <c r="R2240" i="57"/>
  <c r="T2240" i="57"/>
  <c r="U2240" i="57"/>
  <c r="V2240" i="57"/>
  <c r="P2241" i="57"/>
  <c r="R2241" i="57"/>
  <c r="T2241" i="57"/>
  <c r="U2241" i="57"/>
  <c r="V2241" i="57"/>
  <c r="P2242" i="57"/>
  <c r="R2242" i="57"/>
  <c r="T2242" i="57"/>
  <c r="U2242" i="57"/>
  <c r="V2242" i="57"/>
  <c r="P2243" i="57"/>
  <c r="R2243" i="57"/>
  <c r="T2243" i="57"/>
  <c r="U2243" i="57"/>
  <c r="V2243" i="57"/>
  <c r="P2244" i="57"/>
  <c r="R2244" i="57"/>
  <c r="T2244" i="57"/>
  <c r="U2244" i="57"/>
  <c r="V2244" i="57"/>
  <c r="P2245" i="57"/>
  <c r="R2245" i="57"/>
  <c r="T2245" i="57"/>
  <c r="U2245" i="57"/>
  <c r="V2245" i="57"/>
  <c r="P2246" i="57"/>
  <c r="R2246" i="57"/>
  <c r="T2246" i="57"/>
  <c r="U2246" i="57"/>
  <c r="V2246" i="57"/>
  <c r="M2247" i="57"/>
  <c r="N2247" i="57"/>
  <c r="O2247" i="57"/>
  <c r="P2247" i="57"/>
  <c r="Q2247" i="57"/>
  <c r="R2247" i="57"/>
  <c r="S2247" i="57"/>
  <c r="T2247" i="57"/>
  <c r="U2247" i="57"/>
  <c r="V2247" i="57"/>
  <c r="M2248" i="57"/>
  <c r="N2248" i="57"/>
  <c r="O2248" i="57"/>
  <c r="P2248" i="57"/>
  <c r="Q2248" i="57"/>
  <c r="R2248" i="57"/>
  <c r="S2248" i="57"/>
  <c r="T2248" i="57"/>
  <c r="U2248" i="57"/>
  <c r="V2248" i="57"/>
  <c r="P2249" i="57"/>
  <c r="R2249" i="57"/>
  <c r="T2249" i="57"/>
  <c r="U2249" i="57"/>
  <c r="V2249" i="57"/>
  <c r="P2250" i="57"/>
  <c r="R2250" i="57"/>
  <c r="T2250" i="57"/>
  <c r="U2250" i="57"/>
  <c r="V2250" i="57"/>
  <c r="P2251" i="57"/>
  <c r="R2251" i="57"/>
  <c r="T2251" i="57"/>
  <c r="U2251" i="57"/>
  <c r="V2251" i="57"/>
  <c r="P2252" i="57"/>
  <c r="R2252" i="57"/>
  <c r="T2252" i="57"/>
  <c r="U2252" i="57"/>
  <c r="V2252" i="57"/>
  <c r="P2253" i="57"/>
  <c r="R2253" i="57"/>
  <c r="T2253" i="57"/>
  <c r="U2253" i="57"/>
  <c r="V2253" i="57"/>
  <c r="P2254" i="57"/>
  <c r="R2254" i="57"/>
  <c r="T2254" i="57"/>
  <c r="U2254" i="57"/>
  <c r="V2254" i="57"/>
  <c r="P2255" i="57"/>
  <c r="R2255" i="57"/>
  <c r="T2255" i="57"/>
  <c r="U2255" i="57"/>
  <c r="V2255" i="57"/>
  <c r="P2256" i="57"/>
  <c r="R2256" i="57"/>
  <c r="T2256" i="57"/>
  <c r="U2256" i="57"/>
  <c r="V2256" i="57"/>
  <c r="P2257" i="57"/>
  <c r="R2257" i="57"/>
  <c r="T2257" i="57"/>
  <c r="U2257" i="57"/>
  <c r="V2257" i="57"/>
  <c r="P2258" i="57"/>
  <c r="R2258" i="57"/>
  <c r="T2258" i="57"/>
  <c r="U2258" i="57"/>
  <c r="V2258" i="57"/>
  <c r="P2259" i="57"/>
  <c r="R2259" i="57"/>
  <c r="T2259" i="57"/>
  <c r="U2259" i="57"/>
  <c r="V2259" i="57"/>
  <c r="P2260" i="57"/>
  <c r="R2260" i="57"/>
  <c r="T2260" i="57"/>
  <c r="U2260" i="57"/>
  <c r="V2260" i="57"/>
  <c r="P2261" i="57"/>
  <c r="R2261" i="57"/>
  <c r="T2261" i="57"/>
  <c r="U2261" i="57"/>
  <c r="V2261" i="57"/>
  <c r="P2262" i="57"/>
  <c r="R2262" i="57"/>
  <c r="T2262" i="57"/>
  <c r="U2262" i="57"/>
  <c r="V2262" i="57"/>
  <c r="P2263" i="57"/>
  <c r="R2263" i="57"/>
  <c r="T2263" i="57"/>
  <c r="U2263" i="57"/>
  <c r="V2263" i="57"/>
  <c r="P2264" i="57"/>
  <c r="R2264" i="57"/>
  <c r="T2264" i="57"/>
  <c r="U2264" i="57"/>
  <c r="V2264" i="57"/>
  <c r="P2265" i="57"/>
  <c r="R2265" i="57"/>
  <c r="T2265" i="57"/>
  <c r="U2265" i="57"/>
  <c r="V2265" i="57"/>
  <c r="P2266" i="57"/>
  <c r="R2266" i="57"/>
  <c r="T2266" i="57"/>
  <c r="U2266" i="57"/>
  <c r="V2266" i="57"/>
  <c r="P2267" i="57"/>
  <c r="R2267" i="57"/>
  <c r="T2267" i="57"/>
  <c r="U2267" i="57"/>
  <c r="V2267" i="57"/>
  <c r="P2268" i="57"/>
  <c r="R2268" i="57"/>
  <c r="T2268" i="57"/>
  <c r="U2268" i="57"/>
  <c r="V2268" i="57"/>
  <c r="P2269" i="57"/>
  <c r="R2269" i="57"/>
  <c r="T2269" i="57"/>
  <c r="U2269" i="57"/>
  <c r="V2269" i="57"/>
  <c r="P2270" i="57"/>
  <c r="R2270" i="57"/>
  <c r="T2270" i="57"/>
  <c r="U2270" i="57"/>
  <c r="V2270" i="57"/>
  <c r="P2271" i="57"/>
  <c r="R2271" i="57"/>
  <c r="T2271" i="57"/>
  <c r="U2271" i="57"/>
  <c r="V2271" i="57"/>
  <c r="P2272" i="57"/>
  <c r="R2272" i="57"/>
  <c r="T2272" i="57"/>
  <c r="U2272" i="57"/>
  <c r="V2272" i="57"/>
  <c r="P2273" i="57"/>
  <c r="R2273" i="57"/>
  <c r="T2273" i="57"/>
  <c r="U2273" i="57"/>
  <c r="V2273" i="57"/>
  <c r="P2274" i="57"/>
  <c r="R2274" i="57"/>
  <c r="T2274" i="57"/>
  <c r="U2274" i="57"/>
  <c r="V2274" i="57"/>
  <c r="P2275" i="57"/>
  <c r="R2275" i="57"/>
  <c r="T2275" i="57"/>
  <c r="U2275" i="57"/>
  <c r="V2275" i="57"/>
  <c r="P2276" i="57"/>
  <c r="R2276" i="57"/>
  <c r="T2276" i="57"/>
  <c r="U2276" i="57"/>
  <c r="V2276" i="57"/>
  <c r="P2277" i="57"/>
  <c r="R2277" i="57"/>
  <c r="T2277" i="57"/>
  <c r="U2277" i="57"/>
  <c r="V2277" i="57"/>
  <c r="P2278" i="57"/>
  <c r="R2278" i="57"/>
  <c r="T2278" i="57"/>
  <c r="U2278" i="57"/>
  <c r="V2278" i="57"/>
  <c r="P2279" i="57"/>
  <c r="R2279" i="57"/>
  <c r="T2279" i="57"/>
  <c r="U2279" i="57"/>
  <c r="V2279" i="57"/>
  <c r="P2280" i="57"/>
  <c r="R2280" i="57"/>
  <c r="T2280" i="57"/>
  <c r="U2280" i="57"/>
  <c r="V2280" i="57"/>
  <c r="P2281" i="57"/>
  <c r="R2281" i="57"/>
  <c r="T2281" i="57"/>
  <c r="U2281" i="57"/>
  <c r="V2281" i="57"/>
  <c r="P2282" i="57"/>
  <c r="R2282" i="57"/>
  <c r="T2282" i="57"/>
  <c r="U2282" i="57"/>
  <c r="V2282" i="57"/>
  <c r="P2283" i="57"/>
  <c r="R2283" i="57"/>
  <c r="T2283" i="57"/>
  <c r="U2283" i="57"/>
  <c r="V2283" i="57"/>
  <c r="P2284" i="57"/>
  <c r="R2284" i="57"/>
  <c r="T2284" i="57"/>
  <c r="U2284" i="57"/>
  <c r="V2284" i="57"/>
  <c r="P2285" i="57"/>
  <c r="R2285" i="57"/>
  <c r="T2285" i="57"/>
  <c r="U2285" i="57"/>
  <c r="V2285" i="57"/>
  <c r="P2286" i="57"/>
  <c r="R2286" i="57"/>
  <c r="T2286" i="57"/>
  <c r="U2286" i="57"/>
  <c r="V2286" i="57"/>
  <c r="P2287" i="57"/>
  <c r="R2287" i="57"/>
  <c r="T2287" i="57"/>
  <c r="U2287" i="57"/>
  <c r="V2287" i="57"/>
  <c r="P2288" i="57"/>
  <c r="R2288" i="57"/>
  <c r="T2288" i="57"/>
  <c r="U2288" i="57"/>
  <c r="V2288" i="57"/>
  <c r="P2289" i="57"/>
  <c r="R2289" i="57"/>
  <c r="T2289" i="57"/>
  <c r="U2289" i="57"/>
  <c r="V2289" i="57"/>
  <c r="P2290" i="57"/>
  <c r="R2290" i="57"/>
  <c r="T2290" i="57"/>
  <c r="U2290" i="57"/>
  <c r="V2290" i="57"/>
  <c r="P2291" i="57"/>
  <c r="R2291" i="57"/>
  <c r="T2291" i="57"/>
  <c r="U2291" i="57"/>
  <c r="V2291" i="57"/>
  <c r="P2292" i="57"/>
  <c r="R2292" i="57"/>
  <c r="T2292" i="57"/>
  <c r="U2292" i="57"/>
  <c r="V2292" i="57"/>
  <c r="P2293" i="57"/>
  <c r="R2293" i="57"/>
  <c r="T2293" i="57"/>
  <c r="U2293" i="57"/>
  <c r="V2293" i="57"/>
  <c r="P2294" i="57"/>
  <c r="R2294" i="57"/>
  <c r="T2294" i="57"/>
  <c r="U2294" i="57"/>
  <c r="V2294" i="57"/>
  <c r="P2295" i="57"/>
  <c r="R2295" i="57"/>
  <c r="T2295" i="57"/>
  <c r="U2295" i="57"/>
  <c r="V2295" i="57"/>
  <c r="P2296" i="57"/>
  <c r="R2296" i="57"/>
  <c r="T2296" i="57"/>
  <c r="U2296" i="57"/>
  <c r="V2296" i="57"/>
  <c r="P2297" i="57"/>
  <c r="R2297" i="57"/>
  <c r="T2297" i="57"/>
  <c r="U2297" i="57"/>
  <c r="V2297" i="57"/>
  <c r="P2298" i="57"/>
  <c r="R2298" i="57"/>
  <c r="T2298" i="57"/>
  <c r="U2298" i="57"/>
  <c r="V2298" i="57"/>
  <c r="M2299" i="57"/>
  <c r="N2299" i="57"/>
  <c r="O2299" i="57"/>
  <c r="P2299" i="57"/>
  <c r="Q2299" i="57"/>
  <c r="R2299" i="57"/>
  <c r="S2299" i="57"/>
  <c r="T2299" i="57"/>
  <c r="U2299" i="57"/>
  <c r="V2299" i="57"/>
  <c r="M2300" i="57"/>
  <c r="N2300" i="57"/>
  <c r="O2300" i="57"/>
  <c r="P2300" i="57"/>
  <c r="Q2300" i="57"/>
  <c r="R2300" i="57"/>
  <c r="S2300" i="57"/>
  <c r="T2300" i="57"/>
  <c r="U2300" i="57"/>
  <c r="V2300" i="57"/>
  <c r="P2301" i="57"/>
  <c r="R2301" i="57"/>
  <c r="T2301" i="57"/>
  <c r="U2301" i="57"/>
  <c r="V2301" i="57"/>
  <c r="P2302" i="57"/>
  <c r="R2302" i="57"/>
  <c r="T2302" i="57"/>
  <c r="U2302" i="57"/>
  <c r="V2302" i="57"/>
  <c r="P2303" i="57"/>
  <c r="R2303" i="57"/>
  <c r="T2303" i="57"/>
  <c r="U2303" i="57"/>
  <c r="V2303" i="57"/>
  <c r="P2304" i="57"/>
  <c r="R2304" i="57"/>
  <c r="T2304" i="57"/>
  <c r="U2304" i="57"/>
  <c r="V2304" i="57"/>
  <c r="P2305" i="57"/>
  <c r="R2305" i="57"/>
  <c r="T2305" i="57"/>
  <c r="U2305" i="57"/>
  <c r="V2305" i="57"/>
  <c r="P2306" i="57"/>
  <c r="R2306" i="57"/>
  <c r="T2306" i="57"/>
  <c r="U2306" i="57"/>
  <c r="V2306" i="57"/>
  <c r="P2307" i="57"/>
  <c r="R2307" i="57"/>
  <c r="T2307" i="57"/>
  <c r="U2307" i="57"/>
  <c r="V2307" i="57"/>
  <c r="P2308" i="57"/>
  <c r="R2308" i="57"/>
  <c r="T2308" i="57"/>
  <c r="U2308" i="57"/>
  <c r="V2308" i="57"/>
  <c r="P2309" i="57"/>
  <c r="R2309" i="57"/>
  <c r="T2309" i="57"/>
  <c r="U2309" i="57"/>
  <c r="V2309" i="57"/>
  <c r="P2310" i="57"/>
  <c r="R2310" i="57"/>
  <c r="T2310" i="57"/>
  <c r="U2310" i="57"/>
  <c r="V2310" i="57"/>
  <c r="P2311" i="57"/>
  <c r="R2311" i="57"/>
  <c r="T2311" i="57"/>
  <c r="U2311" i="57"/>
  <c r="V2311" i="57"/>
  <c r="P2312" i="57"/>
  <c r="R2312" i="57"/>
  <c r="T2312" i="57"/>
  <c r="U2312" i="57"/>
  <c r="V2312" i="57"/>
  <c r="P2313" i="57"/>
  <c r="R2313" i="57"/>
  <c r="T2313" i="57"/>
  <c r="U2313" i="57"/>
  <c r="V2313" i="57"/>
  <c r="P2314" i="57"/>
  <c r="R2314" i="57"/>
  <c r="T2314" i="57"/>
  <c r="U2314" i="57"/>
  <c r="V2314" i="57"/>
  <c r="P2315" i="57"/>
  <c r="R2315" i="57"/>
  <c r="T2315" i="57"/>
  <c r="U2315" i="57"/>
  <c r="V2315" i="57"/>
  <c r="P2316" i="57"/>
  <c r="R2316" i="57"/>
  <c r="T2316" i="57"/>
  <c r="U2316" i="57"/>
  <c r="V2316" i="57"/>
  <c r="P2317" i="57"/>
  <c r="R2317" i="57"/>
  <c r="T2317" i="57"/>
  <c r="U2317" i="57"/>
  <c r="V2317" i="57"/>
  <c r="P2318" i="57"/>
  <c r="R2318" i="57"/>
  <c r="T2318" i="57"/>
  <c r="U2318" i="57"/>
  <c r="V2318" i="57"/>
  <c r="P2319" i="57"/>
  <c r="R2319" i="57"/>
  <c r="T2319" i="57"/>
  <c r="U2319" i="57"/>
  <c r="V2319" i="57"/>
  <c r="P2320" i="57"/>
  <c r="R2320" i="57"/>
  <c r="T2320" i="57"/>
  <c r="U2320" i="57"/>
  <c r="V2320" i="57"/>
  <c r="P2321" i="57"/>
  <c r="R2321" i="57"/>
  <c r="T2321" i="57"/>
  <c r="U2321" i="57"/>
  <c r="V2321" i="57"/>
  <c r="P2322" i="57"/>
  <c r="R2322" i="57"/>
  <c r="T2322" i="57"/>
  <c r="U2322" i="57"/>
  <c r="V2322" i="57"/>
  <c r="P2323" i="57"/>
  <c r="R2323" i="57"/>
  <c r="T2323" i="57"/>
  <c r="U2323" i="57"/>
  <c r="V2323" i="57"/>
  <c r="P2324" i="57"/>
  <c r="R2324" i="57"/>
  <c r="T2324" i="57"/>
  <c r="U2324" i="57"/>
  <c r="V2324" i="57"/>
  <c r="P2325" i="57"/>
  <c r="R2325" i="57"/>
  <c r="T2325" i="57"/>
  <c r="U2325" i="57"/>
  <c r="V2325" i="57"/>
  <c r="P2326" i="57"/>
  <c r="R2326" i="57"/>
  <c r="T2326" i="57"/>
  <c r="U2326" i="57"/>
  <c r="V2326" i="57"/>
  <c r="P2327" i="57"/>
  <c r="R2327" i="57"/>
  <c r="T2327" i="57"/>
  <c r="U2327" i="57"/>
  <c r="V2327" i="57"/>
  <c r="P2328" i="57"/>
  <c r="R2328" i="57"/>
  <c r="T2328" i="57"/>
  <c r="U2328" i="57"/>
  <c r="V2328" i="57"/>
  <c r="P2329" i="57"/>
  <c r="R2329" i="57"/>
  <c r="T2329" i="57"/>
  <c r="U2329" i="57"/>
  <c r="V2329" i="57"/>
  <c r="P2330" i="57"/>
  <c r="R2330" i="57"/>
  <c r="T2330" i="57"/>
  <c r="U2330" i="57"/>
  <c r="V2330" i="57"/>
  <c r="P2331" i="57"/>
  <c r="R2331" i="57"/>
  <c r="T2331" i="57"/>
  <c r="U2331" i="57"/>
  <c r="V2331" i="57"/>
  <c r="P2332" i="57"/>
  <c r="R2332" i="57"/>
  <c r="T2332" i="57"/>
  <c r="U2332" i="57"/>
  <c r="V2332" i="57"/>
  <c r="P2333" i="57"/>
  <c r="R2333" i="57"/>
  <c r="T2333" i="57"/>
  <c r="U2333" i="57"/>
  <c r="V2333" i="57"/>
  <c r="P2334" i="57"/>
  <c r="R2334" i="57"/>
  <c r="T2334" i="57"/>
  <c r="U2334" i="57"/>
  <c r="V2334" i="57"/>
  <c r="P2335" i="57"/>
  <c r="R2335" i="57"/>
  <c r="T2335" i="57"/>
  <c r="U2335" i="57"/>
  <c r="V2335" i="57"/>
  <c r="P2336" i="57"/>
  <c r="R2336" i="57"/>
  <c r="T2336" i="57"/>
  <c r="U2336" i="57"/>
  <c r="V2336" i="57"/>
  <c r="P2337" i="57"/>
  <c r="R2337" i="57"/>
  <c r="T2337" i="57"/>
  <c r="U2337" i="57"/>
  <c r="V2337" i="57"/>
  <c r="P2338" i="57"/>
  <c r="R2338" i="57"/>
  <c r="T2338" i="57"/>
  <c r="U2338" i="57"/>
  <c r="V2338" i="57"/>
  <c r="P2339" i="57"/>
  <c r="R2339" i="57"/>
  <c r="T2339" i="57"/>
  <c r="U2339" i="57"/>
  <c r="V2339" i="57"/>
  <c r="P2340" i="57"/>
  <c r="R2340" i="57"/>
  <c r="T2340" i="57"/>
  <c r="U2340" i="57"/>
  <c r="V2340" i="57"/>
  <c r="P2341" i="57"/>
  <c r="R2341" i="57"/>
  <c r="T2341" i="57"/>
  <c r="U2341" i="57"/>
  <c r="V2341" i="57"/>
  <c r="P2342" i="57"/>
  <c r="R2342" i="57"/>
  <c r="T2342" i="57"/>
  <c r="U2342" i="57"/>
  <c r="V2342" i="57"/>
  <c r="P2343" i="57"/>
  <c r="R2343" i="57"/>
  <c r="T2343" i="57"/>
  <c r="U2343" i="57"/>
  <c r="V2343" i="57"/>
  <c r="P2344" i="57"/>
  <c r="R2344" i="57"/>
  <c r="T2344" i="57"/>
  <c r="U2344" i="57"/>
  <c r="V2344" i="57"/>
  <c r="P2345" i="57"/>
  <c r="R2345" i="57"/>
  <c r="T2345" i="57"/>
  <c r="U2345" i="57"/>
  <c r="V2345" i="57"/>
  <c r="P2346" i="57"/>
  <c r="R2346" i="57"/>
  <c r="T2346" i="57"/>
  <c r="U2346" i="57"/>
  <c r="V2346" i="57"/>
  <c r="P2347" i="57"/>
  <c r="R2347" i="57"/>
  <c r="T2347" i="57"/>
  <c r="U2347" i="57"/>
  <c r="V2347" i="57"/>
  <c r="P2348" i="57"/>
  <c r="R2348" i="57"/>
  <c r="T2348" i="57"/>
  <c r="U2348" i="57"/>
  <c r="V2348" i="57"/>
  <c r="P2349" i="57"/>
  <c r="R2349" i="57"/>
  <c r="T2349" i="57"/>
  <c r="U2349" i="57"/>
  <c r="V2349" i="57"/>
  <c r="P2350" i="57"/>
  <c r="R2350" i="57"/>
  <c r="T2350" i="57"/>
  <c r="U2350" i="57"/>
  <c r="V2350" i="57"/>
  <c r="M2351" i="57"/>
  <c r="N2351" i="57"/>
  <c r="O2351" i="57"/>
  <c r="P2351" i="57"/>
  <c r="Q2351" i="57"/>
  <c r="R2351" i="57"/>
  <c r="S2351" i="57"/>
  <c r="T2351" i="57"/>
  <c r="U2351" i="57"/>
  <c r="V2351" i="57"/>
  <c r="M2352" i="57"/>
  <c r="N2352" i="57"/>
  <c r="O2352" i="57"/>
  <c r="P2352" i="57"/>
  <c r="Q2352" i="57"/>
  <c r="R2352" i="57"/>
  <c r="S2352" i="57"/>
  <c r="T2352" i="57"/>
  <c r="U2352" i="57"/>
  <c r="V2352" i="57"/>
  <c r="P2353" i="57"/>
  <c r="R2353" i="57"/>
  <c r="T2353" i="57"/>
  <c r="U2353" i="57"/>
  <c r="V2353" i="57"/>
  <c r="P2354" i="57"/>
  <c r="R2354" i="57"/>
  <c r="T2354" i="57"/>
  <c r="U2354" i="57"/>
  <c r="V2354" i="57"/>
  <c r="P2355" i="57"/>
  <c r="R2355" i="57"/>
  <c r="T2355" i="57"/>
  <c r="U2355" i="57"/>
  <c r="V2355" i="57"/>
  <c r="P2356" i="57"/>
  <c r="R2356" i="57"/>
  <c r="T2356" i="57"/>
  <c r="U2356" i="57"/>
  <c r="V2356" i="57"/>
  <c r="P2357" i="57"/>
  <c r="R2357" i="57"/>
  <c r="T2357" i="57"/>
  <c r="U2357" i="57"/>
  <c r="V2357" i="57"/>
  <c r="P2358" i="57"/>
  <c r="R2358" i="57"/>
  <c r="T2358" i="57"/>
  <c r="U2358" i="57"/>
  <c r="V2358" i="57"/>
  <c r="P2359" i="57"/>
  <c r="R2359" i="57"/>
  <c r="T2359" i="57"/>
  <c r="U2359" i="57"/>
  <c r="V2359" i="57"/>
  <c r="P2360" i="57"/>
  <c r="R2360" i="57"/>
  <c r="T2360" i="57"/>
  <c r="U2360" i="57"/>
  <c r="V2360" i="57"/>
  <c r="P2361" i="57"/>
  <c r="R2361" i="57"/>
  <c r="T2361" i="57"/>
  <c r="U2361" i="57"/>
  <c r="V2361" i="57"/>
  <c r="P2362" i="57"/>
  <c r="R2362" i="57"/>
  <c r="T2362" i="57"/>
  <c r="U2362" i="57"/>
  <c r="V2362" i="57"/>
  <c r="P2363" i="57"/>
  <c r="R2363" i="57"/>
  <c r="T2363" i="57"/>
  <c r="U2363" i="57"/>
  <c r="V2363" i="57"/>
  <c r="P2364" i="57"/>
  <c r="R2364" i="57"/>
  <c r="T2364" i="57"/>
  <c r="U2364" i="57"/>
  <c r="V2364" i="57"/>
  <c r="P2365" i="57"/>
  <c r="R2365" i="57"/>
  <c r="T2365" i="57"/>
  <c r="U2365" i="57"/>
  <c r="V2365" i="57"/>
  <c r="P2366" i="57"/>
  <c r="R2366" i="57"/>
  <c r="T2366" i="57"/>
  <c r="U2366" i="57"/>
  <c r="V2366" i="57"/>
  <c r="P2367" i="57"/>
  <c r="R2367" i="57"/>
  <c r="T2367" i="57"/>
  <c r="U2367" i="57"/>
  <c r="V2367" i="57"/>
  <c r="P2368" i="57"/>
  <c r="R2368" i="57"/>
  <c r="T2368" i="57"/>
  <c r="U2368" i="57"/>
  <c r="V2368" i="57"/>
  <c r="P2369" i="57"/>
  <c r="R2369" i="57"/>
  <c r="T2369" i="57"/>
  <c r="U2369" i="57"/>
  <c r="V2369" i="57"/>
  <c r="P2370" i="57"/>
  <c r="R2370" i="57"/>
  <c r="T2370" i="57"/>
  <c r="U2370" i="57"/>
  <c r="V2370" i="57"/>
  <c r="P2371" i="57"/>
  <c r="R2371" i="57"/>
  <c r="T2371" i="57"/>
  <c r="U2371" i="57"/>
  <c r="V2371" i="57"/>
  <c r="P2372" i="57"/>
  <c r="R2372" i="57"/>
  <c r="T2372" i="57"/>
  <c r="U2372" i="57"/>
  <c r="V2372" i="57"/>
  <c r="P2373" i="57"/>
  <c r="R2373" i="57"/>
  <c r="T2373" i="57"/>
  <c r="U2373" i="57"/>
  <c r="V2373" i="57"/>
  <c r="P2374" i="57"/>
  <c r="R2374" i="57"/>
  <c r="T2374" i="57"/>
  <c r="U2374" i="57"/>
  <c r="V2374" i="57"/>
  <c r="P2375" i="57"/>
  <c r="R2375" i="57"/>
  <c r="T2375" i="57"/>
  <c r="U2375" i="57"/>
  <c r="V2375" i="57"/>
  <c r="P2376" i="57"/>
  <c r="R2376" i="57"/>
  <c r="T2376" i="57"/>
  <c r="U2376" i="57"/>
  <c r="V2376" i="57"/>
  <c r="P2377" i="57"/>
  <c r="R2377" i="57"/>
  <c r="T2377" i="57"/>
  <c r="U2377" i="57"/>
  <c r="V2377" i="57"/>
  <c r="P2378" i="57"/>
  <c r="R2378" i="57"/>
  <c r="T2378" i="57"/>
  <c r="U2378" i="57"/>
  <c r="V2378" i="57"/>
  <c r="P2379" i="57"/>
  <c r="R2379" i="57"/>
  <c r="T2379" i="57"/>
  <c r="U2379" i="57"/>
  <c r="V2379" i="57"/>
  <c r="P2380" i="57"/>
  <c r="R2380" i="57"/>
  <c r="T2380" i="57"/>
  <c r="U2380" i="57"/>
  <c r="V2380" i="57"/>
  <c r="P2381" i="57"/>
  <c r="R2381" i="57"/>
  <c r="T2381" i="57"/>
  <c r="U2381" i="57"/>
  <c r="V2381" i="57"/>
  <c r="P2382" i="57"/>
  <c r="R2382" i="57"/>
  <c r="T2382" i="57"/>
  <c r="U2382" i="57"/>
  <c r="V2382" i="57"/>
  <c r="P2383" i="57"/>
  <c r="R2383" i="57"/>
  <c r="T2383" i="57"/>
  <c r="U2383" i="57"/>
  <c r="V2383" i="57"/>
  <c r="P2384" i="57"/>
  <c r="R2384" i="57"/>
  <c r="T2384" i="57"/>
  <c r="U2384" i="57"/>
  <c r="V2384" i="57"/>
  <c r="P2385" i="57"/>
  <c r="R2385" i="57"/>
  <c r="T2385" i="57"/>
  <c r="U2385" i="57"/>
  <c r="V2385" i="57"/>
  <c r="P2386" i="57"/>
  <c r="R2386" i="57"/>
  <c r="T2386" i="57"/>
  <c r="U2386" i="57"/>
  <c r="V2386" i="57"/>
  <c r="P2387" i="57"/>
  <c r="R2387" i="57"/>
  <c r="T2387" i="57"/>
  <c r="U2387" i="57"/>
  <c r="V2387" i="57"/>
  <c r="P2388" i="57"/>
  <c r="R2388" i="57"/>
  <c r="T2388" i="57"/>
  <c r="U2388" i="57"/>
  <c r="V2388" i="57"/>
  <c r="P2389" i="57"/>
  <c r="R2389" i="57"/>
  <c r="T2389" i="57"/>
  <c r="U2389" i="57"/>
  <c r="V2389" i="57"/>
  <c r="P2390" i="57"/>
  <c r="R2390" i="57"/>
  <c r="T2390" i="57"/>
  <c r="U2390" i="57"/>
  <c r="V2390" i="57"/>
  <c r="P2391" i="57"/>
  <c r="R2391" i="57"/>
  <c r="T2391" i="57"/>
  <c r="U2391" i="57"/>
  <c r="V2391" i="57"/>
  <c r="P2392" i="57"/>
  <c r="R2392" i="57"/>
  <c r="T2392" i="57"/>
  <c r="U2392" i="57"/>
  <c r="V2392" i="57"/>
  <c r="P2393" i="57"/>
  <c r="R2393" i="57"/>
  <c r="T2393" i="57"/>
  <c r="U2393" i="57"/>
  <c r="V2393" i="57"/>
  <c r="P2394" i="57"/>
  <c r="R2394" i="57"/>
  <c r="T2394" i="57"/>
  <c r="U2394" i="57"/>
  <c r="V2394" i="57"/>
  <c r="P2395" i="57"/>
  <c r="R2395" i="57"/>
  <c r="T2395" i="57"/>
  <c r="U2395" i="57"/>
  <c r="V2395" i="57"/>
  <c r="P2396" i="57"/>
  <c r="R2396" i="57"/>
  <c r="T2396" i="57"/>
  <c r="U2396" i="57"/>
  <c r="V2396" i="57"/>
  <c r="P2397" i="57"/>
  <c r="R2397" i="57"/>
  <c r="T2397" i="57"/>
  <c r="U2397" i="57"/>
  <c r="V2397" i="57"/>
  <c r="P2398" i="57"/>
  <c r="R2398" i="57"/>
  <c r="T2398" i="57"/>
  <c r="U2398" i="57"/>
  <c r="V2398" i="57"/>
  <c r="P2399" i="57"/>
  <c r="R2399" i="57"/>
  <c r="T2399" i="57"/>
  <c r="U2399" i="57"/>
  <c r="V2399" i="57"/>
  <c r="P2400" i="57"/>
  <c r="R2400" i="57"/>
  <c r="T2400" i="57"/>
  <c r="U2400" i="57"/>
  <c r="V2400" i="57"/>
  <c r="P2401" i="57"/>
  <c r="R2401" i="57"/>
  <c r="T2401" i="57"/>
  <c r="U2401" i="57"/>
  <c r="V2401" i="57"/>
  <c r="P2402" i="57"/>
  <c r="R2402" i="57"/>
  <c r="T2402" i="57"/>
  <c r="U2402" i="57"/>
  <c r="V2402" i="57"/>
  <c r="M2403" i="57"/>
  <c r="N2403" i="57"/>
  <c r="O2403" i="57"/>
  <c r="P2403" i="57"/>
  <c r="Q2403" i="57"/>
  <c r="R2403" i="57"/>
  <c r="S2403" i="57"/>
  <c r="T2403" i="57"/>
  <c r="U2403" i="57"/>
  <c r="V2403" i="57"/>
  <c r="M2404" i="57"/>
  <c r="N2404" i="57"/>
  <c r="O2404" i="57"/>
  <c r="P2404" i="57"/>
  <c r="Q2404" i="57"/>
  <c r="R2404" i="57"/>
  <c r="S2404" i="57"/>
  <c r="T2404" i="57"/>
  <c r="U2404" i="57"/>
  <c r="V2404" i="57"/>
  <c r="P2405" i="57"/>
  <c r="R2405" i="57"/>
  <c r="T2405" i="57"/>
  <c r="U2405" i="57"/>
  <c r="V2405" i="57"/>
  <c r="P2406" i="57"/>
  <c r="R2406" i="57"/>
  <c r="T2406" i="57"/>
  <c r="U2406" i="57"/>
  <c r="V2406" i="57"/>
  <c r="P2407" i="57"/>
  <c r="R2407" i="57"/>
  <c r="T2407" i="57"/>
  <c r="U2407" i="57"/>
  <c r="V2407" i="57"/>
  <c r="P2408" i="57"/>
  <c r="R2408" i="57"/>
  <c r="T2408" i="57"/>
  <c r="U2408" i="57"/>
  <c r="V2408" i="57"/>
  <c r="P2409" i="57"/>
  <c r="R2409" i="57"/>
  <c r="T2409" i="57"/>
  <c r="U2409" i="57"/>
  <c r="V2409" i="57"/>
  <c r="P2410" i="57"/>
  <c r="R2410" i="57"/>
  <c r="T2410" i="57"/>
  <c r="U2410" i="57"/>
  <c r="V2410" i="57"/>
  <c r="P2411" i="57"/>
  <c r="R2411" i="57"/>
  <c r="T2411" i="57"/>
  <c r="U2411" i="57"/>
  <c r="V2411" i="57"/>
  <c r="P2412" i="57"/>
  <c r="R2412" i="57"/>
  <c r="T2412" i="57"/>
  <c r="U2412" i="57"/>
  <c r="V2412" i="57"/>
  <c r="P2413" i="57"/>
  <c r="R2413" i="57"/>
  <c r="T2413" i="57"/>
  <c r="U2413" i="57"/>
  <c r="V2413" i="57"/>
  <c r="P2414" i="57"/>
  <c r="R2414" i="57"/>
  <c r="T2414" i="57"/>
  <c r="U2414" i="57"/>
  <c r="V2414" i="57"/>
  <c r="P2415" i="57"/>
  <c r="R2415" i="57"/>
  <c r="T2415" i="57"/>
  <c r="U2415" i="57"/>
  <c r="V2415" i="57"/>
  <c r="P2416" i="57"/>
  <c r="R2416" i="57"/>
  <c r="T2416" i="57"/>
  <c r="U2416" i="57"/>
  <c r="V2416" i="57"/>
  <c r="P2417" i="57"/>
  <c r="R2417" i="57"/>
  <c r="T2417" i="57"/>
  <c r="U2417" i="57"/>
  <c r="V2417" i="57"/>
  <c r="P2418" i="57"/>
  <c r="R2418" i="57"/>
  <c r="T2418" i="57"/>
  <c r="U2418" i="57"/>
  <c r="V2418" i="57"/>
  <c r="P2419" i="57"/>
  <c r="R2419" i="57"/>
  <c r="T2419" i="57"/>
  <c r="U2419" i="57"/>
  <c r="V2419" i="57"/>
  <c r="P2420" i="57"/>
  <c r="R2420" i="57"/>
  <c r="T2420" i="57"/>
  <c r="U2420" i="57"/>
  <c r="V2420" i="57"/>
  <c r="P2421" i="57"/>
  <c r="R2421" i="57"/>
  <c r="T2421" i="57"/>
  <c r="U2421" i="57"/>
  <c r="V2421" i="57"/>
  <c r="P2422" i="57"/>
  <c r="R2422" i="57"/>
  <c r="T2422" i="57"/>
  <c r="U2422" i="57"/>
  <c r="V2422" i="57"/>
  <c r="P2423" i="57"/>
  <c r="R2423" i="57"/>
  <c r="T2423" i="57"/>
  <c r="U2423" i="57"/>
  <c r="V2423" i="57"/>
  <c r="P2424" i="57"/>
  <c r="R2424" i="57"/>
  <c r="T2424" i="57"/>
  <c r="U2424" i="57"/>
  <c r="V2424" i="57"/>
  <c r="P2425" i="57"/>
  <c r="R2425" i="57"/>
  <c r="T2425" i="57"/>
  <c r="U2425" i="57"/>
  <c r="V2425" i="57"/>
  <c r="P2426" i="57"/>
  <c r="R2426" i="57"/>
  <c r="T2426" i="57"/>
  <c r="U2426" i="57"/>
  <c r="V2426" i="57"/>
  <c r="P2427" i="57"/>
  <c r="R2427" i="57"/>
  <c r="T2427" i="57"/>
  <c r="U2427" i="57"/>
  <c r="V2427" i="57"/>
  <c r="P2428" i="57"/>
  <c r="R2428" i="57"/>
  <c r="T2428" i="57"/>
  <c r="U2428" i="57"/>
  <c r="V2428" i="57"/>
  <c r="P2429" i="57"/>
  <c r="R2429" i="57"/>
  <c r="T2429" i="57"/>
  <c r="U2429" i="57"/>
  <c r="V2429" i="57"/>
  <c r="P2430" i="57"/>
  <c r="R2430" i="57"/>
  <c r="T2430" i="57"/>
  <c r="U2430" i="57"/>
  <c r="V2430" i="57"/>
  <c r="P2431" i="57"/>
  <c r="R2431" i="57"/>
  <c r="T2431" i="57"/>
  <c r="U2431" i="57"/>
  <c r="V2431" i="57"/>
  <c r="P2432" i="57"/>
  <c r="R2432" i="57"/>
  <c r="T2432" i="57"/>
  <c r="U2432" i="57"/>
  <c r="V2432" i="57"/>
  <c r="P2433" i="57"/>
  <c r="R2433" i="57"/>
  <c r="T2433" i="57"/>
  <c r="U2433" i="57"/>
  <c r="V2433" i="57"/>
  <c r="P2434" i="57"/>
  <c r="R2434" i="57"/>
  <c r="T2434" i="57"/>
  <c r="U2434" i="57"/>
  <c r="V2434" i="57"/>
  <c r="P2435" i="57"/>
  <c r="R2435" i="57"/>
  <c r="T2435" i="57"/>
  <c r="U2435" i="57"/>
  <c r="V2435" i="57"/>
  <c r="P2436" i="57"/>
  <c r="R2436" i="57"/>
  <c r="T2436" i="57"/>
  <c r="U2436" i="57"/>
  <c r="V2436" i="57"/>
  <c r="P2437" i="57"/>
  <c r="R2437" i="57"/>
  <c r="T2437" i="57"/>
  <c r="U2437" i="57"/>
  <c r="V2437" i="57"/>
  <c r="P2438" i="57"/>
  <c r="R2438" i="57"/>
  <c r="T2438" i="57"/>
  <c r="U2438" i="57"/>
  <c r="V2438" i="57"/>
  <c r="P2439" i="57"/>
  <c r="R2439" i="57"/>
  <c r="T2439" i="57"/>
  <c r="U2439" i="57"/>
  <c r="V2439" i="57"/>
  <c r="P2440" i="57"/>
  <c r="R2440" i="57"/>
  <c r="T2440" i="57"/>
  <c r="U2440" i="57"/>
  <c r="V2440" i="57"/>
  <c r="P2441" i="57"/>
  <c r="R2441" i="57"/>
  <c r="T2441" i="57"/>
  <c r="U2441" i="57"/>
  <c r="V2441" i="57"/>
  <c r="P2442" i="57"/>
  <c r="R2442" i="57"/>
  <c r="T2442" i="57"/>
  <c r="U2442" i="57"/>
  <c r="V2442" i="57"/>
  <c r="P2443" i="57"/>
  <c r="R2443" i="57"/>
  <c r="T2443" i="57"/>
  <c r="U2443" i="57"/>
  <c r="V2443" i="57"/>
  <c r="P2444" i="57"/>
  <c r="R2444" i="57"/>
  <c r="T2444" i="57"/>
  <c r="U2444" i="57"/>
  <c r="V2444" i="57"/>
  <c r="P2445" i="57"/>
  <c r="R2445" i="57"/>
  <c r="T2445" i="57"/>
  <c r="U2445" i="57"/>
  <c r="V2445" i="57"/>
  <c r="P2446" i="57"/>
  <c r="R2446" i="57"/>
  <c r="T2446" i="57"/>
  <c r="U2446" i="57"/>
  <c r="V2446" i="57"/>
  <c r="P2447" i="57"/>
  <c r="R2447" i="57"/>
  <c r="T2447" i="57"/>
  <c r="U2447" i="57"/>
  <c r="V2447" i="57"/>
  <c r="P2448" i="57"/>
  <c r="R2448" i="57"/>
  <c r="T2448" i="57"/>
  <c r="U2448" i="57"/>
  <c r="V2448" i="57"/>
  <c r="P2449" i="57"/>
  <c r="R2449" i="57"/>
  <c r="T2449" i="57"/>
  <c r="U2449" i="57"/>
  <c r="V2449" i="57"/>
  <c r="P2450" i="57"/>
  <c r="R2450" i="57"/>
  <c r="T2450" i="57"/>
  <c r="U2450" i="57"/>
  <c r="V2450" i="57"/>
  <c r="P2451" i="57"/>
  <c r="R2451" i="57"/>
  <c r="T2451" i="57"/>
  <c r="U2451" i="57"/>
  <c r="V2451" i="57"/>
  <c r="P2452" i="57"/>
  <c r="R2452" i="57"/>
  <c r="T2452" i="57"/>
  <c r="U2452" i="57"/>
  <c r="V2452" i="57"/>
  <c r="P2453" i="57"/>
  <c r="R2453" i="57"/>
  <c r="T2453" i="57"/>
  <c r="U2453" i="57"/>
  <c r="V2453" i="57"/>
  <c r="P2454" i="57"/>
  <c r="R2454" i="57"/>
  <c r="T2454" i="57"/>
  <c r="U2454" i="57"/>
  <c r="V2454" i="57"/>
  <c r="M2455" i="57"/>
  <c r="N2455" i="57"/>
  <c r="O2455" i="57"/>
  <c r="P2455" i="57"/>
  <c r="Q2455" i="57"/>
  <c r="R2455" i="57"/>
  <c r="S2455" i="57"/>
  <c r="T2455" i="57"/>
  <c r="U2455" i="57"/>
  <c r="V2455" i="57"/>
  <c r="M2456" i="57"/>
  <c r="N2456" i="57"/>
  <c r="O2456" i="57"/>
  <c r="P2456" i="57"/>
  <c r="Q2456" i="57"/>
  <c r="R2456" i="57"/>
  <c r="S2456" i="57"/>
  <c r="T2456" i="57"/>
  <c r="U2456" i="57"/>
  <c r="V2456" i="57"/>
  <c r="P2457" i="57"/>
  <c r="R2457" i="57"/>
  <c r="T2457" i="57"/>
  <c r="U2457" i="57"/>
  <c r="V2457" i="57"/>
  <c r="P2458" i="57"/>
  <c r="R2458" i="57"/>
  <c r="T2458" i="57"/>
  <c r="U2458" i="57"/>
  <c r="V2458" i="57"/>
  <c r="P2459" i="57"/>
  <c r="R2459" i="57"/>
  <c r="T2459" i="57"/>
  <c r="U2459" i="57"/>
  <c r="V2459" i="57"/>
  <c r="P2460" i="57"/>
  <c r="R2460" i="57"/>
  <c r="T2460" i="57"/>
  <c r="U2460" i="57"/>
  <c r="V2460" i="57"/>
  <c r="P2461" i="57"/>
  <c r="R2461" i="57"/>
  <c r="T2461" i="57"/>
  <c r="U2461" i="57"/>
  <c r="V2461" i="57"/>
  <c r="P2462" i="57"/>
  <c r="R2462" i="57"/>
  <c r="T2462" i="57"/>
  <c r="U2462" i="57"/>
  <c r="V2462" i="57"/>
  <c r="P2463" i="57"/>
  <c r="R2463" i="57"/>
  <c r="T2463" i="57"/>
  <c r="U2463" i="57"/>
  <c r="V2463" i="57"/>
  <c r="P2464" i="57"/>
  <c r="R2464" i="57"/>
  <c r="T2464" i="57"/>
  <c r="U2464" i="57"/>
  <c r="V2464" i="57"/>
  <c r="P2465" i="57"/>
  <c r="R2465" i="57"/>
  <c r="T2465" i="57"/>
  <c r="U2465" i="57"/>
  <c r="V2465" i="57"/>
  <c r="P2466" i="57"/>
  <c r="R2466" i="57"/>
  <c r="T2466" i="57"/>
  <c r="U2466" i="57"/>
  <c r="V2466" i="57"/>
  <c r="P2467" i="57"/>
  <c r="R2467" i="57"/>
  <c r="T2467" i="57"/>
  <c r="U2467" i="57"/>
  <c r="V2467" i="57"/>
  <c r="P2468" i="57"/>
  <c r="R2468" i="57"/>
  <c r="T2468" i="57"/>
  <c r="U2468" i="57"/>
  <c r="V2468" i="57"/>
  <c r="P2469" i="57"/>
  <c r="R2469" i="57"/>
  <c r="T2469" i="57"/>
  <c r="U2469" i="57"/>
  <c r="V2469" i="57"/>
  <c r="P2470" i="57"/>
  <c r="R2470" i="57"/>
  <c r="T2470" i="57"/>
  <c r="U2470" i="57"/>
  <c r="V2470" i="57"/>
  <c r="P2471" i="57"/>
  <c r="R2471" i="57"/>
  <c r="T2471" i="57"/>
  <c r="U2471" i="57"/>
  <c r="V2471" i="57"/>
  <c r="P2472" i="57"/>
  <c r="R2472" i="57"/>
  <c r="T2472" i="57"/>
  <c r="U2472" i="57"/>
  <c r="V2472" i="57"/>
  <c r="P2473" i="57"/>
  <c r="R2473" i="57"/>
  <c r="T2473" i="57"/>
  <c r="U2473" i="57"/>
  <c r="V2473" i="57"/>
  <c r="P2474" i="57"/>
  <c r="R2474" i="57"/>
  <c r="T2474" i="57"/>
  <c r="U2474" i="57"/>
  <c r="V2474" i="57"/>
  <c r="P2475" i="57"/>
  <c r="R2475" i="57"/>
  <c r="T2475" i="57"/>
  <c r="U2475" i="57"/>
  <c r="V2475" i="57"/>
  <c r="P2476" i="57"/>
  <c r="R2476" i="57"/>
  <c r="T2476" i="57"/>
  <c r="U2476" i="57"/>
  <c r="V2476" i="57"/>
  <c r="P2477" i="57"/>
  <c r="R2477" i="57"/>
  <c r="T2477" i="57"/>
  <c r="U2477" i="57"/>
  <c r="V2477" i="57"/>
  <c r="P2478" i="57"/>
  <c r="R2478" i="57"/>
  <c r="T2478" i="57"/>
  <c r="U2478" i="57"/>
  <c r="V2478" i="57"/>
  <c r="P2479" i="57"/>
  <c r="R2479" i="57"/>
  <c r="T2479" i="57"/>
  <c r="U2479" i="57"/>
  <c r="V2479" i="57"/>
  <c r="P2480" i="57"/>
  <c r="R2480" i="57"/>
  <c r="T2480" i="57"/>
  <c r="U2480" i="57"/>
  <c r="V2480" i="57"/>
  <c r="P2481" i="57"/>
  <c r="R2481" i="57"/>
  <c r="T2481" i="57"/>
  <c r="U2481" i="57"/>
  <c r="V2481" i="57"/>
  <c r="P2482" i="57"/>
  <c r="R2482" i="57"/>
  <c r="T2482" i="57"/>
  <c r="U2482" i="57"/>
  <c r="V2482" i="57"/>
  <c r="P2483" i="57"/>
  <c r="R2483" i="57"/>
  <c r="T2483" i="57"/>
  <c r="U2483" i="57"/>
  <c r="V2483" i="57"/>
  <c r="P2484" i="57"/>
  <c r="R2484" i="57"/>
  <c r="T2484" i="57"/>
  <c r="U2484" i="57"/>
  <c r="V2484" i="57"/>
  <c r="P2485" i="57"/>
  <c r="R2485" i="57"/>
  <c r="T2485" i="57"/>
  <c r="U2485" i="57"/>
  <c r="V2485" i="57"/>
  <c r="P2486" i="57"/>
  <c r="R2486" i="57"/>
  <c r="T2486" i="57"/>
  <c r="U2486" i="57"/>
  <c r="V2486" i="57"/>
  <c r="P2487" i="57"/>
  <c r="R2487" i="57"/>
  <c r="T2487" i="57"/>
  <c r="U2487" i="57"/>
  <c r="V2487" i="57"/>
  <c r="P2488" i="57"/>
  <c r="R2488" i="57"/>
  <c r="T2488" i="57"/>
  <c r="U2488" i="57"/>
  <c r="V2488" i="57"/>
  <c r="P2489" i="57"/>
  <c r="R2489" i="57"/>
  <c r="T2489" i="57"/>
  <c r="U2489" i="57"/>
  <c r="V2489" i="57"/>
  <c r="P2490" i="57"/>
  <c r="R2490" i="57"/>
  <c r="T2490" i="57"/>
  <c r="U2490" i="57"/>
  <c r="V2490" i="57"/>
  <c r="P2491" i="57"/>
  <c r="R2491" i="57"/>
  <c r="T2491" i="57"/>
  <c r="U2491" i="57"/>
  <c r="V2491" i="57"/>
  <c r="P2492" i="57"/>
  <c r="R2492" i="57"/>
  <c r="T2492" i="57"/>
  <c r="U2492" i="57"/>
  <c r="V2492" i="57"/>
  <c r="P2493" i="57"/>
  <c r="R2493" i="57"/>
  <c r="T2493" i="57"/>
  <c r="U2493" i="57"/>
  <c r="V2493" i="57"/>
  <c r="P2494" i="57"/>
  <c r="R2494" i="57"/>
  <c r="T2494" i="57"/>
  <c r="U2494" i="57"/>
  <c r="V2494" i="57"/>
  <c r="P2495" i="57"/>
  <c r="R2495" i="57"/>
  <c r="T2495" i="57"/>
  <c r="U2495" i="57"/>
  <c r="V2495" i="57"/>
  <c r="P2496" i="57"/>
  <c r="R2496" i="57"/>
  <c r="T2496" i="57"/>
  <c r="U2496" i="57"/>
  <c r="V2496" i="57"/>
  <c r="P2497" i="57"/>
  <c r="R2497" i="57"/>
  <c r="T2497" i="57"/>
  <c r="U2497" i="57"/>
  <c r="V2497" i="57"/>
  <c r="P2498" i="57"/>
  <c r="R2498" i="57"/>
  <c r="T2498" i="57"/>
  <c r="U2498" i="57"/>
  <c r="V2498" i="57"/>
  <c r="P2499" i="57"/>
  <c r="R2499" i="57"/>
  <c r="T2499" i="57"/>
  <c r="U2499" i="57"/>
  <c r="V2499" i="57"/>
  <c r="P2500" i="57"/>
  <c r="R2500" i="57"/>
  <c r="T2500" i="57"/>
  <c r="U2500" i="57"/>
  <c r="V2500" i="57"/>
  <c r="P2501" i="57"/>
  <c r="R2501" i="57"/>
  <c r="T2501" i="57"/>
  <c r="U2501" i="57"/>
  <c r="V2501" i="57"/>
  <c r="P2502" i="57"/>
  <c r="R2502" i="57"/>
  <c r="T2502" i="57"/>
  <c r="U2502" i="57"/>
  <c r="V2502" i="57"/>
  <c r="P2503" i="57"/>
  <c r="R2503" i="57"/>
  <c r="T2503" i="57"/>
  <c r="U2503" i="57"/>
  <c r="V2503" i="57"/>
  <c r="P2504" i="57"/>
  <c r="R2504" i="57"/>
  <c r="T2504" i="57"/>
  <c r="U2504" i="57"/>
  <c r="V2504" i="57"/>
  <c r="P2505" i="57"/>
  <c r="R2505" i="57"/>
  <c r="T2505" i="57"/>
  <c r="U2505" i="57"/>
  <c r="V2505" i="57"/>
  <c r="P2506" i="57"/>
  <c r="R2506" i="57"/>
  <c r="T2506" i="57"/>
  <c r="U2506" i="57"/>
  <c r="V2506" i="57"/>
  <c r="M2507" i="57"/>
  <c r="N2507" i="57"/>
  <c r="O2507" i="57"/>
  <c r="P2507" i="57"/>
  <c r="Q2507" i="57"/>
  <c r="R2507" i="57"/>
  <c r="S2507" i="57"/>
  <c r="T2507" i="57"/>
  <c r="U2507" i="57"/>
  <c r="V2507" i="57"/>
  <c r="M2508" i="57"/>
  <c r="N2508" i="57"/>
  <c r="O2508" i="57"/>
  <c r="P2508" i="57"/>
  <c r="Q2508" i="57"/>
  <c r="R2508" i="57"/>
  <c r="S2508" i="57"/>
  <c r="T2508" i="57"/>
  <c r="U2508" i="57"/>
  <c r="V2508" i="57"/>
  <c r="P2509" i="57"/>
  <c r="R2509" i="57"/>
  <c r="T2509" i="57"/>
  <c r="U2509" i="57"/>
  <c r="V2509" i="57"/>
  <c r="P2510" i="57"/>
  <c r="R2510" i="57"/>
  <c r="T2510" i="57"/>
  <c r="U2510" i="57"/>
  <c r="V2510" i="57"/>
  <c r="P2511" i="57"/>
  <c r="R2511" i="57"/>
  <c r="T2511" i="57"/>
  <c r="U2511" i="57"/>
  <c r="V2511" i="57"/>
  <c r="P2512" i="57"/>
  <c r="R2512" i="57"/>
  <c r="T2512" i="57"/>
  <c r="U2512" i="57"/>
  <c r="V2512" i="57"/>
  <c r="P2513" i="57"/>
  <c r="R2513" i="57"/>
  <c r="T2513" i="57"/>
  <c r="U2513" i="57"/>
  <c r="V2513" i="57"/>
  <c r="P2514" i="57"/>
  <c r="R2514" i="57"/>
  <c r="T2514" i="57"/>
  <c r="U2514" i="57"/>
  <c r="V2514" i="57"/>
  <c r="P2515" i="57"/>
  <c r="R2515" i="57"/>
  <c r="T2515" i="57"/>
  <c r="U2515" i="57"/>
  <c r="V2515" i="57"/>
  <c r="P2516" i="57"/>
  <c r="R2516" i="57"/>
  <c r="T2516" i="57"/>
  <c r="U2516" i="57"/>
  <c r="V2516" i="57"/>
  <c r="P2517" i="57"/>
  <c r="R2517" i="57"/>
  <c r="T2517" i="57"/>
  <c r="U2517" i="57"/>
  <c r="V2517" i="57"/>
  <c r="P2518" i="57"/>
  <c r="R2518" i="57"/>
  <c r="T2518" i="57"/>
  <c r="U2518" i="57"/>
  <c r="V2518" i="57"/>
  <c r="P2519" i="57"/>
  <c r="R2519" i="57"/>
  <c r="T2519" i="57"/>
  <c r="U2519" i="57"/>
  <c r="V2519" i="57"/>
  <c r="P2520" i="57"/>
  <c r="R2520" i="57"/>
  <c r="T2520" i="57"/>
  <c r="U2520" i="57"/>
  <c r="V2520" i="57"/>
  <c r="P2521" i="57"/>
  <c r="R2521" i="57"/>
  <c r="T2521" i="57"/>
  <c r="U2521" i="57"/>
  <c r="V2521" i="57"/>
  <c r="P2522" i="57"/>
  <c r="R2522" i="57"/>
  <c r="T2522" i="57"/>
  <c r="U2522" i="57"/>
  <c r="V2522" i="57"/>
  <c r="P2523" i="57"/>
  <c r="R2523" i="57"/>
  <c r="T2523" i="57"/>
  <c r="U2523" i="57"/>
  <c r="V2523" i="57"/>
  <c r="P2524" i="57"/>
  <c r="R2524" i="57"/>
  <c r="T2524" i="57"/>
  <c r="U2524" i="57"/>
  <c r="V2524" i="57"/>
  <c r="P2525" i="57"/>
  <c r="R2525" i="57"/>
  <c r="T2525" i="57"/>
  <c r="U2525" i="57"/>
  <c r="V2525" i="57"/>
  <c r="P2526" i="57"/>
  <c r="R2526" i="57"/>
  <c r="T2526" i="57"/>
  <c r="U2526" i="57"/>
  <c r="V2526" i="57"/>
  <c r="P2527" i="57"/>
  <c r="R2527" i="57"/>
  <c r="T2527" i="57"/>
  <c r="U2527" i="57"/>
  <c r="V2527" i="57"/>
  <c r="P2528" i="57"/>
  <c r="R2528" i="57"/>
  <c r="T2528" i="57"/>
  <c r="U2528" i="57"/>
  <c r="V2528" i="57"/>
  <c r="P2529" i="57"/>
  <c r="R2529" i="57"/>
  <c r="T2529" i="57"/>
  <c r="U2529" i="57"/>
  <c r="V2529" i="57"/>
  <c r="P2530" i="57"/>
  <c r="R2530" i="57"/>
  <c r="T2530" i="57"/>
  <c r="U2530" i="57"/>
  <c r="V2530" i="57"/>
  <c r="P2531" i="57"/>
  <c r="R2531" i="57"/>
  <c r="T2531" i="57"/>
  <c r="U2531" i="57"/>
  <c r="V2531" i="57"/>
  <c r="P2532" i="57"/>
  <c r="R2532" i="57"/>
  <c r="T2532" i="57"/>
  <c r="U2532" i="57"/>
  <c r="V2532" i="57"/>
  <c r="P2533" i="57"/>
  <c r="R2533" i="57"/>
  <c r="T2533" i="57"/>
  <c r="U2533" i="57"/>
  <c r="V2533" i="57"/>
  <c r="P2534" i="57"/>
  <c r="R2534" i="57"/>
  <c r="T2534" i="57"/>
  <c r="U2534" i="57"/>
  <c r="V2534" i="57"/>
  <c r="P2535" i="57"/>
  <c r="R2535" i="57"/>
  <c r="T2535" i="57"/>
  <c r="U2535" i="57"/>
  <c r="V2535" i="57"/>
  <c r="P2536" i="57"/>
  <c r="R2536" i="57"/>
  <c r="T2536" i="57"/>
  <c r="U2536" i="57"/>
  <c r="V2536" i="57"/>
  <c r="P2537" i="57"/>
  <c r="R2537" i="57"/>
  <c r="T2537" i="57"/>
  <c r="U2537" i="57"/>
  <c r="V2537" i="57"/>
  <c r="P2538" i="57"/>
  <c r="R2538" i="57"/>
  <c r="T2538" i="57"/>
  <c r="U2538" i="57"/>
  <c r="V2538" i="57"/>
  <c r="P2539" i="57"/>
  <c r="R2539" i="57"/>
  <c r="T2539" i="57"/>
  <c r="U2539" i="57"/>
  <c r="V2539" i="57"/>
  <c r="P2540" i="57"/>
  <c r="R2540" i="57"/>
  <c r="T2540" i="57"/>
  <c r="U2540" i="57"/>
  <c r="V2540" i="57"/>
  <c r="P2541" i="57"/>
  <c r="R2541" i="57"/>
  <c r="T2541" i="57"/>
  <c r="U2541" i="57"/>
  <c r="V2541" i="57"/>
  <c r="P2542" i="57"/>
  <c r="R2542" i="57"/>
  <c r="T2542" i="57"/>
  <c r="U2542" i="57"/>
  <c r="V2542" i="57"/>
  <c r="P2543" i="57"/>
  <c r="R2543" i="57"/>
  <c r="T2543" i="57"/>
  <c r="U2543" i="57"/>
  <c r="V2543" i="57"/>
  <c r="P2544" i="57"/>
  <c r="R2544" i="57"/>
  <c r="T2544" i="57"/>
  <c r="U2544" i="57"/>
  <c r="V2544" i="57"/>
  <c r="P2545" i="57"/>
  <c r="R2545" i="57"/>
  <c r="T2545" i="57"/>
  <c r="U2545" i="57"/>
  <c r="V2545" i="57"/>
  <c r="P2546" i="57"/>
  <c r="R2546" i="57"/>
  <c r="T2546" i="57"/>
  <c r="U2546" i="57"/>
  <c r="V2546" i="57"/>
  <c r="P2547" i="57"/>
  <c r="R2547" i="57"/>
  <c r="T2547" i="57"/>
  <c r="U2547" i="57"/>
  <c r="V2547" i="57"/>
  <c r="P2548" i="57"/>
  <c r="R2548" i="57"/>
  <c r="T2548" i="57"/>
  <c r="U2548" i="57"/>
  <c r="V2548" i="57"/>
  <c r="P2549" i="57"/>
  <c r="R2549" i="57"/>
  <c r="T2549" i="57"/>
  <c r="U2549" i="57"/>
  <c r="V2549" i="57"/>
  <c r="P2550" i="57"/>
  <c r="R2550" i="57"/>
  <c r="T2550" i="57"/>
  <c r="U2550" i="57"/>
  <c r="V2550" i="57"/>
  <c r="P2551" i="57"/>
  <c r="R2551" i="57"/>
  <c r="T2551" i="57"/>
  <c r="U2551" i="57"/>
  <c r="V2551" i="57"/>
  <c r="P2552" i="57"/>
  <c r="R2552" i="57"/>
  <c r="T2552" i="57"/>
  <c r="U2552" i="57"/>
  <c r="V2552" i="57"/>
  <c r="P2553" i="57"/>
  <c r="R2553" i="57"/>
  <c r="T2553" i="57"/>
  <c r="U2553" i="57"/>
  <c r="V2553" i="57"/>
  <c r="P2554" i="57"/>
  <c r="R2554" i="57"/>
  <c r="T2554" i="57"/>
  <c r="U2554" i="57"/>
  <c r="V2554" i="57"/>
  <c r="P2555" i="57"/>
  <c r="R2555" i="57"/>
  <c r="T2555" i="57"/>
  <c r="U2555" i="57"/>
  <c r="V2555" i="57"/>
  <c r="P2556" i="57"/>
  <c r="R2556" i="57"/>
  <c r="T2556" i="57"/>
  <c r="U2556" i="57"/>
  <c r="V2556" i="57"/>
  <c r="P2557" i="57"/>
  <c r="R2557" i="57"/>
  <c r="T2557" i="57"/>
  <c r="U2557" i="57"/>
  <c r="V2557" i="57"/>
  <c r="P2558" i="57"/>
  <c r="R2558" i="57"/>
  <c r="T2558" i="57"/>
  <c r="U2558" i="57"/>
  <c r="V2558" i="57"/>
  <c r="P1626" i="57"/>
  <c r="R1626" i="57"/>
  <c r="T1626" i="57"/>
  <c r="U1626" i="57"/>
  <c r="V1626" i="57"/>
  <c r="P1627" i="57"/>
  <c r="R1627" i="57"/>
  <c r="T1627" i="57"/>
  <c r="U1627" i="57"/>
  <c r="V1627" i="57"/>
  <c r="P1628" i="57"/>
  <c r="R1628" i="57"/>
  <c r="T1628" i="57"/>
  <c r="U1628" i="57"/>
  <c r="V1628" i="57"/>
  <c r="P1629" i="57"/>
  <c r="R1629" i="57"/>
  <c r="T1629" i="57"/>
  <c r="U1629" i="57"/>
  <c r="V1629" i="57"/>
  <c r="P1630" i="57"/>
  <c r="R1630" i="57"/>
  <c r="T1630" i="57"/>
  <c r="U1630" i="57"/>
  <c r="V1630" i="57"/>
  <c r="P1631" i="57"/>
  <c r="R1631" i="57"/>
  <c r="T1631" i="57"/>
  <c r="U1631" i="57"/>
  <c r="V1631" i="57"/>
  <c r="P1632" i="57"/>
  <c r="R1632" i="57"/>
  <c r="T1632" i="57"/>
  <c r="U1632" i="57"/>
  <c r="V1632" i="57"/>
  <c r="P1633" i="57"/>
  <c r="R1633" i="57"/>
  <c r="T1633" i="57"/>
  <c r="U1633" i="57"/>
  <c r="V1633" i="57"/>
  <c r="P1634" i="57"/>
  <c r="R1634" i="57"/>
  <c r="T1634" i="57"/>
  <c r="U1634" i="57"/>
  <c r="V1634" i="57"/>
  <c r="P1635" i="57"/>
  <c r="R1635" i="57"/>
  <c r="T1635" i="57"/>
  <c r="U1635" i="57"/>
  <c r="V1635" i="57"/>
  <c r="P1636" i="57"/>
  <c r="R1636" i="57"/>
  <c r="T1636" i="57"/>
  <c r="U1636" i="57"/>
  <c r="V1636" i="57"/>
  <c r="P1637" i="57"/>
  <c r="R1637" i="57"/>
  <c r="T1637" i="57"/>
  <c r="U1637" i="57"/>
  <c r="V1637" i="57"/>
  <c r="P1625" i="57"/>
  <c r="R1625" i="57"/>
  <c r="T1625" i="57"/>
  <c r="U1625" i="57"/>
  <c r="V1625" i="57"/>
  <c r="D2506" i="57"/>
  <c r="D2558" i="57" s="1"/>
  <c r="D2505" i="57"/>
  <c r="D2557" i="57" s="1"/>
  <c r="D2504" i="57"/>
  <c r="D2556" i="57" s="1"/>
  <c r="D2503" i="57"/>
  <c r="D2555" i="57" s="1"/>
  <c r="D2502" i="57"/>
  <c r="D2554" i="57" s="1"/>
  <c r="D2501" i="57"/>
  <c r="D2553" i="57" s="1"/>
  <c r="D2500" i="57"/>
  <c r="D2552" i="57" s="1"/>
  <c r="D2499" i="57"/>
  <c r="D2551" i="57" s="1"/>
  <c r="D2498" i="57"/>
  <c r="D2550" i="57" s="1"/>
  <c r="D2497" i="57"/>
  <c r="D2549" i="57" s="1"/>
  <c r="D2496" i="57"/>
  <c r="D2548" i="57" s="1"/>
  <c r="D2495" i="57"/>
  <c r="D2547" i="57" s="1"/>
  <c r="D2494" i="57"/>
  <c r="D2546" i="57" s="1"/>
  <c r="D2493" i="57"/>
  <c r="D2545" i="57" s="1"/>
  <c r="D2492" i="57"/>
  <c r="D2544" i="57" s="1"/>
  <c r="D2491" i="57"/>
  <c r="D2543" i="57" s="1"/>
  <c r="D2490" i="57"/>
  <c r="D2542" i="57" s="1"/>
  <c r="D2489" i="57"/>
  <c r="D2541" i="57" s="1"/>
  <c r="D2488" i="57"/>
  <c r="D2540" i="57" s="1"/>
  <c r="D2487" i="57"/>
  <c r="D2539" i="57" s="1"/>
  <c r="D2486" i="57"/>
  <c r="D2538" i="57" s="1"/>
  <c r="D2485" i="57"/>
  <c r="D2537" i="57" s="1"/>
  <c r="D2484" i="57"/>
  <c r="D2536" i="57" s="1"/>
  <c r="D2483" i="57"/>
  <c r="D2535" i="57" s="1"/>
  <c r="D2482" i="57"/>
  <c r="D2534" i="57" s="1"/>
  <c r="D2481" i="57"/>
  <c r="D2533" i="57" s="1"/>
  <c r="D2480" i="57"/>
  <c r="D2532" i="57" s="1"/>
  <c r="D2479" i="57"/>
  <c r="D2531" i="57" s="1"/>
  <c r="D2478" i="57"/>
  <c r="D2530" i="57" s="1"/>
  <c r="D2477" i="57"/>
  <c r="D2529" i="57" s="1"/>
  <c r="D2476" i="57"/>
  <c r="D2528" i="57" s="1"/>
  <c r="D2475" i="57"/>
  <c r="D2527" i="57" s="1"/>
  <c r="D2474" i="57"/>
  <c r="D2526" i="57" s="1"/>
  <c r="D2473" i="57"/>
  <c r="D2525" i="57" s="1"/>
  <c r="D2472" i="57"/>
  <c r="D2524" i="57" s="1"/>
  <c r="D2471" i="57"/>
  <c r="D2523" i="57" s="1"/>
  <c r="D2470" i="57"/>
  <c r="D2522" i="57" s="1"/>
  <c r="D2469" i="57"/>
  <c r="D2521" i="57" s="1"/>
  <c r="D2468" i="57"/>
  <c r="D2520" i="57" s="1"/>
  <c r="D2467" i="57"/>
  <c r="D2519" i="57" s="1"/>
  <c r="D2466" i="57"/>
  <c r="D2518" i="57" s="1"/>
  <c r="D2465" i="57"/>
  <c r="D2517" i="57" s="1"/>
  <c r="D2464" i="57"/>
  <c r="D2516" i="57" s="1"/>
  <c r="D2463" i="57"/>
  <c r="D2515" i="57" s="1"/>
  <c r="D2462" i="57"/>
  <c r="D2514" i="57" s="1"/>
  <c r="D2461" i="57"/>
  <c r="D2513" i="57" s="1"/>
  <c r="D2460" i="57"/>
  <c r="D2512" i="57" s="1"/>
  <c r="D2459" i="57"/>
  <c r="D2511" i="57" s="1"/>
  <c r="D2458" i="57"/>
  <c r="D2510" i="57" s="1"/>
  <c r="D2457" i="57"/>
  <c r="D2509" i="57" s="1"/>
  <c r="D2456" i="57"/>
  <c r="D2508" i="57" s="1"/>
  <c r="D2350" i="57"/>
  <c r="D2402" i="57" s="1"/>
  <c r="D2349" i="57"/>
  <c r="D2401" i="57" s="1"/>
  <c r="D2348" i="57"/>
  <c r="D2400" i="57" s="1"/>
  <c r="D2347" i="57"/>
  <c r="D2399" i="57" s="1"/>
  <c r="D2346" i="57"/>
  <c r="D2398" i="57" s="1"/>
  <c r="D2345" i="57"/>
  <c r="D2397" i="57" s="1"/>
  <c r="D2344" i="57"/>
  <c r="D2396" i="57" s="1"/>
  <c r="D2343" i="57"/>
  <c r="D2395" i="57" s="1"/>
  <c r="D2342" i="57"/>
  <c r="D2394" i="57" s="1"/>
  <c r="D2341" i="57"/>
  <c r="D2393" i="57" s="1"/>
  <c r="D2340" i="57"/>
  <c r="D2392" i="57" s="1"/>
  <c r="D2339" i="57"/>
  <c r="D2391" i="57" s="1"/>
  <c r="D2338" i="57"/>
  <c r="D2390" i="57" s="1"/>
  <c r="D2337" i="57"/>
  <c r="D2389" i="57" s="1"/>
  <c r="D2336" i="57"/>
  <c r="D2388" i="57" s="1"/>
  <c r="D2335" i="57"/>
  <c r="D2387" i="57" s="1"/>
  <c r="D2334" i="57"/>
  <c r="D2386" i="57" s="1"/>
  <c r="D2333" i="57"/>
  <c r="D2385" i="57" s="1"/>
  <c r="D2332" i="57"/>
  <c r="D2384" i="57" s="1"/>
  <c r="D2331" i="57"/>
  <c r="D2383" i="57" s="1"/>
  <c r="D2330" i="57"/>
  <c r="D2382" i="57" s="1"/>
  <c r="D2329" i="57"/>
  <c r="D2381" i="57" s="1"/>
  <c r="D2328" i="57"/>
  <c r="D2380" i="57" s="1"/>
  <c r="D2327" i="57"/>
  <c r="D2379" i="57" s="1"/>
  <c r="D2326" i="57"/>
  <c r="D2378" i="57" s="1"/>
  <c r="D2325" i="57"/>
  <c r="D2377" i="57" s="1"/>
  <c r="D2324" i="57"/>
  <c r="D2376" i="57" s="1"/>
  <c r="D2323" i="57"/>
  <c r="D2375" i="57" s="1"/>
  <c r="D2322" i="57"/>
  <c r="D2374" i="57" s="1"/>
  <c r="D2321" i="57"/>
  <c r="D2373" i="57" s="1"/>
  <c r="D2320" i="57"/>
  <c r="D2372" i="57" s="1"/>
  <c r="D2319" i="57"/>
  <c r="D2371" i="57" s="1"/>
  <c r="D2318" i="57"/>
  <c r="D2370" i="57" s="1"/>
  <c r="D2317" i="57"/>
  <c r="D2369" i="57" s="1"/>
  <c r="D2316" i="57"/>
  <c r="D2368" i="57" s="1"/>
  <c r="D2315" i="57"/>
  <c r="D2367" i="57" s="1"/>
  <c r="D2314" i="57"/>
  <c r="D2366" i="57" s="1"/>
  <c r="D2313" i="57"/>
  <c r="D2365" i="57" s="1"/>
  <c r="D2312" i="57"/>
  <c r="D2364" i="57" s="1"/>
  <c r="D2311" i="57"/>
  <c r="D2363" i="57" s="1"/>
  <c r="D2310" i="57"/>
  <c r="D2362" i="57" s="1"/>
  <c r="D2309" i="57"/>
  <c r="D2361" i="57" s="1"/>
  <c r="D2308" i="57"/>
  <c r="D2360" i="57" s="1"/>
  <c r="D2307" i="57"/>
  <c r="D2359" i="57" s="1"/>
  <c r="D2306" i="57"/>
  <c r="D2358" i="57" s="1"/>
  <c r="D2305" i="57"/>
  <c r="D2357" i="57" s="1"/>
  <c r="D2304" i="57"/>
  <c r="D2356" i="57" s="1"/>
  <c r="D2303" i="57"/>
  <c r="D2355" i="57" s="1"/>
  <c r="D2302" i="57"/>
  <c r="D2354" i="57" s="1"/>
  <c r="D2301" i="57"/>
  <c r="D2353" i="57" s="1"/>
  <c r="D2300" i="57"/>
  <c r="D2352" i="57" s="1"/>
  <c r="D2194" i="57"/>
  <c r="D2246" i="57" s="1"/>
  <c r="D2193" i="57"/>
  <c r="D2245" i="57" s="1"/>
  <c r="D2192" i="57"/>
  <c r="D2244" i="57" s="1"/>
  <c r="D2191" i="57"/>
  <c r="D2243" i="57" s="1"/>
  <c r="D2190" i="57"/>
  <c r="D2242" i="57" s="1"/>
  <c r="D2189" i="57"/>
  <c r="D2241" i="57" s="1"/>
  <c r="D2188" i="57"/>
  <c r="D2240" i="57" s="1"/>
  <c r="D2187" i="57"/>
  <c r="D2239" i="57" s="1"/>
  <c r="D2186" i="57"/>
  <c r="D2238" i="57" s="1"/>
  <c r="D2185" i="57"/>
  <c r="D2237" i="57" s="1"/>
  <c r="D2184" i="57"/>
  <c r="D2236" i="57" s="1"/>
  <c r="D2183" i="57"/>
  <c r="D2235" i="57" s="1"/>
  <c r="D2182" i="57"/>
  <c r="D2234" i="57" s="1"/>
  <c r="D2181" i="57"/>
  <c r="D2233" i="57" s="1"/>
  <c r="D2180" i="57"/>
  <c r="D2232" i="57" s="1"/>
  <c r="D2179" i="57"/>
  <c r="D2231" i="57" s="1"/>
  <c r="D2178" i="57"/>
  <c r="D2230" i="57" s="1"/>
  <c r="D2177" i="57"/>
  <c r="D2229" i="57" s="1"/>
  <c r="D2176" i="57"/>
  <c r="D2228" i="57" s="1"/>
  <c r="D2175" i="57"/>
  <c r="D2227" i="57" s="1"/>
  <c r="D2174" i="57"/>
  <c r="D2226" i="57" s="1"/>
  <c r="D2173" i="57"/>
  <c r="D2225" i="57" s="1"/>
  <c r="D2172" i="57"/>
  <c r="D2224" i="57" s="1"/>
  <c r="D2171" i="57"/>
  <c r="D2223" i="57" s="1"/>
  <c r="D2170" i="57"/>
  <c r="D2222" i="57" s="1"/>
  <c r="D2169" i="57"/>
  <c r="D2221" i="57" s="1"/>
  <c r="D2168" i="57"/>
  <c r="D2220" i="57" s="1"/>
  <c r="D2167" i="57"/>
  <c r="D2219" i="57" s="1"/>
  <c r="D2166" i="57"/>
  <c r="D2218" i="57" s="1"/>
  <c r="D2165" i="57"/>
  <c r="D2217" i="57" s="1"/>
  <c r="D2164" i="57"/>
  <c r="D2216" i="57" s="1"/>
  <c r="D2163" i="57"/>
  <c r="D2215" i="57" s="1"/>
  <c r="D2162" i="57"/>
  <c r="D2214" i="57" s="1"/>
  <c r="D2161" i="57"/>
  <c r="D2213" i="57" s="1"/>
  <c r="D2160" i="57"/>
  <c r="D2212" i="57" s="1"/>
  <c r="D2159" i="57"/>
  <c r="D2211" i="57" s="1"/>
  <c r="D2158" i="57"/>
  <c r="D2210" i="57" s="1"/>
  <c r="D2157" i="57"/>
  <c r="D2209" i="57" s="1"/>
  <c r="D2156" i="57"/>
  <c r="D2208" i="57" s="1"/>
  <c r="D2155" i="57"/>
  <c r="D2207" i="57" s="1"/>
  <c r="D2154" i="57"/>
  <c r="D2206" i="57" s="1"/>
  <c r="D2153" i="57"/>
  <c r="D2205" i="57" s="1"/>
  <c r="D2152" i="57"/>
  <c r="D2204" i="57" s="1"/>
  <c r="D2151" i="57"/>
  <c r="D2203" i="57" s="1"/>
  <c r="D2150" i="57"/>
  <c r="D2202" i="57" s="1"/>
  <c r="D2149" i="57"/>
  <c r="D2201" i="57" s="1"/>
  <c r="D2148" i="57"/>
  <c r="D2200" i="57" s="1"/>
  <c r="D2147" i="57"/>
  <c r="D2199" i="57" s="1"/>
  <c r="D2146" i="57"/>
  <c r="D2198" i="57" s="1"/>
  <c r="D2145" i="57"/>
  <c r="D2197" i="57" s="1"/>
  <c r="D2144" i="57"/>
  <c r="D2196" i="57" s="1"/>
  <c r="D2038" i="57"/>
  <c r="D2090" i="57" s="1"/>
  <c r="D2037" i="57"/>
  <c r="D2089" i="57" s="1"/>
  <c r="D2036" i="57"/>
  <c r="D2088" i="57" s="1"/>
  <c r="D2035" i="57"/>
  <c r="D2087" i="57" s="1"/>
  <c r="D2034" i="57"/>
  <c r="D2086" i="57" s="1"/>
  <c r="D2033" i="57"/>
  <c r="D2085" i="57" s="1"/>
  <c r="D2032" i="57"/>
  <c r="D2084" i="57" s="1"/>
  <c r="D2031" i="57"/>
  <c r="D2083" i="57" s="1"/>
  <c r="D2030" i="57"/>
  <c r="D2082" i="57" s="1"/>
  <c r="D2029" i="57"/>
  <c r="D2081" i="57" s="1"/>
  <c r="D2028" i="57"/>
  <c r="D2080" i="57" s="1"/>
  <c r="D2027" i="57"/>
  <c r="D2079" i="57" s="1"/>
  <c r="D2026" i="57"/>
  <c r="D2078" i="57" s="1"/>
  <c r="D2025" i="57"/>
  <c r="D2077" i="57" s="1"/>
  <c r="D2024" i="57"/>
  <c r="D2076" i="57" s="1"/>
  <c r="D2023" i="57"/>
  <c r="D2075" i="57" s="1"/>
  <c r="D2022" i="57"/>
  <c r="D2074" i="57" s="1"/>
  <c r="D2021" i="57"/>
  <c r="D2073" i="57" s="1"/>
  <c r="D2020" i="57"/>
  <c r="D2072" i="57" s="1"/>
  <c r="D2019" i="57"/>
  <c r="D2071" i="57" s="1"/>
  <c r="D2018" i="57"/>
  <c r="D2070" i="57" s="1"/>
  <c r="D2017" i="57"/>
  <c r="D2069" i="57" s="1"/>
  <c r="D2016" i="57"/>
  <c r="D2068" i="57" s="1"/>
  <c r="D2015" i="57"/>
  <c r="D2067" i="57" s="1"/>
  <c r="D2014" i="57"/>
  <c r="D2066" i="57" s="1"/>
  <c r="D2013" i="57"/>
  <c r="D2065" i="57" s="1"/>
  <c r="D2012" i="57"/>
  <c r="D2064" i="57" s="1"/>
  <c r="D2011" i="57"/>
  <c r="D2063" i="57" s="1"/>
  <c r="D2010" i="57"/>
  <c r="D2062" i="57" s="1"/>
  <c r="D2009" i="57"/>
  <c r="D2061" i="57" s="1"/>
  <c r="D2008" i="57"/>
  <c r="D2060" i="57" s="1"/>
  <c r="D2007" i="57"/>
  <c r="D2059" i="57" s="1"/>
  <c r="D2006" i="57"/>
  <c r="D2058" i="57" s="1"/>
  <c r="D2005" i="57"/>
  <c r="D2057" i="57" s="1"/>
  <c r="D2004" i="57"/>
  <c r="D2056" i="57" s="1"/>
  <c r="D2003" i="57"/>
  <c r="D2055" i="57" s="1"/>
  <c r="D2002" i="57"/>
  <c r="D2054" i="57" s="1"/>
  <c r="D2001" i="57"/>
  <c r="D2053" i="57" s="1"/>
  <c r="D2000" i="57"/>
  <c r="D2052" i="57" s="1"/>
  <c r="D1999" i="57"/>
  <c r="D2051" i="57" s="1"/>
  <c r="D1998" i="57"/>
  <c r="D2050" i="57" s="1"/>
  <c r="D1997" i="57"/>
  <c r="D2049" i="57" s="1"/>
  <c r="D1996" i="57"/>
  <c r="D2048" i="57" s="1"/>
  <c r="D1995" i="57"/>
  <c r="D2047" i="57" s="1"/>
  <c r="D1994" i="57"/>
  <c r="D2046" i="57" s="1"/>
  <c r="D1993" i="57"/>
  <c r="D2045" i="57" s="1"/>
  <c r="D1992" i="57"/>
  <c r="D2044" i="57" s="1"/>
  <c r="D1991" i="57"/>
  <c r="D2043" i="57" s="1"/>
  <c r="D1990" i="57"/>
  <c r="D2042" i="57" s="1"/>
  <c r="D1989" i="57"/>
  <c r="D2041" i="57" s="1"/>
  <c r="D1988" i="57"/>
  <c r="D2040" i="57" s="1"/>
  <c r="D1882" i="57"/>
  <c r="D1934" i="57" s="1"/>
  <c r="D1881" i="57"/>
  <c r="D1933" i="57" s="1"/>
  <c r="D1880" i="57"/>
  <c r="D1932" i="57" s="1"/>
  <c r="D1879" i="57"/>
  <c r="D1931" i="57" s="1"/>
  <c r="D1878" i="57"/>
  <c r="D1930" i="57" s="1"/>
  <c r="D1877" i="57"/>
  <c r="D1929" i="57" s="1"/>
  <c r="D1876" i="57"/>
  <c r="D1928" i="57" s="1"/>
  <c r="D1875" i="57"/>
  <c r="D1927" i="57" s="1"/>
  <c r="D1874" i="57"/>
  <c r="D1926" i="57" s="1"/>
  <c r="D1873" i="57"/>
  <c r="D1925" i="57" s="1"/>
  <c r="D1872" i="57"/>
  <c r="D1924" i="57" s="1"/>
  <c r="D1871" i="57"/>
  <c r="D1923" i="57" s="1"/>
  <c r="D1870" i="57"/>
  <c r="D1922" i="57" s="1"/>
  <c r="D1869" i="57"/>
  <c r="D1921" i="57" s="1"/>
  <c r="D1868" i="57"/>
  <c r="D1920" i="57" s="1"/>
  <c r="D1867" i="57"/>
  <c r="D1919" i="57" s="1"/>
  <c r="D1866" i="57"/>
  <c r="D1918" i="57" s="1"/>
  <c r="D1865" i="57"/>
  <c r="D1917" i="57" s="1"/>
  <c r="D1864" i="57"/>
  <c r="D1916" i="57" s="1"/>
  <c r="D1863" i="57"/>
  <c r="D1915" i="57" s="1"/>
  <c r="D1862" i="57"/>
  <c r="D1914" i="57" s="1"/>
  <c r="D1861" i="57"/>
  <c r="D1913" i="57" s="1"/>
  <c r="D1860" i="57"/>
  <c r="D1912" i="57" s="1"/>
  <c r="D1859" i="57"/>
  <c r="D1911" i="57" s="1"/>
  <c r="D1858" i="57"/>
  <c r="D1910" i="57" s="1"/>
  <c r="D1857" i="57"/>
  <c r="D1909" i="57" s="1"/>
  <c r="D1856" i="57"/>
  <c r="D1908" i="57" s="1"/>
  <c r="D1855" i="57"/>
  <c r="D1907" i="57" s="1"/>
  <c r="D1854" i="57"/>
  <c r="D1906" i="57" s="1"/>
  <c r="D1853" i="57"/>
  <c r="D1905" i="57" s="1"/>
  <c r="D1852" i="57"/>
  <c r="D1904" i="57" s="1"/>
  <c r="D1851" i="57"/>
  <c r="D1903" i="57" s="1"/>
  <c r="D1850" i="57"/>
  <c r="D1902" i="57" s="1"/>
  <c r="D1849" i="57"/>
  <c r="D1901" i="57" s="1"/>
  <c r="D1848" i="57"/>
  <c r="D1900" i="57" s="1"/>
  <c r="D1847" i="57"/>
  <c r="D1899" i="57" s="1"/>
  <c r="D1846" i="57"/>
  <c r="D1898" i="57" s="1"/>
  <c r="D1845" i="57"/>
  <c r="D1897" i="57" s="1"/>
  <c r="D1844" i="57"/>
  <c r="D1896" i="57" s="1"/>
  <c r="D1843" i="57"/>
  <c r="D1895" i="57" s="1"/>
  <c r="D1842" i="57"/>
  <c r="D1894" i="57" s="1"/>
  <c r="D1841" i="57"/>
  <c r="D1893" i="57" s="1"/>
  <c r="D1840" i="57"/>
  <c r="D1892" i="57" s="1"/>
  <c r="D1839" i="57"/>
  <c r="D1891" i="57" s="1"/>
  <c r="D1838" i="57"/>
  <c r="D1890" i="57" s="1"/>
  <c r="D1837" i="57"/>
  <c r="D1889" i="57" s="1"/>
  <c r="D1836" i="57"/>
  <c r="D1888" i="57" s="1"/>
  <c r="D1835" i="57"/>
  <c r="D1887" i="57" s="1"/>
  <c r="D1834" i="57"/>
  <c r="D1886" i="57" s="1"/>
  <c r="D1833" i="57"/>
  <c r="D1885" i="57" s="1"/>
  <c r="D1832" i="57"/>
  <c r="D1884" i="57" s="1"/>
  <c r="D1726" i="57"/>
  <c r="D1778" i="57" s="1"/>
  <c r="D1725" i="57"/>
  <c r="D1777" i="57" s="1"/>
  <c r="D1724" i="57"/>
  <c r="D1776" i="57" s="1"/>
  <c r="D1723" i="57"/>
  <c r="D1775" i="57" s="1"/>
  <c r="D1722" i="57"/>
  <c r="D1774" i="57" s="1"/>
  <c r="D1721" i="57"/>
  <c r="D1773" i="57" s="1"/>
  <c r="D1720" i="57"/>
  <c r="D1772" i="57" s="1"/>
  <c r="D1719" i="57"/>
  <c r="D1771" i="57" s="1"/>
  <c r="D1718" i="57"/>
  <c r="D1770" i="57" s="1"/>
  <c r="D1717" i="57"/>
  <c r="D1769" i="57" s="1"/>
  <c r="D1716" i="57"/>
  <c r="D1768" i="57" s="1"/>
  <c r="D1715" i="57"/>
  <c r="D1767" i="57" s="1"/>
  <c r="D1714" i="57"/>
  <c r="D1766" i="57" s="1"/>
  <c r="D1713" i="57"/>
  <c r="D1765" i="57" s="1"/>
  <c r="D1712" i="57"/>
  <c r="D1764" i="57" s="1"/>
  <c r="D1711" i="57"/>
  <c r="D1763" i="57" s="1"/>
  <c r="D1710" i="57"/>
  <c r="D1762" i="57" s="1"/>
  <c r="D1709" i="57"/>
  <c r="D1761" i="57" s="1"/>
  <c r="D1708" i="57"/>
  <c r="D1760" i="57" s="1"/>
  <c r="D1707" i="57"/>
  <c r="D1759" i="57" s="1"/>
  <c r="D1706" i="57"/>
  <c r="D1758" i="57" s="1"/>
  <c r="D1705" i="57"/>
  <c r="D1757" i="57" s="1"/>
  <c r="D1704" i="57"/>
  <c r="D1756" i="57" s="1"/>
  <c r="D1703" i="57"/>
  <c r="D1755" i="57" s="1"/>
  <c r="D1702" i="57"/>
  <c r="D1754" i="57" s="1"/>
  <c r="D1701" i="57"/>
  <c r="D1753" i="57" s="1"/>
  <c r="D1700" i="57"/>
  <c r="D1752" i="57" s="1"/>
  <c r="D1699" i="57"/>
  <c r="D1751" i="57" s="1"/>
  <c r="D1698" i="57"/>
  <c r="D1750" i="57" s="1"/>
  <c r="D1697" i="57"/>
  <c r="D1749" i="57" s="1"/>
  <c r="D1696" i="57"/>
  <c r="D1748" i="57" s="1"/>
  <c r="D1695" i="57"/>
  <c r="D1747" i="57" s="1"/>
  <c r="D1694" i="57"/>
  <c r="D1746" i="57" s="1"/>
  <c r="D1693" i="57"/>
  <c r="D1745" i="57" s="1"/>
  <c r="D1692" i="57"/>
  <c r="D1744" i="57" s="1"/>
  <c r="D1691" i="57"/>
  <c r="D1743" i="57" s="1"/>
  <c r="D1690" i="57"/>
  <c r="D1742" i="57" s="1"/>
  <c r="D1689" i="57"/>
  <c r="D1741" i="57" s="1"/>
  <c r="D1688" i="57"/>
  <c r="D1740" i="57" s="1"/>
  <c r="D1687" i="57"/>
  <c r="D1739" i="57" s="1"/>
  <c r="D1686" i="57"/>
  <c r="D1738" i="57" s="1"/>
  <c r="D1685" i="57"/>
  <c r="D1737" i="57" s="1"/>
  <c r="D1684" i="57"/>
  <c r="D1736" i="57" s="1"/>
  <c r="D1683" i="57"/>
  <c r="D1735" i="57" s="1"/>
  <c r="D1682" i="57"/>
  <c r="D1734" i="57" s="1"/>
  <c r="D1681" i="57"/>
  <c r="D1733" i="57" s="1"/>
  <c r="D1680" i="57"/>
  <c r="D1732" i="57" s="1"/>
  <c r="D1679" i="57"/>
  <c r="D1731" i="57" s="1"/>
  <c r="D1678" i="57"/>
  <c r="D1730" i="57" s="1"/>
  <c r="D1677" i="57"/>
  <c r="D1729" i="57" s="1"/>
  <c r="D1676" i="57"/>
  <c r="D1728" i="57" s="1"/>
  <c r="S1046" i="57"/>
  <c r="Q1046" i="57"/>
  <c r="O1046" i="57"/>
  <c r="N1046" i="57"/>
  <c r="M1046" i="57"/>
  <c r="I1046" i="57"/>
  <c r="S1045" i="57"/>
  <c r="Q1045" i="57"/>
  <c r="O1045" i="57"/>
  <c r="N1045" i="57"/>
  <c r="M1045" i="57"/>
  <c r="I1045" i="57"/>
  <c r="S1044" i="57"/>
  <c r="Q1044" i="57"/>
  <c r="O1044" i="57"/>
  <c r="N1044" i="57"/>
  <c r="M1044" i="57"/>
  <c r="I1044" i="57"/>
  <c r="S1043" i="57"/>
  <c r="Q1043" i="57"/>
  <c r="O1043" i="57"/>
  <c r="N1043" i="57"/>
  <c r="M1043" i="57"/>
  <c r="I1043" i="57"/>
  <c r="S1042" i="57"/>
  <c r="Q1042" i="57"/>
  <c r="O1042" i="57"/>
  <c r="N1042" i="57"/>
  <c r="M1042" i="57"/>
  <c r="I1042" i="57"/>
  <c r="S1041" i="57"/>
  <c r="Q1041" i="57"/>
  <c r="O1041" i="57"/>
  <c r="N1041" i="57"/>
  <c r="M1041" i="57"/>
  <c r="I1041" i="57"/>
  <c r="S1040" i="57"/>
  <c r="Q1040" i="57"/>
  <c r="O1040" i="57"/>
  <c r="N1040" i="57"/>
  <c r="M1040" i="57"/>
  <c r="I1040" i="57"/>
  <c r="S1039" i="57"/>
  <c r="Q1039" i="57"/>
  <c r="O1039" i="57"/>
  <c r="N1039" i="57"/>
  <c r="M1039" i="57"/>
  <c r="I1039" i="57"/>
  <c r="S1038" i="57"/>
  <c r="Q1038" i="57"/>
  <c r="O1038" i="57"/>
  <c r="N1038" i="57"/>
  <c r="M1038" i="57"/>
  <c r="I1038" i="57"/>
  <c r="S1037" i="57"/>
  <c r="Q1037" i="57"/>
  <c r="O1037" i="57"/>
  <c r="N1037" i="57"/>
  <c r="M1037" i="57"/>
  <c r="I1037" i="57"/>
  <c r="S1036" i="57"/>
  <c r="Q1036" i="57"/>
  <c r="O1036" i="57"/>
  <c r="N1036" i="57"/>
  <c r="M1036" i="57"/>
  <c r="I1036" i="57"/>
  <c r="S1035" i="57"/>
  <c r="Q1035" i="57"/>
  <c r="O1035" i="57"/>
  <c r="N1035" i="57"/>
  <c r="M1035" i="57"/>
  <c r="I1035" i="57"/>
  <c r="S1034" i="57"/>
  <c r="Q1034" i="57"/>
  <c r="O1034" i="57"/>
  <c r="N1034" i="57"/>
  <c r="M1034" i="57"/>
  <c r="I1034" i="57"/>
  <c r="S1033" i="57"/>
  <c r="Q1033" i="57"/>
  <c r="O1033" i="57"/>
  <c r="N1033" i="57"/>
  <c r="M1033" i="57"/>
  <c r="I1033" i="57"/>
  <c r="S1032" i="57"/>
  <c r="Q1032" i="57"/>
  <c r="O1032" i="57"/>
  <c r="N1032" i="57"/>
  <c r="M1032" i="57"/>
  <c r="I1032" i="57"/>
  <c r="S1031" i="57"/>
  <c r="Q1031" i="57"/>
  <c r="O1031" i="57"/>
  <c r="N1031" i="57"/>
  <c r="M1031" i="57"/>
  <c r="I1031" i="57"/>
  <c r="S1030" i="57"/>
  <c r="Q1030" i="57"/>
  <c r="O1030" i="57"/>
  <c r="N1030" i="57"/>
  <c r="M1030" i="57"/>
  <c r="I1030" i="57"/>
  <c r="S1029" i="57"/>
  <c r="Q1029" i="57"/>
  <c r="O1029" i="57"/>
  <c r="N1029" i="57"/>
  <c r="M1029" i="57"/>
  <c r="I1029" i="57"/>
  <c r="S1028" i="57"/>
  <c r="Q1028" i="57"/>
  <c r="O1028" i="57"/>
  <c r="N1028" i="57"/>
  <c r="M1028" i="57"/>
  <c r="I1028" i="57"/>
  <c r="S1027" i="57"/>
  <c r="Q1027" i="57"/>
  <c r="O1027" i="57"/>
  <c r="N1027" i="57"/>
  <c r="M1027" i="57"/>
  <c r="I1027" i="57"/>
  <c r="S1026" i="57"/>
  <c r="Q1026" i="57"/>
  <c r="O1026" i="57"/>
  <c r="N1026" i="57"/>
  <c r="M1026" i="57"/>
  <c r="I1026" i="57"/>
  <c r="S1025" i="57"/>
  <c r="Q1025" i="57"/>
  <c r="O1025" i="57"/>
  <c r="N1025" i="57"/>
  <c r="M1025" i="57"/>
  <c r="I1025" i="57"/>
  <c r="S1024" i="57"/>
  <c r="Q1024" i="57"/>
  <c r="O1024" i="57"/>
  <c r="N1024" i="57"/>
  <c r="M1024" i="57"/>
  <c r="I1024" i="57"/>
  <c r="S1023" i="57"/>
  <c r="Q1023" i="57"/>
  <c r="O1023" i="57"/>
  <c r="N1023" i="57"/>
  <c r="M1023" i="57"/>
  <c r="I1023" i="57"/>
  <c r="S1022" i="57"/>
  <c r="Q1022" i="57"/>
  <c r="O1022" i="57"/>
  <c r="N1022" i="57"/>
  <c r="M1022" i="57"/>
  <c r="I1022" i="57"/>
  <c r="S1021" i="57"/>
  <c r="Q1021" i="57"/>
  <c r="O1021" i="57"/>
  <c r="N1021" i="57"/>
  <c r="M1021" i="57"/>
  <c r="I1021" i="57"/>
  <c r="S1020" i="57"/>
  <c r="Q1020" i="57"/>
  <c r="O1020" i="57"/>
  <c r="N1020" i="57"/>
  <c r="M1020" i="57"/>
  <c r="I1020" i="57"/>
  <c r="S1019" i="57"/>
  <c r="Q1019" i="57"/>
  <c r="O1019" i="57"/>
  <c r="N1019" i="57"/>
  <c r="M1019" i="57"/>
  <c r="I1019" i="57"/>
  <c r="S1018" i="57"/>
  <c r="Q1018" i="57"/>
  <c r="O1018" i="57"/>
  <c r="N1018" i="57"/>
  <c r="M1018" i="57"/>
  <c r="I1018" i="57"/>
  <c r="S1017" i="57"/>
  <c r="Q1017" i="57"/>
  <c r="O1017" i="57"/>
  <c r="N1017" i="57"/>
  <c r="M1017" i="57"/>
  <c r="I1017" i="57"/>
  <c r="S1016" i="57"/>
  <c r="Q1016" i="57"/>
  <c r="O1016" i="57"/>
  <c r="N1016" i="57"/>
  <c r="M1016" i="57"/>
  <c r="I1016" i="57"/>
  <c r="S1015" i="57"/>
  <c r="Q1015" i="57"/>
  <c r="O1015" i="57"/>
  <c r="N1015" i="57"/>
  <c r="M1015" i="57"/>
  <c r="I1015" i="57"/>
  <c r="S1014" i="57"/>
  <c r="Q1014" i="57"/>
  <c r="O1014" i="57"/>
  <c r="N1014" i="57"/>
  <c r="M1014" i="57"/>
  <c r="I1014" i="57"/>
  <c r="S1013" i="57"/>
  <c r="Q1013" i="57"/>
  <c r="O1013" i="57"/>
  <c r="N1013" i="57"/>
  <c r="M1013" i="57"/>
  <c r="I1013" i="57"/>
  <c r="S1012" i="57"/>
  <c r="Q1012" i="57"/>
  <c r="O1012" i="57"/>
  <c r="N1012" i="57"/>
  <c r="M1012" i="57"/>
  <c r="I1012" i="57"/>
  <c r="S1011" i="57"/>
  <c r="Q1011" i="57"/>
  <c r="O1011" i="57"/>
  <c r="N1011" i="57"/>
  <c r="M1011" i="57"/>
  <c r="I1011" i="57"/>
  <c r="S1010" i="57"/>
  <c r="Q1010" i="57"/>
  <c r="O1010" i="57"/>
  <c r="N1010" i="57"/>
  <c r="M1010" i="57"/>
  <c r="I1010" i="57"/>
  <c r="S1009" i="57"/>
  <c r="Q1009" i="57"/>
  <c r="O1009" i="57"/>
  <c r="N1009" i="57"/>
  <c r="M1009" i="57"/>
  <c r="I1009" i="57"/>
  <c r="S1008" i="57"/>
  <c r="Q1008" i="57"/>
  <c r="O1008" i="57"/>
  <c r="N1008" i="57"/>
  <c r="M1008" i="57"/>
  <c r="I1008" i="57"/>
  <c r="S1007" i="57"/>
  <c r="Q1007" i="57"/>
  <c r="O1007" i="57"/>
  <c r="N1007" i="57"/>
  <c r="M1007" i="57"/>
  <c r="I1007" i="57"/>
  <c r="S1006" i="57"/>
  <c r="Q1006" i="57"/>
  <c r="O1006" i="57"/>
  <c r="N1006" i="57"/>
  <c r="M1006" i="57"/>
  <c r="I1006" i="57"/>
  <c r="S1005" i="57"/>
  <c r="Q1005" i="57"/>
  <c r="O1005" i="57"/>
  <c r="N1005" i="57"/>
  <c r="M1005" i="57"/>
  <c r="I1005" i="57"/>
  <c r="S1004" i="57"/>
  <c r="Q1004" i="57"/>
  <c r="O1004" i="57"/>
  <c r="N1004" i="57"/>
  <c r="M1004" i="57"/>
  <c r="I1004" i="57"/>
  <c r="S1003" i="57"/>
  <c r="Q1003" i="57"/>
  <c r="O1003" i="57"/>
  <c r="N1003" i="57"/>
  <c r="M1003" i="57"/>
  <c r="I1003" i="57"/>
  <c r="S1002" i="57"/>
  <c r="Q1002" i="57"/>
  <c r="O1002" i="57"/>
  <c r="N1002" i="57"/>
  <c r="M1002" i="57"/>
  <c r="I1002" i="57"/>
  <c r="S1001" i="57"/>
  <c r="Q1001" i="57"/>
  <c r="O1001" i="57"/>
  <c r="N1001" i="57"/>
  <c r="M1001" i="57"/>
  <c r="I1001" i="57"/>
  <c r="S1000" i="57"/>
  <c r="Q1000" i="57"/>
  <c r="O1000" i="57"/>
  <c r="N1000" i="57"/>
  <c r="M1000" i="57"/>
  <c r="I1000" i="57"/>
  <c r="S999" i="57"/>
  <c r="Q999" i="57"/>
  <c r="N999" i="57"/>
  <c r="M999" i="57"/>
  <c r="I999" i="57"/>
  <c r="S998" i="57"/>
  <c r="Q998" i="57"/>
  <c r="O998" i="57"/>
  <c r="N998" i="57"/>
  <c r="M998" i="57"/>
  <c r="I998" i="57"/>
  <c r="S997" i="57"/>
  <c r="Q997" i="57"/>
  <c r="N997" i="57"/>
  <c r="M997" i="57"/>
  <c r="I997" i="57"/>
  <c r="S994" i="57"/>
  <c r="Q994" i="57"/>
  <c r="O994" i="57"/>
  <c r="N994" i="57"/>
  <c r="M994" i="57"/>
  <c r="I994" i="57"/>
  <c r="S993" i="57"/>
  <c r="Q993" i="57"/>
  <c r="O993" i="57"/>
  <c r="N993" i="57"/>
  <c r="M993" i="57"/>
  <c r="I993" i="57"/>
  <c r="S992" i="57"/>
  <c r="Q992" i="57"/>
  <c r="O992" i="57"/>
  <c r="N992" i="57"/>
  <c r="M992" i="57"/>
  <c r="I992" i="57"/>
  <c r="S991" i="57"/>
  <c r="Q991" i="57"/>
  <c r="O991" i="57"/>
  <c r="N991" i="57"/>
  <c r="M991" i="57"/>
  <c r="I991" i="57"/>
  <c r="S990" i="57"/>
  <c r="Q990" i="57"/>
  <c r="O990" i="57"/>
  <c r="N990" i="57"/>
  <c r="M990" i="57"/>
  <c r="I990" i="57"/>
  <c r="S989" i="57"/>
  <c r="Q989" i="57"/>
  <c r="O989" i="57"/>
  <c r="N989" i="57"/>
  <c r="M989" i="57"/>
  <c r="I989" i="57"/>
  <c r="S988" i="57"/>
  <c r="Q988" i="57"/>
  <c r="O988" i="57"/>
  <c r="N988" i="57"/>
  <c r="M988" i="57"/>
  <c r="I988" i="57"/>
  <c r="S987" i="57"/>
  <c r="Q987" i="57"/>
  <c r="O987" i="57"/>
  <c r="N987" i="57"/>
  <c r="M987" i="57"/>
  <c r="I987" i="57"/>
  <c r="S986" i="57"/>
  <c r="Q986" i="57"/>
  <c r="O986" i="57"/>
  <c r="N986" i="57"/>
  <c r="M986" i="57"/>
  <c r="I986" i="57"/>
  <c r="S985" i="57"/>
  <c r="Q985" i="57"/>
  <c r="O985" i="57"/>
  <c r="N985" i="57"/>
  <c r="M985" i="57"/>
  <c r="I985" i="57"/>
  <c r="S984" i="57"/>
  <c r="Q984" i="57"/>
  <c r="O984" i="57"/>
  <c r="N984" i="57"/>
  <c r="M984" i="57"/>
  <c r="I984" i="57"/>
  <c r="S983" i="57"/>
  <c r="Q983" i="57"/>
  <c r="O983" i="57"/>
  <c r="N983" i="57"/>
  <c r="M983" i="57"/>
  <c r="I983" i="57"/>
  <c r="S982" i="57"/>
  <c r="Q982" i="57"/>
  <c r="O982" i="57"/>
  <c r="N982" i="57"/>
  <c r="M982" i="57"/>
  <c r="I982" i="57"/>
  <c r="S981" i="57"/>
  <c r="Q981" i="57"/>
  <c r="O981" i="57"/>
  <c r="N981" i="57"/>
  <c r="M981" i="57"/>
  <c r="I981" i="57"/>
  <c r="S980" i="57"/>
  <c r="Q980" i="57"/>
  <c r="O980" i="57"/>
  <c r="N980" i="57"/>
  <c r="M980" i="57"/>
  <c r="I980" i="57"/>
  <c r="S979" i="57"/>
  <c r="Q979" i="57"/>
  <c r="O979" i="57"/>
  <c r="N979" i="57"/>
  <c r="M979" i="57"/>
  <c r="I979" i="57"/>
  <c r="S978" i="57"/>
  <c r="Q978" i="57"/>
  <c r="O978" i="57"/>
  <c r="N978" i="57"/>
  <c r="M978" i="57"/>
  <c r="I978" i="57"/>
  <c r="S977" i="57"/>
  <c r="Q977" i="57"/>
  <c r="O977" i="57"/>
  <c r="N977" i="57"/>
  <c r="M977" i="57"/>
  <c r="I977" i="57"/>
  <c r="S976" i="57"/>
  <c r="Q976" i="57"/>
  <c r="O976" i="57"/>
  <c r="N976" i="57"/>
  <c r="M976" i="57"/>
  <c r="I976" i="57"/>
  <c r="S975" i="57"/>
  <c r="Q975" i="57"/>
  <c r="O975" i="57"/>
  <c r="N975" i="57"/>
  <c r="M975" i="57"/>
  <c r="I975" i="57"/>
  <c r="S974" i="57"/>
  <c r="Q974" i="57"/>
  <c r="O974" i="57"/>
  <c r="N974" i="57"/>
  <c r="M974" i="57"/>
  <c r="I974" i="57"/>
  <c r="S973" i="57"/>
  <c r="Q973" i="57"/>
  <c r="O973" i="57"/>
  <c r="N973" i="57"/>
  <c r="M973" i="57"/>
  <c r="I973" i="57"/>
  <c r="S972" i="57"/>
  <c r="Q972" i="57"/>
  <c r="O972" i="57"/>
  <c r="N972" i="57"/>
  <c r="M972" i="57"/>
  <c r="I972" i="57"/>
  <c r="S971" i="57"/>
  <c r="Q971" i="57"/>
  <c r="O971" i="57"/>
  <c r="N971" i="57"/>
  <c r="M971" i="57"/>
  <c r="I971" i="57"/>
  <c r="S970" i="57"/>
  <c r="Q970" i="57"/>
  <c r="O970" i="57"/>
  <c r="N970" i="57"/>
  <c r="M970" i="57"/>
  <c r="I970" i="57"/>
  <c r="S969" i="57"/>
  <c r="Q969" i="57"/>
  <c r="O969" i="57"/>
  <c r="N969" i="57"/>
  <c r="M969" i="57"/>
  <c r="I969" i="57"/>
  <c r="S968" i="57"/>
  <c r="Q968" i="57"/>
  <c r="O968" i="57"/>
  <c r="N968" i="57"/>
  <c r="M968" i="57"/>
  <c r="I968" i="57"/>
  <c r="S967" i="57"/>
  <c r="Q967" i="57"/>
  <c r="O967" i="57"/>
  <c r="N967" i="57"/>
  <c r="M967" i="57"/>
  <c r="I967" i="57"/>
  <c r="S966" i="57"/>
  <c r="Q966" i="57"/>
  <c r="O966" i="57"/>
  <c r="N966" i="57"/>
  <c r="M966" i="57"/>
  <c r="I966" i="57"/>
  <c r="S965" i="57"/>
  <c r="Q965" i="57"/>
  <c r="O965" i="57"/>
  <c r="N965" i="57"/>
  <c r="M965" i="57"/>
  <c r="I965" i="57"/>
  <c r="S964" i="57"/>
  <c r="Q964" i="57"/>
  <c r="O964" i="57"/>
  <c r="N964" i="57"/>
  <c r="M964" i="57"/>
  <c r="I964" i="57"/>
  <c r="S963" i="57"/>
  <c r="Q963" i="57"/>
  <c r="O963" i="57"/>
  <c r="N963" i="57"/>
  <c r="M963" i="57"/>
  <c r="I963" i="57"/>
  <c r="S962" i="57"/>
  <c r="Q962" i="57"/>
  <c r="O962" i="57"/>
  <c r="N962" i="57"/>
  <c r="M962" i="57"/>
  <c r="I962" i="57"/>
  <c r="S961" i="57"/>
  <c r="Q961" i="57"/>
  <c r="O961" i="57"/>
  <c r="N961" i="57"/>
  <c r="M961" i="57"/>
  <c r="I961" i="57"/>
  <c r="S960" i="57"/>
  <c r="Q960" i="57"/>
  <c r="O960" i="57"/>
  <c r="N960" i="57"/>
  <c r="M960" i="57"/>
  <c r="I960" i="57"/>
  <c r="S959" i="57"/>
  <c r="Q959" i="57"/>
  <c r="O959" i="57"/>
  <c r="N959" i="57"/>
  <c r="M959" i="57"/>
  <c r="I959" i="57"/>
  <c r="S958" i="57"/>
  <c r="Q958" i="57"/>
  <c r="O958" i="57"/>
  <c r="N958" i="57"/>
  <c r="M958" i="57"/>
  <c r="I958" i="57"/>
  <c r="S957" i="57"/>
  <c r="Q957" i="57"/>
  <c r="O957" i="57"/>
  <c r="N957" i="57"/>
  <c r="M957" i="57"/>
  <c r="I957" i="57"/>
  <c r="S956" i="57"/>
  <c r="Q956" i="57"/>
  <c r="O956" i="57"/>
  <c r="N956" i="57"/>
  <c r="M956" i="57"/>
  <c r="I956" i="57"/>
  <c r="S955" i="57"/>
  <c r="Q955" i="57"/>
  <c r="O955" i="57"/>
  <c r="N955" i="57"/>
  <c r="M955" i="57"/>
  <c r="I955" i="57"/>
  <c r="S954" i="57"/>
  <c r="Q954" i="57"/>
  <c r="O954" i="57"/>
  <c r="N954" i="57"/>
  <c r="M954" i="57"/>
  <c r="I954" i="57"/>
  <c r="S953" i="57"/>
  <c r="Q953" i="57"/>
  <c r="O953" i="57"/>
  <c r="N953" i="57"/>
  <c r="M953" i="57"/>
  <c r="I953" i="57"/>
  <c r="S952" i="57"/>
  <c r="Q952" i="57"/>
  <c r="O952" i="57"/>
  <c r="N952" i="57"/>
  <c r="M952" i="57"/>
  <c r="I952" i="57"/>
  <c r="S951" i="57"/>
  <c r="Q951" i="57"/>
  <c r="O951" i="57"/>
  <c r="N951" i="57"/>
  <c r="M951" i="57"/>
  <c r="I951" i="57"/>
  <c r="S950" i="57"/>
  <c r="Q950" i="57"/>
  <c r="O950" i="57"/>
  <c r="N950" i="57"/>
  <c r="M950" i="57"/>
  <c r="I950" i="57"/>
  <c r="S949" i="57"/>
  <c r="Q949" i="57"/>
  <c r="O949" i="57"/>
  <c r="N949" i="57"/>
  <c r="M949" i="57"/>
  <c r="I949" i="57"/>
  <c r="S948" i="57"/>
  <c r="Q948" i="57"/>
  <c r="O948" i="57"/>
  <c r="N948" i="57"/>
  <c r="M948" i="57"/>
  <c r="I948" i="57"/>
  <c r="S947" i="57"/>
  <c r="Q947" i="57"/>
  <c r="O947" i="57"/>
  <c r="N947" i="57"/>
  <c r="M947" i="57"/>
  <c r="I947" i="57"/>
  <c r="S946" i="57"/>
  <c r="Q946" i="57"/>
  <c r="O946" i="57"/>
  <c r="N946" i="57"/>
  <c r="M946" i="57"/>
  <c r="I946" i="57"/>
  <c r="S945" i="57"/>
  <c r="Q945" i="57"/>
  <c r="O945" i="57"/>
  <c r="N945" i="57"/>
  <c r="M945" i="57"/>
  <c r="I945" i="57"/>
  <c r="S942" i="57"/>
  <c r="S2558" i="57" s="1"/>
  <c r="Q942" i="57"/>
  <c r="Q2558" i="57" s="1"/>
  <c r="O942" i="57"/>
  <c r="O2558" i="57" s="1"/>
  <c r="N942" i="57"/>
  <c r="N2558" i="57" s="1"/>
  <c r="M942" i="57"/>
  <c r="M2558" i="57" s="1"/>
  <c r="I942" i="57"/>
  <c r="S941" i="57"/>
  <c r="S2557" i="57" s="1"/>
  <c r="Q941" i="57"/>
  <c r="Q2557" i="57" s="1"/>
  <c r="O941" i="57"/>
  <c r="O2557" i="57" s="1"/>
  <c r="N941" i="57"/>
  <c r="N2557" i="57" s="1"/>
  <c r="M941" i="57"/>
  <c r="M2557" i="57" s="1"/>
  <c r="I941" i="57"/>
  <c r="S940" i="57"/>
  <c r="S2556" i="57" s="1"/>
  <c r="Q940" i="57"/>
  <c r="Q2556" i="57" s="1"/>
  <c r="O940" i="57"/>
  <c r="O2556" i="57" s="1"/>
  <c r="N940" i="57"/>
  <c r="N2556" i="57" s="1"/>
  <c r="M940" i="57"/>
  <c r="M2556" i="57" s="1"/>
  <c r="I940" i="57"/>
  <c r="S939" i="57"/>
  <c r="S2555" i="57" s="1"/>
  <c r="Q939" i="57"/>
  <c r="Q2555" i="57" s="1"/>
  <c r="O939" i="57"/>
  <c r="O2555" i="57" s="1"/>
  <c r="N939" i="57"/>
  <c r="N2555" i="57" s="1"/>
  <c r="M939" i="57"/>
  <c r="M2555" i="57" s="1"/>
  <c r="I939" i="57"/>
  <c r="S938" i="57"/>
  <c r="S2554" i="57" s="1"/>
  <c r="Q938" i="57"/>
  <c r="Q2554" i="57" s="1"/>
  <c r="O938" i="57"/>
  <c r="O2554" i="57" s="1"/>
  <c r="N938" i="57"/>
  <c r="N2554" i="57" s="1"/>
  <c r="M938" i="57"/>
  <c r="M2554" i="57" s="1"/>
  <c r="I938" i="57"/>
  <c r="S937" i="57"/>
  <c r="S2553" i="57" s="1"/>
  <c r="Q937" i="57"/>
  <c r="Q2553" i="57" s="1"/>
  <c r="O937" i="57"/>
  <c r="O2553" i="57" s="1"/>
  <c r="N937" i="57"/>
  <c r="N2553" i="57" s="1"/>
  <c r="M937" i="57"/>
  <c r="M2553" i="57" s="1"/>
  <c r="I937" i="57"/>
  <c r="S936" i="57"/>
  <c r="S2552" i="57" s="1"/>
  <c r="Q936" i="57"/>
  <c r="Q2552" i="57" s="1"/>
  <c r="O936" i="57"/>
  <c r="O2552" i="57" s="1"/>
  <c r="N936" i="57"/>
  <c r="N2552" i="57" s="1"/>
  <c r="M936" i="57"/>
  <c r="M2552" i="57" s="1"/>
  <c r="I936" i="57"/>
  <c r="S935" i="57"/>
  <c r="S2551" i="57" s="1"/>
  <c r="Q935" i="57"/>
  <c r="Q2551" i="57" s="1"/>
  <c r="O935" i="57"/>
  <c r="O2551" i="57" s="1"/>
  <c r="N935" i="57"/>
  <c r="N2551" i="57" s="1"/>
  <c r="M935" i="57"/>
  <c r="M2551" i="57" s="1"/>
  <c r="I935" i="57"/>
  <c r="S934" i="57"/>
  <c r="S2550" i="57" s="1"/>
  <c r="Q934" i="57"/>
  <c r="Q2550" i="57" s="1"/>
  <c r="O934" i="57"/>
  <c r="O2550" i="57" s="1"/>
  <c r="N934" i="57"/>
  <c r="N2550" i="57" s="1"/>
  <c r="M934" i="57"/>
  <c r="M2550" i="57" s="1"/>
  <c r="I934" i="57"/>
  <c r="S933" i="57"/>
  <c r="S2549" i="57" s="1"/>
  <c r="Q933" i="57"/>
  <c r="Q2549" i="57" s="1"/>
  <c r="O933" i="57"/>
  <c r="O2549" i="57" s="1"/>
  <c r="N933" i="57"/>
  <c r="N2549" i="57" s="1"/>
  <c r="M933" i="57"/>
  <c r="M2549" i="57" s="1"/>
  <c r="I933" i="57"/>
  <c r="S932" i="57"/>
  <c r="S2548" i="57" s="1"/>
  <c r="Q932" i="57"/>
  <c r="Q2548" i="57" s="1"/>
  <c r="O932" i="57"/>
  <c r="O2548" i="57" s="1"/>
  <c r="N932" i="57"/>
  <c r="N2548" i="57" s="1"/>
  <c r="M932" i="57"/>
  <c r="M2548" i="57" s="1"/>
  <c r="I932" i="57"/>
  <c r="S931" i="57"/>
  <c r="S2547" i="57" s="1"/>
  <c r="Q931" i="57"/>
  <c r="Q2547" i="57" s="1"/>
  <c r="O931" i="57"/>
  <c r="O2547" i="57" s="1"/>
  <c r="N931" i="57"/>
  <c r="N2547" i="57" s="1"/>
  <c r="M931" i="57"/>
  <c r="M2547" i="57" s="1"/>
  <c r="I931" i="57"/>
  <c r="S930" i="57"/>
  <c r="S2546" i="57" s="1"/>
  <c r="Q930" i="57"/>
  <c r="Q2546" i="57" s="1"/>
  <c r="O930" i="57"/>
  <c r="O2546" i="57" s="1"/>
  <c r="N930" i="57"/>
  <c r="N2546" i="57" s="1"/>
  <c r="M930" i="57"/>
  <c r="M2546" i="57" s="1"/>
  <c r="I930" i="57"/>
  <c r="S929" i="57"/>
  <c r="S2545" i="57" s="1"/>
  <c r="Q929" i="57"/>
  <c r="Q2545" i="57" s="1"/>
  <c r="O929" i="57"/>
  <c r="O2545" i="57" s="1"/>
  <c r="N929" i="57"/>
  <c r="N2545" i="57" s="1"/>
  <c r="M929" i="57"/>
  <c r="M2545" i="57" s="1"/>
  <c r="I929" i="57"/>
  <c r="S928" i="57"/>
  <c r="S2544" i="57" s="1"/>
  <c r="Q928" i="57"/>
  <c r="Q2544" i="57" s="1"/>
  <c r="O928" i="57"/>
  <c r="O2544" i="57" s="1"/>
  <c r="N928" i="57"/>
  <c r="N2544" i="57" s="1"/>
  <c r="M928" i="57"/>
  <c r="M2544" i="57" s="1"/>
  <c r="I928" i="57"/>
  <c r="S927" i="57"/>
  <c r="S2543" i="57" s="1"/>
  <c r="Q927" i="57"/>
  <c r="Q2543" i="57" s="1"/>
  <c r="O927" i="57"/>
  <c r="O2543" i="57" s="1"/>
  <c r="N927" i="57"/>
  <c r="N2543" i="57" s="1"/>
  <c r="M927" i="57"/>
  <c r="M2543" i="57" s="1"/>
  <c r="I927" i="57"/>
  <c r="S926" i="57"/>
  <c r="S2542" i="57" s="1"/>
  <c r="Q926" i="57"/>
  <c r="Q2542" i="57" s="1"/>
  <c r="O926" i="57"/>
  <c r="O2542" i="57" s="1"/>
  <c r="N926" i="57"/>
  <c r="N2542" i="57" s="1"/>
  <c r="M926" i="57"/>
  <c r="M2542" i="57" s="1"/>
  <c r="I926" i="57"/>
  <c r="S925" i="57"/>
  <c r="S2541" i="57" s="1"/>
  <c r="Q925" i="57"/>
  <c r="Q2541" i="57" s="1"/>
  <c r="O925" i="57"/>
  <c r="O2541" i="57" s="1"/>
  <c r="N925" i="57"/>
  <c r="N2541" i="57" s="1"/>
  <c r="M925" i="57"/>
  <c r="M2541" i="57" s="1"/>
  <c r="I925" i="57"/>
  <c r="S924" i="57"/>
  <c r="S2540" i="57" s="1"/>
  <c r="Q924" i="57"/>
  <c r="Q2540" i="57" s="1"/>
  <c r="O924" i="57"/>
  <c r="O2540" i="57" s="1"/>
  <c r="N924" i="57"/>
  <c r="N2540" i="57" s="1"/>
  <c r="M924" i="57"/>
  <c r="M2540" i="57" s="1"/>
  <c r="I924" i="57"/>
  <c r="S923" i="57"/>
  <c r="S2539" i="57" s="1"/>
  <c r="Q923" i="57"/>
  <c r="Q2539" i="57" s="1"/>
  <c r="O923" i="57"/>
  <c r="O2539" i="57" s="1"/>
  <c r="N923" i="57"/>
  <c r="N2539" i="57" s="1"/>
  <c r="M923" i="57"/>
  <c r="M2539" i="57" s="1"/>
  <c r="I923" i="57"/>
  <c r="S922" i="57"/>
  <c r="S2538" i="57" s="1"/>
  <c r="Q922" i="57"/>
  <c r="Q2538" i="57" s="1"/>
  <c r="O922" i="57"/>
  <c r="O2538" i="57" s="1"/>
  <c r="N922" i="57"/>
  <c r="N2538" i="57" s="1"/>
  <c r="M922" i="57"/>
  <c r="M2538" i="57" s="1"/>
  <c r="I922" i="57"/>
  <c r="S921" i="57"/>
  <c r="S2537" i="57" s="1"/>
  <c r="Q921" i="57"/>
  <c r="Q2537" i="57" s="1"/>
  <c r="O921" i="57"/>
  <c r="O2537" i="57" s="1"/>
  <c r="N921" i="57"/>
  <c r="N2537" i="57" s="1"/>
  <c r="M921" i="57"/>
  <c r="M2537" i="57" s="1"/>
  <c r="I921" i="57"/>
  <c r="S920" i="57"/>
  <c r="S2536" i="57" s="1"/>
  <c r="Q920" i="57"/>
  <c r="Q2536" i="57" s="1"/>
  <c r="O920" i="57"/>
  <c r="O2536" i="57" s="1"/>
  <c r="N920" i="57"/>
  <c r="N2536" i="57" s="1"/>
  <c r="M920" i="57"/>
  <c r="M2536" i="57" s="1"/>
  <c r="I920" i="57"/>
  <c r="S919" i="57"/>
  <c r="S2535" i="57" s="1"/>
  <c r="Q919" i="57"/>
  <c r="Q2535" i="57" s="1"/>
  <c r="O919" i="57"/>
  <c r="O2535" i="57" s="1"/>
  <c r="N919" i="57"/>
  <c r="N2535" i="57" s="1"/>
  <c r="M919" i="57"/>
  <c r="M2535" i="57" s="1"/>
  <c r="I919" i="57"/>
  <c r="S918" i="57"/>
  <c r="S2534" i="57" s="1"/>
  <c r="Q918" i="57"/>
  <c r="Q2534" i="57" s="1"/>
  <c r="O918" i="57"/>
  <c r="O2534" i="57" s="1"/>
  <c r="N918" i="57"/>
  <c r="N2534" i="57" s="1"/>
  <c r="M918" i="57"/>
  <c r="M2534" i="57" s="1"/>
  <c r="I918" i="57"/>
  <c r="S917" i="57"/>
  <c r="S2533" i="57" s="1"/>
  <c r="Q917" i="57"/>
  <c r="Q2533" i="57" s="1"/>
  <c r="O917" i="57"/>
  <c r="O2533" i="57" s="1"/>
  <c r="N917" i="57"/>
  <c r="N2533" i="57" s="1"/>
  <c r="M917" i="57"/>
  <c r="M2533" i="57" s="1"/>
  <c r="I917" i="57"/>
  <c r="S916" i="57"/>
  <c r="S2532" i="57" s="1"/>
  <c r="Q916" i="57"/>
  <c r="Q2532" i="57" s="1"/>
  <c r="O916" i="57"/>
  <c r="O2532" i="57" s="1"/>
  <c r="N916" i="57"/>
  <c r="N2532" i="57" s="1"/>
  <c r="M916" i="57"/>
  <c r="M2532" i="57" s="1"/>
  <c r="I916" i="57"/>
  <c r="S915" i="57"/>
  <c r="S2531" i="57" s="1"/>
  <c r="Q915" i="57"/>
  <c r="Q2531" i="57" s="1"/>
  <c r="O915" i="57"/>
  <c r="O2531" i="57" s="1"/>
  <c r="N915" i="57"/>
  <c r="N2531" i="57" s="1"/>
  <c r="M915" i="57"/>
  <c r="M2531" i="57" s="1"/>
  <c r="I915" i="57"/>
  <c r="S914" i="57"/>
  <c r="S2530" i="57" s="1"/>
  <c r="Q914" i="57"/>
  <c r="Q2530" i="57" s="1"/>
  <c r="O914" i="57"/>
  <c r="O2530" i="57" s="1"/>
  <c r="N914" i="57"/>
  <c r="N2530" i="57" s="1"/>
  <c r="M914" i="57"/>
  <c r="M2530" i="57" s="1"/>
  <c r="I914" i="57"/>
  <c r="S913" i="57"/>
  <c r="S2529" i="57" s="1"/>
  <c r="Q913" i="57"/>
  <c r="Q2529" i="57" s="1"/>
  <c r="O913" i="57"/>
  <c r="O2529" i="57" s="1"/>
  <c r="N913" i="57"/>
  <c r="N2529" i="57" s="1"/>
  <c r="M913" i="57"/>
  <c r="M2529" i="57" s="1"/>
  <c r="I913" i="57"/>
  <c r="S912" i="57"/>
  <c r="S2528" i="57" s="1"/>
  <c r="Q912" i="57"/>
  <c r="Q2528" i="57" s="1"/>
  <c r="O912" i="57"/>
  <c r="O2528" i="57" s="1"/>
  <c r="N912" i="57"/>
  <c r="N2528" i="57" s="1"/>
  <c r="M912" i="57"/>
  <c r="M2528" i="57" s="1"/>
  <c r="I912" i="57"/>
  <c r="S911" i="57"/>
  <c r="S2527" i="57" s="1"/>
  <c r="Q911" i="57"/>
  <c r="Q2527" i="57" s="1"/>
  <c r="O911" i="57"/>
  <c r="O2527" i="57" s="1"/>
  <c r="N911" i="57"/>
  <c r="N2527" i="57" s="1"/>
  <c r="M911" i="57"/>
  <c r="M2527" i="57" s="1"/>
  <c r="I911" i="57"/>
  <c r="S910" i="57"/>
  <c r="S2526" i="57" s="1"/>
  <c r="Q910" i="57"/>
  <c r="Q2526" i="57" s="1"/>
  <c r="O910" i="57"/>
  <c r="O2526" i="57" s="1"/>
  <c r="N910" i="57"/>
  <c r="N2526" i="57" s="1"/>
  <c r="M910" i="57"/>
  <c r="M2526" i="57" s="1"/>
  <c r="I910" i="57"/>
  <c r="S909" i="57"/>
  <c r="S2525" i="57" s="1"/>
  <c r="Q909" i="57"/>
  <c r="Q2525" i="57" s="1"/>
  <c r="O909" i="57"/>
  <c r="O2525" i="57" s="1"/>
  <c r="N909" i="57"/>
  <c r="N2525" i="57" s="1"/>
  <c r="M909" i="57"/>
  <c r="M2525" i="57" s="1"/>
  <c r="I909" i="57"/>
  <c r="S908" i="57"/>
  <c r="S2524" i="57" s="1"/>
  <c r="Q908" i="57"/>
  <c r="Q2524" i="57" s="1"/>
  <c r="O908" i="57"/>
  <c r="O2524" i="57" s="1"/>
  <c r="N908" i="57"/>
  <c r="N2524" i="57" s="1"/>
  <c r="M908" i="57"/>
  <c r="M2524" i="57" s="1"/>
  <c r="I908" i="57"/>
  <c r="S907" i="57"/>
  <c r="S2523" i="57" s="1"/>
  <c r="Q907" i="57"/>
  <c r="Q2523" i="57" s="1"/>
  <c r="O907" i="57"/>
  <c r="O2523" i="57" s="1"/>
  <c r="N907" i="57"/>
  <c r="N2523" i="57" s="1"/>
  <c r="M907" i="57"/>
  <c r="M2523" i="57" s="1"/>
  <c r="I907" i="57"/>
  <c r="S906" i="57"/>
  <c r="S2522" i="57" s="1"/>
  <c r="Q906" i="57"/>
  <c r="Q2522" i="57" s="1"/>
  <c r="O906" i="57"/>
  <c r="O2522" i="57" s="1"/>
  <c r="N906" i="57"/>
  <c r="N2522" i="57" s="1"/>
  <c r="M906" i="57"/>
  <c r="M2522" i="57" s="1"/>
  <c r="I906" i="57"/>
  <c r="S905" i="57"/>
  <c r="S2521" i="57" s="1"/>
  <c r="Q905" i="57"/>
  <c r="Q2521" i="57" s="1"/>
  <c r="O905" i="57"/>
  <c r="O2521" i="57" s="1"/>
  <c r="N905" i="57"/>
  <c r="N2521" i="57" s="1"/>
  <c r="M905" i="57"/>
  <c r="M2521" i="57" s="1"/>
  <c r="I905" i="57"/>
  <c r="S904" i="57"/>
  <c r="S2520" i="57" s="1"/>
  <c r="Q904" i="57"/>
  <c r="Q2520" i="57" s="1"/>
  <c r="O904" i="57"/>
  <c r="O2520" i="57" s="1"/>
  <c r="N904" i="57"/>
  <c r="N2520" i="57" s="1"/>
  <c r="M904" i="57"/>
  <c r="M2520" i="57" s="1"/>
  <c r="I904" i="57"/>
  <c r="S903" i="57"/>
  <c r="S2519" i="57" s="1"/>
  <c r="Q903" i="57"/>
  <c r="Q2519" i="57" s="1"/>
  <c r="O903" i="57"/>
  <c r="O2519" i="57" s="1"/>
  <c r="N903" i="57"/>
  <c r="N2519" i="57" s="1"/>
  <c r="M903" i="57"/>
  <c r="M2519" i="57" s="1"/>
  <c r="I903" i="57"/>
  <c r="S902" i="57"/>
  <c r="S2518" i="57" s="1"/>
  <c r="Q902" i="57"/>
  <c r="Q2518" i="57" s="1"/>
  <c r="O902" i="57"/>
  <c r="O2518" i="57" s="1"/>
  <c r="N902" i="57"/>
  <c r="N2518" i="57" s="1"/>
  <c r="M902" i="57"/>
  <c r="M2518" i="57" s="1"/>
  <c r="I902" i="57"/>
  <c r="S901" i="57"/>
  <c r="S2517" i="57" s="1"/>
  <c r="Q901" i="57"/>
  <c r="Q2517" i="57" s="1"/>
  <c r="O901" i="57"/>
  <c r="O2517" i="57" s="1"/>
  <c r="N901" i="57"/>
  <c r="N2517" i="57" s="1"/>
  <c r="M901" i="57"/>
  <c r="M2517" i="57" s="1"/>
  <c r="I901" i="57"/>
  <c r="S900" i="57"/>
  <c r="S2516" i="57" s="1"/>
  <c r="Q900" i="57"/>
  <c r="Q2516" i="57" s="1"/>
  <c r="O900" i="57"/>
  <c r="O2516" i="57" s="1"/>
  <c r="N900" i="57"/>
  <c r="N2516" i="57" s="1"/>
  <c r="M900" i="57"/>
  <c r="M2516" i="57" s="1"/>
  <c r="I900" i="57"/>
  <c r="S899" i="57"/>
  <c r="S2515" i="57" s="1"/>
  <c r="Q899" i="57"/>
  <c r="Q2515" i="57" s="1"/>
  <c r="O899" i="57"/>
  <c r="O2515" i="57" s="1"/>
  <c r="N899" i="57"/>
  <c r="N2515" i="57" s="1"/>
  <c r="M899" i="57"/>
  <c r="M2515" i="57" s="1"/>
  <c r="I899" i="57"/>
  <c r="S898" i="57"/>
  <c r="S2514" i="57" s="1"/>
  <c r="Q898" i="57"/>
  <c r="Q2514" i="57" s="1"/>
  <c r="O898" i="57"/>
  <c r="O2514" i="57" s="1"/>
  <c r="N898" i="57"/>
  <c r="N2514" i="57" s="1"/>
  <c r="M898" i="57"/>
  <c r="M2514" i="57" s="1"/>
  <c r="I898" i="57"/>
  <c r="S897" i="57"/>
  <c r="S2513" i="57" s="1"/>
  <c r="Q897" i="57"/>
  <c r="Q2513" i="57" s="1"/>
  <c r="O897" i="57"/>
  <c r="O2513" i="57" s="1"/>
  <c r="N897" i="57"/>
  <c r="N2513" i="57" s="1"/>
  <c r="M897" i="57"/>
  <c r="M2513" i="57" s="1"/>
  <c r="I897" i="57"/>
  <c r="S896" i="57"/>
  <c r="S2512" i="57" s="1"/>
  <c r="Q896" i="57"/>
  <c r="Q2512" i="57" s="1"/>
  <c r="O896" i="57"/>
  <c r="O2512" i="57" s="1"/>
  <c r="N896" i="57"/>
  <c r="N2512" i="57" s="1"/>
  <c r="M896" i="57"/>
  <c r="M2512" i="57" s="1"/>
  <c r="I896" i="57"/>
  <c r="S895" i="57"/>
  <c r="S2511" i="57" s="1"/>
  <c r="Q895" i="57"/>
  <c r="Q2511" i="57" s="1"/>
  <c r="O895" i="57"/>
  <c r="O2511" i="57" s="1"/>
  <c r="N895" i="57"/>
  <c r="N2511" i="57" s="1"/>
  <c r="M895" i="57"/>
  <c r="M2511" i="57" s="1"/>
  <c r="I895" i="57"/>
  <c r="S894" i="57"/>
  <c r="S2510" i="57" s="1"/>
  <c r="Q894" i="57"/>
  <c r="Q2510" i="57" s="1"/>
  <c r="O894" i="57"/>
  <c r="O2510" i="57" s="1"/>
  <c r="N894" i="57"/>
  <c r="N2510" i="57" s="1"/>
  <c r="M894" i="57"/>
  <c r="M2510" i="57" s="1"/>
  <c r="I894" i="57"/>
  <c r="S893" i="57"/>
  <c r="S2509" i="57" s="1"/>
  <c r="Q893" i="57"/>
  <c r="Q2509" i="57" s="1"/>
  <c r="O893" i="57"/>
  <c r="O2509" i="57" s="1"/>
  <c r="N893" i="57"/>
  <c r="N2509" i="57" s="1"/>
  <c r="M893" i="57"/>
  <c r="M2509" i="57" s="1"/>
  <c r="I893" i="57"/>
  <c r="S890" i="57"/>
  <c r="S2506" i="57" s="1"/>
  <c r="Q890" i="57"/>
  <c r="Q2506" i="57" s="1"/>
  <c r="O890" i="57"/>
  <c r="O2506" i="57" s="1"/>
  <c r="N890" i="57"/>
  <c r="N2506" i="57" s="1"/>
  <c r="M890" i="57"/>
  <c r="M2506" i="57" s="1"/>
  <c r="I890" i="57"/>
  <c r="D890" i="57"/>
  <c r="D942" i="57" s="1"/>
  <c r="S889" i="57"/>
  <c r="S2505" i="57" s="1"/>
  <c r="Q889" i="57"/>
  <c r="Q2505" i="57" s="1"/>
  <c r="O889" i="57"/>
  <c r="O2505" i="57" s="1"/>
  <c r="N889" i="57"/>
  <c r="N2505" i="57" s="1"/>
  <c r="M889" i="57"/>
  <c r="M2505" i="57" s="1"/>
  <c r="I889" i="57"/>
  <c r="D889" i="57"/>
  <c r="D941" i="57" s="1"/>
  <c r="S888" i="57"/>
  <c r="S2504" i="57" s="1"/>
  <c r="Q888" i="57"/>
  <c r="Q2504" i="57" s="1"/>
  <c r="O888" i="57"/>
  <c r="O2504" i="57" s="1"/>
  <c r="N888" i="57"/>
  <c r="N2504" i="57" s="1"/>
  <c r="M888" i="57"/>
  <c r="M2504" i="57" s="1"/>
  <c r="I888" i="57"/>
  <c r="D888" i="57"/>
  <c r="D940" i="57" s="1"/>
  <c r="S887" i="57"/>
  <c r="S2503" i="57" s="1"/>
  <c r="Q887" i="57"/>
  <c r="Q2503" i="57" s="1"/>
  <c r="O887" i="57"/>
  <c r="O2503" i="57" s="1"/>
  <c r="N887" i="57"/>
  <c r="N2503" i="57" s="1"/>
  <c r="M887" i="57"/>
  <c r="M2503" i="57" s="1"/>
  <c r="I887" i="57"/>
  <c r="D887" i="57"/>
  <c r="D939" i="57" s="1"/>
  <c r="S886" i="57"/>
  <c r="S2502" i="57" s="1"/>
  <c r="Q886" i="57"/>
  <c r="Q2502" i="57" s="1"/>
  <c r="O886" i="57"/>
  <c r="O2502" i="57" s="1"/>
  <c r="N886" i="57"/>
  <c r="N2502" i="57" s="1"/>
  <c r="M886" i="57"/>
  <c r="M2502" i="57" s="1"/>
  <c r="I886" i="57"/>
  <c r="D886" i="57"/>
  <c r="D938" i="57" s="1"/>
  <c r="S885" i="57"/>
  <c r="S2501" i="57" s="1"/>
  <c r="Q885" i="57"/>
  <c r="Q2501" i="57" s="1"/>
  <c r="O885" i="57"/>
  <c r="O2501" i="57" s="1"/>
  <c r="N885" i="57"/>
  <c r="N2501" i="57" s="1"/>
  <c r="M885" i="57"/>
  <c r="M2501" i="57" s="1"/>
  <c r="I885" i="57"/>
  <c r="D885" i="57"/>
  <c r="D937" i="57" s="1"/>
  <c r="S884" i="57"/>
  <c r="S2500" i="57" s="1"/>
  <c r="Q884" i="57"/>
  <c r="Q2500" i="57" s="1"/>
  <c r="O884" i="57"/>
  <c r="O2500" i="57" s="1"/>
  <c r="N884" i="57"/>
  <c r="N2500" i="57" s="1"/>
  <c r="M884" i="57"/>
  <c r="M2500" i="57" s="1"/>
  <c r="I884" i="57"/>
  <c r="D884" i="57"/>
  <c r="D936" i="57" s="1"/>
  <c r="S883" i="57"/>
  <c r="S2499" i="57" s="1"/>
  <c r="Q883" i="57"/>
  <c r="Q2499" i="57" s="1"/>
  <c r="O883" i="57"/>
  <c r="O2499" i="57" s="1"/>
  <c r="N883" i="57"/>
  <c r="N2499" i="57" s="1"/>
  <c r="M883" i="57"/>
  <c r="M2499" i="57" s="1"/>
  <c r="I883" i="57"/>
  <c r="D883" i="57"/>
  <c r="D935" i="57" s="1"/>
  <c r="S882" i="57"/>
  <c r="S2498" i="57" s="1"/>
  <c r="Q882" i="57"/>
  <c r="Q2498" i="57" s="1"/>
  <c r="O882" i="57"/>
  <c r="O2498" i="57" s="1"/>
  <c r="N882" i="57"/>
  <c r="N2498" i="57" s="1"/>
  <c r="M882" i="57"/>
  <c r="M2498" i="57" s="1"/>
  <c r="I882" i="57"/>
  <c r="D882" i="57"/>
  <c r="D934" i="57" s="1"/>
  <c r="S881" i="57"/>
  <c r="S2497" i="57" s="1"/>
  <c r="Q881" i="57"/>
  <c r="Q2497" i="57" s="1"/>
  <c r="O881" i="57"/>
  <c r="O2497" i="57" s="1"/>
  <c r="N881" i="57"/>
  <c r="N2497" i="57" s="1"/>
  <c r="M881" i="57"/>
  <c r="M2497" i="57" s="1"/>
  <c r="I881" i="57"/>
  <c r="D881" i="57"/>
  <c r="D933" i="57" s="1"/>
  <c r="S880" i="57"/>
  <c r="S2496" i="57" s="1"/>
  <c r="Q880" i="57"/>
  <c r="Q2496" i="57" s="1"/>
  <c r="O880" i="57"/>
  <c r="O2496" i="57" s="1"/>
  <c r="N880" i="57"/>
  <c r="N2496" i="57" s="1"/>
  <c r="M880" i="57"/>
  <c r="M2496" i="57" s="1"/>
  <c r="I880" i="57"/>
  <c r="D880" i="57"/>
  <c r="D932" i="57" s="1"/>
  <c r="S879" i="57"/>
  <c r="S2495" i="57" s="1"/>
  <c r="Q879" i="57"/>
  <c r="Q2495" i="57" s="1"/>
  <c r="O879" i="57"/>
  <c r="O2495" i="57" s="1"/>
  <c r="N879" i="57"/>
  <c r="N2495" i="57" s="1"/>
  <c r="M879" i="57"/>
  <c r="M2495" i="57" s="1"/>
  <c r="I879" i="57"/>
  <c r="D879" i="57"/>
  <c r="D931" i="57" s="1"/>
  <c r="S878" i="57"/>
  <c r="S2494" i="57" s="1"/>
  <c r="Q878" i="57"/>
  <c r="Q2494" i="57" s="1"/>
  <c r="O878" i="57"/>
  <c r="O2494" i="57" s="1"/>
  <c r="N878" i="57"/>
  <c r="N2494" i="57" s="1"/>
  <c r="M878" i="57"/>
  <c r="M2494" i="57" s="1"/>
  <c r="I878" i="57"/>
  <c r="D878" i="57"/>
  <c r="D930" i="57" s="1"/>
  <c r="S877" i="57"/>
  <c r="S2493" i="57" s="1"/>
  <c r="Q877" i="57"/>
  <c r="Q2493" i="57" s="1"/>
  <c r="O877" i="57"/>
  <c r="O2493" i="57" s="1"/>
  <c r="N877" i="57"/>
  <c r="N2493" i="57" s="1"/>
  <c r="M877" i="57"/>
  <c r="M2493" i="57" s="1"/>
  <c r="I877" i="57"/>
  <c r="D877" i="57"/>
  <c r="D929" i="57" s="1"/>
  <c r="S876" i="57"/>
  <c r="S2492" i="57" s="1"/>
  <c r="Q876" i="57"/>
  <c r="Q2492" i="57" s="1"/>
  <c r="O876" i="57"/>
  <c r="O2492" i="57" s="1"/>
  <c r="N876" i="57"/>
  <c r="N2492" i="57" s="1"/>
  <c r="M876" i="57"/>
  <c r="M2492" i="57" s="1"/>
  <c r="I876" i="57"/>
  <c r="D876" i="57"/>
  <c r="D928" i="57" s="1"/>
  <c r="S875" i="57"/>
  <c r="S2491" i="57" s="1"/>
  <c r="Q875" i="57"/>
  <c r="Q2491" i="57" s="1"/>
  <c r="O875" i="57"/>
  <c r="O2491" i="57" s="1"/>
  <c r="N875" i="57"/>
  <c r="N2491" i="57" s="1"/>
  <c r="M875" i="57"/>
  <c r="M2491" i="57" s="1"/>
  <c r="I875" i="57"/>
  <c r="D875" i="57"/>
  <c r="D927" i="57" s="1"/>
  <c r="S874" i="57"/>
  <c r="S2490" i="57" s="1"/>
  <c r="Q874" i="57"/>
  <c r="Q2490" i="57" s="1"/>
  <c r="O874" i="57"/>
  <c r="O2490" i="57" s="1"/>
  <c r="N874" i="57"/>
  <c r="N2490" i="57" s="1"/>
  <c r="M874" i="57"/>
  <c r="M2490" i="57" s="1"/>
  <c r="I874" i="57"/>
  <c r="D874" i="57"/>
  <c r="D926" i="57" s="1"/>
  <c r="S873" i="57"/>
  <c r="S2489" i="57" s="1"/>
  <c r="Q873" i="57"/>
  <c r="Q2489" i="57" s="1"/>
  <c r="O873" i="57"/>
  <c r="O2489" i="57" s="1"/>
  <c r="N873" i="57"/>
  <c r="N2489" i="57" s="1"/>
  <c r="M873" i="57"/>
  <c r="M2489" i="57" s="1"/>
  <c r="I873" i="57"/>
  <c r="D873" i="57"/>
  <c r="D925" i="57" s="1"/>
  <c r="S872" i="57"/>
  <c r="S2488" i="57" s="1"/>
  <c r="Q872" i="57"/>
  <c r="Q2488" i="57" s="1"/>
  <c r="O872" i="57"/>
  <c r="O2488" i="57" s="1"/>
  <c r="N872" i="57"/>
  <c r="N2488" i="57" s="1"/>
  <c r="M872" i="57"/>
  <c r="M2488" i="57" s="1"/>
  <c r="I872" i="57"/>
  <c r="D872" i="57"/>
  <c r="D924" i="57" s="1"/>
  <c r="S871" i="57"/>
  <c r="S2487" i="57" s="1"/>
  <c r="Q871" i="57"/>
  <c r="Q2487" i="57" s="1"/>
  <c r="O871" i="57"/>
  <c r="O2487" i="57" s="1"/>
  <c r="N871" i="57"/>
  <c r="N2487" i="57" s="1"/>
  <c r="M871" i="57"/>
  <c r="M2487" i="57" s="1"/>
  <c r="I871" i="57"/>
  <c r="D871" i="57"/>
  <c r="D923" i="57" s="1"/>
  <c r="S870" i="57"/>
  <c r="S2486" i="57" s="1"/>
  <c r="Q870" i="57"/>
  <c r="Q2486" i="57" s="1"/>
  <c r="O870" i="57"/>
  <c r="O2486" i="57" s="1"/>
  <c r="N870" i="57"/>
  <c r="N2486" i="57" s="1"/>
  <c r="M870" i="57"/>
  <c r="M2486" i="57" s="1"/>
  <c r="I870" i="57"/>
  <c r="D870" i="57"/>
  <c r="D922" i="57" s="1"/>
  <c r="S869" i="57"/>
  <c r="S2485" i="57" s="1"/>
  <c r="Q869" i="57"/>
  <c r="Q2485" i="57" s="1"/>
  <c r="O869" i="57"/>
  <c r="O2485" i="57" s="1"/>
  <c r="N869" i="57"/>
  <c r="N2485" i="57" s="1"/>
  <c r="M869" i="57"/>
  <c r="M2485" i="57" s="1"/>
  <c r="I869" i="57"/>
  <c r="D869" i="57"/>
  <c r="D921" i="57" s="1"/>
  <c r="S868" i="57"/>
  <c r="S2484" i="57" s="1"/>
  <c r="Q868" i="57"/>
  <c r="Q2484" i="57" s="1"/>
  <c r="O868" i="57"/>
  <c r="O2484" i="57" s="1"/>
  <c r="N868" i="57"/>
  <c r="N2484" i="57" s="1"/>
  <c r="M868" i="57"/>
  <c r="M2484" i="57" s="1"/>
  <c r="I868" i="57"/>
  <c r="D868" i="57"/>
  <c r="D920" i="57" s="1"/>
  <c r="S867" i="57"/>
  <c r="S2483" i="57" s="1"/>
  <c r="Q867" i="57"/>
  <c r="Q2483" i="57" s="1"/>
  <c r="O867" i="57"/>
  <c r="O2483" i="57" s="1"/>
  <c r="N867" i="57"/>
  <c r="N2483" i="57" s="1"/>
  <c r="M867" i="57"/>
  <c r="M2483" i="57" s="1"/>
  <c r="I867" i="57"/>
  <c r="D867" i="57"/>
  <c r="D919" i="57" s="1"/>
  <c r="S866" i="57"/>
  <c r="S2482" i="57" s="1"/>
  <c r="Q866" i="57"/>
  <c r="Q2482" i="57" s="1"/>
  <c r="O866" i="57"/>
  <c r="O2482" i="57" s="1"/>
  <c r="N866" i="57"/>
  <c r="N2482" i="57" s="1"/>
  <c r="M866" i="57"/>
  <c r="M2482" i="57" s="1"/>
  <c r="I866" i="57"/>
  <c r="D866" i="57"/>
  <c r="D918" i="57" s="1"/>
  <c r="S865" i="57"/>
  <c r="S2481" i="57" s="1"/>
  <c r="Q865" i="57"/>
  <c r="Q2481" i="57" s="1"/>
  <c r="O865" i="57"/>
  <c r="O2481" i="57" s="1"/>
  <c r="N865" i="57"/>
  <c r="N2481" i="57" s="1"/>
  <c r="M865" i="57"/>
  <c r="M2481" i="57" s="1"/>
  <c r="I865" i="57"/>
  <c r="D865" i="57"/>
  <c r="D917" i="57" s="1"/>
  <c r="S864" i="57"/>
  <c r="S2480" i="57" s="1"/>
  <c r="Q864" i="57"/>
  <c r="Q2480" i="57" s="1"/>
  <c r="O864" i="57"/>
  <c r="O2480" i="57" s="1"/>
  <c r="N864" i="57"/>
  <c r="N2480" i="57" s="1"/>
  <c r="M864" i="57"/>
  <c r="M2480" i="57" s="1"/>
  <c r="I864" i="57"/>
  <c r="D864" i="57"/>
  <c r="D916" i="57" s="1"/>
  <c r="S863" i="57"/>
  <c r="S2479" i="57" s="1"/>
  <c r="Q863" i="57"/>
  <c r="Q2479" i="57" s="1"/>
  <c r="O863" i="57"/>
  <c r="O2479" i="57" s="1"/>
  <c r="N863" i="57"/>
  <c r="N2479" i="57" s="1"/>
  <c r="M863" i="57"/>
  <c r="M2479" i="57" s="1"/>
  <c r="I863" i="57"/>
  <c r="D863" i="57"/>
  <c r="D915" i="57" s="1"/>
  <c r="S862" i="57"/>
  <c r="S2478" i="57" s="1"/>
  <c r="Q862" i="57"/>
  <c r="Q2478" i="57" s="1"/>
  <c r="O862" i="57"/>
  <c r="O2478" i="57" s="1"/>
  <c r="N862" i="57"/>
  <c r="N2478" i="57" s="1"/>
  <c r="M862" i="57"/>
  <c r="M2478" i="57" s="1"/>
  <c r="I862" i="57"/>
  <c r="D862" i="57"/>
  <c r="D914" i="57" s="1"/>
  <c r="S861" i="57"/>
  <c r="S2477" i="57" s="1"/>
  <c r="Q861" i="57"/>
  <c r="Q2477" i="57" s="1"/>
  <c r="O861" i="57"/>
  <c r="O2477" i="57" s="1"/>
  <c r="N861" i="57"/>
  <c r="N2477" i="57" s="1"/>
  <c r="M861" i="57"/>
  <c r="M2477" i="57" s="1"/>
  <c r="I861" i="57"/>
  <c r="D861" i="57"/>
  <c r="D913" i="57" s="1"/>
  <c r="S860" i="57"/>
  <c r="S2476" i="57" s="1"/>
  <c r="Q860" i="57"/>
  <c r="Q2476" i="57" s="1"/>
  <c r="O860" i="57"/>
  <c r="O2476" i="57" s="1"/>
  <c r="N860" i="57"/>
  <c r="N2476" i="57" s="1"/>
  <c r="M860" i="57"/>
  <c r="M2476" i="57" s="1"/>
  <c r="I860" i="57"/>
  <c r="D860" i="57"/>
  <c r="D912" i="57" s="1"/>
  <c r="S859" i="57"/>
  <c r="S2475" i="57" s="1"/>
  <c r="Q859" i="57"/>
  <c r="Q2475" i="57" s="1"/>
  <c r="O859" i="57"/>
  <c r="O2475" i="57" s="1"/>
  <c r="N859" i="57"/>
  <c r="N2475" i="57" s="1"/>
  <c r="M859" i="57"/>
  <c r="M2475" i="57" s="1"/>
  <c r="I859" i="57"/>
  <c r="D859" i="57"/>
  <c r="D911" i="57" s="1"/>
  <c r="S858" i="57"/>
  <c r="S2474" i="57" s="1"/>
  <c r="Q858" i="57"/>
  <c r="Q2474" i="57" s="1"/>
  <c r="O858" i="57"/>
  <c r="O2474" i="57" s="1"/>
  <c r="N858" i="57"/>
  <c r="N2474" i="57" s="1"/>
  <c r="M858" i="57"/>
  <c r="M2474" i="57" s="1"/>
  <c r="I858" i="57"/>
  <c r="D858" i="57"/>
  <c r="D910" i="57" s="1"/>
  <c r="S857" i="57"/>
  <c r="S2473" i="57" s="1"/>
  <c r="Q857" i="57"/>
  <c r="Q2473" i="57" s="1"/>
  <c r="O857" i="57"/>
  <c r="O2473" i="57" s="1"/>
  <c r="N857" i="57"/>
  <c r="N2473" i="57" s="1"/>
  <c r="M857" i="57"/>
  <c r="M2473" i="57" s="1"/>
  <c r="I857" i="57"/>
  <c r="D857" i="57"/>
  <c r="D909" i="57" s="1"/>
  <c r="S856" i="57"/>
  <c r="S2472" i="57" s="1"/>
  <c r="Q856" i="57"/>
  <c r="Q2472" i="57" s="1"/>
  <c r="O856" i="57"/>
  <c r="O2472" i="57" s="1"/>
  <c r="N856" i="57"/>
  <c r="N2472" i="57" s="1"/>
  <c r="M856" i="57"/>
  <c r="M2472" i="57" s="1"/>
  <c r="I856" i="57"/>
  <c r="D856" i="57"/>
  <c r="D908" i="57" s="1"/>
  <c r="S855" i="57"/>
  <c r="S2471" i="57" s="1"/>
  <c r="Q855" i="57"/>
  <c r="Q2471" i="57" s="1"/>
  <c r="O855" i="57"/>
  <c r="O2471" i="57" s="1"/>
  <c r="N855" i="57"/>
  <c r="N2471" i="57" s="1"/>
  <c r="M855" i="57"/>
  <c r="M2471" i="57" s="1"/>
  <c r="I855" i="57"/>
  <c r="D855" i="57"/>
  <c r="D907" i="57" s="1"/>
  <c r="S854" i="57"/>
  <c r="S2470" i="57" s="1"/>
  <c r="Q854" i="57"/>
  <c r="Q2470" i="57" s="1"/>
  <c r="O854" i="57"/>
  <c r="O2470" i="57" s="1"/>
  <c r="N854" i="57"/>
  <c r="N2470" i="57" s="1"/>
  <c r="M854" i="57"/>
  <c r="M2470" i="57" s="1"/>
  <c r="I854" i="57"/>
  <c r="D854" i="57"/>
  <c r="D906" i="57" s="1"/>
  <c r="S853" i="57"/>
  <c r="S2469" i="57" s="1"/>
  <c r="Q853" i="57"/>
  <c r="Q2469" i="57" s="1"/>
  <c r="O853" i="57"/>
  <c r="O2469" i="57" s="1"/>
  <c r="N853" i="57"/>
  <c r="N2469" i="57" s="1"/>
  <c r="M853" i="57"/>
  <c r="M2469" i="57" s="1"/>
  <c r="I853" i="57"/>
  <c r="D853" i="57"/>
  <c r="D905" i="57" s="1"/>
  <c r="S852" i="57"/>
  <c r="S2468" i="57" s="1"/>
  <c r="Q852" i="57"/>
  <c r="Q2468" i="57" s="1"/>
  <c r="O852" i="57"/>
  <c r="O2468" i="57" s="1"/>
  <c r="N852" i="57"/>
  <c r="N2468" i="57" s="1"/>
  <c r="M852" i="57"/>
  <c r="M2468" i="57" s="1"/>
  <c r="I852" i="57"/>
  <c r="D852" i="57"/>
  <c r="D904" i="57" s="1"/>
  <c r="S851" i="57"/>
  <c r="S2467" i="57" s="1"/>
  <c r="Q851" i="57"/>
  <c r="Q2467" i="57" s="1"/>
  <c r="O851" i="57"/>
  <c r="O2467" i="57" s="1"/>
  <c r="N851" i="57"/>
  <c r="N2467" i="57" s="1"/>
  <c r="M851" i="57"/>
  <c r="M2467" i="57" s="1"/>
  <c r="I851" i="57"/>
  <c r="D851" i="57"/>
  <c r="D903" i="57" s="1"/>
  <c r="S850" i="57"/>
  <c r="S2466" i="57" s="1"/>
  <c r="Q850" i="57"/>
  <c r="Q2466" i="57" s="1"/>
  <c r="O850" i="57"/>
  <c r="O2466" i="57" s="1"/>
  <c r="N850" i="57"/>
  <c r="N2466" i="57" s="1"/>
  <c r="M850" i="57"/>
  <c r="M2466" i="57" s="1"/>
  <c r="I850" i="57"/>
  <c r="D850" i="57"/>
  <c r="D902" i="57" s="1"/>
  <c r="S849" i="57"/>
  <c r="S2465" i="57" s="1"/>
  <c r="Q849" i="57"/>
  <c r="Q2465" i="57" s="1"/>
  <c r="O849" i="57"/>
  <c r="O2465" i="57" s="1"/>
  <c r="N849" i="57"/>
  <c r="N2465" i="57" s="1"/>
  <c r="M849" i="57"/>
  <c r="M2465" i="57" s="1"/>
  <c r="I849" i="57"/>
  <c r="D849" i="57"/>
  <c r="D901" i="57" s="1"/>
  <c r="S848" i="57"/>
  <c r="S2464" i="57" s="1"/>
  <c r="Q848" i="57"/>
  <c r="Q2464" i="57" s="1"/>
  <c r="O848" i="57"/>
  <c r="O2464" i="57" s="1"/>
  <c r="N848" i="57"/>
  <c r="N2464" i="57" s="1"/>
  <c r="M848" i="57"/>
  <c r="M2464" i="57" s="1"/>
  <c r="I848" i="57"/>
  <c r="D848" i="57"/>
  <c r="D900" i="57" s="1"/>
  <c r="S847" i="57"/>
  <c r="S2463" i="57" s="1"/>
  <c r="Q847" i="57"/>
  <c r="Q2463" i="57" s="1"/>
  <c r="O847" i="57"/>
  <c r="O2463" i="57" s="1"/>
  <c r="N847" i="57"/>
  <c r="N2463" i="57" s="1"/>
  <c r="M847" i="57"/>
  <c r="M2463" i="57" s="1"/>
  <c r="I847" i="57"/>
  <c r="D847" i="57"/>
  <c r="D899" i="57" s="1"/>
  <c r="S846" i="57"/>
  <c r="S2462" i="57" s="1"/>
  <c r="Q846" i="57"/>
  <c r="Q2462" i="57" s="1"/>
  <c r="O846" i="57"/>
  <c r="O2462" i="57" s="1"/>
  <c r="N846" i="57"/>
  <c r="N2462" i="57" s="1"/>
  <c r="M846" i="57"/>
  <c r="M2462" i="57" s="1"/>
  <c r="I846" i="57"/>
  <c r="D846" i="57"/>
  <c r="D898" i="57" s="1"/>
  <c r="S845" i="57"/>
  <c r="S2461" i="57" s="1"/>
  <c r="Q845" i="57"/>
  <c r="Q2461" i="57" s="1"/>
  <c r="O845" i="57"/>
  <c r="O2461" i="57" s="1"/>
  <c r="N845" i="57"/>
  <c r="N2461" i="57" s="1"/>
  <c r="M845" i="57"/>
  <c r="M2461" i="57" s="1"/>
  <c r="I845" i="57"/>
  <c r="D845" i="57"/>
  <c r="D897" i="57" s="1"/>
  <c r="S844" i="57"/>
  <c r="S2460" i="57" s="1"/>
  <c r="Q844" i="57"/>
  <c r="Q2460" i="57" s="1"/>
  <c r="O844" i="57"/>
  <c r="O2460" i="57" s="1"/>
  <c r="N844" i="57"/>
  <c r="N2460" i="57" s="1"/>
  <c r="M844" i="57"/>
  <c r="M2460" i="57" s="1"/>
  <c r="I844" i="57"/>
  <c r="D844" i="57"/>
  <c r="D896" i="57" s="1"/>
  <c r="S843" i="57"/>
  <c r="S2459" i="57" s="1"/>
  <c r="Q843" i="57"/>
  <c r="Q2459" i="57" s="1"/>
  <c r="O843" i="57"/>
  <c r="O2459" i="57" s="1"/>
  <c r="N843" i="57"/>
  <c r="N2459" i="57" s="1"/>
  <c r="M843" i="57"/>
  <c r="M2459" i="57" s="1"/>
  <c r="I843" i="57"/>
  <c r="D843" i="57"/>
  <c r="D895" i="57" s="1"/>
  <c r="S842" i="57"/>
  <c r="S2458" i="57" s="1"/>
  <c r="Q842" i="57"/>
  <c r="Q2458" i="57" s="1"/>
  <c r="O842" i="57"/>
  <c r="O2458" i="57" s="1"/>
  <c r="N842" i="57"/>
  <c r="N2458" i="57" s="1"/>
  <c r="M842" i="57"/>
  <c r="M2458" i="57" s="1"/>
  <c r="I842" i="57"/>
  <c r="D842" i="57"/>
  <c r="D894" i="57" s="1"/>
  <c r="S841" i="57"/>
  <c r="S2457" i="57" s="1"/>
  <c r="Q841" i="57"/>
  <c r="Q2457" i="57" s="1"/>
  <c r="O841" i="57"/>
  <c r="O2457" i="57" s="1"/>
  <c r="N841" i="57"/>
  <c r="N2457" i="57" s="1"/>
  <c r="M841" i="57"/>
  <c r="M2457" i="57" s="1"/>
  <c r="I841" i="57"/>
  <c r="D841" i="57"/>
  <c r="D893" i="57" s="1"/>
  <c r="D840" i="57"/>
  <c r="D892" i="57" s="1"/>
  <c r="S838" i="57"/>
  <c r="S2454" i="57" s="1"/>
  <c r="Q838" i="57"/>
  <c r="Q2454" i="57" s="1"/>
  <c r="O838" i="57"/>
  <c r="O2454" i="57" s="1"/>
  <c r="N838" i="57"/>
  <c r="N2454" i="57" s="1"/>
  <c r="M838" i="57"/>
  <c r="M2454" i="57" s="1"/>
  <c r="I838" i="57"/>
  <c r="S837" i="57"/>
  <c r="S2453" i="57" s="1"/>
  <c r="Q837" i="57"/>
  <c r="Q2453" i="57" s="1"/>
  <c r="O837" i="57"/>
  <c r="O2453" i="57" s="1"/>
  <c r="N837" i="57"/>
  <c r="N2453" i="57" s="1"/>
  <c r="M837" i="57"/>
  <c r="M2453" i="57" s="1"/>
  <c r="I837" i="57"/>
  <c r="S836" i="57"/>
  <c r="S2452" i="57" s="1"/>
  <c r="Q836" i="57"/>
  <c r="Q2452" i="57" s="1"/>
  <c r="O836" i="57"/>
  <c r="O2452" i="57" s="1"/>
  <c r="N836" i="57"/>
  <c r="N2452" i="57" s="1"/>
  <c r="M836" i="57"/>
  <c r="M2452" i="57" s="1"/>
  <c r="I836" i="57"/>
  <c r="S835" i="57"/>
  <c r="S2451" i="57" s="1"/>
  <c r="Q835" i="57"/>
  <c r="Q2451" i="57" s="1"/>
  <c r="O835" i="57"/>
  <c r="O2451" i="57" s="1"/>
  <c r="N835" i="57"/>
  <c r="N2451" i="57" s="1"/>
  <c r="M835" i="57"/>
  <c r="M2451" i="57" s="1"/>
  <c r="I835" i="57"/>
  <c r="S834" i="57"/>
  <c r="S2450" i="57" s="1"/>
  <c r="Q834" i="57"/>
  <c r="Q2450" i="57" s="1"/>
  <c r="O834" i="57"/>
  <c r="O2450" i="57" s="1"/>
  <c r="N834" i="57"/>
  <c r="N2450" i="57" s="1"/>
  <c r="M834" i="57"/>
  <c r="M2450" i="57" s="1"/>
  <c r="I834" i="57"/>
  <c r="S833" i="57"/>
  <c r="S2449" i="57" s="1"/>
  <c r="Q833" i="57"/>
  <c r="Q2449" i="57" s="1"/>
  <c r="O833" i="57"/>
  <c r="O2449" i="57" s="1"/>
  <c r="N833" i="57"/>
  <c r="N2449" i="57" s="1"/>
  <c r="M833" i="57"/>
  <c r="M2449" i="57" s="1"/>
  <c r="I833" i="57"/>
  <c r="S832" i="57"/>
  <c r="S2448" i="57" s="1"/>
  <c r="Q832" i="57"/>
  <c r="Q2448" i="57" s="1"/>
  <c r="O832" i="57"/>
  <c r="O2448" i="57" s="1"/>
  <c r="N832" i="57"/>
  <c r="N2448" i="57" s="1"/>
  <c r="M832" i="57"/>
  <c r="M2448" i="57" s="1"/>
  <c r="I832" i="57"/>
  <c r="S831" i="57"/>
  <c r="S2447" i="57" s="1"/>
  <c r="Q831" i="57"/>
  <c r="Q2447" i="57" s="1"/>
  <c r="O831" i="57"/>
  <c r="O2447" i="57" s="1"/>
  <c r="N831" i="57"/>
  <c r="N2447" i="57" s="1"/>
  <c r="M831" i="57"/>
  <c r="M2447" i="57" s="1"/>
  <c r="I831" i="57"/>
  <c r="S830" i="57"/>
  <c r="S2446" i="57" s="1"/>
  <c r="Q830" i="57"/>
  <c r="Q2446" i="57" s="1"/>
  <c r="O830" i="57"/>
  <c r="O2446" i="57" s="1"/>
  <c r="N830" i="57"/>
  <c r="N2446" i="57" s="1"/>
  <c r="M830" i="57"/>
  <c r="M2446" i="57" s="1"/>
  <c r="I830" i="57"/>
  <c r="S829" i="57"/>
  <c r="S2445" i="57" s="1"/>
  <c r="Q829" i="57"/>
  <c r="Q2445" i="57" s="1"/>
  <c r="O829" i="57"/>
  <c r="O2445" i="57" s="1"/>
  <c r="N829" i="57"/>
  <c r="N2445" i="57" s="1"/>
  <c r="M829" i="57"/>
  <c r="M2445" i="57" s="1"/>
  <c r="I829" i="57"/>
  <c r="S828" i="57"/>
  <c r="S2444" i="57" s="1"/>
  <c r="Q828" i="57"/>
  <c r="Q2444" i="57" s="1"/>
  <c r="O828" i="57"/>
  <c r="O2444" i="57" s="1"/>
  <c r="N828" i="57"/>
  <c r="N2444" i="57" s="1"/>
  <c r="M828" i="57"/>
  <c r="M2444" i="57" s="1"/>
  <c r="I828" i="57"/>
  <c r="S827" i="57"/>
  <c r="S2443" i="57" s="1"/>
  <c r="Q827" i="57"/>
  <c r="Q2443" i="57" s="1"/>
  <c r="O827" i="57"/>
  <c r="O2443" i="57" s="1"/>
  <c r="N827" i="57"/>
  <c r="N2443" i="57" s="1"/>
  <c r="M827" i="57"/>
  <c r="M2443" i="57" s="1"/>
  <c r="I827" i="57"/>
  <c r="S826" i="57"/>
  <c r="S2442" i="57" s="1"/>
  <c r="Q826" i="57"/>
  <c r="Q2442" i="57" s="1"/>
  <c r="O826" i="57"/>
  <c r="O2442" i="57" s="1"/>
  <c r="N826" i="57"/>
  <c r="N2442" i="57" s="1"/>
  <c r="M826" i="57"/>
  <c r="M2442" i="57" s="1"/>
  <c r="I826" i="57"/>
  <c r="S825" i="57"/>
  <c r="S2441" i="57" s="1"/>
  <c r="Q825" i="57"/>
  <c r="Q2441" i="57" s="1"/>
  <c r="O825" i="57"/>
  <c r="O2441" i="57" s="1"/>
  <c r="N825" i="57"/>
  <c r="N2441" i="57" s="1"/>
  <c r="M825" i="57"/>
  <c r="M2441" i="57" s="1"/>
  <c r="I825" i="57"/>
  <c r="S824" i="57"/>
  <c r="S2440" i="57" s="1"/>
  <c r="Q824" i="57"/>
  <c r="Q2440" i="57" s="1"/>
  <c r="O824" i="57"/>
  <c r="O2440" i="57" s="1"/>
  <c r="N824" i="57"/>
  <c r="N2440" i="57" s="1"/>
  <c r="M824" i="57"/>
  <c r="M2440" i="57" s="1"/>
  <c r="I824" i="57"/>
  <c r="S823" i="57"/>
  <c r="S2439" i="57" s="1"/>
  <c r="Q823" i="57"/>
  <c r="Q2439" i="57" s="1"/>
  <c r="O823" i="57"/>
  <c r="O2439" i="57" s="1"/>
  <c r="N823" i="57"/>
  <c r="N2439" i="57" s="1"/>
  <c r="M823" i="57"/>
  <c r="M2439" i="57" s="1"/>
  <c r="I823" i="57"/>
  <c r="S822" i="57"/>
  <c r="S2438" i="57" s="1"/>
  <c r="Q822" i="57"/>
  <c r="Q2438" i="57" s="1"/>
  <c r="O822" i="57"/>
  <c r="O2438" i="57" s="1"/>
  <c r="N822" i="57"/>
  <c r="N2438" i="57" s="1"/>
  <c r="M822" i="57"/>
  <c r="M2438" i="57" s="1"/>
  <c r="I822" i="57"/>
  <c r="S821" i="57"/>
  <c r="S2437" i="57" s="1"/>
  <c r="Q821" i="57"/>
  <c r="Q2437" i="57" s="1"/>
  <c r="O821" i="57"/>
  <c r="O2437" i="57" s="1"/>
  <c r="N821" i="57"/>
  <c r="N2437" i="57" s="1"/>
  <c r="M821" i="57"/>
  <c r="M2437" i="57" s="1"/>
  <c r="I821" i="57"/>
  <c r="S820" i="57"/>
  <c r="S2436" i="57" s="1"/>
  <c r="Q820" i="57"/>
  <c r="Q2436" i="57" s="1"/>
  <c r="O820" i="57"/>
  <c r="O2436" i="57" s="1"/>
  <c r="N820" i="57"/>
  <c r="N2436" i="57" s="1"/>
  <c r="M820" i="57"/>
  <c r="M2436" i="57" s="1"/>
  <c r="I820" i="57"/>
  <c r="S819" i="57"/>
  <c r="S2435" i="57" s="1"/>
  <c r="Q819" i="57"/>
  <c r="Q2435" i="57" s="1"/>
  <c r="O819" i="57"/>
  <c r="O2435" i="57" s="1"/>
  <c r="N819" i="57"/>
  <c r="N2435" i="57" s="1"/>
  <c r="M819" i="57"/>
  <c r="M2435" i="57" s="1"/>
  <c r="I819" i="57"/>
  <c r="S818" i="57"/>
  <c r="S2434" i="57" s="1"/>
  <c r="Q818" i="57"/>
  <c r="Q2434" i="57" s="1"/>
  <c r="O818" i="57"/>
  <c r="O2434" i="57" s="1"/>
  <c r="N818" i="57"/>
  <c r="N2434" i="57" s="1"/>
  <c r="M818" i="57"/>
  <c r="M2434" i="57" s="1"/>
  <c r="I818" i="57"/>
  <c r="S817" i="57"/>
  <c r="S2433" i="57" s="1"/>
  <c r="Q817" i="57"/>
  <c r="Q2433" i="57" s="1"/>
  <c r="O817" i="57"/>
  <c r="O2433" i="57" s="1"/>
  <c r="N817" i="57"/>
  <c r="N2433" i="57" s="1"/>
  <c r="M817" i="57"/>
  <c r="M2433" i="57" s="1"/>
  <c r="I817" i="57"/>
  <c r="S816" i="57"/>
  <c r="S2432" i="57" s="1"/>
  <c r="Q816" i="57"/>
  <c r="Q2432" i="57" s="1"/>
  <c r="O816" i="57"/>
  <c r="O2432" i="57" s="1"/>
  <c r="N816" i="57"/>
  <c r="N2432" i="57" s="1"/>
  <c r="M816" i="57"/>
  <c r="M2432" i="57" s="1"/>
  <c r="I816" i="57"/>
  <c r="S815" i="57"/>
  <c r="S2431" i="57" s="1"/>
  <c r="Q815" i="57"/>
  <c r="Q2431" i="57" s="1"/>
  <c r="O815" i="57"/>
  <c r="O2431" i="57" s="1"/>
  <c r="N815" i="57"/>
  <c r="N2431" i="57" s="1"/>
  <c r="M815" i="57"/>
  <c r="M2431" i="57" s="1"/>
  <c r="I815" i="57"/>
  <c r="S814" i="57"/>
  <c r="S2430" i="57" s="1"/>
  <c r="Q814" i="57"/>
  <c r="Q2430" i="57" s="1"/>
  <c r="O814" i="57"/>
  <c r="O2430" i="57" s="1"/>
  <c r="N814" i="57"/>
  <c r="N2430" i="57" s="1"/>
  <c r="M814" i="57"/>
  <c r="M2430" i="57" s="1"/>
  <c r="I814" i="57"/>
  <c r="S813" i="57"/>
  <c r="S2429" i="57" s="1"/>
  <c r="Q813" i="57"/>
  <c r="Q2429" i="57" s="1"/>
  <c r="O813" i="57"/>
  <c r="O2429" i="57" s="1"/>
  <c r="N813" i="57"/>
  <c r="N2429" i="57" s="1"/>
  <c r="M813" i="57"/>
  <c r="M2429" i="57" s="1"/>
  <c r="I813" i="57"/>
  <c r="S812" i="57"/>
  <c r="S2428" i="57" s="1"/>
  <c r="Q812" i="57"/>
  <c r="Q2428" i="57" s="1"/>
  <c r="O812" i="57"/>
  <c r="O2428" i="57" s="1"/>
  <c r="N812" i="57"/>
  <c r="N2428" i="57" s="1"/>
  <c r="M812" i="57"/>
  <c r="M2428" i="57" s="1"/>
  <c r="I812" i="57"/>
  <c r="S811" i="57"/>
  <c r="S2427" i="57" s="1"/>
  <c r="Q811" i="57"/>
  <c r="Q2427" i="57" s="1"/>
  <c r="O811" i="57"/>
  <c r="O2427" i="57" s="1"/>
  <c r="N811" i="57"/>
  <c r="N2427" i="57" s="1"/>
  <c r="M811" i="57"/>
  <c r="M2427" i="57" s="1"/>
  <c r="I811" i="57"/>
  <c r="S810" i="57"/>
  <c r="S2426" i="57" s="1"/>
  <c r="Q810" i="57"/>
  <c r="Q2426" i="57" s="1"/>
  <c r="O810" i="57"/>
  <c r="O2426" i="57" s="1"/>
  <c r="N810" i="57"/>
  <c r="N2426" i="57" s="1"/>
  <c r="M810" i="57"/>
  <c r="M2426" i="57" s="1"/>
  <c r="I810" i="57"/>
  <c r="S809" i="57"/>
  <c r="S2425" i="57" s="1"/>
  <c r="Q809" i="57"/>
  <c r="Q2425" i="57" s="1"/>
  <c r="O809" i="57"/>
  <c r="O2425" i="57" s="1"/>
  <c r="N809" i="57"/>
  <c r="N2425" i="57" s="1"/>
  <c r="M809" i="57"/>
  <c r="M2425" i="57" s="1"/>
  <c r="I809" i="57"/>
  <c r="S808" i="57"/>
  <c r="S2424" i="57" s="1"/>
  <c r="Q808" i="57"/>
  <c r="Q2424" i="57" s="1"/>
  <c r="O808" i="57"/>
  <c r="O2424" i="57" s="1"/>
  <c r="N808" i="57"/>
  <c r="N2424" i="57" s="1"/>
  <c r="M808" i="57"/>
  <c r="M2424" i="57" s="1"/>
  <c r="I808" i="57"/>
  <c r="S807" i="57"/>
  <c r="S2423" i="57" s="1"/>
  <c r="Q807" i="57"/>
  <c r="Q2423" i="57" s="1"/>
  <c r="O807" i="57"/>
  <c r="O2423" i="57" s="1"/>
  <c r="N807" i="57"/>
  <c r="N2423" i="57" s="1"/>
  <c r="M807" i="57"/>
  <c r="M2423" i="57" s="1"/>
  <c r="I807" i="57"/>
  <c r="S806" i="57"/>
  <c r="S2422" i="57" s="1"/>
  <c r="Q806" i="57"/>
  <c r="Q2422" i="57" s="1"/>
  <c r="O806" i="57"/>
  <c r="O2422" i="57" s="1"/>
  <c r="N806" i="57"/>
  <c r="N2422" i="57" s="1"/>
  <c r="M806" i="57"/>
  <c r="M2422" i="57" s="1"/>
  <c r="I806" i="57"/>
  <c r="S805" i="57"/>
  <c r="S2421" i="57" s="1"/>
  <c r="Q805" i="57"/>
  <c r="Q2421" i="57" s="1"/>
  <c r="O805" i="57"/>
  <c r="O2421" i="57" s="1"/>
  <c r="N805" i="57"/>
  <c r="N2421" i="57" s="1"/>
  <c r="M805" i="57"/>
  <c r="M2421" i="57" s="1"/>
  <c r="I805" i="57"/>
  <c r="S804" i="57"/>
  <c r="S2420" i="57" s="1"/>
  <c r="Q804" i="57"/>
  <c r="Q2420" i="57" s="1"/>
  <c r="O804" i="57"/>
  <c r="O2420" i="57" s="1"/>
  <c r="N804" i="57"/>
  <c r="N2420" i="57" s="1"/>
  <c r="M804" i="57"/>
  <c r="M2420" i="57" s="1"/>
  <c r="I804" i="57"/>
  <c r="S803" i="57"/>
  <c r="S2419" i="57" s="1"/>
  <c r="Q803" i="57"/>
  <c r="Q2419" i="57" s="1"/>
  <c r="O803" i="57"/>
  <c r="O2419" i="57" s="1"/>
  <c r="N803" i="57"/>
  <c r="N2419" i="57" s="1"/>
  <c r="M803" i="57"/>
  <c r="M2419" i="57" s="1"/>
  <c r="I803" i="57"/>
  <c r="S802" i="57"/>
  <c r="S2418" i="57" s="1"/>
  <c r="Q802" i="57"/>
  <c r="Q2418" i="57" s="1"/>
  <c r="O802" i="57"/>
  <c r="O2418" i="57" s="1"/>
  <c r="N802" i="57"/>
  <c r="N2418" i="57" s="1"/>
  <c r="M802" i="57"/>
  <c r="M2418" i="57" s="1"/>
  <c r="I802" i="57"/>
  <c r="S801" i="57"/>
  <c r="S2417" i="57" s="1"/>
  <c r="Q801" i="57"/>
  <c r="Q2417" i="57" s="1"/>
  <c r="O801" i="57"/>
  <c r="O2417" i="57" s="1"/>
  <c r="N801" i="57"/>
  <c r="N2417" i="57" s="1"/>
  <c r="M801" i="57"/>
  <c r="M2417" i="57" s="1"/>
  <c r="I801" i="57"/>
  <c r="S800" i="57"/>
  <c r="S2416" i="57" s="1"/>
  <c r="Q800" i="57"/>
  <c r="Q2416" i="57" s="1"/>
  <c r="O800" i="57"/>
  <c r="O2416" i="57" s="1"/>
  <c r="N800" i="57"/>
  <c r="N2416" i="57" s="1"/>
  <c r="M800" i="57"/>
  <c r="M2416" i="57" s="1"/>
  <c r="I800" i="57"/>
  <c r="S799" i="57"/>
  <c r="S2415" i="57" s="1"/>
  <c r="Q799" i="57"/>
  <c r="Q2415" i="57" s="1"/>
  <c r="O799" i="57"/>
  <c r="O2415" i="57" s="1"/>
  <c r="N799" i="57"/>
  <c r="N2415" i="57" s="1"/>
  <c r="M799" i="57"/>
  <c r="M2415" i="57" s="1"/>
  <c r="I799" i="57"/>
  <c r="S798" i="57"/>
  <c r="S2414" i="57" s="1"/>
  <c r="Q798" i="57"/>
  <c r="Q2414" i="57" s="1"/>
  <c r="O798" i="57"/>
  <c r="O2414" i="57" s="1"/>
  <c r="N798" i="57"/>
  <c r="N2414" i="57" s="1"/>
  <c r="M798" i="57"/>
  <c r="M2414" i="57" s="1"/>
  <c r="I798" i="57"/>
  <c r="S797" i="57"/>
  <c r="S2413" i="57" s="1"/>
  <c r="Q797" i="57"/>
  <c r="Q2413" i="57" s="1"/>
  <c r="O797" i="57"/>
  <c r="O2413" i="57" s="1"/>
  <c r="N797" i="57"/>
  <c r="N2413" i="57" s="1"/>
  <c r="M797" i="57"/>
  <c r="M2413" i="57" s="1"/>
  <c r="I797" i="57"/>
  <c r="S796" i="57"/>
  <c r="S2412" i="57" s="1"/>
  <c r="Q796" i="57"/>
  <c r="Q2412" i="57" s="1"/>
  <c r="O796" i="57"/>
  <c r="O2412" i="57" s="1"/>
  <c r="N796" i="57"/>
  <c r="N2412" i="57" s="1"/>
  <c r="M796" i="57"/>
  <c r="M2412" i="57" s="1"/>
  <c r="I796" i="57"/>
  <c r="S795" i="57"/>
  <c r="S2411" i="57" s="1"/>
  <c r="Q795" i="57"/>
  <c r="Q2411" i="57" s="1"/>
  <c r="O795" i="57"/>
  <c r="O2411" i="57" s="1"/>
  <c r="N795" i="57"/>
  <c r="N2411" i="57" s="1"/>
  <c r="M795" i="57"/>
  <c r="M2411" i="57" s="1"/>
  <c r="I795" i="57"/>
  <c r="S794" i="57"/>
  <c r="S2410" i="57" s="1"/>
  <c r="Q794" i="57"/>
  <c r="Q2410" i="57" s="1"/>
  <c r="O794" i="57"/>
  <c r="O2410" i="57" s="1"/>
  <c r="N794" i="57"/>
  <c r="N2410" i="57" s="1"/>
  <c r="M794" i="57"/>
  <c r="M2410" i="57" s="1"/>
  <c r="I794" i="57"/>
  <c r="S793" i="57"/>
  <c r="S2409" i="57" s="1"/>
  <c r="Q793" i="57"/>
  <c r="Q2409" i="57" s="1"/>
  <c r="O793" i="57"/>
  <c r="O2409" i="57" s="1"/>
  <c r="N793" i="57"/>
  <c r="N2409" i="57" s="1"/>
  <c r="M793" i="57"/>
  <c r="M2409" i="57" s="1"/>
  <c r="I793" i="57"/>
  <c r="S792" i="57"/>
  <c r="S2408" i="57" s="1"/>
  <c r="Q792" i="57"/>
  <c r="Q2408" i="57" s="1"/>
  <c r="O792" i="57"/>
  <c r="O2408" i="57" s="1"/>
  <c r="N792" i="57"/>
  <c r="N2408" i="57" s="1"/>
  <c r="M792" i="57"/>
  <c r="M2408" i="57" s="1"/>
  <c r="I792" i="57"/>
  <c r="S791" i="57"/>
  <c r="S2407" i="57" s="1"/>
  <c r="Q791" i="57"/>
  <c r="Q2407" i="57" s="1"/>
  <c r="O791" i="57"/>
  <c r="O2407" i="57" s="1"/>
  <c r="N791" i="57"/>
  <c r="N2407" i="57" s="1"/>
  <c r="M791" i="57"/>
  <c r="M2407" i="57" s="1"/>
  <c r="I791" i="57"/>
  <c r="S790" i="57"/>
  <c r="S2406" i="57" s="1"/>
  <c r="Q790" i="57"/>
  <c r="Q2406" i="57" s="1"/>
  <c r="O790" i="57"/>
  <c r="O2406" i="57" s="1"/>
  <c r="N790" i="57"/>
  <c r="N2406" i="57" s="1"/>
  <c r="M790" i="57"/>
  <c r="M2406" i="57" s="1"/>
  <c r="I790" i="57"/>
  <c r="S789" i="57"/>
  <c r="S2405" i="57" s="1"/>
  <c r="Q789" i="57"/>
  <c r="Q2405" i="57" s="1"/>
  <c r="O789" i="57"/>
  <c r="O2405" i="57" s="1"/>
  <c r="N789" i="57"/>
  <c r="N2405" i="57" s="1"/>
  <c r="M789" i="57"/>
  <c r="M2405" i="57" s="1"/>
  <c r="I789" i="57"/>
  <c r="S786" i="57"/>
  <c r="S2402" i="57" s="1"/>
  <c r="Q786" i="57"/>
  <c r="Q2402" i="57" s="1"/>
  <c r="O786" i="57"/>
  <c r="O2402" i="57" s="1"/>
  <c r="N786" i="57"/>
  <c r="N2402" i="57" s="1"/>
  <c r="M786" i="57"/>
  <c r="M2402" i="57" s="1"/>
  <c r="I786" i="57"/>
  <c r="S785" i="57"/>
  <c r="S2401" i="57" s="1"/>
  <c r="Q785" i="57"/>
  <c r="Q2401" i="57" s="1"/>
  <c r="O785" i="57"/>
  <c r="O2401" i="57" s="1"/>
  <c r="N785" i="57"/>
  <c r="N2401" i="57" s="1"/>
  <c r="M785" i="57"/>
  <c r="M2401" i="57" s="1"/>
  <c r="I785" i="57"/>
  <c r="S784" i="57"/>
  <c r="S2400" i="57" s="1"/>
  <c r="Q784" i="57"/>
  <c r="Q2400" i="57" s="1"/>
  <c r="O784" i="57"/>
  <c r="O2400" i="57" s="1"/>
  <c r="N784" i="57"/>
  <c r="N2400" i="57" s="1"/>
  <c r="M784" i="57"/>
  <c r="M2400" i="57" s="1"/>
  <c r="I784" i="57"/>
  <c r="S783" i="57"/>
  <c r="S2399" i="57" s="1"/>
  <c r="Q783" i="57"/>
  <c r="Q2399" i="57" s="1"/>
  <c r="O783" i="57"/>
  <c r="O2399" i="57" s="1"/>
  <c r="N783" i="57"/>
  <c r="N2399" i="57" s="1"/>
  <c r="M783" i="57"/>
  <c r="M2399" i="57" s="1"/>
  <c r="I783" i="57"/>
  <c r="S782" i="57"/>
  <c r="S2398" i="57" s="1"/>
  <c r="Q782" i="57"/>
  <c r="Q2398" i="57" s="1"/>
  <c r="O782" i="57"/>
  <c r="O2398" i="57" s="1"/>
  <c r="N782" i="57"/>
  <c r="N2398" i="57" s="1"/>
  <c r="M782" i="57"/>
  <c r="M2398" i="57" s="1"/>
  <c r="I782" i="57"/>
  <c r="S781" i="57"/>
  <c r="S2397" i="57" s="1"/>
  <c r="Q781" i="57"/>
  <c r="Q2397" i="57" s="1"/>
  <c r="O781" i="57"/>
  <c r="O2397" i="57" s="1"/>
  <c r="N781" i="57"/>
  <c r="N2397" i="57" s="1"/>
  <c r="M781" i="57"/>
  <c r="M2397" i="57" s="1"/>
  <c r="I781" i="57"/>
  <c r="S780" i="57"/>
  <c r="S2396" i="57" s="1"/>
  <c r="Q780" i="57"/>
  <c r="Q2396" i="57" s="1"/>
  <c r="O780" i="57"/>
  <c r="O2396" i="57" s="1"/>
  <c r="N780" i="57"/>
  <c r="N2396" i="57" s="1"/>
  <c r="M780" i="57"/>
  <c r="M2396" i="57" s="1"/>
  <c r="I780" i="57"/>
  <c r="S779" i="57"/>
  <c r="S2395" i="57" s="1"/>
  <c r="Q779" i="57"/>
  <c r="Q2395" i="57" s="1"/>
  <c r="O779" i="57"/>
  <c r="O2395" i="57" s="1"/>
  <c r="N779" i="57"/>
  <c r="N2395" i="57" s="1"/>
  <c r="M779" i="57"/>
  <c r="M2395" i="57" s="1"/>
  <c r="I779" i="57"/>
  <c r="S778" i="57"/>
  <c r="S2394" i="57" s="1"/>
  <c r="Q778" i="57"/>
  <c r="Q2394" i="57" s="1"/>
  <c r="O778" i="57"/>
  <c r="O2394" i="57" s="1"/>
  <c r="N778" i="57"/>
  <c r="N2394" i="57" s="1"/>
  <c r="M778" i="57"/>
  <c r="M2394" i="57" s="1"/>
  <c r="I778" i="57"/>
  <c r="S777" i="57"/>
  <c r="S2393" i="57" s="1"/>
  <c r="Q777" i="57"/>
  <c r="Q2393" i="57" s="1"/>
  <c r="O777" i="57"/>
  <c r="O2393" i="57" s="1"/>
  <c r="N777" i="57"/>
  <c r="N2393" i="57" s="1"/>
  <c r="M777" i="57"/>
  <c r="M2393" i="57" s="1"/>
  <c r="I777" i="57"/>
  <c r="S776" i="57"/>
  <c r="S2392" i="57" s="1"/>
  <c r="Q776" i="57"/>
  <c r="Q2392" i="57" s="1"/>
  <c r="O776" i="57"/>
  <c r="O2392" i="57" s="1"/>
  <c r="N776" i="57"/>
  <c r="N2392" i="57" s="1"/>
  <c r="M776" i="57"/>
  <c r="M2392" i="57" s="1"/>
  <c r="I776" i="57"/>
  <c r="S775" i="57"/>
  <c r="S2391" i="57" s="1"/>
  <c r="Q775" i="57"/>
  <c r="Q2391" i="57" s="1"/>
  <c r="O775" i="57"/>
  <c r="O2391" i="57" s="1"/>
  <c r="N775" i="57"/>
  <c r="N2391" i="57" s="1"/>
  <c r="M775" i="57"/>
  <c r="M2391" i="57" s="1"/>
  <c r="I775" i="57"/>
  <c r="S774" i="57"/>
  <c r="S2390" i="57" s="1"/>
  <c r="Q774" i="57"/>
  <c r="Q2390" i="57" s="1"/>
  <c r="O774" i="57"/>
  <c r="O2390" i="57" s="1"/>
  <c r="N774" i="57"/>
  <c r="N2390" i="57" s="1"/>
  <c r="M774" i="57"/>
  <c r="M2390" i="57" s="1"/>
  <c r="I774" i="57"/>
  <c r="S773" i="57"/>
  <c r="S2389" i="57" s="1"/>
  <c r="Q773" i="57"/>
  <c r="Q2389" i="57" s="1"/>
  <c r="O773" i="57"/>
  <c r="O2389" i="57" s="1"/>
  <c r="N773" i="57"/>
  <c r="N2389" i="57" s="1"/>
  <c r="M773" i="57"/>
  <c r="M2389" i="57" s="1"/>
  <c r="I773" i="57"/>
  <c r="S772" i="57"/>
  <c r="S2388" i="57" s="1"/>
  <c r="Q772" i="57"/>
  <c r="Q2388" i="57" s="1"/>
  <c r="O772" i="57"/>
  <c r="O2388" i="57" s="1"/>
  <c r="N772" i="57"/>
  <c r="N2388" i="57" s="1"/>
  <c r="M772" i="57"/>
  <c r="M2388" i="57" s="1"/>
  <c r="I772" i="57"/>
  <c r="S771" i="57"/>
  <c r="S2387" i="57" s="1"/>
  <c r="Q771" i="57"/>
  <c r="Q2387" i="57" s="1"/>
  <c r="O771" i="57"/>
  <c r="O2387" i="57" s="1"/>
  <c r="N771" i="57"/>
  <c r="N2387" i="57" s="1"/>
  <c r="M771" i="57"/>
  <c r="M2387" i="57" s="1"/>
  <c r="I771" i="57"/>
  <c r="S770" i="57"/>
  <c r="S2386" i="57" s="1"/>
  <c r="Q770" i="57"/>
  <c r="Q2386" i="57" s="1"/>
  <c r="O770" i="57"/>
  <c r="O2386" i="57" s="1"/>
  <c r="N770" i="57"/>
  <c r="N2386" i="57" s="1"/>
  <c r="M770" i="57"/>
  <c r="M2386" i="57" s="1"/>
  <c r="I770" i="57"/>
  <c r="S769" i="57"/>
  <c r="S2385" i="57" s="1"/>
  <c r="Q769" i="57"/>
  <c r="Q2385" i="57" s="1"/>
  <c r="O769" i="57"/>
  <c r="O2385" i="57" s="1"/>
  <c r="N769" i="57"/>
  <c r="N2385" i="57" s="1"/>
  <c r="M769" i="57"/>
  <c r="M2385" i="57" s="1"/>
  <c r="I769" i="57"/>
  <c r="S768" i="57"/>
  <c r="S2384" i="57" s="1"/>
  <c r="Q768" i="57"/>
  <c r="Q2384" i="57" s="1"/>
  <c r="O768" i="57"/>
  <c r="O2384" i="57" s="1"/>
  <c r="N768" i="57"/>
  <c r="N2384" i="57" s="1"/>
  <c r="M768" i="57"/>
  <c r="M2384" i="57" s="1"/>
  <c r="I768" i="57"/>
  <c r="S767" i="57"/>
  <c r="S2383" i="57" s="1"/>
  <c r="Q767" i="57"/>
  <c r="Q2383" i="57" s="1"/>
  <c r="O767" i="57"/>
  <c r="O2383" i="57" s="1"/>
  <c r="N767" i="57"/>
  <c r="N2383" i="57" s="1"/>
  <c r="M767" i="57"/>
  <c r="M2383" i="57" s="1"/>
  <c r="I767" i="57"/>
  <c r="S766" i="57"/>
  <c r="S2382" i="57" s="1"/>
  <c r="Q766" i="57"/>
  <c r="Q2382" i="57" s="1"/>
  <c r="O766" i="57"/>
  <c r="O2382" i="57" s="1"/>
  <c r="N766" i="57"/>
  <c r="N2382" i="57" s="1"/>
  <c r="M766" i="57"/>
  <c r="M2382" i="57" s="1"/>
  <c r="I766" i="57"/>
  <c r="S765" i="57"/>
  <c r="S2381" i="57" s="1"/>
  <c r="Q765" i="57"/>
  <c r="Q2381" i="57" s="1"/>
  <c r="O765" i="57"/>
  <c r="O2381" i="57" s="1"/>
  <c r="N765" i="57"/>
  <c r="N2381" i="57" s="1"/>
  <c r="M765" i="57"/>
  <c r="M2381" i="57" s="1"/>
  <c r="I765" i="57"/>
  <c r="S764" i="57"/>
  <c r="S2380" i="57" s="1"/>
  <c r="Q764" i="57"/>
  <c r="Q2380" i="57" s="1"/>
  <c r="O764" i="57"/>
  <c r="O2380" i="57" s="1"/>
  <c r="N764" i="57"/>
  <c r="N2380" i="57" s="1"/>
  <c r="M764" i="57"/>
  <c r="M2380" i="57" s="1"/>
  <c r="I764" i="57"/>
  <c r="S763" i="57"/>
  <c r="S2379" i="57" s="1"/>
  <c r="Q763" i="57"/>
  <c r="Q2379" i="57" s="1"/>
  <c r="O763" i="57"/>
  <c r="O2379" i="57" s="1"/>
  <c r="N763" i="57"/>
  <c r="N2379" i="57" s="1"/>
  <c r="M763" i="57"/>
  <c r="M2379" i="57" s="1"/>
  <c r="I763" i="57"/>
  <c r="S762" i="57"/>
  <c r="S2378" i="57" s="1"/>
  <c r="Q762" i="57"/>
  <c r="Q2378" i="57" s="1"/>
  <c r="O762" i="57"/>
  <c r="O2378" i="57" s="1"/>
  <c r="N762" i="57"/>
  <c r="N2378" i="57" s="1"/>
  <c r="M762" i="57"/>
  <c r="M2378" i="57" s="1"/>
  <c r="I762" i="57"/>
  <c r="S761" i="57"/>
  <c r="S2377" i="57" s="1"/>
  <c r="Q761" i="57"/>
  <c r="Q2377" i="57" s="1"/>
  <c r="O761" i="57"/>
  <c r="O2377" i="57" s="1"/>
  <c r="N761" i="57"/>
  <c r="N2377" i="57" s="1"/>
  <c r="M761" i="57"/>
  <c r="M2377" i="57" s="1"/>
  <c r="I761" i="57"/>
  <c r="S760" i="57"/>
  <c r="S2376" i="57" s="1"/>
  <c r="Q760" i="57"/>
  <c r="Q2376" i="57" s="1"/>
  <c r="O760" i="57"/>
  <c r="O2376" i="57" s="1"/>
  <c r="N760" i="57"/>
  <c r="N2376" i="57" s="1"/>
  <c r="M760" i="57"/>
  <c r="M2376" i="57" s="1"/>
  <c r="I760" i="57"/>
  <c r="S759" i="57"/>
  <c r="S2375" i="57" s="1"/>
  <c r="Q759" i="57"/>
  <c r="Q2375" i="57" s="1"/>
  <c r="O759" i="57"/>
  <c r="O2375" i="57" s="1"/>
  <c r="N759" i="57"/>
  <c r="N2375" i="57" s="1"/>
  <c r="M759" i="57"/>
  <c r="M2375" i="57" s="1"/>
  <c r="I759" i="57"/>
  <c r="S758" i="57"/>
  <c r="S2374" i="57" s="1"/>
  <c r="Q758" i="57"/>
  <c r="Q2374" i="57" s="1"/>
  <c r="O758" i="57"/>
  <c r="O2374" i="57" s="1"/>
  <c r="N758" i="57"/>
  <c r="N2374" i="57" s="1"/>
  <c r="M758" i="57"/>
  <c r="M2374" i="57" s="1"/>
  <c r="I758" i="57"/>
  <c r="S757" i="57"/>
  <c r="S2373" i="57" s="1"/>
  <c r="Q757" i="57"/>
  <c r="Q2373" i="57" s="1"/>
  <c r="O757" i="57"/>
  <c r="O2373" i="57" s="1"/>
  <c r="N757" i="57"/>
  <c r="N2373" i="57" s="1"/>
  <c r="M757" i="57"/>
  <c r="M2373" i="57" s="1"/>
  <c r="I757" i="57"/>
  <c r="S756" i="57"/>
  <c r="S2372" i="57" s="1"/>
  <c r="Q756" i="57"/>
  <c r="Q2372" i="57" s="1"/>
  <c r="O756" i="57"/>
  <c r="O2372" i="57" s="1"/>
  <c r="N756" i="57"/>
  <c r="N2372" i="57" s="1"/>
  <c r="M756" i="57"/>
  <c r="M2372" i="57" s="1"/>
  <c r="I756" i="57"/>
  <c r="S755" i="57"/>
  <c r="S2371" i="57" s="1"/>
  <c r="Q755" i="57"/>
  <c r="Q2371" i="57" s="1"/>
  <c r="O755" i="57"/>
  <c r="O2371" i="57" s="1"/>
  <c r="N755" i="57"/>
  <c r="N2371" i="57" s="1"/>
  <c r="M755" i="57"/>
  <c r="M2371" i="57" s="1"/>
  <c r="I755" i="57"/>
  <c r="S754" i="57"/>
  <c r="S2370" i="57" s="1"/>
  <c r="Q754" i="57"/>
  <c r="Q2370" i="57" s="1"/>
  <c r="O754" i="57"/>
  <c r="O2370" i="57" s="1"/>
  <c r="N754" i="57"/>
  <c r="N2370" i="57" s="1"/>
  <c r="M754" i="57"/>
  <c r="M2370" i="57" s="1"/>
  <c r="I754" i="57"/>
  <c r="S753" i="57"/>
  <c r="S2369" i="57" s="1"/>
  <c r="Q753" i="57"/>
  <c r="Q2369" i="57" s="1"/>
  <c r="O753" i="57"/>
  <c r="O2369" i="57" s="1"/>
  <c r="N753" i="57"/>
  <c r="N2369" i="57" s="1"/>
  <c r="M753" i="57"/>
  <c r="M2369" i="57" s="1"/>
  <c r="I753" i="57"/>
  <c r="S752" i="57"/>
  <c r="S2368" i="57" s="1"/>
  <c r="Q752" i="57"/>
  <c r="Q2368" i="57" s="1"/>
  <c r="O752" i="57"/>
  <c r="O2368" i="57" s="1"/>
  <c r="N752" i="57"/>
  <c r="N2368" i="57" s="1"/>
  <c r="M752" i="57"/>
  <c r="M2368" i="57" s="1"/>
  <c r="I752" i="57"/>
  <c r="S751" i="57"/>
  <c r="S2367" i="57" s="1"/>
  <c r="Q751" i="57"/>
  <c r="Q2367" i="57" s="1"/>
  <c r="O751" i="57"/>
  <c r="O2367" i="57" s="1"/>
  <c r="N751" i="57"/>
  <c r="N2367" i="57" s="1"/>
  <c r="M751" i="57"/>
  <c r="M2367" i="57" s="1"/>
  <c r="I751" i="57"/>
  <c r="S750" i="57"/>
  <c r="S2366" i="57" s="1"/>
  <c r="Q750" i="57"/>
  <c r="Q2366" i="57" s="1"/>
  <c r="O750" i="57"/>
  <c r="O2366" i="57" s="1"/>
  <c r="N750" i="57"/>
  <c r="N2366" i="57" s="1"/>
  <c r="M750" i="57"/>
  <c r="M2366" i="57" s="1"/>
  <c r="I750" i="57"/>
  <c r="S749" i="57"/>
  <c r="S2365" i="57" s="1"/>
  <c r="Q749" i="57"/>
  <c r="Q2365" i="57" s="1"/>
  <c r="O749" i="57"/>
  <c r="O2365" i="57" s="1"/>
  <c r="N749" i="57"/>
  <c r="N2365" i="57" s="1"/>
  <c r="M749" i="57"/>
  <c r="M2365" i="57" s="1"/>
  <c r="I749" i="57"/>
  <c r="S748" i="57"/>
  <c r="S2364" i="57" s="1"/>
  <c r="Q748" i="57"/>
  <c r="Q2364" i="57" s="1"/>
  <c r="O748" i="57"/>
  <c r="O2364" i="57" s="1"/>
  <c r="N748" i="57"/>
  <c r="N2364" i="57" s="1"/>
  <c r="M748" i="57"/>
  <c r="M2364" i="57" s="1"/>
  <c r="I748" i="57"/>
  <c r="S747" i="57"/>
  <c r="S2363" i="57" s="1"/>
  <c r="Q747" i="57"/>
  <c r="Q2363" i="57" s="1"/>
  <c r="O747" i="57"/>
  <c r="O2363" i="57" s="1"/>
  <c r="N747" i="57"/>
  <c r="N2363" i="57" s="1"/>
  <c r="M747" i="57"/>
  <c r="M2363" i="57" s="1"/>
  <c r="I747" i="57"/>
  <c r="S746" i="57"/>
  <c r="S2362" i="57" s="1"/>
  <c r="Q746" i="57"/>
  <c r="Q2362" i="57" s="1"/>
  <c r="O746" i="57"/>
  <c r="O2362" i="57" s="1"/>
  <c r="N746" i="57"/>
  <c r="N2362" i="57" s="1"/>
  <c r="M746" i="57"/>
  <c r="M2362" i="57" s="1"/>
  <c r="I746" i="57"/>
  <c r="S745" i="57"/>
  <c r="S2361" i="57" s="1"/>
  <c r="Q745" i="57"/>
  <c r="Q2361" i="57" s="1"/>
  <c r="O745" i="57"/>
  <c r="O2361" i="57" s="1"/>
  <c r="N745" i="57"/>
  <c r="N2361" i="57" s="1"/>
  <c r="M745" i="57"/>
  <c r="M2361" i="57" s="1"/>
  <c r="I745" i="57"/>
  <c r="S744" i="57"/>
  <c r="S2360" i="57" s="1"/>
  <c r="Q744" i="57"/>
  <c r="Q2360" i="57" s="1"/>
  <c r="O744" i="57"/>
  <c r="O2360" i="57" s="1"/>
  <c r="N744" i="57"/>
  <c r="N2360" i="57" s="1"/>
  <c r="M744" i="57"/>
  <c r="M2360" i="57" s="1"/>
  <c r="I744" i="57"/>
  <c r="S743" i="57"/>
  <c r="S2359" i="57" s="1"/>
  <c r="Q743" i="57"/>
  <c r="Q2359" i="57" s="1"/>
  <c r="O743" i="57"/>
  <c r="O2359" i="57" s="1"/>
  <c r="N743" i="57"/>
  <c r="N2359" i="57" s="1"/>
  <c r="M743" i="57"/>
  <c r="M2359" i="57" s="1"/>
  <c r="I743" i="57"/>
  <c r="S742" i="57"/>
  <c r="S2358" i="57" s="1"/>
  <c r="Q742" i="57"/>
  <c r="Q2358" i="57" s="1"/>
  <c r="O742" i="57"/>
  <c r="O2358" i="57" s="1"/>
  <c r="N742" i="57"/>
  <c r="N2358" i="57" s="1"/>
  <c r="M742" i="57"/>
  <c r="M2358" i="57" s="1"/>
  <c r="I742" i="57"/>
  <c r="S741" i="57"/>
  <c r="S2357" i="57" s="1"/>
  <c r="Q741" i="57"/>
  <c r="Q2357" i="57" s="1"/>
  <c r="O741" i="57"/>
  <c r="O2357" i="57" s="1"/>
  <c r="N741" i="57"/>
  <c r="N2357" i="57" s="1"/>
  <c r="M741" i="57"/>
  <c r="M2357" i="57" s="1"/>
  <c r="I741" i="57"/>
  <c r="S740" i="57"/>
  <c r="S2356" i="57" s="1"/>
  <c r="Q740" i="57"/>
  <c r="Q2356" i="57" s="1"/>
  <c r="O740" i="57"/>
  <c r="O2356" i="57" s="1"/>
  <c r="N740" i="57"/>
  <c r="N2356" i="57" s="1"/>
  <c r="M740" i="57"/>
  <c r="M2356" i="57" s="1"/>
  <c r="I740" i="57"/>
  <c r="S739" i="57"/>
  <c r="S2355" i="57" s="1"/>
  <c r="Q739" i="57"/>
  <c r="Q2355" i="57" s="1"/>
  <c r="O739" i="57"/>
  <c r="O2355" i="57" s="1"/>
  <c r="N739" i="57"/>
  <c r="N2355" i="57" s="1"/>
  <c r="M739" i="57"/>
  <c r="M2355" i="57" s="1"/>
  <c r="I739" i="57"/>
  <c r="S738" i="57"/>
  <c r="S2354" i="57" s="1"/>
  <c r="Q738" i="57"/>
  <c r="Q2354" i="57" s="1"/>
  <c r="O738" i="57"/>
  <c r="O2354" i="57" s="1"/>
  <c r="N738" i="57"/>
  <c r="N2354" i="57" s="1"/>
  <c r="M738" i="57"/>
  <c r="M2354" i="57" s="1"/>
  <c r="I738" i="57"/>
  <c r="S737" i="57"/>
  <c r="S2353" i="57" s="1"/>
  <c r="Q737" i="57"/>
  <c r="Q2353" i="57" s="1"/>
  <c r="O737" i="57"/>
  <c r="O2353" i="57" s="1"/>
  <c r="N737" i="57"/>
  <c r="N2353" i="57" s="1"/>
  <c r="M737" i="57"/>
  <c r="M2353" i="57" s="1"/>
  <c r="I737" i="57"/>
  <c r="S734" i="57"/>
  <c r="S2350" i="57" s="1"/>
  <c r="Q734" i="57"/>
  <c r="Q2350" i="57" s="1"/>
  <c r="O734" i="57"/>
  <c r="O2350" i="57" s="1"/>
  <c r="N734" i="57"/>
  <c r="N2350" i="57" s="1"/>
  <c r="M734" i="57"/>
  <c r="M2350" i="57" s="1"/>
  <c r="I734" i="57"/>
  <c r="D734" i="57"/>
  <c r="D786" i="57" s="1"/>
  <c r="S733" i="57"/>
  <c r="S2349" i="57" s="1"/>
  <c r="Q733" i="57"/>
  <c r="Q2349" i="57" s="1"/>
  <c r="O733" i="57"/>
  <c r="O2349" i="57" s="1"/>
  <c r="N733" i="57"/>
  <c r="N2349" i="57" s="1"/>
  <c r="M733" i="57"/>
  <c r="M2349" i="57" s="1"/>
  <c r="I733" i="57"/>
  <c r="D733" i="57"/>
  <c r="D785" i="57" s="1"/>
  <c r="S732" i="57"/>
  <c r="S2348" i="57" s="1"/>
  <c r="Q732" i="57"/>
  <c r="Q2348" i="57" s="1"/>
  <c r="O732" i="57"/>
  <c r="O2348" i="57" s="1"/>
  <c r="N732" i="57"/>
  <c r="N2348" i="57" s="1"/>
  <c r="M732" i="57"/>
  <c r="M2348" i="57" s="1"/>
  <c r="I732" i="57"/>
  <c r="D732" i="57"/>
  <c r="D784" i="57" s="1"/>
  <c r="S731" i="57"/>
  <c r="S2347" i="57" s="1"/>
  <c r="Q731" i="57"/>
  <c r="Q2347" i="57" s="1"/>
  <c r="O731" i="57"/>
  <c r="O2347" i="57" s="1"/>
  <c r="N731" i="57"/>
  <c r="N2347" i="57" s="1"/>
  <c r="M731" i="57"/>
  <c r="M2347" i="57" s="1"/>
  <c r="I731" i="57"/>
  <c r="D731" i="57"/>
  <c r="D783" i="57" s="1"/>
  <c r="S730" i="57"/>
  <c r="S2346" i="57" s="1"/>
  <c r="Q730" i="57"/>
  <c r="Q2346" i="57" s="1"/>
  <c r="O730" i="57"/>
  <c r="O2346" i="57" s="1"/>
  <c r="N730" i="57"/>
  <c r="N2346" i="57" s="1"/>
  <c r="M730" i="57"/>
  <c r="M2346" i="57" s="1"/>
  <c r="I730" i="57"/>
  <c r="D730" i="57"/>
  <c r="D782" i="57" s="1"/>
  <c r="S729" i="57"/>
  <c r="S2345" i="57" s="1"/>
  <c r="Q729" i="57"/>
  <c r="Q2345" i="57" s="1"/>
  <c r="O729" i="57"/>
  <c r="O2345" i="57" s="1"/>
  <c r="N729" i="57"/>
  <c r="N2345" i="57" s="1"/>
  <c r="M729" i="57"/>
  <c r="M2345" i="57" s="1"/>
  <c r="I729" i="57"/>
  <c r="D729" i="57"/>
  <c r="D781" i="57" s="1"/>
  <c r="S728" i="57"/>
  <c r="S2344" i="57" s="1"/>
  <c r="Q728" i="57"/>
  <c r="Q2344" i="57" s="1"/>
  <c r="O728" i="57"/>
  <c r="O2344" i="57" s="1"/>
  <c r="N728" i="57"/>
  <c r="N2344" i="57" s="1"/>
  <c r="M728" i="57"/>
  <c r="M2344" i="57" s="1"/>
  <c r="I728" i="57"/>
  <c r="D728" i="57"/>
  <c r="D780" i="57" s="1"/>
  <c r="S727" i="57"/>
  <c r="S2343" i="57" s="1"/>
  <c r="Q727" i="57"/>
  <c r="Q2343" i="57" s="1"/>
  <c r="O727" i="57"/>
  <c r="O2343" i="57" s="1"/>
  <c r="N727" i="57"/>
  <c r="N2343" i="57" s="1"/>
  <c r="M727" i="57"/>
  <c r="M2343" i="57" s="1"/>
  <c r="I727" i="57"/>
  <c r="D727" i="57"/>
  <c r="D779" i="57" s="1"/>
  <c r="S726" i="57"/>
  <c r="S2342" i="57" s="1"/>
  <c r="Q726" i="57"/>
  <c r="Q2342" i="57" s="1"/>
  <c r="O726" i="57"/>
  <c r="O2342" i="57" s="1"/>
  <c r="N726" i="57"/>
  <c r="N2342" i="57" s="1"/>
  <c r="M726" i="57"/>
  <c r="M2342" i="57" s="1"/>
  <c r="I726" i="57"/>
  <c r="D726" i="57"/>
  <c r="D778" i="57" s="1"/>
  <c r="S725" i="57"/>
  <c r="S2341" i="57" s="1"/>
  <c r="Q725" i="57"/>
  <c r="Q2341" i="57" s="1"/>
  <c r="O725" i="57"/>
  <c r="O2341" i="57" s="1"/>
  <c r="N725" i="57"/>
  <c r="N2341" i="57" s="1"/>
  <c r="M725" i="57"/>
  <c r="M2341" i="57" s="1"/>
  <c r="I725" i="57"/>
  <c r="D725" i="57"/>
  <c r="D777" i="57" s="1"/>
  <c r="S724" i="57"/>
  <c r="S2340" i="57" s="1"/>
  <c r="Q724" i="57"/>
  <c r="Q2340" i="57" s="1"/>
  <c r="O724" i="57"/>
  <c r="O2340" i="57" s="1"/>
  <c r="N724" i="57"/>
  <c r="N2340" i="57" s="1"/>
  <c r="M724" i="57"/>
  <c r="M2340" i="57" s="1"/>
  <c r="I724" i="57"/>
  <c r="D724" i="57"/>
  <c r="D776" i="57" s="1"/>
  <c r="S723" i="57"/>
  <c r="S2339" i="57" s="1"/>
  <c r="Q723" i="57"/>
  <c r="Q2339" i="57" s="1"/>
  <c r="O723" i="57"/>
  <c r="O2339" i="57" s="1"/>
  <c r="N723" i="57"/>
  <c r="N2339" i="57" s="1"/>
  <c r="M723" i="57"/>
  <c r="M2339" i="57" s="1"/>
  <c r="I723" i="57"/>
  <c r="D723" i="57"/>
  <c r="D775" i="57" s="1"/>
  <c r="S722" i="57"/>
  <c r="S2338" i="57" s="1"/>
  <c r="Q722" i="57"/>
  <c r="Q2338" i="57" s="1"/>
  <c r="O722" i="57"/>
  <c r="O2338" i="57" s="1"/>
  <c r="N722" i="57"/>
  <c r="N2338" i="57" s="1"/>
  <c r="M722" i="57"/>
  <c r="M2338" i="57" s="1"/>
  <c r="I722" i="57"/>
  <c r="D722" i="57"/>
  <c r="D774" i="57" s="1"/>
  <c r="S721" i="57"/>
  <c r="S2337" i="57" s="1"/>
  <c r="Q721" i="57"/>
  <c r="Q2337" i="57" s="1"/>
  <c r="O721" i="57"/>
  <c r="O2337" i="57" s="1"/>
  <c r="N721" i="57"/>
  <c r="N2337" i="57" s="1"/>
  <c r="M721" i="57"/>
  <c r="M2337" i="57" s="1"/>
  <c r="I721" i="57"/>
  <c r="D721" i="57"/>
  <c r="D773" i="57" s="1"/>
  <c r="S720" i="57"/>
  <c r="S2336" i="57" s="1"/>
  <c r="Q720" i="57"/>
  <c r="Q2336" i="57" s="1"/>
  <c r="O720" i="57"/>
  <c r="O2336" i="57" s="1"/>
  <c r="N720" i="57"/>
  <c r="N2336" i="57" s="1"/>
  <c r="M720" i="57"/>
  <c r="M2336" i="57" s="1"/>
  <c r="I720" i="57"/>
  <c r="D720" i="57"/>
  <c r="D772" i="57" s="1"/>
  <c r="S719" i="57"/>
  <c r="S2335" i="57" s="1"/>
  <c r="Q719" i="57"/>
  <c r="Q2335" i="57" s="1"/>
  <c r="O719" i="57"/>
  <c r="O2335" i="57" s="1"/>
  <c r="N719" i="57"/>
  <c r="N2335" i="57" s="1"/>
  <c r="M719" i="57"/>
  <c r="M2335" i="57" s="1"/>
  <c r="I719" i="57"/>
  <c r="D719" i="57"/>
  <c r="D771" i="57" s="1"/>
  <c r="S718" i="57"/>
  <c r="S2334" i="57" s="1"/>
  <c r="Q718" i="57"/>
  <c r="Q2334" i="57" s="1"/>
  <c r="O718" i="57"/>
  <c r="O2334" i="57" s="1"/>
  <c r="N718" i="57"/>
  <c r="N2334" i="57" s="1"/>
  <c r="M718" i="57"/>
  <c r="M2334" i="57" s="1"/>
  <c r="I718" i="57"/>
  <c r="D718" i="57"/>
  <c r="D770" i="57" s="1"/>
  <c r="S717" i="57"/>
  <c r="S2333" i="57" s="1"/>
  <c r="Q717" i="57"/>
  <c r="Q2333" i="57" s="1"/>
  <c r="O717" i="57"/>
  <c r="O2333" i="57" s="1"/>
  <c r="N717" i="57"/>
  <c r="N2333" i="57" s="1"/>
  <c r="M717" i="57"/>
  <c r="M2333" i="57" s="1"/>
  <c r="I717" i="57"/>
  <c r="D717" i="57"/>
  <c r="D769" i="57" s="1"/>
  <c r="S716" i="57"/>
  <c r="S2332" i="57" s="1"/>
  <c r="Q716" i="57"/>
  <c r="Q2332" i="57" s="1"/>
  <c r="O716" i="57"/>
  <c r="O2332" i="57" s="1"/>
  <c r="N716" i="57"/>
  <c r="N2332" i="57" s="1"/>
  <c r="M716" i="57"/>
  <c r="M2332" i="57" s="1"/>
  <c r="I716" i="57"/>
  <c r="D716" i="57"/>
  <c r="D768" i="57" s="1"/>
  <c r="S715" i="57"/>
  <c r="S2331" i="57" s="1"/>
  <c r="Q715" i="57"/>
  <c r="Q2331" i="57" s="1"/>
  <c r="O715" i="57"/>
  <c r="O2331" i="57" s="1"/>
  <c r="N715" i="57"/>
  <c r="N2331" i="57" s="1"/>
  <c r="M715" i="57"/>
  <c r="M2331" i="57" s="1"/>
  <c r="I715" i="57"/>
  <c r="D715" i="57"/>
  <c r="D767" i="57" s="1"/>
  <c r="S714" i="57"/>
  <c r="S2330" i="57" s="1"/>
  <c r="Q714" i="57"/>
  <c r="Q2330" i="57" s="1"/>
  <c r="O714" i="57"/>
  <c r="O2330" i="57" s="1"/>
  <c r="N714" i="57"/>
  <c r="N2330" i="57" s="1"/>
  <c r="M714" i="57"/>
  <c r="M2330" i="57" s="1"/>
  <c r="I714" i="57"/>
  <c r="D714" i="57"/>
  <c r="D766" i="57" s="1"/>
  <c r="S713" i="57"/>
  <c r="S2329" i="57" s="1"/>
  <c r="Q713" i="57"/>
  <c r="Q2329" i="57" s="1"/>
  <c r="O713" i="57"/>
  <c r="O2329" i="57" s="1"/>
  <c r="N713" i="57"/>
  <c r="N2329" i="57" s="1"/>
  <c r="M713" i="57"/>
  <c r="M2329" i="57" s="1"/>
  <c r="I713" i="57"/>
  <c r="D713" i="57"/>
  <c r="D765" i="57" s="1"/>
  <c r="S712" i="57"/>
  <c r="S2328" i="57" s="1"/>
  <c r="Q712" i="57"/>
  <c r="Q2328" i="57" s="1"/>
  <c r="O712" i="57"/>
  <c r="O2328" i="57" s="1"/>
  <c r="N712" i="57"/>
  <c r="N2328" i="57" s="1"/>
  <c r="M712" i="57"/>
  <c r="M2328" i="57" s="1"/>
  <c r="I712" i="57"/>
  <c r="D712" i="57"/>
  <c r="D764" i="57" s="1"/>
  <c r="S711" i="57"/>
  <c r="S2327" i="57" s="1"/>
  <c r="Q711" i="57"/>
  <c r="Q2327" i="57" s="1"/>
  <c r="O711" i="57"/>
  <c r="O2327" i="57" s="1"/>
  <c r="N711" i="57"/>
  <c r="N2327" i="57" s="1"/>
  <c r="M711" i="57"/>
  <c r="M2327" i="57" s="1"/>
  <c r="I711" i="57"/>
  <c r="D711" i="57"/>
  <c r="D763" i="57" s="1"/>
  <c r="S710" i="57"/>
  <c r="S2326" i="57" s="1"/>
  <c r="Q710" i="57"/>
  <c r="Q2326" i="57" s="1"/>
  <c r="O710" i="57"/>
  <c r="O2326" i="57" s="1"/>
  <c r="N710" i="57"/>
  <c r="N2326" i="57" s="1"/>
  <c r="M710" i="57"/>
  <c r="M2326" i="57" s="1"/>
  <c r="I710" i="57"/>
  <c r="D710" i="57"/>
  <c r="D762" i="57" s="1"/>
  <c r="S709" i="57"/>
  <c r="S2325" i="57" s="1"/>
  <c r="Q709" i="57"/>
  <c r="Q2325" i="57" s="1"/>
  <c r="O709" i="57"/>
  <c r="O2325" i="57" s="1"/>
  <c r="N709" i="57"/>
  <c r="N2325" i="57" s="1"/>
  <c r="M709" i="57"/>
  <c r="M2325" i="57" s="1"/>
  <c r="I709" i="57"/>
  <c r="D709" i="57"/>
  <c r="D761" i="57" s="1"/>
  <c r="S708" i="57"/>
  <c r="S2324" i="57" s="1"/>
  <c r="Q708" i="57"/>
  <c r="Q2324" i="57" s="1"/>
  <c r="O708" i="57"/>
  <c r="O2324" i="57" s="1"/>
  <c r="N708" i="57"/>
  <c r="N2324" i="57" s="1"/>
  <c r="M708" i="57"/>
  <c r="M2324" i="57" s="1"/>
  <c r="I708" i="57"/>
  <c r="D708" i="57"/>
  <c r="D760" i="57" s="1"/>
  <c r="S707" i="57"/>
  <c r="S2323" i="57" s="1"/>
  <c r="Q707" i="57"/>
  <c r="Q2323" i="57" s="1"/>
  <c r="O707" i="57"/>
  <c r="O2323" i="57" s="1"/>
  <c r="N707" i="57"/>
  <c r="N2323" i="57" s="1"/>
  <c r="M707" i="57"/>
  <c r="M2323" i="57" s="1"/>
  <c r="I707" i="57"/>
  <c r="D707" i="57"/>
  <c r="D759" i="57" s="1"/>
  <c r="S706" i="57"/>
  <c r="S2322" i="57" s="1"/>
  <c r="Q706" i="57"/>
  <c r="Q2322" i="57" s="1"/>
  <c r="O706" i="57"/>
  <c r="O2322" i="57" s="1"/>
  <c r="N706" i="57"/>
  <c r="N2322" i="57" s="1"/>
  <c r="M706" i="57"/>
  <c r="M2322" i="57" s="1"/>
  <c r="I706" i="57"/>
  <c r="D706" i="57"/>
  <c r="D758" i="57" s="1"/>
  <c r="S705" i="57"/>
  <c r="S2321" i="57" s="1"/>
  <c r="Q705" i="57"/>
  <c r="Q2321" i="57" s="1"/>
  <c r="O705" i="57"/>
  <c r="O2321" i="57" s="1"/>
  <c r="N705" i="57"/>
  <c r="N2321" i="57" s="1"/>
  <c r="M705" i="57"/>
  <c r="M2321" i="57" s="1"/>
  <c r="I705" i="57"/>
  <c r="D705" i="57"/>
  <c r="D757" i="57" s="1"/>
  <c r="S704" i="57"/>
  <c r="S2320" i="57" s="1"/>
  <c r="Q704" i="57"/>
  <c r="Q2320" i="57" s="1"/>
  <c r="O704" i="57"/>
  <c r="O2320" i="57" s="1"/>
  <c r="N704" i="57"/>
  <c r="N2320" i="57" s="1"/>
  <c r="M704" i="57"/>
  <c r="M2320" i="57" s="1"/>
  <c r="I704" i="57"/>
  <c r="D704" i="57"/>
  <c r="D756" i="57" s="1"/>
  <c r="S703" i="57"/>
  <c r="S2319" i="57" s="1"/>
  <c r="Q703" i="57"/>
  <c r="Q2319" i="57" s="1"/>
  <c r="O703" i="57"/>
  <c r="O2319" i="57" s="1"/>
  <c r="N703" i="57"/>
  <c r="N2319" i="57" s="1"/>
  <c r="M703" i="57"/>
  <c r="M2319" i="57" s="1"/>
  <c r="I703" i="57"/>
  <c r="D703" i="57"/>
  <c r="D755" i="57" s="1"/>
  <c r="S702" i="57"/>
  <c r="S2318" i="57" s="1"/>
  <c r="Q702" i="57"/>
  <c r="Q2318" i="57" s="1"/>
  <c r="O702" i="57"/>
  <c r="O2318" i="57" s="1"/>
  <c r="N702" i="57"/>
  <c r="N2318" i="57" s="1"/>
  <c r="M702" i="57"/>
  <c r="M2318" i="57" s="1"/>
  <c r="I702" i="57"/>
  <c r="D702" i="57"/>
  <c r="D754" i="57" s="1"/>
  <c r="S701" i="57"/>
  <c r="S2317" i="57" s="1"/>
  <c r="Q701" i="57"/>
  <c r="Q2317" i="57" s="1"/>
  <c r="O701" i="57"/>
  <c r="O2317" i="57" s="1"/>
  <c r="N701" i="57"/>
  <c r="N2317" i="57" s="1"/>
  <c r="M701" i="57"/>
  <c r="M2317" i="57" s="1"/>
  <c r="I701" i="57"/>
  <c r="D701" i="57"/>
  <c r="D753" i="57" s="1"/>
  <c r="S700" i="57"/>
  <c r="S2316" i="57" s="1"/>
  <c r="Q700" i="57"/>
  <c r="Q2316" i="57" s="1"/>
  <c r="O700" i="57"/>
  <c r="O2316" i="57" s="1"/>
  <c r="N700" i="57"/>
  <c r="N2316" i="57" s="1"/>
  <c r="M700" i="57"/>
  <c r="M2316" i="57" s="1"/>
  <c r="I700" i="57"/>
  <c r="D700" i="57"/>
  <c r="D752" i="57" s="1"/>
  <c r="S699" i="57"/>
  <c r="S2315" i="57" s="1"/>
  <c r="Q699" i="57"/>
  <c r="Q2315" i="57" s="1"/>
  <c r="O699" i="57"/>
  <c r="O2315" i="57" s="1"/>
  <c r="N699" i="57"/>
  <c r="N2315" i="57" s="1"/>
  <c r="M699" i="57"/>
  <c r="M2315" i="57" s="1"/>
  <c r="I699" i="57"/>
  <c r="D699" i="57"/>
  <c r="D751" i="57" s="1"/>
  <c r="S698" i="57"/>
  <c r="S2314" i="57" s="1"/>
  <c r="Q698" i="57"/>
  <c r="Q2314" i="57" s="1"/>
  <c r="O698" i="57"/>
  <c r="O2314" i="57" s="1"/>
  <c r="N698" i="57"/>
  <c r="N2314" i="57" s="1"/>
  <c r="M698" i="57"/>
  <c r="M2314" i="57" s="1"/>
  <c r="I698" i="57"/>
  <c r="D698" i="57"/>
  <c r="D750" i="57" s="1"/>
  <c r="S697" i="57"/>
  <c r="S2313" i="57" s="1"/>
  <c r="Q697" i="57"/>
  <c r="Q2313" i="57" s="1"/>
  <c r="O697" i="57"/>
  <c r="O2313" i="57" s="1"/>
  <c r="N697" i="57"/>
  <c r="N2313" i="57" s="1"/>
  <c r="M697" i="57"/>
  <c r="M2313" i="57" s="1"/>
  <c r="I697" i="57"/>
  <c r="D697" i="57"/>
  <c r="D749" i="57" s="1"/>
  <c r="S696" i="57"/>
  <c r="S2312" i="57" s="1"/>
  <c r="Q696" i="57"/>
  <c r="Q2312" i="57" s="1"/>
  <c r="O696" i="57"/>
  <c r="O2312" i="57" s="1"/>
  <c r="N696" i="57"/>
  <c r="N2312" i="57" s="1"/>
  <c r="M696" i="57"/>
  <c r="M2312" i="57" s="1"/>
  <c r="I696" i="57"/>
  <c r="D696" i="57"/>
  <c r="D748" i="57" s="1"/>
  <c r="S695" i="57"/>
  <c r="S2311" i="57" s="1"/>
  <c r="Q695" i="57"/>
  <c r="Q2311" i="57" s="1"/>
  <c r="O695" i="57"/>
  <c r="O2311" i="57" s="1"/>
  <c r="N695" i="57"/>
  <c r="N2311" i="57" s="1"/>
  <c r="M695" i="57"/>
  <c r="M2311" i="57" s="1"/>
  <c r="I695" i="57"/>
  <c r="D695" i="57"/>
  <c r="D747" i="57" s="1"/>
  <c r="S694" i="57"/>
  <c r="S2310" i="57" s="1"/>
  <c r="Q694" i="57"/>
  <c r="Q2310" i="57" s="1"/>
  <c r="O694" i="57"/>
  <c r="O2310" i="57" s="1"/>
  <c r="N694" i="57"/>
  <c r="N2310" i="57" s="1"/>
  <c r="M694" i="57"/>
  <c r="M2310" i="57" s="1"/>
  <c r="I694" i="57"/>
  <c r="D694" i="57"/>
  <c r="D746" i="57" s="1"/>
  <c r="S693" i="57"/>
  <c r="S2309" i="57" s="1"/>
  <c r="Q693" i="57"/>
  <c r="Q2309" i="57" s="1"/>
  <c r="O693" i="57"/>
  <c r="O2309" i="57" s="1"/>
  <c r="N693" i="57"/>
  <c r="N2309" i="57" s="1"/>
  <c r="M693" i="57"/>
  <c r="M2309" i="57" s="1"/>
  <c r="I693" i="57"/>
  <c r="D693" i="57"/>
  <c r="D745" i="57" s="1"/>
  <c r="S692" i="57"/>
  <c r="S2308" i="57" s="1"/>
  <c r="Q692" i="57"/>
  <c r="Q2308" i="57" s="1"/>
  <c r="O692" i="57"/>
  <c r="O2308" i="57" s="1"/>
  <c r="N692" i="57"/>
  <c r="N2308" i="57" s="1"/>
  <c r="M692" i="57"/>
  <c r="M2308" i="57" s="1"/>
  <c r="I692" i="57"/>
  <c r="D692" i="57"/>
  <c r="D744" i="57" s="1"/>
  <c r="S691" i="57"/>
  <c r="S2307" i="57" s="1"/>
  <c r="Q691" i="57"/>
  <c r="Q2307" i="57" s="1"/>
  <c r="O691" i="57"/>
  <c r="O2307" i="57" s="1"/>
  <c r="N691" i="57"/>
  <c r="N2307" i="57" s="1"/>
  <c r="M691" i="57"/>
  <c r="M2307" i="57" s="1"/>
  <c r="I691" i="57"/>
  <c r="D691" i="57"/>
  <c r="D743" i="57" s="1"/>
  <c r="S690" i="57"/>
  <c r="S2306" i="57" s="1"/>
  <c r="Q690" i="57"/>
  <c r="Q2306" i="57" s="1"/>
  <c r="O690" i="57"/>
  <c r="O2306" i="57" s="1"/>
  <c r="N690" i="57"/>
  <c r="N2306" i="57" s="1"/>
  <c r="M690" i="57"/>
  <c r="M2306" i="57" s="1"/>
  <c r="I690" i="57"/>
  <c r="D690" i="57"/>
  <c r="D742" i="57" s="1"/>
  <c r="S689" i="57"/>
  <c r="S2305" i="57" s="1"/>
  <c r="Q689" i="57"/>
  <c r="Q2305" i="57" s="1"/>
  <c r="O689" i="57"/>
  <c r="O2305" i="57" s="1"/>
  <c r="N689" i="57"/>
  <c r="N2305" i="57" s="1"/>
  <c r="M689" i="57"/>
  <c r="M2305" i="57" s="1"/>
  <c r="I689" i="57"/>
  <c r="D689" i="57"/>
  <c r="D741" i="57" s="1"/>
  <c r="S688" i="57"/>
  <c r="S2304" i="57" s="1"/>
  <c r="Q688" i="57"/>
  <c r="Q2304" i="57" s="1"/>
  <c r="O688" i="57"/>
  <c r="O2304" i="57" s="1"/>
  <c r="N688" i="57"/>
  <c r="N2304" i="57" s="1"/>
  <c r="M688" i="57"/>
  <c r="M2304" i="57" s="1"/>
  <c r="I688" i="57"/>
  <c r="D688" i="57"/>
  <c r="D740" i="57" s="1"/>
  <c r="S687" i="57"/>
  <c r="S2303" i="57" s="1"/>
  <c r="Q687" i="57"/>
  <c r="Q2303" i="57" s="1"/>
  <c r="O687" i="57"/>
  <c r="O2303" i="57" s="1"/>
  <c r="N687" i="57"/>
  <c r="N2303" i="57" s="1"/>
  <c r="M687" i="57"/>
  <c r="M2303" i="57" s="1"/>
  <c r="I687" i="57"/>
  <c r="D687" i="57"/>
  <c r="D739" i="57" s="1"/>
  <c r="S686" i="57"/>
  <c r="S2302" i="57" s="1"/>
  <c r="Q686" i="57"/>
  <c r="Q2302" i="57" s="1"/>
  <c r="O686" i="57"/>
  <c r="O2302" i="57" s="1"/>
  <c r="N686" i="57"/>
  <c r="N2302" i="57" s="1"/>
  <c r="M686" i="57"/>
  <c r="M2302" i="57" s="1"/>
  <c r="I686" i="57"/>
  <c r="D686" i="57"/>
  <c r="D738" i="57" s="1"/>
  <c r="S685" i="57"/>
  <c r="S2301" i="57" s="1"/>
  <c r="Q685" i="57"/>
  <c r="Q2301" i="57" s="1"/>
  <c r="O685" i="57"/>
  <c r="O2301" i="57" s="1"/>
  <c r="N685" i="57"/>
  <c r="N2301" i="57" s="1"/>
  <c r="M685" i="57"/>
  <c r="M2301" i="57" s="1"/>
  <c r="I685" i="57"/>
  <c r="D685" i="57"/>
  <c r="D737" i="57" s="1"/>
  <c r="D684" i="57"/>
  <c r="D736" i="57" s="1"/>
  <c r="S682" i="57"/>
  <c r="S2298" i="57" s="1"/>
  <c r="Q682" i="57"/>
  <c r="Q2298" i="57" s="1"/>
  <c r="O682" i="57"/>
  <c r="O2298" i="57" s="1"/>
  <c r="N682" i="57"/>
  <c r="N2298" i="57" s="1"/>
  <c r="M682" i="57"/>
  <c r="M2298" i="57" s="1"/>
  <c r="I682" i="57"/>
  <c r="S681" i="57"/>
  <c r="S2297" i="57" s="1"/>
  <c r="Q681" i="57"/>
  <c r="Q2297" i="57" s="1"/>
  <c r="O681" i="57"/>
  <c r="O2297" i="57" s="1"/>
  <c r="N681" i="57"/>
  <c r="N2297" i="57" s="1"/>
  <c r="M681" i="57"/>
  <c r="M2297" i="57" s="1"/>
  <c r="I681" i="57"/>
  <c r="S680" i="57"/>
  <c r="S2296" i="57" s="1"/>
  <c r="Q680" i="57"/>
  <c r="Q2296" i="57" s="1"/>
  <c r="O680" i="57"/>
  <c r="O2296" i="57" s="1"/>
  <c r="N680" i="57"/>
  <c r="N2296" i="57" s="1"/>
  <c r="M680" i="57"/>
  <c r="M2296" i="57" s="1"/>
  <c r="I680" i="57"/>
  <c r="S679" i="57"/>
  <c r="S2295" i="57" s="1"/>
  <c r="Q679" i="57"/>
  <c r="Q2295" i="57" s="1"/>
  <c r="O679" i="57"/>
  <c r="O2295" i="57" s="1"/>
  <c r="N679" i="57"/>
  <c r="N2295" i="57" s="1"/>
  <c r="M679" i="57"/>
  <c r="M2295" i="57" s="1"/>
  <c r="I679" i="57"/>
  <c r="S678" i="57"/>
  <c r="S2294" i="57" s="1"/>
  <c r="Q678" i="57"/>
  <c r="Q2294" i="57" s="1"/>
  <c r="O678" i="57"/>
  <c r="O2294" i="57" s="1"/>
  <c r="N678" i="57"/>
  <c r="N2294" i="57" s="1"/>
  <c r="M678" i="57"/>
  <c r="M2294" i="57" s="1"/>
  <c r="I678" i="57"/>
  <c r="S677" i="57"/>
  <c r="S2293" i="57" s="1"/>
  <c r="Q677" i="57"/>
  <c r="Q2293" i="57" s="1"/>
  <c r="O677" i="57"/>
  <c r="O2293" i="57" s="1"/>
  <c r="N677" i="57"/>
  <c r="N2293" i="57" s="1"/>
  <c r="M677" i="57"/>
  <c r="M2293" i="57" s="1"/>
  <c r="I677" i="57"/>
  <c r="S676" i="57"/>
  <c r="S2292" i="57" s="1"/>
  <c r="Q676" i="57"/>
  <c r="Q2292" i="57" s="1"/>
  <c r="O676" i="57"/>
  <c r="O2292" i="57" s="1"/>
  <c r="N676" i="57"/>
  <c r="N2292" i="57" s="1"/>
  <c r="M676" i="57"/>
  <c r="M2292" i="57" s="1"/>
  <c r="I676" i="57"/>
  <c r="S675" i="57"/>
  <c r="S2291" i="57" s="1"/>
  <c r="Q675" i="57"/>
  <c r="Q2291" i="57" s="1"/>
  <c r="O675" i="57"/>
  <c r="O2291" i="57" s="1"/>
  <c r="N675" i="57"/>
  <c r="N2291" i="57" s="1"/>
  <c r="M675" i="57"/>
  <c r="M2291" i="57" s="1"/>
  <c r="I675" i="57"/>
  <c r="S674" i="57"/>
  <c r="S2290" i="57" s="1"/>
  <c r="Q674" i="57"/>
  <c r="Q2290" i="57" s="1"/>
  <c r="O674" i="57"/>
  <c r="O2290" i="57" s="1"/>
  <c r="N674" i="57"/>
  <c r="N2290" i="57" s="1"/>
  <c r="M674" i="57"/>
  <c r="M2290" i="57" s="1"/>
  <c r="I674" i="57"/>
  <c r="S673" i="57"/>
  <c r="S2289" i="57" s="1"/>
  <c r="Q673" i="57"/>
  <c r="Q2289" i="57" s="1"/>
  <c r="O673" i="57"/>
  <c r="O2289" i="57" s="1"/>
  <c r="N673" i="57"/>
  <c r="N2289" i="57" s="1"/>
  <c r="M673" i="57"/>
  <c r="M2289" i="57" s="1"/>
  <c r="I673" i="57"/>
  <c r="S672" i="57"/>
  <c r="S2288" i="57" s="1"/>
  <c r="Q672" i="57"/>
  <c r="Q2288" i="57" s="1"/>
  <c r="O672" i="57"/>
  <c r="O2288" i="57" s="1"/>
  <c r="N672" i="57"/>
  <c r="N2288" i="57" s="1"/>
  <c r="M672" i="57"/>
  <c r="M2288" i="57" s="1"/>
  <c r="I672" i="57"/>
  <c r="S671" i="57"/>
  <c r="S2287" i="57" s="1"/>
  <c r="Q671" i="57"/>
  <c r="Q2287" i="57" s="1"/>
  <c r="O671" i="57"/>
  <c r="O2287" i="57" s="1"/>
  <c r="N671" i="57"/>
  <c r="N2287" i="57" s="1"/>
  <c r="M671" i="57"/>
  <c r="M2287" i="57" s="1"/>
  <c r="I671" i="57"/>
  <c r="S670" i="57"/>
  <c r="S2286" i="57" s="1"/>
  <c r="Q670" i="57"/>
  <c r="Q2286" i="57" s="1"/>
  <c r="O670" i="57"/>
  <c r="O2286" i="57" s="1"/>
  <c r="N670" i="57"/>
  <c r="N2286" i="57" s="1"/>
  <c r="M670" i="57"/>
  <c r="M2286" i="57" s="1"/>
  <c r="I670" i="57"/>
  <c r="S669" i="57"/>
  <c r="S2285" i="57" s="1"/>
  <c r="Q669" i="57"/>
  <c r="Q2285" i="57" s="1"/>
  <c r="O669" i="57"/>
  <c r="O2285" i="57" s="1"/>
  <c r="N669" i="57"/>
  <c r="N2285" i="57" s="1"/>
  <c r="M669" i="57"/>
  <c r="M2285" i="57" s="1"/>
  <c r="I669" i="57"/>
  <c r="S668" i="57"/>
  <c r="S2284" i="57" s="1"/>
  <c r="Q668" i="57"/>
  <c r="Q2284" i="57" s="1"/>
  <c r="O668" i="57"/>
  <c r="O2284" i="57" s="1"/>
  <c r="N668" i="57"/>
  <c r="N2284" i="57" s="1"/>
  <c r="M668" i="57"/>
  <c r="M2284" i="57" s="1"/>
  <c r="I668" i="57"/>
  <c r="S667" i="57"/>
  <c r="S2283" i="57" s="1"/>
  <c r="Q667" i="57"/>
  <c r="Q2283" i="57" s="1"/>
  <c r="O667" i="57"/>
  <c r="O2283" i="57" s="1"/>
  <c r="N667" i="57"/>
  <c r="N2283" i="57" s="1"/>
  <c r="M667" i="57"/>
  <c r="M2283" i="57" s="1"/>
  <c r="I667" i="57"/>
  <c r="S666" i="57"/>
  <c r="S2282" i="57" s="1"/>
  <c r="Q666" i="57"/>
  <c r="Q2282" i="57" s="1"/>
  <c r="O666" i="57"/>
  <c r="O2282" i="57" s="1"/>
  <c r="N666" i="57"/>
  <c r="N2282" i="57" s="1"/>
  <c r="M666" i="57"/>
  <c r="M2282" i="57" s="1"/>
  <c r="I666" i="57"/>
  <c r="S665" i="57"/>
  <c r="S2281" i="57" s="1"/>
  <c r="Q665" i="57"/>
  <c r="Q2281" i="57" s="1"/>
  <c r="O665" i="57"/>
  <c r="O2281" i="57" s="1"/>
  <c r="N665" i="57"/>
  <c r="N2281" i="57" s="1"/>
  <c r="M665" i="57"/>
  <c r="M2281" i="57" s="1"/>
  <c r="I665" i="57"/>
  <c r="S664" i="57"/>
  <c r="S2280" i="57" s="1"/>
  <c r="Q664" i="57"/>
  <c r="Q2280" i="57" s="1"/>
  <c r="O664" i="57"/>
  <c r="O2280" i="57" s="1"/>
  <c r="N664" i="57"/>
  <c r="N2280" i="57" s="1"/>
  <c r="M664" i="57"/>
  <c r="M2280" i="57" s="1"/>
  <c r="I664" i="57"/>
  <c r="S663" i="57"/>
  <c r="S2279" i="57" s="1"/>
  <c r="Q663" i="57"/>
  <c r="Q2279" i="57" s="1"/>
  <c r="O663" i="57"/>
  <c r="O2279" i="57" s="1"/>
  <c r="N663" i="57"/>
  <c r="N2279" i="57" s="1"/>
  <c r="M663" i="57"/>
  <c r="M2279" i="57" s="1"/>
  <c r="I663" i="57"/>
  <c r="S662" i="57"/>
  <c r="S2278" i="57" s="1"/>
  <c r="Q662" i="57"/>
  <c r="Q2278" i="57" s="1"/>
  <c r="O662" i="57"/>
  <c r="O2278" i="57" s="1"/>
  <c r="N662" i="57"/>
  <c r="N2278" i="57" s="1"/>
  <c r="M662" i="57"/>
  <c r="M2278" i="57" s="1"/>
  <c r="I662" i="57"/>
  <c r="S661" i="57"/>
  <c r="S2277" i="57" s="1"/>
  <c r="Q661" i="57"/>
  <c r="Q2277" i="57" s="1"/>
  <c r="O661" i="57"/>
  <c r="O2277" i="57" s="1"/>
  <c r="N661" i="57"/>
  <c r="N2277" i="57" s="1"/>
  <c r="M661" i="57"/>
  <c r="M2277" i="57" s="1"/>
  <c r="I661" i="57"/>
  <c r="S660" i="57"/>
  <c r="S2276" i="57" s="1"/>
  <c r="Q660" i="57"/>
  <c r="Q2276" i="57" s="1"/>
  <c r="O660" i="57"/>
  <c r="O2276" i="57" s="1"/>
  <c r="N660" i="57"/>
  <c r="N2276" i="57" s="1"/>
  <c r="M660" i="57"/>
  <c r="M2276" i="57" s="1"/>
  <c r="I660" i="57"/>
  <c r="S659" i="57"/>
  <c r="S2275" i="57" s="1"/>
  <c r="Q659" i="57"/>
  <c r="Q2275" i="57" s="1"/>
  <c r="O659" i="57"/>
  <c r="O2275" i="57" s="1"/>
  <c r="N659" i="57"/>
  <c r="N2275" i="57" s="1"/>
  <c r="M659" i="57"/>
  <c r="M2275" i="57" s="1"/>
  <c r="I659" i="57"/>
  <c r="S658" i="57"/>
  <c r="S2274" i="57" s="1"/>
  <c r="Q658" i="57"/>
  <c r="Q2274" i="57" s="1"/>
  <c r="O658" i="57"/>
  <c r="O2274" i="57" s="1"/>
  <c r="N658" i="57"/>
  <c r="N2274" i="57" s="1"/>
  <c r="M658" i="57"/>
  <c r="M2274" i="57" s="1"/>
  <c r="I658" i="57"/>
  <c r="S657" i="57"/>
  <c r="S2273" i="57" s="1"/>
  <c r="Q657" i="57"/>
  <c r="Q2273" i="57" s="1"/>
  <c r="O657" i="57"/>
  <c r="O2273" i="57" s="1"/>
  <c r="N657" i="57"/>
  <c r="N2273" i="57" s="1"/>
  <c r="M657" i="57"/>
  <c r="M2273" i="57" s="1"/>
  <c r="I657" i="57"/>
  <c r="S656" i="57"/>
  <c r="S2272" i="57" s="1"/>
  <c r="Q656" i="57"/>
  <c r="Q2272" i="57" s="1"/>
  <c r="O656" i="57"/>
  <c r="O2272" i="57" s="1"/>
  <c r="N656" i="57"/>
  <c r="N2272" i="57" s="1"/>
  <c r="M656" i="57"/>
  <c r="M2272" i="57" s="1"/>
  <c r="I656" i="57"/>
  <c r="S655" i="57"/>
  <c r="S2271" i="57" s="1"/>
  <c r="Q655" i="57"/>
  <c r="Q2271" i="57" s="1"/>
  <c r="O655" i="57"/>
  <c r="O2271" i="57" s="1"/>
  <c r="N655" i="57"/>
  <c r="N2271" i="57" s="1"/>
  <c r="M655" i="57"/>
  <c r="M2271" i="57" s="1"/>
  <c r="I655" i="57"/>
  <c r="S654" i="57"/>
  <c r="S2270" i="57" s="1"/>
  <c r="Q654" i="57"/>
  <c r="Q2270" i="57" s="1"/>
  <c r="O654" i="57"/>
  <c r="O2270" i="57" s="1"/>
  <c r="N654" i="57"/>
  <c r="N2270" i="57" s="1"/>
  <c r="M654" i="57"/>
  <c r="M2270" i="57" s="1"/>
  <c r="I654" i="57"/>
  <c r="S653" i="57"/>
  <c r="S2269" i="57" s="1"/>
  <c r="Q653" i="57"/>
  <c r="Q2269" i="57" s="1"/>
  <c r="O653" i="57"/>
  <c r="O2269" i="57" s="1"/>
  <c r="N653" i="57"/>
  <c r="N2269" i="57" s="1"/>
  <c r="M653" i="57"/>
  <c r="M2269" i="57" s="1"/>
  <c r="I653" i="57"/>
  <c r="S652" i="57"/>
  <c r="S2268" i="57" s="1"/>
  <c r="Q652" i="57"/>
  <c r="Q2268" i="57" s="1"/>
  <c r="O652" i="57"/>
  <c r="O2268" i="57" s="1"/>
  <c r="N652" i="57"/>
  <c r="N2268" i="57" s="1"/>
  <c r="M652" i="57"/>
  <c r="M2268" i="57" s="1"/>
  <c r="I652" i="57"/>
  <c r="S651" i="57"/>
  <c r="S2267" i="57" s="1"/>
  <c r="Q651" i="57"/>
  <c r="Q2267" i="57" s="1"/>
  <c r="O651" i="57"/>
  <c r="O2267" i="57" s="1"/>
  <c r="N651" i="57"/>
  <c r="N2267" i="57" s="1"/>
  <c r="M651" i="57"/>
  <c r="M2267" i="57" s="1"/>
  <c r="I651" i="57"/>
  <c r="S650" i="57"/>
  <c r="S2266" i="57" s="1"/>
  <c r="Q650" i="57"/>
  <c r="Q2266" i="57" s="1"/>
  <c r="O650" i="57"/>
  <c r="O2266" i="57" s="1"/>
  <c r="N650" i="57"/>
  <c r="N2266" i="57" s="1"/>
  <c r="M650" i="57"/>
  <c r="M2266" i="57" s="1"/>
  <c r="I650" i="57"/>
  <c r="S649" i="57"/>
  <c r="S2265" i="57" s="1"/>
  <c r="Q649" i="57"/>
  <c r="Q2265" i="57" s="1"/>
  <c r="O649" i="57"/>
  <c r="O2265" i="57" s="1"/>
  <c r="N649" i="57"/>
  <c r="N2265" i="57" s="1"/>
  <c r="M649" i="57"/>
  <c r="M2265" i="57" s="1"/>
  <c r="I649" i="57"/>
  <c r="S648" i="57"/>
  <c r="S2264" i="57" s="1"/>
  <c r="Q648" i="57"/>
  <c r="Q2264" i="57" s="1"/>
  <c r="O648" i="57"/>
  <c r="O2264" i="57" s="1"/>
  <c r="N648" i="57"/>
  <c r="N2264" i="57" s="1"/>
  <c r="M648" i="57"/>
  <c r="M2264" i="57" s="1"/>
  <c r="I648" i="57"/>
  <c r="S647" i="57"/>
  <c r="S2263" i="57" s="1"/>
  <c r="Q647" i="57"/>
  <c r="Q2263" i="57" s="1"/>
  <c r="O647" i="57"/>
  <c r="O2263" i="57" s="1"/>
  <c r="N647" i="57"/>
  <c r="N2263" i="57" s="1"/>
  <c r="M647" i="57"/>
  <c r="M2263" i="57" s="1"/>
  <c r="I647" i="57"/>
  <c r="S646" i="57"/>
  <c r="S2262" i="57" s="1"/>
  <c r="Q646" i="57"/>
  <c r="Q2262" i="57" s="1"/>
  <c r="O646" i="57"/>
  <c r="O2262" i="57" s="1"/>
  <c r="N646" i="57"/>
  <c r="N2262" i="57" s="1"/>
  <c r="M646" i="57"/>
  <c r="M2262" i="57" s="1"/>
  <c r="I646" i="57"/>
  <c r="S645" i="57"/>
  <c r="S2261" i="57" s="1"/>
  <c r="Q645" i="57"/>
  <c r="Q2261" i="57" s="1"/>
  <c r="O645" i="57"/>
  <c r="O2261" i="57" s="1"/>
  <c r="N645" i="57"/>
  <c r="N2261" i="57" s="1"/>
  <c r="M645" i="57"/>
  <c r="M2261" i="57" s="1"/>
  <c r="I645" i="57"/>
  <c r="S644" i="57"/>
  <c r="S2260" i="57" s="1"/>
  <c r="Q644" i="57"/>
  <c r="Q2260" i="57" s="1"/>
  <c r="O644" i="57"/>
  <c r="O2260" i="57" s="1"/>
  <c r="N644" i="57"/>
  <c r="N2260" i="57" s="1"/>
  <c r="M644" i="57"/>
  <c r="M2260" i="57" s="1"/>
  <c r="I644" i="57"/>
  <c r="S643" i="57"/>
  <c r="S2259" i="57" s="1"/>
  <c r="Q643" i="57"/>
  <c r="Q2259" i="57" s="1"/>
  <c r="O643" i="57"/>
  <c r="O2259" i="57" s="1"/>
  <c r="N643" i="57"/>
  <c r="N2259" i="57" s="1"/>
  <c r="M643" i="57"/>
  <c r="M2259" i="57" s="1"/>
  <c r="I643" i="57"/>
  <c r="S642" i="57"/>
  <c r="S2258" i="57" s="1"/>
  <c r="Q642" i="57"/>
  <c r="Q2258" i="57" s="1"/>
  <c r="O642" i="57"/>
  <c r="O2258" i="57" s="1"/>
  <c r="N642" i="57"/>
  <c r="N2258" i="57" s="1"/>
  <c r="M642" i="57"/>
  <c r="M2258" i="57" s="1"/>
  <c r="I642" i="57"/>
  <c r="S641" i="57"/>
  <c r="S2257" i="57" s="1"/>
  <c r="Q641" i="57"/>
  <c r="Q2257" i="57" s="1"/>
  <c r="O641" i="57"/>
  <c r="O2257" i="57" s="1"/>
  <c r="N641" i="57"/>
  <c r="N2257" i="57" s="1"/>
  <c r="M641" i="57"/>
  <c r="M2257" i="57" s="1"/>
  <c r="I641" i="57"/>
  <c r="S640" i="57"/>
  <c r="S2256" i="57" s="1"/>
  <c r="Q640" i="57"/>
  <c r="Q2256" i="57" s="1"/>
  <c r="O640" i="57"/>
  <c r="O2256" i="57" s="1"/>
  <c r="N640" i="57"/>
  <c r="N2256" i="57" s="1"/>
  <c r="M640" i="57"/>
  <c r="M2256" i="57" s="1"/>
  <c r="I640" i="57"/>
  <c r="S639" i="57"/>
  <c r="S2255" i="57" s="1"/>
  <c r="Q639" i="57"/>
  <c r="Q2255" i="57" s="1"/>
  <c r="O639" i="57"/>
  <c r="O2255" i="57" s="1"/>
  <c r="N639" i="57"/>
  <c r="N2255" i="57" s="1"/>
  <c r="M639" i="57"/>
  <c r="M2255" i="57" s="1"/>
  <c r="I639" i="57"/>
  <c r="S638" i="57"/>
  <c r="S2254" i="57" s="1"/>
  <c r="Q638" i="57"/>
  <c r="Q2254" i="57" s="1"/>
  <c r="O638" i="57"/>
  <c r="O2254" i="57" s="1"/>
  <c r="N638" i="57"/>
  <c r="N2254" i="57" s="1"/>
  <c r="M638" i="57"/>
  <c r="M2254" i="57" s="1"/>
  <c r="I638" i="57"/>
  <c r="S637" i="57"/>
  <c r="S2253" i="57" s="1"/>
  <c r="Q637" i="57"/>
  <c r="Q2253" i="57" s="1"/>
  <c r="O637" i="57"/>
  <c r="O2253" i="57" s="1"/>
  <c r="N637" i="57"/>
  <c r="N2253" i="57" s="1"/>
  <c r="M637" i="57"/>
  <c r="M2253" i="57" s="1"/>
  <c r="I637" i="57"/>
  <c r="S636" i="57"/>
  <c r="S2252" i="57" s="1"/>
  <c r="Q636" i="57"/>
  <c r="Q2252" i="57" s="1"/>
  <c r="O636" i="57"/>
  <c r="O2252" i="57" s="1"/>
  <c r="N636" i="57"/>
  <c r="N2252" i="57" s="1"/>
  <c r="M636" i="57"/>
  <c r="M2252" i="57" s="1"/>
  <c r="I636" i="57"/>
  <c r="S635" i="57"/>
  <c r="S2251" i="57" s="1"/>
  <c r="Q635" i="57"/>
  <c r="Q2251" i="57" s="1"/>
  <c r="O635" i="57"/>
  <c r="O2251" i="57" s="1"/>
  <c r="N635" i="57"/>
  <c r="N2251" i="57" s="1"/>
  <c r="M635" i="57"/>
  <c r="M2251" i="57" s="1"/>
  <c r="I635" i="57"/>
  <c r="S634" i="57"/>
  <c r="S2250" i="57" s="1"/>
  <c r="Q634" i="57"/>
  <c r="Q2250" i="57" s="1"/>
  <c r="O634" i="57"/>
  <c r="O2250" i="57" s="1"/>
  <c r="N634" i="57"/>
  <c r="N2250" i="57" s="1"/>
  <c r="M634" i="57"/>
  <c r="M2250" i="57" s="1"/>
  <c r="I634" i="57"/>
  <c r="S633" i="57"/>
  <c r="S2249" i="57" s="1"/>
  <c r="Q633" i="57"/>
  <c r="Q2249" i="57" s="1"/>
  <c r="O633" i="57"/>
  <c r="O2249" i="57" s="1"/>
  <c r="N633" i="57"/>
  <c r="N2249" i="57" s="1"/>
  <c r="M633" i="57"/>
  <c r="M2249" i="57" s="1"/>
  <c r="I633" i="57"/>
  <c r="S630" i="57"/>
  <c r="S2246" i="57" s="1"/>
  <c r="Q630" i="57"/>
  <c r="Q2246" i="57" s="1"/>
  <c r="O630" i="57"/>
  <c r="O2246" i="57" s="1"/>
  <c r="N630" i="57"/>
  <c r="N2246" i="57" s="1"/>
  <c r="M630" i="57"/>
  <c r="M2246" i="57" s="1"/>
  <c r="I630" i="57"/>
  <c r="S629" i="57"/>
  <c r="S2245" i="57" s="1"/>
  <c r="Q629" i="57"/>
  <c r="Q2245" i="57" s="1"/>
  <c r="O629" i="57"/>
  <c r="O2245" i="57" s="1"/>
  <c r="N629" i="57"/>
  <c r="N2245" i="57" s="1"/>
  <c r="M629" i="57"/>
  <c r="M2245" i="57" s="1"/>
  <c r="I629" i="57"/>
  <c r="S628" i="57"/>
  <c r="S2244" i="57" s="1"/>
  <c r="Q628" i="57"/>
  <c r="Q2244" i="57" s="1"/>
  <c r="O628" i="57"/>
  <c r="O2244" i="57" s="1"/>
  <c r="N628" i="57"/>
  <c r="N2244" i="57" s="1"/>
  <c r="M628" i="57"/>
  <c r="M2244" i="57" s="1"/>
  <c r="I628" i="57"/>
  <c r="S627" i="57"/>
  <c r="S2243" i="57" s="1"/>
  <c r="Q627" i="57"/>
  <c r="Q2243" i="57" s="1"/>
  <c r="O627" i="57"/>
  <c r="O2243" i="57" s="1"/>
  <c r="N627" i="57"/>
  <c r="N2243" i="57" s="1"/>
  <c r="M627" i="57"/>
  <c r="M2243" i="57" s="1"/>
  <c r="I627" i="57"/>
  <c r="S626" i="57"/>
  <c r="S2242" i="57" s="1"/>
  <c r="Q626" i="57"/>
  <c r="Q2242" i="57" s="1"/>
  <c r="O626" i="57"/>
  <c r="O2242" i="57" s="1"/>
  <c r="N626" i="57"/>
  <c r="N2242" i="57" s="1"/>
  <c r="M626" i="57"/>
  <c r="M2242" i="57" s="1"/>
  <c r="I626" i="57"/>
  <c r="S625" i="57"/>
  <c r="S2241" i="57" s="1"/>
  <c r="Q625" i="57"/>
  <c r="Q2241" i="57" s="1"/>
  <c r="O625" i="57"/>
  <c r="O2241" i="57" s="1"/>
  <c r="N625" i="57"/>
  <c r="N2241" i="57" s="1"/>
  <c r="M625" i="57"/>
  <c r="M2241" i="57" s="1"/>
  <c r="I625" i="57"/>
  <c r="S624" i="57"/>
  <c r="S2240" i="57" s="1"/>
  <c r="Q624" i="57"/>
  <c r="Q2240" i="57" s="1"/>
  <c r="O624" i="57"/>
  <c r="O2240" i="57" s="1"/>
  <c r="N624" i="57"/>
  <c r="N2240" i="57" s="1"/>
  <c r="M624" i="57"/>
  <c r="M2240" i="57" s="1"/>
  <c r="I624" i="57"/>
  <c r="S623" i="57"/>
  <c r="S2239" i="57" s="1"/>
  <c r="Q623" i="57"/>
  <c r="Q2239" i="57" s="1"/>
  <c r="O623" i="57"/>
  <c r="O2239" i="57" s="1"/>
  <c r="N623" i="57"/>
  <c r="N2239" i="57" s="1"/>
  <c r="M623" i="57"/>
  <c r="M2239" i="57" s="1"/>
  <c r="I623" i="57"/>
  <c r="S622" i="57"/>
  <c r="S2238" i="57" s="1"/>
  <c r="Q622" i="57"/>
  <c r="Q2238" i="57" s="1"/>
  <c r="O622" i="57"/>
  <c r="O2238" i="57" s="1"/>
  <c r="N622" i="57"/>
  <c r="N2238" i="57" s="1"/>
  <c r="M622" i="57"/>
  <c r="M2238" i="57" s="1"/>
  <c r="I622" i="57"/>
  <c r="S621" i="57"/>
  <c r="S2237" i="57" s="1"/>
  <c r="Q621" i="57"/>
  <c r="Q2237" i="57" s="1"/>
  <c r="O621" i="57"/>
  <c r="O2237" i="57" s="1"/>
  <c r="N621" i="57"/>
  <c r="N2237" i="57" s="1"/>
  <c r="M621" i="57"/>
  <c r="M2237" i="57" s="1"/>
  <c r="I621" i="57"/>
  <c r="S620" i="57"/>
  <c r="S2236" i="57" s="1"/>
  <c r="Q620" i="57"/>
  <c r="Q2236" i="57" s="1"/>
  <c r="O620" i="57"/>
  <c r="O2236" i="57" s="1"/>
  <c r="N620" i="57"/>
  <c r="N2236" i="57" s="1"/>
  <c r="M620" i="57"/>
  <c r="M2236" i="57" s="1"/>
  <c r="I620" i="57"/>
  <c r="S619" i="57"/>
  <c r="S2235" i="57" s="1"/>
  <c r="Q619" i="57"/>
  <c r="Q2235" i="57" s="1"/>
  <c r="O619" i="57"/>
  <c r="O2235" i="57" s="1"/>
  <c r="N619" i="57"/>
  <c r="N2235" i="57" s="1"/>
  <c r="M619" i="57"/>
  <c r="M2235" i="57" s="1"/>
  <c r="I619" i="57"/>
  <c r="S618" i="57"/>
  <c r="S2234" i="57" s="1"/>
  <c r="Q618" i="57"/>
  <c r="Q2234" i="57" s="1"/>
  <c r="O618" i="57"/>
  <c r="O2234" i="57" s="1"/>
  <c r="N618" i="57"/>
  <c r="N2234" i="57" s="1"/>
  <c r="M618" i="57"/>
  <c r="M2234" i="57" s="1"/>
  <c r="I618" i="57"/>
  <c r="S617" i="57"/>
  <c r="S2233" i="57" s="1"/>
  <c r="Q617" i="57"/>
  <c r="Q2233" i="57" s="1"/>
  <c r="O617" i="57"/>
  <c r="O2233" i="57" s="1"/>
  <c r="N617" i="57"/>
  <c r="N2233" i="57" s="1"/>
  <c r="M617" i="57"/>
  <c r="M2233" i="57" s="1"/>
  <c r="I617" i="57"/>
  <c r="S616" i="57"/>
  <c r="S2232" i="57" s="1"/>
  <c r="Q616" i="57"/>
  <c r="Q2232" i="57" s="1"/>
  <c r="O616" i="57"/>
  <c r="O2232" i="57" s="1"/>
  <c r="N616" i="57"/>
  <c r="N2232" i="57" s="1"/>
  <c r="M616" i="57"/>
  <c r="M2232" i="57" s="1"/>
  <c r="I616" i="57"/>
  <c r="S615" i="57"/>
  <c r="S2231" i="57" s="1"/>
  <c r="Q615" i="57"/>
  <c r="Q2231" i="57" s="1"/>
  <c r="O615" i="57"/>
  <c r="O2231" i="57" s="1"/>
  <c r="N615" i="57"/>
  <c r="N2231" i="57" s="1"/>
  <c r="M615" i="57"/>
  <c r="M2231" i="57" s="1"/>
  <c r="I615" i="57"/>
  <c r="S614" i="57"/>
  <c r="S2230" i="57" s="1"/>
  <c r="Q614" i="57"/>
  <c r="Q2230" i="57" s="1"/>
  <c r="O614" i="57"/>
  <c r="O2230" i="57" s="1"/>
  <c r="N614" i="57"/>
  <c r="N2230" i="57" s="1"/>
  <c r="M614" i="57"/>
  <c r="M2230" i="57" s="1"/>
  <c r="I614" i="57"/>
  <c r="S613" i="57"/>
  <c r="S2229" i="57" s="1"/>
  <c r="Q613" i="57"/>
  <c r="Q2229" i="57" s="1"/>
  <c r="O613" i="57"/>
  <c r="O2229" i="57" s="1"/>
  <c r="N613" i="57"/>
  <c r="N2229" i="57" s="1"/>
  <c r="M613" i="57"/>
  <c r="M2229" i="57" s="1"/>
  <c r="I613" i="57"/>
  <c r="S612" i="57"/>
  <c r="S2228" i="57" s="1"/>
  <c r="Q612" i="57"/>
  <c r="Q2228" i="57" s="1"/>
  <c r="O612" i="57"/>
  <c r="O2228" i="57" s="1"/>
  <c r="N612" i="57"/>
  <c r="N2228" i="57" s="1"/>
  <c r="M612" i="57"/>
  <c r="M2228" i="57" s="1"/>
  <c r="I612" i="57"/>
  <c r="S611" i="57"/>
  <c r="S2227" i="57" s="1"/>
  <c r="Q611" i="57"/>
  <c r="Q2227" i="57" s="1"/>
  <c r="O611" i="57"/>
  <c r="O2227" i="57" s="1"/>
  <c r="N611" i="57"/>
  <c r="N2227" i="57" s="1"/>
  <c r="M611" i="57"/>
  <c r="M2227" i="57" s="1"/>
  <c r="I611" i="57"/>
  <c r="S610" i="57"/>
  <c r="S2226" i="57" s="1"/>
  <c r="Q610" i="57"/>
  <c r="Q2226" i="57" s="1"/>
  <c r="O610" i="57"/>
  <c r="O2226" i="57" s="1"/>
  <c r="N610" i="57"/>
  <c r="N2226" i="57" s="1"/>
  <c r="M610" i="57"/>
  <c r="M2226" i="57" s="1"/>
  <c r="I610" i="57"/>
  <c r="S609" i="57"/>
  <c r="S2225" i="57" s="1"/>
  <c r="Q609" i="57"/>
  <c r="Q2225" i="57" s="1"/>
  <c r="O609" i="57"/>
  <c r="O2225" i="57" s="1"/>
  <c r="N609" i="57"/>
  <c r="N2225" i="57" s="1"/>
  <c r="M609" i="57"/>
  <c r="M2225" i="57" s="1"/>
  <c r="I609" i="57"/>
  <c r="S608" i="57"/>
  <c r="S2224" i="57" s="1"/>
  <c r="Q608" i="57"/>
  <c r="Q2224" i="57" s="1"/>
  <c r="O608" i="57"/>
  <c r="O2224" i="57" s="1"/>
  <c r="N608" i="57"/>
  <c r="N2224" i="57" s="1"/>
  <c r="M608" i="57"/>
  <c r="M2224" i="57" s="1"/>
  <c r="I608" i="57"/>
  <c r="S607" i="57"/>
  <c r="S2223" i="57" s="1"/>
  <c r="Q607" i="57"/>
  <c r="Q2223" i="57" s="1"/>
  <c r="O607" i="57"/>
  <c r="O2223" i="57" s="1"/>
  <c r="N607" i="57"/>
  <c r="N2223" i="57" s="1"/>
  <c r="M607" i="57"/>
  <c r="M2223" i="57" s="1"/>
  <c r="I607" i="57"/>
  <c r="S606" i="57"/>
  <c r="S2222" i="57" s="1"/>
  <c r="Q606" i="57"/>
  <c r="Q2222" i="57" s="1"/>
  <c r="O606" i="57"/>
  <c r="O2222" i="57" s="1"/>
  <c r="N606" i="57"/>
  <c r="N2222" i="57" s="1"/>
  <c r="M606" i="57"/>
  <c r="M2222" i="57" s="1"/>
  <c r="I606" i="57"/>
  <c r="S605" i="57"/>
  <c r="S2221" i="57" s="1"/>
  <c r="Q605" i="57"/>
  <c r="Q2221" i="57" s="1"/>
  <c r="O605" i="57"/>
  <c r="O2221" i="57" s="1"/>
  <c r="N605" i="57"/>
  <c r="N2221" i="57" s="1"/>
  <c r="M605" i="57"/>
  <c r="M2221" i="57" s="1"/>
  <c r="I605" i="57"/>
  <c r="S604" i="57"/>
  <c r="S2220" i="57" s="1"/>
  <c r="Q604" i="57"/>
  <c r="Q2220" i="57" s="1"/>
  <c r="O604" i="57"/>
  <c r="O2220" i="57" s="1"/>
  <c r="N604" i="57"/>
  <c r="N2220" i="57" s="1"/>
  <c r="M604" i="57"/>
  <c r="M2220" i="57" s="1"/>
  <c r="I604" i="57"/>
  <c r="S603" i="57"/>
  <c r="S2219" i="57" s="1"/>
  <c r="Q603" i="57"/>
  <c r="Q2219" i="57" s="1"/>
  <c r="O603" i="57"/>
  <c r="O2219" i="57" s="1"/>
  <c r="N603" i="57"/>
  <c r="N2219" i="57" s="1"/>
  <c r="M603" i="57"/>
  <c r="M2219" i="57" s="1"/>
  <c r="I603" i="57"/>
  <c r="S602" i="57"/>
  <c r="S2218" i="57" s="1"/>
  <c r="Q602" i="57"/>
  <c r="Q2218" i="57" s="1"/>
  <c r="O602" i="57"/>
  <c r="O2218" i="57" s="1"/>
  <c r="N602" i="57"/>
  <c r="N2218" i="57" s="1"/>
  <c r="M602" i="57"/>
  <c r="M2218" i="57" s="1"/>
  <c r="I602" i="57"/>
  <c r="S601" i="57"/>
  <c r="S2217" i="57" s="1"/>
  <c r="Q601" i="57"/>
  <c r="Q2217" i="57" s="1"/>
  <c r="O601" i="57"/>
  <c r="O2217" i="57" s="1"/>
  <c r="N601" i="57"/>
  <c r="N2217" i="57" s="1"/>
  <c r="M601" i="57"/>
  <c r="M2217" i="57" s="1"/>
  <c r="I601" i="57"/>
  <c r="S600" i="57"/>
  <c r="S2216" i="57" s="1"/>
  <c r="Q600" i="57"/>
  <c r="Q2216" i="57" s="1"/>
  <c r="O600" i="57"/>
  <c r="O2216" i="57" s="1"/>
  <c r="N600" i="57"/>
  <c r="N2216" i="57" s="1"/>
  <c r="M600" i="57"/>
  <c r="M2216" i="57" s="1"/>
  <c r="I600" i="57"/>
  <c r="S599" i="57"/>
  <c r="S2215" i="57" s="1"/>
  <c r="Q599" i="57"/>
  <c r="Q2215" i="57" s="1"/>
  <c r="O599" i="57"/>
  <c r="O2215" i="57" s="1"/>
  <c r="N599" i="57"/>
  <c r="N2215" i="57" s="1"/>
  <c r="M599" i="57"/>
  <c r="M2215" i="57" s="1"/>
  <c r="I599" i="57"/>
  <c r="S598" i="57"/>
  <c r="S2214" i="57" s="1"/>
  <c r="Q598" i="57"/>
  <c r="Q2214" i="57" s="1"/>
  <c r="O598" i="57"/>
  <c r="O2214" i="57" s="1"/>
  <c r="N598" i="57"/>
  <c r="N2214" i="57" s="1"/>
  <c r="M598" i="57"/>
  <c r="M2214" i="57" s="1"/>
  <c r="I598" i="57"/>
  <c r="S597" i="57"/>
  <c r="S2213" i="57" s="1"/>
  <c r="Q597" i="57"/>
  <c r="Q2213" i="57" s="1"/>
  <c r="O597" i="57"/>
  <c r="O2213" i="57" s="1"/>
  <c r="N597" i="57"/>
  <c r="N2213" i="57" s="1"/>
  <c r="M597" i="57"/>
  <c r="M2213" i="57" s="1"/>
  <c r="I597" i="57"/>
  <c r="S596" i="57"/>
  <c r="S2212" i="57" s="1"/>
  <c r="Q596" i="57"/>
  <c r="Q2212" i="57" s="1"/>
  <c r="O596" i="57"/>
  <c r="O2212" i="57" s="1"/>
  <c r="N596" i="57"/>
  <c r="N2212" i="57" s="1"/>
  <c r="M596" i="57"/>
  <c r="M2212" i="57" s="1"/>
  <c r="I596" i="57"/>
  <c r="S595" i="57"/>
  <c r="S2211" i="57" s="1"/>
  <c r="Q595" i="57"/>
  <c r="Q2211" i="57" s="1"/>
  <c r="O595" i="57"/>
  <c r="O2211" i="57" s="1"/>
  <c r="N595" i="57"/>
  <c r="N2211" i="57" s="1"/>
  <c r="M595" i="57"/>
  <c r="M2211" i="57" s="1"/>
  <c r="I595" i="57"/>
  <c r="S594" i="57"/>
  <c r="S2210" i="57" s="1"/>
  <c r="Q594" i="57"/>
  <c r="Q2210" i="57" s="1"/>
  <c r="O594" i="57"/>
  <c r="O2210" i="57" s="1"/>
  <c r="N594" i="57"/>
  <c r="N2210" i="57" s="1"/>
  <c r="M594" i="57"/>
  <c r="M2210" i="57" s="1"/>
  <c r="I594" i="57"/>
  <c r="S593" i="57"/>
  <c r="S2209" i="57" s="1"/>
  <c r="Q593" i="57"/>
  <c r="Q2209" i="57" s="1"/>
  <c r="O593" i="57"/>
  <c r="O2209" i="57" s="1"/>
  <c r="N593" i="57"/>
  <c r="N2209" i="57" s="1"/>
  <c r="M593" i="57"/>
  <c r="M2209" i="57" s="1"/>
  <c r="I593" i="57"/>
  <c r="S592" i="57"/>
  <c r="S2208" i="57" s="1"/>
  <c r="Q592" i="57"/>
  <c r="Q2208" i="57" s="1"/>
  <c r="O592" i="57"/>
  <c r="O2208" i="57" s="1"/>
  <c r="N592" i="57"/>
  <c r="N2208" i="57" s="1"/>
  <c r="M592" i="57"/>
  <c r="M2208" i="57" s="1"/>
  <c r="I592" i="57"/>
  <c r="S591" i="57"/>
  <c r="S2207" i="57" s="1"/>
  <c r="Q591" i="57"/>
  <c r="Q2207" i="57" s="1"/>
  <c r="O591" i="57"/>
  <c r="O2207" i="57" s="1"/>
  <c r="N591" i="57"/>
  <c r="N2207" i="57" s="1"/>
  <c r="M591" i="57"/>
  <c r="M2207" i="57" s="1"/>
  <c r="I591" i="57"/>
  <c r="S590" i="57"/>
  <c r="S2206" i="57" s="1"/>
  <c r="Q590" i="57"/>
  <c r="Q2206" i="57" s="1"/>
  <c r="O590" i="57"/>
  <c r="O2206" i="57" s="1"/>
  <c r="N590" i="57"/>
  <c r="N2206" i="57" s="1"/>
  <c r="M590" i="57"/>
  <c r="M2206" i="57" s="1"/>
  <c r="I590" i="57"/>
  <c r="S589" i="57"/>
  <c r="S2205" i="57" s="1"/>
  <c r="Q589" i="57"/>
  <c r="Q2205" i="57" s="1"/>
  <c r="O589" i="57"/>
  <c r="O2205" i="57" s="1"/>
  <c r="N589" i="57"/>
  <c r="N2205" i="57" s="1"/>
  <c r="M589" i="57"/>
  <c r="M2205" i="57" s="1"/>
  <c r="I589" i="57"/>
  <c r="S588" i="57"/>
  <c r="S2204" i="57" s="1"/>
  <c r="Q588" i="57"/>
  <c r="Q2204" i="57" s="1"/>
  <c r="O588" i="57"/>
  <c r="O2204" i="57" s="1"/>
  <c r="N588" i="57"/>
  <c r="N2204" i="57" s="1"/>
  <c r="M588" i="57"/>
  <c r="M2204" i="57" s="1"/>
  <c r="I588" i="57"/>
  <c r="S587" i="57"/>
  <c r="S2203" i="57" s="1"/>
  <c r="Q587" i="57"/>
  <c r="Q2203" i="57" s="1"/>
  <c r="O587" i="57"/>
  <c r="O2203" i="57" s="1"/>
  <c r="N587" i="57"/>
  <c r="N2203" i="57" s="1"/>
  <c r="M587" i="57"/>
  <c r="M2203" i="57" s="1"/>
  <c r="I587" i="57"/>
  <c r="S586" i="57"/>
  <c r="S2202" i="57" s="1"/>
  <c r="Q586" i="57"/>
  <c r="Q2202" i="57" s="1"/>
  <c r="O586" i="57"/>
  <c r="O2202" i="57" s="1"/>
  <c r="N586" i="57"/>
  <c r="N2202" i="57" s="1"/>
  <c r="M586" i="57"/>
  <c r="M2202" i="57" s="1"/>
  <c r="I586" i="57"/>
  <c r="S585" i="57"/>
  <c r="S2201" i="57" s="1"/>
  <c r="Q585" i="57"/>
  <c r="Q2201" i="57" s="1"/>
  <c r="O585" i="57"/>
  <c r="O2201" i="57" s="1"/>
  <c r="N585" i="57"/>
  <c r="N2201" i="57" s="1"/>
  <c r="M585" i="57"/>
  <c r="M2201" i="57" s="1"/>
  <c r="I585" i="57"/>
  <c r="S584" i="57"/>
  <c r="S2200" i="57" s="1"/>
  <c r="Q584" i="57"/>
  <c r="Q2200" i="57" s="1"/>
  <c r="O584" i="57"/>
  <c r="O2200" i="57" s="1"/>
  <c r="N584" i="57"/>
  <c r="N2200" i="57" s="1"/>
  <c r="M584" i="57"/>
  <c r="M2200" i="57" s="1"/>
  <c r="I584" i="57"/>
  <c r="S583" i="57"/>
  <c r="S2199" i="57" s="1"/>
  <c r="Q583" i="57"/>
  <c r="Q2199" i="57" s="1"/>
  <c r="O583" i="57"/>
  <c r="O2199" i="57" s="1"/>
  <c r="N583" i="57"/>
  <c r="N2199" i="57" s="1"/>
  <c r="M583" i="57"/>
  <c r="M2199" i="57" s="1"/>
  <c r="I583" i="57"/>
  <c r="S582" i="57"/>
  <c r="S2198" i="57" s="1"/>
  <c r="Q582" i="57"/>
  <c r="Q2198" i="57" s="1"/>
  <c r="O582" i="57"/>
  <c r="O2198" i="57" s="1"/>
  <c r="N582" i="57"/>
  <c r="N2198" i="57" s="1"/>
  <c r="M582" i="57"/>
  <c r="M2198" i="57" s="1"/>
  <c r="I582" i="57"/>
  <c r="S581" i="57"/>
  <c r="S2197" i="57" s="1"/>
  <c r="Q581" i="57"/>
  <c r="Q2197" i="57" s="1"/>
  <c r="O581" i="57"/>
  <c r="O2197" i="57" s="1"/>
  <c r="N581" i="57"/>
  <c r="N2197" i="57" s="1"/>
  <c r="M581" i="57"/>
  <c r="M2197" i="57" s="1"/>
  <c r="I581" i="57"/>
  <c r="S578" i="57"/>
  <c r="S2194" i="57" s="1"/>
  <c r="Q578" i="57"/>
  <c r="Q2194" i="57" s="1"/>
  <c r="O578" i="57"/>
  <c r="O2194" i="57" s="1"/>
  <c r="N578" i="57"/>
  <c r="N2194" i="57" s="1"/>
  <c r="M578" i="57"/>
  <c r="M2194" i="57" s="1"/>
  <c r="I578" i="57"/>
  <c r="D578" i="57"/>
  <c r="D630" i="57" s="1"/>
  <c r="S577" i="57"/>
  <c r="S2193" i="57" s="1"/>
  <c r="Q577" i="57"/>
  <c r="Q2193" i="57" s="1"/>
  <c r="O577" i="57"/>
  <c r="O2193" i="57" s="1"/>
  <c r="N577" i="57"/>
  <c r="N2193" i="57" s="1"/>
  <c r="M577" i="57"/>
  <c r="M2193" i="57" s="1"/>
  <c r="I577" i="57"/>
  <c r="D577" i="57"/>
  <c r="D629" i="57" s="1"/>
  <c r="S576" i="57"/>
  <c r="S2192" i="57" s="1"/>
  <c r="Q576" i="57"/>
  <c r="Q2192" i="57" s="1"/>
  <c r="O576" i="57"/>
  <c r="O2192" i="57" s="1"/>
  <c r="N576" i="57"/>
  <c r="N2192" i="57" s="1"/>
  <c r="M576" i="57"/>
  <c r="M2192" i="57" s="1"/>
  <c r="I576" i="57"/>
  <c r="D576" i="57"/>
  <c r="D628" i="57" s="1"/>
  <c r="S575" i="57"/>
  <c r="S2191" i="57" s="1"/>
  <c r="Q575" i="57"/>
  <c r="Q2191" i="57" s="1"/>
  <c r="O575" i="57"/>
  <c r="O2191" i="57" s="1"/>
  <c r="N575" i="57"/>
  <c r="N2191" i="57" s="1"/>
  <c r="M575" i="57"/>
  <c r="M2191" i="57" s="1"/>
  <c r="I575" i="57"/>
  <c r="D575" i="57"/>
  <c r="D627" i="57" s="1"/>
  <c r="S574" i="57"/>
  <c r="S2190" i="57" s="1"/>
  <c r="Q574" i="57"/>
  <c r="Q2190" i="57" s="1"/>
  <c r="O574" i="57"/>
  <c r="O2190" i="57" s="1"/>
  <c r="N574" i="57"/>
  <c r="N2190" i="57" s="1"/>
  <c r="M574" i="57"/>
  <c r="M2190" i="57" s="1"/>
  <c r="I574" i="57"/>
  <c r="D574" i="57"/>
  <c r="D626" i="57" s="1"/>
  <c r="S573" i="57"/>
  <c r="S2189" i="57" s="1"/>
  <c r="Q573" i="57"/>
  <c r="Q2189" i="57" s="1"/>
  <c r="O573" i="57"/>
  <c r="O2189" i="57" s="1"/>
  <c r="N573" i="57"/>
  <c r="N2189" i="57" s="1"/>
  <c r="M573" i="57"/>
  <c r="M2189" i="57" s="1"/>
  <c r="I573" i="57"/>
  <c r="D573" i="57"/>
  <c r="D625" i="57" s="1"/>
  <c r="S572" i="57"/>
  <c r="S2188" i="57" s="1"/>
  <c r="Q572" i="57"/>
  <c r="Q2188" i="57" s="1"/>
  <c r="O572" i="57"/>
  <c r="O2188" i="57" s="1"/>
  <c r="N572" i="57"/>
  <c r="N2188" i="57" s="1"/>
  <c r="M572" i="57"/>
  <c r="M2188" i="57" s="1"/>
  <c r="I572" i="57"/>
  <c r="D572" i="57"/>
  <c r="D624" i="57" s="1"/>
  <c r="S571" i="57"/>
  <c r="S2187" i="57" s="1"/>
  <c r="Q571" i="57"/>
  <c r="Q2187" i="57" s="1"/>
  <c r="O571" i="57"/>
  <c r="O2187" i="57" s="1"/>
  <c r="N571" i="57"/>
  <c r="N2187" i="57" s="1"/>
  <c r="M571" i="57"/>
  <c r="M2187" i="57" s="1"/>
  <c r="I571" i="57"/>
  <c r="D571" i="57"/>
  <c r="D623" i="57" s="1"/>
  <c r="S570" i="57"/>
  <c r="S2186" i="57" s="1"/>
  <c r="Q570" i="57"/>
  <c r="Q2186" i="57" s="1"/>
  <c r="O570" i="57"/>
  <c r="O2186" i="57" s="1"/>
  <c r="N570" i="57"/>
  <c r="N2186" i="57" s="1"/>
  <c r="M570" i="57"/>
  <c r="M2186" i="57" s="1"/>
  <c r="I570" i="57"/>
  <c r="D570" i="57"/>
  <c r="D622" i="57" s="1"/>
  <c r="S569" i="57"/>
  <c r="S2185" i="57" s="1"/>
  <c r="Q569" i="57"/>
  <c r="Q2185" i="57" s="1"/>
  <c r="O569" i="57"/>
  <c r="O2185" i="57" s="1"/>
  <c r="N569" i="57"/>
  <c r="N2185" i="57" s="1"/>
  <c r="M569" i="57"/>
  <c r="M2185" i="57" s="1"/>
  <c r="I569" i="57"/>
  <c r="D569" i="57"/>
  <c r="D621" i="57" s="1"/>
  <c r="S568" i="57"/>
  <c r="S2184" i="57" s="1"/>
  <c r="Q568" i="57"/>
  <c r="Q2184" i="57" s="1"/>
  <c r="O568" i="57"/>
  <c r="O2184" i="57" s="1"/>
  <c r="N568" i="57"/>
  <c r="N2184" i="57" s="1"/>
  <c r="M568" i="57"/>
  <c r="M2184" i="57" s="1"/>
  <c r="I568" i="57"/>
  <c r="D568" i="57"/>
  <c r="D620" i="57" s="1"/>
  <c r="S567" i="57"/>
  <c r="S2183" i="57" s="1"/>
  <c r="Q567" i="57"/>
  <c r="Q2183" i="57" s="1"/>
  <c r="O567" i="57"/>
  <c r="O2183" i="57" s="1"/>
  <c r="N567" i="57"/>
  <c r="N2183" i="57" s="1"/>
  <c r="M567" i="57"/>
  <c r="M2183" i="57" s="1"/>
  <c r="I567" i="57"/>
  <c r="D567" i="57"/>
  <c r="D619" i="57" s="1"/>
  <c r="S566" i="57"/>
  <c r="S2182" i="57" s="1"/>
  <c r="Q566" i="57"/>
  <c r="Q2182" i="57" s="1"/>
  <c r="O566" i="57"/>
  <c r="O2182" i="57" s="1"/>
  <c r="N566" i="57"/>
  <c r="N2182" i="57" s="1"/>
  <c r="M566" i="57"/>
  <c r="M2182" i="57" s="1"/>
  <c r="I566" i="57"/>
  <c r="D566" i="57"/>
  <c r="D618" i="57" s="1"/>
  <c r="S565" i="57"/>
  <c r="S2181" i="57" s="1"/>
  <c r="Q565" i="57"/>
  <c r="Q2181" i="57" s="1"/>
  <c r="O565" i="57"/>
  <c r="O2181" i="57" s="1"/>
  <c r="N565" i="57"/>
  <c r="N2181" i="57" s="1"/>
  <c r="M565" i="57"/>
  <c r="M2181" i="57" s="1"/>
  <c r="I565" i="57"/>
  <c r="D565" i="57"/>
  <c r="D617" i="57" s="1"/>
  <c r="S564" i="57"/>
  <c r="S2180" i="57" s="1"/>
  <c r="Q564" i="57"/>
  <c r="Q2180" i="57" s="1"/>
  <c r="O564" i="57"/>
  <c r="O2180" i="57" s="1"/>
  <c r="N564" i="57"/>
  <c r="N2180" i="57" s="1"/>
  <c r="M564" i="57"/>
  <c r="M2180" i="57" s="1"/>
  <c r="I564" i="57"/>
  <c r="D564" i="57"/>
  <c r="D616" i="57" s="1"/>
  <c r="S563" i="57"/>
  <c r="S2179" i="57" s="1"/>
  <c r="Q563" i="57"/>
  <c r="Q2179" i="57" s="1"/>
  <c r="O563" i="57"/>
  <c r="O2179" i="57" s="1"/>
  <c r="N563" i="57"/>
  <c r="N2179" i="57" s="1"/>
  <c r="M563" i="57"/>
  <c r="M2179" i="57" s="1"/>
  <c r="I563" i="57"/>
  <c r="D563" i="57"/>
  <c r="D615" i="57" s="1"/>
  <c r="S562" i="57"/>
  <c r="S2178" i="57" s="1"/>
  <c r="Q562" i="57"/>
  <c r="Q2178" i="57" s="1"/>
  <c r="O562" i="57"/>
  <c r="O2178" i="57" s="1"/>
  <c r="N562" i="57"/>
  <c r="N2178" i="57" s="1"/>
  <c r="M562" i="57"/>
  <c r="M2178" i="57" s="1"/>
  <c r="I562" i="57"/>
  <c r="D562" i="57"/>
  <c r="D614" i="57" s="1"/>
  <c r="S561" i="57"/>
  <c r="S2177" i="57" s="1"/>
  <c r="Q561" i="57"/>
  <c r="Q2177" i="57" s="1"/>
  <c r="O561" i="57"/>
  <c r="O2177" i="57" s="1"/>
  <c r="N561" i="57"/>
  <c r="N2177" i="57" s="1"/>
  <c r="M561" i="57"/>
  <c r="M2177" i="57" s="1"/>
  <c r="I561" i="57"/>
  <c r="D561" i="57"/>
  <c r="D613" i="57" s="1"/>
  <c r="S560" i="57"/>
  <c r="S2176" i="57" s="1"/>
  <c r="Q560" i="57"/>
  <c r="Q2176" i="57" s="1"/>
  <c r="O560" i="57"/>
  <c r="O2176" i="57" s="1"/>
  <c r="N560" i="57"/>
  <c r="N2176" i="57" s="1"/>
  <c r="M560" i="57"/>
  <c r="M2176" i="57" s="1"/>
  <c r="I560" i="57"/>
  <c r="D560" i="57"/>
  <c r="D612" i="57" s="1"/>
  <c r="S559" i="57"/>
  <c r="S2175" i="57" s="1"/>
  <c r="Q559" i="57"/>
  <c r="Q2175" i="57" s="1"/>
  <c r="O559" i="57"/>
  <c r="O2175" i="57" s="1"/>
  <c r="N559" i="57"/>
  <c r="N2175" i="57" s="1"/>
  <c r="M559" i="57"/>
  <c r="M2175" i="57" s="1"/>
  <c r="I559" i="57"/>
  <c r="D559" i="57"/>
  <c r="D611" i="57" s="1"/>
  <c r="S558" i="57"/>
  <c r="S2174" i="57" s="1"/>
  <c r="Q558" i="57"/>
  <c r="Q2174" i="57" s="1"/>
  <c r="O558" i="57"/>
  <c r="O2174" i="57" s="1"/>
  <c r="N558" i="57"/>
  <c r="N2174" i="57" s="1"/>
  <c r="M558" i="57"/>
  <c r="M2174" i="57" s="1"/>
  <c r="I558" i="57"/>
  <c r="D558" i="57"/>
  <c r="D610" i="57" s="1"/>
  <c r="S557" i="57"/>
  <c r="S2173" i="57" s="1"/>
  <c r="Q557" i="57"/>
  <c r="Q2173" i="57" s="1"/>
  <c r="O557" i="57"/>
  <c r="O2173" i="57" s="1"/>
  <c r="N557" i="57"/>
  <c r="N2173" i="57" s="1"/>
  <c r="M557" i="57"/>
  <c r="M2173" i="57" s="1"/>
  <c r="I557" i="57"/>
  <c r="D557" i="57"/>
  <c r="D609" i="57" s="1"/>
  <c r="S556" i="57"/>
  <c r="S2172" i="57" s="1"/>
  <c r="Q556" i="57"/>
  <c r="Q2172" i="57" s="1"/>
  <c r="O556" i="57"/>
  <c r="O2172" i="57" s="1"/>
  <c r="N556" i="57"/>
  <c r="N2172" i="57" s="1"/>
  <c r="M556" i="57"/>
  <c r="M2172" i="57" s="1"/>
  <c r="I556" i="57"/>
  <c r="D556" i="57"/>
  <c r="D608" i="57" s="1"/>
  <c r="S555" i="57"/>
  <c r="S2171" i="57" s="1"/>
  <c r="Q555" i="57"/>
  <c r="Q2171" i="57" s="1"/>
  <c r="O555" i="57"/>
  <c r="O2171" i="57" s="1"/>
  <c r="N555" i="57"/>
  <c r="N2171" i="57" s="1"/>
  <c r="M555" i="57"/>
  <c r="M2171" i="57" s="1"/>
  <c r="I555" i="57"/>
  <c r="D555" i="57"/>
  <c r="D607" i="57" s="1"/>
  <c r="S554" i="57"/>
  <c r="S2170" i="57" s="1"/>
  <c r="Q554" i="57"/>
  <c r="Q2170" i="57" s="1"/>
  <c r="O554" i="57"/>
  <c r="O2170" i="57" s="1"/>
  <c r="N554" i="57"/>
  <c r="N2170" i="57" s="1"/>
  <c r="M554" i="57"/>
  <c r="M2170" i="57" s="1"/>
  <c r="I554" i="57"/>
  <c r="D554" i="57"/>
  <c r="D606" i="57" s="1"/>
  <c r="S553" i="57"/>
  <c r="S2169" i="57" s="1"/>
  <c r="Q553" i="57"/>
  <c r="Q2169" i="57" s="1"/>
  <c r="O553" i="57"/>
  <c r="O2169" i="57" s="1"/>
  <c r="N553" i="57"/>
  <c r="N2169" i="57" s="1"/>
  <c r="M553" i="57"/>
  <c r="M2169" i="57" s="1"/>
  <c r="I553" i="57"/>
  <c r="D553" i="57"/>
  <c r="D605" i="57" s="1"/>
  <c r="S552" i="57"/>
  <c r="S2168" i="57" s="1"/>
  <c r="Q552" i="57"/>
  <c r="Q2168" i="57" s="1"/>
  <c r="O552" i="57"/>
  <c r="O2168" i="57" s="1"/>
  <c r="N552" i="57"/>
  <c r="N2168" i="57" s="1"/>
  <c r="M552" i="57"/>
  <c r="M2168" i="57" s="1"/>
  <c r="I552" i="57"/>
  <c r="D552" i="57"/>
  <c r="D604" i="57" s="1"/>
  <c r="S551" i="57"/>
  <c r="S2167" i="57" s="1"/>
  <c r="Q551" i="57"/>
  <c r="Q2167" i="57" s="1"/>
  <c r="O551" i="57"/>
  <c r="O2167" i="57" s="1"/>
  <c r="N551" i="57"/>
  <c r="N2167" i="57" s="1"/>
  <c r="M551" i="57"/>
  <c r="M2167" i="57" s="1"/>
  <c r="I551" i="57"/>
  <c r="D551" i="57"/>
  <c r="D603" i="57" s="1"/>
  <c r="S550" i="57"/>
  <c r="S2166" i="57" s="1"/>
  <c r="Q550" i="57"/>
  <c r="Q2166" i="57" s="1"/>
  <c r="O550" i="57"/>
  <c r="O2166" i="57" s="1"/>
  <c r="N550" i="57"/>
  <c r="N2166" i="57" s="1"/>
  <c r="M550" i="57"/>
  <c r="M2166" i="57" s="1"/>
  <c r="I550" i="57"/>
  <c r="D550" i="57"/>
  <c r="D602" i="57" s="1"/>
  <c r="S549" i="57"/>
  <c r="S2165" i="57" s="1"/>
  <c r="Q549" i="57"/>
  <c r="Q2165" i="57" s="1"/>
  <c r="O549" i="57"/>
  <c r="O2165" i="57" s="1"/>
  <c r="N549" i="57"/>
  <c r="N2165" i="57" s="1"/>
  <c r="M549" i="57"/>
  <c r="M2165" i="57" s="1"/>
  <c r="I549" i="57"/>
  <c r="D549" i="57"/>
  <c r="D601" i="57" s="1"/>
  <c r="S548" i="57"/>
  <c r="S2164" i="57" s="1"/>
  <c r="Q548" i="57"/>
  <c r="Q2164" i="57" s="1"/>
  <c r="O548" i="57"/>
  <c r="O2164" i="57" s="1"/>
  <c r="N548" i="57"/>
  <c r="N2164" i="57" s="1"/>
  <c r="M548" i="57"/>
  <c r="M2164" i="57" s="1"/>
  <c r="I548" i="57"/>
  <c r="D548" i="57"/>
  <c r="D600" i="57" s="1"/>
  <c r="S547" i="57"/>
  <c r="S2163" i="57" s="1"/>
  <c r="Q547" i="57"/>
  <c r="Q2163" i="57" s="1"/>
  <c r="O547" i="57"/>
  <c r="O2163" i="57" s="1"/>
  <c r="N547" i="57"/>
  <c r="N2163" i="57" s="1"/>
  <c r="M547" i="57"/>
  <c r="M2163" i="57" s="1"/>
  <c r="I547" i="57"/>
  <c r="D547" i="57"/>
  <c r="D599" i="57" s="1"/>
  <c r="S546" i="57"/>
  <c r="S2162" i="57" s="1"/>
  <c r="Q546" i="57"/>
  <c r="Q2162" i="57" s="1"/>
  <c r="O546" i="57"/>
  <c r="O2162" i="57" s="1"/>
  <c r="N546" i="57"/>
  <c r="N2162" i="57" s="1"/>
  <c r="M546" i="57"/>
  <c r="M2162" i="57" s="1"/>
  <c r="I546" i="57"/>
  <c r="D546" i="57"/>
  <c r="D598" i="57" s="1"/>
  <c r="S545" i="57"/>
  <c r="S2161" i="57" s="1"/>
  <c r="Q545" i="57"/>
  <c r="Q2161" i="57" s="1"/>
  <c r="O545" i="57"/>
  <c r="O2161" i="57" s="1"/>
  <c r="N545" i="57"/>
  <c r="N2161" i="57" s="1"/>
  <c r="M545" i="57"/>
  <c r="M2161" i="57" s="1"/>
  <c r="I545" i="57"/>
  <c r="D545" i="57"/>
  <c r="D597" i="57" s="1"/>
  <c r="S544" i="57"/>
  <c r="S2160" i="57" s="1"/>
  <c r="Q544" i="57"/>
  <c r="Q2160" i="57" s="1"/>
  <c r="O544" i="57"/>
  <c r="O2160" i="57" s="1"/>
  <c r="N544" i="57"/>
  <c r="N2160" i="57" s="1"/>
  <c r="M544" i="57"/>
  <c r="M2160" i="57" s="1"/>
  <c r="I544" i="57"/>
  <c r="D544" i="57"/>
  <c r="D596" i="57" s="1"/>
  <c r="S543" i="57"/>
  <c r="S2159" i="57" s="1"/>
  <c r="Q543" i="57"/>
  <c r="Q2159" i="57" s="1"/>
  <c r="O543" i="57"/>
  <c r="O2159" i="57" s="1"/>
  <c r="N543" i="57"/>
  <c r="N2159" i="57" s="1"/>
  <c r="M543" i="57"/>
  <c r="M2159" i="57" s="1"/>
  <c r="I543" i="57"/>
  <c r="D543" i="57"/>
  <c r="D595" i="57" s="1"/>
  <c r="S542" i="57"/>
  <c r="S2158" i="57" s="1"/>
  <c r="Q542" i="57"/>
  <c r="Q2158" i="57" s="1"/>
  <c r="O542" i="57"/>
  <c r="O2158" i="57" s="1"/>
  <c r="N542" i="57"/>
  <c r="N2158" i="57" s="1"/>
  <c r="M542" i="57"/>
  <c r="M2158" i="57" s="1"/>
  <c r="I542" i="57"/>
  <c r="D542" i="57"/>
  <c r="D594" i="57" s="1"/>
  <c r="S541" i="57"/>
  <c r="S2157" i="57" s="1"/>
  <c r="Q541" i="57"/>
  <c r="Q2157" i="57" s="1"/>
  <c r="O541" i="57"/>
  <c r="O2157" i="57" s="1"/>
  <c r="N541" i="57"/>
  <c r="N2157" i="57" s="1"/>
  <c r="M541" i="57"/>
  <c r="M2157" i="57" s="1"/>
  <c r="I541" i="57"/>
  <c r="D541" i="57"/>
  <c r="D593" i="57" s="1"/>
  <c r="S540" i="57"/>
  <c r="S2156" i="57" s="1"/>
  <c r="Q540" i="57"/>
  <c r="Q2156" i="57" s="1"/>
  <c r="O540" i="57"/>
  <c r="O2156" i="57" s="1"/>
  <c r="N540" i="57"/>
  <c r="N2156" i="57" s="1"/>
  <c r="M540" i="57"/>
  <c r="M2156" i="57" s="1"/>
  <c r="I540" i="57"/>
  <c r="D540" i="57"/>
  <c r="D592" i="57" s="1"/>
  <c r="S539" i="57"/>
  <c r="S2155" i="57" s="1"/>
  <c r="Q539" i="57"/>
  <c r="Q2155" i="57" s="1"/>
  <c r="O539" i="57"/>
  <c r="O2155" i="57" s="1"/>
  <c r="N539" i="57"/>
  <c r="N2155" i="57" s="1"/>
  <c r="M539" i="57"/>
  <c r="M2155" i="57" s="1"/>
  <c r="I539" i="57"/>
  <c r="D539" i="57"/>
  <c r="D591" i="57" s="1"/>
  <c r="S538" i="57"/>
  <c r="S2154" i="57" s="1"/>
  <c r="Q538" i="57"/>
  <c r="Q2154" i="57" s="1"/>
  <c r="O538" i="57"/>
  <c r="O2154" i="57" s="1"/>
  <c r="N538" i="57"/>
  <c r="N2154" i="57" s="1"/>
  <c r="M538" i="57"/>
  <c r="M2154" i="57" s="1"/>
  <c r="I538" i="57"/>
  <c r="D538" i="57"/>
  <c r="D590" i="57" s="1"/>
  <c r="S537" i="57"/>
  <c r="S2153" i="57" s="1"/>
  <c r="Q537" i="57"/>
  <c r="Q2153" i="57" s="1"/>
  <c r="O537" i="57"/>
  <c r="O2153" i="57" s="1"/>
  <c r="N537" i="57"/>
  <c r="N2153" i="57" s="1"/>
  <c r="M537" i="57"/>
  <c r="M2153" i="57" s="1"/>
  <c r="I537" i="57"/>
  <c r="D537" i="57"/>
  <c r="D589" i="57" s="1"/>
  <c r="S536" i="57"/>
  <c r="S2152" i="57" s="1"/>
  <c r="Q536" i="57"/>
  <c r="Q2152" i="57" s="1"/>
  <c r="O536" i="57"/>
  <c r="O2152" i="57" s="1"/>
  <c r="N536" i="57"/>
  <c r="N2152" i="57" s="1"/>
  <c r="M536" i="57"/>
  <c r="M2152" i="57" s="1"/>
  <c r="I536" i="57"/>
  <c r="D536" i="57"/>
  <c r="D588" i="57" s="1"/>
  <c r="S535" i="57"/>
  <c r="S2151" i="57" s="1"/>
  <c r="Q535" i="57"/>
  <c r="Q2151" i="57" s="1"/>
  <c r="O535" i="57"/>
  <c r="O2151" i="57" s="1"/>
  <c r="N535" i="57"/>
  <c r="N2151" i="57" s="1"/>
  <c r="M535" i="57"/>
  <c r="M2151" i="57" s="1"/>
  <c r="I535" i="57"/>
  <c r="D535" i="57"/>
  <c r="D587" i="57" s="1"/>
  <c r="S534" i="57"/>
  <c r="S2150" i="57" s="1"/>
  <c r="Q534" i="57"/>
  <c r="Q2150" i="57" s="1"/>
  <c r="O534" i="57"/>
  <c r="O2150" i="57" s="1"/>
  <c r="N534" i="57"/>
  <c r="N2150" i="57" s="1"/>
  <c r="M534" i="57"/>
  <c r="M2150" i="57" s="1"/>
  <c r="I534" i="57"/>
  <c r="D534" i="57"/>
  <c r="D586" i="57" s="1"/>
  <c r="S533" i="57"/>
  <c r="S2149" i="57" s="1"/>
  <c r="Q533" i="57"/>
  <c r="Q2149" i="57" s="1"/>
  <c r="O533" i="57"/>
  <c r="O2149" i="57" s="1"/>
  <c r="N533" i="57"/>
  <c r="N2149" i="57" s="1"/>
  <c r="M533" i="57"/>
  <c r="M2149" i="57" s="1"/>
  <c r="I533" i="57"/>
  <c r="D533" i="57"/>
  <c r="D585" i="57" s="1"/>
  <c r="S532" i="57"/>
  <c r="S2148" i="57" s="1"/>
  <c r="Q532" i="57"/>
  <c r="Q2148" i="57" s="1"/>
  <c r="O532" i="57"/>
  <c r="O2148" i="57" s="1"/>
  <c r="N532" i="57"/>
  <c r="N2148" i="57" s="1"/>
  <c r="M532" i="57"/>
  <c r="M2148" i="57" s="1"/>
  <c r="I532" i="57"/>
  <c r="D532" i="57"/>
  <c r="D584" i="57" s="1"/>
  <c r="S531" i="57"/>
  <c r="S2147" i="57" s="1"/>
  <c r="Q531" i="57"/>
  <c r="Q2147" i="57" s="1"/>
  <c r="O531" i="57"/>
  <c r="O2147" i="57" s="1"/>
  <c r="N531" i="57"/>
  <c r="N2147" i="57" s="1"/>
  <c r="M531" i="57"/>
  <c r="M2147" i="57" s="1"/>
  <c r="I531" i="57"/>
  <c r="D531" i="57"/>
  <c r="D583" i="57" s="1"/>
  <c r="S530" i="57"/>
  <c r="S2146" i="57" s="1"/>
  <c r="Q530" i="57"/>
  <c r="Q2146" i="57" s="1"/>
  <c r="O530" i="57"/>
  <c r="O2146" i="57" s="1"/>
  <c r="N530" i="57"/>
  <c r="N2146" i="57" s="1"/>
  <c r="M530" i="57"/>
  <c r="M2146" i="57" s="1"/>
  <c r="I530" i="57"/>
  <c r="D530" i="57"/>
  <c r="D582" i="57" s="1"/>
  <c r="S529" i="57"/>
  <c r="S2145" i="57" s="1"/>
  <c r="Q529" i="57"/>
  <c r="Q2145" i="57" s="1"/>
  <c r="O529" i="57"/>
  <c r="O2145" i="57" s="1"/>
  <c r="N529" i="57"/>
  <c r="N2145" i="57" s="1"/>
  <c r="M529" i="57"/>
  <c r="M2145" i="57" s="1"/>
  <c r="I529" i="57"/>
  <c r="D529" i="57"/>
  <c r="D581" i="57" s="1"/>
  <c r="D528" i="57"/>
  <c r="D580" i="57" s="1"/>
  <c r="S526" i="57"/>
  <c r="S2142" i="57" s="1"/>
  <c r="Q526" i="57"/>
  <c r="Q2142" i="57" s="1"/>
  <c r="O526" i="57"/>
  <c r="O2142" i="57" s="1"/>
  <c r="N526" i="57"/>
  <c r="N2142" i="57" s="1"/>
  <c r="M526" i="57"/>
  <c r="M2142" i="57" s="1"/>
  <c r="I526" i="57"/>
  <c r="S525" i="57"/>
  <c r="S2141" i="57" s="1"/>
  <c r="Q525" i="57"/>
  <c r="Q2141" i="57" s="1"/>
  <c r="O525" i="57"/>
  <c r="O2141" i="57" s="1"/>
  <c r="N525" i="57"/>
  <c r="N2141" i="57" s="1"/>
  <c r="M525" i="57"/>
  <c r="M2141" i="57" s="1"/>
  <c r="I525" i="57"/>
  <c r="S524" i="57"/>
  <c r="S2140" i="57" s="1"/>
  <c r="Q524" i="57"/>
  <c r="Q2140" i="57" s="1"/>
  <c r="O524" i="57"/>
  <c r="O2140" i="57" s="1"/>
  <c r="N524" i="57"/>
  <c r="N2140" i="57" s="1"/>
  <c r="M524" i="57"/>
  <c r="M2140" i="57" s="1"/>
  <c r="I524" i="57"/>
  <c r="S523" i="57"/>
  <c r="S2139" i="57" s="1"/>
  <c r="Q523" i="57"/>
  <c r="Q2139" i="57" s="1"/>
  <c r="O523" i="57"/>
  <c r="O2139" i="57" s="1"/>
  <c r="N523" i="57"/>
  <c r="N2139" i="57" s="1"/>
  <c r="M523" i="57"/>
  <c r="M2139" i="57" s="1"/>
  <c r="I523" i="57"/>
  <c r="S522" i="57"/>
  <c r="S2138" i="57" s="1"/>
  <c r="Q522" i="57"/>
  <c r="Q2138" i="57" s="1"/>
  <c r="O522" i="57"/>
  <c r="O2138" i="57" s="1"/>
  <c r="N522" i="57"/>
  <c r="N2138" i="57" s="1"/>
  <c r="M522" i="57"/>
  <c r="M2138" i="57" s="1"/>
  <c r="I522" i="57"/>
  <c r="S521" i="57"/>
  <c r="S2137" i="57" s="1"/>
  <c r="Q521" i="57"/>
  <c r="Q2137" i="57" s="1"/>
  <c r="O521" i="57"/>
  <c r="O2137" i="57" s="1"/>
  <c r="N521" i="57"/>
  <c r="N2137" i="57" s="1"/>
  <c r="M521" i="57"/>
  <c r="M2137" i="57" s="1"/>
  <c r="I521" i="57"/>
  <c r="S520" i="57"/>
  <c r="S2136" i="57" s="1"/>
  <c r="Q520" i="57"/>
  <c r="Q2136" i="57" s="1"/>
  <c r="O520" i="57"/>
  <c r="O2136" i="57" s="1"/>
  <c r="N520" i="57"/>
  <c r="N2136" i="57" s="1"/>
  <c r="M520" i="57"/>
  <c r="M2136" i="57" s="1"/>
  <c r="I520" i="57"/>
  <c r="S519" i="57"/>
  <c r="S2135" i="57" s="1"/>
  <c r="Q519" i="57"/>
  <c r="Q2135" i="57" s="1"/>
  <c r="O519" i="57"/>
  <c r="O2135" i="57" s="1"/>
  <c r="N519" i="57"/>
  <c r="N2135" i="57" s="1"/>
  <c r="M519" i="57"/>
  <c r="M2135" i="57" s="1"/>
  <c r="I519" i="57"/>
  <c r="S518" i="57"/>
  <c r="S2134" i="57" s="1"/>
  <c r="Q518" i="57"/>
  <c r="Q2134" i="57" s="1"/>
  <c r="O518" i="57"/>
  <c r="O2134" i="57" s="1"/>
  <c r="N518" i="57"/>
  <c r="N2134" i="57" s="1"/>
  <c r="M518" i="57"/>
  <c r="M2134" i="57" s="1"/>
  <c r="I518" i="57"/>
  <c r="S517" i="57"/>
  <c r="S2133" i="57" s="1"/>
  <c r="Q517" i="57"/>
  <c r="Q2133" i="57" s="1"/>
  <c r="O517" i="57"/>
  <c r="O2133" i="57" s="1"/>
  <c r="N517" i="57"/>
  <c r="N2133" i="57" s="1"/>
  <c r="M517" i="57"/>
  <c r="M2133" i="57" s="1"/>
  <c r="I517" i="57"/>
  <c r="S516" i="57"/>
  <c r="S2132" i="57" s="1"/>
  <c r="Q516" i="57"/>
  <c r="Q2132" i="57" s="1"/>
  <c r="O516" i="57"/>
  <c r="O2132" i="57" s="1"/>
  <c r="N516" i="57"/>
  <c r="N2132" i="57" s="1"/>
  <c r="M516" i="57"/>
  <c r="M2132" i="57" s="1"/>
  <c r="I516" i="57"/>
  <c r="S515" i="57"/>
  <c r="S2131" i="57" s="1"/>
  <c r="Q515" i="57"/>
  <c r="Q2131" i="57" s="1"/>
  <c r="O515" i="57"/>
  <c r="O2131" i="57" s="1"/>
  <c r="N515" i="57"/>
  <c r="N2131" i="57" s="1"/>
  <c r="M515" i="57"/>
  <c r="M2131" i="57" s="1"/>
  <c r="I515" i="57"/>
  <c r="S514" i="57"/>
  <c r="S2130" i="57" s="1"/>
  <c r="Q514" i="57"/>
  <c r="Q2130" i="57" s="1"/>
  <c r="O514" i="57"/>
  <c r="O2130" i="57" s="1"/>
  <c r="N514" i="57"/>
  <c r="N2130" i="57" s="1"/>
  <c r="M514" i="57"/>
  <c r="M2130" i="57" s="1"/>
  <c r="I514" i="57"/>
  <c r="S513" i="57"/>
  <c r="S2129" i="57" s="1"/>
  <c r="Q513" i="57"/>
  <c r="Q2129" i="57" s="1"/>
  <c r="O513" i="57"/>
  <c r="O2129" i="57" s="1"/>
  <c r="N513" i="57"/>
  <c r="N2129" i="57" s="1"/>
  <c r="M513" i="57"/>
  <c r="M2129" i="57" s="1"/>
  <c r="I513" i="57"/>
  <c r="S512" i="57"/>
  <c r="S2128" i="57" s="1"/>
  <c r="Q512" i="57"/>
  <c r="Q2128" i="57" s="1"/>
  <c r="O512" i="57"/>
  <c r="O2128" i="57" s="1"/>
  <c r="N512" i="57"/>
  <c r="N2128" i="57" s="1"/>
  <c r="M512" i="57"/>
  <c r="M2128" i="57" s="1"/>
  <c r="I512" i="57"/>
  <c r="S511" i="57"/>
  <c r="S2127" i="57" s="1"/>
  <c r="Q511" i="57"/>
  <c r="Q2127" i="57" s="1"/>
  <c r="O511" i="57"/>
  <c r="O2127" i="57" s="1"/>
  <c r="N511" i="57"/>
  <c r="N2127" i="57" s="1"/>
  <c r="M511" i="57"/>
  <c r="M2127" i="57" s="1"/>
  <c r="I511" i="57"/>
  <c r="S510" i="57"/>
  <c r="S2126" i="57" s="1"/>
  <c r="Q510" i="57"/>
  <c r="Q2126" i="57" s="1"/>
  <c r="O510" i="57"/>
  <c r="O2126" i="57" s="1"/>
  <c r="N510" i="57"/>
  <c r="N2126" i="57" s="1"/>
  <c r="M510" i="57"/>
  <c r="M2126" i="57" s="1"/>
  <c r="I510" i="57"/>
  <c r="S509" i="57"/>
  <c r="S2125" i="57" s="1"/>
  <c r="Q509" i="57"/>
  <c r="Q2125" i="57" s="1"/>
  <c r="O509" i="57"/>
  <c r="O2125" i="57" s="1"/>
  <c r="N509" i="57"/>
  <c r="N2125" i="57" s="1"/>
  <c r="M509" i="57"/>
  <c r="M2125" i="57" s="1"/>
  <c r="I509" i="57"/>
  <c r="S508" i="57"/>
  <c r="S2124" i="57" s="1"/>
  <c r="Q508" i="57"/>
  <c r="Q2124" i="57" s="1"/>
  <c r="O508" i="57"/>
  <c r="O2124" i="57" s="1"/>
  <c r="N508" i="57"/>
  <c r="N2124" i="57" s="1"/>
  <c r="M508" i="57"/>
  <c r="M2124" i="57" s="1"/>
  <c r="I508" i="57"/>
  <c r="S507" i="57"/>
  <c r="S2123" i="57" s="1"/>
  <c r="Q507" i="57"/>
  <c r="Q2123" i="57" s="1"/>
  <c r="O507" i="57"/>
  <c r="O2123" i="57" s="1"/>
  <c r="N507" i="57"/>
  <c r="N2123" i="57" s="1"/>
  <c r="M507" i="57"/>
  <c r="M2123" i="57" s="1"/>
  <c r="I507" i="57"/>
  <c r="S506" i="57"/>
  <c r="S2122" i="57" s="1"/>
  <c r="Q506" i="57"/>
  <c r="Q2122" i="57" s="1"/>
  <c r="O506" i="57"/>
  <c r="O2122" i="57" s="1"/>
  <c r="N506" i="57"/>
  <c r="N2122" i="57" s="1"/>
  <c r="M506" i="57"/>
  <c r="M2122" i="57" s="1"/>
  <c r="I506" i="57"/>
  <c r="S505" i="57"/>
  <c r="S2121" i="57" s="1"/>
  <c r="Q505" i="57"/>
  <c r="Q2121" i="57" s="1"/>
  <c r="O505" i="57"/>
  <c r="O2121" i="57" s="1"/>
  <c r="N505" i="57"/>
  <c r="N2121" i="57" s="1"/>
  <c r="M505" i="57"/>
  <c r="M2121" i="57" s="1"/>
  <c r="I505" i="57"/>
  <c r="S504" i="57"/>
  <c r="S2120" i="57" s="1"/>
  <c r="Q504" i="57"/>
  <c r="Q2120" i="57" s="1"/>
  <c r="O504" i="57"/>
  <c r="O2120" i="57" s="1"/>
  <c r="N504" i="57"/>
  <c r="N2120" i="57" s="1"/>
  <c r="M504" i="57"/>
  <c r="M2120" i="57" s="1"/>
  <c r="I504" i="57"/>
  <c r="S503" i="57"/>
  <c r="S2119" i="57" s="1"/>
  <c r="Q503" i="57"/>
  <c r="Q2119" i="57" s="1"/>
  <c r="O503" i="57"/>
  <c r="O2119" i="57" s="1"/>
  <c r="N503" i="57"/>
  <c r="N2119" i="57" s="1"/>
  <c r="M503" i="57"/>
  <c r="M2119" i="57" s="1"/>
  <c r="I503" i="57"/>
  <c r="S502" i="57"/>
  <c r="S2118" i="57" s="1"/>
  <c r="Q502" i="57"/>
  <c r="Q2118" i="57" s="1"/>
  <c r="O502" i="57"/>
  <c r="O2118" i="57" s="1"/>
  <c r="N502" i="57"/>
  <c r="N2118" i="57" s="1"/>
  <c r="M502" i="57"/>
  <c r="M2118" i="57" s="1"/>
  <c r="I502" i="57"/>
  <c r="S501" i="57"/>
  <c r="S2117" i="57" s="1"/>
  <c r="Q501" i="57"/>
  <c r="Q2117" i="57" s="1"/>
  <c r="O501" i="57"/>
  <c r="O2117" i="57" s="1"/>
  <c r="N501" i="57"/>
  <c r="N2117" i="57" s="1"/>
  <c r="M501" i="57"/>
  <c r="M2117" i="57" s="1"/>
  <c r="I501" i="57"/>
  <c r="S500" i="57"/>
  <c r="S2116" i="57" s="1"/>
  <c r="Q500" i="57"/>
  <c r="Q2116" i="57" s="1"/>
  <c r="O500" i="57"/>
  <c r="O2116" i="57" s="1"/>
  <c r="N500" i="57"/>
  <c r="N2116" i="57" s="1"/>
  <c r="M500" i="57"/>
  <c r="M2116" i="57" s="1"/>
  <c r="I500" i="57"/>
  <c r="S499" i="57"/>
  <c r="S2115" i="57" s="1"/>
  <c r="Q499" i="57"/>
  <c r="Q2115" i="57" s="1"/>
  <c r="O499" i="57"/>
  <c r="O2115" i="57" s="1"/>
  <c r="N499" i="57"/>
  <c r="N2115" i="57" s="1"/>
  <c r="M499" i="57"/>
  <c r="M2115" i="57" s="1"/>
  <c r="I499" i="57"/>
  <c r="S498" i="57"/>
  <c r="S2114" i="57" s="1"/>
  <c r="Q498" i="57"/>
  <c r="Q2114" i="57" s="1"/>
  <c r="O498" i="57"/>
  <c r="O2114" i="57" s="1"/>
  <c r="N498" i="57"/>
  <c r="N2114" i="57" s="1"/>
  <c r="M498" i="57"/>
  <c r="M2114" i="57" s="1"/>
  <c r="I498" i="57"/>
  <c r="S497" i="57"/>
  <c r="S2113" i="57" s="1"/>
  <c r="Q497" i="57"/>
  <c r="Q2113" i="57" s="1"/>
  <c r="O497" i="57"/>
  <c r="O2113" i="57" s="1"/>
  <c r="N497" i="57"/>
  <c r="N2113" i="57" s="1"/>
  <c r="M497" i="57"/>
  <c r="M2113" i="57" s="1"/>
  <c r="I497" i="57"/>
  <c r="S496" i="57"/>
  <c r="S2112" i="57" s="1"/>
  <c r="Q496" i="57"/>
  <c r="Q2112" i="57" s="1"/>
  <c r="O496" i="57"/>
  <c r="O2112" i="57" s="1"/>
  <c r="N496" i="57"/>
  <c r="N2112" i="57" s="1"/>
  <c r="M496" i="57"/>
  <c r="M2112" i="57" s="1"/>
  <c r="I496" i="57"/>
  <c r="S495" i="57"/>
  <c r="S2111" i="57" s="1"/>
  <c r="Q495" i="57"/>
  <c r="Q2111" i="57" s="1"/>
  <c r="O495" i="57"/>
  <c r="O2111" i="57" s="1"/>
  <c r="N495" i="57"/>
  <c r="N2111" i="57" s="1"/>
  <c r="M495" i="57"/>
  <c r="M2111" i="57" s="1"/>
  <c r="I495" i="57"/>
  <c r="S494" i="57"/>
  <c r="S2110" i="57" s="1"/>
  <c r="Q494" i="57"/>
  <c r="Q2110" i="57" s="1"/>
  <c r="O494" i="57"/>
  <c r="O2110" i="57" s="1"/>
  <c r="N494" i="57"/>
  <c r="N2110" i="57" s="1"/>
  <c r="M494" i="57"/>
  <c r="M2110" i="57" s="1"/>
  <c r="I494" i="57"/>
  <c r="S493" i="57"/>
  <c r="S2109" i="57" s="1"/>
  <c r="Q493" i="57"/>
  <c r="Q2109" i="57" s="1"/>
  <c r="O493" i="57"/>
  <c r="O2109" i="57" s="1"/>
  <c r="N493" i="57"/>
  <c r="N2109" i="57" s="1"/>
  <c r="M493" i="57"/>
  <c r="M2109" i="57" s="1"/>
  <c r="I493" i="57"/>
  <c r="S492" i="57"/>
  <c r="S2108" i="57" s="1"/>
  <c r="Q492" i="57"/>
  <c r="Q2108" i="57" s="1"/>
  <c r="O492" i="57"/>
  <c r="O2108" i="57" s="1"/>
  <c r="N492" i="57"/>
  <c r="N2108" i="57" s="1"/>
  <c r="M492" i="57"/>
  <c r="M2108" i="57" s="1"/>
  <c r="I492" i="57"/>
  <c r="S491" i="57"/>
  <c r="S2107" i="57" s="1"/>
  <c r="Q491" i="57"/>
  <c r="Q2107" i="57" s="1"/>
  <c r="O491" i="57"/>
  <c r="O2107" i="57" s="1"/>
  <c r="N491" i="57"/>
  <c r="N2107" i="57" s="1"/>
  <c r="M491" i="57"/>
  <c r="M2107" i="57" s="1"/>
  <c r="I491" i="57"/>
  <c r="S490" i="57"/>
  <c r="S2106" i="57" s="1"/>
  <c r="Q490" i="57"/>
  <c r="Q2106" i="57" s="1"/>
  <c r="O490" i="57"/>
  <c r="O2106" i="57" s="1"/>
  <c r="N490" i="57"/>
  <c r="N2106" i="57" s="1"/>
  <c r="M490" i="57"/>
  <c r="M2106" i="57" s="1"/>
  <c r="I490" i="57"/>
  <c r="S489" i="57"/>
  <c r="S2105" i="57" s="1"/>
  <c r="Q489" i="57"/>
  <c r="Q2105" i="57" s="1"/>
  <c r="O489" i="57"/>
  <c r="O2105" i="57" s="1"/>
  <c r="N489" i="57"/>
  <c r="N2105" i="57" s="1"/>
  <c r="M489" i="57"/>
  <c r="M2105" i="57" s="1"/>
  <c r="I489" i="57"/>
  <c r="S488" i="57"/>
  <c r="S2104" i="57" s="1"/>
  <c r="Q488" i="57"/>
  <c r="Q2104" i="57" s="1"/>
  <c r="O488" i="57"/>
  <c r="O2104" i="57" s="1"/>
  <c r="N488" i="57"/>
  <c r="N2104" i="57" s="1"/>
  <c r="M488" i="57"/>
  <c r="M2104" i="57" s="1"/>
  <c r="I488" i="57"/>
  <c r="S487" i="57"/>
  <c r="S2103" i="57" s="1"/>
  <c r="Q487" i="57"/>
  <c r="Q2103" i="57" s="1"/>
  <c r="O487" i="57"/>
  <c r="O2103" i="57" s="1"/>
  <c r="N487" i="57"/>
  <c r="N2103" i="57" s="1"/>
  <c r="M487" i="57"/>
  <c r="M2103" i="57" s="1"/>
  <c r="I487" i="57"/>
  <c r="S486" i="57"/>
  <c r="S2102" i="57" s="1"/>
  <c r="Q486" i="57"/>
  <c r="Q2102" i="57" s="1"/>
  <c r="O486" i="57"/>
  <c r="O2102" i="57" s="1"/>
  <c r="N486" i="57"/>
  <c r="N2102" i="57" s="1"/>
  <c r="M486" i="57"/>
  <c r="M2102" i="57" s="1"/>
  <c r="I486" i="57"/>
  <c r="S485" i="57"/>
  <c r="S2101" i="57" s="1"/>
  <c r="Q485" i="57"/>
  <c r="Q2101" i="57" s="1"/>
  <c r="O485" i="57"/>
  <c r="O2101" i="57" s="1"/>
  <c r="N485" i="57"/>
  <c r="N2101" i="57" s="1"/>
  <c r="M485" i="57"/>
  <c r="M2101" i="57" s="1"/>
  <c r="I485" i="57"/>
  <c r="S484" i="57"/>
  <c r="S2100" i="57" s="1"/>
  <c r="Q484" i="57"/>
  <c r="Q2100" i="57" s="1"/>
  <c r="O484" i="57"/>
  <c r="O2100" i="57" s="1"/>
  <c r="N484" i="57"/>
  <c r="N2100" i="57" s="1"/>
  <c r="M484" i="57"/>
  <c r="M2100" i="57" s="1"/>
  <c r="I484" i="57"/>
  <c r="S483" i="57"/>
  <c r="S2099" i="57" s="1"/>
  <c r="Q483" i="57"/>
  <c r="Q2099" i="57" s="1"/>
  <c r="O483" i="57"/>
  <c r="O2099" i="57" s="1"/>
  <c r="N483" i="57"/>
  <c r="N2099" i="57" s="1"/>
  <c r="M483" i="57"/>
  <c r="M2099" i="57" s="1"/>
  <c r="I483" i="57"/>
  <c r="S482" i="57"/>
  <c r="S2098" i="57" s="1"/>
  <c r="Q482" i="57"/>
  <c r="Q2098" i="57" s="1"/>
  <c r="O482" i="57"/>
  <c r="O2098" i="57" s="1"/>
  <c r="N482" i="57"/>
  <c r="N2098" i="57" s="1"/>
  <c r="M482" i="57"/>
  <c r="M2098" i="57" s="1"/>
  <c r="I482" i="57"/>
  <c r="S481" i="57"/>
  <c r="S2097" i="57" s="1"/>
  <c r="Q481" i="57"/>
  <c r="Q2097" i="57" s="1"/>
  <c r="O481" i="57"/>
  <c r="O2097" i="57" s="1"/>
  <c r="N481" i="57"/>
  <c r="N2097" i="57" s="1"/>
  <c r="M481" i="57"/>
  <c r="M2097" i="57" s="1"/>
  <c r="I481" i="57"/>
  <c r="S480" i="57"/>
  <c r="S2096" i="57" s="1"/>
  <c r="Q480" i="57"/>
  <c r="Q2096" i="57" s="1"/>
  <c r="O480" i="57"/>
  <c r="O2096" i="57" s="1"/>
  <c r="N480" i="57"/>
  <c r="N2096" i="57" s="1"/>
  <c r="M480" i="57"/>
  <c r="M2096" i="57" s="1"/>
  <c r="I480" i="57"/>
  <c r="S479" i="57"/>
  <c r="S2095" i="57" s="1"/>
  <c r="Q479" i="57"/>
  <c r="Q2095" i="57" s="1"/>
  <c r="O479" i="57"/>
  <c r="O2095" i="57" s="1"/>
  <c r="N479" i="57"/>
  <c r="N2095" i="57" s="1"/>
  <c r="M479" i="57"/>
  <c r="M2095" i="57" s="1"/>
  <c r="I479" i="57"/>
  <c r="S478" i="57"/>
  <c r="S2094" i="57" s="1"/>
  <c r="Q478" i="57"/>
  <c r="Q2094" i="57" s="1"/>
  <c r="O478" i="57"/>
  <c r="O2094" i="57" s="1"/>
  <c r="N478" i="57"/>
  <c r="N2094" i="57" s="1"/>
  <c r="M478" i="57"/>
  <c r="M2094" i="57" s="1"/>
  <c r="I478" i="57"/>
  <c r="S477" i="57"/>
  <c r="S2093" i="57" s="1"/>
  <c r="Q477" i="57"/>
  <c r="Q2093" i="57" s="1"/>
  <c r="O477" i="57"/>
  <c r="O2093" i="57" s="1"/>
  <c r="N477" i="57"/>
  <c r="N2093" i="57" s="1"/>
  <c r="M477" i="57"/>
  <c r="M2093" i="57" s="1"/>
  <c r="I477" i="57"/>
  <c r="S474" i="57"/>
  <c r="S2090" i="57" s="1"/>
  <c r="Q474" i="57"/>
  <c r="Q2090" i="57" s="1"/>
  <c r="O474" i="57"/>
  <c r="O2090" i="57" s="1"/>
  <c r="N474" i="57"/>
  <c r="N2090" i="57" s="1"/>
  <c r="M474" i="57"/>
  <c r="M2090" i="57" s="1"/>
  <c r="I474" i="57"/>
  <c r="S473" i="57"/>
  <c r="S2089" i="57" s="1"/>
  <c r="Q473" i="57"/>
  <c r="Q2089" i="57" s="1"/>
  <c r="O473" i="57"/>
  <c r="O2089" i="57" s="1"/>
  <c r="N473" i="57"/>
  <c r="N2089" i="57" s="1"/>
  <c r="M473" i="57"/>
  <c r="M2089" i="57" s="1"/>
  <c r="I473" i="57"/>
  <c r="S472" i="57"/>
  <c r="S2088" i="57" s="1"/>
  <c r="Q472" i="57"/>
  <c r="Q2088" i="57" s="1"/>
  <c r="O472" i="57"/>
  <c r="O2088" i="57" s="1"/>
  <c r="N472" i="57"/>
  <c r="N2088" i="57" s="1"/>
  <c r="M472" i="57"/>
  <c r="M2088" i="57" s="1"/>
  <c r="I472" i="57"/>
  <c r="S471" i="57"/>
  <c r="S2087" i="57" s="1"/>
  <c r="Q471" i="57"/>
  <c r="Q2087" i="57" s="1"/>
  <c r="O471" i="57"/>
  <c r="O2087" i="57" s="1"/>
  <c r="N471" i="57"/>
  <c r="N2087" i="57" s="1"/>
  <c r="M471" i="57"/>
  <c r="M2087" i="57" s="1"/>
  <c r="I471" i="57"/>
  <c r="S470" i="57"/>
  <c r="S2086" i="57" s="1"/>
  <c r="Q470" i="57"/>
  <c r="Q2086" i="57" s="1"/>
  <c r="O470" i="57"/>
  <c r="O2086" i="57" s="1"/>
  <c r="N470" i="57"/>
  <c r="N2086" i="57" s="1"/>
  <c r="M470" i="57"/>
  <c r="M2086" i="57" s="1"/>
  <c r="I470" i="57"/>
  <c r="S469" i="57"/>
  <c r="S2085" i="57" s="1"/>
  <c r="Q469" i="57"/>
  <c r="Q2085" i="57" s="1"/>
  <c r="O469" i="57"/>
  <c r="O2085" i="57" s="1"/>
  <c r="N469" i="57"/>
  <c r="N2085" i="57" s="1"/>
  <c r="M469" i="57"/>
  <c r="M2085" i="57" s="1"/>
  <c r="I469" i="57"/>
  <c r="S468" i="57"/>
  <c r="S2084" i="57" s="1"/>
  <c r="Q468" i="57"/>
  <c r="Q2084" i="57" s="1"/>
  <c r="O468" i="57"/>
  <c r="O2084" i="57" s="1"/>
  <c r="N468" i="57"/>
  <c r="N2084" i="57" s="1"/>
  <c r="M468" i="57"/>
  <c r="M2084" i="57" s="1"/>
  <c r="I468" i="57"/>
  <c r="S467" i="57"/>
  <c r="S2083" i="57" s="1"/>
  <c r="Q467" i="57"/>
  <c r="Q2083" i="57" s="1"/>
  <c r="O467" i="57"/>
  <c r="O2083" i="57" s="1"/>
  <c r="N467" i="57"/>
  <c r="N2083" i="57" s="1"/>
  <c r="M467" i="57"/>
  <c r="M2083" i="57" s="1"/>
  <c r="I467" i="57"/>
  <c r="S466" i="57"/>
  <c r="S2082" i="57" s="1"/>
  <c r="Q466" i="57"/>
  <c r="Q2082" i="57" s="1"/>
  <c r="O466" i="57"/>
  <c r="O2082" i="57" s="1"/>
  <c r="N466" i="57"/>
  <c r="N2082" i="57" s="1"/>
  <c r="M466" i="57"/>
  <c r="M2082" i="57" s="1"/>
  <c r="I466" i="57"/>
  <c r="S465" i="57"/>
  <c r="S2081" i="57" s="1"/>
  <c r="Q465" i="57"/>
  <c r="Q2081" i="57" s="1"/>
  <c r="O465" i="57"/>
  <c r="O2081" i="57" s="1"/>
  <c r="N465" i="57"/>
  <c r="N2081" i="57" s="1"/>
  <c r="M465" i="57"/>
  <c r="M2081" i="57" s="1"/>
  <c r="I465" i="57"/>
  <c r="S464" i="57"/>
  <c r="S2080" i="57" s="1"/>
  <c r="Q464" i="57"/>
  <c r="Q2080" i="57" s="1"/>
  <c r="O464" i="57"/>
  <c r="O2080" i="57" s="1"/>
  <c r="N464" i="57"/>
  <c r="N2080" i="57" s="1"/>
  <c r="M464" i="57"/>
  <c r="M2080" i="57" s="1"/>
  <c r="I464" i="57"/>
  <c r="S463" i="57"/>
  <c r="S2079" i="57" s="1"/>
  <c r="Q463" i="57"/>
  <c r="Q2079" i="57" s="1"/>
  <c r="O463" i="57"/>
  <c r="O2079" i="57" s="1"/>
  <c r="N463" i="57"/>
  <c r="N2079" i="57" s="1"/>
  <c r="M463" i="57"/>
  <c r="M2079" i="57" s="1"/>
  <c r="I463" i="57"/>
  <c r="S462" i="57"/>
  <c r="S2078" i="57" s="1"/>
  <c r="Q462" i="57"/>
  <c r="Q2078" i="57" s="1"/>
  <c r="O462" i="57"/>
  <c r="O2078" i="57" s="1"/>
  <c r="N462" i="57"/>
  <c r="N2078" i="57" s="1"/>
  <c r="M462" i="57"/>
  <c r="M2078" i="57" s="1"/>
  <c r="I462" i="57"/>
  <c r="S461" i="57"/>
  <c r="S2077" i="57" s="1"/>
  <c r="Q461" i="57"/>
  <c r="Q2077" i="57" s="1"/>
  <c r="O461" i="57"/>
  <c r="O2077" i="57" s="1"/>
  <c r="N461" i="57"/>
  <c r="N2077" i="57" s="1"/>
  <c r="M461" i="57"/>
  <c r="M2077" i="57" s="1"/>
  <c r="I461" i="57"/>
  <c r="S460" i="57"/>
  <c r="S2076" i="57" s="1"/>
  <c r="Q460" i="57"/>
  <c r="Q2076" i="57" s="1"/>
  <c r="O460" i="57"/>
  <c r="O2076" i="57" s="1"/>
  <c r="N460" i="57"/>
  <c r="N2076" i="57" s="1"/>
  <c r="M460" i="57"/>
  <c r="M2076" i="57" s="1"/>
  <c r="I460" i="57"/>
  <c r="S459" i="57"/>
  <c r="S2075" i="57" s="1"/>
  <c r="Q459" i="57"/>
  <c r="Q2075" i="57" s="1"/>
  <c r="O459" i="57"/>
  <c r="O2075" i="57" s="1"/>
  <c r="N459" i="57"/>
  <c r="N2075" i="57" s="1"/>
  <c r="M459" i="57"/>
  <c r="M2075" i="57" s="1"/>
  <c r="I459" i="57"/>
  <c r="S458" i="57"/>
  <c r="S2074" i="57" s="1"/>
  <c r="Q458" i="57"/>
  <c r="Q2074" i="57" s="1"/>
  <c r="O458" i="57"/>
  <c r="O2074" i="57" s="1"/>
  <c r="N458" i="57"/>
  <c r="N2074" i="57" s="1"/>
  <c r="M458" i="57"/>
  <c r="M2074" i="57" s="1"/>
  <c r="I458" i="57"/>
  <c r="S457" i="57"/>
  <c r="S2073" i="57" s="1"/>
  <c r="Q457" i="57"/>
  <c r="Q2073" i="57" s="1"/>
  <c r="O457" i="57"/>
  <c r="O2073" i="57" s="1"/>
  <c r="N457" i="57"/>
  <c r="N2073" i="57" s="1"/>
  <c r="M457" i="57"/>
  <c r="M2073" i="57" s="1"/>
  <c r="I457" i="57"/>
  <c r="S456" i="57"/>
  <c r="S2072" i="57" s="1"/>
  <c r="Q456" i="57"/>
  <c r="Q2072" i="57" s="1"/>
  <c r="O456" i="57"/>
  <c r="O2072" i="57" s="1"/>
  <c r="N456" i="57"/>
  <c r="N2072" i="57" s="1"/>
  <c r="M456" i="57"/>
  <c r="M2072" i="57" s="1"/>
  <c r="I456" i="57"/>
  <c r="S455" i="57"/>
  <c r="S2071" i="57" s="1"/>
  <c r="Q455" i="57"/>
  <c r="Q2071" i="57" s="1"/>
  <c r="O455" i="57"/>
  <c r="O2071" i="57" s="1"/>
  <c r="N455" i="57"/>
  <c r="N2071" i="57" s="1"/>
  <c r="M455" i="57"/>
  <c r="M2071" i="57" s="1"/>
  <c r="I455" i="57"/>
  <c r="S454" i="57"/>
  <c r="S2070" i="57" s="1"/>
  <c r="Q454" i="57"/>
  <c r="Q2070" i="57" s="1"/>
  <c r="O454" i="57"/>
  <c r="O2070" i="57" s="1"/>
  <c r="N454" i="57"/>
  <c r="N2070" i="57" s="1"/>
  <c r="M454" i="57"/>
  <c r="M2070" i="57" s="1"/>
  <c r="I454" i="57"/>
  <c r="S453" i="57"/>
  <c r="S2069" i="57" s="1"/>
  <c r="Q453" i="57"/>
  <c r="Q2069" i="57" s="1"/>
  <c r="O453" i="57"/>
  <c r="O2069" i="57" s="1"/>
  <c r="N453" i="57"/>
  <c r="N2069" i="57" s="1"/>
  <c r="M453" i="57"/>
  <c r="M2069" i="57" s="1"/>
  <c r="I453" i="57"/>
  <c r="S452" i="57"/>
  <c r="S2068" i="57" s="1"/>
  <c r="Q452" i="57"/>
  <c r="Q2068" i="57" s="1"/>
  <c r="O452" i="57"/>
  <c r="O2068" i="57" s="1"/>
  <c r="N452" i="57"/>
  <c r="N2068" i="57" s="1"/>
  <c r="M452" i="57"/>
  <c r="M2068" i="57" s="1"/>
  <c r="I452" i="57"/>
  <c r="S451" i="57"/>
  <c r="S2067" i="57" s="1"/>
  <c r="Q451" i="57"/>
  <c r="Q2067" i="57" s="1"/>
  <c r="O451" i="57"/>
  <c r="O2067" i="57" s="1"/>
  <c r="N451" i="57"/>
  <c r="N2067" i="57" s="1"/>
  <c r="M451" i="57"/>
  <c r="M2067" i="57" s="1"/>
  <c r="I451" i="57"/>
  <c r="S450" i="57"/>
  <c r="S2066" i="57" s="1"/>
  <c r="Q450" i="57"/>
  <c r="Q2066" i="57" s="1"/>
  <c r="O450" i="57"/>
  <c r="O2066" i="57" s="1"/>
  <c r="N450" i="57"/>
  <c r="N2066" i="57" s="1"/>
  <c r="M450" i="57"/>
  <c r="M2066" i="57" s="1"/>
  <c r="I450" i="57"/>
  <c r="S449" i="57"/>
  <c r="S2065" i="57" s="1"/>
  <c r="Q449" i="57"/>
  <c r="Q2065" i="57" s="1"/>
  <c r="O449" i="57"/>
  <c r="O2065" i="57" s="1"/>
  <c r="N449" i="57"/>
  <c r="N2065" i="57" s="1"/>
  <c r="M449" i="57"/>
  <c r="M2065" i="57" s="1"/>
  <c r="I449" i="57"/>
  <c r="S448" i="57"/>
  <c r="S2064" i="57" s="1"/>
  <c r="Q448" i="57"/>
  <c r="Q2064" i="57" s="1"/>
  <c r="O448" i="57"/>
  <c r="O2064" i="57" s="1"/>
  <c r="N448" i="57"/>
  <c r="N2064" i="57" s="1"/>
  <c r="M448" i="57"/>
  <c r="M2064" i="57" s="1"/>
  <c r="I448" i="57"/>
  <c r="S447" i="57"/>
  <c r="S2063" i="57" s="1"/>
  <c r="Q447" i="57"/>
  <c r="Q2063" i="57" s="1"/>
  <c r="O447" i="57"/>
  <c r="O2063" i="57" s="1"/>
  <c r="N447" i="57"/>
  <c r="N2063" i="57" s="1"/>
  <c r="M447" i="57"/>
  <c r="M2063" i="57" s="1"/>
  <c r="I447" i="57"/>
  <c r="S446" i="57"/>
  <c r="S2062" i="57" s="1"/>
  <c r="Q446" i="57"/>
  <c r="Q2062" i="57" s="1"/>
  <c r="O446" i="57"/>
  <c r="O2062" i="57" s="1"/>
  <c r="N446" i="57"/>
  <c r="N2062" i="57" s="1"/>
  <c r="M446" i="57"/>
  <c r="M2062" i="57" s="1"/>
  <c r="I446" i="57"/>
  <c r="S445" i="57"/>
  <c r="S2061" i="57" s="1"/>
  <c r="Q445" i="57"/>
  <c r="Q2061" i="57" s="1"/>
  <c r="O445" i="57"/>
  <c r="O2061" i="57" s="1"/>
  <c r="N445" i="57"/>
  <c r="N2061" i="57" s="1"/>
  <c r="M445" i="57"/>
  <c r="M2061" i="57" s="1"/>
  <c r="I445" i="57"/>
  <c r="S444" i="57"/>
  <c r="S2060" i="57" s="1"/>
  <c r="Q444" i="57"/>
  <c r="Q2060" i="57" s="1"/>
  <c r="O444" i="57"/>
  <c r="O2060" i="57" s="1"/>
  <c r="N444" i="57"/>
  <c r="N2060" i="57" s="1"/>
  <c r="M444" i="57"/>
  <c r="M2060" i="57" s="1"/>
  <c r="I444" i="57"/>
  <c r="S443" i="57"/>
  <c r="S2059" i="57" s="1"/>
  <c r="Q443" i="57"/>
  <c r="Q2059" i="57" s="1"/>
  <c r="O443" i="57"/>
  <c r="O2059" i="57" s="1"/>
  <c r="N443" i="57"/>
  <c r="N2059" i="57" s="1"/>
  <c r="M443" i="57"/>
  <c r="M2059" i="57" s="1"/>
  <c r="I443" i="57"/>
  <c r="S442" i="57"/>
  <c r="S2058" i="57" s="1"/>
  <c r="Q442" i="57"/>
  <c r="Q2058" i="57" s="1"/>
  <c r="O442" i="57"/>
  <c r="O2058" i="57" s="1"/>
  <c r="N442" i="57"/>
  <c r="N2058" i="57" s="1"/>
  <c r="M442" i="57"/>
  <c r="M2058" i="57" s="1"/>
  <c r="I442" i="57"/>
  <c r="S441" i="57"/>
  <c r="S2057" i="57" s="1"/>
  <c r="Q441" i="57"/>
  <c r="Q2057" i="57" s="1"/>
  <c r="O441" i="57"/>
  <c r="O2057" i="57" s="1"/>
  <c r="N441" i="57"/>
  <c r="N2057" i="57" s="1"/>
  <c r="M441" i="57"/>
  <c r="M2057" i="57" s="1"/>
  <c r="I441" i="57"/>
  <c r="S440" i="57"/>
  <c r="S2056" i="57" s="1"/>
  <c r="Q440" i="57"/>
  <c r="Q2056" i="57" s="1"/>
  <c r="O440" i="57"/>
  <c r="O2056" i="57" s="1"/>
  <c r="N440" i="57"/>
  <c r="N2056" i="57" s="1"/>
  <c r="M440" i="57"/>
  <c r="M2056" i="57" s="1"/>
  <c r="I440" i="57"/>
  <c r="S439" i="57"/>
  <c r="S2055" i="57" s="1"/>
  <c r="Q439" i="57"/>
  <c r="Q2055" i="57" s="1"/>
  <c r="O439" i="57"/>
  <c r="O2055" i="57" s="1"/>
  <c r="N439" i="57"/>
  <c r="N2055" i="57" s="1"/>
  <c r="M439" i="57"/>
  <c r="M2055" i="57" s="1"/>
  <c r="I439" i="57"/>
  <c r="S438" i="57"/>
  <c r="S2054" i="57" s="1"/>
  <c r="Q438" i="57"/>
  <c r="Q2054" i="57" s="1"/>
  <c r="O438" i="57"/>
  <c r="O2054" i="57" s="1"/>
  <c r="N438" i="57"/>
  <c r="N2054" i="57" s="1"/>
  <c r="M438" i="57"/>
  <c r="M2054" i="57" s="1"/>
  <c r="I438" i="57"/>
  <c r="S437" i="57"/>
  <c r="S2053" i="57" s="1"/>
  <c r="Q437" i="57"/>
  <c r="Q2053" i="57" s="1"/>
  <c r="O437" i="57"/>
  <c r="O2053" i="57" s="1"/>
  <c r="N437" i="57"/>
  <c r="N2053" i="57" s="1"/>
  <c r="M437" i="57"/>
  <c r="M2053" i="57" s="1"/>
  <c r="I437" i="57"/>
  <c r="S436" i="57"/>
  <c r="S2052" i="57" s="1"/>
  <c r="Q436" i="57"/>
  <c r="Q2052" i="57" s="1"/>
  <c r="O436" i="57"/>
  <c r="O2052" i="57" s="1"/>
  <c r="N436" i="57"/>
  <c r="N2052" i="57" s="1"/>
  <c r="M436" i="57"/>
  <c r="M2052" i="57" s="1"/>
  <c r="I436" i="57"/>
  <c r="S435" i="57"/>
  <c r="S2051" i="57" s="1"/>
  <c r="Q435" i="57"/>
  <c r="Q2051" i="57" s="1"/>
  <c r="O435" i="57"/>
  <c r="O2051" i="57" s="1"/>
  <c r="N435" i="57"/>
  <c r="N2051" i="57" s="1"/>
  <c r="M435" i="57"/>
  <c r="M2051" i="57" s="1"/>
  <c r="I435" i="57"/>
  <c r="S434" i="57"/>
  <c r="S2050" i="57" s="1"/>
  <c r="Q434" i="57"/>
  <c r="Q2050" i="57" s="1"/>
  <c r="O434" i="57"/>
  <c r="O2050" i="57" s="1"/>
  <c r="N434" i="57"/>
  <c r="N2050" i="57" s="1"/>
  <c r="M434" i="57"/>
  <c r="M2050" i="57" s="1"/>
  <c r="I434" i="57"/>
  <c r="S433" i="57"/>
  <c r="S2049" i="57" s="1"/>
  <c r="Q433" i="57"/>
  <c r="Q2049" i="57" s="1"/>
  <c r="O433" i="57"/>
  <c r="O2049" i="57" s="1"/>
  <c r="N433" i="57"/>
  <c r="N2049" i="57" s="1"/>
  <c r="M433" i="57"/>
  <c r="M2049" i="57" s="1"/>
  <c r="I433" i="57"/>
  <c r="S432" i="57"/>
  <c r="S2048" i="57" s="1"/>
  <c r="Q432" i="57"/>
  <c r="Q2048" i="57" s="1"/>
  <c r="O432" i="57"/>
  <c r="O2048" i="57" s="1"/>
  <c r="N432" i="57"/>
  <c r="N2048" i="57" s="1"/>
  <c r="M432" i="57"/>
  <c r="M2048" i="57" s="1"/>
  <c r="I432" i="57"/>
  <c r="S431" i="57"/>
  <c r="S2047" i="57" s="1"/>
  <c r="Q431" i="57"/>
  <c r="Q2047" i="57" s="1"/>
  <c r="O431" i="57"/>
  <c r="O2047" i="57" s="1"/>
  <c r="N431" i="57"/>
  <c r="N2047" i="57" s="1"/>
  <c r="M431" i="57"/>
  <c r="M2047" i="57" s="1"/>
  <c r="I431" i="57"/>
  <c r="S430" i="57"/>
  <c r="S2046" i="57" s="1"/>
  <c r="Q430" i="57"/>
  <c r="Q2046" i="57" s="1"/>
  <c r="O430" i="57"/>
  <c r="O2046" i="57" s="1"/>
  <c r="N430" i="57"/>
  <c r="N2046" i="57" s="1"/>
  <c r="M430" i="57"/>
  <c r="M2046" i="57" s="1"/>
  <c r="I430" i="57"/>
  <c r="S429" i="57"/>
  <c r="S2045" i="57" s="1"/>
  <c r="Q429" i="57"/>
  <c r="Q2045" i="57" s="1"/>
  <c r="O429" i="57"/>
  <c r="O2045" i="57" s="1"/>
  <c r="N429" i="57"/>
  <c r="N2045" i="57" s="1"/>
  <c r="M429" i="57"/>
  <c r="M2045" i="57" s="1"/>
  <c r="I429" i="57"/>
  <c r="S428" i="57"/>
  <c r="S2044" i="57" s="1"/>
  <c r="Q428" i="57"/>
  <c r="Q2044" i="57" s="1"/>
  <c r="O428" i="57"/>
  <c r="O2044" i="57" s="1"/>
  <c r="N428" i="57"/>
  <c r="N2044" i="57" s="1"/>
  <c r="M428" i="57"/>
  <c r="M2044" i="57" s="1"/>
  <c r="I428" i="57"/>
  <c r="S427" i="57"/>
  <c r="S2043" i="57" s="1"/>
  <c r="Q427" i="57"/>
  <c r="Q2043" i="57" s="1"/>
  <c r="O427" i="57"/>
  <c r="O2043" i="57" s="1"/>
  <c r="N427" i="57"/>
  <c r="N2043" i="57" s="1"/>
  <c r="M427" i="57"/>
  <c r="M2043" i="57" s="1"/>
  <c r="I427" i="57"/>
  <c r="S426" i="57"/>
  <c r="S2042" i="57" s="1"/>
  <c r="Q426" i="57"/>
  <c r="Q2042" i="57" s="1"/>
  <c r="O426" i="57"/>
  <c r="O2042" i="57" s="1"/>
  <c r="N426" i="57"/>
  <c r="N2042" i="57" s="1"/>
  <c r="M426" i="57"/>
  <c r="M2042" i="57" s="1"/>
  <c r="I426" i="57"/>
  <c r="S425" i="57"/>
  <c r="S2041" i="57" s="1"/>
  <c r="Q425" i="57"/>
  <c r="Q2041" i="57" s="1"/>
  <c r="O425" i="57"/>
  <c r="O2041" i="57" s="1"/>
  <c r="N425" i="57"/>
  <c r="N2041" i="57" s="1"/>
  <c r="M425" i="57"/>
  <c r="M2041" i="57" s="1"/>
  <c r="I425" i="57"/>
  <c r="S422" i="57"/>
  <c r="S2038" i="57" s="1"/>
  <c r="Q422" i="57"/>
  <c r="Q2038" i="57" s="1"/>
  <c r="O422" i="57"/>
  <c r="O2038" i="57" s="1"/>
  <c r="N422" i="57"/>
  <c r="N2038" i="57" s="1"/>
  <c r="M422" i="57"/>
  <c r="M2038" i="57" s="1"/>
  <c r="I422" i="57"/>
  <c r="D422" i="57"/>
  <c r="D474" i="57" s="1"/>
  <c r="S421" i="57"/>
  <c r="S2037" i="57" s="1"/>
  <c r="Q421" i="57"/>
  <c r="Q2037" i="57" s="1"/>
  <c r="O421" i="57"/>
  <c r="O2037" i="57" s="1"/>
  <c r="N421" i="57"/>
  <c r="N2037" i="57" s="1"/>
  <c r="M421" i="57"/>
  <c r="M2037" i="57" s="1"/>
  <c r="I421" i="57"/>
  <c r="D421" i="57"/>
  <c r="D473" i="57" s="1"/>
  <c r="S420" i="57"/>
  <c r="S2036" i="57" s="1"/>
  <c r="Q420" i="57"/>
  <c r="Q2036" i="57" s="1"/>
  <c r="O420" i="57"/>
  <c r="O2036" i="57" s="1"/>
  <c r="N420" i="57"/>
  <c r="N2036" i="57" s="1"/>
  <c r="M420" i="57"/>
  <c r="M2036" i="57" s="1"/>
  <c r="I420" i="57"/>
  <c r="D420" i="57"/>
  <c r="D472" i="57" s="1"/>
  <c r="S419" i="57"/>
  <c r="S2035" i="57" s="1"/>
  <c r="Q419" i="57"/>
  <c r="Q2035" i="57" s="1"/>
  <c r="O419" i="57"/>
  <c r="O2035" i="57" s="1"/>
  <c r="N419" i="57"/>
  <c r="N2035" i="57" s="1"/>
  <c r="M419" i="57"/>
  <c r="M2035" i="57" s="1"/>
  <c r="I419" i="57"/>
  <c r="D419" i="57"/>
  <c r="D471" i="57" s="1"/>
  <c r="S418" i="57"/>
  <c r="S2034" i="57" s="1"/>
  <c r="Q418" i="57"/>
  <c r="Q2034" i="57" s="1"/>
  <c r="O418" i="57"/>
  <c r="O2034" i="57" s="1"/>
  <c r="N418" i="57"/>
  <c r="N2034" i="57" s="1"/>
  <c r="M418" i="57"/>
  <c r="M2034" i="57" s="1"/>
  <c r="I418" i="57"/>
  <c r="D418" i="57"/>
  <c r="D470" i="57" s="1"/>
  <c r="S417" i="57"/>
  <c r="S2033" i="57" s="1"/>
  <c r="Q417" i="57"/>
  <c r="Q2033" i="57" s="1"/>
  <c r="O417" i="57"/>
  <c r="O2033" i="57" s="1"/>
  <c r="N417" i="57"/>
  <c r="N2033" i="57" s="1"/>
  <c r="M417" i="57"/>
  <c r="M2033" i="57" s="1"/>
  <c r="I417" i="57"/>
  <c r="D417" i="57"/>
  <c r="D469" i="57" s="1"/>
  <c r="S416" i="57"/>
  <c r="S2032" i="57" s="1"/>
  <c r="Q416" i="57"/>
  <c r="Q2032" i="57" s="1"/>
  <c r="O416" i="57"/>
  <c r="O2032" i="57" s="1"/>
  <c r="N416" i="57"/>
  <c r="N2032" i="57" s="1"/>
  <c r="M416" i="57"/>
  <c r="M2032" i="57" s="1"/>
  <c r="I416" i="57"/>
  <c r="D416" i="57"/>
  <c r="D468" i="57" s="1"/>
  <c r="S415" i="57"/>
  <c r="S2031" i="57" s="1"/>
  <c r="Q415" i="57"/>
  <c r="Q2031" i="57" s="1"/>
  <c r="O415" i="57"/>
  <c r="O2031" i="57" s="1"/>
  <c r="N415" i="57"/>
  <c r="N2031" i="57" s="1"/>
  <c r="M415" i="57"/>
  <c r="M2031" i="57" s="1"/>
  <c r="I415" i="57"/>
  <c r="D415" i="57"/>
  <c r="D467" i="57" s="1"/>
  <c r="S414" i="57"/>
  <c r="S2030" i="57" s="1"/>
  <c r="Q414" i="57"/>
  <c r="Q2030" i="57" s="1"/>
  <c r="O414" i="57"/>
  <c r="O2030" i="57" s="1"/>
  <c r="N414" i="57"/>
  <c r="N2030" i="57" s="1"/>
  <c r="M414" i="57"/>
  <c r="M2030" i="57" s="1"/>
  <c r="I414" i="57"/>
  <c r="D414" i="57"/>
  <c r="D466" i="57" s="1"/>
  <c r="S413" i="57"/>
  <c r="S2029" i="57" s="1"/>
  <c r="Q413" i="57"/>
  <c r="Q2029" i="57" s="1"/>
  <c r="O413" i="57"/>
  <c r="O2029" i="57" s="1"/>
  <c r="N413" i="57"/>
  <c r="N2029" i="57" s="1"/>
  <c r="M413" i="57"/>
  <c r="M2029" i="57" s="1"/>
  <c r="I413" i="57"/>
  <c r="D413" i="57"/>
  <c r="D465" i="57" s="1"/>
  <c r="S412" i="57"/>
  <c r="S2028" i="57" s="1"/>
  <c r="Q412" i="57"/>
  <c r="Q2028" i="57" s="1"/>
  <c r="O412" i="57"/>
  <c r="O2028" i="57" s="1"/>
  <c r="N412" i="57"/>
  <c r="N2028" i="57" s="1"/>
  <c r="M412" i="57"/>
  <c r="M2028" i="57" s="1"/>
  <c r="I412" i="57"/>
  <c r="D412" i="57"/>
  <c r="D464" i="57" s="1"/>
  <c r="S411" i="57"/>
  <c r="S2027" i="57" s="1"/>
  <c r="Q411" i="57"/>
  <c r="Q2027" i="57" s="1"/>
  <c r="O411" i="57"/>
  <c r="O2027" i="57" s="1"/>
  <c r="N411" i="57"/>
  <c r="N2027" i="57" s="1"/>
  <c r="M411" i="57"/>
  <c r="M2027" i="57" s="1"/>
  <c r="I411" i="57"/>
  <c r="D411" i="57"/>
  <c r="D463" i="57" s="1"/>
  <c r="S410" i="57"/>
  <c r="S2026" i="57" s="1"/>
  <c r="Q410" i="57"/>
  <c r="Q2026" i="57" s="1"/>
  <c r="O410" i="57"/>
  <c r="O2026" i="57" s="1"/>
  <c r="N410" i="57"/>
  <c r="N2026" i="57" s="1"/>
  <c r="M410" i="57"/>
  <c r="M2026" i="57" s="1"/>
  <c r="I410" i="57"/>
  <c r="D410" i="57"/>
  <c r="D462" i="57" s="1"/>
  <c r="S409" i="57"/>
  <c r="S2025" i="57" s="1"/>
  <c r="Q409" i="57"/>
  <c r="Q2025" i="57" s="1"/>
  <c r="O409" i="57"/>
  <c r="O2025" i="57" s="1"/>
  <c r="N409" i="57"/>
  <c r="N2025" i="57" s="1"/>
  <c r="M409" i="57"/>
  <c r="M2025" i="57" s="1"/>
  <c r="I409" i="57"/>
  <c r="D409" i="57"/>
  <c r="D461" i="57" s="1"/>
  <c r="S408" i="57"/>
  <c r="S2024" i="57" s="1"/>
  <c r="Q408" i="57"/>
  <c r="Q2024" i="57" s="1"/>
  <c r="O408" i="57"/>
  <c r="O2024" i="57" s="1"/>
  <c r="N408" i="57"/>
  <c r="N2024" i="57" s="1"/>
  <c r="M408" i="57"/>
  <c r="M2024" i="57" s="1"/>
  <c r="I408" i="57"/>
  <c r="D408" i="57"/>
  <c r="D460" i="57" s="1"/>
  <c r="S407" i="57"/>
  <c r="S2023" i="57" s="1"/>
  <c r="Q407" i="57"/>
  <c r="Q2023" i="57" s="1"/>
  <c r="O407" i="57"/>
  <c r="O2023" i="57" s="1"/>
  <c r="N407" i="57"/>
  <c r="N2023" i="57" s="1"/>
  <c r="M407" i="57"/>
  <c r="M2023" i="57" s="1"/>
  <c r="I407" i="57"/>
  <c r="D407" i="57"/>
  <c r="D459" i="57" s="1"/>
  <c r="S406" i="57"/>
  <c r="S2022" i="57" s="1"/>
  <c r="Q406" i="57"/>
  <c r="Q2022" i="57" s="1"/>
  <c r="O406" i="57"/>
  <c r="O2022" i="57" s="1"/>
  <c r="N406" i="57"/>
  <c r="N2022" i="57" s="1"/>
  <c r="M406" i="57"/>
  <c r="M2022" i="57" s="1"/>
  <c r="I406" i="57"/>
  <c r="D406" i="57"/>
  <c r="D458" i="57" s="1"/>
  <c r="S405" i="57"/>
  <c r="S2021" i="57" s="1"/>
  <c r="Q405" i="57"/>
  <c r="Q2021" i="57" s="1"/>
  <c r="O405" i="57"/>
  <c r="O2021" i="57" s="1"/>
  <c r="N405" i="57"/>
  <c r="N2021" i="57" s="1"/>
  <c r="M405" i="57"/>
  <c r="M2021" i="57" s="1"/>
  <c r="I405" i="57"/>
  <c r="D405" i="57"/>
  <c r="D457" i="57" s="1"/>
  <c r="S404" i="57"/>
  <c r="S2020" i="57" s="1"/>
  <c r="Q404" i="57"/>
  <c r="Q2020" i="57" s="1"/>
  <c r="O404" i="57"/>
  <c r="O2020" i="57" s="1"/>
  <c r="N404" i="57"/>
  <c r="N2020" i="57" s="1"/>
  <c r="M404" i="57"/>
  <c r="M2020" i="57" s="1"/>
  <c r="I404" i="57"/>
  <c r="D404" i="57"/>
  <c r="D456" i="57" s="1"/>
  <c r="S403" i="57"/>
  <c r="S2019" i="57" s="1"/>
  <c r="Q403" i="57"/>
  <c r="Q2019" i="57" s="1"/>
  <c r="O403" i="57"/>
  <c r="O2019" i="57" s="1"/>
  <c r="N403" i="57"/>
  <c r="N2019" i="57" s="1"/>
  <c r="M403" i="57"/>
  <c r="M2019" i="57" s="1"/>
  <c r="I403" i="57"/>
  <c r="D403" i="57"/>
  <c r="D455" i="57" s="1"/>
  <c r="S402" i="57"/>
  <c r="S2018" i="57" s="1"/>
  <c r="Q402" i="57"/>
  <c r="Q2018" i="57" s="1"/>
  <c r="O402" i="57"/>
  <c r="O2018" i="57" s="1"/>
  <c r="N402" i="57"/>
  <c r="N2018" i="57" s="1"/>
  <c r="M402" i="57"/>
  <c r="M2018" i="57" s="1"/>
  <c r="I402" i="57"/>
  <c r="D402" i="57"/>
  <c r="D454" i="57" s="1"/>
  <c r="S401" i="57"/>
  <c r="S2017" i="57" s="1"/>
  <c r="Q401" i="57"/>
  <c r="Q2017" i="57" s="1"/>
  <c r="O401" i="57"/>
  <c r="O2017" i="57" s="1"/>
  <c r="N401" i="57"/>
  <c r="N2017" i="57" s="1"/>
  <c r="M401" i="57"/>
  <c r="M2017" i="57" s="1"/>
  <c r="I401" i="57"/>
  <c r="D401" i="57"/>
  <c r="D453" i="57" s="1"/>
  <c r="S400" i="57"/>
  <c r="S2016" i="57" s="1"/>
  <c r="Q400" i="57"/>
  <c r="Q2016" i="57" s="1"/>
  <c r="O400" i="57"/>
  <c r="O2016" i="57" s="1"/>
  <c r="N400" i="57"/>
  <c r="N2016" i="57" s="1"/>
  <c r="M400" i="57"/>
  <c r="M2016" i="57" s="1"/>
  <c r="I400" i="57"/>
  <c r="D400" i="57"/>
  <c r="D452" i="57" s="1"/>
  <c r="S399" i="57"/>
  <c r="S2015" i="57" s="1"/>
  <c r="Q399" i="57"/>
  <c r="Q2015" i="57" s="1"/>
  <c r="O399" i="57"/>
  <c r="O2015" i="57" s="1"/>
  <c r="N399" i="57"/>
  <c r="N2015" i="57" s="1"/>
  <c r="M399" i="57"/>
  <c r="M2015" i="57" s="1"/>
  <c r="I399" i="57"/>
  <c r="D399" i="57"/>
  <c r="D451" i="57" s="1"/>
  <c r="S398" i="57"/>
  <c r="S2014" i="57" s="1"/>
  <c r="Q398" i="57"/>
  <c r="Q2014" i="57" s="1"/>
  <c r="O398" i="57"/>
  <c r="O2014" i="57" s="1"/>
  <c r="N398" i="57"/>
  <c r="N2014" i="57" s="1"/>
  <c r="M398" i="57"/>
  <c r="M2014" i="57" s="1"/>
  <c r="I398" i="57"/>
  <c r="D398" i="57"/>
  <c r="D450" i="57" s="1"/>
  <c r="S397" i="57"/>
  <c r="S2013" i="57" s="1"/>
  <c r="Q397" i="57"/>
  <c r="Q2013" i="57" s="1"/>
  <c r="O397" i="57"/>
  <c r="O2013" i="57" s="1"/>
  <c r="N397" i="57"/>
  <c r="N2013" i="57" s="1"/>
  <c r="M397" i="57"/>
  <c r="M2013" i="57" s="1"/>
  <c r="I397" i="57"/>
  <c r="D397" i="57"/>
  <c r="D449" i="57" s="1"/>
  <c r="S396" i="57"/>
  <c r="S2012" i="57" s="1"/>
  <c r="Q396" i="57"/>
  <c r="Q2012" i="57" s="1"/>
  <c r="O396" i="57"/>
  <c r="O2012" i="57" s="1"/>
  <c r="N396" i="57"/>
  <c r="N2012" i="57" s="1"/>
  <c r="M396" i="57"/>
  <c r="M2012" i="57" s="1"/>
  <c r="I396" i="57"/>
  <c r="D396" i="57"/>
  <c r="D448" i="57" s="1"/>
  <c r="S395" i="57"/>
  <c r="S2011" i="57" s="1"/>
  <c r="Q395" i="57"/>
  <c r="Q2011" i="57" s="1"/>
  <c r="O395" i="57"/>
  <c r="O2011" i="57" s="1"/>
  <c r="N395" i="57"/>
  <c r="N2011" i="57" s="1"/>
  <c r="M395" i="57"/>
  <c r="M2011" i="57" s="1"/>
  <c r="I395" i="57"/>
  <c r="D395" i="57"/>
  <c r="D447" i="57" s="1"/>
  <c r="S394" i="57"/>
  <c r="S2010" i="57" s="1"/>
  <c r="Q394" i="57"/>
  <c r="Q2010" i="57" s="1"/>
  <c r="O394" i="57"/>
  <c r="O2010" i="57" s="1"/>
  <c r="N394" i="57"/>
  <c r="N2010" i="57" s="1"/>
  <c r="M394" i="57"/>
  <c r="M2010" i="57" s="1"/>
  <c r="I394" i="57"/>
  <c r="D394" i="57"/>
  <c r="D446" i="57" s="1"/>
  <c r="S393" i="57"/>
  <c r="S2009" i="57" s="1"/>
  <c r="Q393" i="57"/>
  <c r="Q2009" i="57" s="1"/>
  <c r="O393" i="57"/>
  <c r="O2009" i="57" s="1"/>
  <c r="N393" i="57"/>
  <c r="N2009" i="57" s="1"/>
  <c r="M393" i="57"/>
  <c r="M2009" i="57" s="1"/>
  <c r="I393" i="57"/>
  <c r="D393" i="57"/>
  <c r="D445" i="57" s="1"/>
  <c r="S392" i="57"/>
  <c r="S2008" i="57" s="1"/>
  <c r="Q392" i="57"/>
  <c r="Q2008" i="57" s="1"/>
  <c r="O392" i="57"/>
  <c r="O2008" i="57" s="1"/>
  <c r="N392" i="57"/>
  <c r="N2008" i="57" s="1"/>
  <c r="M392" i="57"/>
  <c r="M2008" i="57" s="1"/>
  <c r="I392" i="57"/>
  <c r="D392" i="57"/>
  <c r="D444" i="57" s="1"/>
  <c r="S391" i="57"/>
  <c r="S2007" i="57" s="1"/>
  <c r="Q391" i="57"/>
  <c r="Q2007" i="57" s="1"/>
  <c r="O391" i="57"/>
  <c r="O2007" i="57" s="1"/>
  <c r="N391" i="57"/>
  <c r="N2007" i="57" s="1"/>
  <c r="M391" i="57"/>
  <c r="M2007" i="57" s="1"/>
  <c r="I391" i="57"/>
  <c r="D391" i="57"/>
  <c r="D443" i="57" s="1"/>
  <c r="S390" i="57"/>
  <c r="S2006" i="57" s="1"/>
  <c r="Q390" i="57"/>
  <c r="Q2006" i="57" s="1"/>
  <c r="O390" i="57"/>
  <c r="O2006" i="57" s="1"/>
  <c r="N390" i="57"/>
  <c r="N2006" i="57" s="1"/>
  <c r="M390" i="57"/>
  <c r="M2006" i="57" s="1"/>
  <c r="I390" i="57"/>
  <c r="D390" i="57"/>
  <c r="D442" i="57" s="1"/>
  <c r="S389" i="57"/>
  <c r="S2005" i="57" s="1"/>
  <c r="Q389" i="57"/>
  <c r="Q2005" i="57" s="1"/>
  <c r="O389" i="57"/>
  <c r="O2005" i="57" s="1"/>
  <c r="N389" i="57"/>
  <c r="N2005" i="57" s="1"/>
  <c r="M389" i="57"/>
  <c r="M2005" i="57" s="1"/>
  <c r="I389" i="57"/>
  <c r="D389" i="57"/>
  <c r="D441" i="57" s="1"/>
  <c r="S388" i="57"/>
  <c r="S2004" i="57" s="1"/>
  <c r="Q388" i="57"/>
  <c r="Q2004" i="57" s="1"/>
  <c r="O388" i="57"/>
  <c r="O2004" i="57" s="1"/>
  <c r="N388" i="57"/>
  <c r="N2004" i="57" s="1"/>
  <c r="M388" i="57"/>
  <c r="M2004" i="57" s="1"/>
  <c r="I388" i="57"/>
  <c r="D388" i="57"/>
  <c r="D440" i="57" s="1"/>
  <c r="S387" i="57"/>
  <c r="S2003" i="57" s="1"/>
  <c r="Q387" i="57"/>
  <c r="Q2003" i="57" s="1"/>
  <c r="O387" i="57"/>
  <c r="O2003" i="57" s="1"/>
  <c r="N387" i="57"/>
  <c r="N2003" i="57" s="1"/>
  <c r="M387" i="57"/>
  <c r="M2003" i="57" s="1"/>
  <c r="I387" i="57"/>
  <c r="D387" i="57"/>
  <c r="D439" i="57" s="1"/>
  <c r="S386" i="57"/>
  <c r="S2002" i="57" s="1"/>
  <c r="Q386" i="57"/>
  <c r="Q2002" i="57" s="1"/>
  <c r="O386" i="57"/>
  <c r="O2002" i="57" s="1"/>
  <c r="N386" i="57"/>
  <c r="N2002" i="57" s="1"/>
  <c r="M386" i="57"/>
  <c r="M2002" i="57" s="1"/>
  <c r="I386" i="57"/>
  <c r="D386" i="57"/>
  <c r="D438" i="57" s="1"/>
  <c r="S385" i="57"/>
  <c r="S2001" i="57" s="1"/>
  <c r="Q385" i="57"/>
  <c r="Q2001" i="57" s="1"/>
  <c r="O385" i="57"/>
  <c r="O2001" i="57" s="1"/>
  <c r="N385" i="57"/>
  <c r="N2001" i="57" s="1"/>
  <c r="M385" i="57"/>
  <c r="M2001" i="57" s="1"/>
  <c r="I385" i="57"/>
  <c r="D385" i="57"/>
  <c r="D437" i="57" s="1"/>
  <c r="S384" i="57"/>
  <c r="S2000" i="57" s="1"/>
  <c r="Q384" i="57"/>
  <c r="Q2000" i="57" s="1"/>
  <c r="O384" i="57"/>
  <c r="O2000" i="57" s="1"/>
  <c r="N384" i="57"/>
  <c r="N2000" i="57" s="1"/>
  <c r="M384" i="57"/>
  <c r="M2000" i="57" s="1"/>
  <c r="I384" i="57"/>
  <c r="D384" i="57"/>
  <c r="D436" i="57" s="1"/>
  <c r="S383" i="57"/>
  <c r="S1999" i="57" s="1"/>
  <c r="Q383" i="57"/>
  <c r="Q1999" i="57" s="1"/>
  <c r="O383" i="57"/>
  <c r="O1999" i="57" s="1"/>
  <c r="N383" i="57"/>
  <c r="N1999" i="57" s="1"/>
  <c r="M383" i="57"/>
  <c r="M1999" i="57" s="1"/>
  <c r="I383" i="57"/>
  <c r="D383" i="57"/>
  <c r="D435" i="57" s="1"/>
  <c r="S382" i="57"/>
  <c r="S1998" i="57" s="1"/>
  <c r="Q382" i="57"/>
  <c r="Q1998" i="57" s="1"/>
  <c r="O382" i="57"/>
  <c r="O1998" i="57" s="1"/>
  <c r="N382" i="57"/>
  <c r="N1998" i="57" s="1"/>
  <c r="M382" i="57"/>
  <c r="M1998" i="57" s="1"/>
  <c r="I382" i="57"/>
  <c r="D382" i="57"/>
  <c r="D434" i="57" s="1"/>
  <c r="S381" i="57"/>
  <c r="S1997" i="57" s="1"/>
  <c r="Q381" i="57"/>
  <c r="Q1997" i="57" s="1"/>
  <c r="O381" i="57"/>
  <c r="O1997" i="57" s="1"/>
  <c r="N381" i="57"/>
  <c r="N1997" i="57" s="1"/>
  <c r="M381" i="57"/>
  <c r="M1997" i="57" s="1"/>
  <c r="I381" i="57"/>
  <c r="D381" i="57"/>
  <c r="D433" i="57" s="1"/>
  <c r="S380" i="57"/>
  <c r="S1996" i="57" s="1"/>
  <c r="Q380" i="57"/>
  <c r="Q1996" i="57" s="1"/>
  <c r="O380" i="57"/>
  <c r="O1996" i="57" s="1"/>
  <c r="N380" i="57"/>
  <c r="N1996" i="57" s="1"/>
  <c r="M380" i="57"/>
  <c r="M1996" i="57" s="1"/>
  <c r="I380" i="57"/>
  <c r="D380" i="57"/>
  <c r="D432" i="57" s="1"/>
  <c r="S379" i="57"/>
  <c r="S1995" i="57" s="1"/>
  <c r="Q379" i="57"/>
  <c r="Q1995" i="57" s="1"/>
  <c r="O379" i="57"/>
  <c r="O1995" i="57" s="1"/>
  <c r="N379" i="57"/>
  <c r="N1995" i="57" s="1"/>
  <c r="M379" i="57"/>
  <c r="M1995" i="57" s="1"/>
  <c r="I379" i="57"/>
  <c r="D379" i="57"/>
  <c r="D431" i="57" s="1"/>
  <c r="S378" i="57"/>
  <c r="S1994" i="57" s="1"/>
  <c r="Q378" i="57"/>
  <c r="Q1994" i="57" s="1"/>
  <c r="O378" i="57"/>
  <c r="O1994" i="57" s="1"/>
  <c r="N378" i="57"/>
  <c r="N1994" i="57" s="1"/>
  <c r="M378" i="57"/>
  <c r="M1994" i="57" s="1"/>
  <c r="I378" i="57"/>
  <c r="D378" i="57"/>
  <c r="D430" i="57" s="1"/>
  <c r="S377" i="57"/>
  <c r="S1993" i="57" s="1"/>
  <c r="Q377" i="57"/>
  <c r="Q1993" i="57" s="1"/>
  <c r="O377" i="57"/>
  <c r="O1993" i="57" s="1"/>
  <c r="N377" i="57"/>
  <c r="N1993" i="57" s="1"/>
  <c r="M377" i="57"/>
  <c r="M1993" i="57" s="1"/>
  <c r="I377" i="57"/>
  <c r="D377" i="57"/>
  <c r="D429" i="57" s="1"/>
  <c r="S376" i="57"/>
  <c r="S1992" i="57" s="1"/>
  <c r="Q376" i="57"/>
  <c r="Q1992" i="57" s="1"/>
  <c r="O376" i="57"/>
  <c r="O1992" i="57" s="1"/>
  <c r="N376" i="57"/>
  <c r="N1992" i="57" s="1"/>
  <c r="M376" i="57"/>
  <c r="M1992" i="57" s="1"/>
  <c r="I376" i="57"/>
  <c r="D376" i="57"/>
  <c r="D428" i="57" s="1"/>
  <c r="S375" i="57"/>
  <c r="S1991" i="57" s="1"/>
  <c r="Q375" i="57"/>
  <c r="Q1991" i="57" s="1"/>
  <c r="O375" i="57"/>
  <c r="O1991" i="57" s="1"/>
  <c r="N375" i="57"/>
  <c r="N1991" i="57" s="1"/>
  <c r="M375" i="57"/>
  <c r="M1991" i="57" s="1"/>
  <c r="I375" i="57"/>
  <c r="D375" i="57"/>
  <c r="D427" i="57" s="1"/>
  <c r="S374" i="57"/>
  <c r="S1990" i="57" s="1"/>
  <c r="Q374" i="57"/>
  <c r="Q1990" i="57" s="1"/>
  <c r="O374" i="57"/>
  <c r="O1990" i="57" s="1"/>
  <c r="N374" i="57"/>
  <c r="N1990" i="57" s="1"/>
  <c r="M374" i="57"/>
  <c r="M1990" i="57" s="1"/>
  <c r="I374" i="57"/>
  <c r="D374" i="57"/>
  <c r="D426" i="57" s="1"/>
  <c r="S373" i="57"/>
  <c r="S1989" i="57" s="1"/>
  <c r="Q373" i="57"/>
  <c r="Q1989" i="57" s="1"/>
  <c r="O373" i="57"/>
  <c r="O1989" i="57" s="1"/>
  <c r="N373" i="57"/>
  <c r="N1989" i="57" s="1"/>
  <c r="M373" i="57"/>
  <c r="M1989" i="57" s="1"/>
  <c r="I373" i="57"/>
  <c r="D373" i="57"/>
  <c r="D425" i="57" s="1"/>
  <c r="D372" i="57"/>
  <c r="D424" i="57" s="1"/>
  <c r="S370" i="57"/>
  <c r="S1986" i="57" s="1"/>
  <c r="Q370" i="57"/>
  <c r="Q1986" i="57" s="1"/>
  <c r="O370" i="57"/>
  <c r="O1986" i="57" s="1"/>
  <c r="N370" i="57"/>
  <c r="N1986" i="57" s="1"/>
  <c r="M370" i="57"/>
  <c r="M1986" i="57" s="1"/>
  <c r="I370" i="57"/>
  <c r="S369" i="57"/>
  <c r="S1985" i="57" s="1"/>
  <c r="Q369" i="57"/>
  <c r="Q1985" i="57" s="1"/>
  <c r="O369" i="57"/>
  <c r="O1985" i="57" s="1"/>
  <c r="N369" i="57"/>
  <c r="N1985" i="57" s="1"/>
  <c r="M369" i="57"/>
  <c r="M1985" i="57" s="1"/>
  <c r="I369" i="57"/>
  <c r="S368" i="57"/>
  <c r="S1984" i="57" s="1"/>
  <c r="Q368" i="57"/>
  <c r="Q1984" i="57" s="1"/>
  <c r="O368" i="57"/>
  <c r="O1984" i="57" s="1"/>
  <c r="N368" i="57"/>
  <c r="N1984" i="57" s="1"/>
  <c r="M368" i="57"/>
  <c r="M1984" i="57" s="1"/>
  <c r="I368" i="57"/>
  <c r="S367" i="57"/>
  <c r="S1983" i="57" s="1"/>
  <c r="Q367" i="57"/>
  <c r="Q1983" i="57" s="1"/>
  <c r="O367" i="57"/>
  <c r="O1983" i="57" s="1"/>
  <c r="N367" i="57"/>
  <c r="N1983" i="57" s="1"/>
  <c r="M367" i="57"/>
  <c r="M1983" i="57" s="1"/>
  <c r="I367" i="57"/>
  <c r="S366" i="57"/>
  <c r="S1982" i="57" s="1"/>
  <c r="Q366" i="57"/>
  <c r="Q1982" i="57" s="1"/>
  <c r="O366" i="57"/>
  <c r="O1982" i="57" s="1"/>
  <c r="N366" i="57"/>
  <c r="N1982" i="57" s="1"/>
  <c r="M366" i="57"/>
  <c r="M1982" i="57" s="1"/>
  <c r="I366" i="57"/>
  <c r="S365" i="57"/>
  <c r="S1981" i="57" s="1"/>
  <c r="Q365" i="57"/>
  <c r="Q1981" i="57" s="1"/>
  <c r="O365" i="57"/>
  <c r="O1981" i="57" s="1"/>
  <c r="N365" i="57"/>
  <c r="N1981" i="57" s="1"/>
  <c r="M365" i="57"/>
  <c r="M1981" i="57" s="1"/>
  <c r="I365" i="57"/>
  <c r="S364" i="57"/>
  <c r="S1980" i="57" s="1"/>
  <c r="Q364" i="57"/>
  <c r="Q1980" i="57" s="1"/>
  <c r="O364" i="57"/>
  <c r="O1980" i="57" s="1"/>
  <c r="N364" i="57"/>
  <c r="N1980" i="57" s="1"/>
  <c r="M364" i="57"/>
  <c r="M1980" i="57" s="1"/>
  <c r="I364" i="57"/>
  <c r="S363" i="57"/>
  <c r="S1979" i="57" s="1"/>
  <c r="Q363" i="57"/>
  <c r="Q1979" i="57" s="1"/>
  <c r="O363" i="57"/>
  <c r="O1979" i="57" s="1"/>
  <c r="N363" i="57"/>
  <c r="N1979" i="57" s="1"/>
  <c r="M363" i="57"/>
  <c r="M1979" i="57" s="1"/>
  <c r="I363" i="57"/>
  <c r="S362" i="57"/>
  <c r="S1978" i="57" s="1"/>
  <c r="Q362" i="57"/>
  <c r="Q1978" i="57" s="1"/>
  <c r="O362" i="57"/>
  <c r="O1978" i="57" s="1"/>
  <c r="N362" i="57"/>
  <c r="N1978" i="57" s="1"/>
  <c r="M362" i="57"/>
  <c r="M1978" i="57" s="1"/>
  <c r="I362" i="57"/>
  <c r="S361" i="57"/>
  <c r="S1977" i="57" s="1"/>
  <c r="Q361" i="57"/>
  <c r="Q1977" i="57" s="1"/>
  <c r="O361" i="57"/>
  <c r="O1977" i="57" s="1"/>
  <c r="N361" i="57"/>
  <c r="N1977" i="57" s="1"/>
  <c r="M361" i="57"/>
  <c r="M1977" i="57" s="1"/>
  <c r="I361" i="57"/>
  <c r="S360" i="57"/>
  <c r="S1976" i="57" s="1"/>
  <c r="Q360" i="57"/>
  <c r="Q1976" i="57" s="1"/>
  <c r="O360" i="57"/>
  <c r="O1976" i="57" s="1"/>
  <c r="N360" i="57"/>
  <c r="N1976" i="57" s="1"/>
  <c r="M360" i="57"/>
  <c r="M1976" i="57" s="1"/>
  <c r="I360" i="57"/>
  <c r="S359" i="57"/>
  <c r="S1975" i="57" s="1"/>
  <c r="Q359" i="57"/>
  <c r="Q1975" i="57" s="1"/>
  <c r="O359" i="57"/>
  <c r="O1975" i="57" s="1"/>
  <c r="N359" i="57"/>
  <c r="N1975" i="57" s="1"/>
  <c r="M359" i="57"/>
  <c r="M1975" i="57" s="1"/>
  <c r="I359" i="57"/>
  <c r="S358" i="57"/>
  <c r="S1974" i="57" s="1"/>
  <c r="Q358" i="57"/>
  <c r="Q1974" i="57" s="1"/>
  <c r="O358" i="57"/>
  <c r="O1974" i="57" s="1"/>
  <c r="N358" i="57"/>
  <c r="N1974" i="57" s="1"/>
  <c r="M358" i="57"/>
  <c r="M1974" i="57" s="1"/>
  <c r="I358" i="57"/>
  <c r="S357" i="57"/>
  <c r="S1973" i="57" s="1"/>
  <c r="Q357" i="57"/>
  <c r="Q1973" i="57" s="1"/>
  <c r="O357" i="57"/>
  <c r="O1973" i="57" s="1"/>
  <c r="N357" i="57"/>
  <c r="N1973" i="57" s="1"/>
  <c r="M357" i="57"/>
  <c r="M1973" i="57" s="1"/>
  <c r="I357" i="57"/>
  <c r="S356" i="57"/>
  <c r="S1972" i="57" s="1"/>
  <c r="Q356" i="57"/>
  <c r="Q1972" i="57" s="1"/>
  <c r="O356" i="57"/>
  <c r="O1972" i="57" s="1"/>
  <c r="N356" i="57"/>
  <c r="N1972" i="57" s="1"/>
  <c r="M356" i="57"/>
  <c r="M1972" i="57" s="1"/>
  <c r="I356" i="57"/>
  <c r="S355" i="57"/>
  <c r="S1971" i="57" s="1"/>
  <c r="Q355" i="57"/>
  <c r="Q1971" i="57" s="1"/>
  <c r="O355" i="57"/>
  <c r="O1971" i="57" s="1"/>
  <c r="N355" i="57"/>
  <c r="N1971" i="57" s="1"/>
  <c r="M355" i="57"/>
  <c r="M1971" i="57" s="1"/>
  <c r="I355" i="57"/>
  <c r="S354" i="57"/>
  <c r="S1970" i="57" s="1"/>
  <c r="Q354" i="57"/>
  <c r="Q1970" i="57" s="1"/>
  <c r="O354" i="57"/>
  <c r="O1970" i="57" s="1"/>
  <c r="N354" i="57"/>
  <c r="N1970" i="57" s="1"/>
  <c r="M354" i="57"/>
  <c r="M1970" i="57" s="1"/>
  <c r="I354" i="57"/>
  <c r="S353" i="57"/>
  <c r="S1969" i="57" s="1"/>
  <c r="Q353" i="57"/>
  <c r="Q1969" i="57" s="1"/>
  <c r="O353" i="57"/>
  <c r="O1969" i="57" s="1"/>
  <c r="N353" i="57"/>
  <c r="N1969" i="57" s="1"/>
  <c r="M353" i="57"/>
  <c r="M1969" i="57" s="1"/>
  <c r="I353" i="57"/>
  <c r="S352" i="57"/>
  <c r="S1968" i="57" s="1"/>
  <c r="Q352" i="57"/>
  <c r="Q1968" i="57" s="1"/>
  <c r="O352" i="57"/>
  <c r="O1968" i="57" s="1"/>
  <c r="N352" i="57"/>
  <c r="N1968" i="57" s="1"/>
  <c r="M352" i="57"/>
  <c r="M1968" i="57" s="1"/>
  <c r="I352" i="57"/>
  <c r="S351" i="57"/>
  <c r="S1967" i="57" s="1"/>
  <c r="Q351" i="57"/>
  <c r="Q1967" i="57" s="1"/>
  <c r="O351" i="57"/>
  <c r="O1967" i="57" s="1"/>
  <c r="N351" i="57"/>
  <c r="N1967" i="57" s="1"/>
  <c r="M351" i="57"/>
  <c r="M1967" i="57" s="1"/>
  <c r="I351" i="57"/>
  <c r="S350" i="57"/>
  <c r="S1966" i="57" s="1"/>
  <c r="Q350" i="57"/>
  <c r="Q1966" i="57" s="1"/>
  <c r="O350" i="57"/>
  <c r="O1966" i="57" s="1"/>
  <c r="N350" i="57"/>
  <c r="N1966" i="57" s="1"/>
  <c r="M350" i="57"/>
  <c r="M1966" i="57" s="1"/>
  <c r="I350" i="57"/>
  <c r="S349" i="57"/>
  <c r="S1965" i="57" s="1"/>
  <c r="Q349" i="57"/>
  <c r="Q1965" i="57" s="1"/>
  <c r="O349" i="57"/>
  <c r="O1965" i="57" s="1"/>
  <c r="N349" i="57"/>
  <c r="N1965" i="57" s="1"/>
  <c r="M349" i="57"/>
  <c r="M1965" i="57" s="1"/>
  <c r="I349" i="57"/>
  <c r="S348" i="57"/>
  <c r="S1964" i="57" s="1"/>
  <c r="Q348" i="57"/>
  <c r="Q1964" i="57" s="1"/>
  <c r="O348" i="57"/>
  <c r="O1964" i="57" s="1"/>
  <c r="N348" i="57"/>
  <c r="N1964" i="57" s="1"/>
  <c r="M348" i="57"/>
  <c r="M1964" i="57" s="1"/>
  <c r="I348" i="57"/>
  <c r="S347" i="57"/>
  <c r="S1963" i="57" s="1"/>
  <c r="Q347" i="57"/>
  <c r="Q1963" i="57" s="1"/>
  <c r="O347" i="57"/>
  <c r="O1963" i="57" s="1"/>
  <c r="N347" i="57"/>
  <c r="N1963" i="57" s="1"/>
  <c r="M347" i="57"/>
  <c r="M1963" i="57" s="1"/>
  <c r="I347" i="57"/>
  <c r="S346" i="57"/>
  <c r="S1962" i="57" s="1"/>
  <c r="Q346" i="57"/>
  <c r="Q1962" i="57" s="1"/>
  <c r="O346" i="57"/>
  <c r="O1962" i="57" s="1"/>
  <c r="N346" i="57"/>
  <c r="N1962" i="57" s="1"/>
  <c r="M346" i="57"/>
  <c r="M1962" i="57" s="1"/>
  <c r="I346" i="57"/>
  <c r="S345" i="57"/>
  <c r="S1961" i="57" s="1"/>
  <c r="Q345" i="57"/>
  <c r="Q1961" i="57" s="1"/>
  <c r="O345" i="57"/>
  <c r="O1961" i="57" s="1"/>
  <c r="N345" i="57"/>
  <c r="N1961" i="57" s="1"/>
  <c r="M345" i="57"/>
  <c r="M1961" i="57" s="1"/>
  <c r="I345" i="57"/>
  <c r="S344" i="57"/>
  <c r="S1960" i="57" s="1"/>
  <c r="Q344" i="57"/>
  <c r="Q1960" i="57" s="1"/>
  <c r="O344" i="57"/>
  <c r="O1960" i="57" s="1"/>
  <c r="N344" i="57"/>
  <c r="N1960" i="57" s="1"/>
  <c r="M344" i="57"/>
  <c r="M1960" i="57" s="1"/>
  <c r="I344" i="57"/>
  <c r="S343" i="57"/>
  <c r="S1959" i="57" s="1"/>
  <c r="Q343" i="57"/>
  <c r="Q1959" i="57" s="1"/>
  <c r="O343" i="57"/>
  <c r="O1959" i="57" s="1"/>
  <c r="N343" i="57"/>
  <c r="N1959" i="57" s="1"/>
  <c r="M343" i="57"/>
  <c r="M1959" i="57" s="1"/>
  <c r="I343" i="57"/>
  <c r="S342" i="57"/>
  <c r="S1958" i="57" s="1"/>
  <c r="Q342" i="57"/>
  <c r="Q1958" i="57" s="1"/>
  <c r="O342" i="57"/>
  <c r="O1958" i="57" s="1"/>
  <c r="N342" i="57"/>
  <c r="N1958" i="57" s="1"/>
  <c r="M342" i="57"/>
  <c r="M1958" i="57" s="1"/>
  <c r="I342" i="57"/>
  <c r="S341" i="57"/>
  <c r="S1957" i="57" s="1"/>
  <c r="Q341" i="57"/>
  <c r="Q1957" i="57" s="1"/>
  <c r="O341" i="57"/>
  <c r="O1957" i="57" s="1"/>
  <c r="N341" i="57"/>
  <c r="N1957" i="57" s="1"/>
  <c r="M341" i="57"/>
  <c r="M1957" i="57" s="1"/>
  <c r="I341" i="57"/>
  <c r="S340" i="57"/>
  <c r="S1956" i="57" s="1"/>
  <c r="Q340" i="57"/>
  <c r="Q1956" i="57" s="1"/>
  <c r="O340" i="57"/>
  <c r="O1956" i="57" s="1"/>
  <c r="N340" i="57"/>
  <c r="N1956" i="57" s="1"/>
  <c r="M340" i="57"/>
  <c r="M1956" i="57" s="1"/>
  <c r="I340" i="57"/>
  <c r="S339" i="57"/>
  <c r="S1955" i="57" s="1"/>
  <c r="Q339" i="57"/>
  <c r="Q1955" i="57" s="1"/>
  <c r="O339" i="57"/>
  <c r="O1955" i="57" s="1"/>
  <c r="N339" i="57"/>
  <c r="N1955" i="57" s="1"/>
  <c r="M339" i="57"/>
  <c r="M1955" i="57" s="1"/>
  <c r="I339" i="57"/>
  <c r="S338" i="57"/>
  <c r="S1954" i="57" s="1"/>
  <c r="Q338" i="57"/>
  <c r="Q1954" i="57" s="1"/>
  <c r="O338" i="57"/>
  <c r="O1954" i="57" s="1"/>
  <c r="N338" i="57"/>
  <c r="N1954" i="57" s="1"/>
  <c r="M338" i="57"/>
  <c r="M1954" i="57" s="1"/>
  <c r="I338" i="57"/>
  <c r="S337" i="57"/>
  <c r="S1953" i="57" s="1"/>
  <c r="Q337" i="57"/>
  <c r="Q1953" i="57" s="1"/>
  <c r="O337" i="57"/>
  <c r="O1953" i="57" s="1"/>
  <c r="N337" i="57"/>
  <c r="N1953" i="57" s="1"/>
  <c r="M337" i="57"/>
  <c r="M1953" i="57" s="1"/>
  <c r="I337" i="57"/>
  <c r="S336" i="57"/>
  <c r="S1952" i="57" s="1"/>
  <c r="Q336" i="57"/>
  <c r="Q1952" i="57" s="1"/>
  <c r="O336" i="57"/>
  <c r="O1952" i="57" s="1"/>
  <c r="N336" i="57"/>
  <c r="N1952" i="57" s="1"/>
  <c r="M336" i="57"/>
  <c r="M1952" i="57" s="1"/>
  <c r="I336" i="57"/>
  <c r="S335" i="57"/>
  <c r="S1951" i="57" s="1"/>
  <c r="Q335" i="57"/>
  <c r="Q1951" i="57" s="1"/>
  <c r="O335" i="57"/>
  <c r="O1951" i="57" s="1"/>
  <c r="N335" i="57"/>
  <c r="N1951" i="57" s="1"/>
  <c r="M335" i="57"/>
  <c r="M1951" i="57" s="1"/>
  <c r="I335" i="57"/>
  <c r="S334" i="57"/>
  <c r="S1950" i="57" s="1"/>
  <c r="Q334" i="57"/>
  <c r="Q1950" i="57" s="1"/>
  <c r="O334" i="57"/>
  <c r="O1950" i="57" s="1"/>
  <c r="N334" i="57"/>
  <c r="N1950" i="57" s="1"/>
  <c r="M334" i="57"/>
  <c r="M1950" i="57" s="1"/>
  <c r="I334" i="57"/>
  <c r="S333" i="57"/>
  <c r="S1949" i="57" s="1"/>
  <c r="Q333" i="57"/>
  <c r="Q1949" i="57" s="1"/>
  <c r="O333" i="57"/>
  <c r="O1949" i="57" s="1"/>
  <c r="N333" i="57"/>
  <c r="N1949" i="57" s="1"/>
  <c r="M333" i="57"/>
  <c r="M1949" i="57" s="1"/>
  <c r="I333" i="57"/>
  <c r="S332" i="57"/>
  <c r="S1948" i="57" s="1"/>
  <c r="Q332" i="57"/>
  <c r="Q1948" i="57" s="1"/>
  <c r="O332" i="57"/>
  <c r="O1948" i="57" s="1"/>
  <c r="N332" i="57"/>
  <c r="N1948" i="57" s="1"/>
  <c r="M332" i="57"/>
  <c r="M1948" i="57" s="1"/>
  <c r="I332" i="57"/>
  <c r="S331" i="57"/>
  <c r="S1947" i="57" s="1"/>
  <c r="Q331" i="57"/>
  <c r="Q1947" i="57" s="1"/>
  <c r="O331" i="57"/>
  <c r="O1947" i="57" s="1"/>
  <c r="N331" i="57"/>
  <c r="N1947" i="57" s="1"/>
  <c r="M331" i="57"/>
  <c r="M1947" i="57" s="1"/>
  <c r="I331" i="57"/>
  <c r="S330" i="57"/>
  <c r="S1946" i="57" s="1"/>
  <c r="Q330" i="57"/>
  <c r="Q1946" i="57" s="1"/>
  <c r="O330" i="57"/>
  <c r="O1946" i="57" s="1"/>
  <c r="N330" i="57"/>
  <c r="N1946" i="57" s="1"/>
  <c r="M330" i="57"/>
  <c r="M1946" i="57" s="1"/>
  <c r="I330" i="57"/>
  <c r="S329" i="57"/>
  <c r="S1945" i="57" s="1"/>
  <c r="Q329" i="57"/>
  <c r="Q1945" i="57" s="1"/>
  <c r="O329" i="57"/>
  <c r="O1945" i="57" s="1"/>
  <c r="N329" i="57"/>
  <c r="N1945" i="57" s="1"/>
  <c r="M329" i="57"/>
  <c r="M1945" i="57" s="1"/>
  <c r="I329" i="57"/>
  <c r="S328" i="57"/>
  <c r="S1944" i="57" s="1"/>
  <c r="Q328" i="57"/>
  <c r="Q1944" i="57" s="1"/>
  <c r="O328" i="57"/>
  <c r="O1944" i="57" s="1"/>
  <c r="N328" i="57"/>
  <c r="N1944" i="57" s="1"/>
  <c r="M328" i="57"/>
  <c r="M1944" i="57" s="1"/>
  <c r="I328" i="57"/>
  <c r="S327" i="57"/>
  <c r="S1943" i="57" s="1"/>
  <c r="Q327" i="57"/>
  <c r="Q1943" i="57" s="1"/>
  <c r="O327" i="57"/>
  <c r="O1943" i="57" s="1"/>
  <c r="N327" i="57"/>
  <c r="N1943" i="57" s="1"/>
  <c r="M327" i="57"/>
  <c r="M1943" i="57" s="1"/>
  <c r="I327" i="57"/>
  <c r="S326" i="57"/>
  <c r="S1942" i="57" s="1"/>
  <c r="Q326" i="57"/>
  <c r="Q1942" i="57" s="1"/>
  <c r="O326" i="57"/>
  <c r="O1942" i="57" s="1"/>
  <c r="N326" i="57"/>
  <c r="N1942" i="57" s="1"/>
  <c r="M326" i="57"/>
  <c r="M1942" i="57" s="1"/>
  <c r="I326" i="57"/>
  <c r="S325" i="57"/>
  <c r="S1941" i="57" s="1"/>
  <c r="Q325" i="57"/>
  <c r="Q1941" i="57" s="1"/>
  <c r="O325" i="57"/>
  <c r="O1941" i="57" s="1"/>
  <c r="N325" i="57"/>
  <c r="N1941" i="57" s="1"/>
  <c r="M325" i="57"/>
  <c r="M1941" i="57" s="1"/>
  <c r="I325" i="57"/>
  <c r="S324" i="57"/>
  <c r="S1940" i="57" s="1"/>
  <c r="Q324" i="57"/>
  <c r="Q1940" i="57" s="1"/>
  <c r="O324" i="57"/>
  <c r="O1940" i="57" s="1"/>
  <c r="N324" i="57"/>
  <c r="N1940" i="57" s="1"/>
  <c r="M324" i="57"/>
  <c r="M1940" i="57" s="1"/>
  <c r="I324" i="57"/>
  <c r="S323" i="57"/>
  <c r="S1939" i="57" s="1"/>
  <c r="Q323" i="57"/>
  <c r="Q1939" i="57" s="1"/>
  <c r="O323" i="57"/>
  <c r="O1939" i="57" s="1"/>
  <c r="N323" i="57"/>
  <c r="N1939" i="57" s="1"/>
  <c r="M323" i="57"/>
  <c r="M1939" i="57" s="1"/>
  <c r="I323" i="57"/>
  <c r="S322" i="57"/>
  <c r="S1938" i="57" s="1"/>
  <c r="Q322" i="57"/>
  <c r="Q1938" i="57" s="1"/>
  <c r="O322" i="57"/>
  <c r="O1938" i="57" s="1"/>
  <c r="N322" i="57"/>
  <c r="N1938" i="57" s="1"/>
  <c r="M322" i="57"/>
  <c r="M1938" i="57" s="1"/>
  <c r="I322" i="57"/>
  <c r="S321" i="57"/>
  <c r="S1937" i="57" s="1"/>
  <c r="Q321" i="57"/>
  <c r="Q1937" i="57" s="1"/>
  <c r="O321" i="57"/>
  <c r="O1937" i="57" s="1"/>
  <c r="N321" i="57"/>
  <c r="N1937" i="57" s="1"/>
  <c r="M321" i="57"/>
  <c r="M1937" i="57" s="1"/>
  <c r="I321" i="57"/>
  <c r="S318" i="57"/>
  <c r="S1934" i="57" s="1"/>
  <c r="Q318" i="57"/>
  <c r="Q1934" i="57" s="1"/>
  <c r="O318" i="57"/>
  <c r="O1934" i="57" s="1"/>
  <c r="N318" i="57"/>
  <c r="N1934" i="57" s="1"/>
  <c r="M318" i="57"/>
  <c r="M1934" i="57" s="1"/>
  <c r="I318" i="57"/>
  <c r="S317" i="57"/>
  <c r="S1933" i="57" s="1"/>
  <c r="Q317" i="57"/>
  <c r="Q1933" i="57" s="1"/>
  <c r="O317" i="57"/>
  <c r="O1933" i="57" s="1"/>
  <c r="N317" i="57"/>
  <c r="N1933" i="57" s="1"/>
  <c r="M317" i="57"/>
  <c r="M1933" i="57" s="1"/>
  <c r="I317" i="57"/>
  <c r="S316" i="57"/>
  <c r="S1932" i="57" s="1"/>
  <c r="Q316" i="57"/>
  <c r="Q1932" i="57" s="1"/>
  <c r="O316" i="57"/>
  <c r="O1932" i="57" s="1"/>
  <c r="N316" i="57"/>
  <c r="N1932" i="57" s="1"/>
  <c r="M316" i="57"/>
  <c r="M1932" i="57" s="1"/>
  <c r="I316" i="57"/>
  <c r="S315" i="57"/>
  <c r="S1931" i="57" s="1"/>
  <c r="Q315" i="57"/>
  <c r="Q1931" i="57" s="1"/>
  <c r="O315" i="57"/>
  <c r="O1931" i="57" s="1"/>
  <c r="N315" i="57"/>
  <c r="N1931" i="57" s="1"/>
  <c r="M315" i="57"/>
  <c r="M1931" i="57" s="1"/>
  <c r="I315" i="57"/>
  <c r="S314" i="57"/>
  <c r="S1930" i="57" s="1"/>
  <c r="Q314" i="57"/>
  <c r="Q1930" i="57" s="1"/>
  <c r="O314" i="57"/>
  <c r="O1930" i="57" s="1"/>
  <c r="N314" i="57"/>
  <c r="N1930" i="57" s="1"/>
  <c r="M314" i="57"/>
  <c r="M1930" i="57" s="1"/>
  <c r="I314" i="57"/>
  <c r="S313" i="57"/>
  <c r="S1929" i="57" s="1"/>
  <c r="Q313" i="57"/>
  <c r="Q1929" i="57" s="1"/>
  <c r="O313" i="57"/>
  <c r="O1929" i="57" s="1"/>
  <c r="N313" i="57"/>
  <c r="N1929" i="57" s="1"/>
  <c r="M313" i="57"/>
  <c r="M1929" i="57" s="1"/>
  <c r="I313" i="57"/>
  <c r="S312" i="57"/>
  <c r="S1928" i="57" s="1"/>
  <c r="Q312" i="57"/>
  <c r="Q1928" i="57" s="1"/>
  <c r="O312" i="57"/>
  <c r="O1928" i="57" s="1"/>
  <c r="N312" i="57"/>
  <c r="N1928" i="57" s="1"/>
  <c r="M312" i="57"/>
  <c r="M1928" i="57" s="1"/>
  <c r="I312" i="57"/>
  <c r="S311" i="57"/>
  <c r="S1927" i="57" s="1"/>
  <c r="Q311" i="57"/>
  <c r="Q1927" i="57" s="1"/>
  <c r="O311" i="57"/>
  <c r="O1927" i="57" s="1"/>
  <c r="N311" i="57"/>
  <c r="N1927" i="57" s="1"/>
  <c r="M311" i="57"/>
  <c r="M1927" i="57" s="1"/>
  <c r="I311" i="57"/>
  <c r="S310" i="57"/>
  <c r="S1926" i="57" s="1"/>
  <c r="Q310" i="57"/>
  <c r="Q1926" i="57" s="1"/>
  <c r="O310" i="57"/>
  <c r="O1926" i="57" s="1"/>
  <c r="N310" i="57"/>
  <c r="N1926" i="57" s="1"/>
  <c r="M310" i="57"/>
  <c r="M1926" i="57" s="1"/>
  <c r="I310" i="57"/>
  <c r="S309" i="57"/>
  <c r="S1925" i="57" s="1"/>
  <c r="Q309" i="57"/>
  <c r="Q1925" i="57" s="1"/>
  <c r="O309" i="57"/>
  <c r="O1925" i="57" s="1"/>
  <c r="N309" i="57"/>
  <c r="N1925" i="57" s="1"/>
  <c r="M309" i="57"/>
  <c r="M1925" i="57" s="1"/>
  <c r="I309" i="57"/>
  <c r="S308" i="57"/>
  <c r="S1924" i="57" s="1"/>
  <c r="Q308" i="57"/>
  <c r="Q1924" i="57" s="1"/>
  <c r="O308" i="57"/>
  <c r="O1924" i="57" s="1"/>
  <c r="N308" i="57"/>
  <c r="N1924" i="57" s="1"/>
  <c r="M308" i="57"/>
  <c r="M1924" i="57" s="1"/>
  <c r="I308" i="57"/>
  <c r="S307" i="57"/>
  <c r="S1923" i="57" s="1"/>
  <c r="Q307" i="57"/>
  <c r="Q1923" i="57" s="1"/>
  <c r="O307" i="57"/>
  <c r="O1923" i="57" s="1"/>
  <c r="N307" i="57"/>
  <c r="N1923" i="57" s="1"/>
  <c r="M307" i="57"/>
  <c r="M1923" i="57" s="1"/>
  <c r="I307" i="57"/>
  <c r="S306" i="57"/>
  <c r="S1922" i="57" s="1"/>
  <c r="Q306" i="57"/>
  <c r="Q1922" i="57" s="1"/>
  <c r="O306" i="57"/>
  <c r="O1922" i="57" s="1"/>
  <c r="N306" i="57"/>
  <c r="N1922" i="57" s="1"/>
  <c r="M306" i="57"/>
  <c r="M1922" i="57" s="1"/>
  <c r="I306" i="57"/>
  <c r="S305" i="57"/>
  <c r="S1921" i="57" s="1"/>
  <c r="Q305" i="57"/>
  <c r="Q1921" i="57" s="1"/>
  <c r="O305" i="57"/>
  <c r="O1921" i="57" s="1"/>
  <c r="N305" i="57"/>
  <c r="N1921" i="57" s="1"/>
  <c r="M305" i="57"/>
  <c r="M1921" i="57" s="1"/>
  <c r="I305" i="57"/>
  <c r="S304" i="57"/>
  <c r="S1920" i="57" s="1"/>
  <c r="Q304" i="57"/>
  <c r="Q1920" i="57" s="1"/>
  <c r="O304" i="57"/>
  <c r="O1920" i="57" s="1"/>
  <c r="N304" i="57"/>
  <c r="N1920" i="57" s="1"/>
  <c r="M304" i="57"/>
  <c r="M1920" i="57" s="1"/>
  <c r="I304" i="57"/>
  <c r="S303" i="57"/>
  <c r="S1919" i="57" s="1"/>
  <c r="Q303" i="57"/>
  <c r="Q1919" i="57" s="1"/>
  <c r="O303" i="57"/>
  <c r="O1919" i="57" s="1"/>
  <c r="N303" i="57"/>
  <c r="N1919" i="57" s="1"/>
  <c r="M303" i="57"/>
  <c r="M1919" i="57" s="1"/>
  <c r="I303" i="57"/>
  <c r="S302" i="57"/>
  <c r="S1918" i="57" s="1"/>
  <c r="Q302" i="57"/>
  <c r="Q1918" i="57" s="1"/>
  <c r="O302" i="57"/>
  <c r="O1918" i="57" s="1"/>
  <c r="N302" i="57"/>
  <c r="N1918" i="57" s="1"/>
  <c r="M302" i="57"/>
  <c r="M1918" i="57" s="1"/>
  <c r="I302" i="57"/>
  <c r="S301" i="57"/>
  <c r="S1917" i="57" s="1"/>
  <c r="Q301" i="57"/>
  <c r="Q1917" i="57" s="1"/>
  <c r="O301" i="57"/>
  <c r="O1917" i="57" s="1"/>
  <c r="N301" i="57"/>
  <c r="N1917" i="57" s="1"/>
  <c r="M301" i="57"/>
  <c r="M1917" i="57" s="1"/>
  <c r="I301" i="57"/>
  <c r="S300" i="57"/>
  <c r="S1916" i="57" s="1"/>
  <c r="Q300" i="57"/>
  <c r="Q1916" i="57" s="1"/>
  <c r="O300" i="57"/>
  <c r="O1916" i="57" s="1"/>
  <c r="N300" i="57"/>
  <c r="N1916" i="57" s="1"/>
  <c r="M300" i="57"/>
  <c r="M1916" i="57" s="1"/>
  <c r="I300" i="57"/>
  <c r="S299" i="57"/>
  <c r="S1915" i="57" s="1"/>
  <c r="Q299" i="57"/>
  <c r="Q1915" i="57" s="1"/>
  <c r="O299" i="57"/>
  <c r="O1915" i="57" s="1"/>
  <c r="N299" i="57"/>
  <c r="N1915" i="57" s="1"/>
  <c r="M299" i="57"/>
  <c r="M1915" i="57" s="1"/>
  <c r="I299" i="57"/>
  <c r="S298" i="57"/>
  <c r="S1914" i="57" s="1"/>
  <c r="Q298" i="57"/>
  <c r="Q1914" i="57" s="1"/>
  <c r="O298" i="57"/>
  <c r="O1914" i="57" s="1"/>
  <c r="N298" i="57"/>
  <c r="N1914" i="57" s="1"/>
  <c r="M298" i="57"/>
  <c r="M1914" i="57" s="1"/>
  <c r="I298" i="57"/>
  <c r="S297" i="57"/>
  <c r="S1913" i="57" s="1"/>
  <c r="Q297" i="57"/>
  <c r="Q1913" i="57" s="1"/>
  <c r="O297" i="57"/>
  <c r="O1913" i="57" s="1"/>
  <c r="N297" i="57"/>
  <c r="N1913" i="57" s="1"/>
  <c r="M297" i="57"/>
  <c r="M1913" i="57" s="1"/>
  <c r="I297" i="57"/>
  <c r="S296" i="57"/>
  <c r="S1912" i="57" s="1"/>
  <c r="Q296" i="57"/>
  <c r="Q1912" i="57" s="1"/>
  <c r="O296" i="57"/>
  <c r="O1912" i="57" s="1"/>
  <c r="N296" i="57"/>
  <c r="N1912" i="57" s="1"/>
  <c r="M296" i="57"/>
  <c r="M1912" i="57" s="1"/>
  <c r="I296" i="57"/>
  <c r="S295" i="57"/>
  <c r="S1911" i="57" s="1"/>
  <c r="Q295" i="57"/>
  <c r="Q1911" i="57" s="1"/>
  <c r="O295" i="57"/>
  <c r="O1911" i="57" s="1"/>
  <c r="N295" i="57"/>
  <c r="N1911" i="57" s="1"/>
  <c r="M295" i="57"/>
  <c r="M1911" i="57" s="1"/>
  <c r="I295" i="57"/>
  <c r="S294" i="57"/>
  <c r="S1910" i="57" s="1"/>
  <c r="Q294" i="57"/>
  <c r="Q1910" i="57" s="1"/>
  <c r="O294" i="57"/>
  <c r="O1910" i="57" s="1"/>
  <c r="N294" i="57"/>
  <c r="N1910" i="57" s="1"/>
  <c r="M294" i="57"/>
  <c r="M1910" i="57" s="1"/>
  <c r="I294" i="57"/>
  <c r="S293" i="57"/>
  <c r="S1909" i="57" s="1"/>
  <c r="Q293" i="57"/>
  <c r="Q1909" i="57" s="1"/>
  <c r="O293" i="57"/>
  <c r="O1909" i="57" s="1"/>
  <c r="N293" i="57"/>
  <c r="N1909" i="57" s="1"/>
  <c r="M293" i="57"/>
  <c r="M1909" i="57" s="1"/>
  <c r="I293" i="57"/>
  <c r="S292" i="57"/>
  <c r="S1908" i="57" s="1"/>
  <c r="Q292" i="57"/>
  <c r="Q1908" i="57" s="1"/>
  <c r="O292" i="57"/>
  <c r="O1908" i="57" s="1"/>
  <c r="N292" i="57"/>
  <c r="N1908" i="57" s="1"/>
  <c r="M292" i="57"/>
  <c r="M1908" i="57" s="1"/>
  <c r="I292" i="57"/>
  <c r="S291" i="57"/>
  <c r="S1907" i="57" s="1"/>
  <c r="Q291" i="57"/>
  <c r="Q1907" i="57" s="1"/>
  <c r="O291" i="57"/>
  <c r="O1907" i="57" s="1"/>
  <c r="N291" i="57"/>
  <c r="N1907" i="57" s="1"/>
  <c r="M291" i="57"/>
  <c r="M1907" i="57" s="1"/>
  <c r="I291" i="57"/>
  <c r="S290" i="57"/>
  <c r="S1906" i="57" s="1"/>
  <c r="Q290" i="57"/>
  <c r="Q1906" i="57" s="1"/>
  <c r="O290" i="57"/>
  <c r="O1906" i="57" s="1"/>
  <c r="N290" i="57"/>
  <c r="N1906" i="57" s="1"/>
  <c r="M290" i="57"/>
  <c r="M1906" i="57" s="1"/>
  <c r="I290" i="57"/>
  <c r="S289" i="57"/>
  <c r="S1905" i="57" s="1"/>
  <c r="Q289" i="57"/>
  <c r="Q1905" i="57" s="1"/>
  <c r="O289" i="57"/>
  <c r="O1905" i="57" s="1"/>
  <c r="N289" i="57"/>
  <c r="N1905" i="57" s="1"/>
  <c r="M289" i="57"/>
  <c r="M1905" i="57" s="1"/>
  <c r="I289" i="57"/>
  <c r="S288" i="57"/>
  <c r="S1904" i="57" s="1"/>
  <c r="Q288" i="57"/>
  <c r="Q1904" i="57" s="1"/>
  <c r="O288" i="57"/>
  <c r="O1904" i="57" s="1"/>
  <c r="N288" i="57"/>
  <c r="N1904" i="57" s="1"/>
  <c r="M288" i="57"/>
  <c r="M1904" i="57" s="1"/>
  <c r="I288" i="57"/>
  <c r="S287" i="57"/>
  <c r="S1903" i="57" s="1"/>
  <c r="Q287" i="57"/>
  <c r="Q1903" i="57" s="1"/>
  <c r="O287" i="57"/>
  <c r="O1903" i="57" s="1"/>
  <c r="N287" i="57"/>
  <c r="N1903" i="57" s="1"/>
  <c r="M287" i="57"/>
  <c r="M1903" i="57" s="1"/>
  <c r="I287" i="57"/>
  <c r="S286" i="57"/>
  <c r="S1902" i="57" s="1"/>
  <c r="Q286" i="57"/>
  <c r="Q1902" i="57" s="1"/>
  <c r="O286" i="57"/>
  <c r="O1902" i="57" s="1"/>
  <c r="N286" i="57"/>
  <c r="N1902" i="57" s="1"/>
  <c r="M286" i="57"/>
  <c r="M1902" i="57" s="1"/>
  <c r="I286" i="57"/>
  <c r="S285" i="57"/>
  <c r="S1901" i="57" s="1"/>
  <c r="Q285" i="57"/>
  <c r="Q1901" i="57" s="1"/>
  <c r="O285" i="57"/>
  <c r="O1901" i="57" s="1"/>
  <c r="N285" i="57"/>
  <c r="N1901" i="57" s="1"/>
  <c r="M285" i="57"/>
  <c r="M1901" i="57" s="1"/>
  <c r="I285" i="57"/>
  <c r="S284" i="57"/>
  <c r="S1900" i="57" s="1"/>
  <c r="Q284" i="57"/>
  <c r="Q1900" i="57" s="1"/>
  <c r="O284" i="57"/>
  <c r="O1900" i="57" s="1"/>
  <c r="N284" i="57"/>
  <c r="N1900" i="57" s="1"/>
  <c r="M284" i="57"/>
  <c r="M1900" i="57" s="1"/>
  <c r="I284" i="57"/>
  <c r="S283" i="57"/>
  <c r="S1899" i="57" s="1"/>
  <c r="Q283" i="57"/>
  <c r="Q1899" i="57" s="1"/>
  <c r="O283" i="57"/>
  <c r="O1899" i="57" s="1"/>
  <c r="N283" i="57"/>
  <c r="N1899" i="57" s="1"/>
  <c r="M283" i="57"/>
  <c r="M1899" i="57" s="1"/>
  <c r="I283" i="57"/>
  <c r="S282" i="57"/>
  <c r="S1898" i="57" s="1"/>
  <c r="Q282" i="57"/>
  <c r="Q1898" i="57" s="1"/>
  <c r="O282" i="57"/>
  <c r="O1898" i="57" s="1"/>
  <c r="N282" i="57"/>
  <c r="N1898" i="57" s="1"/>
  <c r="M282" i="57"/>
  <c r="M1898" i="57" s="1"/>
  <c r="I282" i="57"/>
  <c r="S281" i="57"/>
  <c r="S1897" i="57" s="1"/>
  <c r="Q281" i="57"/>
  <c r="Q1897" i="57" s="1"/>
  <c r="O281" i="57"/>
  <c r="O1897" i="57" s="1"/>
  <c r="N281" i="57"/>
  <c r="N1897" i="57" s="1"/>
  <c r="M281" i="57"/>
  <c r="M1897" i="57" s="1"/>
  <c r="I281" i="57"/>
  <c r="S280" i="57"/>
  <c r="S1896" i="57" s="1"/>
  <c r="Q280" i="57"/>
  <c r="Q1896" i="57" s="1"/>
  <c r="O280" i="57"/>
  <c r="O1896" i="57" s="1"/>
  <c r="N280" i="57"/>
  <c r="N1896" i="57" s="1"/>
  <c r="M280" i="57"/>
  <c r="M1896" i="57" s="1"/>
  <c r="I280" i="57"/>
  <c r="S279" i="57"/>
  <c r="S1895" i="57" s="1"/>
  <c r="Q279" i="57"/>
  <c r="Q1895" i="57" s="1"/>
  <c r="O279" i="57"/>
  <c r="O1895" i="57" s="1"/>
  <c r="N279" i="57"/>
  <c r="N1895" i="57" s="1"/>
  <c r="M279" i="57"/>
  <c r="M1895" i="57" s="1"/>
  <c r="I279" i="57"/>
  <c r="S278" i="57"/>
  <c r="S1894" i="57" s="1"/>
  <c r="Q278" i="57"/>
  <c r="Q1894" i="57" s="1"/>
  <c r="O278" i="57"/>
  <c r="O1894" i="57" s="1"/>
  <c r="N278" i="57"/>
  <c r="N1894" i="57" s="1"/>
  <c r="M278" i="57"/>
  <c r="M1894" i="57" s="1"/>
  <c r="I278" i="57"/>
  <c r="S277" i="57"/>
  <c r="S1893" i="57" s="1"/>
  <c r="Q277" i="57"/>
  <c r="Q1893" i="57" s="1"/>
  <c r="O277" i="57"/>
  <c r="O1893" i="57" s="1"/>
  <c r="N277" i="57"/>
  <c r="N1893" i="57" s="1"/>
  <c r="M277" i="57"/>
  <c r="M1893" i="57" s="1"/>
  <c r="I277" i="57"/>
  <c r="S276" i="57"/>
  <c r="S1892" i="57" s="1"/>
  <c r="Q276" i="57"/>
  <c r="Q1892" i="57" s="1"/>
  <c r="O276" i="57"/>
  <c r="O1892" i="57" s="1"/>
  <c r="N276" i="57"/>
  <c r="N1892" i="57" s="1"/>
  <c r="M276" i="57"/>
  <c r="M1892" i="57" s="1"/>
  <c r="I276" i="57"/>
  <c r="S275" i="57"/>
  <c r="S1891" i="57" s="1"/>
  <c r="Q275" i="57"/>
  <c r="Q1891" i="57" s="1"/>
  <c r="O275" i="57"/>
  <c r="O1891" i="57" s="1"/>
  <c r="N275" i="57"/>
  <c r="N1891" i="57" s="1"/>
  <c r="M275" i="57"/>
  <c r="M1891" i="57" s="1"/>
  <c r="I275" i="57"/>
  <c r="S274" i="57"/>
  <c r="S1890" i="57" s="1"/>
  <c r="Q274" i="57"/>
  <c r="Q1890" i="57" s="1"/>
  <c r="O274" i="57"/>
  <c r="O1890" i="57" s="1"/>
  <c r="N274" i="57"/>
  <c r="N1890" i="57" s="1"/>
  <c r="M274" i="57"/>
  <c r="M1890" i="57" s="1"/>
  <c r="I274" i="57"/>
  <c r="S273" i="57"/>
  <c r="S1889" i="57" s="1"/>
  <c r="Q273" i="57"/>
  <c r="Q1889" i="57" s="1"/>
  <c r="O273" i="57"/>
  <c r="O1889" i="57" s="1"/>
  <c r="N273" i="57"/>
  <c r="N1889" i="57" s="1"/>
  <c r="M273" i="57"/>
  <c r="M1889" i="57" s="1"/>
  <c r="I273" i="57"/>
  <c r="S272" i="57"/>
  <c r="S1888" i="57" s="1"/>
  <c r="Q272" i="57"/>
  <c r="Q1888" i="57" s="1"/>
  <c r="O272" i="57"/>
  <c r="O1888" i="57" s="1"/>
  <c r="N272" i="57"/>
  <c r="N1888" i="57" s="1"/>
  <c r="M272" i="57"/>
  <c r="M1888" i="57" s="1"/>
  <c r="I272" i="57"/>
  <c r="S271" i="57"/>
  <c r="S1887" i="57" s="1"/>
  <c r="Q271" i="57"/>
  <c r="Q1887" i="57" s="1"/>
  <c r="O271" i="57"/>
  <c r="O1887" i="57" s="1"/>
  <c r="N271" i="57"/>
  <c r="N1887" i="57" s="1"/>
  <c r="M271" i="57"/>
  <c r="M1887" i="57" s="1"/>
  <c r="I271" i="57"/>
  <c r="S270" i="57"/>
  <c r="S1886" i="57" s="1"/>
  <c r="Q270" i="57"/>
  <c r="Q1886" i="57" s="1"/>
  <c r="O270" i="57"/>
  <c r="O1886" i="57" s="1"/>
  <c r="N270" i="57"/>
  <c r="N1886" i="57" s="1"/>
  <c r="M270" i="57"/>
  <c r="M1886" i="57" s="1"/>
  <c r="I270" i="57"/>
  <c r="S269" i="57"/>
  <c r="S1885" i="57" s="1"/>
  <c r="Q269" i="57"/>
  <c r="Q1885" i="57" s="1"/>
  <c r="O269" i="57"/>
  <c r="O1885" i="57" s="1"/>
  <c r="N269" i="57"/>
  <c r="N1885" i="57" s="1"/>
  <c r="M269" i="57"/>
  <c r="M1885" i="57" s="1"/>
  <c r="I269" i="57"/>
  <c r="S266" i="57"/>
  <c r="S1882" i="57" s="1"/>
  <c r="Q266" i="57"/>
  <c r="Q1882" i="57" s="1"/>
  <c r="O266" i="57"/>
  <c r="O1882" i="57" s="1"/>
  <c r="N266" i="57"/>
  <c r="N1882" i="57" s="1"/>
  <c r="M266" i="57"/>
  <c r="M1882" i="57" s="1"/>
  <c r="I266" i="57"/>
  <c r="D266" i="57"/>
  <c r="D318" i="57" s="1"/>
  <c r="S265" i="57"/>
  <c r="S1881" i="57" s="1"/>
  <c r="Q265" i="57"/>
  <c r="Q1881" i="57" s="1"/>
  <c r="O265" i="57"/>
  <c r="O1881" i="57" s="1"/>
  <c r="N265" i="57"/>
  <c r="N1881" i="57" s="1"/>
  <c r="M265" i="57"/>
  <c r="M1881" i="57" s="1"/>
  <c r="I265" i="57"/>
  <c r="D265" i="57"/>
  <c r="D317" i="57" s="1"/>
  <c r="S264" i="57"/>
  <c r="S1880" i="57" s="1"/>
  <c r="Q264" i="57"/>
  <c r="Q1880" i="57" s="1"/>
  <c r="O264" i="57"/>
  <c r="O1880" i="57" s="1"/>
  <c r="N264" i="57"/>
  <c r="N1880" i="57" s="1"/>
  <c r="M264" i="57"/>
  <c r="M1880" i="57" s="1"/>
  <c r="I264" i="57"/>
  <c r="D264" i="57"/>
  <c r="D316" i="57" s="1"/>
  <c r="S263" i="57"/>
  <c r="S1879" i="57" s="1"/>
  <c r="Q263" i="57"/>
  <c r="Q1879" i="57" s="1"/>
  <c r="O263" i="57"/>
  <c r="O1879" i="57" s="1"/>
  <c r="N263" i="57"/>
  <c r="N1879" i="57" s="1"/>
  <c r="M263" i="57"/>
  <c r="M1879" i="57" s="1"/>
  <c r="I263" i="57"/>
  <c r="D263" i="57"/>
  <c r="D315" i="57" s="1"/>
  <c r="S262" i="57"/>
  <c r="S1878" i="57" s="1"/>
  <c r="Q262" i="57"/>
  <c r="Q1878" i="57" s="1"/>
  <c r="O262" i="57"/>
  <c r="O1878" i="57" s="1"/>
  <c r="N262" i="57"/>
  <c r="N1878" i="57" s="1"/>
  <c r="M262" i="57"/>
  <c r="M1878" i="57" s="1"/>
  <c r="I262" i="57"/>
  <c r="D262" i="57"/>
  <c r="D314" i="57" s="1"/>
  <c r="S261" i="57"/>
  <c r="S1877" i="57" s="1"/>
  <c r="Q261" i="57"/>
  <c r="Q1877" i="57" s="1"/>
  <c r="O261" i="57"/>
  <c r="O1877" i="57" s="1"/>
  <c r="N261" i="57"/>
  <c r="N1877" i="57" s="1"/>
  <c r="M261" i="57"/>
  <c r="M1877" i="57" s="1"/>
  <c r="I261" i="57"/>
  <c r="D261" i="57"/>
  <c r="D313" i="57" s="1"/>
  <c r="S260" i="57"/>
  <c r="S1876" i="57" s="1"/>
  <c r="Q260" i="57"/>
  <c r="Q1876" i="57" s="1"/>
  <c r="O260" i="57"/>
  <c r="O1876" i="57" s="1"/>
  <c r="N260" i="57"/>
  <c r="N1876" i="57" s="1"/>
  <c r="M260" i="57"/>
  <c r="M1876" i="57" s="1"/>
  <c r="I260" i="57"/>
  <c r="D260" i="57"/>
  <c r="D312" i="57" s="1"/>
  <c r="S259" i="57"/>
  <c r="S1875" i="57" s="1"/>
  <c r="Q259" i="57"/>
  <c r="Q1875" i="57" s="1"/>
  <c r="O259" i="57"/>
  <c r="O1875" i="57" s="1"/>
  <c r="N259" i="57"/>
  <c r="N1875" i="57" s="1"/>
  <c r="M259" i="57"/>
  <c r="M1875" i="57" s="1"/>
  <c r="I259" i="57"/>
  <c r="D259" i="57"/>
  <c r="D311" i="57" s="1"/>
  <c r="S258" i="57"/>
  <c r="S1874" i="57" s="1"/>
  <c r="Q258" i="57"/>
  <c r="Q1874" i="57" s="1"/>
  <c r="O258" i="57"/>
  <c r="O1874" i="57" s="1"/>
  <c r="N258" i="57"/>
  <c r="N1874" i="57" s="1"/>
  <c r="M258" i="57"/>
  <c r="M1874" i="57" s="1"/>
  <c r="I258" i="57"/>
  <c r="D258" i="57"/>
  <c r="D310" i="57" s="1"/>
  <c r="S257" i="57"/>
  <c r="S1873" i="57" s="1"/>
  <c r="Q257" i="57"/>
  <c r="Q1873" i="57" s="1"/>
  <c r="O257" i="57"/>
  <c r="O1873" i="57" s="1"/>
  <c r="N257" i="57"/>
  <c r="N1873" i="57" s="1"/>
  <c r="M257" i="57"/>
  <c r="M1873" i="57" s="1"/>
  <c r="I257" i="57"/>
  <c r="D257" i="57"/>
  <c r="D309" i="57" s="1"/>
  <c r="S256" i="57"/>
  <c r="S1872" i="57" s="1"/>
  <c r="Q256" i="57"/>
  <c r="Q1872" i="57" s="1"/>
  <c r="O256" i="57"/>
  <c r="O1872" i="57" s="1"/>
  <c r="N256" i="57"/>
  <c r="N1872" i="57" s="1"/>
  <c r="M256" i="57"/>
  <c r="M1872" i="57" s="1"/>
  <c r="I256" i="57"/>
  <c r="D256" i="57"/>
  <c r="D308" i="57" s="1"/>
  <c r="S255" i="57"/>
  <c r="S1871" i="57" s="1"/>
  <c r="Q255" i="57"/>
  <c r="Q1871" i="57" s="1"/>
  <c r="O255" i="57"/>
  <c r="O1871" i="57" s="1"/>
  <c r="N255" i="57"/>
  <c r="N1871" i="57" s="1"/>
  <c r="M255" i="57"/>
  <c r="M1871" i="57" s="1"/>
  <c r="I255" i="57"/>
  <c r="D255" i="57"/>
  <c r="D307" i="57" s="1"/>
  <c r="S254" i="57"/>
  <c r="S1870" i="57" s="1"/>
  <c r="Q254" i="57"/>
  <c r="Q1870" i="57" s="1"/>
  <c r="O254" i="57"/>
  <c r="O1870" i="57" s="1"/>
  <c r="N254" i="57"/>
  <c r="N1870" i="57" s="1"/>
  <c r="M254" i="57"/>
  <c r="M1870" i="57" s="1"/>
  <c r="I254" i="57"/>
  <c r="D254" i="57"/>
  <c r="D306" i="57" s="1"/>
  <c r="S253" i="57"/>
  <c r="S1869" i="57" s="1"/>
  <c r="Q253" i="57"/>
  <c r="Q1869" i="57" s="1"/>
  <c r="O253" i="57"/>
  <c r="O1869" i="57" s="1"/>
  <c r="N253" i="57"/>
  <c r="N1869" i="57" s="1"/>
  <c r="M253" i="57"/>
  <c r="M1869" i="57" s="1"/>
  <c r="I253" i="57"/>
  <c r="D253" i="57"/>
  <c r="D305" i="57" s="1"/>
  <c r="S252" i="57"/>
  <c r="S1868" i="57" s="1"/>
  <c r="Q252" i="57"/>
  <c r="Q1868" i="57" s="1"/>
  <c r="O252" i="57"/>
  <c r="O1868" i="57" s="1"/>
  <c r="N252" i="57"/>
  <c r="N1868" i="57" s="1"/>
  <c r="M252" i="57"/>
  <c r="M1868" i="57" s="1"/>
  <c r="I252" i="57"/>
  <c r="D252" i="57"/>
  <c r="D304" i="57" s="1"/>
  <c r="S251" i="57"/>
  <c r="S1867" i="57" s="1"/>
  <c r="Q251" i="57"/>
  <c r="Q1867" i="57" s="1"/>
  <c r="O251" i="57"/>
  <c r="O1867" i="57" s="1"/>
  <c r="N251" i="57"/>
  <c r="N1867" i="57" s="1"/>
  <c r="M251" i="57"/>
  <c r="M1867" i="57" s="1"/>
  <c r="I251" i="57"/>
  <c r="D251" i="57"/>
  <c r="D303" i="57" s="1"/>
  <c r="S250" i="57"/>
  <c r="S1866" i="57" s="1"/>
  <c r="Q250" i="57"/>
  <c r="Q1866" i="57" s="1"/>
  <c r="O250" i="57"/>
  <c r="O1866" i="57" s="1"/>
  <c r="N250" i="57"/>
  <c r="N1866" i="57" s="1"/>
  <c r="M250" i="57"/>
  <c r="M1866" i="57" s="1"/>
  <c r="I250" i="57"/>
  <c r="D250" i="57"/>
  <c r="D302" i="57" s="1"/>
  <c r="S249" i="57"/>
  <c r="S1865" i="57" s="1"/>
  <c r="Q249" i="57"/>
  <c r="Q1865" i="57" s="1"/>
  <c r="O249" i="57"/>
  <c r="O1865" i="57" s="1"/>
  <c r="N249" i="57"/>
  <c r="N1865" i="57" s="1"/>
  <c r="M249" i="57"/>
  <c r="M1865" i="57" s="1"/>
  <c r="I249" i="57"/>
  <c r="D249" i="57"/>
  <c r="D301" i="57" s="1"/>
  <c r="S248" i="57"/>
  <c r="S1864" i="57" s="1"/>
  <c r="Q248" i="57"/>
  <c r="Q1864" i="57" s="1"/>
  <c r="O248" i="57"/>
  <c r="O1864" i="57" s="1"/>
  <c r="N248" i="57"/>
  <c r="N1864" i="57" s="1"/>
  <c r="M248" i="57"/>
  <c r="M1864" i="57" s="1"/>
  <c r="I248" i="57"/>
  <c r="D248" i="57"/>
  <c r="D300" i="57" s="1"/>
  <c r="S247" i="57"/>
  <c r="S1863" i="57" s="1"/>
  <c r="Q247" i="57"/>
  <c r="Q1863" i="57" s="1"/>
  <c r="O247" i="57"/>
  <c r="O1863" i="57" s="1"/>
  <c r="N247" i="57"/>
  <c r="N1863" i="57" s="1"/>
  <c r="M247" i="57"/>
  <c r="M1863" i="57" s="1"/>
  <c r="I247" i="57"/>
  <c r="D247" i="57"/>
  <c r="D299" i="57" s="1"/>
  <c r="S246" i="57"/>
  <c r="S1862" i="57" s="1"/>
  <c r="Q246" i="57"/>
  <c r="Q1862" i="57" s="1"/>
  <c r="O246" i="57"/>
  <c r="O1862" i="57" s="1"/>
  <c r="N246" i="57"/>
  <c r="N1862" i="57" s="1"/>
  <c r="M246" i="57"/>
  <c r="M1862" i="57" s="1"/>
  <c r="I246" i="57"/>
  <c r="D246" i="57"/>
  <c r="D298" i="57" s="1"/>
  <c r="S245" i="57"/>
  <c r="S1861" i="57" s="1"/>
  <c r="Q245" i="57"/>
  <c r="Q1861" i="57" s="1"/>
  <c r="O245" i="57"/>
  <c r="O1861" i="57" s="1"/>
  <c r="N245" i="57"/>
  <c r="N1861" i="57" s="1"/>
  <c r="M245" i="57"/>
  <c r="M1861" i="57" s="1"/>
  <c r="I245" i="57"/>
  <c r="D245" i="57"/>
  <c r="D297" i="57" s="1"/>
  <c r="S244" i="57"/>
  <c r="S1860" i="57" s="1"/>
  <c r="Q244" i="57"/>
  <c r="Q1860" i="57" s="1"/>
  <c r="O244" i="57"/>
  <c r="O1860" i="57" s="1"/>
  <c r="N244" i="57"/>
  <c r="N1860" i="57" s="1"/>
  <c r="M244" i="57"/>
  <c r="M1860" i="57" s="1"/>
  <c r="I244" i="57"/>
  <c r="D244" i="57"/>
  <c r="D296" i="57" s="1"/>
  <c r="S243" i="57"/>
  <c r="S1859" i="57" s="1"/>
  <c r="Q243" i="57"/>
  <c r="Q1859" i="57" s="1"/>
  <c r="O243" i="57"/>
  <c r="O1859" i="57" s="1"/>
  <c r="N243" i="57"/>
  <c r="N1859" i="57" s="1"/>
  <c r="M243" i="57"/>
  <c r="M1859" i="57" s="1"/>
  <c r="I243" i="57"/>
  <c r="D243" i="57"/>
  <c r="D295" i="57" s="1"/>
  <c r="S242" i="57"/>
  <c r="S1858" i="57" s="1"/>
  <c r="Q242" i="57"/>
  <c r="Q1858" i="57" s="1"/>
  <c r="O242" i="57"/>
  <c r="O1858" i="57" s="1"/>
  <c r="N242" i="57"/>
  <c r="N1858" i="57" s="1"/>
  <c r="M242" i="57"/>
  <c r="M1858" i="57" s="1"/>
  <c r="I242" i="57"/>
  <c r="D242" i="57"/>
  <c r="D294" i="57" s="1"/>
  <c r="S241" i="57"/>
  <c r="S1857" i="57" s="1"/>
  <c r="Q241" i="57"/>
  <c r="Q1857" i="57" s="1"/>
  <c r="O241" i="57"/>
  <c r="O1857" i="57" s="1"/>
  <c r="N241" i="57"/>
  <c r="N1857" i="57" s="1"/>
  <c r="M241" i="57"/>
  <c r="M1857" i="57" s="1"/>
  <c r="I241" i="57"/>
  <c r="D241" i="57"/>
  <c r="D293" i="57" s="1"/>
  <c r="S240" i="57"/>
  <c r="S1856" i="57" s="1"/>
  <c r="Q240" i="57"/>
  <c r="Q1856" i="57" s="1"/>
  <c r="O240" i="57"/>
  <c r="O1856" i="57" s="1"/>
  <c r="N240" i="57"/>
  <c r="N1856" i="57" s="1"/>
  <c r="M240" i="57"/>
  <c r="M1856" i="57" s="1"/>
  <c r="I240" i="57"/>
  <c r="D240" i="57"/>
  <c r="D292" i="57" s="1"/>
  <c r="S239" i="57"/>
  <c r="S1855" i="57" s="1"/>
  <c r="Q239" i="57"/>
  <c r="Q1855" i="57" s="1"/>
  <c r="O239" i="57"/>
  <c r="O1855" i="57" s="1"/>
  <c r="N239" i="57"/>
  <c r="N1855" i="57" s="1"/>
  <c r="M239" i="57"/>
  <c r="M1855" i="57" s="1"/>
  <c r="I239" i="57"/>
  <c r="D239" i="57"/>
  <c r="D291" i="57" s="1"/>
  <c r="S238" i="57"/>
  <c r="S1854" i="57" s="1"/>
  <c r="Q238" i="57"/>
  <c r="Q1854" i="57" s="1"/>
  <c r="O238" i="57"/>
  <c r="O1854" i="57" s="1"/>
  <c r="N238" i="57"/>
  <c r="N1854" i="57" s="1"/>
  <c r="M238" i="57"/>
  <c r="M1854" i="57" s="1"/>
  <c r="I238" i="57"/>
  <c r="D238" i="57"/>
  <c r="D290" i="57" s="1"/>
  <c r="S237" i="57"/>
  <c r="S1853" i="57" s="1"/>
  <c r="Q237" i="57"/>
  <c r="Q1853" i="57" s="1"/>
  <c r="O237" i="57"/>
  <c r="O1853" i="57" s="1"/>
  <c r="N237" i="57"/>
  <c r="N1853" i="57" s="1"/>
  <c r="M237" i="57"/>
  <c r="M1853" i="57" s="1"/>
  <c r="I237" i="57"/>
  <c r="D237" i="57"/>
  <c r="D289" i="57" s="1"/>
  <c r="S236" i="57"/>
  <c r="S1852" i="57" s="1"/>
  <c r="Q236" i="57"/>
  <c r="Q1852" i="57" s="1"/>
  <c r="O236" i="57"/>
  <c r="O1852" i="57" s="1"/>
  <c r="N236" i="57"/>
  <c r="N1852" i="57" s="1"/>
  <c r="M236" i="57"/>
  <c r="M1852" i="57" s="1"/>
  <c r="I236" i="57"/>
  <c r="D236" i="57"/>
  <c r="D288" i="57" s="1"/>
  <c r="S235" i="57"/>
  <c r="S1851" i="57" s="1"/>
  <c r="Q235" i="57"/>
  <c r="Q1851" i="57" s="1"/>
  <c r="O235" i="57"/>
  <c r="O1851" i="57" s="1"/>
  <c r="N235" i="57"/>
  <c r="N1851" i="57" s="1"/>
  <c r="M235" i="57"/>
  <c r="M1851" i="57" s="1"/>
  <c r="I235" i="57"/>
  <c r="D235" i="57"/>
  <c r="D287" i="57" s="1"/>
  <c r="S234" i="57"/>
  <c r="S1850" i="57" s="1"/>
  <c r="Q234" i="57"/>
  <c r="Q1850" i="57" s="1"/>
  <c r="O234" i="57"/>
  <c r="O1850" i="57" s="1"/>
  <c r="N234" i="57"/>
  <c r="N1850" i="57" s="1"/>
  <c r="M234" i="57"/>
  <c r="M1850" i="57" s="1"/>
  <c r="I234" i="57"/>
  <c r="D234" i="57"/>
  <c r="D286" i="57" s="1"/>
  <c r="S233" i="57"/>
  <c r="S1849" i="57" s="1"/>
  <c r="Q233" i="57"/>
  <c r="Q1849" i="57" s="1"/>
  <c r="O233" i="57"/>
  <c r="O1849" i="57" s="1"/>
  <c r="N233" i="57"/>
  <c r="N1849" i="57" s="1"/>
  <c r="M233" i="57"/>
  <c r="M1849" i="57" s="1"/>
  <c r="I233" i="57"/>
  <c r="D233" i="57"/>
  <c r="D285" i="57" s="1"/>
  <c r="S232" i="57"/>
  <c r="S1848" i="57" s="1"/>
  <c r="Q232" i="57"/>
  <c r="Q1848" i="57" s="1"/>
  <c r="O232" i="57"/>
  <c r="O1848" i="57" s="1"/>
  <c r="N232" i="57"/>
  <c r="N1848" i="57" s="1"/>
  <c r="M232" i="57"/>
  <c r="M1848" i="57" s="1"/>
  <c r="I232" i="57"/>
  <c r="D232" i="57"/>
  <c r="D284" i="57" s="1"/>
  <c r="S231" i="57"/>
  <c r="S1847" i="57" s="1"/>
  <c r="Q231" i="57"/>
  <c r="Q1847" i="57" s="1"/>
  <c r="O231" i="57"/>
  <c r="O1847" i="57" s="1"/>
  <c r="N231" i="57"/>
  <c r="N1847" i="57" s="1"/>
  <c r="M231" i="57"/>
  <c r="M1847" i="57" s="1"/>
  <c r="I231" i="57"/>
  <c r="D231" i="57"/>
  <c r="D283" i="57" s="1"/>
  <c r="S230" i="57"/>
  <c r="S1846" i="57" s="1"/>
  <c r="Q230" i="57"/>
  <c r="Q1846" i="57" s="1"/>
  <c r="O230" i="57"/>
  <c r="O1846" i="57" s="1"/>
  <c r="N230" i="57"/>
  <c r="N1846" i="57" s="1"/>
  <c r="M230" i="57"/>
  <c r="M1846" i="57" s="1"/>
  <c r="I230" i="57"/>
  <c r="D230" i="57"/>
  <c r="D282" i="57" s="1"/>
  <c r="S229" i="57"/>
  <c r="S1845" i="57" s="1"/>
  <c r="Q229" i="57"/>
  <c r="Q1845" i="57" s="1"/>
  <c r="O229" i="57"/>
  <c r="O1845" i="57" s="1"/>
  <c r="N229" i="57"/>
  <c r="N1845" i="57" s="1"/>
  <c r="M229" i="57"/>
  <c r="M1845" i="57" s="1"/>
  <c r="I229" i="57"/>
  <c r="D229" i="57"/>
  <c r="D281" i="57" s="1"/>
  <c r="S228" i="57"/>
  <c r="S1844" i="57" s="1"/>
  <c r="Q228" i="57"/>
  <c r="Q1844" i="57" s="1"/>
  <c r="O228" i="57"/>
  <c r="O1844" i="57" s="1"/>
  <c r="N228" i="57"/>
  <c r="N1844" i="57" s="1"/>
  <c r="M228" i="57"/>
  <c r="M1844" i="57" s="1"/>
  <c r="I228" i="57"/>
  <c r="D228" i="57"/>
  <c r="D280" i="57" s="1"/>
  <c r="S227" i="57"/>
  <c r="S1843" i="57" s="1"/>
  <c r="Q227" i="57"/>
  <c r="Q1843" i="57" s="1"/>
  <c r="O227" i="57"/>
  <c r="O1843" i="57" s="1"/>
  <c r="N227" i="57"/>
  <c r="N1843" i="57" s="1"/>
  <c r="M227" i="57"/>
  <c r="M1843" i="57" s="1"/>
  <c r="I227" i="57"/>
  <c r="D227" i="57"/>
  <c r="D279" i="57" s="1"/>
  <c r="S226" i="57"/>
  <c r="S1842" i="57" s="1"/>
  <c r="Q226" i="57"/>
  <c r="Q1842" i="57" s="1"/>
  <c r="O226" i="57"/>
  <c r="O1842" i="57" s="1"/>
  <c r="N226" i="57"/>
  <c r="N1842" i="57" s="1"/>
  <c r="M226" i="57"/>
  <c r="M1842" i="57" s="1"/>
  <c r="I226" i="57"/>
  <c r="D226" i="57"/>
  <c r="D278" i="57" s="1"/>
  <c r="S225" i="57"/>
  <c r="S1841" i="57" s="1"/>
  <c r="Q225" i="57"/>
  <c r="Q1841" i="57" s="1"/>
  <c r="O225" i="57"/>
  <c r="O1841" i="57" s="1"/>
  <c r="N225" i="57"/>
  <c r="N1841" i="57" s="1"/>
  <c r="M225" i="57"/>
  <c r="M1841" i="57" s="1"/>
  <c r="I225" i="57"/>
  <c r="D225" i="57"/>
  <c r="D277" i="57" s="1"/>
  <c r="S224" i="57"/>
  <c r="S1840" i="57" s="1"/>
  <c r="Q224" i="57"/>
  <c r="Q1840" i="57" s="1"/>
  <c r="O224" i="57"/>
  <c r="O1840" i="57" s="1"/>
  <c r="N224" i="57"/>
  <c r="N1840" i="57" s="1"/>
  <c r="M224" i="57"/>
  <c r="M1840" i="57" s="1"/>
  <c r="I224" i="57"/>
  <c r="D224" i="57"/>
  <c r="D276" i="57" s="1"/>
  <c r="S223" i="57"/>
  <c r="S1839" i="57" s="1"/>
  <c r="Q223" i="57"/>
  <c r="Q1839" i="57" s="1"/>
  <c r="O223" i="57"/>
  <c r="O1839" i="57" s="1"/>
  <c r="N223" i="57"/>
  <c r="N1839" i="57" s="1"/>
  <c r="M223" i="57"/>
  <c r="M1839" i="57" s="1"/>
  <c r="I223" i="57"/>
  <c r="D223" i="57"/>
  <c r="D275" i="57" s="1"/>
  <c r="S222" i="57"/>
  <c r="S1838" i="57" s="1"/>
  <c r="Q222" i="57"/>
  <c r="Q1838" i="57" s="1"/>
  <c r="O222" i="57"/>
  <c r="O1838" i="57" s="1"/>
  <c r="N222" i="57"/>
  <c r="N1838" i="57" s="1"/>
  <c r="M222" i="57"/>
  <c r="M1838" i="57" s="1"/>
  <c r="I222" i="57"/>
  <c r="D222" i="57"/>
  <c r="D274" i="57" s="1"/>
  <c r="S221" i="57"/>
  <c r="S1837" i="57" s="1"/>
  <c r="Q221" i="57"/>
  <c r="Q1837" i="57" s="1"/>
  <c r="O221" i="57"/>
  <c r="O1837" i="57" s="1"/>
  <c r="N221" i="57"/>
  <c r="N1837" i="57" s="1"/>
  <c r="M221" i="57"/>
  <c r="M1837" i="57" s="1"/>
  <c r="I221" i="57"/>
  <c r="D221" i="57"/>
  <c r="D273" i="57" s="1"/>
  <c r="S220" i="57"/>
  <c r="S1836" i="57" s="1"/>
  <c r="Q220" i="57"/>
  <c r="Q1836" i="57" s="1"/>
  <c r="O220" i="57"/>
  <c r="O1836" i="57" s="1"/>
  <c r="N220" i="57"/>
  <c r="N1836" i="57" s="1"/>
  <c r="M220" i="57"/>
  <c r="M1836" i="57" s="1"/>
  <c r="I220" i="57"/>
  <c r="D220" i="57"/>
  <c r="D272" i="57" s="1"/>
  <c r="S219" i="57"/>
  <c r="S1835" i="57" s="1"/>
  <c r="Q219" i="57"/>
  <c r="Q1835" i="57" s="1"/>
  <c r="O219" i="57"/>
  <c r="O1835" i="57" s="1"/>
  <c r="N219" i="57"/>
  <c r="N1835" i="57" s="1"/>
  <c r="M219" i="57"/>
  <c r="M1835" i="57" s="1"/>
  <c r="I219" i="57"/>
  <c r="D219" i="57"/>
  <c r="D271" i="57" s="1"/>
  <c r="S218" i="57"/>
  <c r="S1834" i="57" s="1"/>
  <c r="Q218" i="57"/>
  <c r="Q1834" i="57" s="1"/>
  <c r="O218" i="57"/>
  <c r="O1834" i="57" s="1"/>
  <c r="N218" i="57"/>
  <c r="N1834" i="57" s="1"/>
  <c r="M218" i="57"/>
  <c r="M1834" i="57" s="1"/>
  <c r="I218" i="57"/>
  <c r="D218" i="57"/>
  <c r="D270" i="57" s="1"/>
  <c r="S217" i="57"/>
  <c r="S1833" i="57" s="1"/>
  <c r="Q217" i="57"/>
  <c r="Q1833" i="57" s="1"/>
  <c r="O217" i="57"/>
  <c r="O1833" i="57" s="1"/>
  <c r="N217" i="57"/>
  <c r="N1833" i="57" s="1"/>
  <c r="M217" i="57"/>
  <c r="M1833" i="57" s="1"/>
  <c r="I217" i="57"/>
  <c r="D217" i="57"/>
  <c r="D269" i="57" s="1"/>
  <c r="D216" i="57"/>
  <c r="D268" i="57" s="1"/>
  <c r="S214" i="57"/>
  <c r="S1830" i="57" s="1"/>
  <c r="Q214" i="57"/>
  <c r="Q1830" i="57" s="1"/>
  <c r="O214" i="57"/>
  <c r="O1830" i="57" s="1"/>
  <c r="N214" i="57"/>
  <c r="N1830" i="57" s="1"/>
  <c r="M214" i="57"/>
  <c r="M1830" i="57" s="1"/>
  <c r="I214" i="57"/>
  <c r="S213" i="57"/>
  <c r="S1829" i="57" s="1"/>
  <c r="Q213" i="57"/>
  <c r="Q1829" i="57" s="1"/>
  <c r="O213" i="57"/>
  <c r="O1829" i="57" s="1"/>
  <c r="N213" i="57"/>
  <c r="N1829" i="57" s="1"/>
  <c r="M213" i="57"/>
  <c r="M1829" i="57" s="1"/>
  <c r="I213" i="57"/>
  <c r="S212" i="57"/>
  <c r="S1828" i="57" s="1"/>
  <c r="Q212" i="57"/>
  <c r="Q1828" i="57" s="1"/>
  <c r="O212" i="57"/>
  <c r="O1828" i="57" s="1"/>
  <c r="N212" i="57"/>
  <c r="N1828" i="57" s="1"/>
  <c r="M212" i="57"/>
  <c r="M1828" i="57" s="1"/>
  <c r="I212" i="57"/>
  <c r="S211" i="57"/>
  <c r="S1827" i="57" s="1"/>
  <c r="Q211" i="57"/>
  <c r="Q1827" i="57" s="1"/>
  <c r="O211" i="57"/>
  <c r="O1827" i="57" s="1"/>
  <c r="N211" i="57"/>
  <c r="N1827" i="57" s="1"/>
  <c r="M211" i="57"/>
  <c r="M1827" i="57" s="1"/>
  <c r="I211" i="57"/>
  <c r="S210" i="57"/>
  <c r="S1826" i="57" s="1"/>
  <c r="Q210" i="57"/>
  <c r="Q1826" i="57" s="1"/>
  <c r="O210" i="57"/>
  <c r="O1826" i="57" s="1"/>
  <c r="N210" i="57"/>
  <c r="N1826" i="57" s="1"/>
  <c r="M210" i="57"/>
  <c r="M1826" i="57" s="1"/>
  <c r="I210" i="57"/>
  <c r="S209" i="57"/>
  <c r="S1825" i="57" s="1"/>
  <c r="Q209" i="57"/>
  <c r="Q1825" i="57" s="1"/>
  <c r="O209" i="57"/>
  <c r="O1825" i="57" s="1"/>
  <c r="N209" i="57"/>
  <c r="N1825" i="57" s="1"/>
  <c r="M209" i="57"/>
  <c r="M1825" i="57" s="1"/>
  <c r="I209" i="57"/>
  <c r="S208" i="57"/>
  <c r="S1824" i="57" s="1"/>
  <c r="Q208" i="57"/>
  <c r="Q1824" i="57" s="1"/>
  <c r="O208" i="57"/>
  <c r="O1824" i="57" s="1"/>
  <c r="N208" i="57"/>
  <c r="N1824" i="57" s="1"/>
  <c r="M208" i="57"/>
  <c r="M1824" i="57" s="1"/>
  <c r="I208" i="57"/>
  <c r="S207" i="57"/>
  <c r="S1823" i="57" s="1"/>
  <c r="Q207" i="57"/>
  <c r="Q1823" i="57" s="1"/>
  <c r="O207" i="57"/>
  <c r="O1823" i="57" s="1"/>
  <c r="N207" i="57"/>
  <c r="N1823" i="57" s="1"/>
  <c r="M207" i="57"/>
  <c r="M1823" i="57" s="1"/>
  <c r="I207" i="57"/>
  <c r="S206" i="57"/>
  <c r="S1822" i="57" s="1"/>
  <c r="Q206" i="57"/>
  <c r="Q1822" i="57" s="1"/>
  <c r="O206" i="57"/>
  <c r="O1822" i="57" s="1"/>
  <c r="N206" i="57"/>
  <c r="N1822" i="57" s="1"/>
  <c r="M206" i="57"/>
  <c r="M1822" i="57" s="1"/>
  <c r="I206" i="57"/>
  <c r="S205" i="57"/>
  <c r="S1821" i="57" s="1"/>
  <c r="Q205" i="57"/>
  <c r="Q1821" i="57" s="1"/>
  <c r="O205" i="57"/>
  <c r="O1821" i="57" s="1"/>
  <c r="N205" i="57"/>
  <c r="N1821" i="57" s="1"/>
  <c r="M205" i="57"/>
  <c r="M1821" i="57" s="1"/>
  <c r="I205" i="57"/>
  <c r="S204" i="57"/>
  <c r="S1820" i="57" s="1"/>
  <c r="Q204" i="57"/>
  <c r="Q1820" i="57" s="1"/>
  <c r="O204" i="57"/>
  <c r="O1820" i="57" s="1"/>
  <c r="N204" i="57"/>
  <c r="N1820" i="57" s="1"/>
  <c r="M204" i="57"/>
  <c r="M1820" i="57" s="1"/>
  <c r="I204" i="57"/>
  <c r="S203" i="57"/>
  <c r="S1819" i="57" s="1"/>
  <c r="Q203" i="57"/>
  <c r="Q1819" i="57" s="1"/>
  <c r="O203" i="57"/>
  <c r="O1819" i="57" s="1"/>
  <c r="N203" i="57"/>
  <c r="N1819" i="57" s="1"/>
  <c r="M203" i="57"/>
  <c r="M1819" i="57" s="1"/>
  <c r="I203" i="57"/>
  <c r="S202" i="57"/>
  <c r="S1818" i="57" s="1"/>
  <c r="Q202" i="57"/>
  <c r="Q1818" i="57" s="1"/>
  <c r="O202" i="57"/>
  <c r="O1818" i="57" s="1"/>
  <c r="N202" i="57"/>
  <c r="N1818" i="57" s="1"/>
  <c r="M202" i="57"/>
  <c r="M1818" i="57" s="1"/>
  <c r="I202" i="57"/>
  <c r="S201" i="57"/>
  <c r="S1817" i="57" s="1"/>
  <c r="Q201" i="57"/>
  <c r="Q1817" i="57" s="1"/>
  <c r="O201" i="57"/>
  <c r="O1817" i="57" s="1"/>
  <c r="N201" i="57"/>
  <c r="N1817" i="57" s="1"/>
  <c r="M201" i="57"/>
  <c r="M1817" i="57" s="1"/>
  <c r="I201" i="57"/>
  <c r="S200" i="57"/>
  <c r="S1816" i="57" s="1"/>
  <c r="Q200" i="57"/>
  <c r="Q1816" i="57" s="1"/>
  <c r="O200" i="57"/>
  <c r="O1816" i="57" s="1"/>
  <c r="N200" i="57"/>
  <c r="N1816" i="57" s="1"/>
  <c r="M200" i="57"/>
  <c r="M1816" i="57" s="1"/>
  <c r="I200" i="57"/>
  <c r="S199" i="57"/>
  <c r="S1815" i="57" s="1"/>
  <c r="Q199" i="57"/>
  <c r="Q1815" i="57" s="1"/>
  <c r="O199" i="57"/>
  <c r="O1815" i="57" s="1"/>
  <c r="N199" i="57"/>
  <c r="N1815" i="57" s="1"/>
  <c r="M199" i="57"/>
  <c r="M1815" i="57" s="1"/>
  <c r="I199" i="57"/>
  <c r="S198" i="57"/>
  <c r="S1814" i="57" s="1"/>
  <c r="Q198" i="57"/>
  <c r="Q1814" i="57" s="1"/>
  <c r="O198" i="57"/>
  <c r="O1814" i="57" s="1"/>
  <c r="N198" i="57"/>
  <c r="N1814" i="57" s="1"/>
  <c r="M198" i="57"/>
  <c r="M1814" i="57" s="1"/>
  <c r="I198" i="57"/>
  <c r="S197" i="57"/>
  <c r="S1813" i="57" s="1"/>
  <c r="Q197" i="57"/>
  <c r="Q1813" i="57" s="1"/>
  <c r="O197" i="57"/>
  <c r="O1813" i="57" s="1"/>
  <c r="N197" i="57"/>
  <c r="N1813" i="57" s="1"/>
  <c r="M197" i="57"/>
  <c r="M1813" i="57" s="1"/>
  <c r="I197" i="57"/>
  <c r="S196" i="57"/>
  <c r="S1812" i="57" s="1"/>
  <c r="Q196" i="57"/>
  <c r="Q1812" i="57" s="1"/>
  <c r="O196" i="57"/>
  <c r="O1812" i="57" s="1"/>
  <c r="N196" i="57"/>
  <c r="N1812" i="57" s="1"/>
  <c r="M196" i="57"/>
  <c r="M1812" i="57" s="1"/>
  <c r="I196" i="57"/>
  <c r="S195" i="57"/>
  <c r="S1811" i="57" s="1"/>
  <c r="Q195" i="57"/>
  <c r="Q1811" i="57" s="1"/>
  <c r="O195" i="57"/>
  <c r="O1811" i="57" s="1"/>
  <c r="N195" i="57"/>
  <c r="N1811" i="57" s="1"/>
  <c r="M195" i="57"/>
  <c r="M1811" i="57" s="1"/>
  <c r="I195" i="57"/>
  <c r="S194" i="57"/>
  <c r="S1810" i="57" s="1"/>
  <c r="Q194" i="57"/>
  <c r="Q1810" i="57" s="1"/>
  <c r="O194" i="57"/>
  <c r="O1810" i="57" s="1"/>
  <c r="N194" i="57"/>
  <c r="N1810" i="57" s="1"/>
  <c r="M194" i="57"/>
  <c r="M1810" i="57" s="1"/>
  <c r="I194" i="57"/>
  <c r="S193" i="57"/>
  <c r="S1809" i="57" s="1"/>
  <c r="Q193" i="57"/>
  <c r="Q1809" i="57" s="1"/>
  <c r="O193" i="57"/>
  <c r="O1809" i="57" s="1"/>
  <c r="N193" i="57"/>
  <c r="N1809" i="57" s="1"/>
  <c r="M193" i="57"/>
  <c r="M1809" i="57" s="1"/>
  <c r="I193" i="57"/>
  <c r="S192" i="57"/>
  <c r="S1808" i="57" s="1"/>
  <c r="Q192" i="57"/>
  <c r="Q1808" i="57" s="1"/>
  <c r="O192" i="57"/>
  <c r="O1808" i="57" s="1"/>
  <c r="N192" i="57"/>
  <c r="N1808" i="57" s="1"/>
  <c r="M192" i="57"/>
  <c r="M1808" i="57" s="1"/>
  <c r="I192" i="57"/>
  <c r="S191" i="57"/>
  <c r="S1807" i="57" s="1"/>
  <c r="Q191" i="57"/>
  <c r="Q1807" i="57" s="1"/>
  <c r="O191" i="57"/>
  <c r="O1807" i="57" s="1"/>
  <c r="N191" i="57"/>
  <c r="N1807" i="57" s="1"/>
  <c r="M191" i="57"/>
  <c r="M1807" i="57" s="1"/>
  <c r="I191" i="57"/>
  <c r="S190" i="57"/>
  <c r="S1806" i="57" s="1"/>
  <c r="Q190" i="57"/>
  <c r="Q1806" i="57" s="1"/>
  <c r="O190" i="57"/>
  <c r="O1806" i="57" s="1"/>
  <c r="N190" i="57"/>
  <c r="N1806" i="57" s="1"/>
  <c r="M190" i="57"/>
  <c r="M1806" i="57" s="1"/>
  <c r="I190" i="57"/>
  <c r="S189" i="57"/>
  <c r="S1805" i="57" s="1"/>
  <c r="Q189" i="57"/>
  <c r="Q1805" i="57" s="1"/>
  <c r="O189" i="57"/>
  <c r="O1805" i="57" s="1"/>
  <c r="N189" i="57"/>
  <c r="N1805" i="57" s="1"/>
  <c r="M189" i="57"/>
  <c r="M1805" i="57" s="1"/>
  <c r="I189" i="57"/>
  <c r="S188" i="57"/>
  <c r="S1804" i="57" s="1"/>
  <c r="Q188" i="57"/>
  <c r="Q1804" i="57" s="1"/>
  <c r="O188" i="57"/>
  <c r="O1804" i="57" s="1"/>
  <c r="N188" i="57"/>
  <c r="N1804" i="57" s="1"/>
  <c r="M188" i="57"/>
  <c r="M1804" i="57" s="1"/>
  <c r="I188" i="57"/>
  <c r="S187" i="57"/>
  <c r="S1803" i="57" s="1"/>
  <c r="Q187" i="57"/>
  <c r="Q1803" i="57" s="1"/>
  <c r="O187" i="57"/>
  <c r="O1803" i="57" s="1"/>
  <c r="N187" i="57"/>
  <c r="N1803" i="57" s="1"/>
  <c r="M187" i="57"/>
  <c r="M1803" i="57" s="1"/>
  <c r="I187" i="57"/>
  <c r="S186" i="57"/>
  <c r="S1802" i="57" s="1"/>
  <c r="Q186" i="57"/>
  <c r="Q1802" i="57" s="1"/>
  <c r="O186" i="57"/>
  <c r="O1802" i="57" s="1"/>
  <c r="N186" i="57"/>
  <c r="N1802" i="57" s="1"/>
  <c r="M186" i="57"/>
  <c r="M1802" i="57" s="1"/>
  <c r="I186" i="57"/>
  <c r="S185" i="57"/>
  <c r="S1801" i="57" s="1"/>
  <c r="Q185" i="57"/>
  <c r="Q1801" i="57" s="1"/>
  <c r="O185" i="57"/>
  <c r="O1801" i="57" s="1"/>
  <c r="N185" i="57"/>
  <c r="N1801" i="57" s="1"/>
  <c r="M185" i="57"/>
  <c r="M1801" i="57" s="1"/>
  <c r="I185" i="57"/>
  <c r="S184" i="57"/>
  <c r="S1800" i="57" s="1"/>
  <c r="Q184" i="57"/>
  <c r="Q1800" i="57" s="1"/>
  <c r="O184" i="57"/>
  <c r="O1800" i="57" s="1"/>
  <c r="N184" i="57"/>
  <c r="N1800" i="57" s="1"/>
  <c r="M184" i="57"/>
  <c r="M1800" i="57" s="1"/>
  <c r="I184" i="57"/>
  <c r="S183" i="57"/>
  <c r="S1799" i="57" s="1"/>
  <c r="Q183" i="57"/>
  <c r="Q1799" i="57" s="1"/>
  <c r="O183" i="57"/>
  <c r="O1799" i="57" s="1"/>
  <c r="N183" i="57"/>
  <c r="N1799" i="57" s="1"/>
  <c r="M183" i="57"/>
  <c r="M1799" i="57" s="1"/>
  <c r="I183" i="57"/>
  <c r="S182" i="57"/>
  <c r="S1798" i="57" s="1"/>
  <c r="Q182" i="57"/>
  <c r="Q1798" i="57" s="1"/>
  <c r="O182" i="57"/>
  <c r="O1798" i="57" s="1"/>
  <c r="N182" i="57"/>
  <c r="N1798" i="57" s="1"/>
  <c r="M182" i="57"/>
  <c r="M1798" i="57" s="1"/>
  <c r="I182" i="57"/>
  <c r="S181" i="57"/>
  <c r="S1797" i="57" s="1"/>
  <c r="Q181" i="57"/>
  <c r="Q1797" i="57" s="1"/>
  <c r="O181" i="57"/>
  <c r="O1797" i="57" s="1"/>
  <c r="N181" i="57"/>
  <c r="N1797" i="57" s="1"/>
  <c r="M181" i="57"/>
  <c r="M1797" i="57" s="1"/>
  <c r="I181" i="57"/>
  <c r="S180" i="57"/>
  <c r="S1796" i="57" s="1"/>
  <c r="Q180" i="57"/>
  <c r="Q1796" i="57" s="1"/>
  <c r="O180" i="57"/>
  <c r="O1796" i="57" s="1"/>
  <c r="N180" i="57"/>
  <c r="N1796" i="57" s="1"/>
  <c r="M180" i="57"/>
  <c r="M1796" i="57" s="1"/>
  <c r="I180" i="57"/>
  <c r="S179" i="57"/>
  <c r="S1795" i="57" s="1"/>
  <c r="Q179" i="57"/>
  <c r="Q1795" i="57" s="1"/>
  <c r="O179" i="57"/>
  <c r="O1795" i="57" s="1"/>
  <c r="N179" i="57"/>
  <c r="N1795" i="57" s="1"/>
  <c r="M179" i="57"/>
  <c r="M1795" i="57" s="1"/>
  <c r="I179" i="57"/>
  <c r="S178" i="57"/>
  <c r="S1794" i="57" s="1"/>
  <c r="Q178" i="57"/>
  <c r="Q1794" i="57" s="1"/>
  <c r="O178" i="57"/>
  <c r="O1794" i="57" s="1"/>
  <c r="N178" i="57"/>
  <c r="N1794" i="57" s="1"/>
  <c r="M178" i="57"/>
  <c r="M1794" i="57" s="1"/>
  <c r="I178" i="57"/>
  <c r="S177" i="57"/>
  <c r="S1793" i="57" s="1"/>
  <c r="Q177" i="57"/>
  <c r="Q1793" i="57" s="1"/>
  <c r="O177" i="57"/>
  <c r="O1793" i="57" s="1"/>
  <c r="N177" i="57"/>
  <c r="N1793" i="57" s="1"/>
  <c r="M177" i="57"/>
  <c r="M1793" i="57" s="1"/>
  <c r="I177" i="57"/>
  <c r="S176" i="57"/>
  <c r="S1792" i="57" s="1"/>
  <c r="Q176" i="57"/>
  <c r="Q1792" i="57" s="1"/>
  <c r="O176" i="57"/>
  <c r="O1792" i="57" s="1"/>
  <c r="N176" i="57"/>
  <c r="N1792" i="57" s="1"/>
  <c r="M176" i="57"/>
  <c r="M1792" i="57" s="1"/>
  <c r="I176" i="57"/>
  <c r="S175" i="57"/>
  <c r="S1791" i="57" s="1"/>
  <c r="Q175" i="57"/>
  <c r="Q1791" i="57" s="1"/>
  <c r="O175" i="57"/>
  <c r="O1791" i="57" s="1"/>
  <c r="N175" i="57"/>
  <c r="N1791" i="57" s="1"/>
  <c r="M175" i="57"/>
  <c r="M1791" i="57" s="1"/>
  <c r="I175" i="57"/>
  <c r="S174" i="57"/>
  <c r="S1790" i="57" s="1"/>
  <c r="Q174" i="57"/>
  <c r="Q1790" i="57" s="1"/>
  <c r="O174" i="57"/>
  <c r="O1790" i="57" s="1"/>
  <c r="N174" i="57"/>
  <c r="N1790" i="57" s="1"/>
  <c r="M174" i="57"/>
  <c r="M1790" i="57" s="1"/>
  <c r="I174" i="57"/>
  <c r="S173" i="57"/>
  <c r="S1789" i="57" s="1"/>
  <c r="Q173" i="57"/>
  <c r="Q1789" i="57" s="1"/>
  <c r="O173" i="57"/>
  <c r="O1789" i="57" s="1"/>
  <c r="N173" i="57"/>
  <c r="N1789" i="57" s="1"/>
  <c r="M173" i="57"/>
  <c r="M1789" i="57" s="1"/>
  <c r="I173" i="57"/>
  <c r="S172" i="57"/>
  <c r="S1788" i="57" s="1"/>
  <c r="Q172" i="57"/>
  <c r="Q1788" i="57" s="1"/>
  <c r="O172" i="57"/>
  <c r="O1788" i="57" s="1"/>
  <c r="N172" i="57"/>
  <c r="N1788" i="57" s="1"/>
  <c r="M172" i="57"/>
  <c r="M1788" i="57" s="1"/>
  <c r="I172" i="57"/>
  <c r="S171" i="57"/>
  <c r="S1787" i="57" s="1"/>
  <c r="Q171" i="57"/>
  <c r="Q1787" i="57" s="1"/>
  <c r="O171" i="57"/>
  <c r="O1787" i="57" s="1"/>
  <c r="N171" i="57"/>
  <c r="N1787" i="57" s="1"/>
  <c r="M171" i="57"/>
  <c r="M1787" i="57" s="1"/>
  <c r="I171" i="57"/>
  <c r="S170" i="57"/>
  <c r="S1786" i="57" s="1"/>
  <c r="Q170" i="57"/>
  <c r="Q1786" i="57" s="1"/>
  <c r="O170" i="57"/>
  <c r="O1786" i="57" s="1"/>
  <c r="N170" i="57"/>
  <c r="N1786" i="57" s="1"/>
  <c r="M170" i="57"/>
  <c r="M1786" i="57" s="1"/>
  <c r="I170" i="57"/>
  <c r="S169" i="57"/>
  <c r="S1785" i="57" s="1"/>
  <c r="Q169" i="57"/>
  <c r="Q1785" i="57" s="1"/>
  <c r="O169" i="57"/>
  <c r="O1785" i="57" s="1"/>
  <c r="N169" i="57"/>
  <c r="N1785" i="57" s="1"/>
  <c r="M169" i="57"/>
  <c r="M1785" i="57" s="1"/>
  <c r="I169" i="57"/>
  <c r="S168" i="57"/>
  <c r="S1784" i="57" s="1"/>
  <c r="Q168" i="57"/>
  <c r="Q1784" i="57" s="1"/>
  <c r="O168" i="57"/>
  <c r="O1784" i="57" s="1"/>
  <c r="N168" i="57"/>
  <c r="N1784" i="57" s="1"/>
  <c r="M168" i="57"/>
  <c r="M1784" i="57" s="1"/>
  <c r="I168" i="57"/>
  <c r="S167" i="57"/>
  <c r="S1783" i="57" s="1"/>
  <c r="Q167" i="57"/>
  <c r="Q1783" i="57" s="1"/>
  <c r="O167" i="57"/>
  <c r="O1783" i="57" s="1"/>
  <c r="N167" i="57"/>
  <c r="N1783" i="57" s="1"/>
  <c r="M167" i="57"/>
  <c r="M1783" i="57" s="1"/>
  <c r="I167" i="57"/>
  <c r="S166" i="57"/>
  <c r="S1782" i="57" s="1"/>
  <c r="Q166" i="57"/>
  <c r="Q1782" i="57" s="1"/>
  <c r="O166" i="57"/>
  <c r="O1782" i="57" s="1"/>
  <c r="N166" i="57"/>
  <c r="N1782" i="57" s="1"/>
  <c r="M166" i="57"/>
  <c r="M1782" i="57" s="1"/>
  <c r="I166" i="57"/>
  <c r="S165" i="57"/>
  <c r="S1781" i="57" s="1"/>
  <c r="Q165" i="57"/>
  <c r="Q1781" i="57" s="1"/>
  <c r="O165" i="57"/>
  <c r="O1781" i="57" s="1"/>
  <c r="N165" i="57"/>
  <c r="N1781" i="57" s="1"/>
  <c r="M165" i="57"/>
  <c r="M1781" i="57" s="1"/>
  <c r="I165" i="57"/>
  <c r="S162" i="57"/>
  <c r="S1778" i="57" s="1"/>
  <c r="Q162" i="57"/>
  <c r="Q1778" i="57" s="1"/>
  <c r="O162" i="57"/>
  <c r="O1778" i="57" s="1"/>
  <c r="N162" i="57"/>
  <c r="N1778" i="57" s="1"/>
  <c r="M162" i="57"/>
  <c r="M1778" i="57" s="1"/>
  <c r="I162" i="57"/>
  <c r="S161" i="57"/>
  <c r="S1777" i="57" s="1"/>
  <c r="Q161" i="57"/>
  <c r="Q1777" i="57" s="1"/>
  <c r="O161" i="57"/>
  <c r="O1777" i="57" s="1"/>
  <c r="N161" i="57"/>
  <c r="N1777" i="57" s="1"/>
  <c r="M161" i="57"/>
  <c r="M1777" i="57" s="1"/>
  <c r="I161" i="57"/>
  <c r="S160" i="57"/>
  <c r="S1776" i="57" s="1"/>
  <c r="Q160" i="57"/>
  <c r="Q1776" i="57" s="1"/>
  <c r="O160" i="57"/>
  <c r="O1776" i="57" s="1"/>
  <c r="N160" i="57"/>
  <c r="N1776" i="57" s="1"/>
  <c r="M160" i="57"/>
  <c r="M1776" i="57" s="1"/>
  <c r="I160" i="57"/>
  <c r="S159" i="57"/>
  <c r="S1775" i="57" s="1"/>
  <c r="Q159" i="57"/>
  <c r="Q1775" i="57" s="1"/>
  <c r="O159" i="57"/>
  <c r="O1775" i="57" s="1"/>
  <c r="N159" i="57"/>
  <c r="N1775" i="57" s="1"/>
  <c r="M159" i="57"/>
  <c r="M1775" i="57" s="1"/>
  <c r="I159" i="57"/>
  <c r="S158" i="57"/>
  <c r="S1774" i="57" s="1"/>
  <c r="Q158" i="57"/>
  <c r="Q1774" i="57" s="1"/>
  <c r="O158" i="57"/>
  <c r="O1774" i="57" s="1"/>
  <c r="N158" i="57"/>
  <c r="N1774" i="57" s="1"/>
  <c r="M158" i="57"/>
  <c r="M1774" i="57" s="1"/>
  <c r="I158" i="57"/>
  <c r="S157" i="57"/>
  <c r="S1773" i="57" s="1"/>
  <c r="Q157" i="57"/>
  <c r="Q1773" i="57" s="1"/>
  <c r="O157" i="57"/>
  <c r="O1773" i="57" s="1"/>
  <c r="N157" i="57"/>
  <c r="N1773" i="57" s="1"/>
  <c r="M157" i="57"/>
  <c r="M1773" i="57" s="1"/>
  <c r="I157" i="57"/>
  <c r="S156" i="57"/>
  <c r="S1772" i="57" s="1"/>
  <c r="Q156" i="57"/>
  <c r="Q1772" i="57" s="1"/>
  <c r="O156" i="57"/>
  <c r="O1772" i="57" s="1"/>
  <c r="N156" i="57"/>
  <c r="N1772" i="57" s="1"/>
  <c r="M156" i="57"/>
  <c r="M1772" i="57" s="1"/>
  <c r="I156" i="57"/>
  <c r="S155" i="57"/>
  <c r="S1771" i="57" s="1"/>
  <c r="Q155" i="57"/>
  <c r="Q1771" i="57" s="1"/>
  <c r="O155" i="57"/>
  <c r="O1771" i="57" s="1"/>
  <c r="N155" i="57"/>
  <c r="N1771" i="57" s="1"/>
  <c r="M155" i="57"/>
  <c r="M1771" i="57" s="1"/>
  <c r="I155" i="57"/>
  <c r="S154" i="57"/>
  <c r="S1770" i="57" s="1"/>
  <c r="Q154" i="57"/>
  <c r="Q1770" i="57" s="1"/>
  <c r="O154" i="57"/>
  <c r="O1770" i="57" s="1"/>
  <c r="N154" i="57"/>
  <c r="N1770" i="57" s="1"/>
  <c r="M154" i="57"/>
  <c r="M1770" i="57" s="1"/>
  <c r="I154" i="57"/>
  <c r="S153" i="57"/>
  <c r="S1769" i="57" s="1"/>
  <c r="Q153" i="57"/>
  <c r="Q1769" i="57" s="1"/>
  <c r="O153" i="57"/>
  <c r="O1769" i="57" s="1"/>
  <c r="N153" i="57"/>
  <c r="N1769" i="57" s="1"/>
  <c r="M153" i="57"/>
  <c r="M1769" i="57" s="1"/>
  <c r="I153" i="57"/>
  <c r="S152" i="57"/>
  <c r="S1768" i="57" s="1"/>
  <c r="Q152" i="57"/>
  <c r="Q1768" i="57" s="1"/>
  <c r="O152" i="57"/>
  <c r="O1768" i="57" s="1"/>
  <c r="N152" i="57"/>
  <c r="N1768" i="57" s="1"/>
  <c r="M152" i="57"/>
  <c r="M1768" i="57" s="1"/>
  <c r="I152" i="57"/>
  <c r="S151" i="57"/>
  <c r="S1767" i="57" s="1"/>
  <c r="Q151" i="57"/>
  <c r="Q1767" i="57" s="1"/>
  <c r="O151" i="57"/>
  <c r="O1767" i="57" s="1"/>
  <c r="N151" i="57"/>
  <c r="N1767" i="57" s="1"/>
  <c r="M151" i="57"/>
  <c r="M1767" i="57" s="1"/>
  <c r="I151" i="57"/>
  <c r="S150" i="57"/>
  <c r="S1766" i="57" s="1"/>
  <c r="Q150" i="57"/>
  <c r="Q1766" i="57" s="1"/>
  <c r="O150" i="57"/>
  <c r="O1766" i="57" s="1"/>
  <c r="N150" i="57"/>
  <c r="N1766" i="57" s="1"/>
  <c r="M150" i="57"/>
  <c r="M1766" i="57" s="1"/>
  <c r="I150" i="57"/>
  <c r="S149" i="57"/>
  <c r="S1765" i="57" s="1"/>
  <c r="Q149" i="57"/>
  <c r="Q1765" i="57" s="1"/>
  <c r="O149" i="57"/>
  <c r="O1765" i="57" s="1"/>
  <c r="N149" i="57"/>
  <c r="N1765" i="57" s="1"/>
  <c r="M149" i="57"/>
  <c r="M1765" i="57" s="1"/>
  <c r="I149" i="57"/>
  <c r="S148" i="57"/>
  <c r="S1764" i="57" s="1"/>
  <c r="Q148" i="57"/>
  <c r="Q1764" i="57" s="1"/>
  <c r="O148" i="57"/>
  <c r="O1764" i="57" s="1"/>
  <c r="N148" i="57"/>
  <c r="N1764" i="57" s="1"/>
  <c r="M148" i="57"/>
  <c r="M1764" i="57" s="1"/>
  <c r="I148" i="57"/>
  <c r="S147" i="57"/>
  <c r="S1763" i="57" s="1"/>
  <c r="Q147" i="57"/>
  <c r="Q1763" i="57" s="1"/>
  <c r="O147" i="57"/>
  <c r="O1763" i="57" s="1"/>
  <c r="N147" i="57"/>
  <c r="N1763" i="57" s="1"/>
  <c r="M147" i="57"/>
  <c r="M1763" i="57" s="1"/>
  <c r="I147" i="57"/>
  <c r="S146" i="57"/>
  <c r="S1762" i="57" s="1"/>
  <c r="Q146" i="57"/>
  <c r="Q1762" i="57" s="1"/>
  <c r="O146" i="57"/>
  <c r="O1762" i="57" s="1"/>
  <c r="N146" i="57"/>
  <c r="N1762" i="57" s="1"/>
  <c r="M146" i="57"/>
  <c r="M1762" i="57" s="1"/>
  <c r="I146" i="57"/>
  <c r="S145" i="57"/>
  <c r="S1761" i="57" s="1"/>
  <c r="Q145" i="57"/>
  <c r="Q1761" i="57" s="1"/>
  <c r="O145" i="57"/>
  <c r="O1761" i="57" s="1"/>
  <c r="N145" i="57"/>
  <c r="N1761" i="57" s="1"/>
  <c r="M145" i="57"/>
  <c r="M1761" i="57" s="1"/>
  <c r="I145" i="57"/>
  <c r="S144" i="57"/>
  <c r="S1760" i="57" s="1"/>
  <c r="Q144" i="57"/>
  <c r="Q1760" i="57" s="1"/>
  <c r="O144" i="57"/>
  <c r="O1760" i="57" s="1"/>
  <c r="N144" i="57"/>
  <c r="N1760" i="57" s="1"/>
  <c r="M144" i="57"/>
  <c r="M1760" i="57" s="1"/>
  <c r="I144" i="57"/>
  <c r="S143" i="57"/>
  <c r="S1759" i="57" s="1"/>
  <c r="Q143" i="57"/>
  <c r="Q1759" i="57" s="1"/>
  <c r="O143" i="57"/>
  <c r="O1759" i="57" s="1"/>
  <c r="N143" i="57"/>
  <c r="N1759" i="57" s="1"/>
  <c r="M143" i="57"/>
  <c r="M1759" i="57" s="1"/>
  <c r="I143" i="57"/>
  <c r="S142" i="57"/>
  <c r="S1758" i="57" s="1"/>
  <c r="Q142" i="57"/>
  <c r="Q1758" i="57" s="1"/>
  <c r="O142" i="57"/>
  <c r="O1758" i="57" s="1"/>
  <c r="N142" i="57"/>
  <c r="N1758" i="57" s="1"/>
  <c r="M142" i="57"/>
  <c r="M1758" i="57" s="1"/>
  <c r="I142" i="57"/>
  <c r="S141" i="57"/>
  <c r="S1757" i="57" s="1"/>
  <c r="Q141" i="57"/>
  <c r="Q1757" i="57" s="1"/>
  <c r="O141" i="57"/>
  <c r="O1757" i="57" s="1"/>
  <c r="N141" i="57"/>
  <c r="N1757" i="57" s="1"/>
  <c r="M141" i="57"/>
  <c r="M1757" i="57" s="1"/>
  <c r="I141" i="57"/>
  <c r="S140" i="57"/>
  <c r="S1756" i="57" s="1"/>
  <c r="Q140" i="57"/>
  <c r="Q1756" i="57" s="1"/>
  <c r="O140" i="57"/>
  <c r="O1756" i="57" s="1"/>
  <c r="N140" i="57"/>
  <c r="N1756" i="57" s="1"/>
  <c r="M140" i="57"/>
  <c r="M1756" i="57" s="1"/>
  <c r="I140" i="57"/>
  <c r="S139" i="57"/>
  <c r="S1755" i="57" s="1"/>
  <c r="Q139" i="57"/>
  <c r="Q1755" i="57" s="1"/>
  <c r="O139" i="57"/>
  <c r="O1755" i="57" s="1"/>
  <c r="N139" i="57"/>
  <c r="N1755" i="57" s="1"/>
  <c r="M139" i="57"/>
  <c r="M1755" i="57" s="1"/>
  <c r="I139" i="57"/>
  <c r="S138" i="57"/>
  <c r="S1754" i="57" s="1"/>
  <c r="Q138" i="57"/>
  <c r="Q1754" i="57" s="1"/>
  <c r="O138" i="57"/>
  <c r="O1754" i="57" s="1"/>
  <c r="N138" i="57"/>
  <c r="N1754" i="57" s="1"/>
  <c r="M138" i="57"/>
  <c r="M1754" i="57" s="1"/>
  <c r="I138" i="57"/>
  <c r="S137" i="57"/>
  <c r="S1753" i="57" s="1"/>
  <c r="Q137" i="57"/>
  <c r="Q1753" i="57" s="1"/>
  <c r="O137" i="57"/>
  <c r="O1753" i="57" s="1"/>
  <c r="N137" i="57"/>
  <c r="N1753" i="57" s="1"/>
  <c r="M137" i="57"/>
  <c r="M1753" i="57" s="1"/>
  <c r="I137" i="57"/>
  <c r="S136" i="57"/>
  <c r="S1752" i="57" s="1"/>
  <c r="Q136" i="57"/>
  <c r="Q1752" i="57" s="1"/>
  <c r="O136" i="57"/>
  <c r="O1752" i="57" s="1"/>
  <c r="N136" i="57"/>
  <c r="N1752" i="57" s="1"/>
  <c r="M136" i="57"/>
  <c r="M1752" i="57" s="1"/>
  <c r="I136" i="57"/>
  <c r="S135" i="57"/>
  <c r="S1751" i="57" s="1"/>
  <c r="Q135" i="57"/>
  <c r="Q1751" i="57" s="1"/>
  <c r="O135" i="57"/>
  <c r="O1751" i="57" s="1"/>
  <c r="N135" i="57"/>
  <c r="N1751" i="57" s="1"/>
  <c r="M135" i="57"/>
  <c r="M1751" i="57" s="1"/>
  <c r="I135" i="57"/>
  <c r="S134" i="57"/>
  <c r="S1750" i="57" s="1"/>
  <c r="Q134" i="57"/>
  <c r="Q1750" i="57" s="1"/>
  <c r="O134" i="57"/>
  <c r="O1750" i="57" s="1"/>
  <c r="N134" i="57"/>
  <c r="N1750" i="57" s="1"/>
  <c r="M134" i="57"/>
  <c r="M1750" i="57" s="1"/>
  <c r="I134" i="57"/>
  <c r="S133" i="57"/>
  <c r="S1749" i="57" s="1"/>
  <c r="Q133" i="57"/>
  <c r="Q1749" i="57" s="1"/>
  <c r="O133" i="57"/>
  <c r="O1749" i="57" s="1"/>
  <c r="N133" i="57"/>
  <c r="N1749" i="57" s="1"/>
  <c r="M133" i="57"/>
  <c r="M1749" i="57" s="1"/>
  <c r="I133" i="57"/>
  <c r="S132" i="57"/>
  <c r="S1748" i="57" s="1"/>
  <c r="Q132" i="57"/>
  <c r="Q1748" i="57" s="1"/>
  <c r="O132" i="57"/>
  <c r="O1748" i="57" s="1"/>
  <c r="N132" i="57"/>
  <c r="N1748" i="57" s="1"/>
  <c r="M132" i="57"/>
  <c r="M1748" i="57" s="1"/>
  <c r="I132" i="57"/>
  <c r="S131" i="57"/>
  <c r="S1747" i="57" s="1"/>
  <c r="Q131" i="57"/>
  <c r="Q1747" i="57" s="1"/>
  <c r="O131" i="57"/>
  <c r="O1747" i="57" s="1"/>
  <c r="N131" i="57"/>
  <c r="N1747" i="57" s="1"/>
  <c r="M131" i="57"/>
  <c r="M1747" i="57" s="1"/>
  <c r="I131" i="57"/>
  <c r="S130" i="57"/>
  <c r="S1746" i="57" s="1"/>
  <c r="Q130" i="57"/>
  <c r="Q1746" i="57" s="1"/>
  <c r="O130" i="57"/>
  <c r="O1746" i="57" s="1"/>
  <c r="N130" i="57"/>
  <c r="N1746" i="57" s="1"/>
  <c r="M130" i="57"/>
  <c r="M1746" i="57" s="1"/>
  <c r="I130" i="57"/>
  <c r="S129" i="57"/>
  <c r="S1745" i="57" s="1"/>
  <c r="Q129" i="57"/>
  <c r="Q1745" i="57" s="1"/>
  <c r="O129" i="57"/>
  <c r="O1745" i="57" s="1"/>
  <c r="N129" i="57"/>
  <c r="N1745" i="57" s="1"/>
  <c r="M129" i="57"/>
  <c r="M1745" i="57" s="1"/>
  <c r="I129" i="57"/>
  <c r="S128" i="57"/>
  <c r="S1744" i="57" s="1"/>
  <c r="Q128" i="57"/>
  <c r="Q1744" i="57" s="1"/>
  <c r="O128" i="57"/>
  <c r="O1744" i="57" s="1"/>
  <c r="N128" i="57"/>
  <c r="N1744" i="57" s="1"/>
  <c r="M128" i="57"/>
  <c r="M1744" i="57" s="1"/>
  <c r="I128" i="57"/>
  <c r="S127" i="57"/>
  <c r="S1743" i="57" s="1"/>
  <c r="Q127" i="57"/>
  <c r="Q1743" i="57" s="1"/>
  <c r="O127" i="57"/>
  <c r="O1743" i="57" s="1"/>
  <c r="N127" i="57"/>
  <c r="N1743" i="57" s="1"/>
  <c r="M127" i="57"/>
  <c r="M1743" i="57" s="1"/>
  <c r="I127" i="57"/>
  <c r="S126" i="57"/>
  <c r="S1742" i="57" s="1"/>
  <c r="Q126" i="57"/>
  <c r="Q1742" i="57" s="1"/>
  <c r="O126" i="57"/>
  <c r="O1742" i="57" s="1"/>
  <c r="N126" i="57"/>
  <c r="N1742" i="57" s="1"/>
  <c r="M126" i="57"/>
  <c r="M1742" i="57" s="1"/>
  <c r="I126" i="57"/>
  <c r="S125" i="57"/>
  <c r="S1741" i="57" s="1"/>
  <c r="Q125" i="57"/>
  <c r="Q1741" i="57" s="1"/>
  <c r="O125" i="57"/>
  <c r="O1741" i="57" s="1"/>
  <c r="N125" i="57"/>
  <c r="N1741" i="57" s="1"/>
  <c r="M125" i="57"/>
  <c r="M1741" i="57" s="1"/>
  <c r="I125" i="57"/>
  <c r="S124" i="57"/>
  <c r="S1740" i="57" s="1"/>
  <c r="Q124" i="57"/>
  <c r="Q1740" i="57" s="1"/>
  <c r="O124" i="57"/>
  <c r="O1740" i="57" s="1"/>
  <c r="N124" i="57"/>
  <c r="N1740" i="57" s="1"/>
  <c r="M124" i="57"/>
  <c r="M1740" i="57" s="1"/>
  <c r="I124" i="57"/>
  <c r="S123" i="57"/>
  <c r="S1739" i="57" s="1"/>
  <c r="Q123" i="57"/>
  <c r="Q1739" i="57" s="1"/>
  <c r="O123" i="57"/>
  <c r="O1739" i="57" s="1"/>
  <c r="N123" i="57"/>
  <c r="N1739" i="57" s="1"/>
  <c r="M123" i="57"/>
  <c r="M1739" i="57" s="1"/>
  <c r="I123" i="57"/>
  <c r="S122" i="57"/>
  <c r="S1738" i="57" s="1"/>
  <c r="Q122" i="57"/>
  <c r="Q1738" i="57" s="1"/>
  <c r="O122" i="57"/>
  <c r="O1738" i="57" s="1"/>
  <c r="N122" i="57"/>
  <c r="N1738" i="57" s="1"/>
  <c r="M122" i="57"/>
  <c r="M1738" i="57" s="1"/>
  <c r="I122" i="57"/>
  <c r="S121" i="57"/>
  <c r="S1737" i="57" s="1"/>
  <c r="Q121" i="57"/>
  <c r="Q1737" i="57" s="1"/>
  <c r="O121" i="57"/>
  <c r="O1737" i="57" s="1"/>
  <c r="N121" i="57"/>
  <c r="N1737" i="57" s="1"/>
  <c r="M121" i="57"/>
  <c r="M1737" i="57" s="1"/>
  <c r="I121" i="57"/>
  <c r="S120" i="57"/>
  <c r="S1736" i="57" s="1"/>
  <c r="Q120" i="57"/>
  <c r="Q1736" i="57" s="1"/>
  <c r="O120" i="57"/>
  <c r="O1736" i="57" s="1"/>
  <c r="N120" i="57"/>
  <c r="N1736" i="57" s="1"/>
  <c r="M120" i="57"/>
  <c r="M1736" i="57" s="1"/>
  <c r="I120" i="57"/>
  <c r="S119" i="57"/>
  <c r="S1735" i="57" s="1"/>
  <c r="Q119" i="57"/>
  <c r="Q1735" i="57" s="1"/>
  <c r="O119" i="57"/>
  <c r="O1735" i="57" s="1"/>
  <c r="N119" i="57"/>
  <c r="N1735" i="57" s="1"/>
  <c r="M119" i="57"/>
  <c r="M1735" i="57" s="1"/>
  <c r="I119" i="57"/>
  <c r="S118" i="57"/>
  <c r="S1734" i="57" s="1"/>
  <c r="Q118" i="57"/>
  <c r="Q1734" i="57" s="1"/>
  <c r="O118" i="57"/>
  <c r="O1734" i="57" s="1"/>
  <c r="N118" i="57"/>
  <c r="N1734" i="57" s="1"/>
  <c r="M118" i="57"/>
  <c r="M1734" i="57" s="1"/>
  <c r="I118" i="57"/>
  <c r="S117" i="57"/>
  <c r="S1733" i="57" s="1"/>
  <c r="Q117" i="57"/>
  <c r="Q1733" i="57" s="1"/>
  <c r="O117" i="57"/>
  <c r="O1733" i="57" s="1"/>
  <c r="N117" i="57"/>
  <c r="N1733" i="57" s="1"/>
  <c r="M117" i="57"/>
  <c r="M1733" i="57" s="1"/>
  <c r="I117" i="57"/>
  <c r="S116" i="57"/>
  <c r="S1732" i="57" s="1"/>
  <c r="Q116" i="57"/>
  <c r="Q1732" i="57" s="1"/>
  <c r="O116" i="57"/>
  <c r="O1732" i="57" s="1"/>
  <c r="N116" i="57"/>
  <c r="N1732" i="57" s="1"/>
  <c r="M116" i="57"/>
  <c r="M1732" i="57" s="1"/>
  <c r="I116" i="57"/>
  <c r="S115" i="57"/>
  <c r="S1731" i="57" s="1"/>
  <c r="Q115" i="57"/>
  <c r="Q1731" i="57" s="1"/>
  <c r="O115" i="57"/>
  <c r="O1731" i="57" s="1"/>
  <c r="N115" i="57"/>
  <c r="N1731" i="57" s="1"/>
  <c r="M115" i="57"/>
  <c r="M1731" i="57" s="1"/>
  <c r="I115" i="57"/>
  <c r="S114" i="57"/>
  <c r="S1730" i="57" s="1"/>
  <c r="Q114" i="57"/>
  <c r="Q1730" i="57" s="1"/>
  <c r="O114" i="57"/>
  <c r="O1730" i="57" s="1"/>
  <c r="N114" i="57"/>
  <c r="N1730" i="57" s="1"/>
  <c r="M114" i="57"/>
  <c r="M1730" i="57" s="1"/>
  <c r="I114" i="57"/>
  <c r="S113" i="57"/>
  <c r="S1729" i="57" s="1"/>
  <c r="Q113" i="57"/>
  <c r="Q1729" i="57" s="1"/>
  <c r="O113" i="57"/>
  <c r="O1729" i="57" s="1"/>
  <c r="N113" i="57"/>
  <c r="N1729" i="57" s="1"/>
  <c r="M113" i="57"/>
  <c r="M1729" i="57" s="1"/>
  <c r="I113" i="57"/>
  <c r="S110" i="57"/>
  <c r="S1726" i="57" s="1"/>
  <c r="Q110" i="57"/>
  <c r="Q1726" i="57" s="1"/>
  <c r="O110" i="57"/>
  <c r="O1726" i="57" s="1"/>
  <c r="N110" i="57"/>
  <c r="N1726" i="57" s="1"/>
  <c r="M110" i="57"/>
  <c r="M1726" i="57" s="1"/>
  <c r="I110" i="57"/>
  <c r="D110" i="57"/>
  <c r="D162" i="57" s="1"/>
  <c r="S109" i="57"/>
  <c r="S1725" i="57" s="1"/>
  <c r="Q109" i="57"/>
  <c r="Q1725" i="57" s="1"/>
  <c r="O109" i="57"/>
  <c r="O1725" i="57" s="1"/>
  <c r="N109" i="57"/>
  <c r="N1725" i="57" s="1"/>
  <c r="M109" i="57"/>
  <c r="M1725" i="57" s="1"/>
  <c r="I109" i="57"/>
  <c r="D109" i="57"/>
  <c r="D161" i="57" s="1"/>
  <c r="S108" i="57"/>
  <c r="S1724" i="57" s="1"/>
  <c r="Q108" i="57"/>
  <c r="Q1724" i="57" s="1"/>
  <c r="O108" i="57"/>
  <c r="O1724" i="57" s="1"/>
  <c r="N108" i="57"/>
  <c r="N1724" i="57" s="1"/>
  <c r="M108" i="57"/>
  <c r="M1724" i="57" s="1"/>
  <c r="I108" i="57"/>
  <c r="D108" i="57"/>
  <c r="D160" i="57" s="1"/>
  <c r="S107" i="57"/>
  <c r="S1723" i="57" s="1"/>
  <c r="Q107" i="57"/>
  <c r="Q1723" i="57" s="1"/>
  <c r="O107" i="57"/>
  <c r="O1723" i="57" s="1"/>
  <c r="N107" i="57"/>
  <c r="N1723" i="57" s="1"/>
  <c r="M107" i="57"/>
  <c r="M1723" i="57" s="1"/>
  <c r="I107" i="57"/>
  <c r="D107" i="57"/>
  <c r="D159" i="57" s="1"/>
  <c r="S106" i="57"/>
  <c r="S1722" i="57" s="1"/>
  <c r="Q106" i="57"/>
  <c r="Q1722" i="57" s="1"/>
  <c r="O106" i="57"/>
  <c r="O1722" i="57" s="1"/>
  <c r="N106" i="57"/>
  <c r="N1722" i="57" s="1"/>
  <c r="M106" i="57"/>
  <c r="M1722" i="57" s="1"/>
  <c r="I106" i="57"/>
  <c r="D106" i="57"/>
  <c r="D158" i="57" s="1"/>
  <c r="S105" i="57"/>
  <c r="S1721" i="57" s="1"/>
  <c r="Q105" i="57"/>
  <c r="Q1721" i="57" s="1"/>
  <c r="O105" i="57"/>
  <c r="O1721" i="57" s="1"/>
  <c r="N105" i="57"/>
  <c r="N1721" i="57" s="1"/>
  <c r="M105" i="57"/>
  <c r="M1721" i="57" s="1"/>
  <c r="I105" i="57"/>
  <c r="D105" i="57"/>
  <c r="D157" i="57" s="1"/>
  <c r="S104" i="57"/>
  <c r="S1720" i="57" s="1"/>
  <c r="Q104" i="57"/>
  <c r="Q1720" i="57" s="1"/>
  <c r="O104" i="57"/>
  <c r="O1720" i="57" s="1"/>
  <c r="N104" i="57"/>
  <c r="N1720" i="57" s="1"/>
  <c r="M104" i="57"/>
  <c r="M1720" i="57" s="1"/>
  <c r="I104" i="57"/>
  <c r="D104" i="57"/>
  <c r="D156" i="57" s="1"/>
  <c r="S103" i="57"/>
  <c r="S1719" i="57" s="1"/>
  <c r="Q103" i="57"/>
  <c r="Q1719" i="57" s="1"/>
  <c r="O103" i="57"/>
  <c r="O1719" i="57" s="1"/>
  <c r="N103" i="57"/>
  <c r="N1719" i="57" s="1"/>
  <c r="M103" i="57"/>
  <c r="M1719" i="57" s="1"/>
  <c r="I103" i="57"/>
  <c r="D103" i="57"/>
  <c r="D155" i="57" s="1"/>
  <c r="S102" i="57"/>
  <c r="S1718" i="57" s="1"/>
  <c r="Q102" i="57"/>
  <c r="Q1718" i="57" s="1"/>
  <c r="O102" i="57"/>
  <c r="O1718" i="57" s="1"/>
  <c r="N102" i="57"/>
  <c r="N1718" i="57" s="1"/>
  <c r="M102" i="57"/>
  <c r="M1718" i="57" s="1"/>
  <c r="I102" i="57"/>
  <c r="D102" i="57"/>
  <c r="D154" i="57" s="1"/>
  <c r="S101" i="57"/>
  <c r="S1717" i="57" s="1"/>
  <c r="Q101" i="57"/>
  <c r="Q1717" i="57" s="1"/>
  <c r="O101" i="57"/>
  <c r="O1717" i="57" s="1"/>
  <c r="N101" i="57"/>
  <c r="N1717" i="57" s="1"/>
  <c r="M101" i="57"/>
  <c r="M1717" i="57" s="1"/>
  <c r="I101" i="57"/>
  <c r="D101" i="57"/>
  <c r="D153" i="57" s="1"/>
  <c r="S100" i="57"/>
  <c r="S1716" i="57" s="1"/>
  <c r="Q100" i="57"/>
  <c r="Q1716" i="57" s="1"/>
  <c r="O100" i="57"/>
  <c r="O1716" i="57" s="1"/>
  <c r="N100" i="57"/>
  <c r="N1716" i="57" s="1"/>
  <c r="M100" i="57"/>
  <c r="M1716" i="57" s="1"/>
  <c r="I100" i="57"/>
  <c r="D100" i="57"/>
  <c r="D152" i="57" s="1"/>
  <c r="S99" i="57"/>
  <c r="S1715" i="57" s="1"/>
  <c r="Q99" i="57"/>
  <c r="Q1715" i="57" s="1"/>
  <c r="O99" i="57"/>
  <c r="O1715" i="57" s="1"/>
  <c r="N99" i="57"/>
  <c r="N1715" i="57" s="1"/>
  <c r="M99" i="57"/>
  <c r="M1715" i="57" s="1"/>
  <c r="I99" i="57"/>
  <c r="D99" i="57"/>
  <c r="D151" i="57" s="1"/>
  <c r="S98" i="57"/>
  <c r="S1714" i="57" s="1"/>
  <c r="Q98" i="57"/>
  <c r="Q1714" i="57" s="1"/>
  <c r="O98" i="57"/>
  <c r="O1714" i="57" s="1"/>
  <c r="N98" i="57"/>
  <c r="N1714" i="57" s="1"/>
  <c r="M98" i="57"/>
  <c r="M1714" i="57" s="1"/>
  <c r="I98" i="57"/>
  <c r="D98" i="57"/>
  <c r="D150" i="57" s="1"/>
  <c r="S97" i="57"/>
  <c r="S1713" i="57" s="1"/>
  <c r="Q97" i="57"/>
  <c r="Q1713" i="57" s="1"/>
  <c r="O97" i="57"/>
  <c r="O1713" i="57" s="1"/>
  <c r="N97" i="57"/>
  <c r="N1713" i="57" s="1"/>
  <c r="M97" i="57"/>
  <c r="M1713" i="57" s="1"/>
  <c r="I97" i="57"/>
  <c r="D97" i="57"/>
  <c r="D149" i="57" s="1"/>
  <c r="S96" i="57"/>
  <c r="S1712" i="57" s="1"/>
  <c r="Q96" i="57"/>
  <c r="Q1712" i="57" s="1"/>
  <c r="O96" i="57"/>
  <c r="O1712" i="57" s="1"/>
  <c r="N96" i="57"/>
  <c r="N1712" i="57" s="1"/>
  <c r="M96" i="57"/>
  <c r="M1712" i="57" s="1"/>
  <c r="I96" i="57"/>
  <c r="D96" i="57"/>
  <c r="D148" i="57" s="1"/>
  <c r="S95" i="57"/>
  <c r="S1711" i="57" s="1"/>
  <c r="Q95" i="57"/>
  <c r="Q1711" i="57" s="1"/>
  <c r="O95" i="57"/>
  <c r="O1711" i="57" s="1"/>
  <c r="N95" i="57"/>
  <c r="N1711" i="57" s="1"/>
  <c r="M95" i="57"/>
  <c r="M1711" i="57" s="1"/>
  <c r="I95" i="57"/>
  <c r="D95" i="57"/>
  <c r="D147" i="57" s="1"/>
  <c r="S94" i="57"/>
  <c r="S1710" i="57" s="1"/>
  <c r="Q94" i="57"/>
  <c r="Q1710" i="57" s="1"/>
  <c r="O94" i="57"/>
  <c r="O1710" i="57" s="1"/>
  <c r="N94" i="57"/>
  <c r="N1710" i="57" s="1"/>
  <c r="M94" i="57"/>
  <c r="M1710" i="57" s="1"/>
  <c r="I94" i="57"/>
  <c r="D94" i="57"/>
  <c r="D146" i="57" s="1"/>
  <c r="S93" i="57"/>
  <c r="S1709" i="57" s="1"/>
  <c r="Q93" i="57"/>
  <c r="Q1709" i="57" s="1"/>
  <c r="O93" i="57"/>
  <c r="O1709" i="57" s="1"/>
  <c r="N93" i="57"/>
  <c r="N1709" i="57" s="1"/>
  <c r="M93" i="57"/>
  <c r="M1709" i="57" s="1"/>
  <c r="I93" i="57"/>
  <c r="D93" i="57"/>
  <c r="D145" i="57" s="1"/>
  <c r="S92" i="57"/>
  <c r="S1708" i="57" s="1"/>
  <c r="Q92" i="57"/>
  <c r="Q1708" i="57" s="1"/>
  <c r="O92" i="57"/>
  <c r="O1708" i="57" s="1"/>
  <c r="N92" i="57"/>
  <c r="N1708" i="57" s="1"/>
  <c r="M92" i="57"/>
  <c r="M1708" i="57" s="1"/>
  <c r="I92" i="57"/>
  <c r="D92" i="57"/>
  <c r="D144" i="57" s="1"/>
  <c r="S91" i="57"/>
  <c r="S1707" i="57" s="1"/>
  <c r="Q91" i="57"/>
  <c r="Q1707" i="57" s="1"/>
  <c r="O91" i="57"/>
  <c r="O1707" i="57" s="1"/>
  <c r="N91" i="57"/>
  <c r="N1707" i="57" s="1"/>
  <c r="M91" i="57"/>
  <c r="M1707" i="57" s="1"/>
  <c r="I91" i="57"/>
  <c r="D91" i="57"/>
  <c r="D143" i="57" s="1"/>
  <c r="S90" i="57"/>
  <c r="S1706" i="57" s="1"/>
  <c r="Q90" i="57"/>
  <c r="Q1706" i="57" s="1"/>
  <c r="O90" i="57"/>
  <c r="O1706" i="57" s="1"/>
  <c r="N90" i="57"/>
  <c r="N1706" i="57" s="1"/>
  <c r="M90" i="57"/>
  <c r="M1706" i="57" s="1"/>
  <c r="I90" i="57"/>
  <c r="D90" i="57"/>
  <c r="D142" i="57" s="1"/>
  <c r="S89" i="57"/>
  <c r="S1705" i="57" s="1"/>
  <c r="Q89" i="57"/>
  <c r="Q1705" i="57" s="1"/>
  <c r="O89" i="57"/>
  <c r="O1705" i="57" s="1"/>
  <c r="N89" i="57"/>
  <c r="N1705" i="57" s="1"/>
  <c r="M89" i="57"/>
  <c r="M1705" i="57" s="1"/>
  <c r="I89" i="57"/>
  <c r="D89" i="57"/>
  <c r="D141" i="57" s="1"/>
  <c r="S88" i="57"/>
  <c r="S1704" i="57" s="1"/>
  <c r="Q88" i="57"/>
  <c r="Q1704" i="57" s="1"/>
  <c r="O88" i="57"/>
  <c r="O1704" i="57" s="1"/>
  <c r="N88" i="57"/>
  <c r="N1704" i="57" s="1"/>
  <c r="M88" i="57"/>
  <c r="M1704" i="57" s="1"/>
  <c r="I88" i="57"/>
  <c r="D88" i="57"/>
  <c r="D140" i="57" s="1"/>
  <c r="S87" i="57"/>
  <c r="S1703" i="57" s="1"/>
  <c r="Q87" i="57"/>
  <c r="Q1703" i="57" s="1"/>
  <c r="O87" i="57"/>
  <c r="O1703" i="57" s="1"/>
  <c r="N87" i="57"/>
  <c r="N1703" i="57" s="1"/>
  <c r="M87" i="57"/>
  <c r="M1703" i="57" s="1"/>
  <c r="I87" i="57"/>
  <c r="D87" i="57"/>
  <c r="D139" i="57" s="1"/>
  <c r="S86" i="57"/>
  <c r="S1702" i="57" s="1"/>
  <c r="Q86" i="57"/>
  <c r="Q1702" i="57" s="1"/>
  <c r="O86" i="57"/>
  <c r="O1702" i="57" s="1"/>
  <c r="N86" i="57"/>
  <c r="N1702" i="57" s="1"/>
  <c r="M86" i="57"/>
  <c r="M1702" i="57" s="1"/>
  <c r="I86" i="57"/>
  <c r="D86" i="57"/>
  <c r="D138" i="57" s="1"/>
  <c r="S85" i="57"/>
  <c r="S1701" i="57" s="1"/>
  <c r="Q85" i="57"/>
  <c r="Q1701" i="57" s="1"/>
  <c r="O85" i="57"/>
  <c r="O1701" i="57" s="1"/>
  <c r="N85" i="57"/>
  <c r="N1701" i="57" s="1"/>
  <c r="M85" i="57"/>
  <c r="M1701" i="57" s="1"/>
  <c r="I85" i="57"/>
  <c r="D85" i="57"/>
  <c r="D137" i="57" s="1"/>
  <c r="S84" i="57"/>
  <c r="S1700" i="57" s="1"/>
  <c r="Q84" i="57"/>
  <c r="Q1700" i="57" s="1"/>
  <c r="O84" i="57"/>
  <c r="O1700" i="57" s="1"/>
  <c r="N84" i="57"/>
  <c r="N1700" i="57" s="1"/>
  <c r="M84" i="57"/>
  <c r="M1700" i="57" s="1"/>
  <c r="I84" i="57"/>
  <c r="D84" i="57"/>
  <c r="D136" i="57" s="1"/>
  <c r="S83" i="57"/>
  <c r="S1699" i="57" s="1"/>
  <c r="Q83" i="57"/>
  <c r="Q1699" i="57" s="1"/>
  <c r="O83" i="57"/>
  <c r="O1699" i="57" s="1"/>
  <c r="N83" i="57"/>
  <c r="N1699" i="57" s="1"/>
  <c r="M83" i="57"/>
  <c r="M1699" i="57" s="1"/>
  <c r="I83" i="57"/>
  <c r="D83" i="57"/>
  <c r="D135" i="57" s="1"/>
  <c r="S82" i="57"/>
  <c r="S1698" i="57" s="1"/>
  <c r="Q82" i="57"/>
  <c r="Q1698" i="57" s="1"/>
  <c r="O82" i="57"/>
  <c r="O1698" i="57" s="1"/>
  <c r="N82" i="57"/>
  <c r="N1698" i="57" s="1"/>
  <c r="M82" i="57"/>
  <c r="M1698" i="57" s="1"/>
  <c r="I82" i="57"/>
  <c r="D82" i="57"/>
  <c r="D134" i="57" s="1"/>
  <c r="S81" i="57"/>
  <c r="S1697" i="57" s="1"/>
  <c r="Q81" i="57"/>
  <c r="Q1697" i="57" s="1"/>
  <c r="O81" i="57"/>
  <c r="O1697" i="57" s="1"/>
  <c r="N81" i="57"/>
  <c r="N1697" i="57" s="1"/>
  <c r="M81" i="57"/>
  <c r="M1697" i="57" s="1"/>
  <c r="I81" i="57"/>
  <c r="D81" i="57"/>
  <c r="D133" i="57" s="1"/>
  <c r="S80" i="57"/>
  <c r="S1696" i="57" s="1"/>
  <c r="Q80" i="57"/>
  <c r="Q1696" i="57" s="1"/>
  <c r="O80" i="57"/>
  <c r="O1696" i="57" s="1"/>
  <c r="N80" i="57"/>
  <c r="N1696" i="57" s="1"/>
  <c r="M80" i="57"/>
  <c r="M1696" i="57" s="1"/>
  <c r="I80" i="57"/>
  <c r="D80" i="57"/>
  <c r="D132" i="57" s="1"/>
  <c r="S79" i="57"/>
  <c r="S1695" i="57" s="1"/>
  <c r="Q79" i="57"/>
  <c r="Q1695" i="57" s="1"/>
  <c r="O79" i="57"/>
  <c r="O1695" i="57" s="1"/>
  <c r="N79" i="57"/>
  <c r="N1695" i="57" s="1"/>
  <c r="M79" i="57"/>
  <c r="M1695" i="57" s="1"/>
  <c r="I79" i="57"/>
  <c r="D79" i="57"/>
  <c r="D131" i="57" s="1"/>
  <c r="S78" i="57"/>
  <c r="S1694" i="57" s="1"/>
  <c r="Q78" i="57"/>
  <c r="Q1694" i="57" s="1"/>
  <c r="O78" i="57"/>
  <c r="O1694" i="57" s="1"/>
  <c r="N78" i="57"/>
  <c r="N1694" i="57" s="1"/>
  <c r="M78" i="57"/>
  <c r="M1694" i="57" s="1"/>
  <c r="I78" i="57"/>
  <c r="D78" i="57"/>
  <c r="D130" i="57" s="1"/>
  <c r="S77" i="57"/>
  <c r="S1693" i="57" s="1"/>
  <c r="Q77" i="57"/>
  <c r="Q1693" i="57" s="1"/>
  <c r="O77" i="57"/>
  <c r="O1693" i="57" s="1"/>
  <c r="N77" i="57"/>
  <c r="N1693" i="57" s="1"/>
  <c r="M77" i="57"/>
  <c r="M1693" i="57" s="1"/>
  <c r="I77" i="57"/>
  <c r="D77" i="57"/>
  <c r="D129" i="57" s="1"/>
  <c r="S76" i="57"/>
  <c r="S1692" i="57" s="1"/>
  <c r="Q76" i="57"/>
  <c r="Q1692" i="57" s="1"/>
  <c r="O76" i="57"/>
  <c r="O1692" i="57" s="1"/>
  <c r="N76" i="57"/>
  <c r="N1692" i="57" s="1"/>
  <c r="M76" i="57"/>
  <c r="M1692" i="57" s="1"/>
  <c r="I76" i="57"/>
  <c r="D76" i="57"/>
  <c r="D128" i="57" s="1"/>
  <c r="S75" i="57"/>
  <c r="S1691" i="57" s="1"/>
  <c r="Q75" i="57"/>
  <c r="Q1691" i="57" s="1"/>
  <c r="O75" i="57"/>
  <c r="O1691" i="57" s="1"/>
  <c r="N75" i="57"/>
  <c r="N1691" i="57" s="1"/>
  <c r="M75" i="57"/>
  <c r="M1691" i="57" s="1"/>
  <c r="I75" i="57"/>
  <c r="D75" i="57"/>
  <c r="D127" i="57" s="1"/>
  <c r="S74" i="57"/>
  <c r="S1690" i="57" s="1"/>
  <c r="Q74" i="57"/>
  <c r="Q1690" i="57" s="1"/>
  <c r="O74" i="57"/>
  <c r="O1690" i="57" s="1"/>
  <c r="N74" i="57"/>
  <c r="N1690" i="57" s="1"/>
  <c r="M74" i="57"/>
  <c r="M1690" i="57" s="1"/>
  <c r="I74" i="57"/>
  <c r="D74" i="57"/>
  <c r="D126" i="57" s="1"/>
  <c r="S73" i="57"/>
  <c r="S1689" i="57" s="1"/>
  <c r="Q73" i="57"/>
  <c r="Q1689" i="57" s="1"/>
  <c r="O73" i="57"/>
  <c r="O1689" i="57" s="1"/>
  <c r="N73" i="57"/>
  <c r="N1689" i="57" s="1"/>
  <c r="M73" i="57"/>
  <c r="M1689" i="57" s="1"/>
  <c r="I73" i="57"/>
  <c r="D73" i="57"/>
  <c r="D125" i="57" s="1"/>
  <c r="S72" i="57"/>
  <c r="S1688" i="57" s="1"/>
  <c r="Q72" i="57"/>
  <c r="Q1688" i="57" s="1"/>
  <c r="O72" i="57"/>
  <c r="O1688" i="57" s="1"/>
  <c r="N72" i="57"/>
  <c r="N1688" i="57" s="1"/>
  <c r="M72" i="57"/>
  <c r="M1688" i="57" s="1"/>
  <c r="I72" i="57"/>
  <c r="D72" i="57"/>
  <c r="D124" i="57" s="1"/>
  <c r="S71" i="57"/>
  <c r="S1687" i="57" s="1"/>
  <c r="Q71" i="57"/>
  <c r="Q1687" i="57" s="1"/>
  <c r="O71" i="57"/>
  <c r="O1687" i="57" s="1"/>
  <c r="N71" i="57"/>
  <c r="N1687" i="57" s="1"/>
  <c r="M71" i="57"/>
  <c r="M1687" i="57" s="1"/>
  <c r="I71" i="57"/>
  <c r="D71" i="57"/>
  <c r="D123" i="57" s="1"/>
  <c r="S70" i="57"/>
  <c r="S1686" i="57" s="1"/>
  <c r="Q70" i="57"/>
  <c r="Q1686" i="57" s="1"/>
  <c r="O70" i="57"/>
  <c r="O1686" i="57" s="1"/>
  <c r="N70" i="57"/>
  <c r="N1686" i="57" s="1"/>
  <c r="M70" i="57"/>
  <c r="M1686" i="57" s="1"/>
  <c r="I70" i="57"/>
  <c r="D70" i="57"/>
  <c r="D122" i="57" s="1"/>
  <c r="S69" i="57"/>
  <c r="S1685" i="57" s="1"/>
  <c r="Q69" i="57"/>
  <c r="Q1685" i="57" s="1"/>
  <c r="O69" i="57"/>
  <c r="O1685" i="57" s="1"/>
  <c r="N69" i="57"/>
  <c r="N1685" i="57" s="1"/>
  <c r="M69" i="57"/>
  <c r="M1685" i="57" s="1"/>
  <c r="I69" i="57"/>
  <c r="D69" i="57"/>
  <c r="D121" i="57" s="1"/>
  <c r="S68" i="57"/>
  <c r="S1684" i="57" s="1"/>
  <c r="Q68" i="57"/>
  <c r="Q1684" i="57" s="1"/>
  <c r="O68" i="57"/>
  <c r="O1684" i="57" s="1"/>
  <c r="N68" i="57"/>
  <c r="N1684" i="57" s="1"/>
  <c r="M68" i="57"/>
  <c r="M1684" i="57" s="1"/>
  <c r="I68" i="57"/>
  <c r="D68" i="57"/>
  <c r="D120" i="57" s="1"/>
  <c r="S67" i="57"/>
  <c r="S1683" i="57" s="1"/>
  <c r="Q67" i="57"/>
  <c r="Q1683" i="57" s="1"/>
  <c r="O67" i="57"/>
  <c r="O1683" i="57" s="1"/>
  <c r="N67" i="57"/>
  <c r="N1683" i="57" s="1"/>
  <c r="M67" i="57"/>
  <c r="M1683" i="57" s="1"/>
  <c r="I67" i="57"/>
  <c r="D67" i="57"/>
  <c r="D119" i="57" s="1"/>
  <c r="S66" i="57"/>
  <c r="S1682" i="57" s="1"/>
  <c r="Q66" i="57"/>
  <c r="Q1682" i="57" s="1"/>
  <c r="O66" i="57"/>
  <c r="O1682" i="57" s="1"/>
  <c r="N66" i="57"/>
  <c r="N1682" i="57" s="1"/>
  <c r="M66" i="57"/>
  <c r="M1682" i="57" s="1"/>
  <c r="I66" i="57"/>
  <c r="D66" i="57"/>
  <c r="D118" i="57" s="1"/>
  <c r="S65" i="57"/>
  <c r="S1681" i="57" s="1"/>
  <c r="Q65" i="57"/>
  <c r="Q1681" i="57" s="1"/>
  <c r="O65" i="57"/>
  <c r="O1681" i="57" s="1"/>
  <c r="N65" i="57"/>
  <c r="N1681" i="57" s="1"/>
  <c r="M65" i="57"/>
  <c r="M1681" i="57" s="1"/>
  <c r="I65" i="57"/>
  <c r="D65" i="57"/>
  <c r="D117" i="57" s="1"/>
  <c r="S64" i="57"/>
  <c r="S1680" i="57" s="1"/>
  <c r="Q64" i="57"/>
  <c r="Q1680" i="57" s="1"/>
  <c r="O64" i="57"/>
  <c r="O1680" i="57" s="1"/>
  <c r="N64" i="57"/>
  <c r="N1680" i="57" s="1"/>
  <c r="M64" i="57"/>
  <c r="M1680" i="57" s="1"/>
  <c r="I64" i="57"/>
  <c r="D64" i="57"/>
  <c r="D116" i="57" s="1"/>
  <c r="S63" i="57"/>
  <c r="S1679" i="57" s="1"/>
  <c r="Q63" i="57"/>
  <c r="Q1679" i="57" s="1"/>
  <c r="O63" i="57"/>
  <c r="O1679" i="57" s="1"/>
  <c r="N63" i="57"/>
  <c r="N1679" i="57" s="1"/>
  <c r="M63" i="57"/>
  <c r="M1679" i="57" s="1"/>
  <c r="I63" i="57"/>
  <c r="D63" i="57"/>
  <c r="D115" i="57" s="1"/>
  <c r="S62" i="57"/>
  <c r="S1678" i="57" s="1"/>
  <c r="Q62" i="57"/>
  <c r="Q1678" i="57" s="1"/>
  <c r="O62" i="57"/>
  <c r="O1678" i="57" s="1"/>
  <c r="N62" i="57"/>
  <c r="N1678" i="57" s="1"/>
  <c r="M62" i="57"/>
  <c r="M1678" i="57" s="1"/>
  <c r="I62" i="57"/>
  <c r="D62" i="57"/>
  <c r="D114" i="57" s="1"/>
  <c r="S61" i="57"/>
  <c r="S1677" i="57" s="1"/>
  <c r="Q61" i="57"/>
  <c r="Q1677" i="57" s="1"/>
  <c r="O61" i="57"/>
  <c r="O1677" i="57" s="1"/>
  <c r="N61" i="57"/>
  <c r="N1677" i="57" s="1"/>
  <c r="M61" i="57"/>
  <c r="M1677" i="57" s="1"/>
  <c r="I61" i="57"/>
  <c r="D61" i="57"/>
  <c r="D113" i="57" s="1"/>
  <c r="D60" i="57"/>
  <c r="D112" i="57" s="1"/>
  <c r="S58" i="57"/>
  <c r="S1674" i="57" s="1"/>
  <c r="Q58" i="57"/>
  <c r="Q1674" i="57" s="1"/>
  <c r="O58" i="57"/>
  <c r="O1674" i="57" s="1"/>
  <c r="N58" i="57"/>
  <c r="N1674" i="57" s="1"/>
  <c r="M58" i="57"/>
  <c r="M1674" i="57" s="1"/>
  <c r="I58" i="57"/>
  <c r="S57" i="57"/>
  <c r="S1673" i="57" s="1"/>
  <c r="Q57" i="57"/>
  <c r="Q1673" i="57" s="1"/>
  <c r="O57" i="57"/>
  <c r="O1673" i="57" s="1"/>
  <c r="N57" i="57"/>
  <c r="N1673" i="57" s="1"/>
  <c r="M57" i="57"/>
  <c r="M1673" i="57" s="1"/>
  <c r="I57" i="57"/>
  <c r="S56" i="57"/>
  <c r="S1672" i="57" s="1"/>
  <c r="Q56" i="57"/>
  <c r="Q1672" i="57" s="1"/>
  <c r="O56" i="57"/>
  <c r="O1672" i="57" s="1"/>
  <c r="N56" i="57"/>
  <c r="N1672" i="57" s="1"/>
  <c r="M56" i="57"/>
  <c r="M1672" i="57" s="1"/>
  <c r="I56" i="57"/>
  <c r="S55" i="57"/>
  <c r="S1671" i="57" s="1"/>
  <c r="Q55" i="57"/>
  <c r="Q1671" i="57" s="1"/>
  <c r="O55" i="57"/>
  <c r="O1671" i="57" s="1"/>
  <c r="N55" i="57"/>
  <c r="N1671" i="57" s="1"/>
  <c r="M55" i="57"/>
  <c r="M1671" i="57" s="1"/>
  <c r="I55" i="57"/>
  <c r="S54" i="57"/>
  <c r="S1670" i="57" s="1"/>
  <c r="Q54" i="57"/>
  <c r="Q1670" i="57" s="1"/>
  <c r="O54" i="57"/>
  <c r="O1670" i="57" s="1"/>
  <c r="N54" i="57"/>
  <c r="N1670" i="57" s="1"/>
  <c r="M54" i="57"/>
  <c r="M1670" i="57" s="1"/>
  <c r="I54" i="57"/>
  <c r="S53" i="57"/>
  <c r="S1669" i="57" s="1"/>
  <c r="Q53" i="57"/>
  <c r="Q1669" i="57" s="1"/>
  <c r="O53" i="57"/>
  <c r="O1669" i="57" s="1"/>
  <c r="N53" i="57"/>
  <c r="N1669" i="57" s="1"/>
  <c r="M53" i="57"/>
  <c r="M1669" i="57" s="1"/>
  <c r="I53" i="57"/>
  <c r="S52" i="57"/>
  <c r="S1668" i="57" s="1"/>
  <c r="Q52" i="57"/>
  <c r="Q1668" i="57" s="1"/>
  <c r="O52" i="57"/>
  <c r="O1668" i="57" s="1"/>
  <c r="N52" i="57"/>
  <c r="N1668" i="57" s="1"/>
  <c r="M52" i="57"/>
  <c r="M1668" i="57" s="1"/>
  <c r="I52" i="57"/>
  <c r="S51" i="57"/>
  <c r="S1667" i="57" s="1"/>
  <c r="Q51" i="57"/>
  <c r="Q1667" i="57" s="1"/>
  <c r="O51" i="57"/>
  <c r="O1667" i="57" s="1"/>
  <c r="N51" i="57"/>
  <c r="N1667" i="57" s="1"/>
  <c r="M51" i="57"/>
  <c r="M1667" i="57" s="1"/>
  <c r="I51" i="57"/>
  <c r="S50" i="57"/>
  <c r="S1666" i="57" s="1"/>
  <c r="Q50" i="57"/>
  <c r="Q1666" i="57" s="1"/>
  <c r="O50" i="57"/>
  <c r="O1666" i="57" s="1"/>
  <c r="N50" i="57"/>
  <c r="N1666" i="57" s="1"/>
  <c r="M50" i="57"/>
  <c r="M1666" i="57" s="1"/>
  <c r="I50" i="57"/>
  <c r="S49" i="57"/>
  <c r="S1665" i="57" s="1"/>
  <c r="Q49" i="57"/>
  <c r="Q1665" i="57" s="1"/>
  <c r="O49" i="57"/>
  <c r="O1665" i="57" s="1"/>
  <c r="N49" i="57"/>
  <c r="N1665" i="57" s="1"/>
  <c r="M49" i="57"/>
  <c r="M1665" i="57" s="1"/>
  <c r="I49" i="57"/>
  <c r="S48" i="57"/>
  <c r="S1664" i="57" s="1"/>
  <c r="Q48" i="57"/>
  <c r="Q1664" i="57" s="1"/>
  <c r="O48" i="57"/>
  <c r="O1664" i="57" s="1"/>
  <c r="N48" i="57"/>
  <c r="N1664" i="57" s="1"/>
  <c r="M48" i="57"/>
  <c r="M1664" i="57" s="1"/>
  <c r="I48" i="57"/>
  <c r="S47" i="57"/>
  <c r="S1663" i="57" s="1"/>
  <c r="Q47" i="57"/>
  <c r="Q1663" i="57" s="1"/>
  <c r="O47" i="57"/>
  <c r="O1663" i="57" s="1"/>
  <c r="N47" i="57"/>
  <c r="N1663" i="57" s="1"/>
  <c r="M47" i="57"/>
  <c r="M1663" i="57" s="1"/>
  <c r="I47" i="57"/>
  <c r="S46" i="57"/>
  <c r="S1662" i="57" s="1"/>
  <c r="Q46" i="57"/>
  <c r="Q1662" i="57" s="1"/>
  <c r="O46" i="57"/>
  <c r="O1662" i="57" s="1"/>
  <c r="N46" i="57"/>
  <c r="N1662" i="57" s="1"/>
  <c r="M46" i="57"/>
  <c r="M1662" i="57" s="1"/>
  <c r="I46" i="57"/>
  <c r="S45" i="57"/>
  <c r="S1661" i="57" s="1"/>
  <c r="Q45" i="57"/>
  <c r="Q1661" i="57" s="1"/>
  <c r="O45" i="57"/>
  <c r="O1661" i="57" s="1"/>
  <c r="N45" i="57"/>
  <c r="N1661" i="57" s="1"/>
  <c r="M45" i="57"/>
  <c r="M1661" i="57" s="1"/>
  <c r="I45" i="57"/>
  <c r="S44" i="57"/>
  <c r="S1660" i="57" s="1"/>
  <c r="Q44" i="57"/>
  <c r="Q1660" i="57" s="1"/>
  <c r="O44" i="57"/>
  <c r="O1660" i="57" s="1"/>
  <c r="N44" i="57"/>
  <c r="N1660" i="57" s="1"/>
  <c r="M44" i="57"/>
  <c r="M1660" i="57" s="1"/>
  <c r="I44" i="57"/>
  <c r="S43" i="57"/>
  <c r="S1659" i="57" s="1"/>
  <c r="Q43" i="57"/>
  <c r="Q1659" i="57" s="1"/>
  <c r="O43" i="57"/>
  <c r="O1659" i="57" s="1"/>
  <c r="N43" i="57"/>
  <c r="N1659" i="57" s="1"/>
  <c r="M43" i="57"/>
  <c r="M1659" i="57" s="1"/>
  <c r="I43" i="57"/>
  <c r="S42" i="57"/>
  <c r="S1658" i="57" s="1"/>
  <c r="Q42" i="57"/>
  <c r="Q1658" i="57" s="1"/>
  <c r="O42" i="57"/>
  <c r="O1658" i="57" s="1"/>
  <c r="N42" i="57"/>
  <c r="N1658" i="57" s="1"/>
  <c r="M42" i="57"/>
  <c r="M1658" i="57" s="1"/>
  <c r="I42" i="57"/>
  <c r="S41" i="57"/>
  <c r="S1657" i="57" s="1"/>
  <c r="Q41" i="57"/>
  <c r="Q1657" i="57" s="1"/>
  <c r="O41" i="57"/>
  <c r="O1657" i="57" s="1"/>
  <c r="N41" i="57"/>
  <c r="N1657" i="57" s="1"/>
  <c r="M41" i="57"/>
  <c r="M1657" i="57" s="1"/>
  <c r="I41" i="57"/>
  <c r="S40" i="57"/>
  <c r="S1656" i="57" s="1"/>
  <c r="Q40" i="57"/>
  <c r="Q1656" i="57" s="1"/>
  <c r="O40" i="57"/>
  <c r="O1656" i="57" s="1"/>
  <c r="N40" i="57"/>
  <c r="N1656" i="57" s="1"/>
  <c r="M40" i="57"/>
  <c r="M1656" i="57" s="1"/>
  <c r="I40" i="57"/>
  <c r="S39" i="57"/>
  <c r="S1655" i="57" s="1"/>
  <c r="Q39" i="57"/>
  <c r="Q1655" i="57" s="1"/>
  <c r="O39" i="57"/>
  <c r="O1655" i="57" s="1"/>
  <c r="N39" i="57"/>
  <c r="N1655" i="57" s="1"/>
  <c r="M39" i="57"/>
  <c r="M1655" i="57" s="1"/>
  <c r="I39" i="57"/>
  <c r="S38" i="57"/>
  <c r="S1654" i="57" s="1"/>
  <c r="Q38" i="57"/>
  <c r="Q1654" i="57" s="1"/>
  <c r="O38" i="57"/>
  <c r="O1654" i="57" s="1"/>
  <c r="N38" i="57"/>
  <c r="N1654" i="57" s="1"/>
  <c r="M38" i="57"/>
  <c r="M1654" i="57" s="1"/>
  <c r="I38" i="57"/>
  <c r="S37" i="57"/>
  <c r="S1653" i="57" s="1"/>
  <c r="Q37" i="57"/>
  <c r="Q1653" i="57" s="1"/>
  <c r="O37" i="57"/>
  <c r="O1653" i="57" s="1"/>
  <c r="N37" i="57"/>
  <c r="N1653" i="57" s="1"/>
  <c r="M37" i="57"/>
  <c r="M1653" i="57" s="1"/>
  <c r="I37" i="57"/>
  <c r="S36" i="57"/>
  <c r="S1652" i="57" s="1"/>
  <c r="Q36" i="57"/>
  <c r="Q1652" i="57" s="1"/>
  <c r="O36" i="57"/>
  <c r="O1652" i="57" s="1"/>
  <c r="N36" i="57"/>
  <c r="N1652" i="57" s="1"/>
  <c r="M36" i="57"/>
  <c r="M1652" i="57" s="1"/>
  <c r="I36" i="57"/>
  <c r="S35" i="57"/>
  <c r="S1651" i="57" s="1"/>
  <c r="Q35" i="57"/>
  <c r="Q1651" i="57" s="1"/>
  <c r="O35" i="57"/>
  <c r="O1651" i="57" s="1"/>
  <c r="N35" i="57"/>
  <c r="N1651" i="57" s="1"/>
  <c r="M35" i="57"/>
  <c r="M1651" i="57" s="1"/>
  <c r="I35" i="57"/>
  <c r="S34" i="57"/>
  <c r="S1650" i="57" s="1"/>
  <c r="Q34" i="57"/>
  <c r="Q1650" i="57" s="1"/>
  <c r="O34" i="57"/>
  <c r="O1650" i="57" s="1"/>
  <c r="N34" i="57"/>
  <c r="N1650" i="57" s="1"/>
  <c r="M34" i="57"/>
  <c r="M1650" i="57" s="1"/>
  <c r="I34" i="57"/>
  <c r="S33" i="57"/>
  <c r="S1649" i="57" s="1"/>
  <c r="Q33" i="57"/>
  <c r="Q1649" i="57" s="1"/>
  <c r="O33" i="57"/>
  <c r="O1649" i="57" s="1"/>
  <c r="N33" i="57"/>
  <c r="N1649" i="57" s="1"/>
  <c r="M33" i="57"/>
  <c r="M1649" i="57" s="1"/>
  <c r="I33" i="57"/>
  <c r="S32" i="57"/>
  <c r="S1648" i="57" s="1"/>
  <c r="Q32" i="57"/>
  <c r="Q1648" i="57" s="1"/>
  <c r="O32" i="57"/>
  <c r="O1648" i="57" s="1"/>
  <c r="N32" i="57"/>
  <c r="N1648" i="57" s="1"/>
  <c r="M32" i="57"/>
  <c r="M1648" i="57" s="1"/>
  <c r="I32" i="57"/>
  <c r="S31" i="57"/>
  <c r="S1647" i="57" s="1"/>
  <c r="Q31" i="57"/>
  <c r="Q1647" i="57" s="1"/>
  <c r="O31" i="57"/>
  <c r="O1647" i="57" s="1"/>
  <c r="N31" i="57"/>
  <c r="N1647" i="57" s="1"/>
  <c r="M31" i="57"/>
  <c r="M1647" i="57" s="1"/>
  <c r="I31" i="57"/>
  <c r="S30" i="57"/>
  <c r="S1646" i="57" s="1"/>
  <c r="Q30" i="57"/>
  <c r="Q1646" i="57" s="1"/>
  <c r="O30" i="57"/>
  <c r="O1646" i="57" s="1"/>
  <c r="N30" i="57"/>
  <c r="N1646" i="57" s="1"/>
  <c r="M30" i="57"/>
  <c r="M1646" i="57" s="1"/>
  <c r="I30" i="57"/>
  <c r="S29" i="57"/>
  <c r="S1645" i="57" s="1"/>
  <c r="Q29" i="57"/>
  <c r="Q1645" i="57" s="1"/>
  <c r="O29" i="57"/>
  <c r="O1645" i="57" s="1"/>
  <c r="N29" i="57"/>
  <c r="N1645" i="57" s="1"/>
  <c r="M29" i="57"/>
  <c r="M1645" i="57" s="1"/>
  <c r="I29" i="57"/>
  <c r="S28" i="57"/>
  <c r="S1644" i="57" s="1"/>
  <c r="Q28" i="57"/>
  <c r="Q1644" i="57" s="1"/>
  <c r="O28" i="57"/>
  <c r="O1644" i="57" s="1"/>
  <c r="N28" i="57"/>
  <c r="N1644" i="57" s="1"/>
  <c r="M28" i="57"/>
  <c r="M1644" i="57" s="1"/>
  <c r="I28" i="57"/>
  <c r="S27" i="57"/>
  <c r="S1643" i="57" s="1"/>
  <c r="Q27" i="57"/>
  <c r="Q1643" i="57" s="1"/>
  <c r="O27" i="57"/>
  <c r="O1643" i="57" s="1"/>
  <c r="N27" i="57"/>
  <c r="N1643" i="57" s="1"/>
  <c r="M27" i="57"/>
  <c r="M1643" i="57" s="1"/>
  <c r="I27" i="57"/>
  <c r="S26" i="57"/>
  <c r="S1642" i="57" s="1"/>
  <c r="Q26" i="57"/>
  <c r="Q1642" i="57" s="1"/>
  <c r="O26" i="57"/>
  <c r="O1642" i="57" s="1"/>
  <c r="N26" i="57"/>
  <c r="N1642" i="57" s="1"/>
  <c r="M26" i="57"/>
  <c r="M1642" i="57" s="1"/>
  <c r="I26" i="57"/>
  <c r="S25" i="57"/>
  <c r="S1641" i="57" s="1"/>
  <c r="Q25" i="57"/>
  <c r="Q1641" i="57" s="1"/>
  <c r="O25" i="57"/>
  <c r="O1641" i="57" s="1"/>
  <c r="N25" i="57"/>
  <c r="N1641" i="57" s="1"/>
  <c r="M25" i="57"/>
  <c r="M1641" i="57" s="1"/>
  <c r="I25" i="57"/>
  <c r="S24" i="57"/>
  <c r="S1640" i="57" s="1"/>
  <c r="Q24" i="57"/>
  <c r="Q1640" i="57" s="1"/>
  <c r="O24" i="57"/>
  <c r="O1640" i="57" s="1"/>
  <c r="N24" i="57"/>
  <c r="N1640" i="57" s="1"/>
  <c r="M24" i="57"/>
  <c r="M1640" i="57" s="1"/>
  <c r="I24" i="57"/>
  <c r="S23" i="57"/>
  <c r="S1639" i="57" s="1"/>
  <c r="Q23" i="57"/>
  <c r="Q1639" i="57" s="1"/>
  <c r="O23" i="57"/>
  <c r="O1639" i="57" s="1"/>
  <c r="N23" i="57"/>
  <c r="N1639" i="57" s="1"/>
  <c r="M23" i="57"/>
  <c r="M1639" i="57" s="1"/>
  <c r="I23" i="57"/>
  <c r="S22" i="57"/>
  <c r="S1638" i="57" s="1"/>
  <c r="Q22" i="57"/>
  <c r="Q1638" i="57" s="1"/>
  <c r="O22" i="57"/>
  <c r="O1638" i="57" s="1"/>
  <c r="N22" i="57"/>
  <c r="N1638" i="57" s="1"/>
  <c r="M22" i="57"/>
  <c r="M1638" i="57" s="1"/>
  <c r="I22" i="57"/>
  <c r="S21" i="57"/>
  <c r="S1637" i="57" s="1"/>
  <c r="Q21" i="57"/>
  <c r="Q1637" i="57" s="1"/>
  <c r="O21" i="57"/>
  <c r="O1637" i="57" s="1"/>
  <c r="N21" i="57"/>
  <c r="N1637" i="57" s="1"/>
  <c r="M21" i="57"/>
  <c r="M1637" i="57" s="1"/>
  <c r="I21" i="57"/>
  <c r="S20" i="57"/>
  <c r="S1636" i="57" s="1"/>
  <c r="Q20" i="57"/>
  <c r="Q1636" i="57" s="1"/>
  <c r="O20" i="57"/>
  <c r="O1636" i="57" s="1"/>
  <c r="N20" i="57"/>
  <c r="N1636" i="57" s="1"/>
  <c r="M20" i="57"/>
  <c r="M1636" i="57" s="1"/>
  <c r="I20" i="57"/>
  <c r="S19" i="57"/>
  <c r="S1635" i="57" s="1"/>
  <c r="Q19" i="57"/>
  <c r="Q1635" i="57" s="1"/>
  <c r="O19" i="57"/>
  <c r="O1635" i="57" s="1"/>
  <c r="N19" i="57"/>
  <c r="N1635" i="57" s="1"/>
  <c r="M19" i="57"/>
  <c r="M1635" i="57" s="1"/>
  <c r="I19" i="57"/>
  <c r="S18" i="57"/>
  <c r="S1634" i="57" s="1"/>
  <c r="Q18" i="57"/>
  <c r="Q1634" i="57" s="1"/>
  <c r="O18" i="57"/>
  <c r="O1634" i="57" s="1"/>
  <c r="N18" i="57"/>
  <c r="N1634" i="57" s="1"/>
  <c r="M18" i="57"/>
  <c r="M1634" i="57" s="1"/>
  <c r="I18" i="57"/>
  <c r="S17" i="57"/>
  <c r="S1633" i="57" s="1"/>
  <c r="Q17" i="57"/>
  <c r="Q1633" i="57" s="1"/>
  <c r="O17" i="57"/>
  <c r="O1633" i="57" s="1"/>
  <c r="N17" i="57"/>
  <c r="N1633" i="57" s="1"/>
  <c r="M17" i="57"/>
  <c r="M1633" i="57" s="1"/>
  <c r="I17" i="57"/>
  <c r="S16" i="57"/>
  <c r="S1632" i="57" s="1"/>
  <c r="Q16" i="57"/>
  <c r="Q1632" i="57" s="1"/>
  <c r="O16" i="57"/>
  <c r="O1632" i="57" s="1"/>
  <c r="N16" i="57"/>
  <c r="N1632" i="57" s="1"/>
  <c r="M16" i="57"/>
  <c r="M1632" i="57" s="1"/>
  <c r="I16" i="57"/>
  <c r="S15" i="57"/>
  <c r="S1631" i="57" s="1"/>
  <c r="Q15" i="57"/>
  <c r="Q1631" i="57" s="1"/>
  <c r="O15" i="57"/>
  <c r="O1631" i="57" s="1"/>
  <c r="N15" i="57"/>
  <c r="N1631" i="57" s="1"/>
  <c r="M15" i="57"/>
  <c r="M1631" i="57" s="1"/>
  <c r="I15" i="57"/>
  <c r="S14" i="57"/>
  <c r="S1630" i="57" s="1"/>
  <c r="Q14" i="57"/>
  <c r="Q1630" i="57" s="1"/>
  <c r="O14" i="57"/>
  <c r="O1630" i="57" s="1"/>
  <c r="N14" i="57"/>
  <c r="N1630" i="57" s="1"/>
  <c r="M14" i="57"/>
  <c r="M1630" i="57" s="1"/>
  <c r="I14" i="57"/>
  <c r="S13" i="57"/>
  <c r="S1629" i="57" s="1"/>
  <c r="Q13" i="57"/>
  <c r="Q1629" i="57" s="1"/>
  <c r="O13" i="57"/>
  <c r="O1629" i="57" s="1"/>
  <c r="N13" i="57"/>
  <c r="N1629" i="57" s="1"/>
  <c r="M13" i="57"/>
  <c r="M1629" i="57" s="1"/>
  <c r="I13" i="57"/>
  <c r="S12" i="57"/>
  <c r="S1628" i="57" s="1"/>
  <c r="Q12" i="57"/>
  <c r="Q1628" i="57" s="1"/>
  <c r="O12" i="57"/>
  <c r="O1628" i="57" s="1"/>
  <c r="N12" i="57"/>
  <c r="N1628" i="57" s="1"/>
  <c r="M12" i="57"/>
  <c r="M1628" i="57" s="1"/>
  <c r="I12" i="57"/>
  <c r="S11" i="57"/>
  <c r="S1627" i="57" s="1"/>
  <c r="Q11" i="57"/>
  <c r="Q1627" i="57" s="1"/>
  <c r="O11" i="57"/>
  <c r="O1627" i="57" s="1"/>
  <c r="N11" i="57"/>
  <c r="N1627" i="57" s="1"/>
  <c r="M11" i="57"/>
  <c r="M1627" i="57" s="1"/>
  <c r="I11" i="57"/>
  <c r="S10" i="57"/>
  <c r="S1626" i="57" s="1"/>
  <c r="Q10" i="57"/>
  <c r="Q1626" i="57" s="1"/>
  <c r="O10" i="57"/>
  <c r="O1626" i="57" s="1"/>
  <c r="N10" i="57"/>
  <c r="N1626" i="57" s="1"/>
  <c r="M10" i="57"/>
  <c r="M1626" i="57" s="1"/>
  <c r="I10" i="57"/>
  <c r="S9" i="57"/>
  <c r="S1625" i="57" s="1"/>
  <c r="Q9" i="57"/>
  <c r="Q1625" i="57" s="1"/>
  <c r="O9" i="57"/>
  <c r="O1625" i="57" s="1"/>
  <c r="N9" i="57"/>
  <c r="N1625" i="57" s="1"/>
  <c r="M9" i="57"/>
  <c r="M1625" i="57" s="1"/>
  <c r="I9" i="57"/>
</calcChain>
</file>

<file path=xl/comments1.xml><?xml version="1.0" encoding="utf-8"?>
<comments xmlns="http://schemas.openxmlformats.org/spreadsheetml/2006/main">
  <authors>
    <author>kin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
CREATE</t>
        </r>
        <r>
          <rPr>
            <b/>
            <sz val="9"/>
            <color indexed="81"/>
            <rFont val="宋体"/>
            <family val="3"/>
            <charset val="134"/>
          </rPr>
          <t xml:space="preserve">：开新文件
</t>
        </r>
        <r>
          <rPr>
            <b/>
            <sz val="9"/>
            <color indexed="81"/>
            <rFont val="Tahoma"/>
            <family val="2"/>
          </rPr>
          <t xml:space="preserve">FLDNAME: </t>
        </r>
        <r>
          <rPr>
            <b/>
            <sz val="9"/>
            <color indexed="81"/>
            <rFont val="宋体"/>
            <family val="3"/>
            <charset val="134"/>
          </rPr>
          <t>定义表格字段名称。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 xml:space="preserve">这里定义的字段每行的列数
</t>
        </r>
        <r>
          <rPr>
            <b/>
            <sz val="9"/>
            <color indexed="81"/>
            <rFont val="Tahoma"/>
            <family val="2"/>
          </rPr>
          <t xml:space="preserve">FLDTYPE: </t>
        </r>
        <r>
          <rPr>
            <b/>
            <sz val="9"/>
            <color indexed="81"/>
            <rFont val="宋体"/>
            <family val="3"/>
            <charset val="134"/>
          </rPr>
          <t>定义字段类型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>默认为</t>
        </r>
        <r>
          <rPr>
            <b/>
            <sz val="9"/>
            <color indexed="81"/>
            <rFont val="Tahoma"/>
            <family val="2"/>
          </rPr>
          <t xml:space="preserve">I.   "I" </t>
        </r>
        <r>
          <rPr>
            <b/>
            <sz val="9"/>
            <color indexed="81"/>
            <rFont val="宋体"/>
            <family val="3"/>
            <charset val="134"/>
          </rPr>
          <t>数字</t>
        </r>
        <r>
          <rPr>
            <b/>
            <sz val="9"/>
            <color indexed="81"/>
            <rFont val="Tahoma"/>
            <family val="2"/>
          </rPr>
          <t xml:space="preserve"> "S" </t>
        </r>
        <r>
          <rPr>
            <b/>
            <sz val="9"/>
            <color indexed="81"/>
            <rFont val="宋体"/>
            <family val="3"/>
            <charset val="134"/>
          </rPr>
          <t>文本</t>
        </r>
        <r>
          <rPr>
            <b/>
            <sz val="9"/>
            <color indexed="81"/>
            <rFont val="Tahoma"/>
            <family val="2"/>
          </rPr>
          <t>,"T"</t>
        </r>
        <r>
          <rPr>
            <b/>
            <sz val="9"/>
            <color indexed="81"/>
            <rFont val="宋体"/>
            <family val="3"/>
            <charset val="134"/>
          </rPr>
          <t>表</t>
        </r>
        <r>
          <rPr>
            <b/>
            <sz val="9"/>
            <color indexed="81"/>
            <rFont val="Tahoma"/>
            <family val="2"/>
          </rPr>
          <t>,"B"</t>
        </r>
        <r>
          <rPr>
            <b/>
            <sz val="9"/>
            <color indexed="81"/>
            <rFont val="宋体"/>
            <family val="3"/>
            <charset val="134"/>
          </rPr>
          <t>布尔</t>
        </r>
        <r>
          <rPr>
            <b/>
            <sz val="9"/>
            <color indexed="81"/>
            <rFont val="Tahoma"/>
            <family val="2"/>
          </rPr>
          <t xml:space="preserve">,“N" </t>
        </r>
        <r>
          <rPr>
            <b/>
            <sz val="9"/>
            <color indexed="81"/>
            <rFont val="宋体"/>
            <family val="3"/>
            <charset val="134"/>
          </rPr>
          <t>不导出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Tahoma"/>
            <family val="2"/>
          </rPr>
          <t>DATA:</t>
        </r>
        <r>
          <rPr>
            <b/>
            <sz val="9"/>
            <color indexed="81"/>
            <rFont val="宋体"/>
            <family val="3"/>
            <charset val="134"/>
          </rPr>
          <t xml:space="preserve">数据行
</t>
        </r>
        <r>
          <rPr>
            <b/>
            <sz val="9"/>
            <color indexed="81"/>
            <rFont val="Tahoma"/>
            <family val="2"/>
          </rPr>
          <t xml:space="preserve">CLOSE: </t>
        </r>
        <r>
          <rPr>
            <b/>
            <sz val="9"/>
            <color indexed="81"/>
            <rFont val="宋体"/>
            <family val="3"/>
            <charset val="134"/>
          </rPr>
          <t xml:space="preserve">关闭文件
</t>
        </r>
        <r>
          <rPr>
            <b/>
            <sz val="9"/>
            <color indexed="81"/>
            <rFont val="Tahoma"/>
            <family val="2"/>
          </rPr>
          <t>FINISH:</t>
        </r>
        <r>
          <rPr>
            <b/>
            <sz val="9"/>
            <color indexed="81"/>
            <rFont val="宋体"/>
            <family val="3"/>
            <charset val="134"/>
          </rPr>
          <t xml:space="preserve">导出过程结束
</t>
        </r>
      </text>
    </comment>
  </commentList>
</comments>
</file>

<file path=xl/comments2.xml><?xml version="1.0" encoding="utf-8"?>
<comments xmlns="http://schemas.openxmlformats.org/spreadsheetml/2006/main">
  <authors>
    <author>kin</author>
    <author>Ultralisk_PC129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
CREATE</t>
        </r>
        <r>
          <rPr>
            <b/>
            <sz val="9"/>
            <color indexed="81"/>
            <rFont val="宋体"/>
            <family val="3"/>
            <charset val="134"/>
          </rPr>
          <t xml:space="preserve">：开新文件
</t>
        </r>
        <r>
          <rPr>
            <b/>
            <sz val="9"/>
            <color indexed="81"/>
            <rFont val="Tahoma"/>
            <family val="2"/>
          </rPr>
          <t xml:space="preserve">FLDNAME: </t>
        </r>
        <r>
          <rPr>
            <b/>
            <sz val="9"/>
            <color indexed="81"/>
            <rFont val="宋体"/>
            <family val="3"/>
            <charset val="134"/>
          </rPr>
          <t>定义表格字段名称。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 xml:space="preserve">这里定义的字段每行的列数
</t>
        </r>
        <r>
          <rPr>
            <b/>
            <sz val="9"/>
            <color indexed="81"/>
            <rFont val="Tahoma"/>
            <family val="2"/>
          </rPr>
          <t xml:space="preserve">FLDTYPE: </t>
        </r>
        <r>
          <rPr>
            <b/>
            <sz val="9"/>
            <color indexed="81"/>
            <rFont val="宋体"/>
            <family val="3"/>
            <charset val="134"/>
          </rPr>
          <t>定义字段类型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>默认为</t>
        </r>
        <r>
          <rPr>
            <b/>
            <sz val="9"/>
            <color indexed="81"/>
            <rFont val="Tahoma"/>
            <family val="2"/>
          </rPr>
          <t xml:space="preserve">I.   "I" </t>
        </r>
        <r>
          <rPr>
            <b/>
            <sz val="9"/>
            <color indexed="81"/>
            <rFont val="宋体"/>
            <family val="3"/>
            <charset val="134"/>
          </rPr>
          <t>数字</t>
        </r>
        <r>
          <rPr>
            <b/>
            <sz val="9"/>
            <color indexed="81"/>
            <rFont val="Tahoma"/>
            <family val="2"/>
          </rPr>
          <t xml:space="preserve"> "S" </t>
        </r>
        <r>
          <rPr>
            <b/>
            <sz val="9"/>
            <color indexed="81"/>
            <rFont val="宋体"/>
            <family val="3"/>
            <charset val="134"/>
          </rPr>
          <t>文本</t>
        </r>
        <r>
          <rPr>
            <b/>
            <sz val="9"/>
            <color indexed="81"/>
            <rFont val="Tahoma"/>
            <family val="2"/>
          </rPr>
          <t>,"T"</t>
        </r>
        <r>
          <rPr>
            <b/>
            <sz val="9"/>
            <color indexed="81"/>
            <rFont val="宋体"/>
            <family val="3"/>
            <charset val="134"/>
          </rPr>
          <t>表</t>
        </r>
        <r>
          <rPr>
            <b/>
            <sz val="9"/>
            <color indexed="81"/>
            <rFont val="Tahoma"/>
            <family val="2"/>
          </rPr>
          <t>,"B"</t>
        </r>
        <r>
          <rPr>
            <b/>
            <sz val="9"/>
            <color indexed="81"/>
            <rFont val="宋体"/>
            <family val="3"/>
            <charset val="134"/>
          </rPr>
          <t>布尔</t>
        </r>
        <r>
          <rPr>
            <b/>
            <sz val="9"/>
            <color indexed="81"/>
            <rFont val="Tahoma"/>
            <family val="2"/>
          </rPr>
          <t xml:space="preserve">,“N" </t>
        </r>
        <r>
          <rPr>
            <b/>
            <sz val="9"/>
            <color indexed="81"/>
            <rFont val="宋体"/>
            <family val="3"/>
            <charset val="134"/>
          </rPr>
          <t>不导出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Tahoma"/>
            <family val="2"/>
          </rPr>
          <t>DATA:</t>
        </r>
        <r>
          <rPr>
            <b/>
            <sz val="9"/>
            <color indexed="81"/>
            <rFont val="宋体"/>
            <family val="3"/>
            <charset val="134"/>
          </rPr>
          <t xml:space="preserve">数据行
</t>
        </r>
        <r>
          <rPr>
            <b/>
            <sz val="9"/>
            <color indexed="81"/>
            <rFont val="Tahoma"/>
            <family val="2"/>
          </rPr>
          <t xml:space="preserve">CLOSE: </t>
        </r>
        <r>
          <rPr>
            <b/>
            <sz val="9"/>
            <color indexed="81"/>
            <rFont val="宋体"/>
            <family val="3"/>
            <charset val="134"/>
          </rPr>
          <t xml:space="preserve">关闭文件
</t>
        </r>
        <r>
          <rPr>
            <b/>
            <sz val="9"/>
            <color indexed="81"/>
            <rFont val="Tahoma"/>
            <family val="2"/>
          </rPr>
          <t>FINISH:</t>
        </r>
        <r>
          <rPr>
            <b/>
            <sz val="9"/>
            <color indexed="81"/>
            <rFont val="宋体"/>
            <family val="3"/>
            <charset val="134"/>
          </rPr>
          <t xml:space="preserve">导出过程结束
</t>
        </r>
      </text>
    </comment>
    <comment ref="O4" authorId="1">
      <text>
        <r>
          <rPr>
            <b/>
            <sz val="9"/>
            <color indexed="81"/>
            <rFont val="宋体"/>
            <family val="3"/>
            <charset val="134"/>
          </rPr>
          <t>Ultralisk_PC129:</t>
        </r>
        <r>
          <rPr>
            <sz val="9"/>
            <color indexed="81"/>
            <rFont val="宋体"/>
            <family val="3"/>
            <charset val="134"/>
          </rPr>
          <t xml:space="preserve">
1 玩家 2 怪物 3 boss
4 宠物 5 召唤物 6 NPC</t>
        </r>
      </text>
    </comment>
    <comment ref="M5" authorId="1">
      <text>
        <r>
          <rPr>
            <b/>
            <sz val="9"/>
            <color indexed="81"/>
            <rFont val="宋体"/>
            <family val="3"/>
            <charset val="134"/>
          </rPr>
          <t>Ultralisk_PC129:</t>
        </r>
        <r>
          <rPr>
            <sz val="9"/>
            <color indexed="81"/>
            <rFont val="宋体"/>
            <family val="3"/>
            <charset val="134"/>
          </rPr>
          <t xml:space="preserve">
召唤，分身之类对应的id
</t>
        </r>
      </text>
    </comment>
  </commentList>
</comments>
</file>

<file path=xl/comments3.xml><?xml version="1.0" encoding="utf-8"?>
<comments xmlns="http://schemas.openxmlformats.org/spreadsheetml/2006/main">
  <authors>
    <author>kin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
CREATE</t>
        </r>
        <r>
          <rPr>
            <b/>
            <sz val="9"/>
            <color indexed="81"/>
            <rFont val="宋体"/>
            <family val="3"/>
            <charset val="134"/>
          </rPr>
          <t xml:space="preserve">：开新文件
</t>
        </r>
        <r>
          <rPr>
            <b/>
            <sz val="9"/>
            <color indexed="81"/>
            <rFont val="Tahoma"/>
            <family val="2"/>
          </rPr>
          <t xml:space="preserve">FLDNAME: </t>
        </r>
        <r>
          <rPr>
            <b/>
            <sz val="9"/>
            <color indexed="81"/>
            <rFont val="宋体"/>
            <family val="3"/>
            <charset val="134"/>
          </rPr>
          <t>定义表格字段名称。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 xml:space="preserve">这里定义的字段每行的列数
</t>
        </r>
        <r>
          <rPr>
            <b/>
            <sz val="9"/>
            <color indexed="81"/>
            <rFont val="Tahoma"/>
            <family val="2"/>
          </rPr>
          <t xml:space="preserve">FLDTYPE: </t>
        </r>
        <r>
          <rPr>
            <b/>
            <sz val="9"/>
            <color indexed="81"/>
            <rFont val="宋体"/>
            <family val="3"/>
            <charset val="134"/>
          </rPr>
          <t>定义字段类型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>默认为</t>
        </r>
        <r>
          <rPr>
            <b/>
            <sz val="9"/>
            <color indexed="81"/>
            <rFont val="Tahoma"/>
            <family val="2"/>
          </rPr>
          <t xml:space="preserve">I.   "I" </t>
        </r>
        <r>
          <rPr>
            <b/>
            <sz val="9"/>
            <color indexed="81"/>
            <rFont val="宋体"/>
            <family val="3"/>
            <charset val="134"/>
          </rPr>
          <t>数字</t>
        </r>
        <r>
          <rPr>
            <b/>
            <sz val="9"/>
            <color indexed="81"/>
            <rFont val="Tahoma"/>
            <family val="2"/>
          </rPr>
          <t xml:space="preserve"> "S" </t>
        </r>
        <r>
          <rPr>
            <b/>
            <sz val="9"/>
            <color indexed="81"/>
            <rFont val="宋体"/>
            <family val="3"/>
            <charset val="134"/>
          </rPr>
          <t>文本</t>
        </r>
        <r>
          <rPr>
            <b/>
            <sz val="9"/>
            <color indexed="81"/>
            <rFont val="Tahoma"/>
            <family val="2"/>
          </rPr>
          <t>,"T"</t>
        </r>
        <r>
          <rPr>
            <b/>
            <sz val="9"/>
            <color indexed="81"/>
            <rFont val="宋体"/>
            <family val="3"/>
            <charset val="134"/>
          </rPr>
          <t>表</t>
        </r>
        <r>
          <rPr>
            <b/>
            <sz val="9"/>
            <color indexed="81"/>
            <rFont val="Tahoma"/>
            <family val="2"/>
          </rPr>
          <t>,"B"</t>
        </r>
        <r>
          <rPr>
            <b/>
            <sz val="9"/>
            <color indexed="81"/>
            <rFont val="宋体"/>
            <family val="3"/>
            <charset val="134"/>
          </rPr>
          <t>布尔</t>
        </r>
        <r>
          <rPr>
            <b/>
            <sz val="9"/>
            <color indexed="81"/>
            <rFont val="Tahoma"/>
            <family val="2"/>
          </rPr>
          <t xml:space="preserve">,“N" </t>
        </r>
        <r>
          <rPr>
            <b/>
            <sz val="9"/>
            <color indexed="81"/>
            <rFont val="宋体"/>
            <family val="3"/>
            <charset val="134"/>
          </rPr>
          <t>不导出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Tahoma"/>
            <family val="2"/>
          </rPr>
          <t>DATA:</t>
        </r>
        <r>
          <rPr>
            <b/>
            <sz val="9"/>
            <color indexed="81"/>
            <rFont val="宋体"/>
            <family val="3"/>
            <charset val="134"/>
          </rPr>
          <t xml:space="preserve">数据行
</t>
        </r>
        <r>
          <rPr>
            <b/>
            <sz val="9"/>
            <color indexed="81"/>
            <rFont val="Tahoma"/>
            <family val="2"/>
          </rPr>
          <t xml:space="preserve">CLOSE: </t>
        </r>
        <r>
          <rPr>
            <b/>
            <sz val="9"/>
            <color indexed="81"/>
            <rFont val="宋体"/>
            <family val="3"/>
            <charset val="134"/>
          </rPr>
          <t xml:space="preserve">关闭文件
</t>
        </r>
        <r>
          <rPr>
            <b/>
            <sz val="9"/>
            <color indexed="81"/>
            <rFont val="Tahoma"/>
            <family val="2"/>
          </rPr>
          <t>FINISH:</t>
        </r>
        <r>
          <rPr>
            <b/>
            <sz val="9"/>
            <color indexed="81"/>
            <rFont val="宋体"/>
            <family val="3"/>
            <charset val="134"/>
          </rPr>
          <t xml:space="preserve">导出过程结束
</t>
        </r>
      </text>
    </comment>
  </commentList>
</comments>
</file>

<file path=xl/comments4.xml><?xml version="1.0" encoding="utf-8"?>
<comments xmlns="http://schemas.openxmlformats.org/spreadsheetml/2006/main">
  <authors>
    <author>kin</author>
    <author>Ultralisk_PC129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
CREATE</t>
        </r>
        <r>
          <rPr>
            <b/>
            <sz val="9"/>
            <color indexed="81"/>
            <rFont val="宋体"/>
            <family val="3"/>
            <charset val="134"/>
          </rPr>
          <t xml:space="preserve">：开新文件
</t>
        </r>
        <r>
          <rPr>
            <b/>
            <sz val="9"/>
            <color indexed="81"/>
            <rFont val="Tahoma"/>
            <family val="2"/>
          </rPr>
          <t xml:space="preserve">FLDNAME: </t>
        </r>
        <r>
          <rPr>
            <b/>
            <sz val="9"/>
            <color indexed="81"/>
            <rFont val="宋体"/>
            <family val="3"/>
            <charset val="134"/>
          </rPr>
          <t>定义表格字段名称。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 xml:space="preserve">这里定义的字段每行的列数
</t>
        </r>
        <r>
          <rPr>
            <b/>
            <sz val="9"/>
            <color indexed="81"/>
            <rFont val="Tahoma"/>
            <family val="2"/>
          </rPr>
          <t xml:space="preserve">FLDTYPE: </t>
        </r>
        <r>
          <rPr>
            <b/>
            <sz val="9"/>
            <color indexed="81"/>
            <rFont val="宋体"/>
            <family val="3"/>
            <charset val="134"/>
          </rPr>
          <t>定义字段类型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>默认为</t>
        </r>
        <r>
          <rPr>
            <b/>
            <sz val="9"/>
            <color indexed="81"/>
            <rFont val="Tahoma"/>
            <family val="2"/>
          </rPr>
          <t xml:space="preserve">I.   "I" </t>
        </r>
        <r>
          <rPr>
            <b/>
            <sz val="9"/>
            <color indexed="81"/>
            <rFont val="宋体"/>
            <family val="3"/>
            <charset val="134"/>
          </rPr>
          <t>数字</t>
        </r>
        <r>
          <rPr>
            <b/>
            <sz val="9"/>
            <color indexed="81"/>
            <rFont val="Tahoma"/>
            <family val="2"/>
          </rPr>
          <t xml:space="preserve"> "S" </t>
        </r>
        <r>
          <rPr>
            <b/>
            <sz val="9"/>
            <color indexed="81"/>
            <rFont val="宋体"/>
            <family val="3"/>
            <charset val="134"/>
          </rPr>
          <t>文本</t>
        </r>
        <r>
          <rPr>
            <b/>
            <sz val="9"/>
            <color indexed="81"/>
            <rFont val="Tahoma"/>
            <family val="2"/>
          </rPr>
          <t>,"T"</t>
        </r>
        <r>
          <rPr>
            <b/>
            <sz val="9"/>
            <color indexed="81"/>
            <rFont val="宋体"/>
            <family val="3"/>
            <charset val="134"/>
          </rPr>
          <t>表</t>
        </r>
        <r>
          <rPr>
            <b/>
            <sz val="9"/>
            <color indexed="81"/>
            <rFont val="Tahoma"/>
            <family val="2"/>
          </rPr>
          <t>,"B"</t>
        </r>
        <r>
          <rPr>
            <b/>
            <sz val="9"/>
            <color indexed="81"/>
            <rFont val="宋体"/>
            <family val="3"/>
            <charset val="134"/>
          </rPr>
          <t>布尔</t>
        </r>
        <r>
          <rPr>
            <b/>
            <sz val="9"/>
            <color indexed="81"/>
            <rFont val="Tahoma"/>
            <family val="2"/>
          </rPr>
          <t xml:space="preserve">,“N" </t>
        </r>
        <r>
          <rPr>
            <b/>
            <sz val="9"/>
            <color indexed="81"/>
            <rFont val="宋体"/>
            <family val="3"/>
            <charset val="134"/>
          </rPr>
          <t>不导出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Tahoma"/>
            <family val="2"/>
          </rPr>
          <t>DATA:</t>
        </r>
        <r>
          <rPr>
            <b/>
            <sz val="9"/>
            <color indexed="81"/>
            <rFont val="宋体"/>
            <family val="3"/>
            <charset val="134"/>
          </rPr>
          <t xml:space="preserve">数据行
</t>
        </r>
        <r>
          <rPr>
            <b/>
            <sz val="9"/>
            <color indexed="81"/>
            <rFont val="Tahoma"/>
            <family val="2"/>
          </rPr>
          <t xml:space="preserve">CLOSE: </t>
        </r>
        <r>
          <rPr>
            <b/>
            <sz val="9"/>
            <color indexed="81"/>
            <rFont val="宋体"/>
            <family val="3"/>
            <charset val="134"/>
          </rPr>
          <t xml:space="preserve">关闭文件
</t>
        </r>
        <r>
          <rPr>
            <b/>
            <sz val="9"/>
            <color indexed="81"/>
            <rFont val="Tahoma"/>
            <family val="2"/>
          </rPr>
          <t>FINISH:</t>
        </r>
        <r>
          <rPr>
            <b/>
            <sz val="9"/>
            <color indexed="81"/>
            <rFont val="宋体"/>
            <family val="3"/>
            <charset val="134"/>
          </rPr>
          <t xml:space="preserve">导出过程结束
</t>
        </r>
      </text>
    </comment>
    <comment ref="H4" authorId="1">
      <text>
        <r>
          <rPr>
            <b/>
            <sz val="9"/>
            <color indexed="81"/>
            <rFont val="宋体"/>
            <family val="3"/>
            <charset val="134"/>
          </rPr>
          <t>Ultralisk_PC129:</t>
        </r>
        <r>
          <rPr>
            <sz val="9"/>
            <color indexed="81"/>
            <rFont val="宋体"/>
            <family val="3"/>
            <charset val="134"/>
          </rPr>
          <t xml:space="preserve">
1:普通 2:技能 3:必杀
4:奥义 5:终极必杀 
6:变身 10:普2 11:普3 12:普4 13:普5</t>
        </r>
      </text>
    </comment>
    <comment ref="V4" authorId="1">
      <text>
        <r>
          <rPr>
            <b/>
            <sz val="9"/>
            <color indexed="81"/>
            <rFont val="宋体"/>
            <family val="3"/>
            <charset val="134"/>
          </rPr>
          <t>Ultralisk_PC129:</t>
        </r>
        <r>
          <rPr>
            <sz val="9"/>
            <color indexed="81"/>
            <rFont val="宋体"/>
            <family val="3"/>
            <charset val="134"/>
          </rPr>
          <t xml:space="preserve">
1 拉近  2 拉远
</t>
        </r>
      </text>
    </comment>
    <comment ref="S5" authorId="1">
      <text>
        <r>
          <rPr>
            <b/>
            <sz val="9"/>
            <color indexed="81"/>
            <rFont val="宋体"/>
            <family val="3"/>
            <charset val="134"/>
          </rPr>
          <t>Ultralisk_PC129:</t>
        </r>
        <r>
          <rPr>
            <sz val="9"/>
            <color indexed="81"/>
            <rFont val="宋体"/>
            <family val="3"/>
            <charset val="134"/>
          </rPr>
          <t xml:space="preserve">
1 90°
2 180°
3 360°</t>
        </r>
      </text>
    </comment>
    <comment ref="AA5" authorId="1">
      <text>
        <r>
          <rPr>
            <b/>
            <sz val="9"/>
            <color indexed="81"/>
            <rFont val="宋体"/>
            <family val="3"/>
            <charset val="134"/>
          </rPr>
          <t>Ultralisk_PC129:</t>
        </r>
        <r>
          <rPr>
            <sz val="9"/>
            <color indexed="81"/>
            <rFont val="宋体"/>
            <family val="3"/>
            <charset val="134"/>
          </rPr>
          <t xml:space="preserve">
1 左右 2 上下 0 全部
</t>
        </r>
      </text>
    </comment>
  </commentList>
</comments>
</file>

<file path=xl/comments5.xml><?xml version="1.0" encoding="utf-8"?>
<comments xmlns="http://schemas.openxmlformats.org/spreadsheetml/2006/main">
  <authors>
    <author>kin</author>
    <author>Ultralisk_PC129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
CREATE</t>
        </r>
        <r>
          <rPr>
            <b/>
            <sz val="9"/>
            <color indexed="81"/>
            <rFont val="宋体"/>
            <family val="3"/>
            <charset val="134"/>
          </rPr>
          <t xml:space="preserve">：开新文件
</t>
        </r>
        <r>
          <rPr>
            <b/>
            <sz val="9"/>
            <color indexed="81"/>
            <rFont val="Tahoma"/>
            <family val="2"/>
          </rPr>
          <t xml:space="preserve">FLDNAME: </t>
        </r>
        <r>
          <rPr>
            <b/>
            <sz val="9"/>
            <color indexed="81"/>
            <rFont val="宋体"/>
            <family val="3"/>
            <charset val="134"/>
          </rPr>
          <t>定义表格字段名称。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 xml:space="preserve">这里定义的字段每行的列数
</t>
        </r>
        <r>
          <rPr>
            <b/>
            <sz val="9"/>
            <color indexed="81"/>
            <rFont val="Tahoma"/>
            <family val="2"/>
          </rPr>
          <t xml:space="preserve">FLDTYPE: </t>
        </r>
        <r>
          <rPr>
            <b/>
            <sz val="9"/>
            <color indexed="81"/>
            <rFont val="宋体"/>
            <family val="3"/>
            <charset val="134"/>
          </rPr>
          <t>定义字段类型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>默认为</t>
        </r>
        <r>
          <rPr>
            <b/>
            <sz val="9"/>
            <color indexed="81"/>
            <rFont val="Tahoma"/>
            <family val="2"/>
          </rPr>
          <t xml:space="preserve">I.   "I" </t>
        </r>
        <r>
          <rPr>
            <b/>
            <sz val="9"/>
            <color indexed="81"/>
            <rFont val="宋体"/>
            <family val="3"/>
            <charset val="134"/>
          </rPr>
          <t>数字</t>
        </r>
        <r>
          <rPr>
            <b/>
            <sz val="9"/>
            <color indexed="81"/>
            <rFont val="Tahoma"/>
            <family val="2"/>
          </rPr>
          <t xml:space="preserve"> "S" </t>
        </r>
        <r>
          <rPr>
            <b/>
            <sz val="9"/>
            <color indexed="81"/>
            <rFont val="宋体"/>
            <family val="3"/>
            <charset val="134"/>
          </rPr>
          <t>文本</t>
        </r>
        <r>
          <rPr>
            <b/>
            <sz val="9"/>
            <color indexed="81"/>
            <rFont val="Tahoma"/>
            <family val="2"/>
          </rPr>
          <t>,"T"</t>
        </r>
        <r>
          <rPr>
            <b/>
            <sz val="9"/>
            <color indexed="81"/>
            <rFont val="宋体"/>
            <family val="3"/>
            <charset val="134"/>
          </rPr>
          <t>表</t>
        </r>
        <r>
          <rPr>
            <b/>
            <sz val="9"/>
            <color indexed="81"/>
            <rFont val="Tahoma"/>
            <family val="2"/>
          </rPr>
          <t>,"B"</t>
        </r>
        <r>
          <rPr>
            <b/>
            <sz val="9"/>
            <color indexed="81"/>
            <rFont val="宋体"/>
            <family val="3"/>
            <charset val="134"/>
          </rPr>
          <t>布尔</t>
        </r>
        <r>
          <rPr>
            <b/>
            <sz val="9"/>
            <color indexed="81"/>
            <rFont val="Tahoma"/>
            <family val="2"/>
          </rPr>
          <t xml:space="preserve">,“N" </t>
        </r>
        <r>
          <rPr>
            <b/>
            <sz val="9"/>
            <color indexed="81"/>
            <rFont val="宋体"/>
            <family val="3"/>
            <charset val="134"/>
          </rPr>
          <t>不导出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Tahoma"/>
            <family val="2"/>
          </rPr>
          <t>DATA:</t>
        </r>
        <r>
          <rPr>
            <b/>
            <sz val="9"/>
            <color indexed="81"/>
            <rFont val="宋体"/>
            <family val="3"/>
            <charset val="134"/>
          </rPr>
          <t xml:space="preserve">数据行
</t>
        </r>
        <r>
          <rPr>
            <b/>
            <sz val="9"/>
            <color indexed="81"/>
            <rFont val="Tahoma"/>
            <family val="2"/>
          </rPr>
          <t xml:space="preserve">CLOSE: </t>
        </r>
        <r>
          <rPr>
            <b/>
            <sz val="9"/>
            <color indexed="81"/>
            <rFont val="宋体"/>
            <family val="3"/>
            <charset val="134"/>
          </rPr>
          <t xml:space="preserve">关闭文件
</t>
        </r>
        <r>
          <rPr>
            <b/>
            <sz val="9"/>
            <color indexed="81"/>
            <rFont val="Tahoma"/>
            <family val="2"/>
          </rPr>
          <t>FINISH:</t>
        </r>
        <r>
          <rPr>
            <b/>
            <sz val="9"/>
            <color indexed="81"/>
            <rFont val="宋体"/>
            <family val="3"/>
            <charset val="134"/>
          </rPr>
          <t xml:space="preserve">导出过程结束
</t>
        </r>
      </text>
    </comment>
    <comment ref="N5" authorId="1">
      <text>
        <r>
          <rPr>
            <b/>
            <sz val="9"/>
            <color indexed="81"/>
            <rFont val="宋体"/>
            <family val="3"/>
            <charset val="134"/>
          </rPr>
          <t>Ultralisk_PC129:</t>
        </r>
        <r>
          <rPr>
            <sz val="9"/>
            <color indexed="81"/>
            <rFont val="宋体"/>
            <family val="3"/>
            <charset val="134"/>
          </rPr>
          <t xml:space="preserve">
1 正常 2 击中 3 击退 4 击倒 5 击飞 6 滞空 7 冻结</t>
        </r>
      </text>
    </comment>
    <comment ref="O5" authorId="1">
      <text>
        <r>
          <rPr>
            <b/>
            <sz val="9"/>
            <color indexed="81"/>
            <rFont val="宋体"/>
            <family val="3"/>
            <charset val="134"/>
          </rPr>
          <t>Ultralisk_PC129:</t>
        </r>
        <r>
          <rPr>
            <sz val="9"/>
            <color indexed="81"/>
            <rFont val="宋体"/>
            <family val="3"/>
            <charset val="134"/>
          </rPr>
          <t xml:space="preserve">
表示击倒时间，击飞距离之类的</t>
        </r>
      </text>
    </comment>
    <comment ref="T5" authorId="1">
      <text>
        <r>
          <rPr>
            <b/>
            <sz val="9"/>
            <color indexed="81"/>
            <rFont val="宋体"/>
            <family val="3"/>
            <charset val="134"/>
          </rPr>
          <t>Ultralisk_PC129:</t>
        </r>
        <r>
          <rPr>
            <sz val="9"/>
            <color indexed="81"/>
            <rFont val="宋体"/>
            <family val="3"/>
            <charset val="134"/>
          </rPr>
          <t xml:space="preserve">
1 左右 2 上下 0 全部
</t>
        </r>
      </text>
    </comment>
  </commentList>
</comments>
</file>

<file path=xl/comments6.xml><?xml version="1.0" encoding="utf-8"?>
<comments xmlns="http://schemas.openxmlformats.org/spreadsheetml/2006/main">
  <authors>
    <author>kin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
CREATE</t>
        </r>
        <r>
          <rPr>
            <b/>
            <sz val="9"/>
            <color indexed="81"/>
            <rFont val="宋体"/>
            <family val="3"/>
            <charset val="134"/>
          </rPr>
          <t xml:space="preserve">：开新文件
</t>
        </r>
        <r>
          <rPr>
            <b/>
            <sz val="9"/>
            <color indexed="81"/>
            <rFont val="Tahoma"/>
            <family val="2"/>
          </rPr>
          <t xml:space="preserve">FLDNAME: </t>
        </r>
        <r>
          <rPr>
            <b/>
            <sz val="9"/>
            <color indexed="81"/>
            <rFont val="宋体"/>
            <family val="3"/>
            <charset val="134"/>
          </rPr>
          <t>定义表格字段名称。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 xml:space="preserve">这里定义的字段每行的列数
</t>
        </r>
        <r>
          <rPr>
            <b/>
            <sz val="9"/>
            <color indexed="81"/>
            <rFont val="Tahoma"/>
            <family val="2"/>
          </rPr>
          <t xml:space="preserve">FLDTYPE: </t>
        </r>
        <r>
          <rPr>
            <b/>
            <sz val="9"/>
            <color indexed="81"/>
            <rFont val="宋体"/>
            <family val="3"/>
            <charset val="134"/>
          </rPr>
          <t>定义字段类型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>默认为</t>
        </r>
        <r>
          <rPr>
            <b/>
            <sz val="9"/>
            <color indexed="81"/>
            <rFont val="Tahoma"/>
            <family val="2"/>
          </rPr>
          <t xml:space="preserve">I.   "I" </t>
        </r>
        <r>
          <rPr>
            <b/>
            <sz val="9"/>
            <color indexed="81"/>
            <rFont val="宋体"/>
            <family val="3"/>
            <charset val="134"/>
          </rPr>
          <t>数字</t>
        </r>
        <r>
          <rPr>
            <b/>
            <sz val="9"/>
            <color indexed="81"/>
            <rFont val="Tahoma"/>
            <family val="2"/>
          </rPr>
          <t xml:space="preserve"> "S" </t>
        </r>
        <r>
          <rPr>
            <b/>
            <sz val="9"/>
            <color indexed="81"/>
            <rFont val="宋体"/>
            <family val="3"/>
            <charset val="134"/>
          </rPr>
          <t>文本</t>
        </r>
        <r>
          <rPr>
            <b/>
            <sz val="9"/>
            <color indexed="81"/>
            <rFont val="Tahoma"/>
            <family val="2"/>
          </rPr>
          <t>,"T"</t>
        </r>
        <r>
          <rPr>
            <b/>
            <sz val="9"/>
            <color indexed="81"/>
            <rFont val="宋体"/>
            <family val="3"/>
            <charset val="134"/>
          </rPr>
          <t>表</t>
        </r>
        <r>
          <rPr>
            <b/>
            <sz val="9"/>
            <color indexed="81"/>
            <rFont val="Tahoma"/>
            <family val="2"/>
          </rPr>
          <t>,"B"</t>
        </r>
        <r>
          <rPr>
            <b/>
            <sz val="9"/>
            <color indexed="81"/>
            <rFont val="宋体"/>
            <family val="3"/>
            <charset val="134"/>
          </rPr>
          <t>布尔</t>
        </r>
        <r>
          <rPr>
            <b/>
            <sz val="9"/>
            <color indexed="81"/>
            <rFont val="Tahoma"/>
            <family val="2"/>
          </rPr>
          <t xml:space="preserve">,“N" </t>
        </r>
        <r>
          <rPr>
            <b/>
            <sz val="9"/>
            <color indexed="81"/>
            <rFont val="宋体"/>
            <family val="3"/>
            <charset val="134"/>
          </rPr>
          <t>不导出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Tahoma"/>
            <family val="2"/>
          </rPr>
          <t>DATA:</t>
        </r>
        <r>
          <rPr>
            <b/>
            <sz val="9"/>
            <color indexed="81"/>
            <rFont val="宋体"/>
            <family val="3"/>
            <charset val="134"/>
          </rPr>
          <t xml:space="preserve">数据行
</t>
        </r>
        <r>
          <rPr>
            <b/>
            <sz val="9"/>
            <color indexed="81"/>
            <rFont val="Tahoma"/>
            <family val="2"/>
          </rPr>
          <t xml:space="preserve">CLOSE: </t>
        </r>
        <r>
          <rPr>
            <b/>
            <sz val="9"/>
            <color indexed="81"/>
            <rFont val="宋体"/>
            <family val="3"/>
            <charset val="134"/>
          </rPr>
          <t xml:space="preserve">关闭文件
</t>
        </r>
        <r>
          <rPr>
            <b/>
            <sz val="9"/>
            <color indexed="81"/>
            <rFont val="Tahoma"/>
            <family val="2"/>
          </rPr>
          <t>FINISH:</t>
        </r>
        <r>
          <rPr>
            <b/>
            <sz val="9"/>
            <color indexed="81"/>
            <rFont val="宋体"/>
            <family val="3"/>
            <charset val="134"/>
          </rPr>
          <t xml:space="preserve">导出过程结束
</t>
        </r>
      </text>
    </comment>
  </commentList>
</comments>
</file>

<file path=xl/comments7.xml><?xml version="1.0" encoding="utf-8"?>
<comments xmlns="http://schemas.openxmlformats.org/spreadsheetml/2006/main">
  <authors>
    <author>kin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
CREATE</t>
        </r>
        <r>
          <rPr>
            <b/>
            <sz val="9"/>
            <color indexed="81"/>
            <rFont val="宋体"/>
            <family val="3"/>
            <charset val="134"/>
          </rPr>
          <t xml:space="preserve">：开新文件
</t>
        </r>
        <r>
          <rPr>
            <b/>
            <sz val="9"/>
            <color indexed="81"/>
            <rFont val="Tahoma"/>
            <family val="2"/>
          </rPr>
          <t xml:space="preserve">FLDNAME: </t>
        </r>
        <r>
          <rPr>
            <b/>
            <sz val="9"/>
            <color indexed="81"/>
            <rFont val="宋体"/>
            <family val="3"/>
            <charset val="134"/>
          </rPr>
          <t>定义表格字段名称。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 xml:space="preserve">这里定义的字段每行的列数
</t>
        </r>
        <r>
          <rPr>
            <b/>
            <sz val="9"/>
            <color indexed="81"/>
            <rFont val="Tahoma"/>
            <family val="2"/>
          </rPr>
          <t xml:space="preserve">FLDTYPE: </t>
        </r>
        <r>
          <rPr>
            <b/>
            <sz val="9"/>
            <color indexed="81"/>
            <rFont val="宋体"/>
            <family val="3"/>
            <charset val="134"/>
          </rPr>
          <t>定义字段类型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>默认为</t>
        </r>
        <r>
          <rPr>
            <b/>
            <sz val="9"/>
            <color indexed="81"/>
            <rFont val="Tahoma"/>
            <family val="2"/>
          </rPr>
          <t xml:space="preserve">I.   "I" </t>
        </r>
        <r>
          <rPr>
            <b/>
            <sz val="9"/>
            <color indexed="81"/>
            <rFont val="宋体"/>
            <family val="3"/>
            <charset val="134"/>
          </rPr>
          <t>数字</t>
        </r>
        <r>
          <rPr>
            <b/>
            <sz val="9"/>
            <color indexed="81"/>
            <rFont val="Tahoma"/>
            <family val="2"/>
          </rPr>
          <t xml:space="preserve"> "S" </t>
        </r>
        <r>
          <rPr>
            <b/>
            <sz val="9"/>
            <color indexed="81"/>
            <rFont val="宋体"/>
            <family val="3"/>
            <charset val="134"/>
          </rPr>
          <t>文本</t>
        </r>
        <r>
          <rPr>
            <b/>
            <sz val="9"/>
            <color indexed="81"/>
            <rFont val="Tahoma"/>
            <family val="2"/>
          </rPr>
          <t>,"T"</t>
        </r>
        <r>
          <rPr>
            <b/>
            <sz val="9"/>
            <color indexed="81"/>
            <rFont val="宋体"/>
            <family val="3"/>
            <charset val="134"/>
          </rPr>
          <t>表</t>
        </r>
        <r>
          <rPr>
            <b/>
            <sz val="9"/>
            <color indexed="81"/>
            <rFont val="Tahoma"/>
            <family val="2"/>
          </rPr>
          <t>,"B"</t>
        </r>
        <r>
          <rPr>
            <b/>
            <sz val="9"/>
            <color indexed="81"/>
            <rFont val="宋体"/>
            <family val="3"/>
            <charset val="134"/>
          </rPr>
          <t>布尔</t>
        </r>
        <r>
          <rPr>
            <b/>
            <sz val="9"/>
            <color indexed="81"/>
            <rFont val="Tahoma"/>
            <family val="2"/>
          </rPr>
          <t xml:space="preserve">,“N" </t>
        </r>
        <r>
          <rPr>
            <b/>
            <sz val="9"/>
            <color indexed="81"/>
            <rFont val="宋体"/>
            <family val="3"/>
            <charset val="134"/>
          </rPr>
          <t>不导出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Tahoma"/>
            <family val="2"/>
          </rPr>
          <t>DATA:</t>
        </r>
        <r>
          <rPr>
            <b/>
            <sz val="9"/>
            <color indexed="81"/>
            <rFont val="宋体"/>
            <family val="3"/>
            <charset val="134"/>
          </rPr>
          <t xml:space="preserve">数据行
</t>
        </r>
        <r>
          <rPr>
            <b/>
            <sz val="9"/>
            <color indexed="81"/>
            <rFont val="Tahoma"/>
            <family val="2"/>
          </rPr>
          <t xml:space="preserve">CLOSE: </t>
        </r>
        <r>
          <rPr>
            <b/>
            <sz val="9"/>
            <color indexed="81"/>
            <rFont val="宋体"/>
            <family val="3"/>
            <charset val="134"/>
          </rPr>
          <t xml:space="preserve">关闭文件
</t>
        </r>
        <r>
          <rPr>
            <b/>
            <sz val="9"/>
            <color indexed="81"/>
            <rFont val="Tahoma"/>
            <family val="2"/>
          </rPr>
          <t>FINISH:</t>
        </r>
        <r>
          <rPr>
            <b/>
            <sz val="9"/>
            <color indexed="81"/>
            <rFont val="宋体"/>
            <family val="3"/>
            <charset val="134"/>
          </rPr>
          <t xml:space="preserve">导出过程结束
</t>
        </r>
      </text>
    </comment>
  </commentList>
</comments>
</file>

<file path=xl/comments8.xml><?xml version="1.0" encoding="utf-8"?>
<comments xmlns="http://schemas.openxmlformats.org/spreadsheetml/2006/main">
  <authors>
    <author>kin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
CREATE</t>
        </r>
        <r>
          <rPr>
            <b/>
            <sz val="9"/>
            <color indexed="81"/>
            <rFont val="宋体"/>
            <family val="3"/>
            <charset val="134"/>
          </rPr>
          <t xml:space="preserve">：开新文件
</t>
        </r>
        <r>
          <rPr>
            <b/>
            <sz val="9"/>
            <color indexed="81"/>
            <rFont val="Tahoma"/>
            <family val="2"/>
          </rPr>
          <t xml:space="preserve">FLDNAME: </t>
        </r>
        <r>
          <rPr>
            <b/>
            <sz val="9"/>
            <color indexed="81"/>
            <rFont val="宋体"/>
            <family val="3"/>
            <charset val="134"/>
          </rPr>
          <t>定义表格字段名称。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 xml:space="preserve">这里定义的字段每行的列数
</t>
        </r>
        <r>
          <rPr>
            <b/>
            <sz val="9"/>
            <color indexed="81"/>
            <rFont val="Tahoma"/>
            <family val="2"/>
          </rPr>
          <t xml:space="preserve">FLDTYPE: </t>
        </r>
        <r>
          <rPr>
            <b/>
            <sz val="9"/>
            <color indexed="81"/>
            <rFont val="宋体"/>
            <family val="3"/>
            <charset val="134"/>
          </rPr>
          <t>定义字段类型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>默认为</t>
        </r>
        <r>
          <rPr>
            <b/>
            <sz val="9"/>
            <color indexed="81"/>
            <rFont val="Tahoma"/>
            <family val="2"/>
          </rPr>
          <t xml:space="preserve">I.   "I" </t>
        </r>
        <r>
          <rPr>
            <b/>
            <sz val="9"/>
            <color indexed="81"/>
            <rFont val="宋体"/>
            <family val="3"/>
            <charset val="134"/>
          </rPr>
          <t>数字</t>
        </r>
        <r>
          <rPr>
            <b/>
            <sz val="9"/>
            <color indexed="81"/>
            <rFont val="Tahoma"/>
            <family val="2"/>
          </rPr>
          <t xml:space="preserve"> "S" </t>
        </r>
        <r>
          <rPr>
            <b/>
            <sz val="9"/>
            <color indexed="81"/>
            <rFont val="宋体"/>
            <family val="3"/>
            <charset val="134"/>
          </rPr>
          <t>文本</t>
        </r>
        <r>
          <rPr>
            <b/>
            <sz val="9"/>
            <color indexed="81"/>
            <rFont val="Tahoma"/>
            <family val="2"/>
          </rPr>
          <t>,"T"</t>
        </r>
        <r>
          <rPr>
            <b/>
            <sz val="9"/>
            <color indexed="81"/>
            <rFont val="宋体"/>
            <family val="3"/>
            <charset val="134"/>
          </rPr>
          <t>表</t>
        </r>
        <r>
          <rPr>
            <b/>
            <sz val="9"/>
            <color indexed="81"/>
            <rFont val="Tahoma"/>
            <family val="2"/>
          </rPr>
          <t>,"B"</t>
        </r>
        <r>
          <rPr>
            <b/>
            <sz val="9"/>
            <color indexed="81"/>
            <rFont val="宋体"/>
            <family val="3"/>
            <charset val="134"/>
          </rPr>
          <t>布尔</t>
        </r>
        <r>
          <rPr>
            <b/>
            <sz val="9"/>
            <color indexed="81"/>
            <rFont val="Tahoma"/>
            <family val="2"/>
          </rPr>
          <t xml:space="preserve">,“N" </t>
        </r>
        <r>
          <rPr>
            <b/>
            <sz val="9"/>
            <color indexed="81"/>
            <rFont val="宋体"/>
            <family val="3"/>
            <charset val="134"/>
          </rPr>
          <t>不导出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Tahoma"/>
            <family val="2"/>
          </rPr>
          <t>DATA:</t>
        </r>
        <r>
          <rPr>
            <b/>
            <sz val="9"/>
            <color indexed="81"/>
            <rFont val="宋体"/>
            <family val="3"/>
            <charset val="134"/>
          </rPr>
          <t xml:space="preserve">数据行
</t>
        </r>
        <r>
          <rPr>
            <b/>
            <sz val="9"/>
            <color indexed="81"/>
            <rFont val="Tahoma"/>
            <family val="2"/>
          </rPr>
          <t xml:space="preserve">CLOSE: </t>
        </r>
        <r>
          <rPr>
            <b/>
            <sz val="9"/>
            <color indexed="81"/>
            <rFont val="宋体"/>
            <family val="3"/>
            <charset val="134"/>
          </rPr>
          <t xml:space="preserve">关闭文件
</t>
        </r>
        <r>
          <rPr>
            <b/>
            <sz val="9"/>
            <color indexed="81"/>
            <rFont val="Tahoma"/>
            <family val="2"/>
          </rPr>
          <t>FINISH:</t>
        </r>
        <r>
          <rPr>
            <b/>
            <sz val="9"/>
            <color indexed="81"/>
            <rFont val="宋体"/>
            <family val="3"/>
            <charset val="134"/>
          </rPr>
          <t xml:space="preserve">导出过程结束
</t>
        </r>
      </text>
    </comment>
  </commentList>
</comments>
</file>

<file path=xl/comments9.xml><?xml version="1.0" encoding="utf-8"?>
<comments xmlns="http://schemas.openxmlformats.org/spreadsheetml/2006/main">
  <authors>
    <author>kin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
CREATE</t>
        </r>
        <r>
          <rPr>
            <b/>
            <sz val="9"/>
            <color indexed="81"/>
            <rFont val="宋体"/>
            <family val="3"/>
            <charset val="134"/>
          </rPr>
          <t xml:space="preserve">：开新文件
</t>
        </r>
        <r>
          <rPr>
            <b/>
            <sz val="9"/>
            <color indexed="81"/>
            <rFont val="Tahoma"/>
            <family val="2"/>
          </rPr>
          <t xml:space="preserve">FLDNAME: </t>
        </r>
        <r>
          <rPr>
            <b/>
            <sz val="9"/>
            <color indexed="81"/>
            <rFont val="宋体"/>
            <family val="3"/>
            <charset val="134"/>
          </rPr>
          <t>定义表格字段名称。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 xml:space="preserve">这里定义的字段每行的列数
</t>
        </r>
        <r>
          <rPr>
            <b/>
            <sz val="9"/>
            <color indexed="81"/>
            <rFont val="Tahoma"/>
            <family val="2"/>
          </rPr>
          <t xml:space="preserve">FLDTYPE: </t>
        </r>
        <r>
          <rPr>
            <b/>
            <sz val="9"/>
            <color indexed="81"/>
            <rFont val="宋体"/>
            <family val="3"/>
            <charset val="134"/>
          </rPr>
          <t>定义字段类型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>默认为</t>
        </r>
        <r>
          <rPr>
            <b/>
            <sz val="9"/>
            <color indexed="81"/>
            <rFont val="Tahoma"/>
            <family val="2"/>
          </rPr>
          <t xml:space="preserve">I.   "I" </t>
        </r>
        <r>
          <rPr>
            <b/>
            <sz val="9"/>
            <color indexed="81"/>
            <rFont val="宋体"/>
            <family val="3"/>
            <charset val="134"/>
          </rPr>
          <t>数字</t>
        </r>
        <r>
          <rPr>
            <b/>
            <sz val="9"/>
            <color indexed="81"/>
            <rFont val="Tahoma"/>
            <family val="2"/>
          </rPr>
          <t xml:space="preserve"> "S" </t>
        </r>
        <r>
          <rPr>
            <b/>
            <sz val="9"/>
            <color indexed="81"/>
            <rFont val="宋体"/>
            <family val="3"/>
            <charset val="134"/>
          </rPr>
          <t>文本</t>
        </r>
        <r>
          <rPr>
            <b/>
            <sz val="9"/>
            <color indexed="81"/>
            <rFont val="Tahoma"/>
            <family val="2"/>
          </rPr>
          <t>,"T"</t>
        </r>
        <r>
          <rPr>
            <b/>
            <sz val="9"/>
            <color indexed="81"/>
            <rFont val="宋体"/>
            <family val="3"/>
            <charset val="134"/>
          </rPr>
          <t>表</t>
        </r>
        <r>
          <rPr>
            <b/>
            <sz val="9"/>
            <color indexed="81"/>
            <rFont val="Tahoma"/>
            <family val="2"/>
          </rPr>
          <t>,"B"</t>
        </r>
        <r>
          <rPr>
            <b/>
            <sz val="9"/>
            <color indexed="81"/>
            <rFont val="宋体"/>
            <family val="3"/>
            <charset val="134"/>
          </rPr>
          <t>布尔</t>
        </r>
        <r>
          <rPr>
            <b/>
            <sz val="9"/>
            <color indexed="81"/>
            <rFont val="Tahoma"/>
            <family val="2"/>
          </rPr>
          <t xml:space="preserve">,“N" </t>
        </r>
        <r>
          <rPr>
            <b/>
            <sz val="9"/>
            <color indexed="81"/>
            <rFont val="宋体"/>
            <family val="3"/>
            <charset val="134"/>
          </rPr>
          <t>不导出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Tahoma"/>
            <family val="2"/>
          </rPr>
          <t>DATA:</t>
        </r>
        <r>
          <rPr>
            <b/>
            <sz val="9"/>
            <color indexed="81"/>
            <rFont val="宋体"/>
            <family val="3"/>
            <charset val="134"/>
          </rPr>
          <t xml:space="preserve">数据行
</t>
        </r>
        <r>
          <rPr>
            <b/>
            <sz val="9"/>
            <color indexed="81"/>
            <rFont val="Tahoma"/>
            <family val="2"/>
          </rPr>
          <t xml:space="preserve">CLOSE: </t>
        </r>
        <r>
          <rPr>
            <b/>
            <sz val="9"/>
            <color indexed="81"/>
            <rFont val="宋体"/>
            <family val="3"/>
            <charset val="134"/>
          </rPr>
          <t xml:space="preserve">关闭文件
</t>
        </r>
        <r>
          <rPr>
            <b/>
            <sz val="9"/>
            <color indexed="81"/>
            <rFont val="Tahoma"/>
            <family val="2"/>
          </rPr>
          <t>FINISH:</t>
        </r>
        <r>
          <rPr>
            <b/>
            <sz val="9"/>
            <color indexed="81"/>
            <rFont val="宋体"/>
            <family val="3"/>
            <charset val="134"/>
          </rPr>
          <t xml:space="preserve">导出过程结束
</t>
        </r>
      </text>
    </comment>
  </commentList>
</comments>
</file>

<file path=xl/sharedStrings.xml><?xml version="1.0" encoding="utf-8"?>
<sst xmlns="http://schemas.openxmlformats.org/spreadsheetml/2006/main" count="22634" uniqueCount="10073">
  <si>
    <t>CREATE</t>
    <phoneticPr fontId="1" type="noConversion"/>
  </si>
  <si>
    <t>CLOSE</t>
    <phoneticPr fontId="1" type="noConversion"/>
  </si>
  <si>
    <t>lua</t>
    <phoneticPr fontId="1" type="noConversion"/>
  </si>
  <si>
    <t>FINISH</t>
  </si>
  <si>
    <t>PATH</t>
  </si>
  <si>
    <t>本页标签名请勿修改</t>
    <phoneticPr fontId="1" type="noConversion"/>
  </si>
  <si>
    <t>cmd</t>
    <phoneticPr fontId="1" type="noConversion"/>
  </si>
  <si>
    <t>路径</t>
    <phoneticPr fontId="1" type="noConversion"/>
  </si>
  <si>
    <t>导出类型</t>
    <phoneticPr fontId="1" type="noConversion"/>
  </si>
  <si>
    <t>FLDNAME</t>
    <phoneticPr fontId="1" type="noConversion"/>
  </si>
  <si>
    <t>FINISH</t>
    <phoneticPr fontId="1" type="noConversion"/>
  </si>
  <si>
    <t>FLDTYPE</t>
    <phoneticPr fontId="1" type="noConversion"/>
  </si>
  <si>
    <t>I</t>
    <phoneticPr fontId="7" type="noConversion"/>
  </si>
  <si>
    <t>id</t>
    <phoneticPr fontId="7" type="noConversion"/>
  </si>
  <si>
    <t>once</t>
    <phoneticPr fontId="7" type="noConversion"/>
  </si>
  <si>
    <t>单次生效</t>
    <phoneticPr fontId="7" type="noConversion"/>
  </si>
  <si>
    <t>B</t>
    <phoneticPr fontId="7" type="noConversion"/>
  </si>
  <si>
    <t>loop</t>
    <phoneticPr fontId="7" type="noConversion"/>
  </si>
  <si>
    <t>循环</t>
    <phoneticPr fontId="7" type="noConversion"/>
  </si>
  <si>
    <t>item1</t>
    <phoneticPr fontId="7" type="noConversion"/>
  </si>
  <si>
    <t>count1</t>
    <phoneticPr fontId="7" type="noConversion"/>
  </si>
  <si>
    <t>I</t>
    <phoneticPr fontId="7" type="noConversion"/>
  </si>
  <si>
    <t>I</t>
    <phoneticPr fontId="7" type="noConversion"/>
  </si>
  <si>
    <t>PRELOAD</t>
  </si>
  <si>
    <t>..\tools</t>
  </si>
  <si>
    <t>format_cfg.bat</t>
  </si>
  <si>
    <t>.\lua</t>
    <phoneticPr fontId="1" type="noConversion"/>
  </si>
  <si>
    <t>role_db</t>
    <phoneticPr fontId="7" type="noConversion"/>
  </si>
  <si>
    <t>指令</t>
    <phoneticPr fontId="1" type="noConversion"/>
  </si>
  <si>
    <t>参数</t>
    <phoneticPr fontId="1" type="noConversion"/>
  </si>
  <si>
    <t>S</t>
  </si>
  <si>
    <t>名字</t>
  </si>
  <si>
    <t>养成id</t>
  </si>
  <si>
    <t>预制件名</t>
  </si>
  <si>
    <t>IT</t>
  </si>
  <si>
    <t>技能</t>
    <phoneticPr fontId="7" type="noConversion"/>
  </si>
  <si>
    <t>CREATE</t>
  </si>
  <si>
    <t>FLDTYPE</t>
  </si>
  <si>
    <t>FLDNAME</t>
  </si>
  <si>
    <t>word</t>
  </si>
  <si>
    <t>需要屏蔽的字
尽量采用精简的词语，避免词组</t>
  </si>
  <si>
    <t>DATA</t>
  </si>
  <si>
    <t>3P</t>
  </si>
  <si>
    <t>8仙</t>
  </si>
  <si>
    <t>AIDS</t>
  </si>
  <si>
    <t>AV电影下载</t>
  </si>
  <si>
    <t>DICK</t>
  </si>
  <si>
    <t>ISIL</t>
  </si>
  <si>
    <t>ISIS</t>
  </si>
  <si>
    <t>J8</t>
  </si>
  <si>
    <t>JB</t>
  </si>
  <si>
    <t>K他命</t>
  </si>
  <si>
    <t>K粉</t>
  </si>
  <si>
    <t>ML</t>
  </si>
  <si>
    <t>NMD</t>
  </si>
  <si>
    <t>NND</t>
  </si>
  <si>
    <t>NPC</t>
  </si>
  <si>
    <t>SHIT</t>
  </si>
  <si>
    <t>SUCK</t>
  </si>
  <si>
    <t>TMD</t>
  </si>
  <si>
    <t>UR</t>
  </si>
  <si>
    <t>WEB战牌</t>
  </si>
  <si>
    <t>WEB牌戰</t>
  </si>
  <si>
    <t>bt</t>
  </si>
  <si>
    <t>cao</t>
  </si>
  <si>
    <t>fuck</t>
  </si>
  <si>
    <t>gongchandang</t>
  </si>
  <si>
    <t>h站</t>
  </si>
  <si>
    <t>rivals</t>
  </si>
  <si>
    <t>sb</t>
  </si>
  <si>
    <t>sex</t>
  </si>
  <si>
    <t>taobao</t>
  </si>
  <si>
    <t>urban</t>
  </si>
  <si>
    <t>weelaa</t>
  </si>
  <si>
    <t>㈠</t>
  </si>
  <si>
    <t>㈡</t>
  </si>
  <si>
    <t>㈢</t>
  </si>
  <si>
    <t>㈣</t>
  </si>
  <si>
    <t>㈥</t>
  </si>
  <si>
    <t>㈧</t>
  </si>
  <si>
    <t>㈨</t>
  </si>
  <si>
    <t>㈩</t>
  </si>
  <si>
    <t>㈱</t>
  </si>
  <si>
    <t>㊣</t>
  </si>
  <si>
    <t>一中一台</t>
  </si>
  <si>
    <t>一党专制</t>
  </si>
  <si>
    <t>一党专政</t>
  </si>
  <si>
    <t>一国两制</t>
  </si>
  <si>
    <t>一夜情</t>
  </si>
  <si>
    <t>一贯道</t>
  </si>
  <si>
    <t>一边一国</t>
  </si>
  <si>
    <t>一陀糞</t>
  </si>
  <si>
    <t>丁关根</t>
  </si>
  <si>
    <t>丁子霖</t>
  </si>
  <si>
    <t>丁關根</t>
  </si>
  <si>
    <t>万税</t>
  </si>
  <si>
    <t>三K黨</t>
  </si>
  <si>
    <t>三个代婊</t>
  </si>
  <si>
    <t>三个呆婊</t>
  </si>
  <si>
    <t>三個代表</t>
  </si>
  <si>
    <t>三去車侖工力</t>
  </si>
  <si>
    <t>三去车仑</t>
  </si>
  <si>
    <t>三唑仑</t>
  </si>
  <si>
    <t>三民主义</t>
  </si>
  <si>
    <t>三班仆人派</t>
  </si>
  <si>
    <t>三級片</t>
  </si>
  <si>
    <t>三级片</t>
  </si>
  <si>
    <t>三陪</t>
  </si>
  <si>
    <t>三陪女</t>
  </si>
  <si>
    <t>上你</t>
  </si>
  <si>
    <t>上妳</t>
  </si>
  <si>
    <t>上海孤兒院</t>
  </si>
  <si>
    <t>上海幫</t>
  </si>
  <si>
    <t>上訪</t>
  </si>
  <si>
    <t>下注</t>
  </si>
  <si>
    <t>下賤</t>
  </si>
  <si>
    <t>下體</t>
  </si>
  <si>
    <t>不滅帝王</t>
  </si>
  <si>
    <t>不爽不要錢</t>
  </si>
  <si>
    <t>不玩了</t>
  </si>
  <si>
    <t>专制</t>
  </si>
  <si>
    <t>专政</t>
  </si>
  <si>
    <t>世界以利亚福音宣教会</t>
  </si>
  <si>
    <t>世界經濟導報</t>
  </si>
  <si>
    <t>世界维吾尔大会</t>
  </si>
  <si>
    <t>丘垂貞</t>
  </si>
  <si>
    <t>东亚病夫</t>
  </si>
  <si>
    <t>东伊运</t>
  </si>
  <si>
    <t>东北独立</t>
  </si>
  <si>
    <t>东升</t>
  </si>
  <si>
    <t>东土耳其斯坦</t>
  </si>
  <si>
    <t>东方闪电</t>
  </si>
  <si>
    <t>东条英机</t>
  </si>
  <si>
    <t>东正教</t>
  </si>
  <si>
    <t>东突</t>
  </si>
  <si>
    <t>东突暴动和独立</t>
  </si>
  <si>
    <t>东突组织</t>
  </si>
  <si>
    <t>两个中国</t>
  </si>
  <si>
    <t>两国论</t>
  </si>
  <si>
    <t>两腿之间</t>
  </si>
  <si>
    <t>严方军</t>
  </si>
  <si>
    <t>丬</t>
  </si>
  <si>
    <t>中俄邊界</t>
  </si>
  <si>
    <t>中共</t>
  </si>
  <si>
    <t>中华大陆行政执事站</t>
  </si>
  <si>
    <t>中华民国</t>
  </si>
  <si>
    <t>中南海</t>
  </si>
  <si>
    <t>中国之春</t>
  </si>
  <si>
    <t>中国恐怖组织</t>
  </si>
  <si>
    <t>中國之春</t>
  </si>
  <si>
    <t>中國共産黨</t>
  </si>
  <si>
    <t>中國和平</t>
  </si>
  <si>
    <t>中國問題論壇</t>
  </si>
  <si>
    <t>中國威脅論</t>
  </si>
  <si>
    <t>中國孤兒院</t>
  </si>
  <si>
    <t>中國復興論壇</t>
  </si>
  <si>
    <t>中國猪</t>
  </si>
  <si>
    <t>中國真實內容</t>
  </si>
  <si>
    <t>中國社會論壇</t>
  </si>
  <si>
    <t>中國社會進步黨</t>
  </si>
  <si>
    <t>中國移動通信</t>
  </si>
  <si>
    <t>中國論壇</t>
  </si>
  <si>
    <t>中央委员</t>
  </si>
  <si>
    <t>中央電視臺</t>
  </si>
  <si>
    <t>中宣部</t>
  </si>
  <si>
    <t>中毒圖騰</t>
  </si>
  <si>
    <t>中毒的圖騰</t>
  </si>
  <si>
    <t>中華人民實話實說</t>
  </si>
  <si>
    <t>中華人民正邪</t>
  </si>
  <si>
    <t>中華大地</t>
  </si>
  <si>
    <t>中華大衆</t>
  </si>
  <si>
    <t>中華時事</t>
  </si>
  <si>
    <t>中華民國</t>
  </si>
  <si>
    <t>中華真實報道</t>
  </si>
  <si>
    <t>中華講清</t>
  </si>
  <si>
    <t>中華養生益智功</t>
  </si>
  <si>
    <t>主席</t>
  </si>
  <si>
    <t>主攻指揮官</t>
  </si>
  <si>
    <t>主神教</t>
  </si>
  <si>
    <t>主義</t>
  </si>
  <si>
    <t>乌克兰分离</t>
  </si>
  <si>
    <t>乔石</t>
  </si>
  <si>
    <t>习仲勋</t>
  </si>
  <si>
    <t>习近平</t>
  </si>
  <si>
    <t>习远平</t>
  </si>
  <si>
    <t>乡巴佬</t>
  </si>
  <si>
    <t>买卖枪支</t>
  </si>
  <si>
    <t>买毒品</t>
  </si>
  <si>
    <t>买财富</t>
  </si>
  <si>
    <t>乱交</t>
  </si>
  <si>
    <t>乱伦</t>
  </si>
  <si>
    <t>乳</t>
  </si>
  <si>
    <t>乳交</t>
  </si>
  <si>
    <t>乳头</t>
  </si>
  <si>
    <t>乳峰</t>
  </si>
  <si>
    <t>乳房</t>
  </si>
  <si>
    <t>乳晕</t>
  </si>
  <si>
    <t>乳暈</t>
  </si>
  <si>
    <t>乳波臀浪</t>
  </si>
  <si>
    <t>乳頭</t>
  </si>
  <si>
    <t>亂交</t>
  </si>
  <si>
    <t>亂倫</t>
  </si>
  <si>
    <t>亂輪</t>
  </si>
  <si>
    <t>事實獨立</t>
  </si>
  <si>
    <t>二B</t>
  </si>
  <si>
    <t>二乙基酰胺发抡</t>
  </si>
  <si>
    <t>二奶</t>
  </si>
  <si>
    <t>二屄</t>
  </si>
  <si>
    <t>二逼</t>
  </si>
  <si>
    <t>于幼軍</t>
  </si>
  <si>
    <t>五四运动</t>
  </si>
  <si>
    <t>五星红旗</t>
  </si>
  <si>
    <t>亚历山大</t>
  </si>
  <si>
    <t>交媾</t>
  </si>
  <si>
    <t>交通部</t>
  </si>
  <si>
    <t>交配</t>
  </si>
  <si>
    <t>产权局</t>
  </si>
  <si>
    <t>亲民党</t>
  </si>
  <si>
    <t>人代会</t>
  </si>
  <si>
    <t>人体炸弹</t>
  </si>
  <si>
    <t>人大</t>
  </si>
  <si>
    <t>人大代表</t>
  </si>
  <si>
    <t>人弹</t>
  </si>
  <si>
    <t>人權</t>
  </si>
  <si>
    <t>人民</t>
  </si>
  <si>
    <t>人民之聲論壇</t>
  </si>
  <si>
    <t>人民內情真相</t>
  </si>
  <si>
    <t>人民報</t>
  </si>
  <si>
    <t>人民大会堂</t>
  </si>
  <si>
    <t>人民大會堂</t>
  </si>
  <si>
    <t>人民广场</t>
  </si>
  <si>
    <t>人民报</t>
  </si>
  <si>
    <t>人民日报</t>
  </si>
  <si>
    <t>人民真實</t>
  </si>
  <si>
    <t>人民银行</t>
  </si>
  <si>
    <t>仆街</t>
  </si>
  <si>
    <t>他嗎的</t>
  </si>
  <si>
    <t>他妈</t>
  </si>
  <si>
    <t>他妈的</t>
  </si>
  <si>
    <t>他娘</t>
  </si>
  <si>
    <t>他媽</t>
  </si>
  <si>
    <t>他媽的</t>
  </si>
  <si>
    <t>他干</t>
  </si>
  <si>
    <t>他母亲</t>
  </si>
  <si>
    <t>他母親</t>
  </si>
  <si>
    <t>他爹</t>
  </si>
  <si>
    <t>他祖宗</t>
  </si>
  <si>
    <t>他马的</t>
  </si>
  <si>
    <t>以茎至洞</t>
  </si>
  <si>
    <t>伊拉克</t>
  </si>
  <si>
    <t>伊斯兰</t>
  </si>
  <si>
    <t>伊斯兰国</t>
  </si>
  <si>
    <t>伊斯蘭</t>
  </si>
  <si>
    <t>伊斯蘭亞格林尼斯</t>
  </si>
  <si>
    <t>伊朗</t>
  </si>
  <si>
    <t>伊莎貝爾</t>
  </si>
  <si>
    <t>伟哥</t>
  </si>
  <si>
    <t>伱妈</t>
  </si>
  <si>
    <t>何候华</t>
  </si>
  <si>
    <t>余英時</t>
  </si>
  <si>
    <t>佛展千手法</t>
  </si>
  <si>
    <t>佛教</t>
  </si>
  <si>
    <t>佛祖</t>
  </si>
  <si>
    <t>作愛</t>
  </si>
  <si>
    <t>作爱</t>
  </si>
  <si>
    <t>作秀</t>
  </si>
  <si>
    <t>你二大爷</t>
  </si>
  <si>
    <t>你大爷</t>
  </si>
  <si>
    <t>你奶奶的</t>
  </si>
  <si>
    <t>你妈</t>
  </si>
  <si>
    <t>你妈了妹</t>
  </si>
  <si>
    <t>你妈的</t>
  </si>
  <si>
    <t>你妈逼</t>
  </si>
  <si>
    <t>你姥</t>
  </si>
  <si>
    <t>你姥姥的</t>
  </si>
  <si>
    <t>你娘</t>
  </si>
  <si>
    <t>你媽</t>
  </si>
  <si>
    <t>你媽了妹</t>
  </si>
  <si>
    <t>你媽比</t>
  </si>
  <si>
    <t>你媽的</t>
  </si>
  <si>
    <t>你媽逼</t>
  </si>
  <si>
    <t>你爷爷的</t>
  </si>
  <si>
    <t>你爸</t>
  </si>
  <si>
    <t>你祖宗</t>
  </si>
  <si>
    <t>你老味</t>
  </si>
  <si>
    <t>你老母</t>
  </si>
  <si>
    <t>你說我說論壇</t>
  </si>
  <si>
    <t>侍從倫斯韋</t>
  </si>
  <si>
    <t>侍從貝赫爾特</t>
  </si>
  <si>
    <t>侦探设备</t>
  </si>
  <si>
    <t>侧那</t>
  </si>
  <si>
    <t>侨办</t>
  </si>
  <si>
    <t>保密局</t>
  </si>
  <si>
    <t>保监会</t>
  </si>
  <si>
    <t>保釣</t>
  </si>
  <si>
    <t>保钓</t>
  </si>
  <si>
    <t>俞正声</t>
  </si>
  <si>
    <t>信用危機</t>
  </si>
  <si>
    <t>修煉</t>
  </si>
  <si>
    <t>倪育賢</t>
  </si>
  <si>
    <t>倫功</t>
  </si>
  <si>
    <t>倬</t>
  </si>
  <si>
    <t>倭国</t>
  </si>
  <si>
    <t>倭寇</t>
  </si>
  <si>
    <t>假庆林</t>
  </si>
  <si>
    <t>假青林</t>
  </si>
  <si>
    <t>做愛</t>
  </si>
  <si>
    <t>做爱</t>
  </si>
  <si>
    <t>偬</t>
  </si>
  <si>
    <t>偷窥</t>
  </si>
  <si>
    <t>偷窥图片</t>
  </si>
  <si>
    <t>偷窥视频</t>
  </si>
  <si>
    <t>傅作义</t>
  </si>
  <si>
    <t>傅作義</t>
  </si>
  <si>
    <t>傅鹏</t>
  </si>
  <si>
    <t>催情</t>
  </si>
  <si>
    <t>催情药</t>
  </si>
  <si>
    <t>傳染性病</t>
  </si>
  <si>
    <t>傴</t>
  </si>
  <si>
    <t>傻B</t>
  </si>
  <si>
    <t>傻卵</t>
  </si>
  <si>
    <t>傻吊</t>
  </si>
  <si>
    <t>傻子</t>
  </si>
  <si>
    <t>傻屄</t>
  </si>
  <si>
    <t>傻比</t>
  </si>
  <si>
    <t>傻逼</t>
  </si>
  <si>
    <t>傻鳥</t>
  </si>
  <si>
    <t>僉</t>
  </si>
  <si>
    <t>僵賊</t>
  </si>
  <si>
    <t>僵賊民</t>
  </si>
  <si>
    <t>僵贼民</t>
  </si>
  <si>
    <t>儂著卵拋</t>
  </si>
  <si>
    <t>儂著岡巒</t>
  </si>
  <si>
    <t>儺</t>
  </si>
  <si>
    <t>先奸后杀</t>
  </si>
  <si>
    <t>克勞森</t>
  </si>
  <si>
    <t>克林顿</t>
  </si>
  <si>
    <t>克萊恩</t>
  </si>
  <si>
    <t>克萊特</t>
  </si>
  <si>
    <t>党中央</t>
  </si>
  <si>
    <t>党主席</t>
  </si>
  <si>
    <t>內衣</t>
  </si>
  <si>
    <t>內褲</t>
  </si>
  <si>
    <t>全国人大</t>
  </si>
  <si>
    <t>全國人大</t>
  </si>
  <si>
    <t>全國兩會</t>
  </si>
  <si>
    <t>全能神</t>
  </si>
  <si>
    <t>全范围教会</t>
  </si>
  <si>
    <t>兩個中國</t>
  </si>
  <si>
    <t>兩岸三地論壇</t>
  </si>
  <si>
    <t>兩岸關係</t>
  </si>
  <si>
    <t>兩會</t>
  </si>
  <si>
    <t>兩會報道</t>
  </si>
  <si>
    <t>兩會新聞</t>
  </si>
  <si>
    <t>八九</t>
  </si>
  <si>
    <t>八九风波</t>
  </si>
  <si>
    <t>公安</t>
  </si>
  <si>
    <t>公安局</t>
  </si>
  <si>
    <t>公安部</t>
  </si>
  <si>
    <t>六。四</t>
  </si>
  <si>
    <t>六合彩</t>
  </si>
  <si>
    <t>六四</t>
  </si>
  <si>
    <t>六四事件</t>
  </si>
  <si>
    <t>六四真相</t>
  </si>
  <si>
    <t>六四运动</t>
  </si>
  <si>
    <t>共产主义</t>
  </si>
  <si>
    <t>共产党</t>
  </si>
  <si>
    <t>共党</t>
  </si>
  <si>
    <t>共匪</t>
  </si>
  <si>
    <t>共榮圈</t>
  </si>
  <si>
    <t>共狗</t>
  </si>
  <si>
    <t>共産</t>
  </si>
  <si>
    <t>共産主義</t>
  </si>
  <si>
    <t>共産黨</t>
  </si>
  <si>
    <t>共軍</t>
  </si>
  <si>
    <t>共黨</t>
  </si>
  <si>
    <t>兴奋剂</t>
  </si>
  <si>
    <t>冈村宁次</t>
  </si>
  <si>
    <t>冈村秀树</t>
  </si>
  <si>
    <t>册那</t>
  </si>
  <si>
    <t>册那娘餓比</t>
  </si>
  <si>
    <t>再奸</t>
  </si>
  <si>
    <t>军国主义</t>
  </si>
  <si>
    <t>军妓</t>
  </si>
  <si>
    <t>军长发威</t>
  </si>
  <si>
    <t>农业部</t>
  </si>
  <si>
    <t>冰後</t>
  </si>
  <si>
    <t>冰毒</t>
  </si>
  <si>
    <t>冰粉</t>
  </si>
  <si>
    <t>凱奧勒尼什</t>
  </si>
  <si>
    <t>凱爾本</t>
  </si>
  <si>
    <t>凱爾雷斯</t>
  </si>
  <si>
    <t>凱特切爾</t>
  </si>
  <si>
    <t>出售假币</t>
  </si>
  <si>
    <t>出售手枪</t>
  </si>
  <si>
    <t>出售枪支</t>
  </si>
  <si>
    <t>出售此号</t>
  </si>
  <si>
    <t>出售神符</t>
  </si>
  <si>
    <t>出售账号</t>
  </si>
  <si>
    <t>分裂中国</t>
  </si>
  <si>
    <t>分裂祖国</t>
  </si>
  <si>
    <t>分隊長施蒂文</t>
  </si>
  <si>
    <t>切七</t>
  </si>
  <si>
    <t>列宁</t>
  </si>
  <si>
    <t>刘　淇</t>
  </si>
  <si>
    <t>刘云山</t>
  </si>
  <si>
    <t>刘伯承</t>
  </si>
  <si>
    <t>刘军</t>
  </si>
  <si>
    <t>刘少奇</t>
  </si>
  <si>
    <t>刘淇</t>
  </si>
  <si>
    <t>删号</t>
  </si>
  <si>
    <t>則民</t>
  </si>
  <si>
    <t>剛比</t>
  </si>
  <si>
    <t>剛比樣子</t>
  </si>
  <si>
    <t>劉俊國</t>
  </si>
  <si>
    <t>劉凱中</t>
  </si>
  <si>
    <t>劉剛</t>
  </si>
  <si>
    <t>劉千石</t>
  </si>
  <si>
    <t>劉國凱</t>
  </si>
  <si>
    <t>劉士賢</t>
  </si>
  <si>
    <t>劉山青</t>
  </si>
  <si>
    <t>劉文勝</t>
  </si>
  <si>
    <t>劉文雄</t>
  </si>
  <si>
    <t>劉曉波</t>
  </si>
  <si>
    <t>劉曉竹</t>
  </si>
  <si>
    <t>劉永川</t>
  </si>
  <si>
    <t>劉華清</t>
  </si>
  <si>
    <t>劉賓深</t>
  </si>
  <si>
    <t>劉賓雁</t>
  </si>
  <si>
    <t>劉青</t>
  </si>
  <si>
    <t>劌</t>
  </si>
  <si>
    <t>办理文凭</t>
  </si>
  <si>
    <t>办理证件</t>
  </si>
  <si>
    <t>助手威爾特</t>
  </si>
  <si>
    <t>劳动保障部</t>
  </si>
  <si>
    <t>劳拉</t>
  </si>
  <si>
    <t>動亂</t>
  </si>
  <si>
    <t>勞動教養所</t>
  </si>
  <si>
    <t>勞改</t>
  </si>
  <si>
    <t>勞教</t>
  </si>
  <si>
    <t>勱</t>
  </si>
  <si>
    <t>包皮</t>
  </si>
  <si>
    <t>北京之春</t>
  </si>
  <si>
    <t>北京當局</t>
  </si>
  <si>
    <t>北大三角地論壇</t>
  </si>
  <si>
    <t>北疆</t>
  </si>
  <si>
    <t>北美自由論壇</t>
  </si>
  <si>
    <t>北韓</t>
  </si>
  <si>
    <t>十八摸</t>
  </si>
  <si>
    <t>十年动乱石进</t>
  </si>
  <si>
    <t>午夜</t>
  </si>
  <si>
    <t>卍</t>
  </si>
  <si>
    <t>华国锋</t>
  </si>
  <si>
    <t>华建敏</t>
  </si>
  <si>
    <t>华盛顿</t>
  </si>
  <si>
    <t>卓伯源</t>
  </si>
  <si>
    <t>卖B</t>
  </si>
  <si>
    <t>卖ID</t>
  </si>
  <si>
    <t>卖QQ</t>
  </si>
  <si>
    <t>卖党求荣</t>
  </si>
  <si>
    <t>卖卡</t>
  </si>
  <si>
    <t>卖号</t>
  </si>
  <si>
    <t>卖国</t>
  </si>
  <si>
    <t>卖国求荣</t>
  </si>
  <si>
    <t>卖毒品</t>
  </si>
  <si>
    <t>卖比</t>
  </si>
  <si>
    <t>卖淫</t>
  </si>
  <si>
    <t>卖财富</t>
  </si>
  <si>
    <t>卖软件</t>
  </si>
  <si>
    <t>卖逼</t>
  </si>
  <si>
    <t>南华早报</t>
  </si>
  <si>
    <t>南大自由論壇</t>
  </si>
  <si>
    <t>南疆</t>
  </si>
  <si>
    <t>南联盟</t>
  </si>
  <si>
    <t>南蛮</t>
  </si>
  <si>
    <t>南蛮子</t>
  </si>
  <si>
    <t>南蠻子</t>
  </si>
  <si>
    <t>博訊</t>
  </si>
  <si>
    <t>博讯</t>
  </si>
  <si>
    <t>占中</t>
  </si>
  <si>
    <t>占领中环</t>
  </si>
  <si>
    <t>卡斯特罗</t>
  </si>
  <si>
    <t>卫生部</t>
  </si>
  <si>
    <t>卵</t>
  </si>
  <si>
    <t>卵子</t>
  </si>
  <si>
    <t>厙</t>
  </si>
  <si>
    <t>原子弹</t>
  </si>
  <si>
    <t>原子能机构</t>
  </si>
  <si>
    <t>去他妈</t>
  </si>
  <si>
    <t>去你妈</t>
  </si>
  <si>
    <t>去你妈的</t>
  </si>
  <si>
    <t>去你媽的</t>
  </si>
  <si>
    <t>去你的</t>
  </si>
  <si>
    <t>去她妈</t>
  </si>
  <si>
    <t>去妳妈</t>
  </si>
  <si>
    <t>去妳的</t>
  </si>
  <si>
    <t>去死</t>
  </si>
  <si>
    <t>参事室</t>
  </si>
  <si>
    <t>友好的魯德</t>
  </si>
  <si>
    <t>双峰微颤</t>
  </si>
  <si>
    <t>双飞</t>
  </si>
  <si>
    <t>反人類</t>
  </si>
  <si>
    <t>反党</t>
  </si>
  <si>
    <t>反共</t>
  </si>
  <si>
    <t>反动</t>
  </si>
  <si>
    <t>反华</t>
  </si>
  <si>
    <t>反封鎖</t>
  </si>
  <si>
    <t>反封鎖技術</t>
  </si>
  <si>
    <t>反恐委员会</t>
  </si>
  <si>
    <t>反政府</t>
  </si>
  <si>
    <t>反日</t>
  </si>
  <si>
    <t>反社會</t>
  </si>
  <si>
    <t>反腐敗論壇</t>
  </si>
  <si>
    <t>反革命</t>
  </si>
  <si>
    <t>发伦</t>
  </si>
  <si>
    <t>发伦功</t>
  </si>
  <si>
    <t>发展与改革委员会</t>
  </si>
  <si>
    <t>发展和改革委员会</t>
  </si>
  <si>
    <t>发抡功</t>
  </si>
  <si>
    <t>发改委</t>
  </si>
  <si>
    <t>发票</t>
  </si>
  <si>
    <t>发论</t>
  </si>
  <si>
    <t>发论公</t>
  </si>
  <si>
    <t>发论功</t>
  </si>
  <si>
    <t>发轮</t>
  </si>
  <si>
    <t>发骚</t>
  </si>
  <si>
    <t>受虐狂</t>
  </si>
  <si>
    <t>变态</t>
  </si>
  <si>
    <t>口交</t>
  </si>
  <si>
    <t>古柯碱</t>
  </si>
  <si>
    <t>古龍祭壇</t>
  </si>
  <si>
    <t>叫小姐</t>
  </si>
  <si>
    <t>叫床</t>
  </si>
  <si>
    <t>叫春</t>
  </si>
  <si>
    <t>叫鸡</t>
  </si>
  <si>
    <t>可卡叶</t>
  </si>
  <si>
    <t>可卡因</t>
  </si>
  <si>
    <t>可待因</t>
  </si>
  <si>
    <t>台办</t>
  </si>
  <si>
    <t>台湾党</t>
  </si>
  <si>
    <t>台湾共产党</t>
  </si>
  <si>
    <t>台湾共和国</t>
  </si>
  <si>
    <t>台湾国</t>
  </si>
  <si>
    <t>台湾岛国</t>
  </si>
  <si>
    <t>台湾帝国</t>
  </si>
  <si>
    <t>台湾民国</t>
  </si>
  <si>
    <t>台湾狗</t>
  </si>
  <si>
    <t>台湾独立</t>
  </si>
  <si>
    <t>台独</t>
  </si>
  <si>
    <t>台独万岁</t>
  </si>
  <si>
    <t>台独分子</t>
  </si>
  <si>
    <t>台联</t>
  </si>
  <si>
    <t>史萊姆</t>
  </si>
  <si>
    <t>史萊姆王</t>
  </si>
  <si>
    <t>叶剑英</t>
  </si>
  <si>
    <t>司徒華</t>
  </si>
  <si>
    <t>司法部</t>
  </si>
  <si>
    <t>司馬晋</t>
  </si>
  <si>
    <t>司馬璐</t>
  </si>
  <si>
    <t>叼你</t>
  </si>
  <si>
    <t>叼你妈</t>
  </si>
  <si>
    <t>叼你媽</t>
  </si>
  <si>
    <t>吃大便</t>
  </si>
  <si>
    <t>吃屎</t>
  </si>
  <si>
    <t>吉跋猫</t>
  </si>
  <si>
    <t>同一教</t>
  </si>
  <si>
    <t>后庭</t>
  </si>
  <si>
    <t>吕秀莲</t>
  </si>
  <si>
    <t>吗啡</t>
  </si>
  <si>
    <t>吗啡片</t>
  </si>
  <si>
    <t>吗啡碱</t>
  </si>
  <si>
    <t>吗的</t>
  </si>
  <si>
    <t>吟稻雁</t>
  </si>
  <si>
    <t>吳仁華</t>
  </si>
  <si>
    <t>吳學燦</t>
  </si>
  <si>
    <t>吳學璨</t>
  </si>
  <si>
    <t>吳宏達</t>
  </si>
  <si>
    <t>吳弘達</t>
  </si>
  <si>
    <t>吳志芳</t>
  </si>
  <si>
    <t>吳敦義</t>
  </si>
  <si>
    <t>吳方城</t>
  </si>
  <si>
    <t>吳淑珍</t>
  </si>
  <si>
    <t>吳百益</t>
  </si>
  <si>
    <t>吳育升</t>
  </si>
  <si>
    <t>吴　仪</t>
  </si>
  <si>
    <t>吴仪</t>
  </si>
  <si>
    <t>吴官正</t>
  </si>
  <si>
    <t>吴帮国</t>
  </si>
  <si>
    <t>吴邦国</t>
  </si>
  <si>
    <t>吸收的圖騰</t>
  </si>
  <si>
    <t>吸毒</t>
  </si>
  <si>
    <t>吸血獸</t>
  </si>
  <si>
    <t>吹喇叭</t>
  </si>
  <si>
    <t>吹箫</t>
  </si>
  <si>
    <t>吹簫</t>
  </si>
  <si>
    <t>呂京花</t>
  </si>
  <si>
    <t>呂秀蓮</t>
  </si>
  <si>
    <t>呆卵</t>
  </si>
  <si>
    <t>周健康</t>
  </si>
  <si>
    <t>周小康</t>
  </si>
  <si>
    <t>周总理</t>
  </si>
  <si>
    <t>周恩來</t>
  </si>
  <si>
    <t>周恩来</t>
  </si>
  <si>
    <t>周永康</t>
  </si>
  <si>
    <t>周鋒鎖</t>
  </si>
  <si>
    <t>呼喊派</t>
  </si>
  <si>
    <t>和锅枪</t>
  </si>
  <si>
    <t>咼</t>
  </si>
  <si>
    <t>哈爾羅尼</t>
  </si>
  <si>
    <t>唐家璇</t>
  </si>
  <si>
    <t>唐柏橋</t>
  </si>
  <si>
    <t>唚</t>
  </si>
  <si>
    <t>售ID</t>
  </si>
  <si>
    <t>售号</t>
  </si>
  <si>
    <t>售软件</t>
  </si>
  <si>
    <t>商务部</t>
  </si>
  <si>
    <t>啊無卵</t>
  </si>
  <si>
    <t>善惡有報</t>
  </si>
  <si>
    <t>喬伊</t>
  </si>
  <si>
    <t>喬石</t>
  </si>
  <si>
    <t>喷你</t>
  </si>
  <si>
    <t>嗎啡</t>
  </si>
  <si>
    <t>嗎的</t>
  </si>
  <si>
    <t>嗑药</t>
  </si>
  <si>
    <t>嘵</t>
  </si>
  <si>
    <t>噦</t>
  </si>
  <si>
    <t>噴你</t>
  </si>
  <si>
    <t>嚳</t>
  </si>
  <si>
    <t>嚴家其</t>
  </si>
  <si>
    <t>嚴家祺</t>
  </si>
  <si>
    <t>囅</t>
  </si>
  <si>
    <t>四人帮</t>
  </si>
  <si>
    <t>四人幫</t>
  </si>
  <si>
    <t>四川独立</t>
  </si>
  <si>
    <t>四川獨</t>
  </si>
  <si>
    <t>四川獨立</t>
  </si>
  <si>
    <t>回回</t>
  </si>
  <si>
    <t>回教</t>
  </si>
  <si>
    <t>回族人吃猪肉</t>
  </si>
  <si>
    <t>回民</t>
  </si>
  <si>
    <t>回民吃猪肉</t>
  </si>
  <si>
    <t>回民是猪</t>
  </si>
  <si>
    <t>回民暴动</t>
  </si>
  <si>
    <t>回民暴動</t>
  </si>
  <si>
    <t>回民都是猪</t>
  </si>
  <si>
    <t>回良玉</t>
  </si>
  <si>
    <t>国内动态清样</t>
  </si>
  <si>
    <t>国内动态详情</t>
  </si>
  <si>
    <t>国务委员</t>
  </si>
  <si>
    <t>国务院</t>
  </si>
  <si>
    <t>国安局</t>
  </si>
  <si>
    <t>国家主席</t>
  </si>
  <si>
    <t>国家主要部委</t>
  </si>
  <si>
    <t>国家发展与改革委员会</t>
  </si>
  <si>
    <t>国家发展和改革委员会</t>
  </si>
  <si>
    <t>国家民委</t>
  </si>
  <si>
    <t>国民党</t>
  </si>
  <si>
    <t>国民党万岁</t>
  </si>
  <si>
    <t>国管局</t>
  </si>
  <si>
    <t>国防科工委</t>
  </si>
  <si>
    <t>国防部</t>
  </si>
  <si>
    <t>国际法院</t>
  </si>
  <si>
    <t>國家安全</t>
  </si>
  <si>
    <t>國家機密</t>
  </si>
  <si>
    <t>國賊</t>
  </si>
  <si>
    <t>國軍</t>
  </si>
  <si>
    <t>圓滿</t>
  </si>
  <si>
    <t>圖書管理員卡特</t>
  </si>
  <si>
    <t>團員馬爾汀</t>
  </si>
  <si>
    <t>團長戈登</t>
  </si>
  <si>
    <t>圣女峰</t>
  </si>
  <si>
    <t>圣战</t>
  </si>
  <si>
    <t>地下教會</t>
  </si>
  <si>
    <t>坐台</t>
  </si>
  <si>
    <t>坐台的</t>
  </si>
  <si>
    <t>坐庄</t>
  </si>
  <si>
    <t>垃圾游戏</t>
  </si>
  <si>
    <t>垵</t>
  </si>
  <si>
    <t>埃斯萬</t>
  </si>
  <si>
    <t>埃裏克蘇特勤</t>
  </si>
  <si>
    <t>基地组织</t>
  </si>
  <si>
    <t>基督</t>
  </si>
  <si>
    <t>基督教</t>
  </si>
  <si>
    <t>塔內</t>
  </si>
  <si>
    <t>塔利班</t>
  </si>
  <si>
    <t>塔烏</t>
  </si>
  <si>
    <t>塞你公</t>
  </si>
  <si>
    <t>塞你娘</t>
  </si>
  <si>
    <t>塞你母</t>
  </si>
  <si>
    <t>塞你爸</t>
  </si>
  <si>
    <t>塞你老师</t>
  </si>
  <si>
    <t>塞你老母</t>
  </si>
  <si>
    <t>塞白</t>
  </si>
  <si>
    <t>墨索里尼</t>
  </si>
  <si>
    <t>士兵管理員瓦爾臣</t>
  </si>
  <si>
    <t>处女</t>
  </si>
  <si>
    <t>处男</t>
  </si>
  <si>
    <t>外挂</t>
  </si>
  <si>
    <t>外_挂</t>
  </si>
  <si>
    <t>外—挂</t>
  </si>
  <si>
    <t>外　挂</t>
  </si>
  <si>
    <t>外专局</t>
  </si>
  <si>
    <t>外交與方略</t>
  </si>
  <si>
    <t>外交論壇</t>
  </si>
  <si>
    <t>外交部</t>
  </si>
  <si>
    <t>外汇局</t>
  </si>
  <si>
    <t>多维</t>
  </si>
  <si>
    <t>夜情</t>
  </si>
  <si>
    <t>夜話紫禁城</t>
  </si>
  <si>
    <t>大中國論壇</t>
  </si>
  <si>
    <t>大中華論壇</t>
  </si>
  <si>
    <t>大便</t>
  </si>
  <si>
    <t>大卫教</t>
  </si>
  <si>
    <t>大参考</t>
  </si>
  <si>
    <t>大參考</t>
  </si>
  <si>
    <t>大史紀</t>
  </si>
  <si>
    <t>大史記</t>
  </si>
  <si>
    <t>大奶媽</t>
  </si>
  <si>
    <t>大学骚乱</t>
  </si>
  <si>
    <t>大家論壇</t>
  </si>
  <si>
    <t>大师</t>
  </si>
  <si>
    <t>大東亞</t>
  </si>
  <si>
    <t>大東亞共榮</t>
  </si>
  <si>
    <t>大法</t>
  </si>
  <si>
    <t>大波波</t>
  </si>
  <si>
    <t>大紀元</t>
  </si>
  <si>
    <t>大紀元新聞網</t>
  </si>
  <si>
    <t>大紀園</t>
  </si>
  <si>
    <t>大纪元</t>
  </si>
  <si>
    <t>大纪元新闻网</t>
  </si>
  <si>
    <t>大血B</t>
  </si>
  <si>
    <t>大血比</t>
  </si>
  <si>
    <t>大衆真人真事</t>
  </si>
  <si>
    <t>大衛教</t>
  </si>
  <si>
    <t>大逼</t>
  </si>
  <si>
    <t>大鶏巴</t>
  </si>
  <si>
    <t>大麻</t>
  </si>
  <si>
    <t>大麻树脂</t>
  </si>
  <si>
    <t>大麻油</t>
  </si>
  <si>
    <t>天主教</t>
  </si>
  <si>
    <t>天安門</t>
  </si>
  <si>
    <t>天安門一代</t>
  </si>
  <si>
    <t>天安門事件</t>
  </si>
  <si>
    <t>天安門屠殺</t>
  </si>
  <si>
    <t>天安門錄影帶</t>
  </si>
  <si>
    <t>天安门事件</t>
  </si>
  <si>
    <t>天安门运动</t>
  </si>
  <si>
    <t>天父的儿女</t>
  </si>
  <si>
    <t>天皇陛下</t>
  </si>
  <si>
    <t>天閹</t>
  </si>
  <si>
    <t>太子党</t>
  </si>
  <si>
    <t>太监</t>
  </si>
  <si>
    <t>太監</t>
  </si>
  <si>
    <t>夫妻床上激情自拍</t>
  </si>
  <si>
    <t>央視內部晚會</t>
  </si>
  <si>
    <t>奥巴马</t>
  </si>
  <si>
    <t>奥马尔</t>
  </si>
  <si>
    <t>奧倫</t>
  </si>
  <si>
    <t>奧克拉</t>
  </si>
  <si>
    <t>奧利弗</t>
  </si>
  <si>
    <t>奧拉德</t>
  </si>
  <si>
    <t>奧特蘭</t>
  </si>
  <si>
    <t>奧魯奇</t>
  </si>
  <si>
    <t>奩</t>
  </si>
  <si>
    <t>女主人羅姬馬莉</t>
  </si>
  <si>
    <t>女幹</t>
  </si>
  <si>
    <t>奴隸魔族士兵</t>
  </si>
  <si>
    <t>奶娘</t>
  </si>
  <si>
    <t>奶子</t>
  </si>
  <si>
    <t>奶頭</t>
  </si>
  <si>
    <t>奸</t>
  </si>
  <si>
    <t>奸一奸</t>
  </si>
  <si>
    <t>奸他</t>
  </si>
  <si>
    <t>奸你</t>
  </si>
  <si>
    <t>奸夫淫妇</t>
  </si>
  <si>
    <t>奸她</t>
  </si>
  <si>
    <t>奸暴</t>
  </si>
  <si>
    <t>奸淫</t>
  </si>
  <si>
    <t>她妈</t>
  </si>
  <si>
    <t>她妈的金日成</t>
  </si>
  <si>
    <t>她娘</t>
  </si>
  <si>
    <t>她媽</t>
  </si>
  <si>
    <t>妈B</t>
  </si>
  <si>
    <t>妈卖妈屁</t>
  </si>
  <si>
    <t>妈批</t>
  </si>
  <si>
    <t>妈比</t>
  </si>
  <si>
    <t>妈的</t>
  </si>
  <si>
    <t>妈祖</t>
  </si>
  <si>
    <t>妈逼</t>
  </si>
  <si>
    <t>妓</t>
  </si>
  <si>
    <t>妓女</t>
  </si>
  <si>
    <t>妓院</t>
  </si>
  <si>
    <t>妳妈的</t>
  </si>
  <si>
    <t>妳娘的</t>
  </si>
  <si>
    <t>妳老母的</t>
  </si>
  <si>
    <t>妳马的</t>
  </si>
  <si>
    <t>姚文元</t>
  </si>
  <si>
    <t>姚月謙</t>
  </si>
  <si>
    <t>姚羅</t>
  </si>
  <si>
    <t>姣西</t>
  </si>
  <si>
    <t>姬勝德</t>
  </si>
  <si>
    <t>威而柔</t>
  </si>
  <si>
    <t>威而钢</t>
  </si>
  <si>
    <t>娘餓比</t>
  </si>
  <si>
    <t>婊</t>
  </si>
  <si>
    <t>婊子</t>
  </si>
  <si>
    <t>媽B</t>
  </si>
  <si>
    <t>媽批</t>
  </si>
  <si>
    <t>媽比</t>
  </si>
  <si>
    <t>媽的</t>
  </si>
  <si>
    <t>嫖娼</t>
  </si>
  <si>
    <t>嫖客</t>
  </si>
  <si>
    <t>嫩b</t>
  </si>
  <si>
    <t>嬀</t>
  </si>
  <si>
    <t>子女任职名单</t>
  </si>
  <si>
    <t>子宫</t>
  </si>
  <si>
    <t>子宮</t>
  </si>
  <si>
    <t>孙中山</t>
  </si>
  <si>
    <t>孙文</t>
  </si>
  <si>
    <t>孙逸仙</t>
  </si>
  <si>
    <t>学潮</t>
  </si>
  <si>
    <t>学运</t>
  </si>
  <si>
    <t>孫中山</t>
  </si>
  <si>
    <t>孫大千</t>
  </si>
  <si>
    <t>學潮</t>
  </si>
  <si>
    <t>學聯</t>
  </si>
  <si>
    <t>學自聯</t>
  </si>
  <si>
    <t>學運</t>
  </si>
  <si>
    <t>宇明網</t>
  </si>
  <si>
    <t>安倍晋三</t>
  </si>
  <si>
    <t>安全局</t>
  </si>
  <si>
    <t>安南</t>
  </si>
  <si>
    <t>安非他命</t>
  </si>
  <si>
    <t>宋書元</t>
  </si>
  <si>
    <t>宋楚瑜</t>
  </si>
  <si>
    <t>宋祖英</t>
  </si>
  <si>
    <t>宗教</t>
  </si>
  <si>
    <t>官商勾结</t>
  </si>
  <si>
    <t>官逼民反</t>
  </si>
  <si>
    <t>实际神</t>
  </si>
  <si>
    <t>客戶服務</t>
  </si>
  <si>
    <t>宾周</t>
  </si>
  <si>
    <t>密宗</t>
  </si>
  <si>
    <t>密洞</t>
  </si>
  <si>
    <t>寇晓伟</t>
  </si>
  <si>
    <t>富兰克林</t>
  </si>
  <si>
    <t>寶石商人</t>
  </si>
  <si>
    <t>导弹</t>
  </si>
  <si>
    <t>封印的靈魂騎士</t>
  </si>
  <si>
    <t>封從德</t>
  </si>
  <si>
    <t>封殺</t>
  </si>
  <si>
    <t>射了還說要</t>
  </si>
  <si>
    <t>射精</t>
  </si>
  <si>
    <t>將則民</t>
  </si>
  <si>
    <t>專制</t>
  </si>
  <si>
    <t>專政</t>
  </si>
  <si>
    <t>尉健行</t>
  </si>
  <si>
    <t>導師</t>
  </si>
  <si>
    <t>小B樣</t>
  </si>
  <si>
    <t>小乳头</t>
  </si>
  <si>
    <t>小参考</t>
  </si>
  <si>
    <t>小參考</t>
  </si>
  <si>
    <t>小姐兼职</t>
  </si>
  <si>
    <t>小日本</t>
  </si>
  <si>
    <t>小比樣</t>
  </si>
  <si>
    <t>小泉</t>
  </si>
  <si>
    <t>小泉純一郎</t>
  </si>
  <si>
    <t>小泉纯一郎</t>
  </si>
  <si>
    <t>小穴</t>
  </si>
  <si>
    <t>小肉粒</t>
  </si>
  <si>
    <t>小靈通</t>
  </si>
  <si>
    <t>小鶏鶏</t>
  </si>
  <si>
    <t>小鸡鸡</t>
  </si>
  <si>
    <t>尖阁列岛</t>
  </si>
  <si>
    <t>尤比亞</t>
  </si>
  <si>
    <t>尹慶民</t>
  </si>
  <si>
    <t>尻</t>
  </si>
  <si>
    <t>尼克松</t>
  </si>
  <si>
    <t>尼奧夫</t>
  </si>
  <si>
    <t>尾申鲸</t>
  </si>
  <si>
    <t>尿</t>
  </si>
  <si>
    <t>屁眼</t>
  </si>
  <si>
    <t>屄</t>
  </si>
  <si>
    <t>屄毛</t>
  </si>
  <si>
    <t>届中央政治局委員</t>
  </si>
  <si>
    <t>屌</t>
  </si>
  <si>
    <t>屌7</t>
  </si>
  <si>
    <t>屌七</t>
  </si>
  <si>
    <t>屌妳</t>
  </si>
  <si>
    <t>屌毛</t>
  </si>
  <si>
    <t>屌西</t>
  </si>
  <si>
    <t>屌鸠</t>
  </si>
  <si>
    <t>屎</t>
  </si>
  <si>
    <t>屎你娘</t>
  </si>
  <si>
    <t>屎妳娘</t>
  </si>
  <si>
    <t>屙</t>
  </si>
  <si>
    <t>屠杀</t>
  </si>
  <si>
    <t>屠殺</t>
  </si>
  <si>
    <t>屨</t>
  </si>
  <si>
    <t>山口組</t>
  </si>
  <si>
    <t>山本五十六</t>
  </si>
  <si>
    <t>岡巒</t>
  </si>
  <si>
    <t>峴</t>
  </si>
  <si>
    <t>崗哨士兵</t>
  </si>
  <si>
    <t>嶠</t>
  </si>
  <si>
    <t>嶴</t>
  </si>
  <si>
    <t>工自聯</t>
  </si>
  <si>
    <t>巨槌騎兵</t>
  </si>
  <si>
    <t>巨鐵角哈克</t>
  </si>
  <si>
    <t>巴倫侍從</t>
  </si>
  <si>
    <t>巴倫坦</t>
  </si>
  <si>
    <t>巹</t>
  </si>
  <si>
    <t>布什</t>
  </si>
  <si>
    <t>布莱尔</t>
  </si>
  <si>
    <t>布萊爾</t>
  </si>
  <si>
    <t>布雷尔</t>
  </si>
  <si>
    <t>布雷爾</t>
  </si>
  <si>
    <t>希拉克</t>
  </si>
  <si>
    <t>希望之声</t>
  </si>
  <si>
    <t>希特勒</t>
  </si>
  <si>
    <t>帝国主义</t>
  </si>
  <si>
    <t>帝國主義</t>
  </si>
  <si>
    <t>帝顺</t>
  </si>
  <si>
    <t>帳號</t>
  </si>
  <si>
    <t>常勁</t>
  </si>
  <si>
    <t>常受教</t>
  </si>
  <si>
    <t>干</t>
  </si>
  <si>
    <t>干GM</t>
  </si>
  <si>
    <t>干X</t>
  </si>
  <si>
    <t>干一干</t>
  </si>
  <si>
    <t>干七八</t>
  </si>
  <si>
    <t>干他</t>
  </si>
  <si>
    <t>干他妈</t>
  </si>
  <si>
    <t>干你</t>
  </si>
  <si>
    <t>干你妈</t>
  </si>
  <si>
    <t>干你妈b</t>
  </si>
  <si>
    <t>干你妈逼</t>
  </si>
  <si>
    <t>干你娘</t>
  </si>
  <si>
    <t>干入</t>
  </si>
  <si>
    <t>干到</t>
  </si>
  <si>
    <t>干勒</t>
  </si>
  <si>
    <t>干啦</t>
  </si>
  <si>
    <t>干她</t>
  </si>
  <si>
    <t>干她妈</t>
  </si>
  <si>
    <t>干妳</t>
  </si>
  <si>
    <t>干妳妈</t>
  </si>
  <si>
    <t>干妳娘</t>
  </si>
  <si>
    <t>干妳老母</t>
  </si>
  <si>
    <t>干它</t>
  </si>
  <si>
    <t>干尼</t>
  </si>
  <si>
    <t>干干</t>
  </si>
  <si>
    <t>干您</t>
  </si>
  <si>
    <t>干我</t>
  </si>
  <si>
    <t>干拎娘</t>
  </si>
  <si>
    <t>干机</t>
  </si>
  <si>
    <t>干林</t>
  </si>
  <si>
    <t>干死</t>
  </si>
  <si>
    <t>干死你</t>
  </si>
  <si>
    <t>干汝</t>
  </si>
  <si>
    <t>干爆</t>
  </si>
  <si>
    <t>干爽</t>
  </si>
  <si>
    <t>干牠</t>
  </si>
  <si>
    <t>干鸡</t>
  </si>
  <si>
    <t>幹bi</t>
  </si>
  <si>
    <t>幹一家</t>
  </si>
  <si>
    <t>幹他</t>
  </si>
  <si>
    <t>幹你</t>
  </si>
  <si>
    <t>幹你娘</t>
  </si>
  <si>
    <t>幹你老母</t>
  </si>
  <si>
    <t>幹你老比</t>
  </si>
  <si>
    <t>幹全家</t>
  </si>
  <si>
    <t>幹她</t>
  </si>
  <si>
    <t>幹幹幹</t>
  </si>
  <si>
    <t>幹死</t>
  </si>
  <si>
    <t>幹死你</t>
  </si>
  <si>
    <t>幹比</t>
  </si>
  <si>
    <t>幹的你</t>
  </si>
  <si>
    <t>幹逼</t>
  </si>
  <si>
    <t>幼齒</t>
  </si>
  <si>
    <t>幼龍</t>
  </si>
  <si>
    <t>废物</t>
  </si>
  <si>
    <t>庭院警衛兵</t>
  </si>
  <si>
    <t>廉政大論壇</t>
  </si>
  <si>
    <t>廢墟守護者</t>
  </si>
  <si>
    <t>廣聞</t>
  </si>
  <si>
    <t>建國黨</t>
  </si>
  <si>
    <t>异型叛軍</t>
  </si>
  <si>
    <t>异見人士</t>
  </si>
  <si>
    <t>异議人士</t>
  </si>
  <si>
    <t>弓虽女干</t>
  </si>
  <si>
    <t>弓雖</t>
  </si>
  <si>
    <t>引導</t>
  </si>
  <si>
    <t>张学良</t>
  </si>
  <si>
    <t>张小平</t>
  </si>
  <si>
    <t>张德江</t>
  </si>
  <si>
    <t>张春桥</t>
  </si>
  <si>
    <t>张朝阳</t>
  </si>
  <si>
    <t>张潮阳</t>
  </si>
  <si>
    <t>张磊</t>
  </si>
  <si>
    <t>张立昌</t>
  </si>
  <si>
    <t>张高丽</t>
  </si>
  <si>
    <t>張伯笠</t>
  </si>
  <si>
    <t>張偉國</t>
  </si>
  <si>
    <t>張健</t>
  </si>
  <si>
    <t>張博雅</t>
  </si>
  <si>
    <t>張志清</t>
  </si>
  <si>
    <t>張昭富</t>
  </si>
  <si>
    <t>張林</t>
  </si>
  <si>
    <t>張清芳</t>
  </si>
  <si>
    <t>張溫鷹</t>
  </si>
  <si>
    <t>張鋼</t>
  </si>
  <si>
    <t>强卫</t>
  </si>
  <si>
    <t>强奸</t>
  </si>
  <si>
    <t>强奸犯</t>
  </si>
  <si>
    <t>强效失意药</t>
  </si>
  <si>
    <t>强暴幼女</t>
  </si>
  <si>
    <t>强硬发言</t>
  </si>
  <si>
    <t>彈劾</t>
  </si>
  <si>
    <t>彭丽媛</t>
  </si>
  <si>
    <t>彭德怀</t>
  </si>
  <si>
    <t>彭真</t>
  </si>
  <si>
    <t>徐光春</t>
  </si>
  <si>
    <t>徐向前</t>
  </si>
  <si>
    <t>徐國舅</t>
  </si>
  <si>
    <t>徒弟会</t>
  </si>
  <si>
    <t>德維爾</t>
  </si>
  <si>
    <t>思科羅</t>
  </si>
  <si>
    <t>性事</t>
  </si>
  <si>
    <t>性交</t>
  </si>
  <si>
    <t>性奴</t>
  </si>
  <si>
    <t>性愛</t>
  </si>
  <si>
    <t>性无能</t>
  </si>
  <si>
    <t>性欲</t>
  </si>
  <si>
    <t>性無能</t>
  </si>
  <si>
    <t>性爱</t>
  </si>
  <si>
    <t>性病</t>
  </si>
  <si>
    <t>性虐</t>
  </si>
  <si>
    <t>性虐待</t>
  </si>
  <si>
    <t>性高潮</t>
  </si>
  <si>
    <t>总局</t>
  </si>
  <si>
    <t>总理</t>
  </si>
  <si>
    <t>恐怖主义</t>
  </si>
  <si>
    <t>恐怖主義</t>
  </si>
  <si>
    <t>恐怖份子</t>
  </si>
  <si>
    <t>恐怖组织</t>
  </si>
  <si>
    <t>恩格斯</t>
  </si>
  <si>
    <t>情婦</t>
  </si>
  <si>
    <t>情獸</t>
  </si>
  <si>
    <t>情色</t>
  </si>
  <si>
    <t>想上你</t>
  </si>
  <si>
    <t>意志不坚的图腾</t>
  </si>
  <si>
    <t>意志不堅的圖騰</t>
  </si>
  <si>
    <t>愛滋</t>
  </si>
  <si>
    <t>愛滋病</t>
  </si>
  <si>
    <t>愨</t>
  </si>
  <si>
    <t>慶紅</t>
  </si>
  <si>
    <t>憂鬱的艾拉</t>
  </si>
  <si>
    <t>懂文华</t>
  </si>
  <si>
    <t>懒教</t>
  </si>
  <si>
    <t>懷特</t>
  </si>
  <si>
    <t>戈揚</t>
  </si>
  <si>
    <t>戈瑞爾德</t>
  </si>
  <si>
    <t>成人影片</t>
  </si>
  <si>
    <t>成人片</t>
  </si>
  <si>
    <t>成人电影</t>
  </si>
  <si>
    <t>我咧干</t>
  </si>
  <si>
    <t>我奸</t>
  </si>
  <si>
    <t>我妳老爸</t>
  </si>
  <si>
    <t>我干</t>
  </si>
  <si>
    <t>我操</t>
  </si>
  <si>
    <t>我操你</t>
  </si>
  <si>
    <t>我日</t>
  </si>
  <si>
    <t>我日你</t>
  </si>
  <si>
    <t>戔</t>
  </si>
  <si>
    <t>战牌</t>
  </si>
  <si>
    <t>戳你</t>
  </si>
  <si>
    <t>戳那嗎B</t>
  </si>
  <si>
    <t>戳那嗎比</t>
  </si>
  <si>
    <t>戳那嗎逼</t>
  </si>
  <si>
    <t>戴晶</t>
  </si>
  <si>
    <t>戴海静</t>
  </si>
  <si>
    <t>戴相龍</t>
  </si>
  <si>
    <t>戴維教</t>
  </si>
  <si>
    <t>戴红</t>
  </si>
  <si>
    <t>戴维教</t>
  </si>
  <si>
    <t>房事</t>
  </si>
  <si>
    <t>手淫</t>
  </si>
  <si>
    <t>扎卡維是英雄</t>
  </si>
  <si>
    <t>扎卡维</t>
  </si>
  <si>
    <t>扎卡维是英雄</t>
  </si>
  <si>
    <t>打倒共产党</t>
  </si>
  <si>
    <t>打炮</t>
  </si>
  <si>
    <t>打飛機</t>
  </si>
  <si>
    <t>抑制剂</t>
  </si>
  <si>
    <t>投毒杀人</t>
  </si>
  <si>
    <t>抢劫</t>
  </si>
  <si>
    <t>押大</t>
  </si>
  <si>
    <t>押小</t>
  </si>
  <si>
    <t>押注</t>
  </si>
  <si>
    <t>抽你丫的</t>
  </si>
  <si>
    <t>抽头</t>
  </si>
  <si>
    <t>抽插</t>
  </si>
  <si>
    <t>拉姆斯菲尔德</t>
  </si>
  <si>
    <t>拉姆斯菲爾德</t>
  </si>
  <si>
    <t>拉登</t>
  </si>
  <si>
    <t>拉皮條</t>
  </si>
  <si>
    <t>拍肩神药</t>
  </si>
  <si>
    <t>拐卖</t>
  </si>
  <si>
    <t>招鶏</t>
  </si>
  <si>
    <t>拿破仑</t>
  </si>
  <si>
    <t>指點江山論壇</t>
  </si>
  <si>
    <t>挨球</t>
  </si>
  <si>
    <t>捏你鶏巴</t>
  </si>
  <si>
    <t>换妻</t>
  </si>
  <si>
    <t>掄功</t>
  </si>
  <si>
    <t>排泄</t>
  </si>
  <si>
    <t>推油</t>
  </si>
  <si>
    <t>掯</t>
  </si>
  <si>
    <t>插</t>
  </si>
  <si>
    <t>插GM</t>
  </si>
  <si>
    <t>插你</t>
  </si>
  <si>
    <t>插你妈</t>
  </si>
  <si>
    <t>插你媽</t>
  </si>
  <si>
    <t>插你爺爺</t>
  </si>
  <si>
    <t>插妳</t>
  </si>
  <si>
    <t>插深些</t>
  </si>
  <si>
    <t>插那嗎B</t>
  </si>
  <si>
    <t>插那嗎比</t>
  </si>
  <si>
    <t>插那嗎逼</t>
  </si>
  <si>
    <t>揭批書</t>
  </si>
  <si>
    <t>援交</t>
  </si>
  <si>
    <t>援交妹</t>
  </si>
  <si>
    <t>搖頭丸</t>
  </si>
  <si>
    <t>搞基</t>
  </si>
  <si>
    <t>搞栗棒</t>
  </si>
  <si>
    <t>摇头丸</t>
  </si>
  <si>
    <t>摇头玩</t>
  </si>
  <si>
    <t>摩门教</t>
  </si>
  <si>
    <t>摶</t>
  </si>
  <si>
    <t>摸你鶏巴</t>
  </si>
  <si>
    <t>摸咪咪</t>
  </si>
  <si>
    <t>撒切尔</t>
  </si>
  <si>
    <t>撒尿</t>
  </si>
  <si>
    <t>撟</t>
  </si>
  <si>
    <t>撸管子</t>
  </si>
  <si>
    <t>擇民</t>
  </si>
  <si>
    <t>擊倒圖騰</t>
  </si>
  <si>
    <t>擊傷的圖騰</t>
  </si>
  <si>
    <t>操</t>
  </si>
  <si>
    <t>操GM</t>
  </si>
  <si>
    <t>操XX</t>
  </si>
  <si>
    <t>操他</t>
  </si>
  <si>
    <t>操他妈</t>
  </si>
  <si>
    <t>操你</t>
  </si>
  <si>
    <t>操你八辈祖宗</t>
  </si>
  <si>
    <t>操你妈</t>
  </si>
  <si>
    <t>操你妈屄</t>
  </si>
  <si>
    <t>操你媽</t>
  </si>
  <si>
    <t>操你爺爺</t>
  </si>
  <si>
    <t>操她</t>
  </si>
  <si>
    <t>操她妈</t>
  </si>
  <si>
    <t>操妳妈</t>
  </si>
  <si>
    <t>操尼</t>
  </si>
  <si>
    <t>操林</t>
  </si>
  <si>
    <t>操比</t>
  </si>
  <si>
    <t>操蛋</t>
  </si>
  <si>
    <t>操逼</t>
  </si>
  <si>
    <t>操逼毛</t>
  </si>
  <si>
    <t>操那嗎B</t>
  </si>
  <si>
    <t>操那嗎比</t>
  </si>
  <si>
    <t>操那嗎逼</t>
  </si>
  <si>
    <t>操鶏</t>
  </si>
  <si>
    <t>攄</t>
  </si>
  <si>
    <t>支那</t>
  </si>
  <si>
    <t>放蕩</t>
  </si>
  <si>
    <t>政变</t>
  </si>
  <si>
    <t>政府</t>
  </si>
  <si>
    <t>政權</t>
  </si>
  <si>
    <t>政治</t>
  </si>
  <si>
    <t>政治反对派</t>
  </si>
  <si>
    <t>政治反對派</t>
  </si>
  <si>
    <t>政治犯</t>
  </si>
  <si>
    <t>教育部</t>
  </si>
  <si>
    <t>教養院</t>
  </si>
  <si>
    <t>敬国神社</t>
  </si>
  <si>
    <t>數據中國</t>
  </si>
  <si>
    <t>文化部</t>
  </si>
  <si>
    <t>文物局</t>
  </si>
  <si>
    <t>斧头镰刀</t>
  </si>
  <si>
    <t>斫</t>
  </si>
  <si>
    <t>斯大林</t>
  </si>
  <si>
    <t>斯皮爾德</t>
  </si>
  <si>
    <t>斯諾</t>
  </si>
  <si>
    <t>新党</t>
  </si>
  <si>
    <t>新手訓練營</t>
  </si>
  <si>
    <t>新生網</t>
  </si>
  <si>
    <t>新疆分裂</t>
  </si>
  <si>
    <t>新疆国</t>
  </si>
  <si>
    <t>新疆独立</t>
  </si>
  <si>
    <t>新疆獨</t>
  </si>
  <si>
    <t>新疆砍人</t>
  </si>
  <si>
    <t>新约教会</t>
  </si>
  <si>
    <t>新義安</t>
  </si>
  <si>
    <t>新聞出版總署</t>
  </si>
  <si>
    <t>新聞封鎖</t>
  </si>
  <si>
    <t>新華內情</t>
  </si>
  <si>
    <t>新華舉報</t>
  </si>
  <si>
    <t>新華通論壇</t>
  </si>
  <si>
    <t>新觀察論壇</t>
  </si>
  <si>
    <t>新語絲</t>
  </si>
  <si>
    <t>新闻出版总署</t>
  </si>
  <si>
    <t>新闻出版署</t>
  </si>
  <si>
    <t>新闻管制</t>
  </si>
  <si>
    <t>方勵之</t>
  </si>
  <si>
    <t>旅游局</t>
  </si>
  <si>
    <t>无帮国</t>
  </si>
  <si>
    <t>无帮过</t>
  </si>
  <si>
    <t>无界浏览器</t>
  </si>
  <si>
    <t>无邦国</t>
  </si>
  <si>
    <t>日</t>
  </si>
  <si>
    <t>日GM</t>
  </si>
  <si>
    <t>日X妈</t>
  </si>
  <si>
    <t>日他娘</t>
  </si>
  <si>
    <t>日你</t>
  </si>
  <si>
    <t>日你妈</t>
  </si>
  <si>
    <t>日你娘</t>
  </si>
  <si>
    <t>日你媽</t>
  </si>
  <si>
    <t>日你爺爺</t>
  </si>
  <si>
    <t>日內瓦金融</t>
  </si>
  <si>
    <t>日本RING</t>
  </si>
  <si>
    <t>日本帝國</t>
  </si>
  <si>
    <t>日本鬼子</t>
  </si>
  <si>
    <t>日朱駿</t>
  </si>
  <si>
    <t>日死</t>
  </si>
  <si>
    <t>日軍</t>
  </si>
  <si>
    <t>早泄</t>
  </si>
  <si>
    <t>昆圖</t>
  </si>
  <si>
    <t>明慧网</t>
  </si>
  <si>
    <t>昏药</t>
  </si>
  <si>
    <t>昏迷圖騰</t>
  </si>
  <si>
    <t>易丹軒</t>
  </si>
  <si>
    <t>春夏自由論壇</t>
  </si>
  <si>
    <t>春药</t>
  </si>
  <si>
    <t>是鸡</t>
  </si>
  <si>
    <t>時事論壇</t>
  </si>
  <si>
    <t>時代論壇</t>
  </si>
  <si>
    <t>晚年周恩來</t>
  </si>
  <si>
    <t>晚年周恩来</t>
  </si>
  <si>
    <t>普京</t>
  </si>
  <si>
    <t>暗黑法師</t>
  </si>
  <si>
    <t>暴乱</t>
  </si>
  <si>
    <t>暴亂</t>
  </si>
  <si>
    <t>暴动</t>
  </si>
  <si>
    <t>暴徒</t>
  </si>
  <si>
    <t>暴熱的戰士</t>
  </si>
  <si>
    <t>暴躁的城塔野獸</t>
  </si>
  <si>
    <t>暴躁的警衛兵靈魂</t>
  </si>
  <si>
    <t>暴躁的馬杜克</t>
  </si>
  <si>
    <t>暴風亡靈</t>
  </si>
  <si>
    <t>曰GM</t>
  </si>
  <si>
    <t>曰你</t>
  </si>
  <si>
    <t>曹刚川</t>
  </si>
  <si>
    <t>曹剛川</t>
  </si>
  <si>
    <t>曹長青</t>
  </si>
  <si>
    <t>曼德拉</t>
  </si>
  <si>
    <t>曾培炎</t>
  </si>
  <si>
    <t>曾庆红</t>
  </si>
  <si>
    <t>月經</t>
  </si>
  <si>
    <t>月经</t>
  </si>
  <si>
    <t>月经不调</t>
  </si>
  <si>
    <t>朝鮮</t>
  </si>
  <si>
    <t>朝鲜</t>
  </si>
  <si>
    <t>木子論壇</t>
  </si>
  <si>
    <t>本拉登</t>
  </si>
  <si>
    <t>朱容基</t>
  </si>
  <si>
    <t>朱容鸡</t>
  </si>
  <si>
    <t>朱德</t>
  </si>
  <si>
    <t>朱总理</t>
  </si>
  <si>
    <t>朱溶剂</t>
  </si>
  <si>
    <t>朱溶劑</t>
  </si>
  <si>
    <t>朱熔基</t>
  </si>
  <si>
    <t>朱狨基</t>
  </si>
  <si>
    <t>朱立倫</t>
  </si>
  <si>
    <t>朱镕基</t>
  </si>
  <si>
    <t>朱鳳芝</t>
  </si>
  <si>
    <t>机八</t>
  </si>
  <si>
    <t>机叭</t>
  </si>
  <si>
    <t>机巴</t>
  </si>
  <si>
    <t>机掰</t>
  </si>
  <si>
    <t>杀人</t>
  </si>
  <si>
    <t>杀人犯</t>
  </si>
  <si>
    <t>杂种</t>
  </si>
  <si>
    <t>李先念</t>
  </si>
  <si>
    <t>李克强</t>
  </si>
  <si>
    <t>李大师</t>
  </si>
  <si>
    <t>李大钊</t>
  </si>
  <si>
    <t>李宏志</t>
  </si>
  <si>
    <t>李宏旨</t>
  </si>
  <si>
    <t>李小鵬</t>
  </si>
  <si>
    <t>李山</t>
  </si>
  <si>
    <t>李岚清</t>
  </si>
  <si>
    <t>李弘旨</t>
  </si>
  <si>
    <t>李志綏</t>
  </si>
  <si>
    <t>李慶安</t>
  </si>
  <si>
    <t>李慶華</t>
  </si>
  <si>
    <t>李旺陽</t>
  </si>
  <si>
    <t>李月月鳥</t>
  </si>
  <si>
    <t>李洪寬</t>
  </si>
  <si>
    <t>李洪志</t>
  </si>
  <si>
    <t>李淑嫻</t>
  </si>
  <si>
    <t>李瑞环</t>
  </si>
  <si>
    <t>李登辉</t>
  </si>
  <si>
    <t>李磕墙</t>
  </si>
  <si>
    <t>李祿</t>
  </si>
  <si>
    <t>李紅痔</t>
  </si>
  <si>
    <t>李總理</t>
  </si>
  <si>
    <t>李總統</t>
  </si>
  <si>
    <t>李繼耐</t>
  </si>
  <si>
    <t>李红志</t>
  </si>
  <si>
    <t>李老師</t>
  </si>
  <si>
    <t>李肇星务</t>
  </si>
  <si>
    <t>李蘭菊</t>
  </si>
  <si>
    <t>李錄</t>
  </si>
  <si>
    <t>李鐵映</t>
  </si>
  <si>
    <t>李铁映</t>
  </si>
  <si>
    <t>李长春</t>
  </si>
  <si>
    <t>李鹏</t>
  </si>
  <si>
    <t>杜冷丁</t>
  </si>
  <si>
    <t>杜鲁门</t>
  </si>
  <si>
    <t>来干</t>
  </si>
  <si>
    <t>来插我</t>
  </si>
  <si>
    <t>来爽我</t>
  </si>
  <si>
    <t>東亞</t>
  </si>
  <si>
    <t>東北獨立</t>
  </si>
  <si>
    <t>東升</t>
  </si>
  <si>
    <t>東南西北論談</t>
  </si>
  <si>
    <t>東土耳其斯坦</t>
  </si>
  <si>
    <t>東方時空</t>
  </si>
  <si>
    <t>東方紅時空</t>
  </si>
  <si>
    <t>東條</t>
  </si>
  <si>
    <t>東條英機</t>
  </si>
  <si>
    <t>東社</t>
  </si>
  <si>
    <t>東突暴動</t>
  </si>
  <si>
    <t>東突獨立</t>
  </si>
  <si>
    <t>東西南北論壇</t>
  </si>
  <si>
    <t>東部地下水路</t>
  </si>
  <si>
    <t>東院看守</t>
  </si>
  <si>
    <t>林业局</t>
  </si>
  <si>
    <t>林佳龍</t>
  </si>
  <si>
    <t>林保華</t>
  </si>
  <si>
    <t>林信義</t>
  </si>
  <si>
    <t>林彪</t>
  </si>
  <si>
    <t>林正勝</t>
  </si>
  <si>
    <t>林肯</t>
  </si>
  <si>
    <t>林重謨</t>
  </si>
  <si>
    <t>林長盛</t>
  </si>
  <si>
    <t>枪决女犯</t>
  </si>
  <si>
    <t>枪决现场</t>
  </si>
  <si>
    <t>枪支弹药</t>
  </si>
  <si>
    <t>柯建銘</t>
  </si>
  <si>
    <t>柯賜海</t>
  </si>
  <si>
    <t>柴玲</t>
  </si>
  <si>
    <t>核工业基地</t>
  </si>
  <si>
    <t>核武器</t>
  </si>
  <si>
    <t>核潜艇</t>
  </si>
  <si>
    <t>格魯</t>
  </si>
  <si>
    <t>档案局</t>
  </si>
  <si>
    <t>梅毒</t>
  </si>
  <si>
    <t>梅花网</t>
  </si>
  <si>
    <t>梦遗</t>
  </si>
  <si>
    <t>棬</t>
  </si>
  <si>
    <t>楊周</t>
  </si>
  <si>
    <t>楊巍</t>
  </si>
  <si>
    <t>楊建利</t>
  </si>
  <si>
    <t>楊懷安</t>
  </si>
  <si>
    <t>楊月清</t>
  </si>
  <si>
    <t>槧</t>
  </si>
  <si>
    <t>橋侵襲兵</t>
  </si>
  <si>
    <t>檾</t>
  </si>
  <si>
    <t>櫬</t>
  </si>
  <si>
    <t>欠人骑</t>
  </si>
  <si>
    <t>欠干</t>
  </si>
  <si>
    <t>欠骑</t>
  </si>
  <si>
    <t>欲火焚身</t>
  </si>
  <si>
    <t>欽本立</t>
  </si>
  <si>
    <t>歌功頌德</t>
  </si>
  <si>
    <t>正義黨論壇</t>
  </si>
  <si>
    <t>正見網</t>
  </si>
  <si>
    <t>死gd</t>
  </si>
  <si>
    <t>死gm</t>
  </si>
  <si>
    <t>死全家</t>
  </si>
  <si>
    <t>殺人犯</t>
  </si>
  <si>
    <t>殺你一家</t>
  </si>
  <si>
    <t>殺你全家</t>
  </si>
  <si>
    <t>毀滅射手</t>
  </si>
  <si>
    <t>毀滅步兵</t>
  </si>
  <si>
    <t>毀滅騎士</t>
  </si>
  <si>
    <t>比樣</t>
  </si>
  <si>
    <t>比毛</t>
  </si>
  <si>
    <t>毛XX</t>
  </si>
  <si>
    <t>毛一鲜</t>
  </si>
  <si>
    <t>毛主席</t>
  </si>
  <si>
    <t>毛厕洞</t>
  </si>
  <si>
    <t>毛厠洞</t>
  </si>
  <si>
    <t>毛泽东</t>
  </si>
  <si>
    <t>毛片</t>
  </si>
  <si>
    <t>毛盘</t>
  </si>
  <si>
    <t>毛賊</t>
  </si>
  <si>
    <t>毛賊東</t>
  </si>
  <si>
    <t>毛贼东</t>
  </si>
  <si>
    <t>毿</t>
  </si>
  <si>
    <t>民主</t>
  </si>
  <si>
    <t>民主党</t>
  </si>
  <si>
    <t>民主墻</t>
  </si>
  <si>
    <t>民主潮</t>
  </si>
  <si>
    <t>民国</t>
  </si>
  <si>
    <t>民國</t>
  </si>
  <si>
    <t>民意論壇</t>
  </si>
  <si>
    <t>民政部</t>
  </si>
  <si>
    <t>民聯</t>
  </si>
  <si>
    <t>民航局</t>
  </si>
  <si>
    <t>民运</t>
  </si>
  <si>
    <t>民进党</t>
  </si>
  <si>
    <t>民進黨</t>
  </si>
  <si>
    <t>民陣</t>
  </si>
  <si>
    <t>气象局</t>
  </si>
  <si>
    <t>氢弹</t>
  </si>
  <si>
    <t>水利部</t>
  </si>
  <si>
    <t>水去车仑</t>
  </si>
  <si>
    <t>氵去</t>
  </si>
  <si>
    <t>氵去車侖工力</t>
  </si>
  <si>
    <t>氹</t>
  </si>
  <si>
    <t>江Core</t>
  </si>
  <si>
    <t>江主席</t>
  </si>
  <si>
    <t>江八</t>
  </si>
  <si>
    <t>江八点</t>
  </si>
  <si>
    <t>江八點</t>
  </si>
  <si>
    <t>江則民</t>
  </si>
  <si>
    <t>江戏子</t>
  </si>
  <si>
    <t>江戲子</t>
  </si>
  <si>
    <t>江折民</t>
  </si>
  <si>
    <t>江择民</t>
  </si>
  <si>
    <t>江核心</t>
  </si>
  <si>
    <t>江泽民</t>
  </si>
  <si>
    <t>江澤慧</t>
  </si>
  <si>
    <t>江独裁</t>
  </si>
  <si>
    <t>江猪</t>
  </si>
  <si>
    <t>江猪媳</t>
  </si>
  <si>
    <t>江綿恒</t>
  </si>
  <si>
    <t>江羅</t>
  </si>
  <si>
    <t>江賊</t>
  </si>
  <si>
    <t>江賊民</t>
  </si>
  <si>
    <t>江贼民</t>
  </si>
  <si>
    <t>江青</t>
  </si>
  <si>
    <t>沃尔开西</t>
  </si>
  <si>
    <t>沉睡圖騰</t>
  </si>
  <si>
    <t>河殇</t>
  </si>
  <si>
    <t>河殤</t>
  </si>
  <si>
    <t>法~倫</t>
  </si>
  <si>
    <t>法~淪</t>
  </si>
  <si>
    <t>法~綸</t>
  </si>
  <si>
    <t>法~論</t>
  </si>
  <si>
    <t>法~輪</t>
  </si>
  <si>
    <t>法仑</t>
  </si>
  <si>
    <t>法侖</t>
  </si>
  <si>
    <t>法克鱿</t>
  </si>
  <si>
    <t>法制办</t>
  </si>
  <si>
    <t>法功</t>
  </si>
  <si>
    <t>法十輪十功</t>
  </si>
  <si>
    <t>法愣</t>
  </si>
  <si>
    <t>法掄</t>
  </si>
  <si>
    <t>法掄功</t>
  </si>
  <si>
    <t>法淪</t>
  </si>
  <si>
    <t>法爾卡</t>
  </si>
  <si>
    <t>法綸</t>
  </si>
  <si>
    <t>法西斯</t>
  </si>
  <si>
    <t>法謫</t>
  </si>
  <si>
    <t>法謫功</t>
  </si>
  <si>
    <t>法輪功</t>
  </si>
  <si>
    <t>法輪大法</t>
  </si>
  <si>
    <t>法轮</t>
  </si>
  <si>
    <t>法轮功</t>
  </si>
  <si>
    <t>法轮大法</t>
  </si>
  <si>
    <t>泡沫經濟</t>
  </si>
  <si>
    <t>波霸</t>
  </si>
  <si>
    <t>泰奴橋掠奪者</t>
  </si>
  <si>
    <t>泰奴橋警衛兵</t>
  </si>
  <si>
    <t>洗脑班</t>
  </si>
  <si>
    <t>洗腦</t>
  </si>
  <si>
    <t>洛克菲爾特</t>
  </si>
  <si>
    <t>洪傳</t>
  </si>
  <si>
    <t>洪兴</t>
  </si>
  <si>
    <t>洪哲勝</t>
  </si>
  <si>
    <t>洪志</t>
  </si>
  <si>
    <t>洪興</t>
  </si>
  <si>
    <t>活佛</t>
  </si>
  <si>
    <t>流氓</t>
  </si>
  <si>
    <t>测拿</t>
  </si>
  <si>
    <t>测绘局</t>
  </si>
  <si>
    <t>海洋局</t>
  </si>
  <si>
    <t>海洛因</t>
  </si>
  <si>
    <t>淋病</t>
  </si>
  <si>
    <t>淘宝</t>
  </si>
  <si>
    <t>淩鋒</t>
  </si>
  <si>
    <t>淫</t>
  </si>
  <si>
    <t>淫乱</t>
  </si>
  <si>
    <t>淫叫</t>
  </si>
  <si>
    <t>淫娃</t>
  </si>
  <si>
    <t>淫欲</t>
  </si>
  <si>
    <t>淫毛</t>
  </si>
  <si>
    <t>淫水</t>
  </si>
  <si>
    <t>淫汁</t>
  </si>
  <si>
    <t>淫洞</t>
  </si>
  <si>
    <t>淫液</t>
  </si>
  <si>
    <t>淫湿</t>
  </si>
  <si>
    <t>淫秽</t>
  </si>
  <si>
    <t>淫穢</t>
  </si>
  <si>
    <t>淫穴</t>
  </si>
  <si>
    <t>淫荡</t>
  </si>
  <si>
    <t>淫蕩</t>
  </si>
  <si>
    <t>淫语连连</t>
  </si>
  <si>
    <t>淫貨</t>
  </si>
  <si>
    <t>淫賤</t>
  </si>
  <si>
    <t>淫货</t>
  </si>
  <si>
    <t>淫贱</t>
  </si>
  <si>
    <t>淫靡</t>
  </si>
  <si>
    <t>混亂的圖騰</t>
  </si>
  <si>
    <t>混沌决</t>
  </si>
  <si>
    <t>渣波波</t>
  </si>
  <si>
    <t>温假饱</t>
  </si>
  <si>
    <t>温加宝</t>
  </si>
  <si>
    <t>温家保</t>
  </si>
  <si>
    <t>温家宝</t>
  </si>
  <si>
    <t>温家饱</t>
  </si>
  <si>
    <t>温总理</t>
  </si>
  <si>
    <t>温馨</t>
  </si>
  <si>
    <t>港澳办</t>
  </si>
  <si>
    <t>游戏发奖员</t>
  </si>
  <si>
    <t>游戏宫理员</t>
  </si>
  <si>
    <t>游戏管理员</t>
  </si>
  <si>
    <t>游戲管理員</t>
  </si>
  <si>
    <t>游蕩爪牙</t>
  </si>
  <si>
    <t>游蕩的僵尸</t>
  </si>
  <si>
    <t>游蕩的士兵</t>
  </si>
  <si>
    <t>游行</t>
  </si>
  <si>
    <t>游錫坤</t>
  </si>
  <si>
    <t>湖岸哨兵隊長</t>
  </si>
  <si>
    <t>湖岸警衛兵</t>
  </si>
  <si>
    <t>湖岸護衛兵</t>
  </si>
  <si>
    <t>湣</t>
  </si>
  <si>
    <t>湯光中</t>
  </si>
  <si>
    <t>湿了</t>
  </si>
  <si>
    <t>溫B</t>
  </si>
  <si>
    <t>溫元凱</t>
  </si>
  <si>
    <t>溫家寶</t>
  </si>
  <si>
    <t>溫比</t>
  </si>
  <si>
    <t>溫逼</t>
  </si>
  <si>
    <t>滚</t>
  </si>
  <si>
    <t>滥交</t>
  </si>
  <si>
    <t>滾那嗎</t>
  </si>
  <si>
    <t>滾那嗎B</t>
  </si>
  <si>
    <t>滾那嗎瘟比</t>
  </si>
  <si>
    <t>滾那嗎老比</t>
  </si>
  <si>
    <t>滾那嗎錯比</t>
  </si>
  <si>
    <t>漁夫菲斯曼</t>
  </si>
  <si>
    <t>漢奸</t>
  </si>
  <si>
    <t>潘國平</t>
  </si>
  <si>
    <t>潜烈蟹</t>
  </si>
  <si>
    <t>澠</t>
  </si>
  <si>
    <t>澤夫</t>
  </si>
  <si>
    <t>澤民</t>
  </si>
  <si>
    <t>澩</t>
  </si>
  <si>
    <t>澳洲光明网</t>
  </si>
  <si>
    <t>激情小电影</t>
  </si>
  <si>
    <t>激情电影</t>
  </si>
  <si>
    <t>濕了還說不要</t>
  </si>
  <si>
    <t>濕了還說要</t>
  </si>
  <si>
    <t>濫B</t>
  </si>
  <si>
    <t>濫交</t>
  </si>
  <si>
    <t>濫比</t>
  </si>
  <si>
    <t>濫貨</t>
  </si>
  <si>
    <t>濫逼</t>
  </si>
  <si>
    <t>濼</t>
  </si>
  <si>
    <t>灄</t>
  </si>
  <si>
    <t>灝</t>
  </si>
  <si>
    <t>火棒</t>
  </si>
  <si>
    <t>灵仙真佛宗</t>
  </si>
  <si>
    <t>灵灵教</t>
  </si>
  <si>
    <t>烂B</t>
  </si>
  <si>
    <t>烂人</t>
  </si>
  <si>
    <t>烂屄</t>
  </si>
  <si>
    <t>烂屌</t>
  </si>
  <si>
    <t>烂比</t>
  </si>
  <si>
    <t>烂游戏</t>
  </si>
  <si>
    <t>烂货</t>
  </si>
  <si>
    <t>烂逼</t>
  </si>
  <si>
    <t>烂鸟</t>
  </si>
  <si>
    <t>烟草局</t>
  </si>
  <si>
    <t>热比娅</t>
  </si>
  <si>
    <t>热那亚</t>
  </si>
  <si>
    <t>無界瀏覽器</t>
  </si>
  <si>
    <t>煉功</t>
  </si>
  <si>
    <t>煞笔</t>
  </si>
  <si>
    <t>煞筆</t>
  </si>
  <si>
    <t>煞逼</t>
  </si>
  <si>
    <t>熱比婭</t>
  </si>
  <si>
    <t>熱站政論網</t>
  </si>
  <si>
    <t>燕玲论坛</t>
  </si>
  <si>
    <t>爛B</t>
  </si>
  <si>
    <t>爛比</t>
  </si>
  <si>
    <t>爛袋</t>
  </si>
  <si>
    <t>爛貨</t>
  </si>
  <si>
    <t>爛逼</t>
  </si>
  <si>
    <t>爭鳴論壇</t>
  </si>
  <si>
    <t>爱液</t>
  </si>
  <si>
    <t>爱滋</t>
  </si>
  <si>
    <t>爽你</t>
  </si>
  <si>
    <t>牛B</t>
  </si>
  <si>
    <t>牛头马面</t>
  </si>
  <si>
    <t>牛比</t>
  </si>
  <si>
    <t>牛逼</t>
  </si>
  <si>
    <t>犬</t>
  </si>
  <si>
    <t>狂操</t>
  </si>
  <si>
    <t>狂操你全家</t>
  </si>
  <si>
    <t>狗b</t>
  </si>
  <si>
    <t>狗卵</t>
  </si>
  <si>
    <t>狗娘</t>
  </si>
  <si>
    <t>狗娘养的</t>
  </si>
  <si>
    <t>狗娘養的</t>
  </si>
  <si>
    <t>狗屁</t>
  </si>
  <si>
    <t>狗屎</t>
  </si>
  <si>
    <t>狗干</t>
  </si>
  <si>
    <t>狗操</t>
  </si>
  <si>
    <t>狗操卖逼</t>
  </si>
  <si>
    <t>狗日</t>
  </si>
  <si>
    <t>狗日的</t>
  </si>
  <si>
    <t>狗狼養的</t>
  </si>
  <si>
    <t>狗誠</t>
  </si>
  <si>
    <t>狗雜種</t>
  </si>
  <si>
    <t>狗養</t>
  </si>
  <si>
    <t>狡猾的達夫</t>
  </si>
  <si>
    <t>独立</t>
  </si>
  <si>
    <t>独立台湾会</t>
  </si>
  <si>
    <t>猥亵</t>
  </si>
  <si>
    <t>猥琐</t>
  </si>
  <si>
    <t>猥褻</t>
  </si>
  <si>
    <t>猪容基</t>
  </si>
  <si>
    <t>猪操</t>
  </si>
  <si>
    <t>猪毛</t>
  </si>
  <si>
    <t>猪毛1</t>
  </si>
  <si>
    <t>猪猡</t>
  </si>
  <si>
    <t>猪聋畸</t>
  </si>
  <si>
    <t>猪聾畸</t>
  </si>
  <si>
    <t>獨夫</t>
  </si>
  <si>
    <t>獨立臺灣會</t>
  </si>
  <si>
    <t>獨裁</t>
  </si>
  <si>
    <t>獨裁政治</t>
  </si>
  <si>
    <t>獫</t>
  </si>
  <si>
    <t>獻祭的圖騰</t>
  </si>
  <si>
    <t>玉杵</t>
  </si>
  <si>
    <t>王世勛</t>
  </si>
  <si>
    <t>王世堅</t>
  </si>
  <si>
    <t>王丹</t>
  </si>
  <si>
    <t>王乐泉</t>
  </si>
  <si>
    <t>王兆国</t>
  </si>
  <si>
    <t>王兆國</t>
  </si>
  <si>
    <t>王八蛋</t>
  </si>
  <si>
    <t>王刚</t>
  </si>
  <si>
    <t>王剛</t>
  </si>
  <si>
    <t>王太华</t>
  </si>
  <si>
    <t>王宝森</t>
  </si>
  <si>
    <t>王寶森</t>
  </si>
  <si>
    <t>王岐山</t>
  </si>
  <si>
    <t>王昊</t>
  </si>
  <si>
    <t>王樂泉</t>
  </si>
  <si>
    <t>王洪文</t>
  </si>
  <si>
    <t>王涵萬</t>
  </si>
  <si>
    <t>王滬寧</t>
  </si>
  <si>
    <t>王潤生</t>
  </si>
  <si>
    <t>王秀麗</t>
  </si>
  <si>
    <t>王超華</t>
  </si>
  <si>
    <t>王軍濤</t>
  </si>
  <si>
    <t>王輔臣</t>
  </si>
  <si>
    <t>王震</t>
  </si>
  <si>
    <t>班禅</t>
  </si>
  <si>
    <t>班禪</t>
  </si>
  <si>
    <t>現金</t>
  </si>
  <si>
    <t>現金交易</t>
  </si>
  <si>
    <t>瑞士金融大學</t>
  </si>
  <si>
    <t>瑪雅</t>
  </si>
  <si>
    <t>瑪麗亞</t>
  </si>
  <si>
    <t>生命分流的圖騰</t>
  </si>
  <si>
    <t>生孩子沒屁眼</t>
  </si>
  <si>
    <t>生鸦片</t>
  </si>
  <si>
    <t>田紀雲</t>
  </si>
  <si>
    <t>田纪云</t>
  </si>
  <si>
    <t>由喜貴</t>
  </si>
  <si>
    <t>甲庆林</t>
  </si>
  <si>
    <t>电监会</t>
  </si>
  <si>
    <t>疆独</t>
  </si>
  <si>
    <t>痴拈</t>
  </si>
  <si>
    <t>痴鳩</t>
  </si>
  <si>
    <t>瘃</t>
  </si>
  <si>
    <t>瘞</t>
  </si>
  <si>
    <t>瘟家宝</t>
  </si>
  <si>
    <t>瘸腿帮</t>
  </si>
  <si>
    <t>瘸腿幫</t>
  </si>
  <si>
    <t>癤</t>
  </si>
  <si>
    <t>登輝</t>
  </si>
  <si>
    <t>發倫</t>
  </si>
  <si>
    <t>發倫功</t>
  </si>
  <si>
    <t>發掄</t>
  </si>
  <si>
    <t>發掄功</t>
  </si>
  <si>
    <t>發楞</t>
  </si>
  <si>
    <t>發正念</t>
  </si>
  <si>
    <t>發論</t>
  </si>
  <si>
    <t>發論公</t>
  </si>
  <si>
    <t>發論功</t>
  </si>
  <si>
    <t>發輪</t>
  </si>
  <si>
    <t>發騷</t>
  </si>
  <si>
    <t>白夢</t>
  </si>
  <si>
    <t>白痴</t>
  </si>
  <si>
    <t>白皮書</t>
  </si>
  <si>
    <t>白立樸</t>
  </si>
  <si>
    <t>白粉</t>
  </si>
  <si>
    <t>白莲教</t>
  </si>
  <si>
    <t>皇軍</t>
  </si>
  <si>
    <t>皮条</t>
  </si>
  <si>
    <t>皮條客</t>
  </si>
  <si>
    <t>盗窃犯</t>
  </si>
  <si>
    <t>盛華仁</t>
  </si>
  <si>
    <t>盜竊犯</t>
  </si>
  <si>
    <t>監視塔</t>
  </si>
  <si>
    <t>監視塔哨兵</t>
  </si>
  <si>
    <t>監視塔哨兵隊長</t>
  </si>
  <si>
    <t>盧卡</t>
  </si>
  <si>
    <t>盧西德</t>
  </si>
  <si>
    <t>看下</t>
  </si>
  <si>
    <t>看中國</t>
  </si>
  <si>
    <t>真主安拉</t>
  </si>
  <si>
    <t>真善忍</t>
  </si>
  <si>
    <t>真理教</t>
  </si>
  <si>
    <t>睾</t>
  </si>
  <si>
    <t>睾丸</t>
  </si>
  <si>
    <t>瞘</t>
  </si>
  <si>
    <t>瞞報</t>
  </si>
  <si>
    <t>矯健的馬努爾</t>
  </si>
  <si>
    <t>石化圖騰</t>
  </si>
  <si>
    <t>石拳戰鬥兵</t>
  </si>
  <si>
    <t>砍翻一條街</t>
  </si>
  <si>
    <t>破坏</t>
  </si>
  <si>
    <t>破鞋</t>
  </si>
  <si>
    <t>硬挺</t>
  </si>
  <si>
    <t>硬直圖騰</t>
  </si>
  <si>
    <t>碎片製造商人蘇克</t>
  </si>
  <si>
    <t>碎片製造商人馬克</t>
  </si>
  <si>
    <t>磧</t>
  </si>
  <si>
    <t>示威</t>
  </si>
  <si>
    <t>社會主義</t>
  </si>
  <si>
    <t>社科院</t>
  </si>
  <si>
    <t>祚</t>
  </si>
  <si>
    <t>神婆</t>
  </si>
  <si>
    <t>神汉</t>
  </si>
  <si>
    <t>神經病</t>
  </si>
  <si>
    <t>神经病</t>
  </si>
  <si>
    <t>神通加持法</t>
  </si>
  <si>
    <t>禁书</t>
  </si>
  <si>
    <t>禰</t>
  </si>
  <si>
    <t>离长春</t>
  </si>
  <si>
    <t>禽獸</t>
  </si>
  <si>
    <t>私服</t>
  </si>
  <si>
    <t>私—服</t>
  </si>
  <si>
    <t>私處</t>
  </si>
  <si>
    <t>科萊爾</t>
  </si>
  <si>
    <t>秭</t>
  </si>
  <si>
    <t>稅力</t>
  </si>
  <si>
    <t>程凱</t>
  </si>
  <si>
    <t>程鐵軍</t>
  </si>
  <si>
    <t>税务总局</t>
  </si>
  <si>
    <t>穆斯林</t>
  </si>
  <si>
    <t>穆罕默德</t>
  </si>
  <si>
    <t>積克館</t>
  </si>
  <si>
    <t>穴</t>
  </si>
  <si>
    <t>空氣精靈</t>
  </si>
  <si>
    <t>空虛之地</t>
  </si>
  <si>
    <t>空虛的伊坤</t>
  </si>
  <si>
    <t>窀</t>
  </si>
  <si>
    <t>突尼斯</t>
  </si>
  <si>
    <t>窃听器</t>
  </si>
  <si>
    <t>窃听器材</t>
  </si>
  <si>
    <t>章孝嚴</t>
  </si>
  <si>
    <t>笨屄</t>
  </si>
  <si>
    <t>笨蛋</t>
  </si>
  <si>
    <t>笨逼</t>
  </si>
  <si>
    <t>筹码</t>
  </si>
  <si>
    <t>篋</t>
  </si>
  <si>
    <t>簡肇棟</t>
  </si>
  <si>
    <t>籀</t>
  </si>
  <si>
    <t>籜</t>
  </si>
  <si>
    <t>粉飾太平</t>
  </si>
  <si>
    <t>粗制吗啡</t>
  </si>
  <si>
    <t>粥健康</t>
  </si>
  <si>
    <t>粥永康</t>
  </si>
  <si>
    <t>粮食局</t>
  </si>
  <si>
    <t>精子</t>
  </si>
  <si>
    <t>精液</t>
  </si>
  <si>
    <t>糝</t>
  </si>
  <si>
    <t>糞便</t>
  </si>
  <si>
    <t>糴</t>
  </si>
  <si>
    <t>系統</t>
  </si>
  <si>
    <t>系統公告</t>
  </si>
  <si>
    <t>系统</t>
  </si>
  <si>
    <t>系统公告</t>
  </si>
  <si>
    <t>系统消息</t>
  </si>
  <si>
    <t>系统讯息</t>
  </si>
  <si>
    <t>紅炎猛獸</t>
  </si>
  <si>
    <t>紅燈區</t>
  </si>
  <si>
    <t>紅色恐怖</t>
  </si>
  <si>
    <t>納粹</t>
  </si>
  <si>
    <t>紱</t>
  </si>
  <si>
    <t>紿</t>
  </si>
  <si>
    <t>絕望之地</t>
  </si>
  <si>
    <t>統戰</t>
  </si>
  <si>
    <t>統獨</t>
  </si>
  <si>
    <t>統獨論壇</t>
  </si>
  <si>
    <t>經文</t>
  </si>
  <si>
    <t>經血</t>
  </si>
  <si>
    <t>綣</t>
  </si>
  <si>
    <t>綰</t>
  </si>
  <si>
    <t>網特</t>
  </si>
  <si>
    <t>網禪</t>
  </si>
  <si>
    <t>綿恒</t>
  </si>
  <si>
    <t>緄</t>
  </si>
  <si>
    <t>緙</t>
  </si>
  <si>
    <t>緡</t>
  </si>
  <si>
    <t>緣圈圈</t>
  </si>
  <si>
    <t>緱</t>
  </si>
  <si>
    <t>縶</t>
  </si>
  <si>
    <t>總理</t>
  </si>
  <si>
    <t>繢</t>
  </si>
  <si>
    <t>繰</t>
  </si>
  <si>
    <t>纘</t>
  </si>
  <si>
    <t>纠察员</t>
  </si>
  <si>
    <t>红卫兵</t>
  </si>
  <si>
    <t>约炮</t>
  </si>
  <si>
    <t>纯一郎</t>
  </si>
  <si>
    <t>纳粹</t>
  </si>
  <si>
    <t>经济社会理事会</t>
  </si>
  <si>
    <t>经社理事会</t>
  </si>
  <si>
    <t>缔顺</t>
  </si>
  <si>
    <t>缵</t>
  </si>
  <si>
    <t>罂粟</t>
  </si>
  <si>
    <t>网管</t>
  </si>
  <si>
    <t>罗　干</t>
  </si>
  <si>
    <t>罗干</t>
  </si>
  <si>
    <t>罗荣桓</t>
  </si>
  <si>
    <t>羅幹</t>
  </si>
  <si>
    <t>羅志明</t>
  </si>
  <si>
    <t>羅文嘉</t>
  </si>
  <si>
    <t>羅福助</t>
  </si>
  <si>
    <t>羅禮詩</t>
  </si>
  <si>
    <t>羆</t>
  </si>
  <si>
    <t>羋</t>
  </si>
  <si>
    <t>美利坚</t>
  </si>
  <si>
    <t>美国</t>
  </si>
  <si>
    <t>美国之音</t>
  </si>
  <si>
    <t>美国佬</t>
  </si>
  <si>
    <t>美國</t>
  </si>
  <si>
    <t>美國之音</t>
  </si>
  <si>
    <t>美國佬</t>
  </si>
  <si>
    <t>美國參考</t>
  </si>
  <si>
    <t>群P</t>
  </si>
  <si>
    <t>群交</t>
  </si>
  <si>
    <t>翥</t>
  </si>
  <si>
    <t>老土</t>
  </si>
  <si>
    <t>老母</t>
  </si>
  <si>
    <t>老毛子</t>
  </si>
  <si>
    <t>老虎机</t>
  </si>
  <si>
    <t>老逼</t>
  </si>
  <si>
    <t>耶和华</t>
  </si>
  <si>
    <t>耶稣</t>
  </si>
  <si>
    <t>耶穌</t>
  </si>
  <si>
    <t>耶苏</t>
  </si>
  <si>
    <t>聂荣臻</t>
  </si>
  <si>
    <t>联合国</t>
  </si>
  <si>
    <t>联合国大会</t>
  </si>
  <si>
    <t>联大</t>
  </si>
  <si>
    <t>联易</t>
  </si>
  <si>
    <t>联易互动</t>
  </si>
  <si>
    <t>聖射手</t>
  </si>
  <si>
    <t>聖戰</t>
  </si>
  <si>
    <t>聯總</t>
  </si>
  <si>
    <t>肉体</t>
  </si>
  <si>
    <t>肉壁</t>
  </si>
  <si>
    <t>肉壶</t>
  </si>
  <si>
    <t>肉棍</t>
  </si>
  <si>
    <t>肉棍子</t>
  </si>
  <si>
    <t>肉棒</t>
  </si>
  <si>
    <t>肉欲</t>
  </si>
  <si>
    <t>肉洞</t>
  </si>
  <si>
    <t>肉穴</t>
  </si>
  <si>
    <t>肉缝</t>
  </si>
  <si>
    <t>肏</t>
  </si>
  <si>
    <t>肘永康</t>
  </si>
  <si>
    <t>肛</t>
  </si>
  <si>
    <t>肛交</t>
  </si>
  <si>
    <t>肛門</t>
  </si>
  <si>
    <t>肛门</t>
  </si>
  <si>
    <t>胡XX</t>
  </si>
  <si>
    <t>胡主席</t>
  </si>
  <si>
    <t>胡乔木</t>
  </si>
  <si>
    <t>胡喬木</t>
  </si>
  <si>
    <t>胡志明</t>
  </si>
  <si>
    <t>胡总书记</t>
  </si>
  <si>
    <t>胡惊涛</t>
  </si>
  <si>
    <t>胡景涛</t>
  </si>
  <si>
    <t>胡景濤</t>
  </si>
  <si>
    <t>胡紧套</t>
  </si>
  <si>
    <t>胡紧掏</t>
  </si>
  <si>
    <t>胡紧涛</t>
  </si>
  <si>
    <t>胡緊掏</t>
  </si>
  <si>
    <t>胡總書記</t>
  </si>
  <si>
    <t>胡耀邦</t>
  </si>
  <si>
    <t>胡錦淘</t>
  </si>
  <si>
    <t>胡錦滔</t>
  </si>
  <si>
    <t>胡锦涛</t>
  </si>
  <si>
    <t>胡锦淘</t>
  </si>
  <si>
    <t>能樣</t>
  </si>
  <si>
    <t>腡</t>
  </si>
  <si>
    <t>膁</t>
  </si>
  <si>
    <t>膃</t>
  </si>
  <si>
    <t>膏药旗</t>
  </si>
  <si>
    <t>膏藥旗</t>
  </si>
  <si>
    <t>自制手枪</t>
  </si>
  <si>
    <t>自已的故事</t>
  </si>
  <si>
    <t>自慰</t>
  </si>
  <si>
    <t>自杀手册</t>
  </si>
  <si>
    <t>自杀指南</t>
  </si>
  <si>
    <t>自民党</t>
  </si>
  <si>
    <t>自民黨</t>
  </si>
  <si>
    <t>自治机关</t>
  </si>
  <si>
    <t>自焚</t>
  </si>
  <si>
    <t>自由民主論壇</t>
  </si>
  <si>
    <t>自由民主论坛</t>
  </si>
  <si>
    <t>臭化西</t>
  </si>
  <si>
    <t>臭机</t>
  </si>
  <si>
    <t>臭机八</t>
  </si>
  <si>
    <t>臭西</t>
  </si>
  <si>
    <t>臭鸡</t>
  </si>
  <si>
    <t>臭鸡巴</t>
  </si>
  <si>
    <t>臺灣共産黨</t>
  </si>
  <si>
    <t>臺灣帝國</t>
  </si>
  <si>
    <t>臺灣建國運動組織</t>
  </si>
  <si>
    <t>臺灣政論區</t>
  </si>
  <si>
    <t>臺灣民國</t>
  </si>
  <si>
    <t>臺灣狗</t>
  </si>
  <si>
    <t>臺灣獨</t>
  </si>
  <si>
    <t>臺灣獨立</t>
  </si>
  <si>
    <t>臺灣自由聯盟</t>
  </si>
  <si>
    <t>臺灣青年獨立聯盟</t>
  </si>
  <si>
    <t>臺盟</t>
  </si>
  <si>
    <t>舆论钳制</t>
  </si>
  <si>
    <t>舊斗篷哨兵</t>
  </si>
  <si>
    <t>舔西</t>
  </si>
  <si>
    <t>舳</t>
  </si>
  <si>
    <t>色情</t>
  </si>
  <si>
    <t>色情小电影</t>
  </si>
  <si>
    <t>色情服务</t>
  </si>
  <si>
    <t>色情电影</t>
  </si>
  <si>
    <t>艾森豪威尔</t>
  </si>
  <si>
    <t>艾滋病</t>
  </si>
  <si>
    <t>艾麗絲</t>
  </si>
  <si>
    <t>花柳</t>
  </si>
  <si>
    <t>苏家屯</t>
  </si>
  <si>
    <t>苯比</t>
  </si>
  <si>
    <t>英雄纪念碑</t>
  </si>
  <si>
    <t>苹果日报</t>
  </si>
  <si>
    <t>茉莉花</t>
  </si>
  <si>
    <t>茉莉花革命</t>
  </si>
  <si>
    <t>茎</t>
  </si>
  <si>
    <t>草</t>
  </si>
  <si>
    <t>草你</t>
  </si>
  <si>
    <t>草你妈</t>
  </si>
  <si>
    <t>草你媽</t>
  </si>
  <si>
    <t>草妈</t>
  </si>
  <si>
    <t>草拟妈</t>
  </si>
  <si>
    <t>草擬媽</t>
  </si>
  <si>
    <t>草泥马</t>
  </si>
  <si>
    <t>草的你妈</t>
  </si>
  <si>
    <t>荡妇</t>
  </si>
  <si>
    <t>莖候佳陰</t>
  </si>
  <si>
    <t>莫偉强</t>
  </si>
  <si>
    <t>莫索里尼</t>
  </si>
  <si>
    <t>菊花蚕</t>
  </si>
  <si>
    <t>華夏文摘</t>
  </si>
  <si>
    <t>華岳時事論壇</t>
  </si>
  <si>
    <t>華建敏</t>
  </si>
  <si>
    <t>華語世界論壇</t>
  </si>
  <si>
    <t>華通時事論壇</t>
  </si>
  <si>
    <t>萊特</t>
  </si>
  <si>
    <t>萨达姆</t>
  </si>
  <si>
    <t>萨马兰奇</t>
  </si>
  <si>
    <t>萬曉東</t>
  </si>
  <si>
    <t>萬潤南</t>
  </si>
  <si>
    <t>萬維讀者論壇</t>
  </si>
  <si>
    <t>萬里</t>
  </si>
  <si>
    <t>葉菊蘭</t>
  </si>
  <si>
    <t>董建华</t>
  </si>
  <si>
    <t>董文华</t>
  </si>
  <si>
    <t>董贱华</t>
  </si>
  <si>
    <t>蒂顺</t>
  </si>
  <si>
    <t>蒋中正</t>
  </si>
  <si>
    <t>蒋介石</t>
  </si>
  <si>
    <t>蒋经国</t>
  </si>
  <si>
    <t>蒙古独立</t>
  </si>
  <si>
    <t>蒙古獨</t>
  </si>
  <si>
    <t>蒙古獨立</t>
  </si>
  <si>
    <t>蒙古达子</t>
  </si>
  <si>
    <t>蒙古達子</t>
  </si>
  <si>
    <t>蒙古鞑子</t>
  </si>
  <si>
    <t>蒙尘药</t>
  </si>
  <si>
    <t>蒙独</t>
  </si>
  <si>
    <t>蒙獨</t>
  </si>
  <si>
    <t>蔡啓芳</t>
  </si>
  <si>
    <t>蔡崇國</t>
  </si>
  <si>
    <t>蔣中正</t>
  </si>
  <si>
    <t>蔣介石</t>
  </si>
  <si>
    <t>蕆</t>
  </si>
  <si>
    <t>蕩婦</t>
  </si>
  <si>
    <t>薄一波</t>
  </si>
  <si>
    <t>薄熙来</t>
  </si>
  <si>
    <t>薑春雲</t>
  </si>
  <si>
    <t>薛偉</t>
  </si>
  <si>
    <t>薟</t>
  </si>
  <si>
    <t>薩達姆</t>
  </si>
  <si>
    <t>藏妇会</t>
  </si>
  <si>
    <t>藏独</t>
  </si>
  <si>
    <t>藏青会</t>
  </si>
  <si>
    <t>藥材商人蘇耐得</t>
  </si>
  <si>
    <t>藥水</t>
  </si>
  <si>
    <t>藪</t>
  </si>
  <si>
    <t>蘇南成</t>
  </si>
  <si>
    <t>蘇拉</t>
  </si>
  <si>
    <t>蘇曉康</t>
  </si>
  <si>
    <t>蘇特勒守護兵</t>
  </si>
  <si>
    <t>蘇特勤</t>
  </si>
  <si>
    <t>蘇特勤護衛兵</t>
  </si>
  <si>
    <t>蘇特勤魔法師</t>
  </si>
  <si>
    <t>蘇盈貴</t>
  </si>
  <si>
    <t>蘇紹智</t>
  </si>
  <si>
    <t>蘇菲爾</t>
  </si>
  <si>
    <t>蘇貞昌</t>
  </si>
  <si>
    <t>蘭迪</t>
  </si>
  <si>
    <t>虎门</t>
  </si>
  <si>
    <t>虐待</t>
  </si>
  <si>
    <t>處女膜</t>
  </si>
  <si>
    <t>虛弱圖騰</t>
  </si>
  <si>
    <t>虛無的飽食者</t>
  </si>
  <si>
    <t>蜆</t>
  </si>
  <si>
    <t>蠢猪</t>
  </si>
  <si>
    <t>血腥图片</t>
  </si>
  <si>
    <t>血逼</t>
  </si>
  <si>
    <t>街头对抗</t>
  </si>
  <si>
    <t>被立王</t>
  </si>
  <si>
    <t>袭近平</t>
  </si>
  <si>
    <t>装B</t>
  </si>
  <si>
    <t>装屄</t>
  </si>
  <si>
    <t>装逼</t>
  </si>
  <si>
    <t>裏菲斯</t>
  </si>
  <si>
    <t>襆</t>
  </si>
  <si>
    <t>西哈努克</t>
  </si>
  <si>
    <t>西藏314事件</t>
  </si>
  <si>
    <t>西藏分裂</t>
  </si>
  <si>
    <t>西藏国</t>
  </si>
  <si>
    <t>西藏天葬</t>
  </si>
  <si>
    <t>西藏独立</t>
  </si>
  <si>
    <t>西藏獨</t>
  </si>
  <si>
    <t>西藏自由</t>
  </si>
  <si>
    <t>覘</t>
  </si>
  <si>
    <t>覡</t>
  </si>
  <si>
    <t>親日</t>
  </si>
  <si>
    <t>親民黨</t>
  </si>
  <si>
    <t>親美</t>
  </si>
  <si>
    <t>覯</t>
  </si>
  <si>
    <t>覿</t>
  </si>
  <si>
    <t>观世音</t>
  </si>
  <si>
    <t>观音法门</t>
  </si>
  <si>
    <t>览叫</t>
  </si>
  <si>
    <t>觶</t>
  </si>
  <si>
    <t>訁</t>
  </si>
  <si>
    <t>訐</t>
  </si>
  <si>
    <t>許信良</t>
  </si>
  <si>
    <t>許家屯</t>
  </si>
  <si>
    <t>許財利</t>
  </si>
  <si>
    <t>訾</t>
  </si>
  <si>
    <t>詘</t>
  </si>
  <si>
    <t>詵</t>
  </si>
  <si>
    <t>詿</t>
  </si>
  <si>
    <t>誄</t>
  </si>
  <si>
    <t>誶</t>
  </si>
  <si>
    <t>諏</t>
  </si>
  <si>
    <t>諑</t>
  </si>
  <si>
    <t>論壇管理員</t>
  </si>
  <si>
    <t>諗</t>
  </si>
  <si>
    <t>諞</t>
  </si>
  <si>
    <t>諶</t>
  </si>
  <si>
    <t>諼</t>
  </si>
  <si>
    <t>諾姆</t>
  </si>
  <si>
    <t>謄</t>
  </si>
  <si>
    <t>講法</t>
  </si>
  <si>
    <t>謝中之</t>
  </si>
  <si>
    <t>謝深山</t>
  </si>
  <si>
    <t>謝選駿</t>
  </si>
  <si>
    <t>謝長廷</t>
  </si>
  <si>
    <t>譎</t>
  </si>
  <si>
    <t>譖</t>
  </si>
  <si>
    <t>譙</t>
  </si>
  <si>
    <t>警匪一家</t>
  </si>
  <si>
    <t>議員斯格文德</t>
  </si>
  <si>
    <t>議長阿茵斯塔</t>
  </si>
  <si>
    <t>護法</t>
  </si>
  <si>
    <t>讓你操</t>
  </si>
  <si>
    <t>讖</t>
  </si>
  <si>
    <t>讞</t>
  </si>
  <si>
    <t>计牌软件</t>
  </si>
  <si>
    <t>计生委</t>
  </si>
  <si>
    <t>诹</t>
  </si>
  <si>
    <t>诼</t>
  </si>
  <si>
    <t>谋杀</t>
  </si>
  <si>
    <t>豐饒的果實</t>
  </si>
  <si>
    <t>貝尤爾</t>
  </si>
  <si>
    <t>貞操</t>
  </si>
  <si>
    <t>貫通兩極法</t>
  </si>
  <si>
    <t>貰</t>
  </si>
  <si>
    <t>貺</t>
  </si>
  <si>
    <t>費良勇</t>
  </si>
  <si>
    <t>費鴻泰</t>
  </si>
  <si>
    <t>賀國强</t>
  </si>
  <si>
    <t>賀龍</t>
  </si>
  <si>
    <t>資本主義</t>
  </si>
  <si>
    <t>賈廷安</t>
  </si>
  <si>
    <t>賈育台</t>
  </si>
  <si>
    <t>賊民</t>
  </si>
  <si>
    <t>賓周</t>
  </si>
  <si>
    <t>賣國</t>
  </si>
  <si>
    <t>賣比</t>
  </si>
  <si>
    <t>賣淫</t>
  </si>
  <si>
    <t>賣逼</t>
  </si>
  <si>
    <t>賣騷</t>
  </si>
  <si>
    <t>賤B</t>
  </si>
  <si>
    <t>賤bi</t>
  </si>
  <si>
    <t>賤人</t>
  </si>
  <si>
    <t>賤比</t>
  </si>
  <si>
    <t>賤種</t>
  </si>
  <si>
    <t>賤貨</t>
  </si>
  <si>
    <t>賤逼</t>
  </si>
  <si>
    <t>賫</t>
  </si>
  <si>
    <t>賬號</t>
  </si>
  <si>
    <t>賴士葆</t>
  </si>
  <si>
    <t>賾</t>
  </si>
  <si>
    <t>贝肉</t>
  </si>
  <si>
    <t>财政部</t>
  </si>
  <si>
    <t>贩毒</t>
  </si>
  <si>
    <t>贱</t>
  </si>
  <si>
    <t>贱人</t>
  </si>
  <si>
    <t>贱货</t>
  </si>
  <si>
    <t>贱逼</t>
  </si>
  <si>
    <t>贺国强</t>
  </si>
  <si>
    <t>贺过墙</t>
  </si>
  <si>
    <t>贺龙</t>
  </si>
  <si>
    <t>贾庆林</t>
  </si>
  <si>
    <t>赌博</t>
  </si>
  <si>
    <t>赌球</t>
  </si>
  <si>
    <t>赌马</t>
  </si>
  <si>
    <t>赖昌星</t>
  </si>
  <si>
    <t>赛他娘</t>
  </si>
  <si>
    <t>赛你娘</t>
  </si>
  <si>
    <t>赛她娘</t>
  </si>
  <si>
    <t>赛妳娘</t>
  </si>
  <si>
    <t>赤匪</t>
  </si>
  <si>
    <t>赤色戰士</t>
  </si>
  <si>
    <t>赤色騎士</t>
  </si>
  <si>
    <t>赫鲁晓夫</t>
  </si>
  <si>
    <t>走向圆满</t>
  </si>
  <si>
    <t>走私</t>
  </si>
  <si>
    <t>赵紫阳</t>
  </si>
  <si>
    <t>起义</t>
  </si>
  <si>
    <t>趕你娘</t>
  </si>
  <si>
    <t>趙南</t>
  </si>
  <si>
    <t>趙品潞</t>
  </si>
  <si>
    <t>趙建銘</t>
  </si>
  <si>
    <t>趙曉微</t>
  </si>
  <si>
    <t>趙海青</t>
  </si>
  <si>
    <t>趙紫陽</t>
  </si>
  <si>
    <t>路易</t>
  </si>
  <si>
    <t>跳大神</t>
  </si>
  <si>
    <t>蹕</t>
  </si>
  <si>
    <t>躅</t>
  </si>
  <si>
    <t>躑</t>
  </si>
  <si>
    <t>躒</t>
  </si>
  <si>
    <t>躓</t>
  </si>
  <si>
    <t>躚</t>
  </si>
  <si>
    <t>躜</t>
  </si>
  <si>
    <t>躦</t>
  </si>
  <si>
    <t>躪</t>
  </si>
  <si>
    <t>身份生成器</t>
  </si>
  <si>
    <t>車侖</t>
  </si>
  <si>
    <t>車侖女幹</t>
  </si>
  <si>
    <t>軍妓</t>
  </si>
  <si>
    <t>軺</t>
  </si>
  <si>
    <t>輅</t>
  </si>
  <si>
    <t>輕舟快訊</t>
  </si>
  <si>
    <t>輪功</t>
  </si>
  <si>
    <t>輪大</t>
  </si>
  <si>
    <t>輪奸</t>
  </si>
  <si>
    <t>輳</t>
  </si>
  <si>
    <t>輿論</t>
  </si>
  <si>
    <t>輿論反制</t>
  </si>
  <si>
    <t>轂</t>
  </si>
  <si>
    <t>轉化</t>
  </si>
  <si>
    <t>轡</t>
  </si>
  <si>
    <t>轢</t>
  </si>
  <si>
    <t>车仑</t>
  </si>
  <si>
    <t>车臣</t>
  </si>
  <si>
    <t>转法轮</t>
  </si>
  <si>
    <t>轮功</t>
  </si>
  <si>
    <t>轮奸</t>
  </si>
  <si>
    <t>轮干</t>
  </si>
  <si>
    <t>轮流干</t>
  </si>
  <si>
    <t>轮盘赌</t>
  </si>
  <si>
    <t>轴永康</t>
  </si>
  <si>
    <t>辛灝年</t>
  </si>
  <si>
    <t>达米宣教会</t>
  </si>
  <si>
    <t>达菲鸡</t>
  </si>
  <si>
    <t>达赖</t>
  </si>
  <si>
    <t>达赖喇嘛</t>
  </si>
  <si>
    <t>远程偷拍</t>
  </si>
  <si>
    <t>连战</t>
  </si>
  <si>
    <t>迟浩田</t>
  </si>
  <si>
    <t>迪裏夏提</t>
  </si>
  <si>
    <t>迷奸药</t>
  </si>
  <si>
    <t>迷幻药</t>
  </si>
  <si>
    <t>迷歼药</t>
  </si>
  <si>
    <t>迷药</t>
  </si>
  <si>
    <t>迷魂药</t>
  </si>
  <si>
    <t>追查国际</t>
  </si>
  <si>
    <t>透视软件</t>
  </si>
  <si>
    <t>造反</t>
  </si>
  <si>
    <t>造愛</t>
  </si>
  <si>
    <t>連勝德</t>
  </si>
  <si>
    <t>連勝文</t>
  </si>
  <si>
    <t>連惠心</t>
  </si>
  <si>
    <t>連戰</t>
  </si>
  <si>
    <t>連方瑀</t>
  </si>
  <si>
    <t>逼</t>
  </si>
  <si>
    <t>逼你老母</t>
  </si>
  <si>
    <t>逼样</t>
  </si>
  <si>
    <t>逼樣</t>
  </si>
  <si>
    <t>逼毛</t>
  </si>
  <si>
    <t>道教</t>
  </si>
  <si>
    <t>達夫侍從</t>
  </si>
  <si>
    <t>達夫警衛兵</t>
  </si>
  <si>
    <t>達癩</t>
  </si>
  <si>
    <t>遗精</t>
  </si>
  <si>
    <t>遠志明</t>
  </si>
  <si>
    <t>遲鈍的圖騰</t>
  </si>
  <si>
    <t>遺精</t>
  </si>
  <si>
    <t>邓小平</t>
  </si>
  <si>
    <t>邢錚</t>
  </si>
  <si>
    <t>那嗎B</t>
  </si>
  <si>
    <t>那嗎瘟比</t>
  </si>
  <si>
    <t>那嗎老比</t>
  </si>
  <si>
    <t>那嗎逼</t>
  </si>
  <si>
    <t>那嗎錯比</t>
  </si>
  <si>
    <t>那娘錯比</t>
  </si>
  <si>
    <t>邪教</t>
  </si>
  <si>
    <t>邮政局</t>
  </si>
  <si>
    <t>邾</t>
  </si>
  <si>
    <t>郁慕明</t>
  </si>
  <si>
    <t>郤</t>
  </si>
  <si>
    <t>郭伯雄</t>
  </si>
  <si>
    <t>郭俊銘</t>
  </si>
  <si>
    <t>郭岩華</t>
  </si>
  <si>
    <t>郭羅基</t>
  </si>
  <si>
    <t>鄧笑貧</t>
  </si>
  <si>
    <t>鄭寶清</t>
  </si>
  <si>
    <t>鄭源</t>
  </si>
  <si>
    <t>鄭義</t>
  </si>
  <si>
    <t>鄭運鵬</t>
  </si>
  <si>
    <t>鄭餘鎮</t>
  </si>
  <si>
    <t>鄭麗文</t>
  </si>
  <si>
    <t>鄹</t>
  </si>
  <si>
    <t>鄺錦文</t>
  </si>
  <si>
    <t>酱猪媳</t>
  </si>
  <si>
    <t>醬猪媳</t>
  </si>
  <si>
    <t>釃</t>
  </si>
  <si>
    <t>释迦牟尼</t>
  </si>
  <si>
    <t>里根</t>
  </si>
  <si>
    <t>野鶏</t>
  </si>
  <si>
    <t>金堯如</t>
  </si>
  <si>
    <t>金日成</t>
  </si>
  <si>
    <t>金正恩</t>
  </si>
  <si>
    <t>金正日</t>
  </si>
  <si>
    <t>金澤辰</t>
  </si>
  <si>
    <t>釣魚島</t>
  </si>
  <si>
    <t>鈐</t>
  </si>
  <si>
    <t>銚</t>
  </si>
  <si>
    <t>鋝</t>
  </si>
  <si>
    <t>鋸齒通道被遺弃的骷髏</t>
  </si>
  <si>
    <t>鋸齒通道骷髏</t>
  </si>
  <si>
    <t>錆</t>
  </si>
  <si>
    <t>錢其琛</t>
  </si>
  <si>
    <t>錢國梁</t>
  </si>
  <si>
    <t>錢達</t>
  </si>
  <si>
    <t>錦濤</t>
  </si>
  <si>
    <t>錯B</t>
  </si>
  <si>
    <t>錯比</t>
  </si>
  <si>
    <t>錯逼</t>
  </si>
  <si>
    <t>錯那嗎B</t>
  </si>
  <si>
    <t>錯那嗎比</t>
  </si>
  <si>
    <t>錯那嗎逼</t>
  </si>
  <si>
    <t>鍃</t>
  </si>
  <si>
    <t>鍰</t>
  </si>
  <si>
    <t>鎮壓</t>
  </si>
  <si>
    <t>鏨</t>
  </si>
  <si>
    <t>鐘山風雨論壇</t>
  </si>
  <si>
    <t>鑣</t>
  </si>
  <si>
    <t>钓鱼台</t>
  </si>
  <si>
    <t>钓鱼岛</t>
  </si>
  <si>
    <t>钓鱼岛不属于中国</t>
  </si>
  <si>
    <t>钱其琛</t>
  </si>
  <si>
    <t>铀</t>
  </si>
  <si>
    <t>镇压</t>
  </si>
  <si>
    <t>長官沙塔特</t>
  </si>
  <si>
    <t>開放雜志</t>
  </si>
  <si>
    <t>開苞</t>
  </si>
  <si>
    <t>閶</t>
  </si>
  <si>
    <t>閹狗</t>
  </si>
  <si>
    <t>閻明複</t>
  </si>
  <si>
    <t>閿</t>
  </si>
  <si>
    <t>闃</t>
  </si>
  <si>
    <t>關卓中</t>
  </si>
  <si>
    <t>闞</t>
  </si>
  <si>
    <t>闥</t>
  </si>
  <si>
    <t>阎王</t>
  </si>
  <si>
    <t>阝月</t>
  </si>
  <si>
    <t>防衛指揮官</t>
  </si>
  <si>
    <t>阳具</t>
  </si>
  <si>
    <t>阳物</t>
  </si>
  <si>
    <t>阳痿</t>
  </si>
  <si>
    <t>阳精</t>
  </si>
  <si>
    <t>阴唇</t>
  </si>
  <si>
    <t>阴小撕大</t>
  </si>
  <si>
    <t>阴户</t>
  </si>
  <si>
    <t>阴核</t>
  </si>
  <si>
    <t>阴毛</t>
  </si>
  <si>
    <t>阴水</t>
  </si>
  <si>
    <t>阴茎</t>
  </si>
  <si>
    <t>阴蒂</t>
  </si>
  <si>
    <t>阴道</t>
  </si>
  <si>
    <t>阴部</t>
  </si>
  <si>
    <t>阴门</t>
  </si>
  <si>
    <t>阼</t>
  </si>
  <si>
    <t>阿弥陀佛</t>
  </si>
  <si>
    <t>阿扁</t>
  </si>
  <si>
    <t>阿扁万岁</t>
  </si>
  <si>
    <t>阿扁萬歲</t>
  </si>
  <si>
    <t>阿拉</t>
  </si>
  <si>
    <t>阿拉法特</t>
  </si>
  <si>
    <t>阿罗约</t>
  </si>
  <si>
    <t>阿萊娜</t>
  </si>
  <si>
    <t>陈云</t>
  </si>
  <si>
    <t>陈功</t>
  </si>
  <si>
    <t>陈希同</t>
  </si>
  <si>
    <t>陈晓宁</t>
  </si>
  <si>
    <t>陈毅</t>
  </si>
  <si>
    <t>陈水扁</t>
  </si>
  <si>
    <t>陈独秀</t>
  </si>
  <si>
    <t>陈至立</t>
  </si>
  <si>
    <t>陈良宇</t>
  </si>
  <si>
    <t>降低命中的圖騰</t>
  </si>
  <si>
    <t>陬</t>
  </si>
  <si>
    <t>陰唇</t>
  </si>
  <si>
    <t>陰囊</t>
  </si>
  <si>
    <t>陰戶</t>
  </si>
  <si>
    <t>陰毛</t>
  </si>
  <si>
    <t>陰水</t>
  </si>
  <si>
    <t>陰精</t>
  </si>
  <si>
    <t>陰莖</t>
  </si>
  <si>
    <t>陰蒂</t>
  </si>
  <si>
    <t>陰道</t>
  </si>
  <si>
    <t>陰部</t>
  </si>
  <si>
    <t>陰門</t>
  </si>
  <si>
    <t>陳一諮</t>
  </si>
  <si>
    <t>陳博志</t>
  </si>
  <si>
    <t>陳唐山</t>
  </si>
  <si>
    <t>陳學聖</t>
  </si>
  <si>
    <t>陳定南</t>
  </si>
  <si>
    <t>陳宣良</t>
  </si>
  <si>
    <t>陳小同</t>
  </si>
  <si>
    <t>陳希同</t>
  </si>
  <si>
    <t>陳建銘</t>
  </si>
  <si>
    <t>陳景俊</t>
  </si>
  <si>
    <t>陳水扁</t>
  </si>
  <si>
    <t>陳炳基</t>
  </si>
  <si>
    <t>陳破空</t>
  </si>
  <si>
    <t>陳總統</t>
  </si>
  <si>
    <t>陳良宇</t>
  </si>
  <si>
    <t>陳菊</t>
  </si>
  <si>
    <t>陳蒙</t>
  </si>
  <si>
    <t>陳軍</t>
  </si>
  <si>
    <t>陸委會</t>
  </si>
  <si>
    <t>陽具</t>
  </si>
  <si>
    <t>陽物</t>
  </si>
  <si>
    <t>陽痿</t>
  </si>
  <si>
    <t>隱者之路</t>
  </si>
  <si>
    <t>隹</t>
  </si>
  <si>
    <t>雅蠛蝶</t>
  </si>
  <si>
    <t>雙十節</t>
  </si>
  <si>
    <t>雜種</t>
  </si>
  <si>
    <t>雷尼亞</t>
  </si>
  <si>
    <t>電視流氓</t>
  </si>
  <si>
    <t>青天白日</t>
  </si>
  <si>
    <t>靖国神社</t>
  </si>
  <si>
    <t>靖國神社</t>
  </si>
  <si>
    <t>静坐</t>
  </si>
  <si>
    <t>靠</t>
  </si>
  <si>
    <t>靠你妈</t>
  </si>
  <si>
    <t>靠你媽</t>
  </si>
  <si>
    <t>靠腰</t>
  </si>
  <si>
    <t>革命</t>
  </si>
  <si>
    <t>鞀</t>
  </si>
  <si>
    <t>鞽</t>
  </si>
  <si>
    <t>韉</t>
  </si>
  <si>
    <t>韓東方</t>
  </si>
  <si>
    <t>韓正</t>
  </si>
  <si>
    <t>韓聯潮</t>
  </si>
  <si>
    <t>韝</t>
  </si>
  <si>
    <t>韞</t>
  </si>
  <si>
    <t>項小吉</t>
  </si>
  <si>
    <t>項懷誠</t>
  </si>
  <si>
    <t>頇</t>
  </si>
  <si>
    <t>頊</t>
  </si>
  <si>
    <t>頭領墳墓管理員</t>
  </si>
  <si>
    <t>頭領奧馬</t>
  </si>
  <si>
    <t>顓</t>
  </si>
  <si>
    <t>顔射</t>
  </si>
  <si>
    <t>顔慶章</t>
  </si>
  <si>
    <t>顔清標</t>
  </si>
  <si>
    <t>顥</t>
  </si>
  <si>
    <t>顬</t>
  </si>
  <si>
    <t>颛</t>
  </si>
  <si>
    <t>颜射</t>
  </si>
  <si>
    <t>额尔德尼</t>
  </si>
  <si>
    <t>風雨神州</t>
  </si>
  <si>
    <t>風雨神州論壇</t>
  </si>
  <si>
    <t>颮</t>
  </si>
  <si>
    <t>飛揚論壇</t>
  </si>
  <si>
    <t>食屎</t>
  </si>
  <si>
    <t>食捻屎</t>
  </si>
  <si>
    <t>飫</t>
  </si>
  <si>
    <t>餼</t>
  </si>
  <si>
    <t>馬三家</t>
  </si>
  <si>
    <t>馬克思</t>
  </si>
  <si>
    <t>馬大維</t>
  </si>
  <si>
    <t>馬時敏</t>
  </si>
  <si>
    <t>馬永成</t>
  </si>
  <si>
    <t>馬特斯</t>
  </si>
  <si>
    <t>馬良駿</t>
  </si>
  <si>
    <t>馬英九</t>
  </si>
  <si>
    <t>馮東海</t>
  </si>
  <si>
    <t>馮素英</t>
  </si>
  <si>
    <t>騎你</t>
  </si>
  <si>
    <t>騭</t>
  </si>
  <si>
    <t>騷B</t>
  </si>
  <si>
    <t>騷包</t>
  </si>
  <si>
    <t>騷棍</t>
  </si>
  <si>
    <t>騷棒</t>
  </si>
  <si>
    <t>騷貨</t>
  </si>
  <si>
    <t>騷逼</t>
  </si>
  <si>
    <t>騷鶏</t>
  </si>
  <si>
    <t>驏</t>
  </si>
  <si>
    <t>马克思</t>
  </si>
  <si>
    <t>马加爵</t>
  </si>
  <si>
    <t>马勒戈壁</t>
  </si>
  <si>
    <t>马卖马屁</t>
  </si>
  <si>
    <t>马拉戈壁</t>
  </si>
  <si>
    <t>马的</t>
  </si>
  <si>
    <t>马英九</t>
  </si>
  <si>
    <t>驶你公</t>
  </si>
  <si>
    <t>驶你娘</t>
  </si>
  <si>
    <t>驶你母</t>
  </si>
  <si>
    <t>驶你爸</t>
  </si>
  <si>
    <t>驶你老师</t>
  </si>
  <si>
    <t>驶你老母</t>
  </si>
  <si>
    <t>骑他</t>
  </si>
  <si>
    <t>骑你</t>
  </si>
  <si>
    <t>骑她</t>
  </si>
  <si>
    <t>骚</t>
  </si>
  <si>
    <t>骚B</t>
  </si>
  <si>
    <t>骚货</t>
  </si>
  <si>
    <t>骚逼</t>
  </si>
  <si>
    <t>骡干</t>
  </si>
  <si>
    <t>骨獅</t>
  </si>
  <si>
    <t>高丽朴</t>
  </si>
  <si>
    <t>高丽棒子</t>
  </si>
  <si>
    <t>高俊</t>
  </si>
  <si>
    <t>高文謙</t>
  </si>
  <si>
    <t>高校暴乱</t>
  </si>
  <si>
    <t>高校群体事件</t>
  </si>
  <si>
    <t>高校骚乱</t>
  </si>
  <si>
    <t>高治联</t>
  </si>
  <si>
    <t>高自联</t>
  </si>
  <si>
    <t>高自聯</t>
  </si>
  <si>
    <t>高薪養廉</t>
  </si>
  <si>
    <t>高麗棒子</t>
  </si>
  <si>
    <t>髭</t>
  </si>
  <si>
    <t>鬥士哈夫拉蘇</t>
  </si>
  <si>
    <t>鬥士霍克</t>
  </si>
  <si>
    <t>鬧事</t>
  </si>
  <si>
    <t>鬼村</t>
  </si>
  <si>
    <t>鮐</t>
  </si>
  <si>
    <t>鮑伊</t>
  </si>
  <si>
    <t>鮑彤</t>
  </si>
  <si>
    <t>鮑戈</t>
  </si>
  <si>
    <t>鮞</t>
  </si>
  <si>
    <t>鮪</t>
  </si>
  <si>
    <t>鮮族</t>
  </si>
  <si>
    <t>鯀</t>
  </si>
  <si>
    <t>鯁</t>
  </si>
  <si>
    <t>鯔</t>
  </si>
  <si>
    <t>鯗</t>
  </si>
  <si>
    <t>鯝</t>
  </si>
  <si>
    <t>鯢</t>
  </si>
  <si>
    <t>鯴</t>
  </si>
  <si>
    <t>鰣</t>
  </si>
  <si>
    <t>鰨</t>
  </si>
  <si>
    <t>鰳</t>
  </si>
  <si>
    <t>鰵</t>
  </si>
  <si>
    <t>鰷</t>
  </si>
  <si>
    <t>鰹</t>
  </si>
  <si>
    <t>鱝</t>
  </si>
  <si>
    <t>鱟</t>
  </si>
  <si>
    <t>鱧</t>
  </si>
  <si>
    <t>鱭</t>
  </si>
  <si>
    <t>鲍威尔</t>
  </si>
  <si>
    <t>鲍岳桥</t>
  </si>
  <si>
    <t>鲜族</t>
  </si>
  <si>
    <t>鲰</t>
  </si>
  <si>
    <t>鲻</t>
  </si>
  <si>
    <t>鴟</t>
  </si>
  <si>
    <t>鴰</t>
  </si>
  <si>
    <t>鴿派</t>
  </si>
  <si>
    <t>鵒</t>
  </si>
  <si>
    <t>鶏8</t>
  </si>
  <si>
    <t>鶏八</t>
  </si>
  <si>
    <t>鶏吧</t>
  </si>
  <si>
    <t>鶏女</t>
  </si>
  <si>
    <t>鶏奸</t>
  </si>
  <si>
    <t>鶏巴</t>
  </si>
  <si>
    <t>鶏毛信文匯</t>
  </si>
  <si>
    <t>鶏院</t>
  </si>
  <si>
    <t>鶏鶏</t>
  </si>
  <si>
    <t>鷚</t>
  </si>
  <si>
    <t>鷹眼派氏族</t>
  </si>
  <si>
    <t>鸌</t>
  </si>
  <si>
    <t>鸟GM</t>
  </si>
  <si>
    <t>鸟你</t>
  </si>
  <si>
    <t>鸠</t>
  </si>
  <si>
    <t>鸠屎</t>
  </si>
  <si>
    <t>鸡</t>
  </si>
  <si>
    <t>鸡八</t>
  </si>
  <si>
    <t>鸡叭</t>
  </si>
  <si>
    <t>鸡奸</t>
  </si>
  <si>
    <t>鸡巴</t>
  </si>
  <si>
    <t>鸡掰</t>
  </si>
  <si>
    <t>鸡歪</t>
  </si>
  <si>
    <t>鸡芭</t>
  </si>
  <si>
    <t>鸡鸡</t>
  </si>
  <si>
    <t>鸦片</t>
  </si>
  <si>
    <t>鸦片液</t>
  </si>
  <si>
    <t>鸦片渣</t>
  </si>
  <si>
    <t>鸨</t>
  </si>
  <si>
    <t>鹺</t>
  </si>
  <si>
    <t>麥克斯</t>
  </si>
  <si>
    <t>麦角酸</t>
  </si>
  <si>
    <t>麻醉乙醚</t>
  </si>
  <si>
    <t>麻醉枪</t>
  </si>
  <si>
    <t>麻醉药</t>
  </si>
  <si>
    <t>麻醉钢枪</t>
  </si>
  <si>
    <t>黃仲生</t>
  </si>
  <si>
    <t>黃伯源</t>
  </si>
  <si>
    <t>黃劍輝</t>
  </si>
  <si>
    <t>黃慈萍</t>
  </si>
  <si>
    <t>黃片</t>
  </si>
  <si>
    <t>黃禍</t>
  </si>
  <si>
    <t>黃義交</t>
  </si>
  <si>
    <t>黃翔</t>
  </si>
  <si>
    <t>黃菊</t>
  </si>
  <si>
    <t>黃金幼龍</t>
  </si>
  <si>
    <t>黄　菊</t>
  </si>
  <si>
    <t>黄大仙</t>
  </si>
  <si>
    <t>黄片</t>
  </si>
  <si>
    <t>黄盘</t>
  </si>
  <si>
    <t>黄色</t>
  </si>
  <si>
    <t>黄色小电影</t>
  </si>
  <si>
    <t>黄色电影</t>
  </si>
  <si>
    <t>黄菊</t>
  </si>
  <si>
    <t>黌</t>
  </si>
  <si>
    <t>黎阳评</t>
  </si>
  <si>
    <t>黑手党</t>
  </si>
  <si>
    <t>黑手黨</t>
  </si>
  <si>
    <t>黑白无常</t>
  </si>
  <si>
    <t>黑社会</t>
  </si>
  <si>
    <t>黑社會</t>
  </si>
  <si>
    <t>默克尔</t>
  </si>
  <si>
    <t>黲</t>
  </si>
  <si>
    <t>黽</t>
  </si>
  <si>
    <t>鼉</t>
  </si>
  <si>
    <t>齊墨</t>
  </si>
  <si>
    <t>齊諾</t>
  </si>
  <si>
    <t>齔</t>
  </si>
  <si>
    <t>齟</t>
  </si>
  <si>
    <t>齠</t>
  </si>
  <si>
    <t>齬</t>
  </si>
  <si>
    <t>龍火之心</t>
  </si>
  <si>
    <t>龍虎豹</t>
  </si>
  <si>
    <t>龐建國</t>
  </si>
  <si>
    <t>龙新民</t>
  </si>
  <si>
    <t>龙虎</t>
  </si>
  <si>
    <t>龙虎门</t>
  </si>
  <si>
    <t>龜兒子</t>
  </si>
  <si>
    <t>龜公</t>
  </si>
  <si>
    <t>龜孫子</t>
  </si>
  <si>
    <t>龜投</t>
  </si>
  <si>
    <t>龜頭</t>
  </si>
  <si>
    <t>龟儿子</t>
  </si>
  <si>
    <t>龟公</t>
  </si>
  <si>
    <t>龟头</t>
  </si>
  <si>
    <t>龟孙子</t>
  </si>
  <si>
    <t>ＵＲ</t>
  </si>
  <si>
    <t>CLOSE</t>
  </si>
  <si>
    <t>badword_db</t>
    <phoneticPr fontId="1" type="noConversion"/>
  </si>
  <si>
    <t>trap_db</t>
    <phoneticPr fontId="7" type="noConversion"/>
  </si>
  <si>
    <t>bullet_db</t>
    <phoneticPr fontId="7" type="noConversion"/>
  </si>
  <si>
    <t>skill_db</t>
    <phoneticPr fontId="7" type="noConversion"/>
  </si>
  <si>
    <t>I</t>
  </si>
  <si>
    <t>I</t>
    <phoneticPr fontId="7" type="noConversion"/>
  </si>
  <si>
    <t>体积</t>
    <phoneticPr fontId="7" type="noConversion"/>
  </si>
  <si>
    <t>移动速度</t>
    <phoneticPr fontId="1" type="noConversion"/>
  </si>
  <si>
    <t>检查距离</t>
    <phoneticPr fontId="7" type="noConversion"/>
  </si>
  <si>
    <t>攻击距离</t>
    <phoneticPr fontId="7" type="noConversion"/>
  </si>
  <si>
    <t>能力描述</t>
  </si>
  <si>
    <t>阴影面积大小</t>
  </si>
  <si>
    <t>level</t>
  </si>
  <si>
    <t>reqQuickCnt</t>
  </si>
  <si>
    <t>payId</t>
  </si>
  <si>
    <t>攻击</t>
  </si>
  <si>
    <t>防御</t>
  </si>
  <si>
    <t>回血s</t>
  </si>
  <si>
    <t>命中</t>
  </si>
  <si>
    <t>闪避</t>
  </si>
  <si>
    <t>DATA</t>
    <phoneticPr fontId="1" type="noConversion"/>
  </si>
  <si>
    <t>DATA</t>
    <phoneticPr fontId="7" type="noConversion"/>
  </si>
  <si>
    <t>怪</t>
    <phoneticPr fontId="7" type="noConversion"/>
  </si>
  <si>
    <t>name</t>
    <phoneticPr fontId="7" type="noConversion"/>
  </si>
  <si>
    <t>icon</t>
    <phoneticPr fontId="7" type="noConversion"/>
  </si>
  <si>
    <t>图标</t>
    <phoneticPr fontId="7" type="noConversion"/>
  </si>
  <si>
    <t>upId</t>
    <phoneticPr fontId="7" type="noConversion"/>
  </si>
  <si>
    <t>skills</t>
    <phoneticPr fontId="7" type="noConversion"/>
  </si>
  <si>
    <t>scale</t>
    <phoneticPr fontId="7" type="noConversion"/>
  </si>
  <si>
    <t>speed</t>
    <phoneticPr fontId="1" type="noConversion"/>
  </si>
  <si>
    <t>checkRange</t>
    <phoneticPr fontId="7" type="noConversion"/>
  </si>
  <si>
    <t>attackRange</t>
    <phoneticPr fontId="7" type="noConversion"/>
  </si>
  <si>
    <t>shadowScale</t>
    <phoneticPr fontId="7" type="noConversion"/>
  </si>
  <si>
    <t>技能名</t>
    <phoneticPr fontId="7" type="noConversion"/>
  </si>
  <si>
    <t>描述</t>
    <phoneticPr fontId="7" type="noConversion"/>
  </si>
  <si>
    <t>S</t>
    <phoneticPr fontId="7" type="noConversion"/>
  </si>
  <si>
    <t>S</t>
    <phoneticPr fontId="7" type="noConversion"/>
  </si>
  <si>
    <t>name</t>
    <phoneticPr fontId="7" type="noConversion"/>
  </si>
  <si>
    <t>desc</t>
    <phoneticPr fontId="7" type="noConversion"/>
  </si>
  <si>
    <t>cd</t>
    <phoneticPr fontId="7" type="noConversion"/>
  </si>
  <si>
    <t>伤害比</t>
    <phoneticPr fontId="7" type="noConversion"/>
  </si>
  <si>
    <t>子弹id</t>
    <phoneticPr fontId="7" type="noConversion"/>
  </si>
  <si>
    <t>脚本id</t>
    <phoneticPr fontId="7" type="noConversion"/>
  </si>
  <si>
    <t>冷却时间</t>
    <phoneticPr fontId="7" type="noConversion"/>
  </si>
  <si>
    <t>是否蓄力预警</t>
    <phoneticPr fontId="1" type="noConversion"/>
  </si>
  <si>
    <t>castWarning</t>
    <phoneticPr fontId="1" type="noConversion"/>
  </si>
  <si>
    <t>B</t>
    <phoneticPr fontId="1" type="noConversion"/>
  </si>
  <si>
    <t>I</t>
    <phoneticPr fontId="7" type="noConversion"/>
  </si>
  <si>
    <t>I</t>
    <phoneticPr fontId="7" type="noConversion"/>
  </si>
  <si>
    <t>damage</t>
    <phoneticPr fontId="7" type="noConversion"/>
  </si>
  <si>
    <t>bulletId</t>
    <phoneticPr fontId="7" type="noConversion"/>
  </si>
  <si>
    <t>scriptId</t>
    <phoneticPr fontId="7" type="noConversion"/>
  </si>
  <si>
    <t>distance</t>
    <phoneticPr fontId="7" type="noConversion"/>
  </si>
  <si>
    <t>释放距离</t>
    <phoneticPr fontId="7" type="noConversion"/>
  </si>
  <si>
    <t>I</t>
    <phoneticPr fontId="7" type="noConversion"/>
  </si>
  <si>
    <t>count</t>
    <phoneticPr fontId="7" type="noConversion"/>
  </si>
  <si>
    <t>充能次数</t>
    <phoneticPr fontId="7" type="noConversion"/>
  </si>
  <si>
    <t>sound</t>
    <phoneticPr fontId="7" type="noConversion"/>
  </si>
  <si>
    <t>音效</t>
    <phoneticPr fontId="7" type="noConversion"/>
  </si>
  <si>
    <t>施法时间</t>
    <phoneticPr fontId="7" type="noConversion"/>
  </si>
  <si>
    <t>速度</t>
    <phoneticPr fontId="7" type="noConversion"/>
  </si>
  <si>
    <t>生命时间</t>
    <phoneticPr fontId="7" type="noConversion"/>
  </si>
  <si>
    <t>穿透性</t>
    <phoneticPr fontId="7" type="noConversion"/>
  </si>
  <si>
    <t>伤害范围</t>
    <phoneticPr fontId="7" type="noConversion"/>
  </si>
  <si>
    <t>爆炸时间</t>
    <phoneticPr fontId="7" type="noConversion"/>
  </si>
  <si>
    <t>击中效果</t>
    <phoneticPr fontId="7" type="noConversion"/>
  </si>
  <si>
    <t>speed</t>
    <phoneticPr fontId="7" type="noConversion"/>
  </si>
  <si>
    <t>lifeTime</t>
    <phoneticPr fontId="7" type="noConversion"/>
  </si>
  <si>
    <t>boomTime</t>
    <phoneticPr fontId="7" type="noConversion"/>
  </si>
  <si>
    <t>isPenetrate</t>
    <phoneticPr fontId="7" type="noConversion"/>
  </si>
  <si>
    <t>range</t>
    <phoneticPr fontId="7" type="noConversion"/>
  </si>
  <si>
    <t>hitType</t>
    <phoneticPr fontId="7" type="noConversion"/>
  </si>
  <si>
    <t>I</t>
    <phoneticPr fontId="7" type="noConversion"/>
  </si>
  <si>
    <t>scriptId</t>
    <phoneticPr fontId="7" type="noConversion"/>
  </si>
  <si>
    <t>脚步id</t>
    <phoneticPr fontId="7" type="noConversion"/>
  </si>
  <si>
    <t>S</t>
    <phoneticPr fontId="7" type="noConversion"/>
  </si>
  <si>
    <t>prefab</t>
    <phoneticPr fontId="7" type="noConversion"/>
  </si>
  <si>
    <t>子弹预设</t>
    <phoneticPr fontId="7" type="noConversion"/>
  </si>
  <si>
    <t>DATA</t>
    <phoneticPr fontId="7" type="noConversion"/>
  </si>
  <si>
    <t>Bullet01</t>
  </si>
  <si>
    <t>Effect1</t>
  </si>
  <si>
    <t>I</t>
    <phoneticPr fontId="7" type="noConversion"/>
  </si>
  <si>
    <t>击中参数</t>
    <phoneticPr fontId="7" type="noConversion"/>
  </si>
  <si>
    <t>hitParam</t>
    <phoneticPr fontId="7" type="noConversion"/>
  </si>
  <si>
    <t>主角子弹</t>
    <phoneticPr fontId="7" type="noConversion"/>
  </si>
  <si>
    <t>怪物子弹</t>
    <phoneticPr fontId="7" type="noConversion"/>
  </si>
  <si>
    <t>Bullet02</t>
  </si>
  <si>
    <t>向前飞行</t>
    <phoneticPr fontId="7" type="noConversion"/>
  </si>
  <si>
    <t>向前飞行</t>
    <phoneticPr fontId="7" type="noConversion"/>
  </si>
  <si>
    <t>天降陨石</t>
    <phoneticPr fontId="7" type="noConversion"/>
  </si>
  <si>
    <t>Bullet03</t>
  </si>
  <si>
    <t>hitEffectId</t>
    <phoneticPr fontId="7" type="noConversion"/>
  </si>
  <si>
    <t>击中特效Id</t>
    <phoneticPr fontId="7" type="noConversion"/>
  </si>
  <si>
    <t>主角蓄力子弹</t>
    <phoneticPr fontId="7" type="noConversion"/>
  </si>
  <si>
    <t>Bullet04</t>
    <phoneticPr fontId="7" type="noConversion"/>
  </si>
  <si>
    <t>向前飞行</t>
    <phoneticPr fontId="7" type="noConversion"/>
  </si>
  <si>
    <t>I</t>
    <phoneticPr fontId="7" type="noConversion"/>
  </si>
  <si>
    <t>击中buffId</t>
    <phoneticPr fontId="7" type="noConversion"/>
  </si>
  <si>
    <t>hitTrapId</t>
    <phoneticPr fontId="7" type="noConversion"/>
  </si>
  <si>
    <t>击中生成陷阱</t>
    <phoneticPr fontId="7" type="noConversion"/>
  </si>
  <si>
    <t>DATA</t>
    <phoneticPr fontId="7" type="noConversion"/>
  </si>
  <si>
    <t>effectId</t>
    <phoneticPr fontId="7" type="noConversion"/>
  </si>
  <si>
    <t>施法特效Id</t>
    <phoneticPr fontId="7" type="noConversion"/>
  </si>
  <si>
    <t>给自身加的buff</t>
    <phoneticPr fontId="7" type="noConversion"/>
  </si>
  <si>
    <t>buff时间</t>
    <phoneticPr fontId="7" type="noConversion"/>
  </si>
  <si>
    <t>动作时间</t>
    <phoneticPr fontId="7" type="noConversion"/>
  </si>
  <si>
    <t>selfBuffId</t>
    <phoneticPr fontId="7" type="noConversion"/>
  </si>
  <si>
    <t>selfBuffTime</t>
    <phoneticPr fontId="7" type="noConversion"/>
  </si>
  <si>
    <t>targetBuffId</t>
    <phoneticPr fontId="7" type="noConversion"/>
  </si>
  <si>
    <t>targetBuffTime</t>
    <phoneticPr fontId="7" type="noConversion"/>
  </si>
  <si>
    <t>目标加的buff</t>
    <phoneticPr fontId="7" type="noConversion"/>
  </si>
  <si>
    <t>目标buff时间</t>
    <phoneticPr fontId="7" type="noConversion"/>
  </si>
  <si>
    <t>向前翻滚</t>
    <phoneticPr fontId="7" type="noConversion"/>
  </si>
  <si>
    <t>生成一颗子弹</t>
    <phoneticPr fontId="7" type="noConversion"/>
  </si>
  <si>
    <t>怪物攻击</t>
    <phoneticPr fontId="7" type="noConversion"/>
  </si>
  <si>
    <t>I</t>
    <phoneticPr fontId="7" type="noConversion"/>
  </si>
  <si>
    <t>存在时间</t>
    <phoneticPr fontId="7" type="noConversion"/>
  </si>
  <si>
    <t>被攻击次数</t>
    <phoneticPr fontId="7" type="noConversion"/>
  </si>
  <si>
    <t>lifeTime</t>
    <phoneticPr fontId="7" type="noConversion"/>
  </si>
  <si>
    <t>count</t>
    <phoneticPr fontId="7" type="noConversion"/>
  </si>
  <si>
    <t>I</t>
    <phoneticPr fontId="7" type="noConversion"/>
  </si>
  <si>
    <t>interval</t>
  </si>
  <si>
    <t>间隔</t>
    <phoneticPr fontId="7" type="noConversion"/>
  </si>
  <si>
    <t>I</t>
    <phoneticPr fontId="7" type="noConversion"/>
  </si>
  <si>
    <t>scriptId</t>
    <phoneticPr fontId="7" type="noConversion"/>
  </si>
  <si>
    <t>脚本id</t>
    <phoneticPr fontId="7" type="noConversion"/>
  </si>
  <si>
    <t>prefab</t>
    <phoneticPr fontId="7" type="noConversion"/>
  </si>
  <si>
    <t>预设</t>
    <phoneticPr fontId="7" type="noConversion"/>
  </si>
  <si>
    <t>时间</t>
    <phoneticPr fontId="7" type="noConversion"/>
  </si>
  <si>
    <t>间隔</t>
    <phoneticPr fontId="7" type="noConversion"/>
  </si>
  <si>
    <t>I</t>
    <phoneticPr fontId="7" type="noConversion"/>
  </si>
  <si>
    <t>effectId</t>
    <phoneticPr fontId="7" type="noConversion"/>
  </si>
  <si>
    <t>特效id</t>
    <phoneticPr fontId="7" type="noConversion"/>
  </si>
  <si>
    <t>I</t>
    <phoneticPr fontId="7" type="noConversion"/>
  </si>
  <si>
    <t>脚本id</t>
    <phoneticPr fontId="7" type="noConversion"/>
  </si>
  <si>
    <t>buff_db</t>
    <phoneticPr fontId="7" type="noConversion"/>
  </si>
  <si>
    <t>buffTime</t>
    <phoneticPr fontId="7" type="noConversion"/>
  </si>
  <si>
    <t>DATA</t>
    <phoneticPr fontId="7" type="noConversion"/>
  </si>
  <si>
    <t>S</t>
    <phoneticPr fontId="7" type="noConversion"/>
  </si>
  <si>
    <t>prefab</t>
    <phoneticPr fontId="7" type="noConversion"/>
  </si>
  <si>
    <t>time</t>
    <phoneticPr fontId="7" type="noConversion"/>
  </si>
  <si>
    <t>预设</t>
    <phoneticPr fontId="7" type="noConversion"/>
  </si>
  <si>
    <t>Effect2</t>
  </si>
  <si>
    <t>Effect3</t>
  </si>
  <si>
    <t>Effect4</t>
  </si>
  <si>
    <t>Effect5</t>
  </si>
  <si>
    <t>Effect6</t>
  </si>
  <si>
    <t>Effect7</t>
  </si>
  <si>
    <t>DATA</t>
    <phoneticPr fontId="7" type="noConversion"/>
  </si>
  <si>
    <t>攻击点生成一个子弹</t>
    <phoneticPr fontId="7" type="noConversion"/>
  </si>
  <si>
    <t>prefab</t>
    <phoneticPr fontId="7" type="noConversion"/>
  </si>
  <si>
    <t>effect_db</t>
    <phoneticPr fontId="7" type="noConversion"/>
  </si>
  <si>
    <t>DATA</t>
    <phoneticPr fontId="7" type="noConversion"/>
  </si>
  <si>
    <t>DATA</t>
    <phoneticPr fontId="7" type="noConversion"/>
  </si>
  <si>
    <t>I</t>
    <phoneticPr fontId="7" type="noConversion"/>
  </si>
  <si>
    <t>类型</t>
    <phoneticPr fontId="7" type="noConversion"/>
  </si>
  <si>
    <t>I</t>
    <phoneticPr fontId="7" type="noConversion"/>
  </si>
  <si>
    <t>totalTime</t>
    <phoneticPr fontId="7" type="noConversion"/>
  </si>
  <si>
    <t>IT</t>
    <phoneticPr fontId="7" type="noConversion"/>
  </si>
  <si>
    <t>0.35;0.35</t>
    <phoneticPr fontId="7" type="noConversion"/>
  </si>
  <si>
    <t>atkStage</t>
    <phoneticPr fontId="1" type="noConversion"/>
  </si>
  <si>
    <t>普通攻击段数</t>
    <phoneticPr fontId="1" type="noConversion"/>
  </si>
  <si>
    <t>I</t>
    <phoneticPr fontId="7" type="noConversion"/>
  </si>
  <si>
    <t>atkStageTime</t>
    <phoneticPr fontId="7" type="noConversion"/>
  </si>
  <si>
    <t>攻击段数重置时间</t>
    <phoneticPr fontId="1" type="noConversion"/>
  </si>
  <si>
    <t>trapId</t>
    <phoneticPr fontId="7" type="noConversion"/>
  </si>
  <si>
    <t>陷阱id</t>
    <phoneticPr fontId="7" type="noConversion"/>
  </si>
  <si>
    <t>宠物吐火</t>
    <phoneticPr fontId="7" type="noConversion"/>
  </si>
  <si>
    <t>Bullet05</t>
    <phoneticPr fontId="7" type="noConversion"/>
  </si>
  <si>
    <t>Effect8</t>
  </si>
  <si>
    <t>0.7;0.2;0.2;0.2;0.2</t>
    <phoneticPr fontId="7" type="noConversion"/>
  </si>
  <si>
    <t>I</t>
    <phoneticPr fontId="7" type="noConversion"/>
  </si>
  <si>
    <t>transformerId</t>
    <phoneticPr fontId="7" type="noConversion"/>
  </si>
  <si>
    <t>机甲id</t>
    <phoneticPr fontId="7" type="noConversion"/>
  </si>
  <si>
    <t>boxRadius</t>
    <phoneticPr fontId="7" type="noConversion"/>
  </si>
  <si>
    <t>boxHeight</t>
    <phoneticPr fontId="7" type="noConversion"/>
  </si>
  <si>
    <t>碰撞体半径</t>
    <phoneticPr fontId="7" type="noConversion"/>
  </si>
  <si>
    <t>碰撞体高度</t>
    <phoneticPr fontId="7" type="noConversion"/>
  </si>
  <si>
    <t>I</t>
    <phoneticPr fontId="7" type="noConversion"/>
  </si>
  <si>
    <t>transformerTime</t>
    <phoneticPr fontId="7" type="noConversion"/>
  </si>
  <si>
    <t>机甲时间</t>
    <phoneticPr fontId="7" type="noConversion"/>
  </si>
  <si>
    <t>释放超级大招</t>
    <phoneticPr fontId="7" type="noConversion"/>
  </si>
  <si>
    <t>天降陨石2</t>
    <phoneticPr fontId="7" type="noConversion"/>
  </si>
  <si>
    <t>陨石</t>
    <phoneticPr fontId="7" type="noConversion"/>
  </si>
  <si>
    <t>DATA</t>
    <phoneticPr fontId="7" type="noConversion"/>
  </si>
  <si>
    <t>I</t>
    <phoneticPr fontId="7" type="noConversion"/>
  </si>
  <si>
    <t>技能位置</t>
    <phoneticPr fontId="7" type="noConversion"/>
  </si>
  <si>
    <t>index</t>
    <phoneticPr fontId="7" type="noConversion"/>
  </si>
  <si>
    <t>DATA</t>
    <phoneticPr fontId="7" type="noConversion"/>
  </si>
  <si>
    <t>BOSS</t>
    <phoneticPr fontId="7" type="noConversion"/>
  </si>
  <si>
    <t xml:space="preserve">boss1 atk1 </t>
    <phoneticPr fontId="7" type="noConversion"/>
  </si>
  <si>
    <t>I</t>
    <phoneticPr fontId="7" type="noConversion"/>
  </si>
  <si>
    <t>beforeTime</t>
    <phoneticPr fontId="7" type="noConversion"/>
  </si>
  <si>
    <t>前摇时间</t>
    <phoneticPr fontId="7" type="noConversion"/>
  </si>
  <si>
    <t>warningType</t>
    <phoneticPr fontId="7" type="noConversion"/>
  </si>
  <si>
    <t>预警类型</t>
    <phoneticPr fontId="7" type="noConversion"/>
  </si>
  <si>
    <t>warningScale</t>
    <phoneticPr fontId="7" type="noConversion"/>
  </si>
  <si>
    <t>0.47;0.24</t>
    <phoneticPr fontId="7" type="noConversion"/>
  </si>
  <si>
    <t>boss1 atk2</t>
  </si>
  <si>
    <t>boss1 atk3</t>
  </si>
  <si>
    <t>boss1 atk4</t>
  </si>
  <si>
    <t>boss1 atk5</t>
  </si>
  <si>
    <t>0.6;0.25</t>
    <phoneticPr fontId="7" type="noConversion"/>
  </si>
  <si>
    <t>0.4;0.2;0.2;0.2;0.2</t>
    <phoneticPr fontId="7" type="noConversion"/>
  </si>
  <si>
    <t>Boss</t>
    <phoneticPr fontId="7" type="noConversion"/>
  </si>
  <si>
    <t>DATA</t>
    <phoneticPr fontId="7" type="noConversion"/>
  </si>
  <si>
    <t>mecha_01_atk_shengshang</t>
    <phoneticPr fontId="7" type="noConversion"/>
  </si>
  <si>
    <t>DATA</t>
    <phoneticPr fontId="7" type="noConversion"/>
  </si>
  <si>
    <t>BUFF_hudun_bao</t>
  </si>
  <si>
    <t>E_boss_01_zhadan_bao</t>
  </si>
  <si>
    <t>E_boss_01_atk01</t>
  </si>
  <si>
    <t>E_boss_01_atk02</t>
  </si>
  <si>
    <t>E_boss_01_atk03</t>
  </si>
  <si>
    <t>E_boss_01_atk04</t>
  </si>
  <si>
    <t>E_boss_01_atk05</t>
  </si>
  <si>
    <t>E_boss_01_zidan</t>
  </si>
  <si>
    <t>E_boss_01_zhadan</t>
  </si>
  <si>
    <t>Pet</t>
    <phoneticPr fontId="7" type="noConversion"/>
  </si>
  <si>
    <t>Monster</t>
    <phoneticPr fontId="7" type="noConversion"/>
  </si>
  <si>
    <t>Hero</t>
    <phoneticPr fontId="7" type="noConversion"/>
  </si>
  <si>
    <t>I</t>
    <phoneticPr fontId="7" type="noConversion"/>
  </si>
  <si>
    <t>startEffectId</t>
    <phoneticPr fontId="7" type="noConversion"/>
  </si>
  <si>
    <t>开始特效</t>
    <phoneticPr fontId="7" type="noConversion"/>
  </si>
  <si>
    <t>小怪</t>
    <phoneticPr fontId="1" type="noConversion"/>
  </si>
  <si>
    <t>Boss</t>
    <phoneticPr fontId="1" type="noConversion"/>
  </si>
  <si>
    <t>E_boss_01_hit</t>
  </si>
  <si>
    <t>抛物线？</t>
    <phoneticPr fontId="7" type="noConversion"/>
  </si>
  <si>
    <t>冲锋后攻击</t>
    <phoneticPr fontId="7" type="noConversion"/>
  </si>
  <si>
    <t>后跳后发射子弹</t>
    <phoneticPr fontId="7" type="noConversion"/>
  </si>
  <si>
    <t>朝向目标发射子弹</t>
    <phoneticPr fontId="7" type="noConversion"/>
  </si>
  <si>
    <t>E_lead_01_change</t>
  </si>
  <si>
    <t>0.5;0.1;0.1;0.1;0.1;0.1;0.1;0.1;0.1;0.1</t>
    <phoneticPr fontId="7" type="noConversion"/>
  </si>
  <si>
    <t>I</t>
    <phoneticPr fontId="7" type="noConversion"/>
  </si>
  <si>
    <t>cameraEffect</t>
    <phoneticPr fontId="7" type="noConversion"/>
  </si>
  <si>
    <t>镜头特效</t>
    <phoneticPr fontId="7" type="noConversion"/>
  </si>
  <si>
    <t>I</t>
    <phoneticPr fontId="7" type="noConversion"/>
  </si>
  <si>
    <t>cameraTime</t>
    <phoneticPr fontId="7" type="noConversion"/>
  </si>
  <si>
    <t>镜头特效时间</t>
    <phoneticPr fontId="7" type="noConversion"/>
  </si>
  <si>
    <t>T</t>
    <phoneticPr fontId="7" type="noConversion"/>
  </si>
  <si>
    <t>aiSkill</t>
    <phoneticPr fontId="7" type="noConversion"/>
  </si>
  <si>
    <t>{}</t>
    <phoneticPr fontId="7" type="noConversion"/>
  </si>
  <si>
    <t>I</t>
    <phoneticPr fontId="7" type="noConversion"/>
  </si>
  <si>
    <t>effectStartTime</t>
    <phoneticPr fontId="7" type="noConversion"/>
  </si>
  <si>
    <t>特效开始时间</t>
    <phoneticPr fontId="7" type="noConversion"/>
  </si>
  <si>
    <t>I</t>
    <phoneticPr fontId="7" type="noConversion"/>
  </si>
  <si>
    <t>前摇特效</t>
    <phoneticPr fontId="7" type="noConversion"/>
  </si>
  <si>
    <t>beforeEffectId</t>
    <phoneticPr fontId="7" type="noConversion"/>
  </si>
  <si>
    <t>{{id=0,hp=100,rate=10000}}</t>
    <phoneticPr fontId="7" type="noConversion"/>
  </si>
  <si>
    <t>0.16;0.26;0.26;0.26;0.3;0.3;0.3;0.3;0.3;0.3</t>
  </si>
  <si>
    <t>E_boss_01_ready</t>
  </si>
  <si>
    <t>DATA</t>
    <phoneticPr fontId="7" type="noConversion"/>
  </si>
  <si>
    <t>I</t>
    <phoneticPr fontId="7" type="noConversion"/>
  </si>
  <si>
    <t>动作</t>
    <phoneticPr fontId="7" type="noConversion"/>
  </si>
  <si>
    <t>beforeAction</t>
    <phoneticPr fontId="7" type="noConversion"/>
  </si>
  <si>
    <t>castAction</t>
    <phoneticPr fontId="7" type="noConversion"/>
  </si>
  <si>
    <t>前摇动作</t>
    <phoneticPr fontId="7" type="noConversion"/>
  </si>
  <si>
    <t>主角龙普通3攻击3</t>
  </si>
  <si>
    <t>DATA</t>
    <phoneticPr fontId="7" type="noConversion"/>
  </si>
  <si>
    <t>DATA</t>
    <phoneticPr fontId="7" type="noConversion"/>
  </si>
  <si>
    <t>E_lead_02_atk01</t>
  </si>
  <si>
    <t>E_lead_02_atk05</t>
  </si>
  <si>
    <t>E_lead_02_atk09</t>
  </si>
  <si>
    <t>DATA</t>
    <phoneticPr fontId="7" type="noConversion"/>
  </si>
  <si>
    <t>E_lead_02_skill_hit</t>
  </si>
  <si>
    <t>E_lead_02_dodge</t>
    <phoneticPr fontId="7" type="noConversion"/>
  </si>
  <si>
    <t>0.4;0.4</t>
    <phoneticPr fontId="7" type="noConversion"/>
  </si>
  <si>
    <t>0.4;0.4</t>
    <phoneticPr fontId="7" type="noConversion"/>
  </si>
  <si>
    <t>0.4;0.4;0.4;0.4</t>
    <phoneticPr fontId="7" type="noConversion"/>
  </si>
  <si>
    <t>hero2_bullet</t>
  </si>
  <si>
    <t>E_lead_02_02_shengshang</t>
  </si>
  <si>
    <t>E_lead_02_03_shengshang</t>
  </si>
  <si>
    <t>E_lead_02_atk02</t>
    <phoneticPr fontId="7" type="noConversion"/>
  </si>
  <si>
    <t>E_lead_02_atk03</t>
    <phoneticPr fontId="7" type="noConversion"/>
  </si>
  <si>
    <t>E_lead_02_atk04</t>
    <phoneticPr fontId="7" type="noConversion"/>
  </si>
  <si>
    <t>E_lead_02_atk06</t>
    <phoneticPr fontId="7" type="noConversion"/>
  </si>
  <si>
    <t>E_lead_02_atk07</t>
    <phoneticPr fontId="7" type="noConversion"/>
  </si>
  <si>
    <t>E_lead_02_atk08</t>
    <phoneticPr fontId="7" type="noConversion"/>
  </si>
  <si>
    <t>1105;1106;1101;1102;1103;1104</t>
    <phoneticPr fontId="7" type="noConversion"/>
  </si>
  <si>
    <t>1107;1108;1101;1102;1103;1104</t>
    <phoneticPr fontId="7" type="noConversion"/>
  </si>
  <si>
    <t>1109;1110;1101;1102;1103;1104</t>
    <phoneticPr fontId="7" type="noConversion"/>
  </si>
  <si>
    <t>1205;1206;1207;1201;1202;1203;1204</t>
    <phoneticPr fontId="7" type="noConversion"/>
  </si>
  <si>
    <t>龙翻滚</t>
  </si>
  <si>
    <t>技能</t>
  </si>
  <si>
    <t>变身</t>
  </si>
  <si>
    <t>机甲技能</t>
  </si>
  <si>
    <t>主角龙普通1攻击1</t>
  </si>
  <si>
    <t>主角龙普通1攻击2</t>
  </si>
  <si>
    <t>主角龙普通2攻击1</t>
  </si>
  <si>
    <t>主角龙普通2攻击2</t>
  </si>
  <si>
    <t>主角龙普通3攻击1</t>
  </si>
  <si>
    <t>主角龙普通3攻击2</t>
  </si>
  <si>
    <t>主角龙普通1攻击3</t>
  </si>
  <si>
    <t>主角龙普通2攻击3</t>
  </si>
  <si>
    <t>雷古曼</t>
    <phoneticPr fontId="7" type="noConversion"/>
  </si>
  <si>
    <t>加比纳</t>
    <phoneticPr fontId="7" type="noConversion"/>
  </si>
  <si>
    <t>吉亚多</t>
    <phoneticPr fontId="7" type="noConversion"/>
  </si>
  <si>
    <t>卡维力</t>
    <phoneticPr fontId="7" type="noConversion"/>
  </si>
  <si>
    <t>5101;5102;5103;5104;5105</t>
    <phoneticPr fontId="7" type="noConversion"/>
  </si>
  <si>
    <t>跳起朝前使劲爪击，爪子用力过猛插入地下，使劲拔起后仰倒下1秒</t>
  </si>
  <si>
    <t>朝前方持续发射大量火球弹幕（持续3秒）</t>
  </si>
  <si>
    <t>朝前冲刺一段距离后进行两次爪击</t>
    <phoneticPr fontId="7" type="noConversion"/>
  </si>
  <si>
    <t>向后跳跃一段距离，再左右进行两次爪击发出两发弹幕。</t>
    <phoneticPr fontId="7" type="noConversion"/>
  </si>
  <si>
    <t>丢出多个炸弹在地上，隔3秒后自动爆炸。</t>
    <phoneticPr fontId="7" type="noConversion"/>
  </si>
  <si>
    <t>主角激光子弹</t>
    <phoneticPr fontId="7" type="noConversion"/>
  </si>
  <si>
    <t>I</t>
    <phoneticPr fontId="7" type="noConversion"/>
  </si>
  <si>
    <t>shakeStart</t>
    <phoneticPr fontId="7" type="noConversion"/>
  </si>
  <si>
    <t>开始抖屏时间</t>
    <phoneticPr fontId="7" type="noConversion"/>
  </si>
  <si>
    <t>抖动时间</t>
  </si>
  <si>
    <t>抖动时间</t>
    <phoneticPr fontId="7" type="noConversion"/>
  </si>
  <si>
    <t>抖动强度</t>
  </si>
  <si>
    <t>抖动强度</t>
    <phoneticPr fontId="7" type="noConversion"/>
  </si>
  <si>
    <t>I</t>
    <phoneticPr fontId="7" type="noConversion"/>
  </si>
  <si>
    <t>shakeTime</t>
    <phoneticPr fontId="7" type="noConversion"/>
  </si>
  <si>
    <t>shakeIntensity</t>
  </si>
  <si>
    <t>shakeIntensity</t>
    <phoneticPr fontId="7" type="noConversion"/>
  </si>
  <si>
    <t>shakeTime</t>
    <phoneticPr fontId="7" type="noConversion"/>
  </si>
  <si>
    <t>DATA</t>
    <phoneticPr fontId="7" type="noConversion"/>
  </si>
  <si>
    <t>BUFF_jiasu</t>
  </si>
  <si>
    <t>E_pet_02_atk01_hit</t>
  </si>
  <si>
    <t>E_pet_02_atk02</t>
    <phoneticPr fontId="7" type="noConversion"/>
  </si>
  <si>
    <t>E_pet_02_atk03</t>
  </si>
  <si>
    <t>E_pet_03_atk01_hit</t>
  </si>
  <si>
    <t>宠物2子弹</t>
    <phoneticPr fontId="7" type="noConversion"/>
  </si>
  <si>
    <t>宠物2滚</t>
    <phoneticPr fontId="7" type="noConversion"/>
  </si>
  <si>
    <t>宠物3子弹</t>
    <phoneticPr fontId="7" type="noConversion"/>
  </si>
  <si>
    <t>E_pet_02_atk01_zidan</t>
  </si>
  <si>
    <t>E_pet_03_atk01_zidan</t>
  </si>
  <si>
    <t>castTime</t>
    <phoneticPr fontId="7" type="noConversion"/>
  </si>
  <si>
    <t>技能</t>
    <phoneticPr fontId="7" type="noConversion"/>
  </si>
  <si>
    <t>mecha_01_atk</t>
    <phoneticPr fontId="7" type="noConversion"/>
  </si>
  <si>
    <t>hitBuffId</t>
    <phoneticPr fontId="7" type="noConversion"/>
  </si>
  <si>
    <t>怪物1攻击</t>
    <phoneticPr fontId="7" type="noConversion"/>
  </si>
  <si>
    <t>怪物2攻击</t>
    <phoneticPr fontId="7" type="noConversion"/>
  </si>
  <si>
    <t>怪物3攻击</t>
    <phoneticPr fontId="7" type="noConversion"/>
  </si>
  <si>
    <t>宠物2 滚</t>
    <phoneticPr fontId="7" type="noConversion"/>
  </si>
  <si>
    <t>宠物2 加速</t>
    <phoneticPr fontId="7" type="noConversion"/>
  </si>
  <si>
    <t>宠物3攻击</t>
    <phoneticPr fontId="7" type="noConversion"/>
  </si>
  <si>
    <t>宠物2 攻击</t>
    <phoneticPr fontId="7" type="noConversion"/>
  </si>
  <si>
    <t>宠物1 攻击</t>
    <phoneticPr fontId="7" type="noConversion"/>
  </si>
  <si>
    <t>宠物1 吸怪吐火</t>
    <phoneticPr fontId="7" type="noConversion"/>
  </si>
  <si>
    <t>宠物1 加盾</t>
    <phoneticPr fontId="7" type="noConversion"/>
  </si>
  <si>
    <t xml:space="preserve">宠物3 </t>
    <phoneticPr fontId="7" type="noConversion"/>
  </si>
  <si>
    <t xml:space="preserve">宠物3 </t>
    <phoneticPr fontId="7" type="noConversion"/>
  </si>
  <si>
    <t>加速 lv1</t>
    <phoneticPr fontId="7" type="noConversion"/>
  </si>
  <si>
    <t>变大，无敌 lv1</t>
    <phoneticPr fontId="7" type="noConversion"/>
  </si>
  <si>
    <t>1305;1306;1301;1302;1303;1304</t>
    <phoneticPr fontId="7" type="noConversion"/>
  </si>
  <si>
    <t>1307;1308;1301;1302;1303;1304</t>
    <phoneticPr fontId="7" type="noConversion"/>
  </si>
  <si>
    <t>1309;1310;1301;1302;1303;1304</t>
    <phoneticPr fontId="7" type="noConversion"/>
  </si>
  <si>
    <t>E_lead_03_atk01_01</t>
  </si>
  <si>
    <t>主角3子弹</t>
    <phoneticPr fontId="7" type="noConversion"/>
  </si>
  <si>
    <t>主角3蓄力子弹</t>
    <phoneticPr fontId="7" type="noConversion"/>
  </si>
  <si>
    <t>E_lead_03_atk01_02</t>
  </si>
  <si>
    <t>E_lead_03_atk02_kaishi</t>
  </si>
  <si>
    <t>主角3保护罩</t>
    <phoneticPr fontId="7" type="noConversion"/>
  </si>
  <si>
    <t>E_lead_03_atk02</t>
  </si>
  <si>
    <t>E_lead_03_atk02_shengshang</t>
  </si>
  <si>
    <t>E_lead_03_atk_hit</t>
  </si>
  <si>
    <t>减速 lv1</t>
    <phoneticPr fontId="7" type="noConversion"/>
  </si>
  <si>
    <t>I</t>
    <phoneticPr fontId="7" type="noConversion"/>
  </si>
  <si>
    <t>buffId</t>
    <phoneticPr fontId="7" type="noConversion"/>
  </si>
  <si>
    <t>击中生成buff</t>
    <phoneticPr fontId="7" type="noConversion"/>
  </si>
  <si>
    <t>buffTime</t>
    <phoneticPr fontId="7" type="noConversion"/>
  </si>
  <si>
    <t>buff时间</t>
    <phoneticPr fontId="7" type="noConversion"/>
  </si>
  <si>
    <t>宠物3技能</t>
    <phoneticPr fontId="7" type="noConversion"/>
  </si>
  <si>
    <t>宠物3 变大</t>
    <phoneticPr fontId="7" type="noConversion"/>
  </si>
  <si>
    <t>宠物3 技能</t>
    <phoneticPr fontId="7" type="noConversion"/>
  </si>
  <si>
    <t>翻滚冲撞</t>
    <phoneticPr fontId="7" type="noConversion"/>
  </si>
  <si>
    <t>E_lead_03_atk01_02shengshang</t>
  </si>
  <si>
    <t>E_lead_03_dodge</t>
  </si>
  <si>
    <t>召唤物id</t>
    <phoneticPr fontId="7" type="noConversion"/>
  </si>
  <si>
    <t>DATA</t>
    <phoneticPr fontId="7" type="noConversion"/>
  </si>
  <si>
    <t>召唤物</t>
    <phoneticPr fontId="7" type="noConversion"/>
  </si>
  <si>
    <t>炮塔</t>
    <phoneticPr fontId="7" type="noConversion"/>
  </si>
  <si>
    <t>S</t>
    <phoneticPr fontId="7" type="noConversion"/>
  </si>
  <si>
    <t>附加预设</t>
    <phoneticPr fontId="7" type="noConversion"/>
  </si>
  <si>
    <t>addPrefab</t>
    <phoneticPr fontId="7" type="noConversion"/>
  </si>
  <si>
    <t>没有不填</t>
    <phoneticPr fontId="7" type="noConversion"/>
  </si>
  <si>
    <t>{{id=10001,hp=100,rate=1}}</t>
    <phoneticPr fontId="7" type="noConversion"/>
  </si>
  <si>
    <t>summonedId</t>
    <phoneticPr fontId="7" type="noConversion"/>
  </si>
  <si>
    <t>I</t>
    <phoneticPr fontId="7" type="noConversion"/>
  </si>
  <si>
    <t>summonedTime</t>
    <phoneticPr fontId="7" type="noConversion"/>
  </si>
  <si>
    <t>召唤时间</t>
    <phoneticPr fontId="7" type="noConversion"/>
  </si>
  <si>
    <t>type</t>
    <phoneticPr fontId="7" type="noConversion"/>
  </si>
  <si>
    <t>炮塔 攻击</t>
    <phoneticPr fontId="7" type="noConversion"/>
  </si>
  <si>
    <t>炮塔</t>
    <phoneticPr fontId="7" type="noConversion"/>
  </si>
  <si>
    <t>E_lead_02_skill_zidan</t>
  </si>
  <si>
    <t>E_lead_02_skill_ta</t>
  </si>
  <si>
    <t>召唤弹</t>
    <phoneticPr fontId="7" type="noConversion"/>
  </si>
  <si>
    <t>召唤物</t>
    <phoneticPr fontId="7" type="noConversion"/>
  </si>
  <si>
    <t>指令</t>
    <phoneticPr fontId="1" type="noConversion"/>
  </si>
  <si>
    <t>参数</t>
    <phoneticPr fontId="1" type="noConversion"/>
  </si>
  <si>
    <t>CREATE</t>
    <phoneticPr fontId="1" type="noConversion"/>
  </si>
  <si>
    <t>up_db</t>
    <phoneticPr fontId="1" type="noConversion"/>
  </si>
  <si>
    <t>FLDTYPE</t>
    <phoneticPr fontId="1" type="noConversion"/>
  </si>
  <si>
    <t>S</t>
    <phoneticPr fontId="1" type="noConversion"/>
  </si>
  <si>
    <t>I</t>
    <phoneticPr fontId="1" type="noConversion"/>
  </si>
  <si>
    <t>FLDNAME</t>
    <phoneticPr fontId="1" type="noConversion"/>
  </si>
  <si>
    <t>upId</t>
    <phoneticPr fontId="1" type="noConversion"/>
  </si>
  <si>
    <t>name</t>
    <phoneticPr fontId="1" type="noConversion"/>
  </si>
  <si>
    <t>desc</t>
    <phoneticPr fontId="1" type="noConversion"/>
  </si>
  <si>
    <t>reqId</t>
    <phoneticPr fontId="1" type="noConversion"/>
  </si>
  <si>
    <t>reqCnt</t>
    <phoneticPr fontId="1" type="noConversion"/>
  </si>
  <si>
    <t>reqQuickId</t>
    <phoneticPr fontId="1" type="noConversion"/>
  </si>
  <si>
    <t>atk</t>
    <phoneticPr fontId="1" type="noConversion"/>
  </si>
  <si>
    <t>def</t>
    <phoneticPr fontId="1" type="noConversion"/>
  </si>
  <si>
    <t>maxHp</t>
    <phoneticPr fontId="1" type="noConversion"/>
  </si>
  <si>
    <t>maxMp</t>
    <phoneticPr fontId="1" type="noConversion"/>
  </si>
  <si>
    <t>crit</t>
    <phoneticPr fontId="1" type="noConversion"/>
  </si>
  <si>
    <t>critDamage</t>
    <phoneticPr fontId="1" type="noConversion"/>
  </si>
  <si>
    <t>regenHp</t>
    <phoneticPr fontId="1" type="noConversion"/>
  </si>
  <si>
    <t>regenMp</t>
    <phoneticPr fontId="1" type="noConversion"/>
  </si>
  <si>
    <t>hit</t>
    <phoneticPr fontId="1" type="noConversion"/>
  </si>
  <si>
    <t>flee</t>
    <phoneticPr fontId="1" type="noConversion"/>
  </si>
  <si>
    <t>养成id</t>
    <phoneticPr fontId="1" type="noConversion"/>
  </si>
  <si>
    <t>等级</t>
    <phoneticPr fontId="1" type="noConversion"/>
  </si>
  <si>
    <t>名称</t>
    <phoneticPr fontId="1" type="noConversion"/>
  </si>
  <si>
    <t>描述</t>
    <phoneticPr fontId="1" type="noConversion"/>
  </si>
  <si>
    <t>生命值</t>
    <phoneticPr fontId="1" type="noConversion"/>
  </si>
  <si>
    <t>魔法值</t>
    <phoneticPr fontId="1" type="noConversion"/>
  </si>
  <si>
    <t>暴击率（万分比）</t>
    <phoneticPr fontId="1" type="noConversion"/>
  </si>
  <si>
    <t>暴击伤害</t>
    <phoneticPr fontId="1" type="noConversion"/>
  </si>
  <si>
    <t>回蓝s</t>
    <phoneticPr fontId="1" type="noConversion"/>
  </si>
  <si>
    <t>DATA</t>
    <phoneticPr fontId="1" type="noConversion"/>
  </si>
  <si>
    <t>雷古曼</t>
    <phoneticPr fontId="1" type="noConversion"/>
  </si>
  <si>
    <t>主角1-1</t>
    <phoneticPr fontId="1" type="noConversion"/>
  </si>
  <si>
    <t>DATA</t>
    <phoneticPr fontId="1" type="noConversion"/>
  </si>
  <si>
    <t>DATA</t>
    <phoneticPr fontId="1" type="noConversion"/>
  </si>
  <si>
    <t>DATA</t>
    <phoneticPr fontId="1" type="noConversion"/>
  </si>
  <si>
    <t>DATA</t>
    <phoneticPr fontId="1" type="noConversion"/>
  </si>
  <si>
    <t>DATA</t>
    <phoneticPr fontId="1" type="noConversion"/>
  </si>
  <si>
    <t>主角1-2</t>
    <phoneticPr fontId="1" type="noConversion"/>
  </si>
  <si>
    <t>DATA</t>
    <phoneticPr fontId="1" type="noConversion"/>
  </si>
  <si>
    <t>DATA</t>
    <phoneticPr fontId="1" type="noConversion"/>
  </si>
  <si>
    <t>主角1-3</t>
    <phoneticPr fontId="1" type="noConversion"/>
  </si>
  <si>
    <t>加比纳</t>
    <phoneticPr fontId="1" type="noConversion"/>
  </si>
  <si>
    <t>主角2-1</t>
    <phoneticPr fontId="1" type="noConversion"/>
  </si>
  <si>
    <t>主角2-2</t>
    <phoneticPr fontId="1" type="noConversion"/>
  </si>
  <si>
    <t>主角2-3</t>
    <phoneticPr fontId="1" type="noConversion"/>
  </si>
  <si>
    <t>吉亚多</t>
    <phoneticPr fontId="1" type="noConversion"/>
  </si>
  <si>
    <t>主角3-1</t>
    <phoneticPr fontId="1" type="noConversion"/>
  </si>
  <si>
    <t>主角3-2</t>
    <phoneticPr fontId="1" type="noConversion"/>
  </si>
  <si>
    <t>主角3-3</t>
    <phoneticPr fontId="1" type="noConversion"/>
  </si>
  <si>
    <t>森美拉</t>
    <phoneticPr fontId="1" type="noConversion"/>
  </si>
  <si>
    <t>主角4-1</t>
    <phoneticPr fontId="1" type="noConversion"/>
  </si>
  <si>
    <t>主角4-2</t>
    <phoneticPr fontId="1" type="noConversion"/>
  </si>
  <si>
    <t>主角4-3</t>
    <phoneticPr fontId="1" type="noConversion"/>
  </si>
  <si>
    <t>索里</t>
    <phoneticPr fontId="1" type="noConversion"/>
  </si>
  <si>
    <t>主角5-1</t>
    <phoneticPr fontId="1" type="noConversion"/>
  </si>
  <si>
    <t>主角5-2</t>
    <phoneticPr fontId="1" type="noConversion"/>
  </si>
  <si>
    <t>主角5-3</t>
    <phoneticPr fontId="1" type="noConversion"/>
  </si>
  <si>
    <t>卡维力</t>
    <phoneticPr fontId="1" type="noConversion"/>
  </si>
  <si>
    <t>主角6-1</t>
    <phoneticPr fontId="1" type="noConversion"/>
  </si>
  <si>
    <t>主角6-2</t>
    <phoneticPr fontId="1" type="noConversion"/>
  </si>
  <si>
    <t>主角6-3</t>
    <phoneticPr fontId="1" type="noConversion"/>
  </si>
  <si>
    <t>宠物1-1</t>
    <phoneticPr fontId="1" type="noConversion"/>
  </si>
  <si>
    <t>宠物1-2</t>
    <phoneticPr fontId="1" type="noConversion"/>
  </si>
  <si>
    <t>宠物1-3</t>
    <phoneticPr fontId="1" type="noConversion"/>
  </si>
  <si>
    <t>I</t>
    <phoneticPr fontId="7" type="noConversion"/>
  </si>
  <si>
    <t>order</t>
    <phoneticPr fontId="7" type="noConversion"/>
  </si>
  <si>
    <t>gid</t>
    <phoneticPr fontId="7" type="noConversion"/>
  </si>
  <si>
    <t>rob</t>
    <phoneticPr fontId="7" type="noConversion"/>
  </si>
  <si>
    <t>B</t>
    <phoneticPr fontId="7" type="noConversion"/>
  </si>
  <si>
    <t>是否是机甲</t>
    <phoneticPr fontId="7" type="noConversion"/>
  </si>
  <si>
    <t>排序</t>
    <phoneticPr fontId="7" type="noConversion"/>
  </si>
  <si>
    <t>分组</t>
    <phoneticPr fontId="7" type="noConversion"/>
  </si>
  <si>
    <t>E_pet_03_atk02_hit</t>
  </si>
  <si>
    <t>E_pet_03_atk02_zidan</t>
  </si>
  <si>
    <t>E_lead_01_atk02_huo_xiao</t>
  </si>
  <si>
    <t>trap_01</t>
  </si>
  <si>
    <t>trap_02</t>
  </si>
  <si>
    <t>trap_03</t>
  </si>
  <si>
    <t>trap_04</t>
  </si>
  <si>
    <t>trap_05</t>
  </si>
  <si>
    <t>trap_06</t>
  </si>
  <si>
    <t>trap_07</t>
  </si>
  <si>
    <t>trap_08</t>
  </si>
  <si>
    <t>陷阱</t>
    <phoneticPr fontId="1" type="noConversion"/>
  </si>
  <si>
    <t>1208;1209;1210;1201;1214;1203;1204</t>
    <phoneticPr fontId="7" type="noConversion"/>
  </si>
  <si>
    <t>1211;1212;1213;1201;1215;1203;1204</t>
    <phoneticPr fontId="7" type="noConversion"/>
  </si>
  <si>
    <t>I</t>
    <phoneticPr fontId="7" type="noConversion"/>
  </si>
  <si>
    <t>E_trap_04_bao</t>
    <phoneticPr fontId="7" type="noConversion"/>
  </si>
  <si>
    <t>爆炸特效</t>
    <phoneticPr fontId="7" type="noConversion"/>
  </si>
  <si>
    <t>effectId</t>
    <phoneticPr fontId="7" type="noConversion"/>
  </si>
  <si>
    <t>系数</t>
    <phoneticPr fontId="1" type="noConversion"/>
  </si>
  <si>
    <t>quality</t>
    <phoneticPr fontId="7" type="noConversion"/>
  </si>
  <si>
    <t>品质</t>
    <phoneticPr fontId="7" type="noConversion"/>
  </si>
  <si>
    <t>属性</t>
    <phoneticPr fontId="7" type="noConversion"/>
  </si>
  <si>
    <t>attr</t>
    <phoneticPr fontId="7" type="noConversion"/>
  </si>
  <si>
    <t>S</t>
    <phoneticPr fontId="7" type="noConversion"/>
  </si>
  <si>
    <t>S</t>
    <phoneticPr fontId="7" type="noConversion"/>
  </si>
  <si>
    <t>Text/attr_huo_1</t>
    <phoneticPr fontId="7" type="noConversion"/>
  </si>
  <si>
    <t>Text/q3</t>
    <phoneticPr fontId="7" type="noConversion"/>
  </si>
  <si>
    <t>主角3机甲子弹</t>
    <phoneticPr fontId="7" type="noConversion"/>
  </si>
  <si>
    <t>mecha_03_atk</t>
  </si>
  <si>
    <t>主角2机甲子弹</t>
    <phoneticPr fontId="7" type="noConversion"/>
  </si>
  <si>
    <t>mecha_02_atk_shengshang</t>
  </si>
  <si>
    <t>icon/head1</t>
    <phoneticPr fontId="7" type="noConversion"/>
  </si>
  <si>
    <t>mecha_02_atk</t>
    <phoneticPr fontId="7" type="noConversion"/>
  </si>
  <si>
    <t>0.2;0.2;0.2;0.2;0.2;0.2;0.2;0.2;0.2;0.2</t>
    <phoneticPr fontId="7" type="noConversion"/>
  </si>
  <si>
    <t>Character/Lead01_1/prefab</t>
    <phoneticPr fontId="7" type="noConversion"/>
  </si>
  <si>
    <t>Character/Lead01_2/prefab</t>
    <phoneticPr fontId="7" type="noConversion"/>
  </si>
  <si>
    <t>Character/Lead01_3/prefab</t>
    <phoneticPr fontId="7" type="noConversion"/>
  </si>
  <si>
    <t>Character/Lead02_1/prefab</t>
    <phoneticPr fontId="7" type="noConversion"/>
  </si>
  <si>
    <t>Character/Lead02_2/prefab</t>
    <phoneticPr fontId="7" type="noConversion"/>
  </si>
  <si>
    <t>Character/Lead02_3/prefab</t>
    <phoneticPr fontId="7" type="noConversion"/>
  </si>
  <si>
    <t>Transformer/Mecha02/prefab</t>
    <phoneticPr fontId="7" type="noConversion"/>
  </si>
  <si>
    <t>Transformer/Mecha01/prefab</t>
    <phoneticPr fontId="7" type="noConversion"/>
  </si>
  <si>
    <t>Transformer/Mecha03/prefab</t>
    <phoneticPr fontId="7" type="noConversion"/>
  </si>
  <si>
    <t>Model/Monster/Monster01/prefab</t>
    <phoneticPr fontId="7" type="noConversion"/>
  </si>
  <si>
    <t>Model/Monster/Monster02/prefab</t>
    <phoneticPr fontId="7" type="noConversion"/>
  </si>
  <si>
    <t>Model/Monster/Monster03/prefab</t>
    <phoneticPr fontId="7" type="noConversion"/>
  </si>
  <si>
    <t>Model/Monster/Boss01/prefab</t>
    <phoneticPr fontId="7" type="noConversion"/>
  </si>
  <si>
    <t>Model/Monster/Tower/prefab</t>
    <phoneticPr fontId="7" type="noConversion"/>
  </si>
  <si>
    <t>Model/Monster/Tower/prefab</t>
    <phoneticPr fontId="7" type="noConversion"/>
  </si>
  <si>
    <t>Model/Monster/TowerBottom/prefab</t>
    <phoneticPr fontId="7" type="noConversion"/>
  </si>
  <si>
    <t>Character/Lead03_1/prefab</t>
    <phoneticPr fontId="7" type="noConversion"/>
  </si>
  <si>
    <t>Character/Lead03_2/prefab</t>
    <phoneticPr fontId="7" type="noConversion"/>
  </si>
  <si>
    <t>Character/Lead03_3/prefab</t>
    <phoneticPr fontId="7" type="noConversion"/>
  </si>
  <si>
    <t>Model/Monster/TowerBottom/prefab</t>
    <phoneticPr fontId="7" type="noConversion"/>
  </si>
  <si>
    <t>I</t>
    <phoneticPr fontId="7" type="noConversion"/>
  </si>
  <si>
    <t>shakeDir</t>
    <phoneticPr fontId="7" type="noConversion"/>
  </si>
  <si>
    <t>抖动方向</t>
    <phoneticPr fontId="7" type="noConversion"/>
  </si>
  <si>
    <t>selfBoom</t>
    <phoneticPr fontId="7" type="noConversion"/>
  </si>
  <si>
    <t>B</t>
    <phoneticPr fontId="7" type="noConversion"/>
  </si>
  <si>
    <t>自爆性(只做爆炸处理)</t>
    <phoneticPr fontId="7" type="noConversion"/>
  </si>
  <si>
    <t>icon/head16</t>
    <phoneticPr fontId="7" type="noConversion"/>
  </si>
  <si>
    <t>icon/head17</t>
  </si>
  <si>
    <t>icon/head18</t>
  </si>
  <si>
    <t>icon/rob6</t>
    <phoneticPr fontId="7" type="noConversion"/>
  </si>
  <si>
    <t>icon/rob5</t>
    <phoneticPr fontId="7" type="noConversion"/>
  </si>
  <si>
    <t>icon/head14</t>
    <phoneticPr fontId="7" type="noConversion"/>
  </si>
  <si>
    <t>icon/head13</t>
  </si>
  <si>
    <t>icon/head15</t>
  </si>
  <si>
    <t>icon/rob3</t>
    <phoneticPr fontId="7" type="noConversion"/>
  </si>
  <si>
    <t>Text/attr_shui_1</t>
    <phoneticPr fontId="7" type="noConversion"/>
  </si>
  <si>
    <t>Text/attr_tu_1</t>
    <phoneticPr fontId="7" type="noConversion"/>
  </si>
  <si>
    <t>icon/mon1</t>
    <phoneticPr fontId="7" type="noConversion"/>
  </si>
  <si>
    <t>icon/mon2</t>
  </si>
  <si>
    <t>icon/mon3</t>
  </si>
  <si>
    <t>icon/mon8</t>
    <phoneticPr fontId="7" type="noConversion"/>
  </si>
  <si>
    <t>Text/q3</t>
  </si>
  <si>
    <t>Text/q1</t>
    <phoneticPr fontId="7" type="noConversion"/>
  </si>
  <si>
    <t>Text/q2</t>
  </si>
  <si>
    <t>雷古曼</t>
    <phoneticPr fontId="7" type="noConversion"/>
  </si>
  <si>
    <t>雷古曼-轻装</t>
    <phoneticPr fontId="7" type="noConversion"/>
  </si>
  <si>
    <t>雷古曼-重装</t>
    <phoneticPr fontId="7" type="noConversion"/>
  </si>
  <si>
    <t>雷古曼-铠甲兽龙</t>
    <phoneticPr fontId="7" type="noConversion"/>
  </si>
  <si>
    <t>加比纳</t>
  </si>
  <si>
    <t>加比纳-轻装</t>
  </si>
  <si>
    <t>加比纳-重装</t>
  </si>
  <si>
    <t>加比纳-铠甲兽龙</t>
  </si>
  <si>
    <t>吉亚多</t>
  </si>
  <si>
    <t>吉亚多-轻装</t>
  </si>
  <si>
    <t>吉亚多-重装</t>
  </si>
  <si>
    <t>吉亚多-铠甲兽龙</t>
  </si>
  <si>
    <t>哈巴龙</t>
    <phoneticPr fontId="7" type="noConversion"/>
  </si>
  <si>
    <t>暴烈骸龙</t>
    <phoneticPr fontId="7" type="noConversion"/>
  </si>
  <si>
    <t>uiScale</t>
    <phoneticPr fontId="7" type="noConversion"/>
  </si>
  <si>
    <t>icon/head4</t>
    <phoneticPr fontId="7" type="noConversion"/>
  </si>
  <si>
    <t>icon/head5</t>
  </si>
  <si>
    <t>icon/head6</t>
  </si>
  <si>
    <t>uiRotate</t>
    <phoneticPr fontId="7" type="noConversion"/>
  </si>
  <si>
    <t>旋转</t>
    <phoneticPr fontId="7" type="noConversion"/>
  </si>
  <si>
    <t>I</t>
    <phoneticPr fontId="7" type="noConversion"/>
  </si>
  <si>
    <t>desc2</t>
    <phoneticPr fontId="7" type="noConversion"/>
  </si>
  <si>
    <t>desc1</t>
    <phoneticPr fontId="7" type="noConversion"/>
  </si>
  <si>
    <t>生成子弹并后跳</t>
    <phoneticPr fontId="7" type="noConversion"/>
  </si>
  <si>
    <t>E_pet_04_atk02</t>
  </si>
  <si>
    <t>E_pet_04_atk03</t>
  </si>
  <si>
    <t>E_pet_05_atk01_hit</t>
  </si>
  <si>
    <t>E_pet_05_atk02</t>
  </si>
  <si>
    <t>E_pet_05_atk03</t>
  </si>
  <si>
    <t>BUFF_jiaxue</t>
  </si>
  <si>
    <t>E_pet_05_atk01_zidan</t>
  </si>
  <si>
    <t>Model/Monster/Monster04/prefab</t>
  </si>
  <si>
    <t>Model/Monster/Monster05/prefab</t>
  </si>
  <si>
    <t>Model/Monster/Pet04/prefab</t>
  </si>
  <si>
    <t>Model/Monster/Pet05/prefab</t>
  </si>
  <si>
    <t>怪物4攻击</t>
  </si>
  <si>
    <t>怪物5攻击</t>
  </si>
  <si>
    <t>宠物4攻击</t>
    <phoneticPr fontId="7" type="noConversion"/>
  </si>
  <si>
    <t>宠物4 技能</t>
    <phoneticPr fontId="7" type="noConversion"/>
  </si>
  <si>
    <t>宠物5攻击</t>
    <phoneticPr fontId="7" type="noConversion"/>
  </si>
  <si>
    <t>宠物5 技能</t>
    <phoneticPr fontId="7" type="noConversion"/>
  </si>
  <si>
    <t>宠物4 分身</t>
    <phoneticPr fontId="7" type="noConversion"/>
  </si>
  <si>
    <t>宠物4攻击</t>
    <phoneticPr fontId="7" type="noConversion"/>
  </si>
  <si>
    <t xml:space="preserve">宠物4 </t>
    <phoneticPr fontId="7" type="noConversion"/>
  </si>
  <si>
    <t>宠物4</t>
    <phoneticPr fontId="7" type="noConversion"/>
  </si>
  <si>
    <t>宠物5攻击</t>
    <phoneticPr fontId="7" type="noConversion"/>
  </si>
  <si>
    <t>宠物5</t>
    <phoneticPr fontId="7" type="noConversion"/>
  </si>
  <si>
    <t xml:space="preserve">宠物5 </t>
    <phoneticPr fontId="7" type="noConversion"/>
  </si>
  <si>
    <t>宠物4子弹</t>
    <phoneticPr fontId="7" type="noConversion"/>
  </si>
  <si>
    <t>宠物5子弹</t>
    <phoneticPr fontId="7" type="noConversion"/>
  </si>
  <si>
    <t>宠物5技能</t>
    <phoneticPr fontId="7" type="noConversion"/>
  </si>
  <si>
    <t>E_pet_04_atk04</t>
    <phoneticPr fontId="7" type="noConversion"/>
  </si>
  <si>
    <t>宠物4近战</t>
    <phoneticPr fontId="7" type="noConversion"/>
  </si>
  <si>
    <t>0.6;0.4;0.4;0.4;0.4</t>
    <phoneticPr fontId="7" type="noConversion"/>
  </si>
  <si>
    <t>制造一个分身</t>
    <phoneticPr fontId="7" type="noConversion"/>
  </si>
  <si>
    <t>0.3;0.5</t>
    <phoneticPr fontId="7" type="noConversion"/>
  </si>
  <si>
    <t>回血 lv1</t>
    <phoneticPr fontId="7" type="noConversion"/>
  </si>
  <si>
    <t>{{id=1105,hp=100,rate=1},{id=1106,hp=100,rate=1}}</t>
    <phoneticPr fontId="7" type="noConversion"/>
  </si>
  <si>
    <t>{{id=1107,hp=100,rate=1},{id=1108,hp=100,rate=1}}</t>
    <phoneticPr fontId="7" type="noConversion"/>
  </si>
  <si>
    <t>{{id=1109,hp=100,rate=1},{id=1110,hp=100,rate=1}}</t>
    <phoneticPr fontId="7" type="noConversion"/>
  </si>
  <si>
    <t>{{id=1205,hp=100,rate=1},{id=1206,hp=100,rate=1},{id=1207,hp=100,rate=1}}</t>
    <phoneticPr fontId="7" type="noConversion"/>
  </si>
  <si>
    <t>{{id=1208,hp=100,rate=1},{id=1209,hp=100,rate=1},{id=1210,hp=100,rate=1}}</t>
    <phoneticPr fontId="7" type="noConversion"/>
  </si>
  <si>
    <t>{{id=1211,hp=100,rate=1},{id=1212,hp=100,rate=1},{id=1213,hp=100,rate=1}}</t>
    <phoneticPr fontId="7" type="noConversion"/>
  </si>
  <si>
    <t>{{id=1305,hp=100,rate=1},{id=1306,hp=100,rate=1}}</t>
    <phoneticPr fontId="7" type="noConversion"/>
  </si>
  <si>
    <t>{{id=1307,hp=100,rate=1},{id=1308,hp=100,rate=1}}</t>
    <phoneticPr fontId="7" type="noConversion"/>
  </si>
  <si>
    <t>{{id=1309,hp=100,rate=1},{id=1310,hp=100,rate=1}}</t>
    <phoneticPr fontId="7" type="noConversion"/>
  </si>
  <si>
    <t>icon/mon4</t>
  </si>
  <si>
    <t>icon/mon5</t>
  </si>
  <si>
    <t>宠物5 加血</t>
    <phoneticPr fontId="7" type="noConversion"/>
  </si>
  <si>
    <t>pet_04_bullet</t>
  </si>
  <si>
    <t>IT</t>
    <phoneticPr fontId="7" type="noConversion"/>
  </si>
  <si>
    <t>IT</t>
    <phoneticPr fontId="7" type="noConversion"/>
  </si>
  <si>
    <t>预警尺寸(x;y;z)</t>
    <phoneticPr fontId="7" type="noConversion"/>
  </si>
  <si>
    <t>warningPosition</t>
    <phoneticPr fontId="7" type="noConversion"/>
  </si>
  <si>
    <t>预警位置(x;y;z)</t>
    <phoneticPr fontId="7" type="noConversion"/>
  </si>
  <si>
    <t>0;0;0</t>
    <phoneticPr fontId="7" type="noConversion"/>
  </si>
  <si>
    <t>1;1;1</t>
    <phoneticPr fontId="7" type="noConversion"/>
  </si>
  <si>
    <t>0;0;1</t>
    <phoneticPr fontId="7" type="noConversion"/>
  </si>
  <si>
    <t>2;2;2</t>
    <phoneticPr fontId="7" type="noConversion"/>
  </si>
  <si>
    <t>森美拉机甲</t>
    <phoneticPr fontId="1" type="noConversion"/>
  </si>
  <si>
    <t>吉亚多机甲</t>
    <phoneticPr fontId="1" type="noConversion"/>
  </si>
  <si>
    <t>索里机甲</t>
    <phoneticPr fontId="1" type="noConversion"/>
  </si>
  <si>
    <t>卡维力机甲</t>
    <phoneticPr fontId="1" type="noConversion"/>
  </si>
  <si>
    <t>加比纳机甲</t>
    <phoneticPr fontId="1" type="noConversion"/>
  </si>
  <si>
    <t>雷古曼机甲</t>
    <phoneticPr fontId="1" type="noConversion"/>
  </si>
  <si>
    <t>2003;3</t>
    <phoneticPr fontId="1" type="noConversion"/>
  </si>
  <si>
    <t>2103;3</t>
    <phoneticPr fontId="1" type="noConversion"/>
  </si>
  <si>
    <t>2203;3</t>
    <phoneticPr fontId="1" type="noConversion"/>
  </si>
  <si>
    <t>2303;3</t>
    <phoneticPr fontId="1" type="noConversion"/>
  </si>
  <si>
    <t>2403;3</t>
    <phoneticPr fontId="1" type="noConversion"/>
  </si>
  <si>
    <t>2503;3</t>
    <phoneticPr fontId="1" type="noConversion"/>
  </si>
  <si>
    <t>森美拉</t>
    <phoneticPr fontId="1" type="noConversion"/>
  </si>
  <si>
    <t>森美拉</t>
    <phoneticPr fontId="1" type="noConversion"/>
  </si>
  <si>
    <t>吉亚多</t>
    <phoneticPr fontId="1" type="noConversion"/>
  </si>
  <si>
    <t>吉亚多</t>
    <phoneticPr fontId="1" type="noConversion"/>
  </si>
  <si>
    <t>索里</t>
    <phoneticPr fontId="1" type="noConversion"/>
  </si>
  <si>
    <t>索里</t>
    <phoneticPr fontId="1" type="noConversion"/>
  </si>
  <si>
    <t>卡维力</t>
    <phoneticPr fontId="1" type="noConversion"/>
  </si>
  <si>
    <t>卡维力</t>
    <phoneticPr fontId="1" type="noConversion"/>
  </si>
  <si>
    <t>加比纳</t>
    <phoneticPr fontId="1" type="noConversion"/>
  </si>
  <si>
    <t>雷古曼</t>
    <phoneticPr fontId="1" type="noConversion"/>
  </si>
  <si>
    <t>1000;99</t>
  </si>
  <si>
    <t>1000;199</t>
  </si>
  <si>
    <t>1000;299</t>
  </si>
  <si>
    <t>1000;399</t>
  </si>
  <si>
    <t>1000;499</t>
  </si>
  <si>
    <t>1000;599</t>
  </si>
  <si>
    <t>1000;699</t>
  </si>
  <si>
    <t>一键满级快速消费</t>
    <phoneticPr fontId="1" type="noConversion"/>
  </si>
  <si>
    <t>一键满级快速消费数量</t>
    <phoneticPr fontId="1" type="noConversion"/>
  </si>
  <si>
    <t>升级解锁需求物品</t>
    <phoneticPr fontId="1" type="noConversion"/>
  </si>
  <si>
    <t>升级解锁需求数量</t>
    <phoneticPr fontId="1" type="noConversion"/>
  </si>
  <si>
    <t>商品ID</t>
    <phoneticPr fontId="1" type="noConversion"/>
  </si>
  <si>
    <t>DATA</t>
    <phoneticPr fontId="1" type="noConversion"/>
  </si>
  <si>
    <t>宠物</t>
    <phoneticPr fontId="1" type="noConversion"/>
  </si>
  <si>
    <t>icon/mon1</t>
    <phoneticPr fontId="1" type="noConversion"/>
  </si>
  <si>
    <t>Text/q1</t>
    <phoneticPr fontId="1" type="noConversion"/>
  </si>
  <si>
    <t>Text/attr_huo_1</t>
    <phoneticPr fontId="1" type="noConversion"/>
  </si>
  <si>
    <t>Model/Monster/Pet01/prefab</t>
    <phoneticPr fontId="1" type="noConversion"/>
  </si>
  <si>
    <t>7101;7102;7103</t>
    <phoneticPr fontId="1" type="noConversion"/>
  </si>
  <si>
    <t>{{id=7101,hp=100,rate=1},{id=7102,hp=100,rate=1}}</t>
    <phoneticPr fontId="1" type="noConversion"/>
  </si>
  <si>
    <t>Text/attr_tu_1</t>
    <phoneticPr fontId="1" type="noConversion"/>
  </si>
  <si>
    <t>Model/Monster/Pet02/prefab</t>
    <phoneticPr fontId="1" type="noConversion"/>
  </si>
  <si>
    <t>7201;7202;7203</t>
    <phoneticPr fontId="1" type="noConversion"/>
  </si>
  <si>
    <t>{{id=7201,hp=100,rate=1},{id=7202,hp=100,rate=1}}</t>
    <phoneticPr fontId="1" type="noConversion"/>
  </si>
  <si>
    <t>Text/attr_an</t>
    <phoneticPr fontId="1" type="noConversion"/>
  </si>
  <si>
    <t>Model/Monster/Pet03/prefab</t>
    <phoneticPr fontId="1" type="noConversion"/>
  </si>
  <si>
    <t>7301;7302;7303</t>
    <phoneticPr fontId="1" type="noConversion"/>
  </si>
  <si>
    <t>{{id=7301,hp=100,rate=1},{id=7302,hp=100,rate=1}}</t>
    <phoneticPr fontId="1" type="noConversion"/>
  </si>
  <si>
    <t>7401;7402;7403</t>
    <phoneticPr fontId="1" type="noConversion"/>
  </si>
  <si>
    <t>{{id=7401,hp=100,rate=1},{id=7402,hp=100,rate=1}}</t>
    <phoneticPr fontId="1" type="noConversion"/>
  </si>
  <si>
    <t>7501;7502;7503</t>
    <phoneticPr fontId="1" type="noConversion"/>
  </si>
  <si>
    <t>{{id=7501,hp=100,rate=1},{id=7502,hp=100,rate=1}}</t>
    <phoneticPr fontId="1" type="noConversion"/>
  </si>
  <si>
    <t>DATA</t>
    <phoneticPr fontId="1" type="noConversion"/>
  </si>
  <si>
    <t>icon/mon6</t>
  </si>
  <si>
    <t>Model/Monster/Pet06/prefab</t>
    <phoneticPr fontId="1" type="noConversion"/>
  </si>
  <si>
    <t>7601;7602;7603</t>
    <phoneticPr fontId="1" type="noConversion"/>
  </si>
  <si>
    <t>{{id=7601,hp=100,rate=1},{id=7602,hp=100,rate=1}}</t>
    <phoneticPr fontId="1" type="noConversion"/>
  </si>
  <si>
    <t>icon/mon7</t>
  </si>
  <si>
    <t>Model/Monster/Pet07/prefab</t>
    <phoneticPr fontId="1" type="noConversion"/>
  </si>
  <si>
    <t>怪</t>
    <phoneticPr fontId="1" type="noConversion"/>
  </si>
  <si>
    <t>Model/Monster/Monster06/prefab</t>
    <phoneticPr fontId="1" type="noConversion"/>
  </si>
  <si>
    <t>DATA</t>
    <phoneticPr fontId="1" type="noConversion"/>
  </si>
  <si>
    <t>Model/Monster/Monster07/prefab</t>
    <phoneticPr fontId="1" type="noConversion"/>
  </si>
  <si>
    <t>DATA</t>
    <phoneticPr fontId="1" type="noConversion"/>
  </si>
  <si>
    <t>森美拉</t>
    <phoneticPr fontId="1" type="noConversion"/>
  </si>
  <si>
    <t>Text/q1</t>
    <phoneticPr fontId="1" type="noConversion"/>
  </si>
  <si>
    <t>Character/Lead04_1/prefab</t>
    <phoneticPr fontId="1" type="noConversion"/>
  </si>
  <si>
    <t>1405;1406;1401;1402;1403;1404</t>
    <phoneticPr fontId="1" type="noConversion"/>
  </si>
  <si>
    <t>{{id=1405,hp=100,rate=1},{id=1406,hp=100,rate=1}}</t>
    <phoneticPr fontId="1" type="noConversion"/>
  </si>
  <si>
    <t>森美拉-轻装</t>
    <phoneticPr fontId="1" type="noConversion"/>
  </si>
  <si>
    <t>Character/Lead04_2/prefab</t>
    <phoneticPr fontId="1" type="noConversion"/>
  </si>
  <si>
    <t>1407;1408;1401;1402;1403;1404</t>
    <phoneticPr fontId="1" type="noConversion"/>
  </si>
  <si>
    <t>{{id=1407,hp=100,rate=1},{id=1408,hp=100,rate=1}}</t>
    <phoneticPr fontId="1" type="noConversion"/>
  </si>
  <si>
    <t>森美拉-重装</t>
    <phoneticPr fontId="1" type="noConversion"/>
  </si>
  <si>
    <t>Character/Lead04_3/prefab</t>
    <phoneticPr fontId="1" type="noConversion"/>
  </si>
  <si>
    <t>1409;1410;1401;1402;1403;1404</t>
    <phoneticPr fontId="1" type="noConversion"/>
  </si>
  <si>
    <t>{{id=1409,hp=100,rate=1},{id=1410,hp=100,rate=1}}</t>
    <phoneticPr fontId="1" type="noConversion"/>
  </si>
  <si>
    <t>森美拉-铠甲兽龙</t>
    <phoneticPr fontId="1" type="noConversion"/>
  </si>
  <si>
    <t>Text/q3</t>
    <phoneticPr fontId="1" type="noConversion"/>
  </si>
  <si>
    <t>Transformer/Mecha04/prefab</t>
    <phoneticPr fontId="1" type="noConversion"/>
  </si>
  <si>
    <t>{}</t>
    <phoneticPr fontId="1" type="noConversion"/>
  </si>
  <si>
    <t>0;0;0</t>
    <phoneticPr fontId="1" type="noConversion"/>
  </si>
  <si>
    <t>1;1;1</t>
    <phoneticPr fontId="1" type="noConversion"/>
  </si>
  <si>
    <t>向前翻滚</t>
    <phoneticPr fontId="1" type="noConversion"/>
  </si>
  <si>
    <t>DATA</t>
    <phoneticPr fontId="1" type="noConversion"/>
  </si>
  <si>
    <t>技能</t>
    <phoneticPr fontId="1" type="noConversion"/>
  </si>
  <si>
    <t>0;0;0</t>
    <phoneticPr fontId="1" type="noConversion"/>
  </si>
  <si>
    <t>0.2;0.2;0.2;0.2;0.2;0.2;0.2;0.2;0.2;0.2</t>
    <phoneticPr fontId="1" type="noConversion"/>
  </si>
  <si>
    <t>释放超级大招</t>
    <phoneticPr fontId="1" type="noConversion"/>
  </si>
  <si>
    <t>0.35;0.35</t>
    <phoneticPr fontId="1" type="noConversion"/>
  </si>
  <si>
    <t>生成一颗子弹</t>
    <phoneticPr fontId="1" type="noConversion"/>
  </si>
  <si>
    <t>1;1;1</t>
    <phoneticPr fontId="1" type="noConversion"/>
  </si>
  <si>
    <t>0.35;0.35</t>
    <phoneticPr fontId="1" type="noConversion"/>
  </si>
  <si>
    <t>DATA</t>
    <phoneticPr fontId="1" type="noConversion"/>
  </si>
  <si>
    <t>怪物6攻击</t>
  </si>
  <si>
    <t>怪物攻击</t>
    <phoneticPr fontId="1" type="noConversion"/>
  </si>
  <si>
    <t>0.3;0.5</t>
    <phoneticPr fontId="1" type="noConversion"/>
  </si>
  <si>
    <t>生成一颗子弹</t>
    <phoneticPr fontId="1" type="noConversion"/>
  </si>
  <si>
    <t>怪物7攻击</t>
  </si>
  <si>
    <t>怪物攻击</t>
    <phoneticPr fontId="1" type="noConversion"/>
  </si>
  <si>
    <t>0;0;0</t>
    <phoneticPr fontId="1" type="noConversion"/>
  </si>
  <si>
    <t>1;1;1</t>
    <phoneticPr fontId="1" type="noConversion"/>
  </si>
  <si>
    <t>生成一颗子弹</t>
    <phoneticPr fontId="1" type="noConversion"/>
  </si>
  <si>
    <t>宠物6攻击</t>
    <phoneticPr fontId="1" type="noConversion"/>
  </si>
  <si>
    <t>宠物6攻击</t>
    <phoneticPr fontId="1" type="noConversion"/>
  </si>
  <si>
    <t>0;0;0</t>
    <phoneticPr fontId="1" type="noConversion"/>
  </si>
  <si>
    <t>生成一颗子弹</t>
    <phoneticPr fontId="1" type="noConversion"/>
  </si>
  <si>
    <t>宠物6 技能</t>
    <phoneticPr fontId="1" type="noConversion"/>
  </si>
  <si>
    <t>宠物6</t>
    <phoneticPr fontId="1" type="noConversion"/>
  </si>
  <si>
    <t>1;1;1</t>
    <phoneticPr fontId="1" type="noConversion"/>
  </si>
  <si>
    <t>宠物7攻击</t>
    <phoneticPr fontId="1" type="noConversion"/>
  </si>
  <si>
    <t>宠物7攻击</t>
    <phoneticPr fontId="1" type="noConversion"/>
  </si>
  <si>
    <t xml:space="preserve">宠物7 </t>
    <phoneticPr fontId="1" type="noConversion"/>
  </si>
  <si>
    <t>主角4子弹</t>
    <phoneticPr fontId="1" type="noConversion"/>
  </si>
  <si>
    <t>E_lead_04_atk01_zidan</t>
  </si>
  <si>
    <t>向前飞行</t>
    <phoneticPr fontId="1" type="noConversion"/>
  </si>
  <si>
    <t>主角4技能</t>
    <phoneticPr fontId="1" type="noConversion"/>
  </si>
  <si>
    <t>E_lead_04_atk02_feng</t>
  </si>
  <si>
    <t>向前飞行</t>
    <phoneticPr fontId="1" type="noConversion"/>
  </si>
  <si>
    <t>主角4机甲子弹</t>
    <phoneticPr fontId="1" type="noConversion"/>
  </si>
  <si>
    <t>Bullet05</t>
    <phoneticPr fontId="1" type="noConversion"/>
  </si>
  <si>
    <t>E_lead_04_atk01_01</t>
  </si>
  <si>
    <t>DATA</t>
    <phoneticPr fontId="1" type="noConversion"/>
  </si>
  <si>
    <t>E_lead_04_atk01_02</t>
  </si>
  <si>
    <t>E_lead_04_atk02</t>
  </si>
  <si>
    <t>DATA</t>
    <phoneticPr fontId="1" type="noConversion"/>
  </si>
  <si>
    <t>E_lead_04_dodge</t>
  </si>
  <si>
    <t>DATA</t>
    <phoneticPr fontId="1" type="noConversion"/>
  </si>
  <si>
    <t>mecha_04_atk</t>
  </si>
  <si>
    <t>E_lead_04_atk01_hit</t>
  </si>
  <si>
    <t>icon/head1</t>
    <phoneticPr fontId="1" type="noConversion"/>
  </si>
  <si>
    <t>icon/head2</t>
  </si>
  <si>
    <t>icon/head3</t>
  </si>
  <si>
    <t>icon/rob1</t>
    <phoneticPr fontId="1" type="noConversion"/>
  </si>
  <si>
    <t>Effect_bao</t>
  </si>
  <si>
    <t>BUFF_yun</t>
  </si>
  <si>
    <t>E_pet_06_atk01</t>
  </si>
  <si>
    <t>E_pet_06_atk01_hit</t>
  </si>
  <si>
    <t>E_pet_06_atk02</t>
  </si>
  <si>
    <t>E_pet_06_atk03</t>
  </si>
  <si>
    <t>E_pet_06_atk04</t>
  </si>
  <si>
    <t>眩晕 lv1</t>
    <phoneticPr fontId="7" type="noConversion"/>
  </si>
  <si>
    <t>宠物6子弹</t>
    <phoneticPr fontId="7" type="noConversion"/>
  </si>
  <si>
    <t>E_pet_06_atk01_zidan</t>
  </si>
  <si>
    <t>pet_06_bullet</t>
  </si>
  <si>
    <t>宠物4激光</t>
    <phoneticPr fontId="7" type="noConversion"/>
  </si>
  <si>
    <t>宠物6近战</t>
    <phoneticPr fontId="7" type="noConversion"/>
  </si>
  <si>
    <t>宠物6 眩晕</t>
    <phoneticPr fontId="1" type="noConversion"/>
  </si>
  <si>
    <t>0.4;0.3;0.3;0.3</t>
    <phoneticPr fontId="7" type="noConversion"/>
  </si>
  <si>
    <t>宠物6buff子弹</t>
    <phoneticPr fontId="7" type="noConversion"/>
  </si>
  <si>
    <t>目标点生成子弹</t>
    <phoneticPr fontId="7" type="noConversion"/>
  </si>
  <si>
    <t>0.3;0.3;0.15;0.15;0.15</t>
    <phoneticPr fontId="1" type="noConversion"/>
  </si>
  <si>
    <t>特效点</t>
    <phoneticPr fontId="7" type="noConversion"/>
  </si>
  <si>
    <t>I</t>
    <phoneticPr fontId="7" type="noConversion"/>
  </si>
  <si>
    <t>rootId</t>
    <phoneticPr fontId="7" type="noConversion"/>
  </si>
  <si>
    <t>I</t>
    <phoneticPr fontId="7" type="noConversion"/>
  </si>
  <si>
    <t>nextId</t>
    <phoneticPr fontId="7" type="noConversion"/>
  </si>
  <si>
    <t>UI点击后显示
的下一个角色ID</t>
    <phoneticPr fontId="7" type="noConversion"/>
  </si>
  <si>
    <t>Model/Monster/Monster08/prefab</t>
    <phoneticPr fontId="1" type="noConversion"/>
  </si>
  <si>
    <t>icon/mon8</t>
    <phoneticPr fontId="7" type="noConversion"/>
  </si>
  <si>
    <t>Model/Monster/Pet08/prefab</t>
    <phoneticPr fontId="1" type="noConversion"/>
  </si>
  <si>
    <t>宠物8攻击</t>
    <phoneticPr fontId="1" type="noConversion"/>
  </si>
  <si>
    <t>宠物8 技能</t>
    <phoneticPr fontId="1" type="noConversion"/>
  </si>
  <si>
    <t>宠物7 狂暴</t>
    <phoneticPr fontId="1" type="noConversion"/>
  </si>
  <si>
    <t xml:space="preserve">宠物8 </t>
    <phoneticPr fontId="1" type="noConversion"/>
  </si>
  <si>
    <t>宠物8</t>
    <phoneticPr fontId="1" type="noConversion"/>
  </si>
  <si>
    <t>{{id=3171,hp=100,rate=1}}</t>
    <phoneticPr fontId="1" type="noConversion"/>
  </si>
  <si>
    <t>{{id=3161,hp=100,rate=1}}</t>
    <phoneticPr fontId="1" type="noConversion"/>
  </si>
  <si>
    <t>{{id=3151,hp=100,rate=1}}</t>
    <phoneticPr fontId="7" type="noConversion"/>
  </si>
  <si>
    <t>{{id=3141,hp=100,rate=1}}</t>
    <phoneticPr fontId="7" type="noConversion"/>
  </si>
  <si>
    <t>{{id=3131,hp=100,rate=1}}</t>
    <phoneticPr fontId="7" type="noConversion"/>
  </si>
  <si>
    <t>宠物7炸弹</t>
    <phoneticPr fontId="7" type="noConversion"/>
  </si>
  <si>
    <t>BUFF_kuangbao</t>
  </si>
  <si>
    <t>E_pet_07_atk03</t>
  </si>
  <si>
    <t>E_pet_07_atk04</t>
    <phoneticPr fontId="7" type="noConversion"/>
  </si>
  <si>
    <t>E_pet_07_zhadan_bao</t>
  </si>
  <si>
    <t>狂暴 lv1</t>
    <phoneticPr fontId="7" type="noConversion"/>
  </si>
  <si>
    <t>霸体 lv1</t>
    <phoneticPr fontId="7" type="noConversion"/>
  </si>
  <si>
    <t>护盾 lv1</t>
    <phoneticPr fontId="7" type="noConversion"/>
  </si>
  <si>
    <t>7701;7702</t>
    <phoneticPr fontId="1" type="noConversion"/>
  </si>
  <si>
    <t>{{id=7701,hp=100,rate=1}}</t>
    <phoneticPr fontId="1" type="noConversion"/>
  </si>
  <si>
    <t>E_pet_07_zhadan</t>
  </si>
  <si>
    <t>宠物7自爆</t>
    <phoneticPr fontId="7" type="noConversion"/>
  </si>
  <si>
    <t>E_pet_07_atk04_bao</t>
  </si>
  <si>
    <t>自我销毁 lv1</t>
    <phoneticPr fontId="7" type="noConversion"/>
  </si>
  <si>
    <t>哈巴龙</t>
  </si>
  <si>
    <t>敌敌龙</t>
  </si>
  <si>
    <t>阴影龙</t>
  </si>
  <si>
    <t>水怪龙</t>
  </si>
  <si>
    <t>旋风龙</t>
  </si>
  <si>
    <t>黑灵龙</t>
  </si>
  <si>
    <t>地灰龙</t>
  </si>
  <si>
    <t>巫术龙</t>
  </si>
  <si>
    <t>NPC</t>
    <phoneticPr fontId="7" type="noConversion"/>
  </si>
  <si>
    <t>E_pet_08_atk01_hit</t>
  </si>
  <si>
    <t>E_pet_08_atk02</t>
  </si>
  <si>
    <t>E_pet_08_atk03</t>
  </si>
  <si>
    <t>E_pet_08_atk04</t>
  </si>
  <si>
    <t>E_pet_08_atk01_zidan</t>
  </si>
  <si>
    <t>宠物8子弹</t>
    <phoneticPr fontId="7" type="noConversion"/>
  </si>
  <si>
    <t>宠物8近战</t>
    <phoneticPr fontId="7" type="noConversion"/>
  </si>
  <si>
    <t>减伤 lv1</t>
    <phoneticPr fontId="7" type="noConversion"/>
  </si>
  <si>
    <t>怪物8近战</t>
    <phoneticPr fontId="7" type="noConversion"/>
  </si>
  <si>
    <t>宠物8陷阱子弹</t>
    <phoneticPr fontId="7" type="noConversion"/>
  </si>
  <si>
    <t>Effect_nisha</t>
  </si>
  <si>
    <t>I</t>
    <phoneticPr fontId="7" type="noConversion"/>
  </si>
  <si>
    <t>skillTarget</t>
    <phoneticPr fontId="7" type="noConversion"/>
  </si>
  <si>
    <t>攻击目标</t>
    <phoneticPr fontId="7" type="noConversion"/>
  </si>
  <si>
    <t>icon/mon9</t>
  </si>
  <si>
    <t>Model/Monster/Monster09/prefab</t>
    <phoneticPr fontId="1" type="noConversion"/>
  </si>
  <si>
    <t>Model/Monster/Pet09/prefab</t>
    <phoneticPr fontId="1" type="noConversion"/>
  </si>
  <si>
    <t>7901;7902;7903</t>
    <phoneticPr fontId="1" type="noConversion"/>
  </si>
  <si>
    <t>怪物9攻击</t>
    <phoneticPr fontId="7" type="noConversion"/>
  </si>
  <si>
    <t>宠物9攻击</t>
    <phoneticPr fontId="7" type="noConversion"/>
  </si>
  <si>
    <t>宠物9 技能</t>
    <phoneticPr fontId="7" type="noConversion"/>
  </si>
  <si>
    <t>宠物9攻击</t>
    <phoneticPr fontId="7" type="noConversion"/>
  </si>
  <si>
    <t>宠物9</t>
    <phoneticPr fontId="7" type="noConversion"/>
  </si>
  <si>
    <t>宠物9</t>
    <phoneticPr fontId="7" type="noConversion"/>
  </si>
  <si>
    <t>宠物9子弹</t>
    <phoneticPr fontId="7" type="noConversion"/>
  </si>
  <si>
    <t>宠物9近战</t>
    <phoneticPr fontId="7" type="noConversion"/>
  </si>
  <si>
    <t xml:space="preserve">boss2 atk1 </t>
    <phoneticPr fontId="7" type="noConversion"/>
  </si>
  <si>
    <t>boss2 atk2</t>
  </si>
  <si>
    <t>boss2 atk3</t>
  </si>
  <si>
    <t>boss2 atk4</t>
  </si>
  <si>
    <t>boss2 atk5</t>
  </si>
  <si>
    <t>Boss2</t>
    <phoneticPr fontId="7" type="noConversion"/>
  </si>
  <si>
    <t>{}</t>
    <phoneticPr fontId="7" type="noConversion"/>
  </si>
  <si>
    <t>0.35;0.35</t>
    <phoneticPr fontId="1" type="noConversion"/>
  </si>
  <si>
    <t>0.2;0.2;0.2</t>
    <phoneticPr fontId="1" type="noConversion"/>
  </si>
  <si>
    <t>主角4旋风</t>
    <phoneticPr fontId="7" type="noConversion"/>
  </si>
  <si>
    <t>E_lead_04_atk02_feng</t>
    <phoneticPr fontId="7" type="noConversion"/>
  </si>
  <si>
    <t>巫术龙</t>
    <phoneticPr fontId="1" type="noConversion"/>
  </si>
  <si>
    <t>火柴龙</t>
    <phoneticPr fontId="7" type="noConversion"/>
  </si>
  <si>
    <t>icon/mon8</t>
  </si>
  <si>
    <t>Text/attr_mu_1</t>
    <phoneticPr fontId="1" type="noConversion"/>
  </si>
  <si>
    <t>精英怪子弹</t>
    <phoneticPr fontId="7" type="noConversion"/>
  </si>
  <si>
    <t>普通攻击小怪</t>
    <phoneticPr fontId="7" type="noConversion"/>
  </si>
  <si>
    <t>特殊攻击小怪</t>
    <phoneticPr fontId="7" type="noConversion"/>
  </si>
  <si>
    <t>{{id=3121,hp=100,rate=1}}</t>
    <phoneticPr fontId="7" type="noConversion"/>
  </si>
  <si>
    <t>{{id=3111,hp=100,rate=4}}</t>
    <phoneticPr fontId="7" type="noConversion"/>
  </si>
  <si>
    <t>{{id=3181,hp=100,rate=1}}</t>
    <phoneticPr fontId="1" type="noConversion"/>
  </si>
  <si>
    <t>特殊攻击技能</t>
    <phoneticPr fontId="7" type="noConversion"/>
  </si>
  <si>
    <t>{{id=4012,hp=100,rate=1}}</t>
    <phoneticPr fontId="7" type="noConversion"/>
  </si>
  <si>
    <t>{{id=4022,hp=100,rate=1}}</t>
    <phoneticPr fontId="7" type="noConversion"/>
  </si>
  <si>
    <t>{{id=4032,hp=100,rate=1}}</t>
    <phoneticPr fontId="7" type="noConversion"/>
  </si>
  <si>
    <t>{{id=4042,hp=100,rate=1}}</t>
    <phoneticPr fontId="7" type="noConversion"/>
  </si>
  <si>
    <t>{{id=4052,hp=100,rate=1}}</t>
    <phoneticPr fontId="7" type="noConversion"/>
  </si>
  <si>
    <t>{{id=4062,hp=100,rate=1}}</t>
    <phoneticPr fontId="7" type="noConversion"/>
  </si>
  <si>
    <t>{{id=4072,hp=100,rate=1}}</t>
    <phoneticPr fontId="7" type="noConversion"/>
  </si>
  <si>
    <t>{{id=4092,hp=100,rate=1}}</t>
    <phoneticPr fontId="7" type="noConversion"/>
  </si>
  <si>
    <t>E_pet_09_atk01</t>
  </si>
  <si>
    <t>E_pet_09_atk01_hit</t>
  </si>
  <si>
    <t>E_pet_09_atk02</t>
  </si>
  <si>
    <t>E_pet_09_atk03</t>
  </si>
  <si>
    <t>E_pet_09_atk03_hit</t>
  </si>
  <si>
    <t>E_pet_09_atk04</t>
  </si>
  <si>
    <t>E_pet_09_atk05</t>
  </si>
  <si>
    <t>E_pet_09_atk01_zidan</t>
  </si>
  <si>
    <t>E_pet_09_atk03_zidan</t>
  </si>
  <si>
    <t>宠物9心</t>
    <phoneticPr fontId="7" type="noConversion"/>
  </si>
  <si>
    <t>宠物9 诱惑</t>
    <phoneticPr fontId="7" type="noConversion"/>
  </si>
  <si>
    <t>0.3;0.2;0.2;0.2;0.2;0.2</t>
    <phoneticPr fontId="7" type="noConversion"/>
  </si>
  <si>
    <t>诱惑 lv1</t>
    <phoneticPr fontId="7" type="noConversion"/>
  </si>
  <si>
    <t>巫术龙</t>
    <phoneticPr fontId="7" type="noConversion"/>
  </si>
  <si>
    <t>怪物9分身</t>
    <phoneticPr fontId="7" type="noConversion"/>
  </si>
  <si>
    <t>怪物8钻地</t>
    <phoneticPr fontId="7" type="noConversion"/>
  </si>
  <si>
    <t>分裂 lv1</t>
    <phoneticPr fontId="7" type="noConversion"/>
  </si>
  <si>
    <t>3191;3192</t>
    <phoneticPr fontId="7" type="noConversion"/>
  </si>
  <si>
    <t>5201;5202;5203;5204;5205</t>
    <phoneticPr fontId="7" type="noConversion"/>
  </si>
  <si>
    <t>{{id=5101,hp=100,rate=2},{id=5102,hp=100,rate=2},{id=5103,hp=100,rate=2},{id=5104,hp=100,rate=1},{id=5105,hp=100,rate=2}}</t>
    <phoneticPr fontId="7" type="noConversion"/>
  </si>
  <si>
    <t>跳起朝前使劲爪击，爪子用力过猛插入地下，使劲拔起后仰倒下1秒</t>
    <phoneticPr fontId="7" type="noConversion"/>
  </si>
  <si>
    <t>7801;3181;7803</t>
    <phoneticPr fontId="1" type="noConversion"/>
  </si>
  <si>
    <t>地灰龙泥浆</t>
    <phoneticPr fontId="7" type="noConversion"/>
  </si>
  <si>
    <t>吉亚多</t>
    <phoneticPr fontId="7" type="noConversion"/>
  </si>
  <si>
    <t>技能:黑光眩晕</t>
    <phoneticPr fontId="7" type="noConversion"/>
  </si>
  <si>
    <t>技能:狂暴化</t>
    <phoneticPr fontId="7" type="noConversion"/>
  </si>
  <si>
    <t>技能:魅惑</t>
    <phoneticPr fontId="7" type="noConversion"/>
  </si>
  <si>
    <t>技能:冰冻领域</t>
    <phoneticPr fontId="7" type="noConversion"/>
  </si>
  <si>
    <t>技能:无敌护盾</t>
    <phoneticPr fontId="1" type="noConversion"/>
  </si>
  <si>
    <t>技能:巨人降临</t>
    <phoneticPr fontId="7" type="noConversion"/>
  </si>
  <si>
    <t>技能:幻影分身</t>
    <phoneticPr fontId="7" type="noConversion"/>
  </si>
  <si>
    <t>Text/attr_mu_1</t>
    <phoneticPr fontId="1" type="noConversion"/>
  </si>
  <si>
    <t>Text/attr_an</t>
    <phoneticPr fontId="1" type="noConversion"/>
  </si>
  <si>
    <t>Text/attr_guang_1</t>
    <phoneticPr fontId="1" type="noConversion"/>
  </si>
  <si>
    <t>Text/q2</t>
    <phoneticPr fontId="7" type="noConversion"/>
  </si>
  <si>
    <t>宠物1-4</t>
    <phoneticPr fontId="1" type="noConversion"/>
  </si>
  <si>
    <t>宠物1-5</t>
    <phoneticPr fontId="1" type="noConversion"/>
  </si>
  <si>
    <t>宠物1-6</t>
    <phoneticPr fontId="1" type="noConversion"/>
  </si>
  <si>
    <t>宠物1-7</t>
    <phoneticPr fontId="1" type="noConversion"/>
  </si>
  <si>
    <t>宠物1-8</t>
    <phoneticPr fontId="1" type="noConversion"/>
  </si>
  <si>
    <t>宠物1-9</t>
    <phoneticPr fontId="1" type="noConversion"/>
  </si>
  <si>
    <t>宠物1-10</t>
    <phoneticPr fontId="1" type="noConversion"/>
  </si>
  <si>
    <t>优</t>
    <phoneticPr fontId="1" type="noConversion"/>
  </si>
  <si>
    <t>优-</t>
    <phoneticPr fontId="1" type="noConversion"/>
  </si>
  <si>
    <t>优+</t>
    <phoneticPr fontId="1" type="noConversion"/>
  </si>
  <si>
    <t>{{id=3191,hp=100,rate=1}}</t>
    <phoneticPr fontId="1" type="noConversion"/>
  </si>
  <si>
    <t>宠物9召唤弹</t>
    <phoneticPr fontId="7" type="noConversion"/>
  </si>
  <si>
    <t>3191;3193</t>
    <phoneticPr fontId="7" type="noConversion"/>
  </si>
  <si>
    <t>{{id=3191,hp=100,rate=1},{id=3193,hp=20,rate=100}}</t>
    <phoneticPr fontId="1" type="noConversion"/>
  </si>
  <si>
    <t>召唤</t>
    <phoneticPr fontId="7" type="noConversion"/>
  </si>
  <si>
    <t>BUFF小怪</t>
    <phoneticPr fontId="7" type="noConversion"/>
  </si>
  <si>
    <t>火柴龙</t>
    <phoneticPr fontId="7" type="noConversion"/>
  </si>
  <si>
    <t>1.2;1;1</t>
    <phoneticPr fontId="7" type="noConversion"/>
  </si>
  <si>
    <t>Text/attr_tu_1</t>
  </si>
  <si>
    <t>7201;7202;7203</t>
  </si>
  <si>
    <t>技能:疾风步</t>
  </si>
  <si>
    <t>Text/attr_an</t>
  </si>
  <si>
    <t>7301;7302;7303</t>
  </si>
  <si>
    <t>技能:巨人降临</t>
  </si>
  <si>
    <t>Text/attr_shui_1</t>
  </si>
  <si>
    <t>7401;7402;7403</t>
  </si>
  <si>
    <t>技能:幻影分身</t>
  </si>
  <si>
    <t>7501;7502;7503</t>
  </si>
  <si>
    <t>技能:回春之光</t>
  </si>
  <si>
    <t>7601;7602;7603</t>
  </si>
  <si>
    <t>技能:黑光眩晕</t>
  </si>
  <si>
    <t>火柴龙</t>
  </si>
  <si>
    <t>7701;7702</t>
  </si>
  <si>
    <t>技能:狂暴化</t>
  </si>
  <si>
    <t>Text/q1</t>
  </si>
  <si>
    <t>7801;3181;7803</t>
  </si>
  <si>
    <t>技能:魅惑</t>
  </si>
  <si>
    <t>7901;7902;7903</t>
  </si>
  <si>
    <t>技能:冰冻领域</t>
  </si>
  <si>
    <t>4082;4083</t>
    <phoneticPr fontId="7" type="noConversion"/>
  </si>
  <si>
    <t>0.35;0;0;0.35;0;0</t>
    <phoneticPr fontId="7" type="noConversion"/>
  </si>
  <si>
    <t>0.35;0.05;0.05;0.05;0.05;0.05;0.05;0.05;0.05;0.05</t>
    <phoneticPr fontId="7" type="noConversion"/>
  </si>
  <si>
    <t>0.6;0.05;0;0.05;0;0.05;0;0.05;0</t>
    <phoneticPr fontId="7" type="noConversion"/>
  </si>
  <si>
    <t>0.35;0;0;0;0.35;0;0;0</t>
    <phoneticPr fontId="7" type="noConversion"/>
  </si>
  <si>
    <t>0.6;0;0;0;0;0;0;0;</t>
    <phoneticPr fontId="7" type="noConversion"/>
  </si>
  <si>
    <t>0.6;0.05;0.05;</t>
    <phoneticPr fontId="7" type="noConversion"/>
  </si>
  <si>
    <t>0.05;0.05;0.05;0.05;0.05;0.05;0.05;0.05;0.05;0.05;0.05;0.05;0.05;0.05;0.05;0.05;</t>
    <phoneticPr fontId="7" type="noConversion"/>
  </si>
  <si>
    <t>宠物大作战对应的怪</t>
    <phoneticPr fontId="1" type="noConversion"/>
  </si>
  <si>
    <t>mappingId</t>
    <phoneticPr fontId="7" type="noConversion"/>
  </si>
  <si>
    <t>映射的怪id</t>
    <phoneticPr fontId="7" type="noConversion"/>
  </si>
  <si>
    <t>7801;3182;7803</t>
    <phoneticPr fontId="1" type="noConversion"/>
  </si>
  <si>
    <t>{{id=7101,hp=100,rate=1},{id=7102,hp=100,rate=1},{id=7103,hp=100,rate=1}}</t>
    <phoneticPr fontId="1" type="noConversion"/>
  </si>
  <si>
    <t>{{id=7201,hp=100,rate=1},{id=7202,hp=100,rate=1},{id=7203,hp=100,rate=1}}</t>
    <phoneticPr fontId="1" type="noConversion"/>
  </si>
  <si>
    <t>{{id=7301,hp=100,rate=1},{id=7302,hp=100,rate=1},{id=7303,hp=100,rate=1}}</t>
    <phoneticPr fontId="1" type="noConversion"/>
  </si>
  <si>
    <t>{{id=7401,hp=100,rate=1},{id=7402,hp=100,rate=1},{id=7403,hp=100,rate=1}}</t>
    <phoneticPr fontId="1" type="noConversion"/>
  </si>
  <si>
    <t>{{id=7501,hp=100,rate=1},{id=7502,hp=100,rate=1},{id=7503,hp=100,rate=1}}</t>
    <phoneticPr fontId="1" type="noConversion"/>
  </si>
  <si>
    <t>{{id=7601,hp=100,rate=1},{id=7602,hp=100,rate=1},{id=7603,hp=100,rate=1}}</t>
    <phoneticPr fontId="1" type="noConversion"/>
  </si>
  <si>
    <t>4081;4082</t>
    <phoneticPr fontId="7" type="noConversion"/>
  </si>
  <si>
    <t>价格</t>
    <phoneticPr fontId="1" type="noConversion"/>
  </si>
  <si>
    <t>索里</t>
    <phoneticPr fontId="7" type="noConversion"/>
  </si>
  <si>
    <t>索里</t>
    <phoneticPr fontId="1" type="noConversion"/>
  </si>
  <si>
    <t>索里-轻装</t>
    <phoneticPr fontId="1" type="noConversion"/>
  </si>
  <si>
    <t>索里-重装</t>
    <phoneticPr fontId="1" type="noConversion"/>
  </si>
  <si>
    <t>索里-铠甲兽龙</t>
    <phoneticPr fontId="1" type="noConversion"/>
  </si>
  <si>
    <t>卡维力-轻装</t>
    <phoneticPr fontId="1" type="noConversion"/>
  </si>
  <si>
    <t>卡维力-重装</t>
    <phoneticPr fontId="1" type="noConversion"/>
  </si>
  <si>
    <t>卡维力-铠甲兽龙</t>
    <phoneticPr fontId="1" type="noConversion"/>
  </si>
  <si>
    <t>Character/Lead05_1/prefab</t>
    <phoneticPr fontId="1" type="noConversion"/>
  </si>
  <si>
    <t>Character/Lead05_2/prefab</t>
  </si>
  <si>
    <t>Character/Lead05_3/prefab</t>
  </si>
  <si>
    <t>Transformer/Mecha05/prefab</t>
    <phoneticPr fontId="1" type="noConversion"/>
  </si>
  <si>
    <t>Character/Lead06_1/prefab</t>
    <phoneticPr fontId="1" type="noConversion"/>
  </si>
  <si>
    <t>Character/Lead06_2/prefab</t>
  </si>
  <si>
    <t>Character/Lead06_3/prefab</t>
  </si>
  <si>
    <t>Transformer/Mecha06/prefab</t>
    <phoneticPr fontId="1" type="noConversion"/>
  </si>
  <si>
    <t>1505;1506;1501;1502;1503;1504</t>
    <phoneticPr fontId="1" type="noConversion"/>
  </si>
  <si>
    <t>1507;1508;1501;1502;1503;1504</t>
    <phoneticPr fontId="1" type="noConversion"/>
  </si>
  <si>
    <t>1509;1510;1501;1502;1503;1504</t>
    <phoneticPr fontId="1" type="noConversion"/>
  </si>
  <si>
    <t>{{id=1505,hp=100,rate=1},{id=1506,hp=100,rate=1}}</t>
    <phoneticPr fontId="1" type="noConversion"/>
  </si>
  <si>
    <t>{{id=1507,hp=100,rate=1},{id=1508,hp=100,rate=1}}</t>
    <phoneticPr fontId="1" type="noConversion"/>
  </si>
  <si>
    <t>{{id=1509,hp=100,rate=1},{id=1510,hp=100,rate=1}}</t>
    <phoneticPr fontId="1" type="noConversion"/>
  </si>
  <si>
    <t>1605;1606;1601;1602;1603;1604</t>
    <phoneticPr fontId="1" type="noConversion"/>
  </si>
  <si>
    <t>1607;1608;1601;1602;1603;1604</t>
    <phoneticPr fontId="1" type="noConversion"/>
  </si>
  <si>
    <t>1609;1610;1601;1602;1603;1604</t>
    <phoneticPr fontId="1" type="noConversion"/>
  </si>
  <si>
    <t>{{id=1605,hp=100,rate=1},{id=1606,hp=100,rate=1}}</t>
    <phoneticPr fontId="1" type="noConversion"/>
  </si>
  <si>
    <t>{{id=1607,hp=100,rate=1},{id=1608,hp=100,rate=1}}</t>
    <phoneticPr fontId="1" type="noConversion"/>
  </si>
  <si>
    <t>{{id=1609,hp=100,rate=1},{id=1610,hp=100,rate=1}}</t>
    <phoneticPr fontId="1" type="noConversion"/>
  </si>
  <si>
    <t>寒冰龙</t>
    <phoneticPr fontId="1" type="noConversion"/>
  </si>
  <si>
    <t>icon/mon10</t>
    <phoneticPr fontId="7" type="noConversion"/>
  </si>
  <si>
    <t>Model/Monster/Monster10/prefab</t>
    <phoneticPr fontId="1" type="noConversion"/>
  </si>
  <si>
    <t>{{id=3201,hp=100,rate=1}}</t>
    <phoneticPr fontId="1" type="noConversion"/>
  </si>
  <si>
    <t>寒冰龙</t>
    <phoneticPr fontId="1" type="noConversion"/>
  </si>
  <si>
    <t>icon/mon10</t>
    <phoneticPr fontId="7" type="noConversion"/>
  </si>
  <si>
    <t>Model/Monster/Pet10/prefab</t>
    <phoneticPr fontId="1" type="noConversion"/>
  </si>
  <si>
    <t>8001;8002;8003</t>
    <phoneticPr fontId="1" type="noConversion"/>
  </si>
  <si>
    <t>{}</t>
    <phoneticPr fontId="1" type="noConversion"/>
  </si>
  <si>
    <t>宠物9 加血</t>
    <phoneticPr fontId="7" type="noConversion"/>
  </si>
  <si>
    <t>E_lead_05_change</t>
  </si>
  <si>
    <t>E_lead_02_change</t>
    <phoneticPr fontId="7" type="noConversion"/>
  </si>
  <si>
    <t>E_lead_03_change</t>
  </si>
  <si>
    <t>E_lead_04_change</t>
  </si>
  <si>
    <t>E_lead_06_change</t>
  </si>
  <si>
    <t>E_lead_05_atk01_02</t>
  </si>
  <si>
    <t>E_lead_05_atk01_hit</t>
  </si>
  <si>
    <t>E_lead_05_atk02</t>
  </si>
  <si>
    <t>E_lead_05_dodge</t>
  </si>
  <si>
    <t>E_lead_06_atk01_02</t>
  </si>
  <si>
    <t>E_lead_06_atk01_hit</t>
  </si>
  <si>
    <t>E_lead_06_atk02</t>
  </si>
  <si>
    <t>E_lead_06_dodge</t>
  </si>
  <si>
    <t>mecha_05_atk</t>
  </si>
  <si>
    <t>mecha_06_atk</t>
  </si>
  <si>
    <t>E_boss_02_atk01</t>
  </si>
  <si>
    <t>E_boss_02_atk02</t>
  </si>
  <si>
    <t>E_boss_02_atk03</t>
  </si>
  <si>
    <t>E_boss_02_atk05</t>
  </si>
  <si>
    <t>E_boss_02_hit</t>
  </si>
  <si>
    <t>E_boss_02_ready</t>
  </si>
  <si>
    <t>主角5子弹</t>
    <phoneticPr fontId="1" type="noConversion"/>
  </si>
  <si>
    <t>主角5技能子弹</t>
    <phoneticPr fontId="1" type="noConversion"/>
  </si>
  <si>
    <t>主角5机甲子弹</t>
    <phoneticPr fontId="1" type="noConversion"/>
  </si>
  <si>
    <t>E_lead_05_atk01_zidan</t>
  </si>
  <si>
    <t>E_lead_05_atk02_zidan</t>
  </si>
  <si>
    <t>主角6子弹</t>
    <phoneticPr fontId="1" type="noConversion"/>
  </si>
  <si>
    <t>主角6机甲</t>
    <phoneticPr fontId="1" type="noConversion"/>
  </si>
  <si>
    <t>E_lead_06_atk01_zidan</t>
  </si>
  <si>
    <t>0.24;0.24;0.24</t>
    <phoneticPr fontId="7" type="noConversion"/>
  </si>
  <si>
    <t>1;0.2;0.2;0.2;0.2;0.2;0.2;0.2;0.2;0.2</t>
    <phoneticPr fontId="1" type="noConversion"/>
  </si>
  <si>
    <t>1;0.03;0.03;0.03;0.03;0.03;0.03;0.03;0.03;0.03;0.03;0.03;0.03;0.03;0.03;0.03;0.03;0.03;0.03;0.03;0.03;0.03;0.03;0.03;0.03;0.03;0.03;0.03;0.03;0.03;0.03;0.03;0.03;0.03;0.03;0.03;0.03;0.03;0.03;0.03;0.03;0.03;0.03;0.03;0.03;0.03;0.03;0.03;0.03;0.03;0.03;0.03;0.03;0.03;0.03;0.03;0.03;0.03;0.03;0.03</t>
    <phoneticPr fontId="7" type="noConversion"/>
  </si>
  <si>
    <t>围绕施法者</t>
    <phoneticPr fontId="1" type="noConversion"/>
  </si>
  <si>
    <t>0.33;0.33;0.33</t>
    <phoneticPr fontId="7" type="noConversion"/>
  </si>
  <si>
    <t>0.5;0.1;0.1;0.1</t>
    <phoneticPr fontId="7" type="noConversion"/>
  </si>
  <si>
    <t>停留跟踪</t>
    <phoneticPr fontId="1" type="noConversion"/>
  </si>
  <si>
    <t>0.2;0.2;0.3;0.3;0.3;0.3;0.3</t>
    <phoneticPr fontId="7" type="noConversion"/>
  </si>
  <si>
    <t>E_boss_02_atk02_zidan</t>
  </si>
  <si>
    <t>E_boss_02_zidan</t>
  </si>
  <si>
    <t>0;0;2</t>
    <phoneticPr fontId="7" type="noConversion"/>
  </si>
  <si>
    <t>冲</t>
    <phoneticPr fontId="7" type="noConversion"/>
  </si>
  <si>
    <t>甩尾</t>
    <phoneticPr fontId="7" type="noConversion"/>
  </si>
  <si>
    <t>吸</t>
    <phoneticPr fontId="7" type="noConversion"/>
  </si>
  <si>
    <t>连续</t>
    <phoneticPr fontId="7" type="noConversion"/>
  </si>
  <si>
    <t>3;3;3</t>
    <phoneticPr fontId="7" type="noConversion"/>
  </si>
  <si>
    <t>宠物10子弹</t>
    <phoneticPr fontId="7" type="noConversion"/>
  </si>
  <si>
    <t>宠物10buff子弹</t>
    <phoneticPr fontId="7" type="noConversion"/>
  </si>
  <si>
    <t>E_pet_10_atk01</t>
  </si>
  <si>
    <t>E_pet_10_atk01_hit</t>
  </si>
  <si>
    <t>E_pet_10_atk02</t>
  </si>
  <si>
    <t>宠物10攻击</t>
    <phoneticPr fontId="1" type="noConversion"/>
  </si>
  <si>
    <t>宠物10 技能</t>
    <phoneticPr fontId="1" type="noConversion"/>
  </si>
  <si>
    <t>宠物10 眩晕</t>
    <phoneticPr fontId="1" type="noConversion"/>
  </si>
  <si>
    <t>冰龙</t>
    <phoneticPr fontId="7" type="noConversion"/>
  </si>
  <si>
    <t>Effect_bing</t>
  </si>
  <si>
    <t>E_pet_10_atk01_zidan</t>
  </si>
  <si>
    <t>冰</t>
    <phoneticPr fontId="7" type="noConversion"/>
  </si>
  <si>
    <t>Effect_bingdi</t>
  </si>
  <si>
    <t>宠物10冰</t>
    <phoneticPr fontId="7" type="noConversion"/>
  </si>
  <si>
    <t>怪物10攻击</t>
    <phoneticPr fontId="7" type="noConversion"/>
  </si>
  <si>
    <t>{{id=5201,hp=100,rate=2},{id=5202,hp=100,rate=2},{id=5203,hp=100,rate=2},{id=5204,hp=100,rate=1},{id=5205,hp=100,rate=2}}</t>
    <phoneticPr fontId="7" type="noConversion"/>
  </si>
  <si>
    <t>Text/q1</t>
    <phoneticPr fontId="1" type="noConversion"/>
  </si>
  <si>
    <t>icon/rob4</t>
    <phoneticPr fontId="1" type="noConversion"/>
  </si>
  <si>
    <t>icon/rob3</t>
    <phoneticPr fontId="1" type="noConversion"/>
  </si>
  <si>
    <t>icon/head10</t>
    <phoneticPr fontId="1" type="noConversion"/>
  </si>
  <si>
    <t>icon/head11</t>
    <phoneticPr fontId="7" type="noConversion"/>
  </si>
  <si>
    <t>icon/head12</t>
    <phoneticPr fontId="7" type="noConversion"/>
  </si>
  <si>
    <t>Text/q3</t>
    <phoneticPr fontId="1" type="noConversion"/>
  </si>
  <si>
    <t>icon/head7</t>
    <phoneticPr fontId="1" type="noConversion"/>
  </si>
  <si>
    <t>icon/head8</t>
    <phoneticPr fontId="7" type="noConversion"/>
  </si>
  <si>
    <t>icon/head9</t>
    <phoneticPr fontId="7" type="noConversion"/>
  </si>
  <si>
    <t>S</t>
    <phoneticPr fontId="7" type="noConversion"/>
  </si>
  <si>
    <t>icon</t>
    <phoneticPr fontId="7" type="noConversion"/>
  </si>
  <si>
    <t>图标</t>
    <phoneticPr fontId="7" type="noConversion"/>
  </si>
  <si>
    <t>icon/act_1_1</t>
    <phoneticPr fontId="7" type="noConversion"/>
  </si>
  <si>
    <t>icon/act_1_2</t>
    <phoneticPr fontId="7" type="noConversion"/>
  </si>
  <si>
    <t>icon/act_2_1</t>
    <phoneticPr fontId="7" type="noConversion"/>
  </si>
  <si>
    <t>icon/act_2_2</t>
    <phoneticPr fontId="7" type="noConversion"/>
  </si>
  <si>
    <t>icon/act_3_1</t>
    <phoneticPr fontId="7" type="noConversion"/>
  </si>
  <si>
    <t>icon/act_3_2</t>
    <phoneticPr fontId="7" type="noConversion"/>
  </si>
  <si>
    <t>icon/act_4_1</t>
    <phoneticPr fontId="7" type="noConversion"/>
  </si>
  <si>
    <t>icon/act_4_2</t>
    <phoneticPr fontId="7" type="noConversion"/>
  </si>
  <si>
    <t>icon/act_5_1</t>
    <phoneticPr fontId="7" type="noConversion"/>
  </si>
  <si>
    <t>icon/act_5_2</t>
    <phoneticPr fontId="7" type="noConversion"/>
  </si>
  <si>
    <t>icon/act_6_1</t>
    <phoneticPr fontId="7" type="noConversion"/>
  </si>
  <si>
    <t>icon/act_6_2</t>
    <phoneticPr fontId="7" type="noConversion"/>
  </si>
  <si>
    <t>icon/pet_1_1</t>
    <phoneticPr fontId="7" type="noConversion"/>
  </si>
  <si>
    <t>icon/pet_2_1</t>
    <phoneticPr fontId="7" type="noConversion"/>
  </si>
  <si>
    <t>icon/pet_3_1</t>
    <phoneticPr fontId="7" type="noConversion"/>
  </si>
  <si>
    <t>icon/pet_4_1</t>
    <phoneticPr fontId="7" type="noConversion"/>
  </si>
  <si>
    <t>icon/pet_5_1</t>
    <phoneticPr fontId="7" type="noConversion"/>
  </si>
  <si>
    <t>icon/pet_6_1</t>
    <phoneticPr fontId="7" type="noConversion"/>
  </si>
  <si>
    <t>icon/pet_7_1</t>
    <phoneticPr fontId="7" type="noConversion"/>
  </si>
  <si>
    <t>icon/pet_8_1</t>
    <phoneticPr fontId="7" type="noConversion"/>
  </si>
  <si>
    <t>icon/pet_9_1</t>
    <phoneticPr fontId="7" type="noConversion"/>
  </si>
  <si>
    <t>icon/pet_10_1</t>
    <phoneticPr fontId="7" type="noConversion"/>
  </si>
  <si>
    <t>icon/act_1_0</t>
    <phoneticPr fontId="7" type="noConversion"/>
  </si>
  <si>
    <t>icon/act_2_0</t>
    <phoneticPr fontId="7" type="noConversion"/>
  </si>
  <si>
    <t>icon/act_3_0</t>
    <phoneticPr fontId="7" type="noConversion"/>
  </si>
  <si>
    <t>icon/act_4_0</t>
    <phoneticPr fontId="7" type="noConversion"/>
  </si>
  <si>
    <t>icon/act_5_0</t>
    <phoneticPr fontId="7" type="noConversion"/>
  </si>
  <si>
    <t>icon/act_6_0</t>
    <phoneticPr fontId="7" type="noConversion"/>
  </si>
  <si>
    <t>{{id=4102,hp=100,rate=1}}</t>
    <phoneticPr fontId="1" type="noConversion"/>
  </si>
  <si>
    <t>{{id=4011,hp=100,rate=1},{id=4013,hp=100,rate=1}}</t>
    <phoneticPr fontId="7" type="noConversion"/>
  </si>
  <si>
    <t>{{id=4021,hp=100,rate=1},{id=4023,hp=100,rate=1}}</t>
    <phoneticPr fontId="7" type="noConversion"/>
  </si>
  <si>
    <t>{{id=4031,hp=100,rate=1},{id=4033,hp=100,rate=1}}</t>
    <phoneticPr fontId="7" type="noConversion"/>
  </si>
  <si>
    <t>{{id=4041,hp=100,rate=1},{id=4042,hp=100,rate=1}}</t>
    <phoneticPr fontId="7" type="noConversion"/>
  </si>
  <si>
    <t>{{id=4051,hp=100,rate=1},{id=4053,hp=100,rate=1}}</t>
    <phoneticPr fontId="7" type="noConversion"/>
  </si>
  <si>
    <t>{{id=4061,hp=100,rate=1},{id=4063,hp=100,rate=1}}</t>
    <phoneticPr fontId="7" type="noConversion"/>
  </si>
  <si>
    <t>{{id=4082,hp=100,rate=1},{id=4083,hp=100,rate=1}}</t>
    <phoneticPr fontId="7" type="noConversion"/>
  </si>
  <si>
    <t>4063;4061</t>
    <phoneticPr fontId="7" type="noConversion"/>
  </si>
  <si>
    <t>4053;4051</t>
    <phoneticPr fontId="7" type="noConversion"/>
  </si>
  <si>
    <t>4042;4041</t>
    <phoneticPr fontId="7" type="noConversion"/>
  </si>
  <si>
    <t>4033;4031</t>
    <phoneticPr fontId="7" type="noConversion"/>
  </si>
  <si>
    <t>4023;4021</t>
    <phoneticPr fontId="7" type="noConversion"/>
  </si>
  <si>
    <t>4013;4011</t>
    <phoneticPr fontId="7" type="noConversion"/>
  </si>
  <si>
    <t>4101;4103</t>
    <phoneticPr fontId="7" type="noConversion"/>
  </si>
  <si>
    <t>4072;4071</t>
    <phoneticPr fontId="7" type="noConversion"/>
  </si>
  <si>
    <t>{{id=4071,hp=100,rate=1},{id=4072,hp=100,rate=1}}</t>
    <phoneticPr fontId="7" type="noConversion"/>
  </si>
  <si>
    <t>0.35;0.35</t>
    <phoneticPr fontId="1" type="noConversion"/>
  </si>
  <si>
    <t>8001;8002;8003</t>
    <phoneticPr fontId="1" type="noConversion"/>
  </si>
  <si>
    <t>{{id=7801,hp=100,rate=1},{id=7803,hp=100,rate=1},{id=3182,hp=100,rate=1}}</t>
    <phoneticPr fontId="1" type="noConversion"/>
  </si>
  <si>
    <t>{{id=8001,hp=100,rate=1},{id=8002,hp=100,rate=1},{id=8003,hp=100,rate=1}}</t>
    <phoneticPr fontId="1" type="noConversion"/>
  </si>
  <si>
    <t>{{id=7701,hp=100,rate=1},{id=7702,hp=100,rate=1}}</t>
    <phoneticPr fontId="1" type="noConversion"/>
  </si>
  <si>
    <t>{{id=7801,hp=100,rate=1},{id=3181,hp=100,rate=1}}</t>
    <phoneticPr fontId="1" type="noConversion"/>
  </si>
  <si>
    <t>0.35;0;0;0.35;0;0</t>
    <phoneticPr fontId="1" type="noConversion"/>
  </si>
  <si>
    <t>0.25;0.05;0.05;0.05;0.05;0.05;0.05;0.05;0.05;0.05;0.05;0.05</t>
    <phoneticPr fontId="7" type="noConversion"/>
  </si>
  <si>
    <t>0.24;0.1;0.1;0.1;0.1;0.1</t>
    <phoneticPr fontId="7" type="noConversion"/>
  </si>
  <si>
    <t>甩尾</t>
    <phoneticPr fontId="7" type="noConversion"/>
  </si>
  <si>
    <t>休息</t>
    <phoneticPr fontId="7" type="noConversion"/>
  </si>
  <si>
    <t>炫冰龙</t>
    <phoneticPr fontId="1" type="noConversion"/>
  </si>
  <si>
    <t>技能:冰冻领域</t>
    <phoneticPr fontId="7" type="noConversion"/>
  </si>
  <si>
    <t>技能:泥石流</t>
    <phoneticPr fontId="7" type="noConversion"/>
  </si>
  <si>
    <t>技能:回春术</t>
    <phoneticPr fontId="7" type="noConversion"/>
  </si>
  <si>
    <t>技能:疾风步</t>
    <phoneticPr fontId="7" type="noConversion"/>
  </si>
  <si>
    <t>0.35;0;0.35;0</t>
    <phoneticPr fontId="1" type="noConversion"/>
  </si>
  <si>
    <t>{{id=8001,hp=100,rate=1},{id=8002,hp=100,rate=1}}</t>
    <phoneticPr fontId="1" type="noConversion"/>
  </si>
  <si>
    <t>{{id=4082,hp=100,rate=1},{id=4081,hp=100,rate=1}}</t>
    <phoneticPr fontId="7" type="noConversion"/>
  </si>
  <si>
    <t>{{id=4101,hp=100,rate=1},{id=4103,hp=100,rate=1}}</t>
    <phoneticPr fontId="1" type="noConversion"/>
  </si>
  <si>
    <t>怪物9分身</t>
    <phoneticPr fontId="7" type="noConversion"/>
  </si>
  <si>
    <t>7901;7902;3194</t>
    <phoneticPr fontId="1" type="noConversion"/>
  </si>
  <si>
    <t>{{id=7901,hp=100,rate=1},{id=7902,hp=100,rate=1}}</t>
    <phoneticPr fontId="1" type="noConversion"/>
  </si>
  <si>
    <t>蔡英文</t>
  </si>
  <si>
    <t>香港建国</t>
  </si>
  <si>
    <t>港独</t>
  </si>
  <si>
    <t>香港独立</t>
  </si>
  <si>
    <t>香港城邦论</t>
  </si>
  <si>
    <t>反国教运动</t>
  </si>
  <si>
    <t>清真</t>
  </si>
  <si>
    <t>浴盐</t>
  </si>
  <si>
    <t>你奶奶</t>
  </si>
  <si>
    <t>“震撼”视频文件</t>
  </si>
  <si>
    <t>《12个春秋》</t>
  </si>
  <si>
    <t>《风波记》</t>
  </si>
  <si>
    <t>《目睹中国改革开放28年之怪现状》</t>
  </si>
  <si>
    <t>《苹果》</t>
  </si>
  <si>
    <t>《色戒》</t>
  </si>
  <si>
    <t>《天音》</t>
  </si>
  <si>
    <t>《天音》专辑</t>
  </si>
  <si>
    <t>《中国民主》</t>
  </si>
  <si>
    <t>001工程</t>
  </si>
  <si>
    <t>00smcn</t>
  </si>
  <si>
    <t>01ghcom</t>
  </si>
  <si>
    <t>025gamecn</t>
  </si>
  <si>
    <t>0571qqcom</t>
  </si>
  <si>
    <t>09citycom</t>
  </si>
  <si>
    <t>1000scarfcom</t>
  </si>
  <si>
    <t>10mbcn</t>
  </si>
  <si>
    <t>10产10党</t>
  </si>
  <si>
    <t>1100ycom</t>
  </si>
  <si>
    <t>11xp1243netcn</t>
  </si>
  <si>
    <t>1234chengren1249netcn</t>
  </si>
  <si>
    <t>131com</t>
  </si>
  <si>
    <t>13888wgcom</t>
  </si>
  <si>
    <t>13mlnet</t>
  </si>
  <si>
    <t>158lecom</t>
  </si>
  <si>
    <t>15wycom</t>
  </si>
  <si>
    <t>166578cn</t>
  </si>
  <si>
    <t>16dy图库</t>
  </si>
  <si>
    <t>16dy圖庫</t>
  </si>
  <si>
    <t>16大</t>
  </si>
  <si>
    <t>17173dlnet</t>
  </si>
  <si>
    <t>17173yxdlcn</t>
  </si>
  <si>
    <t>173atcom</t>
  </si>
  <si>
    <t>17youlecom</t>
  </si>
  <si>
    <t>17大</t>
  </si>
  <si>
    <t>17权力布局</t>
  </si>
  <si>
    <t>18900com</t>
  </si>
  <si>
    <t>18禁</t>
  </si>
  <si>
    <t>18摸</t>
  </si>
  <si>
    <t>１８歲淫亂</t>
  </si>
  <si>
    <t>1Pondo</t>
  </si>
  <si>
    <t>1qmsjcom</t>
  </si>
  <si>
    <t>1t1tcom</t>
  </si>
  <si>
    <t>1夜情</t>
  </si>
  <si>
    <t>202333com</t>
  </si>
  <si>
    <t>21世纪中国基金会</t>
  </si>
  <si>
    <t>222se图片</t>
  </si>
  <si>
    <t>222se圖片</t>
  </si>
  <si>
    <t>2feichecn</t>
  </si>
  <si>
    <t>301医院</t>
  </si>
  <si>
    <t>314事件</t>
  </si>
  <si>
    <t>33bbb走光</t>
  </si>
  <si>
    <t>365gn</t>
  </si>
  <si>
    <t>365tttyxcom</t>
  </si>
  <si>
    <t>371工程</t>
  </si>
  <si>
    <t>37447cn</t>
  </si>
  <si>
    <t>3kwowcom</t>
  </si>
  <si>
    <t>3P炮图</t>
  </si>
  <si>
    <t>3P炮圖</t>
  </si>
  <si>
    <t>3号文件</t>
  </si>
  <si>
    <t>3退</t>
  </si>
  <si>
    <t>425事件</t>
  </si>
  <si>
    <t>47513cn</t>
  </si>
  <si>
    <t>4号文件</t>
  </si>
  <si>
    <t>51hdwcom</t>
  </si>
  <si>
    <t>51inicom</t>
  </si>
  <si>
    <t>51jiafencn</t>
  </si>
  <si>
    <t>51juezhancom</t>
  </si>
  <si>
    <t>52ppsacn</t>
  </si>
  <si>
    <t>52sxhycn</t>
  </si>
  <si>
    <t>54herocom</t>
  </si>
  <si>
    <t>55sss偷拍区</t>
  </si>
  <si>
    <t>55sss偷拍區</t>
  </si>
  <si>
    <t>567567aacn</t>
  </si>
  <si>
    <t>571工程</t>
  </si>
  <si>
    <t>597ftcom</t>
  </si>
  <si>
    <t>5d6dcom</t>
  </si>
  <si>
    <t>5m5m5mcom</t>
  </si>
  <si>
    <t>5号文件</t>
  </si>
  <si>
    <t>６10办公室</t>
  </si>
  <si>
    <t>610洗脑班</t>
  </si>
  <si>
    <t>64tianwang</t>
  </si>
  <si>
    <t>64大屠杀</t>
  </si>
  <si>
    <t>64事件</t>
  </si>
  <si>
    <t>64学潮</t>
  </si>
  <si>
    <t>661661com</t>
  </si>
  <si>
    <t>69nbcom</t>
  </si>
  <si>
    <t>6产0</t>
  </si>
  <si>
    <t>6铲0</t>
  </si>
  <si>
    <t>6產0</t>
  </si>
  <si>
    <t>6党</t>
  </si>
  <si>
    <t>6黨</t>
  </si>
  <si>
    <t>6功</t>
  </si>
  <si>
    <t>6号文件</t>
  </si>
  <si>
    <t>6合彩</t>
  </si>
  <si>
    <t>6轮0</t>
  </si>
  <si>
    <t>6輪0</t>
  </si>
  <si>
    <t>71kacom</t>
  </si>
  <si>
    <t>77bbb</t>
  </si>
  <si>
    <t>7GG</t>
  </si>
  <si>
    <t>7mmocom</t>
  </si>
  <si>
    <t>7号文件</t>
  </si>
  <si>
    <t>8188mucom</t>
  </si>
  <si>
    <t>888895com</t>
  </si>
  <si>
    <t>88kxcom</t>
  </si>
  <si>
    <t>88mysfcom</t>
  </si>
  <si>
    <t>8964cdjp</t>
  </si>
  <si>
    <t>８9事件</t>
  </si>
  <si>
    <t>91bysdcn</t>
  </si>
  <si>
    <t>92eycom</t>
  </si>
  <si>
    <t>92klghcn</t>
  </si>
  <si>
    <t>92wydlcom</t>
  </si>
  <si>
    <t>97sese</t>
  </si>
  <si>
    <t>991gamecom</t>
  </si>
  <si>
    <t>999日本妹</t>
  </si>
  <si>
    <t>99sacom</t>
  </si>
  <si>
    <t>a33com</t>
  </si>
  <si>
    <t>a4u</t>
  </si>
  <si>
    <t>a4y</t>
  </si>
  <si>
    <t>aaacs51524com</t>
  </si>
  <si>
    <t>aaads59764com</t>
  </si>
  <si>
    <t>aayazhousetuhi9705netcn</t>
  </si>
  <si>
    <t>Abian</t>
  </si>
  <si>
    <t>Abianwansui</t>
  </si>
  <si>
    <t>ADMIN</t>
  </si>
  <si>
    <t>Administrator</t>
  </si>
  <si>
    <t>ahole</t>
  </si>
  <si>
    <t>Aiort墓地</t>
  </si>
  <si>
    <t>aisenhaoweier</t>
  </si>
  <si>
    <t>ai滋</t>
  </si>
  <si>
    <t>Alafate</t>
  </si>
  <si>
    <t>Aluoyue</t>
  </si>
  <si>
    <t>anbeijinsan</t>
  </si>
  <si>
    <t>annan</t>
  </si>
  <si>
    <t>any2000com</t>
  </si>
  <si>
    <t>aobama</t>
  </si>
  <si>
    <t>aomaer</t>
  </si>
  <si>
    <t>Arqus会议场</t>
  </si>
  <si>
    <t>asgardcncom</t>
  </si>
  <si>
    <t>ashole</t>
  </si>
  <si>
    <t>ASS</t>
  </si>
  <si>
    <t>asshole</t>
  </si>
  <si>
    <t>Atan的移动石</t>
  </si>
  <si>
    <t>av</t>
  </si>
  <si>
    <t>AV出售</t>
  </si>
  <si>
    <t>AV电影</t>
  </si>
  <si>
    <t>AV麻将</t>
  </si>
  <si>
    <t>AV麻將</t>
  </si>
  <si>
    <t>AV女</t>
  </si>
  <si>
    <t>AV女优</t>
  </si>
  <si>
    <t>A级</t>
  </si>
  <si>
    <t>A片</t>
  </si>
  <si>
    <t>a片网</t>
  </si>
  <si>
    <t>Baichi</t>
  </si>
  <si>
    <t>baijie1249netcn</t>
  </si>
  <si>
    <t>banchan</t>
  </si>
  <si>
    <t>Baopi</t>
  </si>
  <si>
    <t>baoweier</t>
  </si>
  <si>
    <t>Bao皮</t>
  </si>
  <si>
    <t>bastard</t>
  </si>
  <si>
    <t>bazhuwgcn</t>
  </si>
  <si>
    <t>bbs766com</t>
  </si>
  <si>
    <t>bbs7ggcn</t>
  </si>
  <si>
    <t>bbsbutcncom</t>
  </si>
  <si>
    <t>bbscity</t>
  </si>
  <si>
    <t>bbspkmmo</t>
  </si>
  <si>
    <t>Bc</t>
  </si>
  <si>
    <t>bcds59764com</t>
  </si>
  <si>
    <t>beijingspring</t>
  </si>
  <si>
    <t>benladeng</t>
  </si>
  <si>
    <t>biaozi</t>
  </si>
  <si>
    <t>Biao子</t>
  </si>
  <si>
    <t>bibiducom</t>
  </si>
  <si>
    <t>bignews</t>
  </si>
  <si>
    <t>bitch</t>
  </si>
  <si>
    <t>Bi样</t>
  </si>
  <si>
    <t>bjzc</t>
  </si>
  <si>
    <t>bl62com</t>
  </si>
  <si>
    <t>blackseecomcn</t>
  </si>
  <si>
    <t>BLOWJOB</t>
  </si>
  <si>
    <t>BlowJobs</t>
  </si>
  <si>
    <t>bobaoping</t>
  </si>
  <si>
    <t>boxilai</t>
  </si>
  <si>
    <t>boxun</t>
  </si>
  <si>
    <t>BTO</t>
  </si>
  <si>
    <t>bt成人</t>
  </si>
  <si>
    <t>bulaier</t>
  </si>
  <si>
    <t>bulaogecom</t>
  </si>
  <si>
    <t>bushi</t>
  </si>
  <si>
    <t>butthead</t>
  </si>
  <si>
    <t>butthole</t>
  </si>
  <si>
    <t>bwowdcom</t>
  </si>
  <si>
    <t>bz176com</t>
  </si>
  <si>
    <t>b好痒</t>
  </si>
  <si>
    <t>B贱货</t>
  </si>
  <si>
    <t>b穴</t>
  </si>
  <si>
    <t>b痒</t>
  </si>
  <si>
    <t>B样</t>
  </si>
  <si>
    <t>C4等炸弹制作方法炸药制作</t>
  </si>
  <si>
    <t>C4塑胶TNT</t>
  </si>
  <si>
    <t>C4炸药制作</t>
  </si>
  <si>
    <t>c4制作方法</t>
  </si>
  <si>
    <t>c5c8cn</t>
  </si>
  <si>
    <t>canyaacom</t>
  </si>
  <si>
    <t>caoB</t>
  </si>
  <si>
    <t>caobi</t>
  </si>
  <si>
    <t>caogangchuan</t>
  </si>
  <si>
    <t>cao你</t>
  </si>
  <si>
    <t>cao你大爷</t>
  </si>
  <si>
    <t>cao你妈</t>
  </si>
  <si>
    <t>Carrefour</t>
  </si>
  <si>
    <t>cctv</t>
  </si>
  <si>
    <t>CC小雪</t>
  </si>
  <si>
    <t>cdjp</t>
  </si>
  <si>
    <t>cdreamcom</t>
  </si>
  <si>
    <t>chailing</t>
  </si>
  <si>
    <t>cha你</t>
  </si>
  <si>
    <t>chenduxiu</t>
  </si>
  <si>
    <t>chengmingmag</t>
  </si>
  <si>
    <t>chengrenmanhua1242netcn</t>
  </si>
  <si>
    <t>chengrenwangzhi1242netcn</t>
  </si>
  <si>
    <t>chenliangyu</t>
  </si>
  <si>
    <t>chenshuibian</t>
  </si>
  <si>
    <t>chenyi</t>
  </si>
  <si>
    <t>chenyun</t>
  </si>
  <si>
    <t>chenzhili</t>
  </si>
  <si>
    <t>chinaliberal</t>
  </si>
  <si>
    <t>chinamz</t>
  </si>
  <si>
    <t>chinavfxnet</t>
  </si>
  <si>
    <t>chinesenewsnet</t>
  </si>
  <si>
    <t>chinesenewsweek</t>
  </si>
  <si>
    <t>chongxianmucn</t>
  </si>
  <si>
    <t>chunyilang</t>
  </si>
  <si>
    <t>cikcatv2om</t>
  </si>
  <si>
    <t>Client</t>
  </si>
  <si>
    <t>Clockgemstone</t>
  </si>
  <si>
    <t>cnaicheng1174netcn</t>
  </si>
  <si>
    <t>cnd</t>
  </si>
  <si>
    <t>consignment5173</t>
  </si>
  <si>
    <t>creaders</t>
  </si>
  <si>
    <t>Crestbone</t>
  </si>
  <si>
    <t>CS</t>
  </si>
  <si>
    <t>cunt</t>
  </si>
  <si>
    <t>cvceocom</t>
  </si>
  <si>
    <t>d666com</t>
  </si>
  <si>
    <t>dadaticom</t>
  </si>
  <si>
    <t>dafa</t>
  </si>
  <si>
    <t>dajiyuan</t>
  </si>
  <si>
    <t>dalai</t>
  </si>
  <si>
    <t>dalailama</t>
  </si>
  <si>
    <t>DalaiLama自傳</t>
  </si>
  <si>
    <t>damm</t>
  </si>
  <si>
    <t>damn</t>
  </si>
  <si>
    <t>dang</t>
  </si>
  <si>
    <t>dengxiaoping</t>
  </si>
  <si>
    <t>dfdz</t>
  </si>
  <si>
    <t>digitallongkingcom</t>
  </si>
  <si>
    <t>dingxiang1243netcn</t>
  </si>
  <si>
    <t>dingxiang1249net</t>
  </si>
  <si>
    <t>dishun</t>
  </si>
  <si>
    <t>DIY原子弹</t>
  </si>
  <si>
    <t>dlcom</t>
  </si>
  <si>
    <t>dolbbscom</t>
  </si>
  <si>
    <t>dongtiaoyingji</t>
  </si>
  <si>
    <t>dpp</t>
  </si>
  <si>
    <t>dulumen</t>
  </si>
  <si>
    <t>duowan</t>
  </si>
  <si>
    <t>duowancom</t>
  </si>
  <si>
    <t>e7swcn</t>
  </si>
  <si>
    <t>eeexaohcn</t>
  </si>
  <si>
    <t>eerdeni</t>
  </si>
  <si>
    <t>engesi</t>
  </si>
  <si>
    <t>ent365com</t>
  </si>
  <si>
    <t>epochtimes</t>
  </si>
  <si>
    <t>EVENT</t>
  </si>
  <si>
    <t>falu</t>
  </si>
  <si>
    <t>falun</t>
  </si>
  <si>
    <t>falundafa</t>
  </si>
  <si>
    <t>falundafahao</t>
  </si>
  <si>
    <t>falungong</t>
  </si>
  <si>
    <t>fangong</t>
  </si>
  <si>
    <t>fanhua</t>
  </si>
  <si>
    <t>fantizi520</t>
  </si>
  <si>
    <t>fawanghuihui</t>
  </si>
  <si>
    <t>fa轮</t>
  </si>
  <si>
    <t>Fa轮功</t>
  </si>
  <si>
    <t>Feelmistone</t>
  </si>
  <si>
    <t>feitengdlcom</t>
  </si>
  <si>
    <t>fgmtv</t>
  </si>
  <si>
    <t>fisonetcom</t>
  </si>
  <si>
    <t>Fku</t>
  </si>
  <si>
    <t>FLG</t>
  </si>
  <si>
    <t>fofg</t>
  </si>
  <si>
    <t>fosaon</t>
  </si>
  <si>
    <t>freechina</t>
  </si>
  <si>
    <t>freedom</t>
  </si>
  <si>
    <t>freenet</t>
  </si>
  <si>
    <t>Freetibet</t>
  </si>
  <si>
    <t>fu</t>
  </si>
  <si>
    <t>fuc</t>
  </si>
  <si>
    <t>FUCKYOU</t>
  </si>
  <si>
    <t>fuk</t>
  </si>
  <si>
    <t>fulankelin</t>
  </si>
  <si>
    <t>fv</t>
  </si>
  <si>
    <t>fvc</t>
  </si>
  <si>
    <t>fxjsqccom</t>
  </si>
  <si>
    <t>fy371com</t>
  </si>
  <si>
    <t>g365net</t>
  </si>
  <si>
    <t>game</t>
  </si>
  <si>
    <t>GameMaste</t>
  </si>
  <si>
    <t>GAMEMASTER</t>
  </si>
  <si>
    <t>ＧＡＭＥｍａｓｔｅｒ</t>
  </si>
  <si>
    <t>gangcunningci</t>
  </si>
  <si>
    <t>gangcunxiushu</t>
  </si>
  <si>
    <t>gan你</t>
  </si>
  <si>
    <t>gaolipiao</t>
  </si>
  <si>
    <t>gc365</t>
  </si>
  <si>
    <t>GCD</t>
  </si>
  <si>
    <t>geocitiescom</t>
  </si>
  <si>
    <t>GHB</t>
  </si>
  <si>
    <t>GHB粉</t>
  </si>
  <si>
    <t>GHB强效迷幻液</t>
  </si>
  <si>
    <t>gigabytecn</t>
  </si>
  <si>
    <t>globalrescue</t>
  </si>
  <si>
    <t>GM</t>
  </si>
  <si>
    <t>gogonet</t>
  </si>
  <si>
    <t>GPS预警器</t>
  </si>
  <si>
    <t>GPS預警器</t>
  </si>
  <si>
    <t>Gruepin</t>
  </si>
  <si>
    <t>gssmttcom</t>
  </si>
  <si>
    <t>guobaxiong</t>
  </si>
  <si>
    <t>guojia</t>
  </si>
  <si>
    <t>G八</t>
  </si>
  <si>
    <t>Ｇ八</t>
  </si>
  <si>
    <t>G巴</t>
  </si>
  <si>
    <t>Ｇ巴</t>
  </si>
  <si>
    <t>G叭</t>
  </si>
  <si>
    <t>Ｇ叭</t>
  </si>
  <si>
    <t>G芭</t>
  </si>
  <si>
    <t>Ｇ芭</t>
  </si>
  <si>
    <t>G掰</t>
  </si>
  <si>
    <t>Ｇ掰</t>
  </si>
  <si>
    <t>g点</t>
  </si>
  <si>
    <t>G点高潮</t>
  </si>
  <si>
    <t>g點</t>
  </si>
  <si>
    <t>g片</t>
  </si>
  <si>
    <t>HACKING</t>
  </si>
  <si>
    <t>hao1788co</t>
  </si>
  <si>
    <t>haog8cn</t>
  </si>
  <si>
    <t>haosilucom</t>
  </si>
  <si>
    <t>haousecn</t>
  </si>
  <si>
    <t>heguoqiang</t>
  </si>
  <si>
    <t>helong</t>
  </si>
  <si>
    <t>heluxiaofu</t>
  </si>
  <si>
    <t>hexuncom</t>
  </si>
  <si>
    <t>homexfcn</t>
  </si>
  <si>
    <t>hongzhi</t>
  </si>
  <si>
    <t>host800com</t>
  </si>
  <si>
    <t>hrichina</t>
  </si>
  <si>
    <t>http</t>
  </si>
  <si>
    <t>huajianmin</t>
  </si>
  <si>
    <t>huanet</t>
  </si>
  <si>
    <t>huangju</t>
  </si>
  <si>
    <t>huangsexiaoshuo1242netcn</t>
  </si>
  <si>
    <t>huashengdun</t>
  </si>
  <si>
    <t>Huihuangtxcom</t>
  </si>
  <si>
    <t>huiliangyu</t>
  </si>
  <si>
    <t>huimin</t>
  </si>
  <si>
    <t>hujintao</t>
  </si>
  <si>
    <t>huyaobang</t>
  </si>
  <si>
    <t>huzhiming</t>
  </si>
  <si>
    <t>hypermartnet</t>
  </si>
  <si>
    <t>hz</t>
  </si>
  <si>
    <t>H电影</t>
  </si>
  <si>
    <t>H动漫</t>
  </si>
  <si>
    <t>H動漫</t>
  </si>
  <si>
    <t>H漫画</t>
  </si>
  <si>
    <t>H片</t>
  </si>
  <si>
    <t>H图</t>
  </si>
  <si>
    <t>i9gamecom</t>
  </si>
  <si>
    <t>ice</t>
  </si>
  <si>
    <t>icpcncom</t>
  </si>
  <si>
    <t>id666uqccn</t>
  </si>
  <si>
    <t>ieboycn</t>
  </si>
  <si>
    <t>incest</t>
  </si>
  <si>
    <t>ising99com</t>
  </si>
  <si>
    <t>item</t>
  </si>
  <si>
    <t>itnongzhuangcom2y7vcnhwxvotecn</t>
  </si>
  <si>
    <t>jdyoucom</t>
  </si>
  <si>
    <t>jiangdongriji</t>
  </si>
  <si>
    <t>jiangjieshi</t>
  </si>
  <si>
    <t>jiangjingguo</t>
  </si>
  <si>
    <t>jiangqing</t>
  </si>
  <si>
    <t>jiangzemin</t>
  </si>
  <si>
    <t>jiangzhongzheng</t>
  </si>
  <si>
    <t>jian你</t>
  </si>
  <si>
    <t>jiaochuang</t>
  </si>
  <si>
    <t>jiaochun</t>
  </si>
  <si>
    <t>jiaqinglin</t>
  </si>
  <si>
    <t>jiayyoucn</t>
  </si>
  <si>
    <t>jiayyoucom</t>
  </si>
  <si>
    <t>jiba</t>
  </si>
  <si>
    <t>jinpaopaocom</t>
  </si>
  <si>
    <t>jinricheng</t>
  </si>
  <si>
    <t>jinv</t>
  </si>
  <si>
    <t>jinzhengen</t>
  </si>
  <si>
    <t>jinzhengri</t>
  </si>
  <si>
    <t>Ji女</t>
  </si>
  <si>
    <t>jj</t>
  </si>
  <si>
    <t>jjdlwcom</t>
  </si>
  <si>
    <t>jjpangfangwuyuetianhi9705netcn</t>
  </si>
  <si>
    <t>jooplaycom</t>
  </si>
  <si>
    <t>J巴</t>
  </si>
  <si>
    <t>j吧</t>
  </si>
  <si>
    <t>Kao</t>
  </si>
  <si>
    <t>karttcn</t>
  </si>
  <si>
    <t>kasiteluo</t>
  </si>
  <si>
    <t>KEFU</t>
  </si>
  <si>
    <t>kelindun</t>
  </si>
  <si>
    <t>㎏</t>
  </si>
  <si>
    <t>KISSMYASS</t>
  </si>
  <si>
    <t>kkkxaohcn</t>
  </si>
  <si>
    <t>ko180</t>
  </si>
  <si>
    <t>kod920cn</t>
  </si>
  <si>
    <t>l2jsomcn</t>
  </si>
  <si>
    <t>laichangxing</t>
  </si>
  <si>
    <t>lama</t>
  </si>
  <si>
    <t>lamusifeierde</t>
  </si>
  <si>
    <t>langyouinfo</t>
  </si>
  <si>
    <t>laola</t>
  </si>
  <si>
    <t>lianggezhongguo</t>
  </si>
  <si>
    <t>lianzhan</t>
  </si>
  <si>
    <t>lichangchun</t>
  </si>
  <si>
    <t>lidashi</t>
  </si>
  <si>
    <t>lidazhao</t>
  </si>
  <si>
    <t>lidenghui</t>
  </si>
  <si>
    <t>liening</t>
  </si>
  <si>
    <t>ligen</t>
  </si>
  <si>
    <t>lihongzhi</t>
  </si>
  <si>
    <t>likekocom</t>
  </si>
  <si>
    <t>likeqiang</t>
  </si>
  <si>
    <t>lilanqing</t>
  </si>
  <si>
    <t>linbiao</t>
  </si>
  <si>
    <t>lingjihua</t>
  </si>
  <si>
    <t>linken</t>
  </si>
  <si>
    <t>lipeng</t>
  </si>
  <si>
    <t>liruihuan</t>
  </si>
  <si>
    <t>liubocheng</t>
  </si>
  <si>
    <t>liulijun</t>
  </si>
  <si>
    <t>liuqi</t>
  </si>
  <si>
    <t>liushaoqi</t>
  </si>
  <si>
    <t>liusi</t>
  </si>
  <si>
    <t>liuyunshan</t>
  </si>
  <si>
    <t>lllxaohcn</t>
  </si>
  <si>
    <t>lordrencom</t>
  </si>
  <si>
    <t>lunlidianying1274netcn</t>
  </si>
  <si>
    <t>lunlidianyingxiazai1174netcn</t>
  </si>
  <si>
    <t>luogan</t>
  </si>
  <si>
    <t>luoronghuan</t>
  </si>
  <si>
    <t>luoxialucn</t>
  </si>
  <si>
    <t>luxiulian</t>
  </si>
  <si>
    <t>luyi</t>
  </si>
  <si>
    <t>lxsm888com</t>
  </si>
  <si>
    <t>lybbsinfo</t>
  </si>
  <si>
    <t>lyxgamecn</t>
  </si>
  <si>
    <t>Mai骚</t>
  </si>
  <si>
    <t>majiajue</t>
  </si>
  <si>
    <t>makesi</t>
  </si>
  <si>
    <t>making</t>
  </si>
  <si>
    <t>mandela</t>
  </si>
  <si>
    <t>maozedong</t>
  </si>
  <si>
    <t>master</t>
  </si>
  <si>
    <t>mayingjiu</t>
  </si>
  <si>
    <t>MC军团</t>
  </si>
  <si>
    <t>MC軍團</t>
  </si>
  <si>
    <t>meideweijiefu</t>
  </si>
  <si>
    <t>meiguiqingren1274netcn</t>
  </si>
  <si>
    <t>㎎</t>
  </si>
  <si>
    <t>mgjzybjcom</t>
  </si>
  <si>
    <t>minghui</t>
  </si>
  <si>
    <t>minghuinews</t>
  </si>
  <si>
    <t>mingpaonews</t>
  </si>
  <si>
    <t>minhui</t>
  </si>
  <si>
    <t>㎜</t>
  </si>
  <si>
    <t>MM屄</t>
  </si>
  <si>
    <t>mm美图</t>
  </si>
  <si>
    <t>mm美圖</t>
  </si>
  <si>
    <t>mohanmode</t>
  </si>
  <si>
    <t>mokeer</t>
  </si>
  <si>
    <t>mosuolini</t>
  </si>
  <si>
    <t>moyi520cn</t>
  </si>
  <si>
    <t>mpceggscn</t>
  </si>
  <si>
    <t>my3qcom</t>
  </si>
  <si>
    <t>nacb</t>
  </si>
  <si>
    <t>naive</t>
  </si>
  <si>
    <t>napolun</t>
  </si>
  <si>
    <t>narcotics</t>
  </si>
  <si>
    <t>nbfibcn</t>
  </si>
  <si>
    <t>ncyhcn</t>
  </si>
  <si>
    <t>Neckromancer</t>
  </si>
  <si>
    <t>newsmthnet</t>
  </si>
  <si>
    <t>nierongzhen</t>
  </si>
  <si>
    <t>nikesong</t>
  </si>
  <si>
    <t>niuniujidi1174netcn</t>
  </si>
  <si>
    <t>njgamecollegeorg</t>
  </si>
  <si>
    <t>nmis</t>
  </si>
  <si>
    <t>okaygoodcn</t>
  </si>
  <si>
    <t>on9</t>
  </si>
  <si>
    <t>oooxaohcn</t>
  </si>
  <si>
    <t>orgasmus</t>
  </si>
  <si>
    <t>osisacn</t>
  </si>
  <si>
    <t>paper64</t>
  </si>
  <si>
    <t>parke888com</t>
  </si>
  <si>
    <t>pcikchinacom</t>
  </si>
  <si>
    <t>PE6拦截器</t>
  </si>
  <si>
    <t>PE6攔截器</t>
  </si>
  <si>
    <t>peacehall</t>
  </si>
  <si>
    <t>pengdehuai</t>
  </si>
  <si>
    <t>pengliyuan</t>
  </si>
  <si>
    <t>PENIS</t>
  </si>
  <si>
    <t>petgirl</t>
  </si>
  <si>
    <t>phuc</t>
  </si>
  <si>
    <t>piss</t>
  </si>
  <si>
    <t>pk200com</t>
  </si>
  <si>
    <t>pkmmocom</t>
  </si>
  <si>
    <t>PK黑社会</t>
  </si>
  <si>
    <t>playboy</t>
  </si>
  <si>
    <t>porn</t>
  </si>
  <si>
    <t>pps</t>
  </si>
  <si>
    <t>pptcc</t>
  </si>
  <si>
    <t>prettyirenenet</t>
  </si>
  <si>
    <t>pujing</t>
  </si>
  <si>
    <t>pussy</t>
  </si>
  <si>
    <t>P眼</t>
  </si>
  <si>
    <t>qgqmorg</t>
  </si>
  <si>
    <t>qiangjian</t>
  </si>
  <si>
    <t>qiang支</t>
  </si>
  <si>
    <t>qingsewuyuetian1174netcn</t>
  </si>
  <si>
    <t>qixingnetcom</t>
  </si>
  <si>
    <t>qqsgorg</t>
  </si>
  <si>
    <t>qq幸哂脩舫楠</t>
  </si>
  <si>
    <t>qq幸运用户抽奖</t>
  </si>
  <si>
    <t>qtoycom</t>
  </si>
  <si>
    <t>quannengshenjiao</t>
  </si>
  <si>
    <t>Rape</t>
  </si>
  <si>
    <t>reddidicomcn</t>
  </si>
  <si>
    <t>renaya</t>
  </si>
  <si>
    <t>renminbao</t>
  </si>
  <si>
    <t>renmindahuitang</t>
  </si>
  <si>
    <t>renmingbao</t>
  </si>
  <si>
    <t>rfa</t>
  </si>
  <si>
    <t>ri</t>
  </si>
  <si>
    <t>rrrxaohcn</t>
  </si>
  <si>
    <t>sadamu</t>
  </si>
  <si>
    <t>safeweb</t>
  </si>
  <si>
    <t>samalanqi</t>
  </si>
  <si>
    <t>saobi</t>
  </si>
  <si>
    <t>saqieer</t>
  </si>
  <si>
    <t>screw</t>
  </si>
  <si>
    <t>secretchina</t>
  </si>
  <si>
    <t>sega</t>
  </si>
  <si>
    <t>Server</t>
  </si>
  <si>
    <t>sewuyuetian1174netcn</t>
  </si>
  <si>
    <t>sewuyuetian1274netcn</t>
  </si>
  <si>
    <t>sf</t>
  </si>
  <si>
    <t>SF网站定做</t>
  </si>
  <si>
    <t>shanbenwushiliu</t>
  </si>
  <si>
    <t>shengda</t>
  </si>
  <si>
    <t>shenycsco</t>
  </si>
  <si>
    <t>shijiamouni</t>
  </si>
  <si>
    <t>showka8com</t>
  </si>
  <si>
    <t>sht</t>
  </si>
  <si>
    <t>shyt</t>
  </si>
  <si>
    <t>sidalin</t>
  </si>
  <si>
    <t>simple</t>
  </si>
  <si>
    <t>SIM卡抽奖</t>
  </si>
  <si>
    <t>siwameitui1274netcn</t>
  </si>
  <si>
    <t>sjlikecom</t>
  </si>
  <si>
    <t>sm</t>
  </si>
  <si>
    <t>sm調教</t>
  </si>
  <si>
    <t>SM虐待</t>
  </si>
  <si>
    <t>SM女王</t>
  </si>
  <si>
    <t>SM舔穴</t>
  </si>
  <si>
    <t>sm调教</t>
  </si>
  <si>
    <t>SM援交</t>
  </si>
  <si>
    <t>snatch</t>
  </si>
  <si>
    <t>snkni8net</t>
  </si>
  <si>
    <t>songchuyu</t>
  </si>
  <si>
    <t>soundofhope</t>
  </si>
  <si>
    <t>sshole</t>
  </si>
  <si>
    <t>stlmbbscn</t>
  </si>
  <si>
    <t>sucker</t>
  </si>
  <si>
    <t>sunwen</t>
  </si>
  <si>
    <t>sunyixian</t>
  </si>
  <si>
    <t>sunzhongshan</t>
  </si>
  <si>
    <t>svdc</t>
  </si>
  <si>
    <t>system</t>
  </si>
  <si>
    <t>szlmghcn</t>
  </si>
  <si>
    <t>t9wgcn</t>
  </si>
  <si>
    <t>taidu</t>
  </si>
  <si>
    <t>taip</t>
  </si>
  <si>
    <t>taiwanduli</t>
  </si>
  <si>
    <t>tangjiaxuan</t>
  </si>
  <si>
    <t>tbhi4024netcn</t>
  </si>
  <si>
    <t>teen</t>
  </si>
  <si>
    <t>TEsT</t>
  </si>
  <si>
    <t>The3FeelOnline</t>
  </si>
  <si>
    <t>The9</t>
  </si>
  <si>
    <t>The9City</t>
  </si>
  <si>
    <t>theccn</t>
  </si>
  <si>
    <t>tiananmen</t>
  </si>
  <si>
    <t>tianlong4fcn</t>
  </si>
  <si>
    <t>tianwang</t>
  </si>
  <si>
    <t>tibetalk</t>
  </si>
  <si>
    <t>TMD真美妙</t>
  </si>
  <si>
    <t>TND</t>
  </si>
  <si>
    <t>TNND</t>
  </si>
  <si>
    <t>TNT炸弹制作方法</t>
  </si>
  <si>
    <t>tnt炸药</t>
  </si>
  <si>
    <t>TNT炸药制作法</t>
  </si>
  <si>
    <t>tontcn</t>
  </si>
  <si>
    <t>triangle</t>
  </si>
  <si>
    <t>triangleboy</t>
  </si>
  <si>
    <t>Tringel</t>
  </si>
  <si>
    <t>txwsWind</t>
  </si>
  <si>
    <t>ul86com</t>
  </si>
  <si>
    <t>UltraSurf</t>
  </si>
  <si>
    <t>unixbox</t>
  </si>
  <si>
    <t>urbanrivals</t>
  </si>
  <si>
    <t>ustibet</t>
  </si>
  <si>
    <t>uu1001com</t>
  </si>
  <si>
    <t>u巴</t>
  </si>
  <si>
    <t>vip886com</t>
  </si>
  <si>
    <t>voa</t>
  </si>
  <si>
    <t>voachinese</t>
  </si>
  <si>
    <t>VOA采访热比娅</t>
  </si>
  <si>
    <t>wangce</t>
  </si>
  <si>
    <t>wangdan</t>
  </si>
  <si>
    <t>wanggang</t>
  </si>
  <si>
    <t>wanghongwen</t>
  </si>
  <si>
    <t>wanglequan</t>
  </si>
  <si>
    <t>wanglijun</t>
  </si>
  <si>
    <t>wangqishan</t>
  </si>
  <si>
    <t>wangyoudlcom</t>
  </si>
  <si>
    <t>wangzhaoguo</t>
  </si>
  <si>
    <t>webgamecomcn</t>
  </si>
  <si>
    <t>WEBZEN</t>
  </si>
  <si>
    <t>weijianxing</t>
  </si>
  <si>
    <t>wenjiabao</t>
  </si>
  <si>
    <t>wg</t>
  </si>
  <si>
    <t>wg7766cn</t>
  </si>
  <si>
    <t>wgbobocn</t>
  </si>
  <si>
    <t>wgxiaowucom</t>
  </si>
  <si>
    <t>whoyocom</t>
  </si>
  <si>
    <t>woerkaixi</t>
  </si>
  <si>
    <t>woyinwose1243netcn</t>
  </si>
  <si>
    <t>wstaiji</t>
  </si>
  <si>
    <t>wubangguo</t>
  </si>
  <si>
    <t>wuguanzheng</t>
  </si>
  <si>
    <t>wuyi</t>
  </si>
  <si>
    <t>WWW</t>
  </si>
  <si>
    <t>www23nicecomcn</t>
  </si>
  <si>
    <t>www2q5qcom</t>
  </si>
  <si>
    <t>www315tsnet</t>
  </si>
  <si>
    <t>www365jwcom</t>
  </si>
  <si>
    <t>www50spcombaidu1828adyou97sacecocc</t>
  </si>
  <si>
    <t>www567yxcom</t>
  </si>
  <si>
    <t>www70yxcom</t>
  </si>
  <si>
    <t>www766com</t>
  </si>
  <si>
    <t>www91wangyoucom</t>
  </si>
  <si>
    <t>www976543com</t>
  </si>
  <si>
    <t>www978808com</t>
  </si>
  <si>
    <t>www99gamenet</t>
  </si>
  <si>
    <t>wwwanulecn</t>
  </si>
  <si>
    <t>wwwbin5cn</t>
  </si>
  <si>
    <t>wwwdy6789cn</t>
  </si>
  <si>
    <t>wwwfoyeyecom</t>
  </si>
  <si>
    <t>wwwgamelifeclubcn</t>
  </si>
  <si>
    <t>wwwgardcncom</t>
  </si>
  <si>
    <t>wwwgw17173cn</t>
  </si>
  <si>
    <t>wwwlegucom</t>
  </si>
  <si>
    <t>wwwmaituancom</t>
  </si>
  <si>
    <t>wwwneicehaocn</t>
  </si>
  <si>
    <t>wwwsanjidianyingcomcn</t>
  </si>
  <si>
    <t>wwwsexwytcom</t>
  </si>
  <si>
    <t>wwwsf766comcn</t>
  </si>
  <si>
    <t>wwwwang567com</t>
  </si>
  <si>
    <t>wwwwow366cn</t>
  </si>
  <si>
    <t>wwwxaohcn</t>
  </si>
  <si>
    <t>wwwyhztorg</t>
  </si>
  <si>
    <t>wwwylteamcn</t>
  </si>
  <si>
    <t>wwwyxnpccom</t>
  </si>
  <si>
    <t>wwwzsyxhdcn</t>
  </si>
  <si>
    <t>wwwzxkakucn</t>
  </si>
  <si>
    <t>wwwzy528com</t>
  </si>
  <si>
    <t>wy33com</t>
  </si>
  <si>
    <t>wy3868com</t>
  </si>
  <si>
    <t>wy724com</t>
  </si>
  <si>
    <t>xdnseu</t>
  </si>
  <si>
    <t>xiao77</t>
  </si>
  <si>
    <t>xiao771243netcn</t>
  </si>
  <si>
    <t>xiao77luntan1249netcn</t>
  </si>
  <si>
    <t>xiaoqinzaixiancn</t>
  </si>
  <si>
    <t>xiaoquan</t>
  </si>
  <si>
    <t>xiejiao</t>
  </si>
  <si>
    <t>xihanuke</t>
  </si>
  <si>
    <t>xijinping</t>
  </si>
  <si>
    <t>xilake</t>
  </si>
  <si>
    <t>xingqingzhongren1174netcn</t>
  </si>
  <si>
    <t>xinguangming</t>
  </si>
  <si>
    <t>xinjiangduli</t>
  </si>
  <si>
    <t>xinsheng</t>
  </si>
  <si>
    <t>xinwenguanzhi</t>
  </si>
  <si>
    <t>xitele</t>
  </si>
  <si>
    <t>xiuaucn</t>
  </si>
  <si>
    <t>xizangduli</t>
  </si>
  <si>
    <t>xl517com</t>
  </si>
  <si>
    <t>xqwlcn</t>
  </si>
  <si>
    <t>xtl</t>
  </si>
  <si>
    <t>xucaihou</t>
  </si>
  <si>
    <t>xuxiangqian</t>
  </si>
  <si>
    <t>xya3cn</t>
  </si>
  <si>
    <t>xyq2sfcom</t>
  </si>
  <si>
    <t>xyxghcom</t>
  </si>
  <si>
    <t>x伴侣</t>
  </si>
  <si>
    <t>Ｘ到噴屎尿</t>
  </si>
  <si>
    <t>x娘</t>
  </si>
  <si>
    <t>yalishanda</t>
  </si>
  <si>
    <t>yaokong7com</t>
  </si>
  <si>
    <t>yaowenyuan</t>
  </si>
  <si>
    <t>yejianying</t>
  </si>
  <si>
    <t>yeswmcom</t>
  </si>
  <si>
    <t>yidangzhuanzheng</t>
  </si>
  <si>
    <t>yindi</t>
  </si>
  <si>
    <t>yinshui</t>
  </si>
  <si>
    <t>yin部</t>
  </si>
  <si>
    <t>yin道</t>
  </si>
  <si>
    <t>yin毛</t>
  </si>
  <si>
    <t>yisilan</t>
  </si>
  <si>
    <t>youxiji888cn</t>
  </si>
  <si>
    <t>YOUXIKA爱滋</t>
  </si>
  <si>
    <t>ys168com</t>
  </si>
  <si>
    <t>yuanming</t>
  </si>
  <si>
    <t>yujiankang</t>
  </si>
  <si>
    <t>yuming</t>
  </si>
  <si>
    <t>yumuming</t>
  </si>
  <si>
    <t>yuyongkang</t>
  </si>
  <si>
    <t>yuzhengsheng</t>
  </si>
  <si>
    <t>yz55cn</t>
  </si>
  <si>
    <t>y蒂</t>
  </si>
  <si>
    <t>y户</t>
  </si>
  <si>
    <t>y茎</t>
  </si>
  <si>
    <t>zaixunet</t>
  </si>
  <si>
    <t>zengpeiyan</t>
  </si>
  <si>
    <t>zengqinghong</t>
  </si>
  <si>
    <t>zhangchunqiao</t>
  </si>
  <si>
    <t>zhangdejiang</t>
  </si>
  <si>
    <t>zhanggaoli</t>
  </si>
  <si>
    <t>zhaoziyang</t>
  </si>
  <si>
    <t>zhengjian</t>
  </si>
  <si>
    <t>zhengjianwang</t>
  </si>
  <si>
    <t>zhengqing</t>
  </si>
  <si>
    <t>zhengwunet</t>
  </si>
  <si>
    <t>zhenshanren</t>
  </si>
  <si>
    <t>zhenzhu</t>
  </si>
  <si>
    <t>zhidian8com</t>
  </si>
  <si>
    <t>zhongguohun</t>
  </si>
  <si>
    <t>zhonghuaminguo</t>
  </si>
  <si>
    <t>zhouenlai</t>
  </si>
  <si>
    <t>zhoujiankang</t>
  </si>
  <si>
    <t>zhouxiaokang</t>
  </si>
  <si>
    <t>zhouyongkang</t>
  </si>
  <si>
    <t>ZHUANFALUN</t>
  </si>
  <si>
    <t>zhuanfalunADMIN</t>
  </si>
  <si>
    <t>zhude</t>
  </si>
  <si>
    <t>zhurongji</t>
  </si>
  <si>
    <t>zuanshi1000cn</t>
  </si>
  <si>
    <t>zx002com</t>
  </si>
  <si>
    <t>zxsj188com</t>
  </si>
  <si>
    <t>zy666net</t>
  </si>
  <si>
    <t>zzmysfcom</t>
  </si>
  <si>
    <t>zzzxaohcn</t>
  </si>
  <si>
    <t>ㄅ</t>
  </si>
  <si>
    <t>ㄆ</t>
  </si>
  <si>
    <t>ㄇ</t>
  </si>
  <si>
    <t>ㄈ</t>
  </si>
  <si>
    <t>ㄉ</t>
  </si>
  <si>
    <t>ㄊ</t>
  </si>
  <si>
    <t>ㄋ</t>
  </si>
  <si>
    <t>ㄌ</t>
  </si>
  <si>
    <t>ㄍ</t>
  </si>
  <si>
    <t>ㄎ</t>
  </si>
  <si>
    <t>ㄏ</t>
  </si>
  <si>
    <t>ㄐ</t>
  </si>
  <si>
    <t>ㄑ</t>
  </si>
  <si>
    <t>ㄒ</t>
  </si>
  <si>
    <t>ㄓ</t>
  </si>
  <si>
    <t>ㄔ</t>
  </si>
  <si>
    <t>ㄕ</t>
  </si>
  <si>
    <t>ㄖ</t>
  </si>
  <si>
    <t>ㄗ</t>
  </si>
  <si>
    <t>ㄘ</t>
  </si>
  <si>
    <t>ㄙ</t>
  </si>
  <si>
    <t>ㄚ</t>
  </si>
  <si>
    <t>ㄛ</t>
  </si>
  <si>
    <t>ㄜ</t>
  </si>
  <si>
    <t>ㄝ</t>
  </si>
  <si>
    <t>ㄞ</t>
  </si>
  <si>
    <t>ㄟ</t>
  </si>
  <si>
    <t>ㄠ</t>
  </si>
  <si>
    <t>ㄡ</t>
  </si>
  <si>
    <t>ㄢ</t>
  </si>
  <si>
    <t>ㄣ</t>
  </si>
  <si>
    <t>ㄤ</t>
  </si>
  <si>
    <t>ㄥ</t>
  </si>
  <si>
    <t>ㄦ</t>
  </si>
  <si>
    <t>ㄧ</t>
  </si>
  <si>
    <t>ㄨ</t>
  </si>
  <si>
    <t>ㄩ</t>
  </si>
  <si>
    <t>阿不来提</t>
  </si>
  <si>
    <t>阿里布达年代记</t>
  </si>
  <si>
    <t>阿羅約</t>
  </si>
  <si>
    <t>阿彌陀佛</t>
  </si>
  <si>
    <t>艾森豪</t>
  </si>
  <si>
    <t>艾司唑仑</t>
  </si>
  <si>
    <t>艾斯海提</t>
  </si>
  <si>
    <t>艾滋</t>
  </si>
  <si>
    <t>爱国运动</t>
  </si>
  <si>
    <t>爱国者同盟</t>
  </si>
  <si>
    <t>爱国者同盟网站</t>
  </si>
  <si>
    <t>爱姐妹</t>
  </si>
  <si>
    <t>爱女人</t>
  </si>
  <si>
    <t>爱妻淫穴</t>
  </si>
  <si>
    <t>爱色cc</t>
  </si>
  <si>
    <t>爱神之传奇</t>
  </si>
  <si>
    <t>爱图公园</t>
  </si>
  <si>
    <t>爱液横流</t>
  </si>
  <si>
    <t>爱幼阁</t>
  </si>
  <si>
    <t>爱滋病</t>
  </si>
  <si>
    <t>爱滋村里的爱</t>
  </si>
  <si>
    <t>愛姐妹</t>
  </si>
  <si>
    <t>愛女人</t>
  </si>
  <si>
    <t>愛妻淫穴</t>
  </si>
  <si>
    <t>愛色cc</t>
  </si>
  <si>
    <t>愛圖公園</t>
  </si>
  <si>
    <t>愛液</t>
  </si>
  <si>
    <t>愛液橫流</t>
  </si>
  <si>
    <t>愛幼閣</t>
  </si>
  <si>
    <t>安倍晉三</t>
  </si>
  <si>
    <t>安定片</t>
  </si>
  <si>
    <t>安魂网</t>
  </si>
  <si>
    <t>安立敏</t>
  </si>
  <si>
    <t>按摩棒</t>
  </si>
  <si>
    <t>暗杀</t>
  </si>
  <si>
    <t>肮脏美学</t>
  </si>
  <si>
    <t>骯髒美學</t>
  </si>
  <si>
    <t>奧巴馬</t>
  </si>
  <si>
    <t>奧馬爾</t>
  </si>
  <si>
    <t>八九见证</t>
  </si>
  <si>
    <t>八九学潮</t>
  </si>
  <si>
    <t>八路军</t>
  </si>
  <si>
    <t>八荣八耻</t>
  </si>
  <si>
    <t>巴哈依教</t>
  </si>
  <si>
    <t>巴赫</t>
  </si>
  <si>
    <t>巴拉斯</t>
  </si>
  <si>
    <t>巴特尔</t>
  </si>
  <si>
    <t>巴音朝鲁</t>
  </si>
  <si>
    <t>扒屄</t>
  </si>
  <si>
    <t>扒光</t>
  </si>
  <si>
    <t>扒穴</t>
  </si>
  <si>
    <t>芭</t>
  </si>
  <si>
    <t>拔屄</t>
  </si>
  <si>
    <t>拔屄自拍</t>
  </si>
  <si>
    <t>拔出来</t>
  </si>
  <si>
    <t>拔出來</t>
  </si>
  <si>
    <t>爸</t>
  </si>
  <si>
    <t>罢工</t>
  </si>
  <si>
    <t>罢课</t>
  </si>
  <si>
    <t>掰穴</t>
  </si>
  <si>
    <t>掰穴打洞</t>
  </si>
  <si>
    <t>掰穴皮卡丘</t>
  </si>
  <si>
    <t>白V</t>
  </si>
  <si>
    <t>白春礼</t>
  </si>
  <si>
    <t>白虎嫩B</t>
  </si>
  <si>
    <t>白虎少妇</t>
  </si>
  <si>
    <t>白虎少婦</t>
  </si>
  <si>
    <t>白虎小穴</t>
  </si>
  <si>
    <t>白虎阴穴</t>
  </si>
  <si>
    <t>白虎陰穴</t>
  </si>
  <si>
    <t>白浆四溅</t>
  </si>
  <si>
    <t>白漿四濺</t>
  </si>
  <si>
    <t>白军</t>
  </si>
  <si>
    <t>白烂</t>
  </si>
  <si>
    <t>白立朴</t>
  </si>
  <si>
    <t>白蓮教</t>
  </si>
  <si>
    <t>白玛赤林</t>
  </si>
  <si>
    <t>白梦</t>
  </si>
  <si>
    <t>白嫩骚妇</t>
  </si>
  <si>
    <t>白嫩騷婦</t>
  </si>
  <si>
    <t>白皮书</t>
  </si>
  <si>
    <t>白小姐</t>
  </si>
  <si>
    <t>白液四溅</t>
  </si>
  <si>
    <t>白液四濺</t>
  </si>
  <si>
    <t>办案</t>
  </si>
  <si>
    <t>办高利贷</t>
  </si>
  <si>
    <t>办证</t>
  </si>
  <si>
    <t>伴我淫</t>
  </si>
  <si>
    <t>辦理文憑</t>
  </si>
  <si>
    <t>辦理證件</t>
  </si>
  <si>
    <t>包二奶</t>
  </si>
  <si>
    <t>包娃衣</t>
  </si>
  <si>
    <t>包夜</t>
  </si>
  <si>
    <t>薄格</t>
  </si>
  <si>
    <t>薄码</t>
  </si>
  <si>
    <t>薄碼</t>
  </si>
  <si>
    <t>薄熙來</t>
  </si>
  <si>
    <t>保平安</t>
  </si>
  <si>
    <t>保卫台湾</t>
  </si>
  <si>
    <t>报仇</t>
  </si>
  <si>
    <t>报告汇编</t>
  </si>
  <si>
    <t>报禁</t>
  </si>
  <si>
    <t>报码聊天</t>
  </si>
  <si>
    <t>鲍戈</t>
  </si>
  <si>
    <t>鲍彤</t>
  </si>
  <si>
    <t>暴動</t>
  </si>
  <si>
    <t>暴干</t>
  </si>
  <si>
    <t>暴幹</t>
  </si>
  <si>
    <t>暴行</t>
  </si>
  <si>
    <t>暴奸</t>
  </si>
  <si>
    <t>暴力拆迁</t>
  </si>
  <si>
    <t>暴力冲突</t>
  </si>
  <si>
    <t>暴力虐待</t>
  </si>
  <si>
    <t>暴力镇压</t>
  </si>
  <si>
    <t>暴力执法</t>
  </si>
  <si>
    <t>暴乳</t>
  </si>
  <si>
    <t>暴淫</t>
  </si>
  <si>
    <t>暴政</t>
  </si>
  <si>
    <t>鮑威爾</t>
  </si>
  <si>
    <t>爆操</t>
  </si>
  <si>
    <t>爆草</t>
  </si>
  <si>
    <t>爆乳</t>
  </si>
  <si>
    <t>爆乳娘</t>
  </si>
  <si>
    <t>爆乳人妻</t>
  </si>
  <si>
    <t>爆炸</t>
  </si>
  <si>
    <t>爆炸物</t>
  </si>
  <si>
    <t>北京xx网</t>
  </si>
  <si>
    <t>北京xx網</t>
  </si>
  <si>
    <t>北京黑幕</t>
  </si>
  <si>
    <t>北京劲展鹏</t>
  </si>
  <si>
    <t>北京市委常委</t>
  </si>
  <si>
    <t>北京市委黑幕</t>
  </si>
  <si>
    <t>北京宣传部长</t>
  </si>
  <si>
    <t>北京战争</t>
  </si>
  <si>
    <t>北京政法委书记</t>
  </si>
  <si>
    <t>北京政权</t>
  </si>
  <si>
    <t>北京政坛清华名人</t>
  </si>
  <si>
    <t>被操</t>
  </si>
  <si>
    <t>被插</t>
  </si>
  <si>
    <t>被干</t>
  </si>
  <si>
    <t>被幹</t>
  </si>
  <si>
    <t>被人干</t>
  </si>
  <si>
    <t>被中共堵死</t>
  </si>
  <si>
    <t>鞴</t>
  </si>
  <si>
    <t>鐾</t>
  </si>
  <si>
    <t>本土无码</t>
  </si>
  <si>
    <t>本土無碼</t>
  </si>
  <si>
    <t>苯巴比妥</t>
  </si>
  <si>
    <t>苯乙酸诺龙</t>
  </si>
  <si>
    <t>屄屄</t>
  </si>
  <si>
    <t>屄屄特写</t>
  </si>
  <si>
    <t>屄屄特寫</t>
  </si>
  <si>
    <t>屄儿</t>
  </si>
  <si>
    <t>屄裏</t>
  </si>
  <si>
    <t>屄友</t>
  </si>
  <si>
    <t>逼好痒</t>
  </si>
  <si>
    <t>逼奸</t>
  </si>
  <si>
    <t>逼迫</t>
  </si>
  <si>
    <t>逼穴</t>
  </si>
  <si>
    <t>逼痒</t>
  </si>
  <si>
    <t>逼癢</t>
  </si>
  <si>
    <t>碧香亭</t>
  </si>
  <si>
    <t>避孕套</t>
  </si>
  <si>
    <t>变革之风</t>
  </si>
  <si>
    <t>变声电话</t>
  </si>
  <si>
    <t>变声器</t>
  </si>
  <si>
    <t>變聲電話</t>
  </si>
  <si>
    <t>變聲器</t>
  </si>
  <si>
    <t>瘭</t>
  </si>
  <si>
    <t>镳</t>
  </si>
  <si>
    <t>婊子養的</t>
  </si>
  <si>
    <t>瘪三</t>
  </si>
  <si>
    <t>癟三</t>
  </si>
  <si>
    <t>宾馆女郎</t>
  </si>
  <si>
    <t>賓館女郎</t>
  </si>
  <si>
    <t>冰火</t>
  </si>
  <si>
    <t>兵种教材</t>
  </si>
  <si>
    <t>病毒营销</t>
  </si>
  <si>
    <t>病业说</t>
  </si>
  <si>
    <t>波动少女</t>
  </si>
  <si>
    <t>波動少女</t>
  </si>
  <si>
    <t>波拉瘟疫</t>
  </si>
  <si>
    <t>伯希来</t>
  </si>
  <si>
    <t>博彩</t>
  </si>
  <si>
    <t>不得好死</t>
  </si>
  <si>
    <t>不良少女日记</t>
  </si>
  <si>
    <t>不是易非毁责。志空服金生</t>
  </si>
  <si>
    <t>布希</t>
  </si>
  <si>
    <t>步枪</t>
  </si>
  <si>
    <t>财政部绝密</t>
  </si>
  <si>
    <t>裁决</t>
  </si>
  <si>
    <t>采花堂</t>
  </si>
  <si>
    <t>採花堂</t>
  </si>
  <si>
    <t>彩票</t>
  </si>
  <si>
    <t>彩票机</t>
  </si>
  <si>
    <t>菜逼</t>
  </si>
  <si>
    <t>蔡崇国</t>
  </si>
  <si>
    <t>蔡赴朝</t>
  </si>
  <si>
    <t>蔡名照</t>
  </si>
  <si>
    <t>蔡文胜</t>
  </si>
  <si>
    <t>蔡文勝</t>
  </si>
  <si>
    <t>蔡武</t>
  </si>
  <si>
    <t>蔡英挺</t>
  </si>
  <si>
    <t>参谋业务参考资料</t>
  </si>
  <si>
    <t>黪</t>
  </si>
  <si>
    <t>沧澜曲</t>
  </si>
  <si>
    <t>藏春阁</t>
  </si>
  <si>
    <t>藏春閣</t>
  </si>
  <si>
    <t>藏獨</t>
  </si>
  <si>
    <t>藏婦會</t>
  </si>
  <si>
    <t>藏青會</t>
  </si>
  <si>
    <t>操78</t>
  </si>
  <si>
    <t>操７８</t>
  </si>
  <si>
    <t>操b</t>
  </si>
  <si>
    <t>操B指南</t>
  </si>
  <si>
    <t>操GY</t>
  </si>
  <si>
    <t>操ＧＹ</t>
  </si>
  <si>
    <t>操屄</t>
  </si>
  <si>
    <t>操黑</t>
  </si>
  <si>
    <t>操机</t>
  </si>
  <si>
    <t>操烂</t>
  </si>
  <si>
    <t>操爛</t>
  </si>
  <si>
    <t>操妈</t>
  </si>
  <si>
    <t>操母狗</t>
  </si>
  <si>
    <t>操尼妈</t>
  </si>
  <si>
    <t>操你老妈</t>
  </si>
  <si>
    <t>操你老母</t>
  </si>
  <si>
    <t>操你奶奶</t>
  </si>
  <si>
    <t>操你娘</t>
  </si>
  <si>
    <t>操你全家</t>
  </si>
  <si>
    <t>操你祖宗</t>
  </si>
  <si>
    <t>操妳</t>
  </si>
  <si>
    <t>操娘</t>
  </si>
  <si>
    <t>操女也</t>
  </si>
  <si>
    <t>操七八</t>
  </si>
  <si>
    <t>操妻</t>
  </si>
  <si>
    <t>操全家</t>
  </si>
  <si>
    <t>操人也</t>
  </si>
  <si>
    <t>操射</t>
  </si>
  <si>
    <t>操爽</t>
  </si>
  <si>
    <t>操死</t>
  </si>
  <si>
    <t>操我</t>
  </si>
  <si>
    <t>操小逼</t>
  </si>
  <si>
    <t>操穴</t>
  </si>
  <si>
    <t>操穴喷水</t>
  </si>
  <si>
    <t>操穴噴水</t>
  </si>
  <si>
    <t>操肿</t>
  </si>
  <si>
    <t>操腫</t>
  </si>
  <si>
    <t>操祖宗</t>
  </si>
  <si>
    <t>曹建明</t>
  </si>
  <si>
    <t>曹培玺</t>
  </si>
  <si>
    <t>曹长青</t>
  </si>
  <si>
    <t>曹政</t>
  </si>
  <si>
    <t>草逼</t>
  </si>
  <si>
    <t>草莓牛奶</t>
  </si>
  <si>
    <t>草你吗</t>
  </si>
  <si>
    <t>草死</t>
  </si>
  <si>
    <t>草他</t>
  </si>
  <si>
    <t>草她</t>
  </si>
  <si>
    <t>肏屄</t>
  </si>
  <si>
    <t>肏干</t>
  </si>
  <si>
    <t>肏妹妹</t>
  </si>
  <si>
    <t>肏妳</t>
  </si>
  <si>
    <t>肏娘</t>
  </si>
  <si>
    <t>肏破</t>
  </si>
  <si>
    <t>肏入</t>
  </si>
  <si>
    <t>肏死</t>
  </si>
  <si>
    <t>肏她</t>
  </si>
  <si>
    <t>肏我</t>
  </si>
  <si>
    <t>肏穴</t>
  </si>
  <si>
    <t>肏这</t>
  </si>
  <si>
    <t>厕奴</t>
  </si>
  <si>
    <t>厕所盗摄</t>
  </si>
  <si>
    <t>厕所偷拍</t>
  </si>
  <si>
    <t>测试</t>
  </si>
  <si>
    <t>廁奴</t>
  </si>
  <si>
    <t>廁所盜攝</t>
  </si>
  <si>
    <t>廁所偷拍</t>
  </si>
  <si>
    <t>測試</t>
  </si>
  <si>
    <t>岑旭</t>
  </si>
  <si>
    <t>曾道人</t>
  </si>
  <si>
    <t>曾慶紅</t>
  </si>
  <si>
    <t>插b</t>
  </si>
  <si>
    <t>插暴</t>
  </si>
  <si>
    <t>插爆</t>
  </si>
  <si>
    <t>插逼</t>
  </si>
  <si>
    <t>插比</t>
  </si>
  <si>
    <t>插插</t>
  </si>
  <si>
    <t>插的好舒服</t>
  </si>
  <si>
    <t>插肛</t>
  </si>
  <si>
    <t>插后庭</t>
  </si>
  <si>
    <t>插後庭</t>
  </si>
  <si>
    <t>插进</t>
  </si>
  <si>
    <t>插进来</t>
  </si>
  <si>
    <t>插进你下面</t>
  </si>
  <si>
    <t>插进穴</t>
  </si>
  <si>
    <t>插進</t>
  </si>
  <si>
    <t>插妹妹</t>
  </si>
  <si>
    <t>插弄</t>
  </si>
  <si>
    <t>插女</t>
  </si>
  <si>
    <t>插肉</t>
  </si>
  <si>
    <t>插入內射</t>
  </si>
  <si>
    <t>插入内射</t>
  </si>
  <si>
    <t>插入穴</t>
  </si>
  <si>
    <t>插死你</t>
  </si>
  <si>
    <t>插他</t>
  </si>
  <si>
    <t>插她</t>
  </si>
  <si>
    <t>插我</t>
  </si>
  <si>
    <t>插穴</t>
  </si>
  <si>
    <t>插穴手淫</t>
  </si>
  <si>
    <t>插穴止痒</t>
  </si>
  <si>
    <t>插穴止癢</t>
  </si>
  <si>
    <t>插阴</t>
  </si>
  <si>
    <t>插阴茎</t>
  </si>
  <si>
    <t>插陰</t>
  </si>
  <si>
    <t>插陰莖</t>
  </si>
  <si>
    <t>柴契爾</t>
  </si>
  <si>
    <t>柴绍良</t>
  </si>
  <si>
    <t>瘥</t>
  </si>
  <si>
    <t>觇</t>
  </si>
  <si>
    <t>禅密功</t>
  </si>
  <si>
    <t>孱</t>
  </si>
  <si>
    <t>廛</t>
  </si>
  <si>
    <t>蒇</t>
  </si>
  <si>
    <t>冁</t>
  </si>
  <si>
    <t>羼</t>
  </si>
  <si>
    <t>猖妓</t>
  </si>
  <si>
    <t>娼</t>
  </si>
  <si>
    <t>長瀨愛</t>
  </si>
  <si>
    <t>常劲</t>
  </si>
  <si>
    <t>常万全</t>
  </si>
  <si>
    <t>常委</t>
  </si>
  <si>
    <t>常委汪兆钧</t>
  </si>
  <si>
    <t>超78</t>
  </si>
  <si>
    <t>超７８</t>
  </si>
  <si>
    <t>超GY</t>
  </si>
  <si>
    <t>超ＧＹ</t>
  </si>
  <si>
    <t>超常科学</t>
  </si>
  <si>
    <t>超级性虐</t>
  </si>
  <si>
    <t>超毛大鲍</t>
  </si>
  <si>
    <t>超毛大鮑</t>
  </si>
  <si>
    <t>超你</t>
  </si>
  <si>
    <t>超妳</t>
  </si>
  <si>
    <t>超女也</t>
  </si>
  <si>
    <t>超七八</t>
  </si>
  <si>
    <t>超人也</t>
  </si>
  <si>
    <t>超他</t>
  </si>
  <si>
    <t>超她</t>
  </si>
  <si>
    <t>超越红墙</t>
  </si>
  <si>
    <t>朝河蘭</t>
  </si>
  <si>
    <t>朝天穴</t>
  </si>
  <si>
    <t>潮吹</t>
  </si>
  <si>
    <t>潮喷</t>
  </si>
  <si>
    <t>潮噴</t>
  </si>
  <si>
    <t>炒股国歌</t>
  </si>
  <si>
    <t>炒股國歌</t>
  </si>
  <si>
    <t>车俊</t>
  </si>
  <si>
    <t>车牌反光</t>
  </si>
  <si>
    <t>陈宝生</t>
  </si>
  <si>
    <t>陈炳基</t>
  </si>
  <si>
    <t>陈大卫</t>
  </si>
  <si>
    <t>陈建民</t>
  </si>
  <si>
    <t>陈军</t>
  </si>
  <si>
    <t>陈雷</t>
  </si>
  <si>
    <t>陈良宇沉浮之路</t>
  </si>
  <si>
    <t>陈伦</t>
  </si>
  <si>
    <t>陈蒙</t>
  </si>
  <si>
    <t>陈敏尔</t>
  </si>
  <si>
    <t>陈破空</t>
  </si>
  <si>
    <t>陈求发</t>
  </si>
  <si>
    <t>陈全国</t>
  </si>
  <si>
    <t>陈水扁总统</t>
  </si>
  <si>
    <t>陈文清</t>
  </si>
  <si>
    <t>陈希</t>
  </si>
  <si>
    <t>陈小同</t>
  </si>
  <si>
    <t>陈新权</t>
  </si>
  <si>
    <t>陈绪国</t>
  </si>
  <si>
    <t>陈宣良</t>
  </si>
  <si>
    <t>陈训秋</t>
  </si>
  <si>
    <t>陈一谘</t>
  </si>
  <si>
    <t>陈政高</t>
  </si>
  <si>
    <t>陈总统</t>
  </si>
  <si>
    <t>陳獨秀</t>
  </si>
  <si>
    <t>陳方安生</t>
  </si>
  <si>
    <t>陳毅</t>
  </si>
  <si>
    <t>陳雲</t>
  </si>
  <si>
    <t>陳至立</t>
  </si>
  <si>
    <t>成佛做主</t>
  </si>
  <si>
    <t>成人</t>
  </si>
  <si>
    <t>成人5</t>
  </si>
  <si>
    <t>成人A片</t>
  </si>
  <si>
    <t>成人bt</t>
  </si>
  <si>
    <t>成人百強</t>
  </si>
  <si>
    <t>成人百强</t>
  </si>
  <si>
    <t>成人表演</t>
  </si>
  <si>
    <t>成人导航</t>
  </si>
  <si>
    <t>成人導航</t>
  </si>
  <si>
    <t>成人電影</t>
  </si>
  <si>
    <t>成人激情</t>
  </si>
  <si>
    <t>成人交友</t>
  </si>
  <si>
    <t>成人卡通</t>
  </si>
  <si>
    <t>成人录像</t>
  </si>
  <si>
    <t>成人论坛</t>
  </si>
  <si>
    <t>成人論壇</t>
  </si>
  <si>
    <t>成人漫画</t>
  </si>
  <si>
    <t>成人配色</t>
  </si>
  <si>
    <t>成人社区</t>
  </si>
  <si>
    <t>成人社區</t>
  </si>
  <si>
    <t>成人书刊</t>
  </si>
  <si>
    <t>成人书库</t>
  </si>
  <si>
    <t>成人贴图</t>
  </si>
  <si>
    <t>成人貼圖</t>
  </si>
  <si>
    <t>成人图</t>
  </si>
  <si>
    <t>成人图片</t>
  </si>
  <si>
    <t>成人圖片</t>
  </si>
  <si>
    <t>成人网站</t>
  </si>
  <si>
    <t>成人網站</t>
  </si>
  <si>
    <t>成人文学</t>
  </si>
  <si>
    <t>成人文學</t>
  </si>
  <si>
    <t>成人午夜場</t>
  </si>
  <si>
    <t>成人午夜场</t>
  </si>
  <si>
    <t>成人小说</t>
  </si>
  <si>
    <t>成人小說</t>
  </si>
  <si>
    <t>成人笑话</t>
  </si>
  <si>
    <t>成人用品</t>
  </si>
  <si>
    <t>成人杂志</t>
  </si>
  <si>
    <t>成人雜誌</t>
  </si>
  <si>
    <t>成人自拍</t>
  </si>
  <si>
    <t>城管</t>
  </si>
  <si>
    <t>程凯</t>
  </si>
  <si>
    <t>程铁军</t>
  </si>
  <si>
    <t>程渭山</t>
  </si>
  <si>
    <t>程真</t>
  </si>
  <si>
    <t>吃鸡巴</t>
  </si>
  <si>
    <t>吃雞巴</t>
  </si>
  <si>
    <t>吃精</t>
  </si>
  <si>
    <t>痴汉是犯罪</t>
  </si>
  <si>
    <t>痴乳</t>
  </si>
  <si>
    <t>螭</t>
  </si>
  <si>
    <t>癡漢是犯罪</t>
  </si>
  <si>
    <t>癡乳</t>
  </si>
  <si>
    <t>迟来的救灾</t>
  </si>
  <si>
    <t>持不同政见</t>
  </si>
  <si>
    <t>持不同政見</t>
  </si>
  <si>
    <t>耻辱轮奸</t>
  </si>
  <si>
    <t>恥辱輪奸</t>
  </si>
  <si>
    <t>赤党</t>
  </si>
  <si>
    <t>赤化</t>
  </si>
  <si>
    <t>赤裸</t>
  </si>
  <si>
    <t>赤裸天使</t>
  </si>
  <si>
    <t>傺</t>
  </si>
  <si>
    <t>瘛</t>
  </si>
  <si>
    <t>舂</t>
  </si>
  <si>
    <t>艟</t>
  </si>
  <si>
    <t>抽頭</t>
  </si>
  <si>
    <t>瘳</t>
  </si>
  <si>
    <t>雠</t>
  </si>
  <si>
    <t>籌碼</t>
  </si>
  <si>
    <t>臭78</t>
  </si>
  <si>
    <t>臭７８</t>
  </si>
  <si>
    <t>臭GY</t>
  </si>
  <si>
    <t>臭ＧＹ</t>
  </si>
  <si>
    <t>臭逼</t>
  </si>
  <si>
    <t>臭你</t>
  </si>
  <si>
    <t>臭妳</t>
  </si>
  <si>
    <t>臭女也</t>
  </si>
  <si>
    <t>臭七八</t>
  </si>
  <si>
    <t>臭人也</t>
  </si>
  <si>
    <t>臭他</t>
  </si>
  <si>
    <t>臭她</t>
  </si>
  <si>
    <t>臭作</t>
  </si>
  <si>
    <t>出卖</t>
  </si>
  <si>
    <t>出售AV</t>
  </si>
  <si>
    <t>出售冰毒</t>
  </si>
  <si>
    <t>出售处男</t>
  </si>
  <si>
    <t>出售处女</t>
  </si>
  <si>
    <t>出售答案</t>
  </si>
  <si>
    <t>出售弹药</t>
  </si>
  <si>
    <t>出售二手走私车</t>
  </si>
  <si>
    <t>出售发票</t>
  </si>
  <si>
    <t>出售工字</t>
  </si>
  <si>
    <t>出售假幣</t>
  </si>
  <si>
    <t>出售雷管</t>
  </si>
  <si>
    <t>出售雷管炸药自制炸弹</t>
  </si>
  <si>
    <t>出售美女</t>
  </si>
  <si>
    <t>出售妹妹</t>
  </si>
  <si>
    <t>出售槍支</t>
  </si>
  <si>
    <t>出售手槍</t>
  </si>
  <si>
    <t>出售银行</t>
  </si>
  <si>
    <t>出售炸药</t>
  </si>
  <si>
    <t>出售走私车</t>
  </si>
  <si>
    <t>除湿机</t>
  </si>
  <si>
    <t>褚益民</t>
  </si>
  <si>
    <t>处男出售</t>
  </si>
  <si>
    <t>处女出售</t>
  </si>
  <si>
    <t>处女开包</t>
  </si>
  <si>
    <t>处女膜</t>
  </si>
  <si>
    <t>处女穴</t>
  </si>
  <si>
    <t>处女终结者</t>
  </si>
  <si>
    <t>处女终结者MOD</t>
  </si>
  <si>
    <t>處女</t>
  </si>
  <si>
    <t>處女開包</t>
  </si>
  <si>
    <t>搋</t>
  </si>
  <si>
    <t>川島和津實</t>
  </si>
  <si>
    <t>传九退三</t>
  </si>
  <si>
    <t>传说的胡曾联手是一种假象</t>
  </si>
  <si>
    <t>传真群发</t>
  </si>
  <si>
    <t>传中共中央关于17大的人事安排意见</t>
  </si>
  <si>
    <t>床上猛男</t>
  </si>
  <si>
    <t>创世之子猎艳之旅</t>
  </si>
  <si>
    <t>吹气娃娃</t>
  </si>
  <si>
    <t>吹萧</t>
  </si>
  <si>
    <t>春宫图</t>
  </si>
  <si>
    <t>春光外泻</t>
  </si>
  <si>
    <t>春光外瀉</t>
  </si>
  <si>
    <t>春夏之交</t>
  </si>
  <si>
    <t>春夏自由论坛</t>
  </si>
  <si>
    <t>春宵</t>
  </si>
  <si>
    <t>春藥</t>
  </si>
  <si>
    <t>純一郎</t>
  </si>
  <si>
    <t>慈悲功</t>
  </si>
  <si>
    <t>磁悬浮</t>
  </si>
  <si>
    <t>辏</t>
  </si>
  <si>
    <t>粗口歌</t>
  </si>
  <si>
    <t>殂</t>
  </si>
  <si>
    <t>促红细胞生成素</t>
  </si>
  <si>
    <t>汆</t>
  </si>
  <si>
    <t>爨</t>
  </si>
  <si>
    <t>崔会烈</t>
  </si>
  <si>
    <t>崔少鹏</t>
  </si>
  <si>
    <t>催泪弹</t>
  </si>
  <si>
    <t>催泪枪</t>
  </si>
  <si>
    <t>催情春药</t>
  </si>
  <si>
    <t>催情粉</t>
  </si>
  <si>
    <t>催情水</t>
  </si>
  <si>
    <t>催情藥</t>
  </si>
  <si>
    <t>催情液</t>
  </si>
  <si>
    <t>榱</t>
  </si>
  <si>
    <t>毳</t>
  </si>
  <si>
    <t>皴</t>
  </si>
  <si>
    <t>蹉</t>
  </si>
  <si>
    <t>鹾</t>
  </si>
  <si>
    <t>达赖领奖</t>
  </si>
  <si>
    <t>達賴</t>
  </si>
  <si>
    <t>達賴喇嘛</t>
  </si>
  <si>
    <t>答案卫星接收机</t>
  </si>
  <si>
    <t>打10倒10</t>
  </si>
  <si>
    <t>打保单</t>
  </si>
  <si>
    <t>打倒共產黨</t>
  </si>
  <si>
    <t>打飞机</t>
  </si>
  <si>
    <t>打坦克手册</t>
  </si>
  <si>
    <t>打野炮</t>
  </si>
  <si>
    <t>打砸抢</t>
  </si>
  <si>
    <t>大10纪10元</t>
  </si>
  <si>
    <t>大b</t>
  </si>
  <si>
    <t>大比</t>
  </si>
  <si>
    <t>大波</t>
  </si>
  <si>
    <t>大波粉B</t>
  </si>
  <si>
    <t>大波骚妇</t>
  </si>
  <si>
    <t>大波騷婦</t>
  </si>
  <si>
    <t>大胆出位</t>
  </si>
  <si>
    <t>大胆少女</t>
  </si>
  <si>
    <t>大膽出位</t>
  </si>
  <si>
    <t>大膽少女</t>
  </si>
  <si>
    <t>大东亚</t>
  </si>
  <si>
    <t>大法大福</t>
  </si>
  <si>
    <t>大法大纪园</t>
  </si>
  <si>
    <t>大法弟子</t>
  </si>
  <si>
    <t>大法洪传</t>
  </si>
  <si>
    <t>大法师傅</t>
  </si>
  <si>
    <t>大法新闻社</t>
  </si>
  <si>
    <t>大法修炼者</t>
  </si>
  <si>
    <t>大法之声</t>
  </si>
  <si>
    <t>大砝弟子</t>
  </si>
  <si>
    <t>大花逼</t>
  </si>
  <si>
    <t>大会堂</t>
  </si>
  <si>
    <t>大鸡巴</t>
  </si>
  <si>
    <t>大雞巴</t>
  </si>
  <si>
    <t>大记元</t>
  </si>
  <si>
    <t>大纪</t>
  </si>
  <si>
    <t>大纪元时报</t>
  </si>
  <si>
    <t>大纪元杂志</t>
  </si>
  <si>
    <t>大纪园</t>
  </si>
  <si>
    <t>大力抽送</t>
  </si>
  <si>
    <t>大陆独裁者</t>
  </si>
  <si>
    <t>大乱交</t>
  </si>
  <si>
    <t>大亂交</t>
  </si>
  <si>
    <t>大奶美逼</t>
  </si>
  <si>
    <t>大奶骚女</t>
  </si>
  <si>
    <t>大奶騷女</t>
  </si>
  <si>
    <t>大奶头</t>
  </si>
  <si>
    <t>大乳</t>
  </si>
  <si>
    <t>大乳頭</t>
  </si>
  <si>
    <t>大善大忍</t>
  </si>
  <si>
    <t>大学暴动</t>
  </si>
  <si>
    <t>大學騷亂</t>
  </si>
  <si>
    <t>大血逼</t>
  </si>
  <si>
    <t>大圆满法</t>
  </si>
  <si>
    <t>大众色情成人网</t>
  </si>
  <si>
    <t>大眾色情成人網</t>
  </si>
  <si>
    <t>大祚荣</t>
  </si>
  <si>
    <t>代办</t>
  </si>
  <si>
    <t>代办签证</t>
  </si>
  <si>
    <t>代办证件</t>
  </si>
  <si>
    <t>代办证件MOD</t>
  </si>
  <si>
    <t>代辦</t>
  </si>
  <si>
    <t>代缴发票</t>
  </si>
  <si>
    <t>代缴税</t>
  </si>
  <si>
    <t>代开</t>
  </si>
  <si>
    <t>代开发票</t>
  </si>
  <si>
    <t>代开发票MOD</t>
  </si>
  <si>
    <t>代开商业发票</t>
  </si>
  <si>
    <t>代开增值税</t>
  </si>
  <si>
    <t>代開</t>
  </si>
  <si>
    <t>代開發票</t>
  </si>
  <si>
    <t>代练</t>
  </si>
  <si>
    <t>代卖发票</t>
  </si>
  <si>
    <t>代售发票</t>
  </si>
  <si>
    <t>代孕</t>
  </si>
  <si>
    <t>带套肛交</t>
  </si>
  <si>
    <t>帶套肛交</t>
  </si>
  <si>
    <t>戴海靜</t>
  </si>
  <si>
    <t>戴相龙</t>
  </si>
  <si>
    <t>丹珠昂奔</t>
  </si>
  <si>
    <t>耽美</t>
  </si>
  <si>
    <t>党保平安</t>
  </si>
  <si>
    <t>党棍</t>
  </si>
  <si>
    <t>党棍官</t>
  </si>
  <si>
    <t>党国</t>
  </si>
  <si>
    <t>党禁</t>
  </si>
  <si>
    <t>党魁</t>
  </si>
  <si>
    <t>党妈妈</t>
  </si>
  <si>
    <t>党内内部资料</t>
  </si>
  <si>
    <t>党内权力</t>
  </si>
  <si>
    <t>党内权争</t>
  </si>
  <si>
    <t>党内危机</t>
  </si>
  <si>
    <t>党内言事潮</t>
  </si>
  <si>
    <t>党委书记</t>
  </si>
  <si>
    <t>党文化</t>
  </si>
  <si>
    <t>党政人事</t>
  </si>
  <si>
    <t>荡女</t>
  </si>
  <si>
    <t>蕩妹</t>
  </si>
  <si>
    <t>蕩女</t>
  </si>
  <si>
    <t>倒台</t>
  </si>
  <si>
    <t>導彈</t>
  </si>
  <si>
    <t>盗撮</t>
  </si>
  <si>
    <t>盗窃</t>
  </si>
  <si>
    <t>盗取</t>
  </si>
  <si>
    <t>盜撮</t>
  </si>
  <si>
    <t>纛</t>
  </si>
  <si>
    <t>登辉</t>
  </si>
  <si>
    <t>等级答案</t>
  </si>
  <si>
    <t>等你插</t>
  </si>
  <si>
    <t>邓二世</t>
  </si>
  <si>
    <t>邓力群自述</t>
  </si>
  <si>
    <t>邓派</t>
  </si>
  <si>
    <t>邓笑贫</t>
  </si>
  <si>
    <t>邓颖超日记</t>
  </si>
  <si>
    <t>鄧小平</t>
  </si>
  <si>
    <t>狄玉明</t>
  </si>
  <si>
    <t>迪里夏提</t>
  </si>
  <si>
    <t>敌对分子</t>
  </si>
  <si>
    <t>诋毁</t>
  </si>
  <si>
    <t>抵制</t>
  </si>
  <si>
    <t>抵制游行</t>
  </si>
  <si>
    <t>底裤</t>
  </si>
  <si>
    <t>底走光</t>
  </si>
  <si>
    <t>地磅仪</t>
  </si>
  <si>
    <t>地磅儀</t>
  </si>
  <si>
    <t>地藏</t>
  </si>
  <si>
    <t>地方召会</t>
  </si>
  <si>
    <t>地块规划</t>
  </si>
  <si>
    <t>地西泮片</t>
  </si>
  <si>
    <t>地下教会</t>
  </si>
  <si>
    <t>地下刊物</t>
  </si>
  <si>
    <t>地下先烈</t>
  </si>
  <si>
    <t>地震</t>
  </si>
  <si>
    <t>地震天谴</t>
  </si>
  <si>
    <t>弟疼</t>
  </si>
  <si>
    <t>弟痛</t>
  </si>
  <si>
    <t>弟子</t>
  </si>
  <si>
    <t>帝国之梦</t>
  </si>
  <si>
    <t>帝國之夢</t>
  </si>
  <si>
    <t>递进民主</t>
  </si>
  <si>
    <t>第二代身份证</t>
  </si>
  <si>
    <t>第三党</t>
  </si>
  <si>
    <t>第三道路党</t>
  </si>
  <si>
    <t>第十六次代表</t>
  </si>
  <si>
    <t>第四代</t>
  </si>
  <si>
    <t>第五代红人</t>
  </si>
  <si>
    <t>第五代接班梯队</t>
  </si>
  <si>
    <t>第五代中央领导人</t>
  </si>
  <si>
    <t>第一次破处</t>
  </si>
  <si>
    <t>第一书记</t>
  </si>
  <si>
    <t>颠覆</t>
  </si>
  <si>
    <t>颠覆国家</t>
  </si>
  <si>
    <t>颠覆中国政权</t>
  </si>
  <si>
    <t>颠覆中华人民共和国政</t>
  </si>
  <si>
    <t>点对点裸聊</t>
  </si>
  <si>
    <t>电车之狼</t>
  </si>
  <si>
    <t>电动葫芦</t>
  </si>
  <si>
    <t>电话拦截</t>
  </si>
  <si>
    <t>电视流氓</t>
  </si>
  <si>
    <t>电信路藏民</t>
  </si>
  <si>
    <t>电影色情</t>
  </si>
  <si>
    <t>电子狗</t>
  </si>
  <si>
    <t>電車之狼</t>
  </si>
  <si>
    <t>電話攔截</t>
  </si>
  <si>
    <t>電子狗</t>
  </si>
  <si>
    <t>屌你</t>
  </si>
  <si>
    <t>屌女也</t>
  </si>
  <si>
    <t>屌人也</t>
  </si>
  <si>
    <t>屌他</t>
  </si>
  <si>
    <t>屌她</t>
  </si>
  <si>
    <t>屌我</t>
  </si>
  <si>
    <t>調教</t>
  </si>
  <si>
    <t>調教虐待</t>
  </si>
  <si>
    <t>爹</t>
  </si>
  <si>
    <t>丁香社区</t>
  </si>
  <si>
    <t>丁香社區</t>
  </si>
  <si>
    <t>丁元</t>
  </si>
  <si>
    <t>丁字裤翘臀</t>
  </si>
  <si>
    <t>丁字褲翹臀</t>
  </si>
  <si>
    <t>叮丙诺菲</t>
  </si>
  <si>
    <t>定情粉</t>
  </si>
  <si>
    <t>定情药</t>
  </si>
  <si>
    <t>腚</t>
  </si>
  <si>
    <t>东北xx网</t>
  </si>
  <si>
    <t>东京热</t>
  </si>
  <si>
    <t>东热空姐</t>
  </si>
  <si>
    <t>东突厥斯坦</t>
  </si>
  <si>
    <t>东突厥斯坦伊斯兰</t>
  </si>
  <si>
    <t>东突厥斯坦伊斯兰运动</t>
  </si>
  <si>
    <t>东西南北论坛</t>
  </si>
  <si>
    <t>东洲</t>
  </si>
  <si>
    <t>冬季热</t>
  </si>
  <si>
    <t>冬季熱</t>
  </si>
  <si>
    <t>東北xx網</t>
  </si>
  <si>
    <t>東京熱</t>
  </si>
  <si>
    <t>東熱空姐</t>
  </si>
  <si>
    <t>東突</t>
  </si>
  <si>
    <t>東亞病夫</t>
  </si>
  <si>
    <t>東洋屄</t>
  </si>
  <si>
    <t>東正教</t>
  </si>
  <si>
    <t>董存瑞问</t>
  </si>
  <si>
    <t>董存瑞問</t>
  </si>
  <si>
    <t>董力</t>
  </si>
  <si>
    <t>董宜胜</t>
  </si>
  <si>
    <t>动乱</t>
  </si>
  <si>
    <t>动漫色图</t>
  </si>
  <si>
    <t>动网</t>
  </si>
  <si>
    <t>动网先锋</t>
  </si>
  <si>
    <t>動乱</t>
  </si>
  <si>
    <t>動漫色圖</t>
  </si>
  <si>
    <t>毒龙舔脚</t>
  </si>
  <si>
    <t>毒龍舔腳</t>
  </si>
  <si>
    <t>毒品</t>
  </si>
  <si>
    <t>毒气赌具</t>
  </si>
  <si>
    <t>独裁</t>
  </si>
  <si>
    <t>独裁政治</t>
  </si>
  <si>
    <t>独立中文笔会</t>
  </si>
  <si>
    <t>独派</t>
  </si>
  <si>
    <t>读者论坛</t>
  </si>
  <si>
    <t>獨立臺灣</t>
  </si>
  <si>
    <t>髑屙民</t>
  </si>
  <si>
    <t>赌博粉</t>
  </si>
  <si>
    <t>赌博专用</t>
  </si>
  <si>
    <t>赌场</t>
  </si>
  <si>
    <t>赌城</t>
  </si>
  <si>
    <t>赌钱</t>
  </si>
  <si>
    <t>赌球网站</t>
  </si>
  <si>
    <t>赌骰子</t>
  </si>
  <si>
    <t>賭博</t>
  </si>
  <si>
    <t>賭博粉</t>
  </si>
  <si>
    <t>賭博專用</t>
  </si>
  <si>
    <t>賭馬</t>
  </si>
  <si>
    <t>賭球</t>
  </si>
  <si>
    <t>杜恒岩</t>
  </si>
  <si>
    <t>杜金才</t>
  </si>
  <si>
    <t>杜金富</t>
  </si>
  <si>
    <t>杜魯門</t>
  </si>
  <si>
    <t>杜青林</t>
  </si>
  <si>
    <t>杜智富</t>
  </si>
  <si>
    <t>渡海登陆作战选编</t>
  </si>
  <si>
    <t>短信广告</t>
  </si>
  <si>
    <t>短信猫</t>
  </si>
  <si>
    <t>短信群发</t>
  </si>
  <si>
    <t>短信群发器</t>
  </si>
  <si>
    <t>短信群发器MOD</t>
  </si>
  <si>
    <t>短信商务广告</t>
  </si>
  <si>
    <t>对共产党清算</t>
  </si>
  <si>
    <t>对日强硬</t>
  </si>
  <si>
    <t>对外高层人事</t>
  </si>
  <si>
    <t>对中共的姑息就是对死难者的残忍</t>
  </si>
  <si>
    <t>多党</t>
  </si>
  <si>
    <t>多党执政</t>
  </si>
  <si>
    <t>多黨</t>
  </si>
  <si>
    <t>多吉才让</t>
  </si>
  <si>
    <t>多杰热旦</t>
  </si>
  <si>
    <t>多美康</t>
  </si>
  <si>
    <t>多人轮</t>
  </si>
  <si>
    <t>多人輪</t>
  </si>
  <si>
    <t>多人性愛</t>
  </si>
  <si>
    <t>多维新闻</t>
  </si>
  <si>
    <t>多維</t>
  </si>
  <si>
    <t>堕淫</t>
  </si>
  <si>
    <t>墮淫</t>
  </si>
  <si>
    <t>屙民</t>
  </si>
  <si>
    <t>俄國</t>
  </si>
  <si>
    <t>莪</t>
  </si>
  <si>
    <t>額爾德尼</t>
  </si>
  <si>
    <t>苊</t>
  </si>
  <si>
    <t>恶党</t>
  </si>
  <si>
    <t>恶搞晚会</t>
  </si>
  <si>
    <t>恶警</t>
  </si>
  <si>
    <t>恩诺欣</t>
  </si>
  <si>
    <t>儿子</t>
  </si>
  <si>
    <t>兒子</t>
  </si>
  <si>
    <t>鲕</t>
  </si>
  <si>
    <t>二奶大奖</t>
  </si>
  <si>
    <t>二奶大赛</t>
  </si>
  <si>
    <t>二奶大賽</t>
  </si>
  <si>
    <t>二穴中出</t>
  </si>
  <si>
    <t>发浪</t>
  </si>
  <si>
    <t>发愣</t>
  </si>
  <si>
    <t>发抡</t>
  </si>
  <si>
    <t>发仑</t>
  </si>
  <si>
    <t>发仑da发</t>
  </si>
  <si>
    <t>发伦工</t>
  </si>
  <si>
    <t>发囵</t>
  </si>
  <si>
    <t>发沦</t>
  </si>
  <si>
    <t>发纶</t>
  </si>
  <si>
    <t>发轮功</t>
  </si>
  <si>
    <t>发轮功陈果</t>
  </si>
  <si>
    <t>发票代开</t>
  </si>
  <si>
    <t>发情</t>
  </si>
  <si>
    <t>发正念</t>
  </si>
  <si>
    <t>発妻</t>
  </si>
  <si>
    <t>発射</t>
  </si>
  <si>
    <t>發浪</t>
  </si>
  <si>
    <t>發淪</t>
  </si>
  <si>
    <t>發票</t>
  </si>
  <si>
    <t>法</t>
  </si>
  <si>
    <t>法？轮？功</t>
  </si>
  <si>
    <t>法~~轮</t>
  </si>
  <si>
    <t>法~轮</t>
  </si>
  <si>
    <t>法0</t>
  </si>
  <si>
    <t>法10轮10功</t>
  </si>
  <si>
    <t>法lun功</t>
  </si>
  <si>
    <t>法L功</t>
  </si>
  <si>
    <t>法车仑工力</t>
  </si>
  <si>
    <t>法国游</t>
  </si>
  <si>
    <t>法拉盛</t>
  </si>
  <si>
    <t>法拉盛缅街</t>
  </si>
  <si>
    <t>法抡</t>
  </si>
  <si>
    <t>法抡功</t>
  </si>
  <si>
    <t>法伦</t>
  </si>
  <si>
    <t>法囵</t>
  </si>
  <si>
    <t>法沦</t>
  </si>
  <si>
    <t>法纶</t>
  </si>
  <si>
    <t>法轮5</t>
  </si>
  <si>
    <t>法轮弟子</t>
  </si>
  <si>
    <t>法轮佛法</t>
  </si>
  <si>
    <t>法倫</t>
  </si>
  <si>
    <t>法輪</t>
  </si>
  <si>
    <t>法论</t>
  </si>
  <si>
    <t>法論</t>
  </si>
  <si>
    <t>法律</t>
  </si>
  <si>
    <t>法十轮十功</t>
  </si>
  <si>
    <t>法一轮</t>
  </si>
  <si>
    <t>法院</t>
  </si>
  <si>
    <t>法谪</t>
  </si>
  <si>
    <t>法谪功</t>
  </si>
  <si>
    <t>法正</t>
  </si>
  <si>
    <t>法正乾坤</t>
  </si>
  <si>
    <t>法正人间</t>
  </si>
  <si>
    <t>砝仑</t>
  </si>
  <si>
    <t>砝伦</t>
  </si>
  <si>
    <t>砝轮</t>
  </si>
  <si>
    <t>珐工力学T</t>
  </si>
  <si>
    <t>珐輪功</t>
  </si>
  <si>
    <t>樊守志</t>
  </si>
  <si>
    <t>反黨</t>
  </si>
  <si>
    <t>反对共产党</t>
  </si>
  <si>
    <t>反对共产主义</t>
  </si>
  <si>
    <t>反封锁</t>
  </si>
  <si>
    <t>反封锁技术</t>
  </si>
  <si>
    <t>反腐败论坛</t>
  </si>
  <si>
    <t>反腐总攻</t>
  </si>
  <si>
    <t>反革命政变纲领</t>
  </si>
  <si>
    <t>反攻大陆</t>
  </si>
  <si>
    <t>反共传单</t>
  </si>
  <si>
    <t>反共言论</t>
  </si>
  <si>
    <t>反雷达测速</t>
  </si>
  <si>
    <t>反雷達測速</t>
  </si>
  <si>
    <t>反民主</t>
  </si>
  <si>
    <t>反人类</t>
  </si>
  <si>
    <t>反人类罪</t>
  </si>
  <si>
    <t>反社会</t>
  </si>
  <si>
    <t>反右题材</t>
  </si>
  <si>
    <t>反中</t>
  </si>
  <si>
    <t>反中共</t>
  </si>
  <si>
    <t>反中共黑色暴力</t>
  </si>
  <si>
    <t>反中游行</t>
  </si>
  <si>
    <t>犯法</t>
  </si>
  <si>
    <t>犯罪</t>
  </si>
  <si>
    <t>饭岛爱</t>
  </si>
  <si>
    <t>范长龙</t>
  </si>
  <si>
    <t>梵蒂冈</t>
  </si>
  <si>
    <t>販毒</t>
  </si>
  <si>
    <t>飯島愛</t>
  </si>
  <si>
    <t>方励之</t>
  </si>
  <si>
    <t>方针定调</t>
  </si>
  <si>
    <t>方舟子</t>
  </si>
  <si>
    <t>方祖岐</t>
  </si>
  <si>
    <t>芳香型智悟气功</t>
  </si>
  <si>
    <t>防拍器</t>
  </si>
  <si>
    <t>防身药水</t>
  </si>
  <si>
    <t>房峰辉</t>
  </si>
  <si>
    <t>仿54</t>
  </si>
  <si>
    <t>仿64</t>
  </si>
  <si>
    <t>仿六四</t>
  </si>
  <si>
    <t>仿五四</t>
  </si>
  <si>
    <t>仿真假钞</t>
  </si>
  <si>
    <t>仿真枪</t>
  </si>
  <si>
    <t>放荡</t>
  </si>
  <si>
    <t>放荡青春</t>
  </si>
  <si>
    <t>放荡少妇</t>
  </si>
  <si>
    <t>放荡少妇宾馆</t>
  </si>
  <si>
    <t>放荡熟女</t>
  </si>
  <si>
    <t>放蕩少婦</t>
  </si>
  <si>
    <t>放蕩少婦賓館</t>
  </si>
  <si>
    <t>放蕩熟女</t>
  </si>
  <si>
    <t>放光明电视制作中心</t>
  </si>
  <si>
    <t>放尿</t>
  </si>
  <si>
    <t>放下生死</t>
  </si>
  <si>
    <t>飞弹</t>
  </si>
  <si>
    <t>飞天舞蹈学校</t>
  </si>
  <si>
    <t>飞扬论坛</t>
  </si>
  <si>
    <t>非法</t>
  </si>
  <si>
    <t>扉之阴</t>
  </si>
  <si>
    <t>扉之陰</t>
  </si>
  <si>
    <t>肥逼</t>
  </si>
  <si>
    <t>肥西干</t>
  </si>
  <si>
    <t>斐得勒</t>
  </si>
  <si>
    <t>废除劳教签名</t>
  </si>
  <si>
    <t>废统</t>
  </si>
  <si>
    <t>费良勇</t>
  </si>
  <si>
    <t>分家在</t>
  </si>
  <si>
    <t>分裂</t>
  </si>
  <si>
    <t>分裂国家</t>
  </si>
  <si>
    <t>粉屄</t>
  </si>
  <si>
    <t>粉红小b</t>
  </si>
  <si>
    <t>粉红小逼</t>
  </si>
  <si>
    <t>粉红穴</t>
  </si>
  <si>
    <t>粉紅穴</t>
  </si>
  <si>
    <t>粉嫩小洞</t>
  </si>
  <si>
    <t>粉饰太平</t>
  </si>
  <si>
    <t>粉碎林陈材料</t>
  </si>
  <si>
    <t>粉碎林陈反党集团反革命政变的斗</t>
  </si>
  <si>
    <t>粉穴</t>
  </si>
  <si>
    <t>愤青</t>
  </si>
  <si>
    <t>鲼</t>
  </si>
  <si>
    <t>瀵</t>
  </si>
  <si>
    <t>丰唇艳姬</t>
  </si>
  <si>
    <t>丰满坚挺</t>
  </si>
  <si>
    <t>丰乳肥臀</t>
  </si>
  <si>
    <t>丰韵少妇</t>
  </si>
  <si>
    <t>风尘劫</t>
  </si>
  <si>
    <t>风骚</t>
  </si>
  <si>
    <t>风骚侍女</t>
  </si>
  <si>
    <t>风骚淫荡</t>
  </si>
  <si>
    <t>风骚欲女</t>
  </si>
  <si>
    <t>风水</t>
  </si>
  <si>
    <t>风艳阁</t>
  </si>
  <si>
    <t>风雨神州论坛</t>
  </si>
  <si>
    <t>风月大陆</t>
  </si>
  <si>
    <t>封从德</t>
  </si>
  <si>
    <t>封杀</t>
  </si>
  <si>
    <t>風花</t>
  </si>
  <si>
    <t>風騷淫蕩</t>
  </si>
  <si>
    <t>風騷欲女</t>
  </si>
  <si>
    <t>風水</t>
  </si>
  <si>
    <t>風豔閣</t>
  </si>
  <si>
    <t>疯狗</t>
  </si>
  <si>
    <t>疯狂抽送</t>
  </si>
  <si>
    <t>瘋狗</t>
  </si>
  <si>
    <t>瘋狂抽送</t>
  </si>
  <si>
    <t>豐唇豔姬</t>
  </si>
  <si>
    <t>酆</t>
  </si>
  <si>
    <t>冯东海</t>
  </si>
  <si>
    <t>冯惠敏</t>
  </si>
  <si>
    <t>冯素英</t>
  </si>
  <si>
    <t>佛怀煽仇录</t>
  </si>
  <si>
    <t>佛蘭克林</t>
  </si>
  <si>
    <t>佛主</t>
  </si>
  <si>
    <t>夫妇乐园</t>
  </si>
  <si>
    <t>夫妻3p</t>
  </si>
  <si>
    <t>夫妻多p</t>
  </si>
  <si>
    <t>夫妻俱乐部</t>
  </si>
  <si>
    <t>夫妻俱樂部</t>
  </si>
  <si>
    <t>夫妻乱交</t>
  </si>
  <si>
    <t>夫妻亂交</t>
  </si>
  <si>
    <t>夫妻自拍</t>
  </si>
  <si>
    <t>肤白胸大</t>
  </si>
  <si>
    <t>服务管理</t>
  </si>
  <si>
    <t>服务器</t>
  </si>
  <si>
    <t>服务器托管</t>
  </si>
  <si>
    <t>服务天使</t>
  </si>
  <si>
    <t>服務管理</t>
  </si>
  <si>
    <t>服務天使</t>
  </si>
  <si>
    <t>幞</t>
  </si>
  <si>
    <t>黻</t>
  </si>
  <si>
    <t>府软弱</t>
  </si>
  <si>
    <t>辅助程序</t>
  </si>
  <si>
    <t>輔助程式</t>
  </si>
  <si>
    <t>腐败</t>
  </si>
  <si>
    <t>腐敗</t>
  </si>
  <si>
    <t>黼</t>
  </si>
  <si>
    <t>父</t>
  </si>
  <si>
    <t>付建华</t>
  </si>
  <si>
    <t>付申奇</t>
  </si>
  <si>
    <t>妇的哀羞</t>
  </si>
  <si>
    <t>复员军官代表</t>
  </si>
  <si>
    <t>复员军官诉求书</t>
  </si>
  <si>
    <t>复转军人</t>
  </si>
  <si>
    <t>副书记</t>
  </si>
  <si>
    <t>副主席</t>
  </si>
  <si>
    <t>傅成玉</t>
  </si>
  <si>
    <t>傅申奇</t>
  </si>
  <si>
    <t>傅志寰</t>
  </si>
  <si>
    <t>改革六大成绩</t>
  </si>
  <si>
    <t>改革阵痛</t>
  </si>
  <si>
    <t>改隳</t>
  </si>
  <si>
    <t>干78</t>
  </si>
  <si>
    <t>干７８</t>
  </si>
  <si>
    <t>干b</t>
  </si>
  <si>
    <t>干B卧槽</t>
  </si>
  <si>
    <t>干GY</t>
  </si>
  <si>
    <t>干ＧＹ</t>
  </si>
  <si>
    <t>干部</t>
  </si>
  <si>
    <t>干的爽</t>
  </si>
  <si>
    <t>干机掰</t>
  </si>
  <si>
    <t>干妈</t>
  </si>
  <si>
    <t>干马</t>
  </si>
  <si>
    <t>干你老母</t>
  </si>
  <si>
    <t>干你良</t>
  </si>
  <si>
    <t>干娘</t>
  </si>
  <si>
    <t>干您娘</t>
  </si>
  <si>
    <t>干女也</t>
  </si>
  <si>
    <t>干扰器</t>
  </si>
  <si>
    <t>干扰赈灾募捐事件回放</t>
  </si>
  <si>
    <t>干人也</t>
  </si>
  <si>
    <t>干死CS</t>
  </si>
  <si>
    <t>干死GM</t>
  </si>
  <si>
    <t>干死客服</t>
  </si>
  <si>
    <t>干穴</t>
  </si>
  <si>
    <t>幹78</t>
  </si>
  <si>
    <t>幹７８</t>
  </si>
  <si>
    <t>幹GY</t>
  </si>
  <si>
    <t>幹ＧＹ</t>
  </si>
  <si>
    <t>幹的爽</t>
  </si>
  <si>
    <t>幹妳</t>
  </si>
  <si>
    <t>幹女也</t>
  </si>
  <si>
    <t>幹炮</t>
  </si>
  <si>
    <t>幹砲</t>
  </si>
  <si>
    <t>幹七八</t>
  </si>
  <si>
    <t>幹擾器</t>
  </si>
  <si>
    <t>幹人也</t>
  </si>
  <si>
    <t>幹穴</t>
  </si>
  <si>
    <t>赣江学院</t>
  </si>
  <si>
    <t>肛屄</t>
  </si>
  <si>
    <t>肛插</t>
  </si>
  <si>
    <t>肛恋</t>
  </si>
  <si>
    <t>肛门喷水</t>
  </si>
  <si>
    <t>肛门拳交</t>
  </si>
  <si>
    <t>肛門噴水</t>
  </si>
  <si>
    <t>肛門拳交</t>
  </si>
  <si>
    <t>岡村寧次</t>
  </si>
  <si>
    <t>岡村秀樹</t>
  </si>
  <si>
    <t>港澳博球网</t>
  </si>
  <si>
    <t>高潮</t>
  </si>
  <si>
    <t>高潮白浆</t>
  </si>
  <si>
    <t>高潮白漿</t>
  </si>
  <si>
    <t>高潮集锦</t>
  </si>
  <si>
    <t>高潮集錦</t>
  </si>
  <si>
    <t>高低温交变湿热试验箱</t>
  </si>
  <si>
    <t>高干</t>
  </si>
  <si>
    <t>高干新子弟</t>
  </si>
  <si>
    <t>高干子弟</t>
  </si>
  <si>
    <t>高干子弟名单</t>
  </si>
  <si>
    <t>高干子女</t>
  </si>
  <si>
    <t>高幹</t>
  </si>
  <si>
    <t>高幹子弟</t>
  </si>
  <si>
    <t>高幹子女</t>
  </si>
  <si>
    <t>高官</t>
  </si>
  <si>
    <t>高虎城</t>
  </si>
  <si>
    <t>高级逼</t>
  </si>
  <si>
    <t>高級逼</t>
  </si>
  <si>
    <t>高麗朴</t>
  </si>
  <si>
    <t>高清性愛</t>
  </si>
  <si>
    <t>高文谦</t>
  </si>
  <si>
    <t>高校罢餐</t>
  </si>
  <si>
    <t>高校暴亂</t>
  </si>
  <si>
    <t>高校騷亂</t>
  </si>
  <si>
    <t>高效春药</t>
  </si>
  <si>
    <t>高薪日结</t>
  </si>
  <si>
    <t>高薪养廉</t>
  </si>
  <si>
    <t>高瞻</t>
  </si>
  <si>
    <t>高治聯</t>
  </si>
  <si>
    <t>高智晟</t>
  </si>
  <si>
    <t>睪丸</t>
  </si>
  <si>
    <t>睾丸素</t>
  </si>
  <si>
    <t>搞个处女</t>
  </si>
  <si>
    <t>告全国股民同胞书</t>
  </si>
  <si>
    <t>告全国人大书</t>
  </si>
  <si>
    <t>告全国同胞书</t>
  </si>
  <si>
    <t>告全体网民书</t>
  </si>
  <si>
    <t>告中国人民解放军广大官兵书</t>
  </si>
  <si>
    <t>戈扬</t>
  </si>
  <si>
    <t>哥疼</t>
  </si>
  <si>
    <t>哥痛</t>
  </si>
  <si>
    <t>鸽派</t>
  </si>
  <si>
    <t>割肉人</t>
  </si>
  <si>
    <t>歌功颂德</t>
  </si>
  <si>
    <t>革命无罪</t>
  </si>
  <si>
    <t>格雷關卡排名管理者</t>
  </si>
  <si>
    <t>格魯城鎮移動</t>
  </si>
  <si>
    <t>葛振峰</t>
  </si>
  <si>
    <t>个人崇拜</t>
  </si>
  <si>
    <t>个人圆满说</t>
  </si>
  <si>
    <t>个邪的党魔教</t>
  </si>
  <si>
    <t>给你爽</t>
  </si>
  <si>
    <t>給你爽</t>
  </si>
  <si>
    <t>根正苗红</t>
  </si>
  <si>
    <t>根正苗紅</t>
  </si>
  <si>
    <t>跟踪定位器</t>
  </si>
  <si>
    <t>跟踪定位器MOD</t>
  </si>
  <si>
    <t>耿惠昌</t>
  </si>
  <si>
    <t>耿燎原</t>
  </si>
  <si>
    <t>耿文清</t>
  </si>
  <si>
    <t>更衣</t>
  </si>
  <si>
    <t>工力</t>
  </si>
  <si>
    <t>工业炸药配方设计</t>
  </si>
  <si>
    <t>工自联</t>
  </si>
  <si>
    <t>公安文件</t>
  </si>
  <si>
    <t>公安与武警的区别</t>
  </si>
  <si>
    <t>公关</t>
  </si>
  <si>
    <t>公开信</t>
  </si>
  <si>
    <t>公款</t>
  </si>
  <si>
    <t>公民私权</t>
  </si>
  <si>
    <t>公投</t>
  </si>
  <si>
    <t>公务员工资</t>
  </si>
  <si>
    <t>公媳乱</t>
  </si>
  <si>
    <t>公媳亂</t>
  </si>
  <si>
    <t>功法</t>
  </si>
  <si>
    <t>功学</t>
  </si>
  <si>
    <t>功学T</t>
  </si>
  <si>
    <t>功学员</t>
  </si>
  <si>
    <t>功友</t>
  </si>
  <si>
    <t>功友弟子</t>
  </si>
  <si>
    <t>攻击党政</t>
  </si>
  <si>
    <t>攻击共党</t>
  </si>
  <si>
    <t>攻台</t>
  </si>
  <si>
    <t>龚平</t>
  </si>
  <si>
    <t>共0</t>
  </si>
  <si>
    <t>共chang党</t>
  </si>
  <si>
    <t>共残党</t>
  </si>
  <si>
    <t>共惨党</t>
  </si>
  <si>
    <t>共产</t>
  </si>
  <si>
    <t>共产党的报应</t>
  </si>
  <si>
    <t>共产党的末日</t>
  </si>
  <si>
    <t>共产极权</t>
  </si>
  <si>
    <t>共产王朝</t>
  </si>
  <si>
    <t>共产无赖</t>
  </si>
  <si>
    <t>共产小丑</t>
  </si>
  <si>
    <t>共产主义黑皮书</t>
  </si>
  <si>
    <t>共产专制</t>
  </si>
  <si>
    <t>共铲党</t>
  </si>
  <si>
    <t>共產黨</t>
  </si>
  <si>
    <t>共匪16大十六大</t>
  </si>
  <si>
    <t>共和国之怒</t>
  </si>
  <si>
    <t>共军</t>
  </si>
  <si>
    <t>共奴</t>
  </si>
  <si>
    <t>共荣</t>
  </si>
  <si>
    <t>勾魂少妇</t>
  </si>
  <si>
    <t>勾魂少婦</t>
  </si>
  <si>
    <t>勾清明</t>
  </si>
  <si>
    <t>狗逼</t>
  </si>
  <si>
    <t>狗狼养的</t>
  </si>
  <si>
    <t>狗卵子</t>
  </si>
  <si>
    <t>彀</t>
  </si>
  <si>
    <t>觏</t>
  </si>
  <si>
    <t>毂</t>
  </si>
  <si>
    <t>古方迷香</t>
  </si>
  <si>
    <t>古拉格</t>
  </si>
  <si>
    <t>汩</t>
  </si>
  <si>
    <t>罟</t>
  </si>
  <si>
    <t>蛊惑</t>
  </si>
  <si>
    <t>嘏</t>
  </si>
  <si>
    <t>鲴</t>
  </si>
  <si>
    <t>乖乖药</t>
  </si>
  <si>
    <t>拐賣</t>
  </si>
  <si>
    <t>关于对敌斗争中有关政政策界限汇编</t>
  </si>
  <si>
    <t>关于做好定案材料工作的意见</t>
  </si>
  <si>
    <t>关卓中</t>
  </si>
  <si>
    <t>官场日志</t>
  </si>
  <si>
    <t>官方</t>
  </si>
  <si>
    <t>官员成为政治新星</t>
  </si>
  <si>
    <t>觀世音</t>
  </si>
  <si>
    <t>管里</t>
  </si>
  <si>
    <t>管理</t>
  </si>
  <si>
    <t>管理员</t>
  </si>
  <si>
    <t>管理員</t>
  </si>
  <si>
    <t>管裡</t>
  </si>
  <si>
    <t>贯通两极法</t>
  </si>
  <si>
    <t>灌满精液</t>
  </si>
  <si>
    <t>灌滿精液</t>
  </si>
  <si>
    <t>光端机</t>
  </si>
  <si>
    <t>广安事件</t>
  </si>
  <si>
    <t>广东饶平钱东镇</t>
  </si>
  <si>
    <t>广闻</t>
  </si>
  <si>
    <t>廣安事件</t>
  </si>
  <si>
    <t>硅谷民主促进会</t>
  </si>
  <si>
    <t>宄</t>
  </si>
  <si>
    <t>庋</t>
  </si>
  <si>
    <t>鬼畜轮奸</t>
  </si>
  <si>
    <t>鬼畜輪奸</t>
  </si>
  <si>
    <t>鬼公</t>
  </si>
  <si>
    <t>鬼輪姦</t>
  </si>
  <si>
    <t>刿</t>
  </si>
  <si>
    <t>桂世镛</t>
  </si>
  <si>
    <t>郭庚茂</t>
  </si>
  <si>
    <t>郭金龙</t>
  </si>
  <si>
    <t>郭罗基</t>
  </si>
  <si>
    <t>郭平</t>
  </si>
  <si>
    <t>郭声琨</t>
  </si>
  <si>
    <t>郭树清</t>
  </si>
  <si>
    <t>郭向远</t>
  </si>
  <si>
    <t>郭岩华</t>
  </si>
  <si>
    <t>郭永平</t>
  </si>
  <si>
    <t>国产AV</t>
  </si>
  <si>
    <t>国产嫖娼</t>
  </si>
  <si>
    <t>国产骚货</t>
  </si>
  <si>
    <t>国产偷拍</t>
  </si>
  <si>
    <t>国产无码</t>
  </si>
  <si>
    <t>国际声援西藏</t>
  </si>
  <si>
    <t>国际西藏运动</t>
  </si>
  <si>
    <t>国际援藏网</t>
  </si>
  <si>
    <t>国家</t>
  </si>
  <si>
    <t>国家安全</t>
  </si>
  <si>
    <t>国家机密</t>
  </si>
  <si>
    <t>国家粮油统计报表</t>
  </si>
  <si>
    <t>国家政府档案</t>
  </si>
  <si>
    <t>国军</t>
  </si>
  <si>
    <t>国民党名单</t>
  </si>
  <si>
    <t>国色天香网</t>
  </si>
  <si>
    <t>国新办主任</t>
  </si>
  <si>
    <t>国研新闻邮件</t>
  </si>
  <si>
    <t>国贼</t>
  </si>
  <si>
    <t>国之利刃</t>
  </si>
  <si>
    <t>國產AV</t>
  </si>
  <si>
    <t>國產嫖娼</t>
  </si>
  <si>
    <t>國產騷貨</t>
  </si>
  <si>
    <t>國產偷拍</t>
  </si>
  <si>
    <t>國產無碼</t>
  </si>
  <si>
    <t>國內動態清樣</t>
  </si>
  <si>
    <t>虢</t>
  </si>
  <si>
    <t>馘</t>
  </si>
  <si>
    <t>裹本</t>
  </si>
  <si>
    <t>哈批</t>
  </si>
  <si>
    <t>蛤蟆</t>
  </si>
  <si>
    <t>蛤蟆转世</t>
  </si>
  <si>
    <t>海盗的悠闲</t>
  </si>
  <si>
    <t>海乐神</t>
  </si>
  <si>
    <t>海外护法</t>
  </si>
  <si>
    <t>海外民运</t>
  </si>
  <si>
    <t>害电突网解</t>
  </si>
  <si>
    <t>酣乐欣</t>
  </si>
  <si>
    <t>含屌</t>
  </si>
  <si>
    <t>含丸</t>
  </si>
  <si>
    <t>韩东方</t>
  </si>
  <si>
    <t>韩亨林</t>
  </si>
  <si>
    <t>韩联潮</t>
  </si>
  <si>
    <t>韩长赋</t>
  </si>
  <si>
    <t>韩正</t>
  </si>
  <si>
    <t>韩杼滨</t>
  </si>
  <si>
    <t>汉风</t>
  </si>
  <si>
    <t>撖</t>
  </si>
  <si>
    <t>夯</t>
  </si>
  <si>
    <t>行房</t>
  </si>
  <si>
    <t>薅</t>
  </si>
  <si>
    <t>豪乳</t>
  </si>
  <si>
    <t>好嫩</t>
  </si>
  <si>
    <t>好色cc</t>
  </si>
  <si>
    <t>号码生成器</t>
  </si>
  <si>
    <t>合采开奖</t>
  </si>
  <si>
    <t>合彩</t>
  </si>
  <si>
    <t>合彩开奖</t>
  </si>
  <si>
    <t>何德普</t>
  </si>
  <si>
    <t>何平</t>
  </si>
  <si>
    <t>何毅亭</t>
  </si>
  <si>
    <t>何勇</t>
  </si>
  <si>
    <t>和采开奖</t>
  </si>
  <si>
    <t>和彩开奖</t>
  </si>
  <si>
    <t>和鍋槍</t>
  </si>
  <si>
    <t>和奸成瘾</t>
  </si>
  <si>
    <t>和解的智慧</t>
  </si>
  <si>
    <t>和平请愿书</t>
  </si>
  <si>
    <t>和平修练</t>
  </si>
  <si>
    <t>和平演变道路已</t>
  </si>
  <si>
    <t>和弦</t>
  </si>
  <si>
    <t>河殇核污染</t>
  </si>
  <si>
    <t>曷</t>
  </si>
  <si>
    <t>核工業基地</t>
  </si>
  <si>
    <t>核潛艇</t>
  </si>
  <si>
    <t>核设施</t>
  </si>
  <si>
    <t>核污染</t>
  </si>
  <si>
    <t>翮</t>
  </si>
  <si>
    <t>贺邦靖</t>
  </si>
  <si>
    <t>賀國強</t>
  </si>
  <si>
    <t>賀過牆</t>
  </si>
  <si>
    <t>赫魯雪夫</t>
  </si>
  <si>
    <t>褐铁矿选矿设备</t>
  </si>
  <si>
    <t>黑白無常</t>
  </si>
  <si>
    <t>黑屄</t>
  </si>
  <si>
    <t>黑逼</t>
  </si>
  <si>
    <t>黑车</t>
  </si>
  <si>
    <t>黑毛屄</t>
  </si>
  <si>
    <t>黑幕</t>
  </si>
  <si>
    <t>黑幕重重腐败到底</t>
  </si>
  <si>
    <t>黑皮书</t>
  </si>
  <si>
    <t>黑枪</t>
  </si>
  <si>
    <t>黑瞎子岛</t>
  </si>
  <si>
    <t>黑星女侠</t>
  </si>
  <si>
    <t>黑窑工母亲网上寻助</t>
  </si>
  <si>
    <t>黑窑母亲群体募捐</t>
  </si>
  <si>
    <t>嘿咻</t>
  </si>
  <si>
    <t>弘法会</t>
  </si>
  <si>
    <t>弘强</t>
  </si>
  <si>
    <t>红病历</t>
  </si>
  <si>
    <t>红朝谎言录</t>
  </si>
  <si>
    <t>红潮谎言录</t>
  </si>
  <si>
    <t>红潮艳史</t>
  </si>
  <si>
    <t>红灯区</t>
  </si>
  <si>
    <t>红色恐怖</t>
  </si>
  <si>
    <t>红兽</t>
  </si>
  <si>
    <t>红头文件</t>
  </si>
  <si>
    <t>红血丝</t>
  </si>
  <si>
    <t>红志</t>
  </si>
  <si>
    <t>红智</t>
  </si>
  <si>
    <t>洪法交流</t>
  </si>
  <si>
    <t>洪巨平</t>
  </si>
  <si>
    <t>洪水的志向</t>
  </si>
  <si>
    <t>洪吟</t>
  </si>
  <si>
    <t>洪哲胜</t>
  </si>
  <si>
    <t>洪治</t>
  </si>
  <si>
    <t>洪智</t>
  </si>
  <si>
    <t>紅河谷論壇</t>
  </si>
  <si>
    <t>紅志</t>
  </si>
  <si>
    <t>紅智</t>
  </si>
  <si>
    <t>侯贺华</t>
  </si>
  <si>
    <t>侯凯</t>
  </si>
  <si>
    <t>侯长安</t>
  </si>
  <si>
    <t>后方想定的编写</t>
  </si>
  <si>
    <t>后勤资料手册</t>
  </si>
  <si>
    <t>後庭</t>
  </si>
  <si>
    <t>呼吁书</t>
  </si>
  <si>
    <t>胡J涛</t>
  </si>
  <si>
    <t>胡春华</t>
  </si>
  <si>
    <t>胡的接班人</t>
  </si>
  <si>
    <t>胡鍧胡鍧胡进涛</t>
  </si>
  <si>
    <t>胡江</t>
  </si>
  <si>
    <t>胡锦滔</t>
  </si>
  <si>
    <t>胡錦濤</t>
  </si>
  <si>
    <t>胡派</t>
  </si>
  <si>
    <t>胡平</t>
  </si>
  <si>
    <t>胡书记</t>
  </si>
  <si>
    <t>胡温</t>
  </si>
  <si>
    <t>胡温怒批政法系统</t>
  </si>
  <si>
    <t>胡溫怒批政法系統</t>
  </si>
  <si>
    <t>胡瘟</t>
  </si>
  <si>
    <t>胡问鸣</t>
  </si>
  <si>
    <t>胡系</t>
  </si>
  <si>
    <t>胡下台</t>
  </si>
  <si>
    <t>胡新宇</t>
  </si>
  <si>
    <t>胡耀帮</t>
  </si>
  <si>
    <t>胡玉敏</t>
  </si>
  <si>
    <t>胡泽君</t>
  </si>
  <si>
    <t>胡中央</t>
  </si>
  <si>
    <t>蝴蝶逼</t>
  </si>
  <si>
    <t>觳</t>
  </si>
  <si>
    <t>虎骑</t>
  </si>
  <si>
    <t>虎騎</t>
  </si>
  <si>
    <t>互舔淫穴</t>
  </si>
  <si>
    <t>互淫</t>
  </si>
  <si>
    <t>冱</t>
  </si>
  <si>
    <t>护士</t>
  </si>
  <si>
    <t>护士诱惑</t>
  </si>
  <si>
    <t>怙</t>
  </si>
  <si>
    <t>戽</t>
  </si>
  <si>
    <t>祜</t>
  </si>
  <si>
    <t>瓠</t>
  </si>
  <si>
    <t>鹱</t>
  </si>
  <si>
    <t>護士誘惑</t>
  </si>
  <si>
    <t>花花公子</t>
  </si>
  <si>
    <t>花样性交</t>
  </si>
  <si>
    <t>花樣性交</t>
  </si>
  <si>
    <t>华藏功</t>
  </si>
  <si>
    <t>华通时事论坛</t>
  </si>
  <si>
    <t>华夏文摘</t>
  </si>
  <si>
    <t>华语世界论坛</t>
  </si>
  <si>
    <t>华岳时事论坛</t>
  </si>
  <si>
    <t>華國鋒</t>
  </si>
  <si>
    <t>華盛頓</t>
  </si>
  <si>
    <t>化基金会</t>
  </si>
  <si>
    <t>话在肉身显现</t>
  </si>
  <si>
    <t>欢欢娱乐时空</t>
  </si>
  <si>
    <t>欢乐性今宵</t>
  </si>
  <si>
    <t>歡歡娛樂時空</t>
  </si>
  <si>
    <t>歡樂性今宵</t>
  </si>
  <si>
    <t>换妻大会</t>
  </si>
  <si>
    <t>换妻杂交</t>
  </si>
  <si>
    <t>換妻</t>
  </si>
  <si>
    <t>換妻大會</t>
  </si>
  <si>
    <t>換妻雜交</t>
  </si>
  <si>
    <t>皇军</t>
  </si>
  <si>
    <t>黄JU</t>
  </si>
  <si>
    <t>黄慈萍</t>
  </si>
  <si>
    <t>黄殿中</t>
  </si>
  <si>
    <t>黄海暗杀</t>
  </si>
  <si>
    <t>黄海暗杀事件</t>
  </si>
  <si>
    <t>黄海事件</t>
  </si>
  <si>
    <t>黄褐斑</t>
  </si>
  <si>
    <t>黄华华</t>
  </si>
  <si>
    <t>黄祸</t>
  </si>
  <si>
    <t>黄建国</t>
  </si>
  <si>
    <t>黄建盛</t>
  </si>
  <si>
    <t>黄金圣水</t>
  </si>
  <si>
    <t>黄金书</t>
  </si>
  <si>
    <t>黄局</t>
  </si>
  <si>
    <t>黄菊吴仪</t>
  </si>
  <si>
    <t>黄菊遗孀</t>
  </si>
  <si>
    <t>黄丽满</t>
  </si>
  <si>
    <t>黄霉素</t>
  </si>
  <si>
    <t>黄奇帆</t>
  </si>
  <si>
    <t>黄色5</t>
  </si>
  <si>
    <t>黄色江</t>
  </si>
  <si>
    <t>黄色漫画</t>
  </si>
  <si>
    <t>黄色图片</t>
  </si>
  <si>
    <t>黄色网站</t>
  </si>
  <si>
    <t>黄色文学</t>
  </si>
  <si>
    <t>黄色小说</t>
  </si>
  <si>
    <t>黄色影视</t>
  </si>
  <si>
    <t>黄树贤</t>
  </si>
  <si>
    <t>黄网</t>
  </si>
  <si>
    <t>黄网导航</t>
  </si>
  <si>
    <t>黄先耀</t>
  </si>
  <si>
    <t>黄翔</t>
  </si>
  <si>
    <t>黄小说</t>
  </si>
  <si>
    <t>黄晓薇</t>
  </si>
  <si>
    <t>黄兴国</t>
  </si>
  <si>
    <t>黄站</t>
  </si>
  <si>
    <t>黄作兴</t>
  </si>
  <si>
    <t>黃大仙</t>
  </si>
  <si>
    <t>黃海暗殺事件</t>
  </si>
  <si>
    <t>黃金聖水</t>
  </si>
  <si>
    <t>黃麗滿</t>
  </si>
  <si>
    <t>黃色電影</t>
  </si>
  <si>
    <t>黃色圖片</t>
  </si>
  <si>
    <t>黃色網站</t>
  </si>
  <si>
    <t>黃色小電影</t>
  </si>
  <si>
    <t>簧片</t>
  </si>
  <si>
    <t>回民暴</t>
  </si>
  <si>
    <t>回民吃豬肉</t>
  </si>
  <si>
    <t>回民猪</t>
  </si>
  <si>
    <t>回忆六四</t>
  </si>
  <si>
    <t>悔过书</t>
  </si>
  <si>
    <t>惠澤社群</t>
  </si>
  <si>
    <t>慧网</t>
  </si>
  <si>
    <t>昏迷剂</t>
  </si>
  <si>
    <t>昏藥</t>
  </si>
  <si>
    <t>混蛋神风流史</t>
  </si>
  <si>
    <t>魂蚊香</t>
  </si>
  <si>
    <t>溷</t>
  </si>
  <si>
    <t>耠</t>
  </si>
  <si>
    <t>锪</t>
  </si>
  <si>
    <t>劐</t>
  </si>
  <si>
    <t>活动管理员</t>
  </si>
  <si>
    <t>活動</t>
  </si>
  <si>
    <t>活動管理員</t>
  </si>
  <si>
    <t>活体</t>
  </si>
  <si>
    <t>火辣图片</t>
  </si>
  <si>
    <t>火辣圖片</t>
  </si>
  <si>
    <t>火辣写真</t>
  </si>
  <si>
    <t>火辣寫真</t>
  </si>
  <si>
    <t>火药制作</t>
  </si>
  <si>
    <t>货到付款</t>
  </si>
  <si>
    <t>霍英东</t>
  </si>
  <si>
    <t>蠖</t>
  </si>
  <si>
    <t>丌</t>
  </si>
  <si>
    <t>机8</t>
  </si>
  <si>
    <t>机Y</t>
  </si>
  <si>
    <t>机Ｙ</t>
  </si>
  <si>
    <t>机芭</t>
  </si>
  <si>
    <t>机密文件</t>
  </si>
  <si>
    <t>乩</t>
  </si>
  <si>
    <t>鸡８</t>
  </si>
  <si>
    <t>鸡8</t>
  </si>
  <si>
    <t>鸡Y</t>
  </si>
  <si>
    <t>鸡Ｙ</t>
  </si>
  <si>
    <t>鸡巴暴胀</t>
  </si>
  <si>
    <t>鸡把</t>
  </si>
  <si>
    <t>鸡吧</t>
  </si>
  <si>
    <t>鸡毛信文汇</t>
  </si>
  <si>
    <t>积克馆</t>
  </si>
  <si>
    <t>姬胜德</t>
  </si>
  <si>
    <t>基地</t>
  </si>
  <si>
    <t>基地組織</t>
  </si>
  <si>
    <t>基督灵恩布道团</t>
  </si>
  <si>
    <t>赍</t>
  </si>
  <si>
    <t>機8</t>
  </si>
  <si>
    <t>機Y</t>
  </si>
  <si>
    <t>機Ｙ</t>
  </si>
  <si>
    <t>機八</t>
  </si>
  <si>
    <t>機巴</t>
  </si>
  <si>
    <t>機叭</t>
  </si>
  <si>
    <t>機芭</t>
  </si>
  <si>
    <t>機掰</t>
  </si>
  <si>
    <t>激插</t>
  </si>
  <si>
    <t>激流中国</t>
  </si>
  <si>
    <t>激情</t>
  </si>
  <si>
    <t>激情潮喷</t>
  </si>
  <si>
    <t>激情潮噴</t>
  </si>
  <si>
    <t>激情打炮</t>
  </si>
  <si>
    <t>激情大片</t>
  </si>
  <si>
    <t>激情電影</t>
  </si>
  <si>
    <t>激情交友</t>
  </si>
  <si>
    <t>激情聊天</t>
  </si>
  <si>
    <t>激情裸体</t>
  </si>
  <si>
    <t>激情裸體</t>
  </si>
  <si>
    <t>激情美女</t>
  </si>
  <si>
    <t>激情陪聊</t>
  </si>
  <si>
    <t>激情视频</t>
  </si>
  <si>
    <t>激情視頻</t>
  </si>
  <si>
    <t>激情贴图</t>
  </si>
  <si>
    <t>激情貼圖</t>
  </si>
  <si>
    <t>激情图片</t>
  </si>
  <si>
    <t>激情圖片</t>
  </si>
  <si>
    <t>激情文学</t>
  </si>
  <si>
    <t>激情小電影</t>
  </si>
  <si>
    <t>激情小说</t>
  </si>
  <si>
    <t>激情小說</t>
  </si>
  <si>
    <t>激情自拍</t>
  </si>
  <si>
    <t>激凸走光</t>
  </si>
  <si>
    <t>雞８</t>
  </si>
  <si>
    <t>雞Y</t>
  </si>
  <si>
    <t>雞Ｙ</t>
  </si>
  <si>
    <t>雞八</t>
  </si>
  <si>
    <t>雞巴</t>
  </si>
  <si>
    <t>雞巴暴脹</t>
  </si>
  <si>
    <t>雞叭</t>
  </si>
  <si>
    <t>雞芭</t>
  </si>
  <si>
    <t>雞吧</t>
  </si>
  <si>
    <t>雞掰</t>
  </si>
  <si>
    <t>雞雞</t>
  </si>
  <si>
    <t>雞奸</t>
  </si>
  <si>
    <t>鷄巴</t>
  </si>
  <si>
    <t>及川奈央</t>
  </si>
  <si>
    <t>吉炳轩</t>
  </si>
  <si>
    <t>吉祥宝贝</t>
  </si>
  <si>
    <t>极品白虎</t>
  </si>
  <si>
    <t>极品波霸</t>
  </si>
  <si>
    <t>极品波神</t>
  </si>
  <si>
    <t>极品黑丝</t>
  </si>
  <si>
    <t>极品奶妹</t>
  </si>
  <si>
    <t>疾病业债说</t>
  </si>
  <si>
    <t>極品白虎</t>
  </si>
  <si>
    <t>極品波霸</t>
  </si>
  <si>
    <t>極品波神</t>
  </si>
  <si>
    <t>極品黑絲</t>
  </si>
  <si>
    <t>極品奶妹</t>
  </si>
  <si>
    <t>殛</t>
  </si>
  <si>
    <t>集会</t>
  </si>
  <si>
    <t>集体上访</t>
  </si>
  <si>
    <t>集体性爱</t>
  </si>
  <si>
    <t>集体淫</t>
  </si>
  <si>
    <t>集体做爱</t>
  </si>
  <si>
    <t>集體性愛</t>
  </si>
  <si>
    <t>集體淫</t>
  </si>
  <si>
    <t>蕺</t>
  </si>
  <si>
    <t>几八</t>
  </si>
  <si>
    <t>几巴</t>
  </si>
  <si>
    <t>几叭</t>
  </si>
  <si>
    <t>几芭</t>
  </si>
  <si>
    <t>掎</t>
  </si>
  <si>
    <t>彐</t>
  </si>
  <si>
    <t>记者原子弹的DIY制作</t>
  </si>
  <si>
    <t>纪律检查</t>
  </si>
  <si>
    <t>纪元</t>
  </si>
  <si>
    <t>芰</t>
  </si>
  <si>
    <t>妓女jnv</t>
  </si>
  <si>
    <t>妓女的口号</t>
  </si>
  <si>
    <t>寂寞自摸</t>
  </si>
  <si>
    <t>跽</t>
  </si>
  <si>
    <t>鲚</t>
  </si>
  <si>
    <t>加盖机密××××</t>
  </si>
  <si>
    <t>佳静安定片</t>
  </si>
  <si>
    <t>家用天线</t>
  </si>
  <si>
    <t>家用卫星</t>
  </si>
  <si>
    <t>葭</t>
  </si>
  <si>
    <t>恝</t>
  </si>
  <si>
    <t>甲慶林</t>
  </si>
  <si>
    <t>贾廷安</t>
  </si>
  <si>
    <t>贾系</t>
  </si>
  <si>
    <t>贾育台</t>
  </si>
  <si>
    <t>贾治邦</t>
  </si>
  <si>
    <t>假币</t>
  </si>
  <si>
    <t>假币出售</t>
  </si>
  <si>
    <t>假钞</t>
  </si>
  <si>
    <t>假鈔</t>
  </si>
  <si>
    <t>假教育</t>
  </si>
  <si>
    <t>假钱</t>
  </si>
  <si>
    <t>假慶林</t>
  </si>
  <si>
    <t>假阳具插穴</t>
  </si>
  <si>
    <t>假陽具插穴</t>
  </si>
  <si>
    <t>賈慶林</t>
  </si>
  <si>
    <t>駱海堅</t>
  </si>
  <si>
    <t>奸情</t>
  </si>
  <si>
    <t>奸商</t>
  </si>
  <si>
    <t>奸尸</t>
  </si>
  <si>
    <t>奸淫电车</t>
  </si>
  <si>
    <t>奸幼</t>
  </si>
  <si>
    <t>间谍</t>
  </si>
  <si>
    <t>姦情</t>
  </si>
  <si>
    <t>姦染</t>
  </si>
  <si>
    <t>姦淫</t>
  </si>
  <si>
    <t>姦淫電車</t>
  </si>
  <si>
    <t>监督</t>
  </si>
  <si>
    <t>监管</t>
  </si>
  <si>
    <t>监禁陵辱</t>
  </si>
  <si>
    <t>监听</t>
  </si>
  <si>
    <t>监听宝</t>
  </si>
  <si>
    <t>监听器</t>
  </si>
  <si>
    <t>监听设备</t>
  </si>
  <si>
    <t>监听王</t>
  </si>
  <si>
    <t>监狱</t>
  </si>
  <si>
    <t>监狱管理局</t>
  </si>
  <si>
    <t>监狱里的斗争</t>
  </si>
  <si>
    <t>湔</t>
  </si>
  <si>
    <t>搛</t>
  </si>
  <si>
    <t>監督</t>
  </si>
  <si>
    <t>監管</t>
  </si>
  <si>
    <t>監禁陵辱</t>
  </si>
  <si>
    <t>監聽寶</t>
  </si>
  <si>
    <t>監聽器</t>
  </si>
  <si>
    <t>監聽王</t>
  </si>
  <si>
    <t>監獄</t>
  </si>
  <si>
    <t>鲣</t>
  </si>
  <si>
    <t>鞯</t>
  </si>
  <si>
    <t>囝</t>
  </si>
  <si>
    <t>检察机关</t>
  </si>
  <si>
    <t>检察院</t>
  </si>
  <si>
    <t>趼</t>
  </si>
  <si>
    <t>简鸿章</t>
  </si>
  <si>
    <t>简易原子弹制作</t>
  </si>
  <si>
    <t>简易炸药制作</t>
  </si>
  <si>
    <t>简易制作C4炸弹教程</t>
  </si>
  <si>
    <t>建定防火</t>
  </si>
  <si>
    <t>建国党</t>
  </si>
  <si>
    <t>贱比</t>
  </si>
  <si>
    <t>剑教材</t>
  </si>
  <si>
    <t>践踏中国女性</t>
  </si>
  <si>
    <t>賤</t>
  </si>
  <si>
    <t>江1泽2民</t>
  </si>
  <si>
    <t>江ze民</t>
  </si>
  <si>
    <t>江z民</t>
  </si>
  <si>
    <t>江必新</t>
  </si>
  <si>
    <t>江恶人</t>
  </si>
  <si>
    <t>江二世</t>
  </si>
  <si>
    <t>江公子</t>
  </si>
  <si>
    <t>江蛤蟆</t>
  </si>
  <si>
    <t>江黑心</t>
  </si>
  <si>
    <t>江胡</t>
  </si>
  <si>
    <t>江湖淫娘</t>
  </si>
  <si>
    <t>江昏君</t>
  </si>
  <si>
    <t>江祸心</t>
  </si>
  <si>
    <t>江家帮</t>
  </si>
  <si>
    <t>江姐问</t>
  </si>
  <si>
    <t>江姐問</t>
  </si>
  <si>
    <t>江锦恒</t>
  </si>
  <si>
    <t>江老贼</t>
  </si>
  <si>
    <t>江理论</t>
  </si>
  <si>
    <t>江流氓</t>
  </si>
  <si>
    <t>江路线</t>
  </si>
  <si>
    <t>江罗</t>
  </si>
  <si>
    <t>江罗集团</t>
  </si>
  <si>
    <t>江驴</t>
  </si>
  <si>
    <t>江绵恒</t>
  </si>
  <si>
    <t>江魔头</t>
  </si>
  <si>
    <t>江牌</t>
  </si>
  <si>
    <t>江派</t>
  </si>
  <si>
    <t>江派和胡派</t>
  </si>
  <si>
    <t>江派人马</t>
  </si>
  <si>
    <t>江青××</t>
  </si>
  <si>
    <t>江青同志在批林整风汇报会议华东组和中南组会上的讲话</t>
  </si>
  <si>
    <t>江青在批林反孔会议上的讲话×××</t>
  </si>
  <si>
    <t>江泉集团</t>
  </si>
  <si>
    <t>江人马</t>
  </si>
  <si>
    <t>江三秀</t>
  </si>
  <si>
    <t>江山美人志</t>
  </si>
  <si>
    <t>江神经</t>
  </si>
  <si>
    <t>江氏</t>
  </si>
  <si>
    <t>江氏集团</t>
  </si>
  <si>
    <t>江氏家族</t>
  </si>
  <si>
    <t>江梳头</t>
  </si>
  <si>
    <t>江宋</t>
  </si>
  <si>
    <t>江系</t>
  </si>
  <si>
    <t>江系人马</t>
  </si>
  <si>
    <t>江宰民</t>
  </si>
  <si>
    <t>江则民</t>
  </si>
  <si>
    <t>江择min</t>
  </si>
  <si>
    <t>江泽公审</t>
  </si>
  <si>
    <t>江泽慧</t>
  </si>
  <si>
    <t>江泽民瑞士</t>
  </si>
  <si>
    <t>江泽民宋祖英</t>
  </si>
  <si>
    <t>江澤民</t>
  </si>
  <si>
    <t>江贼</t>
  </si>
  <si>
    <t>江者民</t>
  </si>
  <si>
    <t>江浙民</t>
  </si>
  <si>
    <t>江朱</t>
  </si>
  <si>
    <t>江豬媳</t>
  </si>
  <si>
    <t>江作秀</t>
  </si>
  <si>
    <t>将则民</t>
  </si>
  <si>
    <t>姜春云</t>
  </si>
  <si>
    <t>姜大明</t>
  </si>
  <si>
    <t>姜凤阁</t>
  </si>
  <si>
    <t>姜异康</t>
  </si>
  <si>
    <t>僵贼</t>
  </si>
  <si>
    <t>疆独藏独</t>
  </si>
  <si>
    <t>疆獨</t>
  </si>
  <si>
    <t>讲法</t>
  </si>
  <si>
    <t>讲事实要说法</t>
  </si>
  <si>
    <t>蒋定之</t>
  </si>
  <si>
    <t>蒋匪军陆军部队师以上主官情况调查</t>
  </si>
  <si>
    <t>蒋建国</t>
  </si>
  <si>
    <t>蒋洁敏</t>
  </si>
  <si>
    <t>蒋彦永</t>
  </si>
  <si>
    <t>蔣經國</t>
  </si>
  <si>
    <t>降灾民</t>
  </si>
  <si>
    <t>交换夫妻</t>
  </si>
  <si>
    <t>交換夫妻</t>
  </si>
  <si>
    <t>交警</t>
  </si>
  <si>
    <t>交友网</t>
  </si>
  <si>
    <t>胶质炸弹</t>
  </si>
  <si>
    <t>焦焕成</t>
  </si>
  <si>
    <t>角落里的枪</t>
  </si>
  <si>
    <t>狡猾的风水相师</t>
  </si>
  <si>
    <t>脚交</t>
  </si>
  <si>
    <t>腳交</t>
  </si>
  <si>
    <t>叫雞</t>
  </si>
  <si>
    <t>觉醒了的中国</t>
  </si>
  <si>
    <t>教徒</t>
  </si>
  <si>
    <t>教徒人权</t>
  </si>
  <si>
    <t>教养院</t>
  </si>
  <si>
    <t>教主</t>
  </si>
  <si>
    <t>醮</t>
  </si>
  <si>
    <t>阶级敌人</t>
  </si>
  <si>
    <t>疖</t>
  </si>
  <si>
    <t>接班群体</t>
  </si>
  <si>
    <t>揭个黑幕</t>
  </si>
  <si>
    <t>揭批书</t>
  </si>
  <si>
    <t>街头扒衣</t>
  </si>
  <si>
    <t>街頭扒衣</t>
  </si>
  <si>
    <t>姐疼</t>
  </si>
  <si>
    <t>姐痛</t>
  </si>
  <si>
    <t>解放军的最新式军服</t>
  </si>
  <si>
    <t>解厚铨</t>
  </si>
  <si>
    <t>解码器</t>
  </si>
  <si>
    <t>解碼器</t>
  </si>
  <si>
    <t>解体的命运</t>
  </si>
  <si>
    <t>解体中共</t>
  </si>
  <si>
    <t>解学智</t>
  </si>
  <si>
    <t>解振华</t>
  </si>
  <si>
    <t>金伯帆</t>
  </si>
  <si>
    <t>金道铭</t>
  </si>
  <si>
    <t>金鳞岂是池中物</t>
  </si>
  <si>
    <t>金鱗豈是池中物</t>
  </si>
  <si>
    <t>金毛穴</t>
  </si>
  <si>
    <t>金槍不倒</t>
  </si>
  <si>
    <t>金书波</t>
  </si>
  <si>
    <t>金尧如</t>
  </si>
  <si>
    <t>金银焕</t>
  </si>
  <si>
    <t>金澤文子</t>
  </si>
  <si>
    <t>津人治津</t>
  </si>
  <si>
    <t>紧缚凌辱</t>
  </si>
  <si>
    <t>紧穴</t>
  </si>
  <si>
    <t>锦涛</t>
  </si>
  <si>
    <t>緊縛淩辱</t>
  </si>
  <si>
    <t>緊穴</t>
  </si>
  <si>
    <t>近平</t>
  </si>
  <si>
    <t>近亲相奸</t>
  </si>
  <si>
    <t>近親</t>
  </si>
  <si>
    <t>近親相奸</t>
  </si>
  <si>
    <t>近親相姦</t>
  </si>
  <si>
    <t>禁断少女</t>
  </si>
  <si>
    <t>禁忌试玩</t>
  </si>
  <si>
    <t>禁忌試玩</t>
  </si>
  <si>
    <t>禁看</t>
  </si>
  <si>
    <t>禁网禁片</t>
  </si>
  <si>
    <t>茎精</t>
  </si>
  <si>
    <t>京郊旅游</t>
  </si>
  <si>
    <t>经典炮图</t>
  </si>
  <si>
    <t>经文</t>
  </si>
  <si>
    <t>经租房</t>
  </si>
  <si>
    <t>荊棘護衛兵</t>
  </si>
  <si>
    <t>惊暴双乳</t>
  </si>
  <si>
    <t>惊悚空间</t>
  </si>
  <si>
    <t>晶白体</t>
  </si>
  <si>
    <t>經典炮圖</t>
  </si>
  <si>
    <t>精液浴</t>
  </si>
  <si>
    <t>精液榨取</t>
  </si>
  <si>
    <t>驚悚空間</t>
  </si>
  <si>
    <t>警察</t>
  </si>
  <si>
    <t>警奴</t>
  </si>
  <si>
    <t>警用教材</t>
  </si>
  <si>
    <t>净白体</t>
  </si>
  <si>
    <t>净水器</t>
  </si>
  <si>
    <t>靖志远</t>
  </si>
  <si>
    <t>九评</t>
  </si>
  <si>
    <t>九评××</t>
  </si>
  <si>
    <t>九评5</t>
  </si>
  <si>
    <t>九评公产党</t>
  </si>
  <si>
    <t>九评共产党</t>
  </si>
  <si>
    <t>九十三运动</t>
  </si>
  <si>
    <t>酒店援交</t>
  </si>
  <si>
    <t>旧金山总领馆</t>
  </si>
  <si>
    <t>旧民运</t>
  </si>
  <si>
    <t>就去日</t>
  </si>
  <si>
    <t>就去色色</t>
  </si>
  <si>
    <t>就去诱惑</t>
  </si>
  <si>
    <t>就去誘惑</t>
  </si>
  <si>
    <t>菊花洞</t>
  </si>
  <si>
    <t>菊花蕾</t>
  </si>
  <si>
    <t>菊花穴</t>
  </si>
  <si>
    <t>菊穴</t>
  </si>
  <si>
    <t>巨屌</t>
  </si>
  <si>
    <t>巨奶</t>
  </si>
  <si>
    <t>巨炮兵团</t>
  </si>
  <si>
    <t>巨炮兵團</t>
  </si>
  <si>
    <t>巨乳</t>
  </si>
  <si>
    <t>巨乳俏女医</t>
  </si>
  <si>
    <t>巨乳俏女醫</t>
  </si>
  <si>
    <t>巨乳素人</t>
  </si>
  <si>
    <t>巨骚</t>
  </si>
  <si>
    <t>巨騷</t>
  </si>
  <si>
    <t>苣</t>
  </si>
  <si>
    <t>具有中国特色的魔鬼辞典</t>
  </si>
  <si>
    <t>屦</t>
  </si>
  <si>
    <t>醵</t>
  </si>
  <si>
    <t>蠲</t>
  </si>
  <si>
    <t>桊</t>
  </si>
  <si>
    <t>鄄</t>
  </si>
  <si>
    <t>撅起大白腚</t>
  </si>
  <si>
    <t>绝版</t>
  </si>
  <si>
    <t>绝密档案</t>
  </si>
  <si>
    <t>绝人寰的暴行</t>
  </si>
  <si>
    <t>谲</t>
  </si>
  <si>
    <t>爝</t>
  </si>
  <si>
    <t>军队干部转业复员工作文件汇编</t>
  </si>
  <si>
    <t>军队走私</t>
  </si>
  <si>
    <t>军火</t>
  </si>
  <si>
    <t>军事标号</t>
  </si>
  <si>
    <t>军事地图</t>
  </si>
  <si>
    <t>军事训练大纲</t>
  </si>
  <si>
    <t>军事训练评定标准</t>
  </si>
  <si>
    <t>军委公开信</t>
  </si>
  <si>
    <t>军需物质保管</t>
  </si>
  <si>
    <t>军需物资保管</t>
  </si>
  <si>
    <t>军用地图</t>
  </si>
  <si>
    <t>军用教材</t>
  </si>
  <si>
    <t>军用手枪</t>
  </si>
  <si>
    <t>军长发威PK</t>
  </si>
  <si>
    <t>军政名单</t>
  </si>
  <si>
    <t>军转安置</t>
  </si>
  <si>
    <t>军转干部</t>
  </si>
  <si>
    <t>軍長發威PK</t>
  </si>
  <si>
    <t>軍官</t>
  </si>
  <si>
    <t>軍火</t>
  </si>
  <si>
    <t>麇</t>
  </si>
  <si>
    <t>卡耐基</t>
  </si>
  <si>
    <t>卡斯楚</t>
  </si>
  <si>
    <t>卡辛纳大道和三福大道交界处</t>
  </si>
  <si>
    <t>开苞</t>
  </si>
  <si>
    <t>开房</t>
  </si>
  <si>
    <t>开垦民主</t>
  </si>
  <si>
    <t>开枪</t>
  </si>
  <si>
    <t>开天目</t>
  </si>
  <si>
    <t>開房</t>
  </si>
  <si>
    <t>康成元</t>
  </si>
  <si>
    <t>康涛杰</t>
  </si>
  <si>
    <t>抗日</t>
  </si>
  <si>
    <t>考后付款</t>
  </si>
  <si>
    <t>考前发放</t>
  </si>
  <si>
    <t>靠爸</t>
  </si>
  <si>
    <t>靠北</t>
  </si>
  <si>
    <t>靠母</t>
  </si>
  <si>
    <t>靠腰口肯</t>
  </si>
  <si>
    <t>科西嘉独立</t>
  </si>
  <si>
    <t>嗑藥</t>
  </si>
  <si>
    <t>颗粒包装机</t>
  </si>
  <si>
    <t>克林頓</t>
  </si>
  <si>
    <t>刻章</t>
  </si>
  <si>
    <t>客服</t>
  </si>
  <si>
    <t>客户服务</t>
  </si>
  <si>
    <t>空姐性交</t>
  </si>
  <si>
    <t>空难</t>
  </si>
  <si>
    <t>空難</t>
  </si>
  <si>
    <t>空中民主墙</t>
  </si>
  <si>
    <t>恐怖</t>
  </si>
  <si>
    <t>恐怖分子</t>
  </si>
  <si>
    <t>恐怖分子DIY</t>
  </si>
  <si>
    <t>恐怖分子必备</t>
  </si>
  <si>
    <t>恐怖分子第一步炸弹</t>
  </si>
  <si>
    <t>恐怖分子皮箱炸弹</t>
  </si>
  <si>
    <t>恐怖分子傻瓜手册</t>
  </si>
  <si>
    <t>恐怖牢恐共</t>
  </si>
  <si>
    <t>恐怖牢笼</t>
  </si>
  <si>
    <t>恐怖主义敏感词汇</t>
  </si>
  <si>
    <t>恐惧杀手</t>
  </si>
  <si>
    <t>恐懼殺手</t>
  </si>
  <si>
    <t>抠b</t>
  </si>
  <si>
    <t>抠逼</t>
  </si>
  <si>
    <t>抠穴</t>
  </si>
  <si>
    <t>摳穴</t>
  </si>
  <si>
    <t>口爆</t>
  </si>
  <si>
    <t>口爆吞精</t>
  </si>
  <si>
    <t>口活</t>
  </si>
  <si>
    <t>口技</t>
  </si>
  <si>
    <t>口交放尿</t>
  </si>
  <si>
    <t>口內爆射</t>
  </si>
  <si>
    <t>口内爆射</t>
  </si>
  <si>
    <t>口射</t>
  </si>
  <si>
    <t>口香糖炸弹</t>
  </si>
  <si>
    <t>口淫</t>
  </si>
  <si>
    <t>扣应队</t>
  </si>
  <si>
    <t>哭爸</t>
  </si>
  <si>
    <t>哭母</t>
  </si>
  <si>
    <t>裤袜</t>
  </si>
  <si>
    <t>酷刑罪</t>
  </si>
  <si>
    <t>酷刑罪MOD</t>
  </si>
  <si>
    <t>褲襪</t>
  </si>
  <si>
    <t>垮台</t>
  </si>
  <si>
    <t>胯下呻吟</t>
  </si>
  <si>
    <t>跨世纪的良心犯</t>
  </si>
  <si>
    <t>跨下呻吟</t>
  </si>
  <si>
    <t>快操我</t>
  </si>
  <si>
    <t>快乐AV</t>
  </si>
  <si>
    <t>快樂AV</t>
  </si>
  <si>
    <t>狂插</t>
  </si>
  <si>
    <t>狂干</t>
  </si>
  <si>
    <t>狂搞</t>
  </si>
  <si>
    <t>狂乳激揺</t>
  </si>
  <si>
    <t>狂穴</t>
  </si>
  <si>
    <t>邝锦文</t>
  </si>
  <si>
    <t>贶</t>
  </si>
  <si>
    <t>悝</t>
  </si>
  <si>
    <t>喟</t>
  </si>
  <si>
    <t>昆仑女神功</t>
  </si>
  <si>
    <t>捆绑</t>
  </si>
  <si>
    <t>垃圾</t>
  </si>
  <si>
    <t>拉帮游说</t>
  </si>
  <si>
    <t>拉登熟知中国</t>
  </si>
  <si>
    <t>拉登熟知中國</t>
  </si>
  <si>
    <t>拉票贿选</t>
  </si>
  <si>
    <t>拉萨僧人接连抗议</t>
  </si>
  <si>
    <t>拉萨事件</t>
  </si>
  <si>
    <t>喇嘛</t>
  </si>
  <si>
    <t>賴昌星</t>
  </si>
  <si>
    <t>拦截器</t>
  </si>
  <si>
    <t>攔截器</t>
  </si>
  <si>
    <t>懒8</t>
  </si>
  <si>
    <t>懒八</t>
  </si>
  <si>
    <t>懒叫</t>
  </si>
  <si>
    <t>懶叫</t>
  </si>
  <si>
    <t>懶教</t>
  </si>
  <si>
    <t>郎咸平</t>
  </si>
  <si>
    <t>狼友</t>
  </si>
  <si>
    <t>浪妇</t>
  </si>
  <si>
    <t>浪婦</t>
  </si>
  <si>
    <t>浪叫</t>
  </si>
  <si>
    <t>浪女</t>
  </si>
  <si>
    <t>浪穴</t>
  </si>
  <si>
    <t>劳动教养所</t>
  </si>
  <si>
    <t>劳改</t>
  </si>
  <si>
    <t>劳工观察</t>
  </si>
  <si>
    <t>劳教</t>
  </si>
  <si>
    <t>劳教基金</t>
  </si>
  <si>
    <t>劳教所</t>
  </si>
  <si>
    <t>老GY</t>
  </si>
  <si>
    <t>老ＧＹ</t>
  </si>
  <si>
    <t>老婊子</t>
  </si>
  <si>
    <t>老虎機</t>
  </si>
  <si>
    <t>老江</t>
  </si>
  <si>
    <t>老毛</t>
  </si>
  <si>
    <t>老人政治</t>
  </si>
  <si>
    <t>老少乱伦</t>
  </si>
  <si>
    <t>老少亂倫</t>
  </si>
  <si>
    <t>老味</t>
  </si>
  <si>
    <t>仂</t>
  </si>
  <si>
    <t>泐</t>
  </si>
  <si>
    <t>鳓</t>
  </si>
  <si>
    <t>雷达测速器</t>
  </si>
  <si>
    <t>雷達測速器</t>
  </si>
  <si>
    <t>雷根</t>
  </si>
  <si>
    <t>雷管</t>
  </si>
  <si>
    <t>雷管制造技术</t>
  </si>
  <si>
    <t>雷鸣球</t>
  </si>
  <si>
    <t>诔</t>
  </si>
  <si>
    <t>酹</t>
  </si>
  <si>
    <t>冷宽</t>
  </si>
  <si>
    <t>冷溶</t>
  </si>
  <si>
    <t>嫠</t>
  </si>
  <si>
    <t>黎安友</t>
  </si>
  <si>
    <t>黎晓宏</t>
  </si>
  <si>
    <t>黎阳平</t>
  </si>
  <si>
    <t>黎陽評</t>
  </si>
  <si>
    <t>黎智英</t>
  </si>
  <si>
    <t>離長春</t>
  </si>
  <si>
    <t>黧</t>
  </si>
  <si>
    <t>蠡</t>
  </si>
  <si>
    <t>李10洪10志</t>
  </si>
  <si>
    <t>李斌</t>
  </si>
  <si>
    <t>李長春</t>
  </si>
  <si>
    <t>李崇礼</t>
  </si>
  <si>
    <t>李崇仁</t>
  </si>
  <si>
    <t>李崇禧</t>
  </si>
  <si>
    <t>李传卿</t>
  </si>
  <si>
    <t>李从军</t>
  </si>
  <si>
    <t>李大尸</t>
  </si>
  <si>
    <t>李大師</t>
  </si>
  <si>
    <t>李大釗</t>
  </si>
  <si>
    <t>李登辉总统</t>
  </si>
  <si>
    <t>李登輝</t>
  </si>
  <si>
    <t>李东生</t>
  </si>
  <si>
    <t>李法泉</t>
  </si>
  <si>
    <t>李刚</t>
  </si>
  <si>
    <t>李红痔</t>
  </si>
  <si>
    <t>李红智</t>
  </si>
  <si>
    <t>李宏治</t>
  </si>
  <si>
    <t>李宏智</t>
  </si>
  <si>
    <t>李洪</t>
  </si>
  <si>
    <t>李洪宽</t>
  </si>
  <si>
    <t>李洪志阿扁</t>
  </si>
  <si>
    <t>李洪智</t>
  </si>
  <si>
    <t>李洪痣</t>
  </si>
  <si>
    <t>李洪誌</t>
  </si>
  <si>
    <t>李鸿志</t>
  </si>
  <si>
    <t>李鸿智</t>
  </si>
  <si>
    <t>李鸿忠</t>
  </si>
  <si>
    <t>李纪恒</t>
  </si>
  <si>
    <t>李继耐</t>
  </si>
  <si>
    <t>李家祥</t>
  </si>
  <si>
    <t>李建波</t>
  </si>
  <si>
    <t>李建国</t>
  </si>
  <si>
    <t>李建华</t>
  </si>
  <si>
    <t>李磕牆</t>
  </si>
  <si>
    <t>李克強</t>
  </si>
  <si>
    <t>李兰菊</t>
  </si>
  <si>
    <t>李嵐清</t>
  </si>
  <si>
    <t>李立国</t>
  </si>
  <si>
    <t>李良辉</t>
  </si>
  <si>
    <t>李录</t>
  </si>
  <si>
    <t>李禄</t>
  </si>
  <si>
    <t>李宁</t>
  </si>
  <si>
    <t>李鹏之女</t>
  </si>
  <si>
    <t>李鵬</t>
  </si>
  <si>
    <t>李秋芳</t>
  </si>
  <si>
    <t>李瑞環</t>
  </si>
  <si>
    <t>李三共志</t>
  </si>
  <si>
    <t>李少民</t>
  </si>
  <si>
    <t>李适时</t>
  </si>
  <si>
    <t>李书磊</t>
  </si>
  <si>
    <t>李淑娴</t>
  </si>
  <si>
    <t>李旺阳</t>
  </si>
  <si>
    <t>李伟</t>
  </si>
  <si>
    <t>李伟信的笔供</t>
  </si>
  <si>
    <t>李文斌</t>
  </si>
  <si>
    <t>李五四</t>
  </si>
  <si>
    <t>李熙</t>
  </si>
  <si>
    <t>李向东</t>
  </si>
  <si>
    <t>李小朋</t>
  </si>
  <si>
    <t>李小鹏</t>
  </si>
  <si>
    <t>李兴平</t>
  </si>
  <si>
    <t>李興平</t>
  </si>
  <si>
    <t>李学勇</t>
  </si>
  <si>
    <t>李玉赋</t>
  </si>
  <si>
    <t>李源潮</t>
  </si>
  <si>
    <t>李远哲</t>
  </si>
  <si>
    <t>李遠哲</t>
  </si>
  <si>
    <t>李月月鸟</t>
  </si>
  <si>
    <t>李兆前</t>
  </si>
  <si>
    <t>李志绥</t>
  </si>
  <si>
    <t>李总理</t>
  </si>
  <si>
    <t>李总统</t>
  </si>
  <si>
    <t>里藏春</t>
  </si>
  <si>
    <t>醴</t>
  </si>
  <si>
    <t>鳢</t>
  </si>
  <si>
    <t>历史篡改者</t>
  </si>
  <si>
    <t>历史上的真实故事</t>
  </si>
  <si>
    <t>立法</t>
  </si>
  <si>
    <t>立委</t>
  </si>
  <si>
    <t>丽春苑</t>
  </si>
  <si>
    <t>轹</t>
  </si>
  <si>
    <t>俪影蝎心</t>
  </si>
  <si>
    <t>栗战书</t>
  </si>
  <si>
    <t>跞</t>
  </si>
  <si>
    <t>詈</t>
  </si>
  <si>
    <t>麗春苑</t>
  </si>
  <si>
    <t>奁</t>
  </si>
  <si>
    <t>连队资料</t>
  </si>
  <si>
    <t>连胜德</t>
  </si>
  <si>
    <t>连线机</t>
  </si>
  <si>
    <t>连続失禁</t>
  </si>
  <si>
    <t>莲花逼</t>
  </si>
  <si>
    <t>莲花艺术团</t>
  </si>
  <si>
    <t>連發</t>
  </si>
  <si>
    <t>連続失禁</t>
  </si>
  <si>
    <t>联合起诉廉政大论坛</t>
  </si>
  <si>
    <t>联合起诉最高人民法院</t>
  </si>
  <si>
    <t>联名上书</t>
  </si>
  <si>
    <t>联总</t>
  </si>
  <si>
    <t>联总这声传单</t>
  </si>
  <si>
    <t>联总之声</t>
  </si>
  <si>
    <t>联总之声传单</t>
  </si>
  <si>
    <t>蓮花逼</t>
  </si>
  <si>
    <t>廉政大论坛</t>
  </si>
  <si>
    <t>臁</t>
  </si>
  <si>
    <t>练功</t>
  </si>
  <si>
    <t>练功群众</t>
  </si>
  <si>
    <t>炼功</t>
  </si>
  <si>
    <t>梁滨</t>
  </si>
  <si>
    <t>梁光烈</t>
  </si>
  <si>
    <t>梁擎墩</t>
  </si>
  <si>
    <t>两岸关系</t>
  </si>
  <si>
    <t>两岸三地论坛</t>
  </si>
  <si>
    <t>两会</t>
  </si>
  <si>
    <t>两会报道</t>
  </si>
  <si>
    <t>两会新闻</t>
  </si>
  <si>
    <t>两派争斗</t>
  </si>
  <si>
    <t>两乳之间</t>
  </si>
  <si>
    <t>两性狂情</t>
  </si>
  <si>
    <t>两性淫乱</t>
  </si>
  <si>
    <t>兩國論</t>
  </si>
  <si>
    <t>兩性淫亂</t>
  </si>
  <si>
    <t>亮屄</t>
  </si>
  <si>
    <t>亮穴</t>
  </si>
  <si>
    <t>辽阳工潮</t>
  </si>
  <si>
    <t>廖锡龙</t>
  </si>
  <si>
    <t>廖錫龍</t>
  </si>
  <si>
    <t>列寧</t>
  </si>
  <si>
    <t>劣等人种博彩</t>
  </si>
  <si>
    <t>猎枪</t>
  </si>
  <si>
    <t>猎杀熊猫</t>
  </si>
  <si>
    <t>林保华</t>
  </si>
  <si>
    <t>林彪事件真相×××××</t>
  </si>
  <si>
    <t>林彪元帅军事论文</t>
  </si>
  <si>
    <t>林军</t>
  </si>
  <si>
    <t>林樵清</t>
  </si>
  <si>
    <t>林慎立</t>
  </si>
  <si>
    <t>林长盛</t>
  </si>
  <si>
    <t>林昭纪念奖</t>
  </si>
  <si>
    <t>林左鸣</t>
  </si>
  <si>
    <t>临震预报</t>
  </si>
  <si>
    <t>灵修团体</t>
  </si>
  <si>
    <t>灵修团体BANNED</t>
  </si>
  <si>
    <t>铃声下载</t>
  </si>
  <si>
    <t>凌锋</t>
  </si>
  <si>
    <t>凌辱</t>
  </si>
  <si>
    <t>菱恝</t>
  </si>
  <si>
    <t>淩辱</t>
  </si>
  <si>
    <t>领导</t>
  </si>
  <si>
    <t>领导班子名单外泄</t>
  </si>
  <si>
    <t>领导财产公示</t>
  </si>
  <si>
    <t>领导层预备人选</t>
  </si>
  <si>
    <t>領導財產公示</t>
  </si>
  <si>
    <t>令狐安</t>
  </si>
  <si>
    <t>令狐计划</t>
  </si>
  <si>
    <t>令计划</t>
  </si>
  <si>
    <t>令計畫</t>
  </si>
  <si>
    <t>刘宾深</t>
  </si>
  <si>
    <t>刘宾雁</t>
  </si>
  <si>
    <t>刘滨</t>
  </si>
  <si>
    <t>刘成军</t>
  </si>
  <si>
    <t>刘春良</t>
  </si>
  <si>
    <t>刘赐贵</t>
  </si>
  <si>
    <t>刘福连</t>
  </si>
  <si>
    <t>刘刚</t>
  </si>
  <si>
    <t>刘国凯</t>
  </si>
  <si>
    <t>刘鹤</t>
  </si>
  <si>
    <t>刘华清</t>
  </si>
  <si>
    <t>刘家义</t>
  </si>
  <si>
    <t>刘建华</t>
  </si>
  <si>
    <t>刘金国</t>
  </si>
  <si>
    <t>刘俊国</t>
  </si>
  <si>
    <t>刘凯中</t>
  </si>
  <si>
    <t>刘鹏</t>
  </si>
  <si>
    <t>刘奇葆</t>
  </si>
  <si>
    <t>刘千石</t>
  </si>
  <si>
    <t>刘青</t>
  </si>
  <si>
    <t>刘山青</t>
  </si>
  <si>
    <t>刘生杰</t>
  </si>
  <si>
    <t>刘士贤</t>
  </si>
  <si>
    <t>刘伟平</t>
  </si>
  <si>
    <t>刘文胜</t>
  </si>
  <si>
    <t>刘向松</t>
  </si>
  <si>
    <t>刘晓滨</t>
  </si>
  <si>
    <t>刘晓波</t>
  </si>
  <si>
    <t>刘晓江</t>
  </si>
  <si>
    <t>刘晓竹</t>
  </si>
  <si>
    <t>刘亚洲</t>
  </si>
  <si>
    <t>刘延东</t>
  </si>
  <si>
    <t>刘永川</t>
  </si>
  <si>
    <t>刘源</t>
  </si>
  <si>
    <t>刘粤军</t>
  </si>
  <si>
    <t>刘长银</t>
  </si>
  <si>
    <t>留四进三</t>
  </si>
  <si>
    <t>流氓警察</t>
  </si>
  <si>
    <t>流氓民运</t>
  </si>
  <si>
    <t>流氓无产者</t>
  </si>
  <si>
    <t>流蜜汁</t>
  </si>
  <si>
    <t>流脑</t>
  </si>
  <si>
    <t>流水穴</t>
  </si>
  <si>
    <t>流亡</t>
  </si>
  <si>
    <t>流亡藏人</t>
  </si>
  <si>
    <t>流亡政府</t>
  </si>
  <si>
    <t>流亡中的自在</t>
  </si>
  <si>
    <t>流淫</t>
  </si>
  <si>
    <t>劉伯承</t>
  </si>
  <si>
    <t>劉淇</t>
  </si>
  <si>
    <t>劉少奇</t>
  </si>
  <si>
    <t>劉延東</t>
  </si>
  <si>
    <t>劉雲山</t>
  </si>
  <si>
    <t>六●四</t>
  </si>
  <si>
    <t>六彩</t>
  </si>
  <si>
    <t>六代接班人</t>
  </si>
  <si>
    <t>六合</t>
  </si>
  <si>
    <t>六合采</t>
  </si>
  <si>
    <t>六级答案</t>
  </si>
  <si>
    <t>六四母亲</t>
  </si>
  <si>
    <t>六四青年网</t>
  </si>
  <si>
    <t>六四受难者家属证辞</t>
  </si>
  <si>
    <t>六四屠城</t>
  </si>
  <si>
    <t>六四屠杀</t>
  </si>
  <si>
    <t>六四宣言</t>
  </si>
  <si>
    <t>六四学潮</t>
  </si>
  <si>
    <t>六四血案</t>
  </si>
  <si>
    <t>六四運動</t>
  </si>
  <si>
    <t>六四政变</t>
  </si>
  <si>
    <t>六四之役</t>
  </si>
  <si>
    <t>六四资料馆</t>
  </si>
  <si>
    <t>六星合彩</t>
  </si>
  <si>
    <t>六月联盟</t>
  </si>
  <si>
    <t>六月聯盟</t>
  </si>
  <si>
    <t>龙虎豹</t>
  </si>
  <si>
    <t>楼继伟</t>
  </si>
  <si>
    <t>漏逼</t>
  </si>
  <si>
    <t>卢展工</t>
  </si>
  <si>
    <t>卤</t>
  </si>
  <si>
    <t>鲁俊</t>
  </si>
  <si>
    <t>陆昊</t>
  </si>
  <si>
    <t>陆空军地图</t>
  </si>
  <si>
    <t>陆肆</t>
  </si>
  <si>
    <t>陆委</t>
  </si>
  <si>
    <t>陆委会</t>
  </si>
  <si>
    <t>录像</t>
  </si>
  <si>
    <t>鹿城娱乐</t>
  </si>
  <si>
    <t>鹿城娛樂</t>
  </si>
  <si>
    <t>鹿心社</t>
  </si>
  <si>
    <t>露B</t>
  </si>
  <si>
    <t>露屄</t>
  </si>
  <si>
    <t>露逼</t>
  </si>
  <si>
    <t>露点</t>
  </si>
  <si>
    <t>露點</t>
  </si>
  <si>
    <t>露拉3D</t>
  </si>
  <si>
    <t>露毛</t>
  </si>
  <si>
    <t>露乳</t>
  </si>
  <si>
    <t>露穴</t>
  </si>
  <si>
    <t>露阴照</t>
  </si>
  <si>
    <t>露陰照</t>
  </si>
  <si>
    <t>卵蛋</t>
  </si>
  <si>
    <t>乱伦熟女</t>
  </si>
  <si>
    <t>乱伦熟女网</t>
  </si>
  <si>
    <t>乱淫</t>
  </si>
  <si>
    <t>亂倫熟女網</t>
  </si>
  <si>
    <t>抡功</t>
  </si>
  <si>
    <t>伦敦西藏网</t>
  </si>
  <si>
    <t>伦公</t>
  </si>
  <si>
    <t>伦功</t>
  </si>
  <si>
    <t>伦攻</t>
  </si>
  <si>
    <t>伦理片</t>
  </si>
  <si>
    <t>沦公</t>
  </si>
  <si>
    <t>沦功</t>
  </si>
  <si>
    <t>沦攻</t>
  </si>
  <si>
    <t>轮暴</t>
  </si>
  <si>
    <t>轮暴致死</t>
  </si>
  <si>
    <t>轮操</t>
  </si>
  <si>
    <t>轮大</t>
  </si>
  <si>
    <t>轮公</t>
  </si>
  <si>
    <t>轮攻</t>
  </si>
  <si>
    <t>轮奸内射</t>
  </si>
  <si>
    <t>轮奸虐杀</t>
  </si>
  <si>
    <t>轮子小报</t>
  </si>
  <si>
    <t>倫公</t>
  </si>
  <si>
    <t>倫攻</t>
  </si>
  <si>
    <t>淪公</t>
  </si>
  <si>
    <t>淪功</t>
  </si>
  <si>
    <t>淪攻</t>
  </si>
  <si>
    <t>輪暴</t>
  </si>
  <si>
    <t>輪操</t>
  </si>
  <si>
    <t>輪公</t>
  </si>
  <si>
    <t>輪攻</t>
  </si>
  <si>
    <t>輪奸內射</t>
  </si>
  <si>
    <t>輪盤賭</t>
  </si>
  <si>
    <t>论公</t>
  </si>
  <si>
    <t>论功</t>
  </si>
  <si>
    <t>论攻</t>
  </si>
  <si>
    <t>论坛自动发贴机</t>
  </si>
  <si>
    <t>論公</t>
  </si>
  <si>
    <t>論功</t>
  </si>
  <si>
    <t>論攻</t>
  </si>
  <si>
    <t>罗保铭</t>
  </si>
  <si>
    <t>罗礼诗</t>
  </si>
  <si>
    <t>罗志军</t>
  </si>
  <si>
    <t>羅榮桓</t>
  </si>
  <si>
    <t>蘿拉</t>
  </si>
  <si>
    <t>裸奔</t>
  </si>
  <si>
    <t>裸干</t>
  </si>
  <si>
    <t>裸聊</t>
  </si>
  <si>
    <t>裸聊合法</t>
  </si>
  <si>
    <t>裸露自拍</t>
  </si>
  <si>
    <t>裸女对对碰</t>
  </si>
  <si>
    <t>裸女對對碰</t>
  </si>
  <si>
    <t>裸陪</t>
  </si>
  <si>
    <t>裸体</t>
  </si>
  <si>
    <t>裸体少妇</t>
  </si>
  <si>
    <t>裸體</t>
  </si>
  <si>
    <t>裸體少婦</t>
  </si>
  <si>
    <t>裸照</t>
  </si>
  <si>
    <t>骆冰淫传</t>
  </si>
  <si>
    <t>骆海坚</t>
  </si>
  <si>
    <t>骆惠宁</t>
  </si>
  <si>
    <t>雒树刚</t>
  </si>
  <si>
    <t>吕建成</t>
  </si>
  <si>
    <t>吕京花</t>
  </si>
  <si>
    <t>旅馆自拍</t>
  </si>
  <si>
    <t>旅館自拍</t>
  </si>
  <si>
    <t>铝热剂</t>
  </si>
  <si>
    <t>绿营</t>
  </si>
  <si>
    <t>氯胺酮</t>
  </si>
  <si>
    <t>氯三苯乙烯</t>
  </si>
  <si>
    <t>氯硝安定</t>
  </si>
  <si>
    <t>妈</t>
  </si>
  <si>
    <t>妈白勺</t>
  </si>
  <si>
    <t>妈逼的</t>
  </si>
  <si>
    <t>妈的B</t>
  </si>
  <si>
    <t>妈个</t>
  </si>
  <si>
    <t>妈妈的</t>
  </si>
  <si>
    <t>妈妈的他的</t>
  </si>
  <si>
    <t>媽</t>
  </si>
  <si>
    <t>媽白勺</t>
  </si>
  <si>
    <t>媽逼</t>
  </si>
  <si>
    <t>媽個</t>
  </si>
  <si>
    <t>媽媽的</t>
  </si>
  <si>
    <t>媽媽的他的</t>
  </si>
  <si>
    <t>麻古</t>
  </si>
  <si>
    <t>麻衣</t>
  </si>
  <si>
    <t>麻醉</t>
  </si>
  <si>
    <t>麻醉鋼槍</t>
  </si>
  <si>
    <t>麻醉迷</t>
  </si>
  <si>
    <t>麻醉迷幻极品</t>
  </si>
  <si>
    <t>麻醉槍</t>
  </si>
  <si>
    <t>麻醉藥</t>
  </si>
  <si>
    <t>马白勺</t>
  </si>
  <si>
    <t>马飚</t>
  </si>
  <si>
    <t>马大维</t>
  </si>
  <si>
    <t>马的阳具</t>
  </si>
  <si>
    <t>马凯</t>
  </si>
  <si>
    <t>马来酸迷达唑仑</t>
  </si>
  <si>
    <t>马良骏</t>
  </si>
  <si>
    <t>马三家</t>
  </si>
  <si>
    <t>马时敏</t>
  </si>
  <si>
    <t>马馼</t>
  </si>
  <si>
    <t>马晓天</t>
  </si>
  <si>
    <t>马兴瑞</t>
  </si>
  <si>
    <t>马英九总统</t>
  </si>
  <si>
    <t>马勇霞</t>
  </si>
  <si>
    <t>玛雅网</t>
  </si>
  <si>
    <t>码会</t>
  </si>
  <si>
    <t>馬白勺</t>
  </si>
  <si>
    <t>馬的</t>
  </si>
  <si>
    <t>馬加爵</t>
  </si>
  <si>
    <t>瑪雅網</t>
  </si>
  <si>
    <t>吗啡碱cv</t>
  </si>
  <si>
    <t>买春</t>
  </si>
  <si>
    <t>买春堂</t>
  </si>
  <si>
    <t>买答案</t>
  </si>
  <si>
    <t>买枪</t>
  </si>
  <si>
    <t>買春</t>
  </si>
  <si>
    <t>買春堂</t>
  </si>
  <si>
    <t>買賣槍支</t>
  </si>
  <si>
    <t>卖答案</t>
  </si>
  <si>
    <t>卖枪</t>
  </si>
  <si>
    <t>卖枪支弹药</t>
  </si>
  <si>
    <t>卖骚</t>
  </si>
  <si>
    <t>賣槍支彈藥</t>
  </si>
  <si>
    <t>馒头屄</t>
  </si>
  <si>
    <t>饅頭屄</t>
  </si>
  <si>
    <t>猫肉</t>
  </si>
  <si>
    <t>貓肉</t>
  </si>
  <si>
    <t>毛1泽2东</t>
  </si>
  <si>
    <t>毛鲍</t>
  </si>
  <si>
    <t>毛鮑</t>
  </si>
  <si>
    <t>毛厕东</t>
  </si>
  <si>
    <t>毛都露出</t>
  </si>
  <si>
    <t>毛共</t>
  </si>
  <si>
    <t>毛光烈</t>
  </si>
  <si>
    <t>毛派</t>
  </si>
  <si>
    <t>毛如柏</t>
  </si>
  <si>
    <t>毛时代大饥荒揭秘</t>
  </si>
  <si>
    <t>毛一鮮</t>
  </si>
  <si>
    <t>毛泽东复活</t>
  </si>
  <si>
    <t>毛泽东侄子</t>
  </si>
  <si>
    <t>毛澤東</t>
  </si>
  <si>
    <t>毛贼</t>
  </si>
  <si>
    <t>毛主度</t>
  </si>
  <si>
    <t>毛主席的嫡孙</t>
  </si>
  <si>
    <t>毛主席复活</t>
  </si>
  <si>
    <t>毛主席復活</t>
  </si>
  <si>
    <t>毛主席关于人民军队人民战争及其战略战术论述的摘录</t>
  </si>
  <si>
    <t>毛主席批示</t>
  </si>
  <si>
    <t>毛主席有关指示</t>
  </si>
  <si>
    <t>毛主席致江青同志的信</t>
  </si>
  <si>
    <t>没有人权</t>
  </si>
  <si>
    <t>梅德韦杰夫</t>
  </si>
  <si>
    <t>梅德韋傑夫</t>
  </si>
  <si>
    <t>梅花屄</t>
  </si>
  <si>
    <t>美屄</t>
  </si>
  <si>
    <t>美国维吾尔</t>
  </si>
  <si>
    <t>美甲</t>
  </si>
  <si>
    <t>美女成人</t>
  </si>
  <si>
    <t>美女出售</t>
  </si>
  <si>
    <t>美女高潮</t>
  </si>
  <si>
    <t>美女会所</t>
  </si>
  <si>
    <t>美女兼职</t>
  </si>
  <si>
    <t>美女裸体</t>
  </si>
  <si>
    <t>美女全套</t>
  </si>
  <si>
    <t>美女上门</t>
  </si>
  <si>
    <t>美女视频</t>
  </si>
  <si>
    <t>美女視頻</t>
  </si>
  <si>
    <t>美女吞精</t>
  </si>
  <si>
    <t>美女脱衣</t>
  </si>
  <si>
    <t>美女野球拳</t>
  </si>
  <si>
    <t>美女走光</t>
  </si>
  <si>
    <t>美女做愛</t>
  </si>
  <si>
    <t>美乳</t>
  </si>
  <si>
    <t>美乳斗艳</t>
  </si>
  <si>
    <t>美乳鬥豔</t>
  </si>
  <si>
    <t>美乳美穴</t>
  </si>
  <si>
    <t>美骚妇</t>
  </si>
  <si>
    <t>美騷婦</t>
  </si>
  <si>
    <t>美少妇</t>
  </si>
  <si>
    <t>美少妇的哀羞</t>
  </si>
  <si>
    <t>美少婦</t>
  </si>
  <si>
    <t>美少女</t>
  </si>
  <si>
    <t>美少女麻雀</t>
  </si>
  <si>
    <t>美体艳姿</t>
  </si>
  <si>
    <t>美體豔姿</t>
  </si>
  <si>
    <t>美腿</t>
  </si>
  <si>
    <t>美腿丝足</t>
  </si>
  <si>
    <t>美腿絲足</t>
  </si>
  <si>
    <t>美腿写真</t>
  </si>
  <si>
    <t>美腿寫真</t>
  </si>
  <si>
    <t>美臀嫰穴</t>
  </si>
  <si>
    <t>美穴</t>
  </si>
  <si>
    <t>美幼</t>
  </si>
  <si>
    <t>妹的服务</t>
  </si>
  <si>
    <t>妹开苞</t>
  </si>
  <si>
    <t>妹妹出售</t>
  </si>
  <si>
    <t>妹妹的屄</t>
  </si>
  <si>
    <t>妹妹骚图</t>
  </si>
  <si>
    <t>妹妹騷圖</t>
  </si>
  <si>
    <t>妹妹穴</t>
  </si>
  <si>
    <t>妹妹阴毛</t>
  </si>
  <si>
    <t>妹妹陰毛</t>
  </si>
  <si>
    <t>妹疼</t>
  </si>
  <si>
    <t>妹痛</t>
  </si>
  <si>
    <t>媚药少年</t>
  </si>
  <si>
    <t>媚藥少年</t>
  </si>
  <si>
    <t>魅惑巨乳</t>
  </si>
  <si>
    <t>蒙古韃子</t>
  </si>
  <si>
    <t>蒙古独</t>
  </si>
  <si>
    <t>蒙古回归</t>
  </si>
  <si>
    <t>蒙古教育</t>
  </si>
  <si>
    <t>蒙古牧民联合会</t>
  </si>
  <si>
    <t>蒙古之友</t>
  </si>
  <si>
    <t>蒙汗</t>
  </si>
  <si>
    <t>蒙汗5</t>
  </si>
  <si>
    <t>蒙汗药</t>
  </si>
  <si>
    <t>蒙汗药粉</t>
  </si>
  <si>
    <t>蒙汗藥</t>
  </si>
  <si>
    <t>蒙进喜</t>
  </si>
  <si>
    <t>猛操</t>
  </si>
  <si>
    <t>猛操狂射</t>
  </si>
  <si>
    <t>猛插</t>
  </si>
  <si>
    <t>猛料</t>
  </si>
  <si>
    <t>猛男强奸</t>
  </si>
  <si>
    <t>孟建柱</t>
  </si>
  <si>
    <t>孟学农</t>
  </si>
  <si>
    <t>梦幻麻将馆</t>
  </si>
  <si>
    <t>梦网洪志</t>
  </si>
  <si>
    <t>夢幻麻將館</t>
  </si>
  <si>
    <t>咪达唑仑</t>
  </si>
  <si>
    <t>咪咪图片</t>
  </si>
  <si>
    <t>咪咪圖片</t>
  </si>
  <si>
    <t>迷5药</t>
  </si>
  <si>
    <t>迷幻</t>
  </si>
  <si>
    <t>迷幻精华素</t>
  </si>
  <si>
    <t>迷幻喷雾</t>
  </si>
  <si>
    <t>迷幻香烟</t>
  </si>
  <si>
    <t>迷幻藥</t>
  </si>
  <si>
    <t>迷幻液</t>
  </si>
  <si>
    <t>迷昏蚊</t>
  </si>
  <si>
    <t>迷昏蚊香</t>
  </si>
  <si>
    <t>迷昏香烟</t>
  </si>
  <si>
    <t>迷昏药</t>
  </si>
  <si>
    <t>迷魂</t>
  </si>
  <si>
    <t>迷魂香</t>
  </si>
  <si>
    <t>迷魂香烟</t>
  </si>
  <si>
    <t>迷魂药激情</t>
  </si>
  <si>
    <t>迷魂药迷昏药三唑仑</t>
  </si>
  <si>
    <t>迷魂藥</t>
  </si>
  <si>
    <t>迷奸</t>
  </si>
  <si>
    <t>迷奸系列</t>
  </si>
  <si>
    <t>迷殲藥</t>
  </si>
  <si>
    <t>迷情</t>
  </si>
  <si>
    <t>迷情药</t>
  </si>
  <si>
    <t>迷失北京</t>
  </si>
  <si>
    <t>迷香</t>
  </si>
  <si>
    <t>迷信</t>
  </si>
  <si>
    <t>迷藥</t>
  </si>
  <si>
    <t>秘部</t>
  </si>
  <si>
    <t>秘處</t>
  </si>
  <si>
    <t>秘唇</t>
  </si>
  <si>
    <t>秘裂</t>
  </si>
  <si>
    <t>秘录</t>
  </si>
  <si>
    <t>秘密潜入</t>
  </si>
  <si>
    <t>秘密潛入</t>
  </si>
  <si>
    <t>秘肉</t>
  </si>
  <si>
    <t>密室淫行</t>
  </si>
  <si>
    <t>密穴</t>
  </si>
  <si>
    <t>密穴贴图</t>
  </si>
  <si>
    <t>密穴貼圖</t>
  </si>
  <si>
    <t>蜜唇</t>
  </si>
  <si>
    <t>蜜洞</t>
  </si>
  <si>
    <t>蜜壶</t>
  </si>
  <si>
    <t>蜜穴</t>
  </si>
  <si>
    <t>绵恒</t>
  </si>
  <si>
    <t>免费A片</t>
  </si>
  <si>
    <t>免费成人网站</t>
  </si>
  <si>
    <t>免费偷窥网</t>
  </si>
  <si>
    <t>免費A片</t>
  </si>
  <si>
    <t>免費成人網站</t>
  </si>
  <si>
    <t>免費偷窺網</t>
  </si>
  <si>
    <t>苗华</t>
  </si>
  <si>
    <t>苗圩</t>
  </si>
  <si>
    <t>灭国</t>
  </si>
  <si>
    <t>灭中共</t>
  </si>
  <si>
    <t>灭族</t>
  </si>
  <si>
    <t>滅族</t>
  </si>
  <si>
    <t>民警</t>
  </si>
  <si>
    <t>民联</t>
  </si>
  <si>
    <t>民民民阵</t>
  </si>
  <si>
    <t>民权</t>
  </si>
  <si>
    <t>民殇</t>
  </si>
  <si>
    <t>民意</t>
  </si>
  <si>
    <t>民意论坛</t>
  </si>
  <si>
    <t>民运分子</t>
  </si>
  <si>
    <t>民运信息中心</t>
  </si>
  <si>
    <t>民運</t>
  </si>
  <si>
    <t>民猪</t>
  </si>
  <si>
    <t>民主不能等待</t>
  </si>
  <si>
    <t>民主黨</t>
  </si>
  <si>
    <t>民主论坛</t>
  </si>
  <si>
    <t>民主评论</t>
  </si>
  <si>
    <t>民主墙</t>
  </si>
  <si>
    <t>民主运动</t>
  </si>
  <si>
    <t>民主之声</t>
  </si>
  <si>
    <t>民族矛盾</t>
  </si>
  <si>
    <t>民族问题</t>
  </si>
  <si>
    <t>闵耀中</t>
  </si>
  <si>
    <t>名山县</t>
  </si>
  <si>
    <t>明Hui</t>
  </si>
  <si>
    <t>明慧</t>
  </si>
  <si>
    <t>明慧5</t>
  </si>
  <si>
    <t>明慧網</t>
  </si>
  <si>
    <t>明星淫图</t>
  </si>
  <si>
    <t>明星淫圖</t>
  </si>
  <si>
    <t>摸奶</t>
  </si>
  <si>
    <t>摸胸</t>
  </si>
  <si>
    <t>摸阴蒂</t>
  </si>
  <si>
    <t>摸陰蒂</t>
  </si>
  <si>
    <t>摩洛客</t>
  </si>
  <si>
    <t>摩門教</t>
  </si>
  <si>
    <t>魔教</t>
  </si>
  <si>
    <t>魔难论</t>
  </si>
  <si>
    <t>末世劫难</t>
  </si>
  <si>
    <t>末世论</t>
  </si>
  <si>
    <t>莫伟强</t>
  </si>
  <si>
    <t>默罕默德</t>
  </si>
  <si>
    <t>默克爾</t>
  </si>
  <si>
    <t>牟新生</t>
  </si>
  <si>
    <t>謀殺</t>
  </si>
  <si>
    <t>呒</t>
  </si>
  <si>
    <t>嘸</t>
  </si>
  <si>
    <t>母</t>
  </si>
  <si>
    <t>母奸</t>
  </si>
  <si>
    <t>母女双飞</t>
  </si>
  <si>
    <t>母女雙飛</t>
  </si>
  <si>
    <t>母子</t>
  </si>
  <si>
    <t>母子奸情</t>
  </si>
  <si>
    <t>母子姦情</t>
  </si>
  <si>
    <t>母子交欢</t>
  </si>
  <si>
    <t>母子交歡</t>
  </si>
  <si>
    <t>木犀地</t>
  </si>
  <si>
    <t>木子论</t>
  </si>
  <si>
    <t>拿破崙</t>
  </si>
  <si>
    <t>奶</t>
  </si>
  <si>
    <t>奶大屄肥</t>
  </si>
  <si>
    <t>奶奶的</t>
  </si>
  <si>
    <t>奶挺臀翘</t>
  </si>
  <si>
    <t>奶挺臀翹</t>
  </si>
  <si>
    <t>奶头</t>
  </si>
  <si>
    <t>奶头真红</t>
  </si>
  <si>
    <t>男女交欢</t>
  </si>
  <si>
    <t>男女交歡</t>
  </si>
  <si>
    <t>男女蒲典</t>
  </si>
  <si>
    <t>南大自由论坛</t>
  </si>
  <si>
    <t>南華早報</t>
  </si>
  <si>
    <t>南蠻</t>
  </si>
  <si>
    <t>嫐屄</t>
  </si>
  <si>
    <t>闹事</t>
  </si>
  <si>
    <t>內射</t>
  </si>
  <si>
    <t>內射美婦</t>
  </si>
  <si>
    <t>内讧</t>
  </si>
  <si>
    <t>内裤</t>
  </si>
  <si>
    <t>内射</t>
  </si>
  <si>
    <t>内射美妇</t>
  </si>
  <si>
    <t>内衣</t>
  </si>
  <si>
    <t>内衣秀</t>
  </si>
  <si>
    <t>内争人权</t>
  </si>
  <si>
    <t>嫩BB</t>
  </si>
  <si>
    <t>嫩鲍</t>
  </si>
  <si>
    <t>嫩鲍鱼</t>
  </si>
  <si>
    <t>嫩鮑</t>
  </si>
  <si>
    <t>嫩鮑魚</t>
  </si>
  <si>
    <t>嫩屄</t>
  </si>
  <si>
    <t>嫩逼</t>
  </si>
  <si>
    <t>嫩缝</t>
  </si>
  <si>
    <t>嫩縫</t>
  </si>
  <si>
    <t>嫩奶</t>
  </si>
  <si>
    <t>嫩女</t>
  </si>
  <si>
    <t>嫩穴</t>
  </si>
  <si>
    <t>嫩穴肉缝</t>
  </si>
  <si>
    <t>嫩穴肉縫</t>
  </si>
  <si>
    <t>能力主</t>
  </si>
  <si>
    <t>尼克森</t>
  </si>
  <si>
    <t>尼玛</t>
  </si>
  <si>
    <t>尼瑪</t>
  </si>
  <si>
    <t>尼总务石</t>
  </si>
  <si>
    <t>倪育贤</t>
  </si>
  <si>
    <t>倪志福</t>
  </si>
  <si>
    <t>你大爺</t>
  </si>
  <si>
    <t>你敢上吗</t>
  </si>
  <si>
    <t>你妈B的</t>
  </si>
  <si>
    <t>你妈的B</t>
  </si>
  <si>
    <t>你娘的</t>
  </si>
  <si>
    <t>你色嗎</t>
  </si>
  <si>
    <t>你色吗</t>
  </si>
  <si>
    <t>你说我说论坛</t>
  </si>
  <si>
    <t>你他妈</t>
  </si>
  <si>
    <t>你爺</t>
  </si>
  <si>
    <t>年春衫薄</t>
  </si>
  <si>
    <t>娘</t>
  </si>
  <si>
    <t>娘的</t>
  </si>
  <si>
    <t>捏弄</t>
  </si>
  <si>
    <t>聂卫国</t>
  </si>
  <si>
    <t>聶榮臻</t>
  </si>
  <si>
    <t>您妈</t>
  </si>
  <si>
    <t>您娘H</t>
  </si>
  <si>
    <t>宁高宁</t>
  </si>
  <si>
    <t>牛頭馬面</t>
  </si>
  <si>
    <t>钮茂生</t>
  </si>
  <si>
    <t>农民真正贫困的根源</t>
  </si>
  <si>
    <t>弄穴</t>
  </si>
  <si>
    <t>奴畜抄</t>
  </si>
  <si>
    <t>奴隷調教</t>
  </si>
  <si>
    <t>奴隷调教</t>
  </si>
  <si>
    <t>努尔·白克力</t>
  </si>
  <si>
    <t>虐恋</t>
  </si>
  <si>
    <t>虐奴</t>
  </si>
  <si>
    <t>诺龙</t>
  </si>
  <si>
    <t>诺娘</t>
  </si>
  <si>
    <t>锘挎瘺娉戒笢1234</t>
  </si>
  <si>
    <t>锘挎瘺娉戒笢12345</t>
  </si>
  <si>
    <t>女屄</t>
  </si>
  <si>
    <t>女干</t>
  </si>
  <si>
    <t>女孩上门</t>
  </si>
  <si>
    <t>女教師</t>
  </si>
  <si>
    <t>女尻</t>
  </si>
  <si>
    <t>女马ㄉ</t>
  </si>
  <si>
    <t>女马白勺</t>
  </si>
  <si>
    <t>女马的</t>
  </si>
  <si>
    <t>女馬ㄉ</t>
  </si>
  <si>
    <t>女馬白勺</t>
  </si>
  <si>
    <t>女馬的</t>
  </si>
  <si>
    <t>女模招聘</t>
  </si>
  <si>
    <t>女女</t>
  </si>
  <si>
    <t>女人穴</t>
  </si>
  <si>
    <t>女上门</t>
  </si>
  <si>
    <t>女神教</t>
  </si>
  <si>
    <t>女死囚</t>
  </si>
  <si>
    <t>女体</t>
  </si>
  <si>
    <t>女优</t>
  </si>
  <si>
    <t>女优片</t>
  </si>
  <si>
    <t>女優</t>
  </si>
  <si>
    <t>欧美大乳</t>
  </si>
  <si>
    <t>欧美色图</t>
  </si>
  <si>
    <t>欧美无套</t>
  </si>
  <si>
    <t>欧泽高</t>
  </si>
  <si>
    <t>欧洲圆明网</t>
  </si>
  <si>
    <t>歐美bt</t>
  </si>
  <si>
    <t>歐美大乳</t>
  </si>
  <si>
    <t>歐美無套</t>
  </si>
  <si>
    <t>拍花子</t>
  </si>
  <si>
    <t>拍肩迷</t>
  </si>
  <si>
    <t>拍肩神藥</t>
  </si>
  <si>
    <t>牌九</t>
  </si>
  <si>
    <t>派出所</t>
  </si>
  <si>
    <t>派系斗争</t>
  </si>
  <si>
    <t>潘国平</t>
  </si>
  <si>
    <t>盘古乐队</t>
  </si>
  <si>
    <t>盤古樂隊</t>
  </si>
  <si>
    <t>蹣</t>
  </si>
  <si>
    <t>跑官要官</t>
  </si>
  <si>
    <t>泡沫经济</t>
  </si>
  <si>
    <t>炮兵参谋手册</t>
  </si>
  <si>
    <t>炮轰铁道部</t>
  </si>
  <si>
    <t>炮片</t>
  </si>
  <si>
    <t>炮图</t>
  </si>
  <si>
    <t>炮友</t>
  </si>
  <si>
    <t>炮友之家</t>
  </si>
  <si>
    <t>陪护私人</t>
  </si>
  <si>
    <t>陪裸</t>
  </si>
  <si>
    <t>配方</t>
  </si>
  <si>
    <t>喷潮</t>
  </si>
  <si>
    <t>喷剂</t>
  </si>
  <si>
    <t>喷精</t>
  </si>
  <si>
    <t>喷尿</t>
  </si>
  <si>
    <t>喷雾迷药</t>
  </si>
  <si>
    <t>喷雾型</t>
  </si>
  <si>
    <t>喷雾型迷药</t>
  </si>
  <si>
    <t>噴精</t>
  </si>
  <si>
    <t>彭德懷</t>
  </si>
  <si>
    <t>彭钢</t>
  </si>
  <si>
    <t>彭麗媛</t>
  </si>
  <si>
    <t>彭清华</t>
  </si>
  <si>
    <t>彭勇</t>
  </si>
  <si>
    <t>批林整风参考材料</t>
  </si>
  <si>
    <t>皮箱炸弹</t>
  </si>
  <si>
    <t>皮箱炸弹构造</t>
  </si>
  <si>
    <t>皮质类固醇</t>
  </si>
  <si>
    <t>蚍</t>
  </si>
  <si>
    <t>埤</t>
  </si>
  <si>
    <t>罴</t>
  </si>
  <si>
    <t>鼙</t>
  </si>
  <si>
    <t>庀</t>
  </si>
  <si>
    <t>圮綦</t>
  </si>
  <si>
    <t>仳</t>
  </si>
  <si>
    <t>屁穴</t>
  </si>
  <si>
    <t>骗局</t>
  </si>
  <si>
    <t>騙局</t>
  </si>
  <si>
    <t>嫖鸡</t>
  </si>
  <si>
    <t>嫖雞</t>
  </si>
  <si>
    <t>嫖妓</t>
  </si>
  <si>
    <t>嫖妓指南</t>
  </si>
  <si>
    <t>品色堂</t>
  </si>
  <si>
    <t>品香堂</t>
  </si>
  <si>
    <t>品穴</t>
  </si>
  <si>
    <t>平安夜自杀</t>
  </si>
  <si>
    <t>平反</t>
  </si>
  <si>
    <t>平反六四</t>
  </si>
  <si>
    <t>平银芳</t>
  </si>
  <si>
    <t>潑婦</t>
  </si>
  <si>
    <t>迫害</t>
  </si>
  <si>
    <t>迫害珐工力国际组织</t>
  </si>
  <si>
    <t>迫害无辜何时了</t>
  </si>
  <si>
    <t>迫害致死</t>
  </si>
  <si>
    <t>迫奸</t>
  </si>
  <si>
    <t>破处</t>
  </si>
  <si>
    <t>破處</t>
  </si>
  <si>
    <t>菩提功</t>
  </si>
  <si>
    <t>蒲海清</t>
  </si>
  <si>
    <t>蒲团</t>
  </si>
  <si>
    <t>濮洪九</t>
  </si>
  <si>
    <t>朴鸣呼</t>
  </si>
  <si>
    <t>普贤</t>
  </si>
  <si>
    <t>普賢</t>
  </si>
  <si>
    <t>曝光王</t>
  </si>
  <si>
    <t>七贤帮</t>
  </si>
  <si>
    <t>七宗罪</t>
  </si>
  <si>
    <t>戚建国</t>
  </si>
  <si>
    <t>欺骗</t>
  </si>
  <si>
    <t>齐墨</t>
  </si>
  <si>
    <t>祁建</t>
  </si>
  <si>
    <t>奇淫宝鉴</t>
  </si>
  <si>
    <t>奇淫寶鑒</t>
  </si>
  <si>
    <t>屺</t>
  </si>
  <si>
    <t>企业汇总会计报表</t>
  </si>
  <si>
    <t>企业如何建立网站</t>
  </si>
  <si>
    <t>起義</t>
  </si>
  <si>
    <t>綮</t>
  </si>
  <si>
    <t>汔</t>
  </si>
  <si>
    <t>汽车爆炸案现场</t>
  </si>
  <si>
    <t>汽车炸弹</t>
  </si>
  <si>
    <t>汽車爆炸案現場</t>
  </si>
  <si>
    <t>碛</t>
  </si>
  <si>
    <t>器官贩卖</t>
  </si>
  <si>
    <t>葜</t>
  </si>
  <si>
    <t>千源</t>
  </si>
  <si>
    <t>岍</t>
  </si>
  <si>
    <t>佥</t>
  </si>
  <si>
    <t>愆</t>
  </si>
  <si>
    <t>搴</t>
  </si>
  <si>
    <t>钤</t>
  </si>
  <si>
    <t>前期的弓足别提在理睬你</t>
  </si>
  <si>
    <t>前凸后翘</t>
  </si>
  <si>
    <t>前凸後翹</t>
  </si>
  <si>
    <t>钱达</t>
  </si>
  <si>
    <t>钱国梁</t>
  </si>
  <si>
    <t>钱运录</t>
  </si>
  <si>
    <t>钳制网络言论</t>
  </si>
  <si>
    <t>掮</t>
  </si>
  <si>
    <t>潜在用</t>
  </si>
  <si>
    <t>凵</t>
  </si>
  <si>
    <t>肷</t>
  </si>
  <si>
    <t>欠操</t>
  </si>
  <si>
    <t>欠幹</t>
  </si>
  <si>
    <t>欠日</t>
  </si>
  <si>
    <t>椠</t>
  </si>
  <si>
    <t>枪</t>
  </si>
  <si>
    <t>枪zhi</t>
  </si>
  <si>
    <t>枪毙</t>
  </si>
  <si>
    <t>枪货到付款</t>
  </si>
  <si>
    <t>枪决</t>
  </si>
  <si>
    <t>枪杀</t>
  </si>
  <si>
    <t>枪手</t>
  </si>
  <si>
    <t>枪淫少妇</t>
  </si>
  <si>
    <t>枪支</t>
  </si>
  <si>
    <t>戕</t>
  </si>
  <si>
    <t>锖</t>
  </si>
  <si>
    <t>槍決女犯</t>
  </si>
  <si>
    <t>槍決現場</t>
  </si>
  <si>
    <t>槍支彈藥</t>
  </si>
  <si>
    <t>強暴</t>
  </si>
  <si>
    <t>強姦</t>
  </si>
  <si>
    <t>強姦處女</t>
  </si>
  <si>
    <t>強制浣腸</t>
  </si>
  <si>
    <t>强j</t>
  </si>
  <si>
    <t>强暴</t>
  </si>
  <si>
    <t>强奸处女</t>
  </si>
  <si>
    <t>强歼</t>
  </si>
  <si>
    <t>强姦</t>
  </si>
  <si>
    <t>强烈抗议中共当局</t>
  </si>
  <si>
    <t>强卫东</t>
  </si>
  <si>
    <t>强制浣肠</t>
  </si>
  <si>
    <t>抢答器</t>
  </si>
  <si>
    <t>抢光</t>
  </si>
  <si>
    <t>抢粮记</t>
  </si>
  <si>
    <t>抢圣火</t>
  </si>
  <si>
    <t>羟丁酸</t>
  </si>
  <si>
    <t>搶劫</t>
  </si>
  <si>
    <t>乔波室内滑雪馆</t>
  </si>
  <si>
    <t>巧淫奸戏</t>
  </si>
  <si>
    <t>巧淫奸戲</t>
  </si>
  <si>
    <t>俏臀摄魄</t>
  </si>
  <si>
    <t>俏臀攝魄</t>
  </si>
  <si>
    <t>翘臀嫩逼</t>
  </si>
  <si>
    <t>翘臀嫩穴</t>
  </si>
  <si>
    <t>翹臀嫩逼</t>
  </si>
  <si>
    <t>翹臀嫩穴</t>
  </si>
  <si>
    <t>窃听</t>
  </si>
  <si>
    <t>窃听设备</t>
  </si>
  <si>
    <t>窃听王</t>
  </si>
  <si>
    <t>竊聽器</t>
  </si>
  <si>
    <t>竊聽器材</t>
  </si>
  <si>
    <t>钦本立</t>
  </si>
  <si>
    <t>钦点接班人</t>
  </si>
  <si>
    <t>侵犯</t>
  </si>
  <si>
    <t>侵犯国外专利</t>
  </si>
  <si>
    <t>亲蛋蛋</t>
  </si>
  <si>
    <t>亲共分子</t>
  </si>
  <si>
    <t>亲共行动</t>
  </si>
  <si>
    <t>亲共媒体</t>
  </si>
  <si>
    <t>亲美</t>
  </si>
  <si>
    <t>亲吻蛋蛋</t>
  </si>
  <si>
    <t>秦光荣</t>
  </si>
  <si>
    <t>秦晋</t>
  </si>
  <si>
    <t>秦青的幸</t>
  </si>
  <si>
    <t>沁园春血</t>
  </si>
  <si>
    <t>青春妇</t>
  </si>
  <si>
    <t>青岛石化项目引发市民恐慌</t>
  </si>
  <si>
    <t>青天白日旗</t>
  </si>
  <si>
    <t>轻松制作原子弹</t>
  </si>
  <si>
    <t>轻舟快讯</t>
  </si>
  <si>
    <t>氫彈</t>
  </si>
  <si>
    <t>清场内幕</t>
  </si>
  <si>
    <t>清纯少妇</t>
  </si>
  <si>
    <t>清官团</t>
  </si>
  <si>
    <t>清海师父</t>
  </si>
  <si>
    <t>清海无上师</t>
  </si>
  <si>
    <t>清华帮</t>
  </si>
  <si>
    <t>清晰內射</t>
  </si>
  <si>
    <t>清晰内射</t>
  </si>
  <si>
    <t>情妇</t>
  </si>
  <si>
    <t>情色5</t>
  </si>
  <si>
    <t>情色大片</t>
  </si>
  <si>
    <t>情色导航</t>
  </si>
  <si>
    <t>情色導航</t>
  </si>
  <si>
    <t>情色电影</t>
  </si>
  <si>
    <t>情色光碟</t>
  </si>
  <si>
    <t>情色呻吟</t>
  </si>
  <si>
    <t>情色天崖</t>
  </si>
  <si>
    <t>情色贴图</t>
  </si>
  <si>
    <t>情色图片</t>
  </si>
  <si>
    <t>情色网</t>
  </si>
  <si>
    <t>情色文学</t>
  </si>
  <si>
    <t>情色文學</t>
  </si>
  <si>
    <t>情色小说</t>
  </si>
  <si>
    <t>情色艺术天空</t>
  </si>
  <si>
    <t>情色藝術天空</t>
  </si>
  <si>
    <t>情色影片</t>
  </si>
  <si>
    <t>情欲</t>
  </si>
  <si>
    <t>檠</t>
  </si>
  <si>
    <t>苘</t>
  </si>
  <si>
    <t>謦</t>
  </si>
  <si>
    <t>庆红</t>
  </si>
  <si>
    <t>邛</t>
  </si>
  <si>
    <t>穷逼</t>
  </si>
  <si>
    <t>筇</t>
  </si>
  <si>
    <t>蛩鼽</t>
  </si>
  <si>
    <t>跫</t>
  </si>
  <si>
    <t>銎</t>
  </si>
  <si>
    <t>窮逼</t>
  </si>
  <si>
    <t>邱学强</t>
  </si>
  <si>
    <t>诎</t>
  </si>
  <si>
    <t>麴</t>
  </si>
  <si>
    <t>黢</t>
  </si>
  <si>
    <t>劬</t>
  </si>
  <si>
    <t>朐</t>
  </si>
  <si>
    <t>璩</t>
  </si>
  <si>
    <t>璩美凤</t>
  </si>
  <si>
    <t>璩美鳳</t>
  </si>
  <si>
    <t>蘧</t>
  </si>
  <si>
    <t>衢</t>
  </si>
  <si>
    <t>蠼毵</t>
  </si>
  <si>
    <t>曲青山</t>
  </si>
  <si>
    <t>曲淑辉</t>
  </si>
  <si>
    <t>曲线消魂</t>
  </si>
  <si>
    <t>曲線消魂</t>
  </si>
  <si>
    <t>去他娘的</t>
  </si>
  <si>
    <t>圈赤匪</t>
  </si>
  <si>
    <t>权斗</t>
  </si>
  <si>
    <t>权力瓜分</t>
  </si>
  <si>
    <t>权力核心</t>
  </si>
  <si>
    <t>全国二奶</t>
  </si>
  <si>
    <t>全国两会</t>
  </si>
  <si>
    <t>全國二奶</t>
  </si>
  <si>
    <t>全裸</t>
  </si>
  <si>
    <t>全套美女</t>
  </si>
  <si>
    <t>全哲洙</t>
  </si>
  <si>
    <t>拳交</t>
  </si>
  <si>
    <t>确保党国家机密安全规定</t>
  </si>
  <si>
    <t>裙底走光</t>
  </si>
  <si>
    <t>裙內偷拍</t>
  </si>
  <si>
    <t>裙内偷拍</t>
  </si>
  <si>
    <t>裙下风光</t>
  </si>
  <si>
    <t>裙下風光</t>
  </si>
  <si>
    <t>群发器</t>
  </si>
  <si>
    <t>群發器</t>
  </si>
  <si>
    <t>群奸</t>
  </si>
  <si>
    <t>群奸乱交</t>
  </si>
  <si>
    <t>群奸亂交</t>
  </si>
  <si>
    <t>群奸轮射</t>
  </si>
  <si>
    <t>群奸輪射</t>
  </si>
  <si>
    <t>群交亂舞</t>
  </si>
  <si>
    <t>群魔色舞</t>
  </si>
  <si>
    <t>群殴</t>
  </si>
  <si>
    <t>群射</t>
  </si>
  <si>
    <t>群体斗殴</t>
  </si>
  <si>
    <t>群体灭绝</t>
  </si>
  <si>
    <t>群体灭绝罪</t>
  </si>
  <si>
    <t>群体事件</t>
  </si>
  <si>
    <t>群體事件</t>
  </si>
  <si>
    <t>群阴会</t>
  </si>
  <si>
    <t>群陰會</t>
  </si>
  <si>
    <t>绕过封锁</t>
  </si>
  <si>
    <t>惹火身材</t>
  </si>
  <si>
    <t>惹火自拍</t>
  </si>
  <si>
    <t>热血江湖</t>
  </si>
  <si>
    <t>热站政论网</t>
  </si>
  <si>
    <t>熱那亞</t>
  </si>
  <si>
    <t>人工少女</t>
  </si>
  <si>
    <t>人类罪恶论</t>
  </si>
  <si>
    <t>人民报讯</t>
  </si>
  <si>
    <t>人民币恶搞</t>
  </si>
  <si>
    <t>人民大众时事参考</t>
  </si>
  <si>
    <t>人民法院</t>
  </si>
  <si>
    <t>人民内情真相</t>
  </si>
  <si>
    <t>人妻</t>
  </si>
  <si>
    <t>人妻交换</t>
  </si>
  <si>
    <t>人妻交換</t>
  </si>
  <si>
    <t>人妻色诱</t>
  </si>
  <si>
    <t>人妻色誘</t>
  </si>
  <si>
    <t>人妻熟女</t>
  </si>
  <si>
    <t>人妻小说</t>
  </si>
  <si>
    <t>人妻榨乳</t>
  </si>
  <si>
    <t>人妻自拍</t>
  </si>
  <si>
    <t>人妻做爱</t>
  </si>
  <si>
    <t>人妻做愛</t>
  </si>
  <si>
    <t>人权</t>
  </si>
  <si>
    <t>人权保障</t>
  </si>
  <si>
    <t>人权恶棍</t>
  </si>
  <si>
    <t>人体摄影</t>
  </si>
  <si>
    <t>人体艺术</t>
  </si>
  <si>
    <t>人體攝影</t>
  </si>
  <si>
    <t>人性本色</t>
  </si>
  <si>
    <t>人宇特能功</t>
  </si>
  <si>
    <t>仁吉旺姆</t>
  </si>
  <si>
    <t>仁青加</t>
  </si>
  <si>
    <t>仁寿警方</t>
  </si>
  <si>
    <t>任泽民</t>
  </si>
  <si>
    <t>日本</t>
  </si>
  <si>
    <t>日本AV女优</t>
  </si>
  <si>
    <t>日本AV女優</t>
  </si>
  <si>
    <t>日本帝国</t>
  </si>
  <si>
    <t>日本灌肠</t>
  </si>
  <si>
    <t>日本灌腸</t>
  </si>
  <si>
    <t>日本骚货</t>
  </si>
  <si>
    <t>日本騷貨</t>
  </si>
  <si>
    <t>日本熟母</t>
  </si>
  <si>
    <t>日本素人</t>
  </si>
  <si>
    <t>日本小泉</t>
  </si>
  <si>
    <t>日本有码</t>
  </si>
  <si>
    <t>日本有碼</t>
  </si>
  <si>
    <t>日屄</t>
  </si>
  <si>
    <t>日逼</t>
  </si>
  <si>
    <t>日内瓦金融</t>
  </si>
  <si>
    <t>日你妈我是猪</t>
  </si>
  <si>
    <t>日您</t>
  </si>
  <si>
    <t>日批</t>
  </si>
  <si>
    <t>日死你</t>
  </si>
  <si>
    <t>日他</t>
  </si>
  <si>
    <t>柔阴术</t>
  </si>
  <si>
    <t>柔陰術</t>
  </si>
  <si>
    <t>肉屄</t>
  </si>
  <si>
    <t>肉逼</t>
  </si>
  <si>
    <t>肉便器</t>
  </si>
  <si>
    <t>肉唇</t>
  </si>
  <si>
    <t>肉縫</t>
  </si>
  <si>
    <t>肉感炮友</t>
  </si>
  <si>
    <t>肉根</t>
  </si>
  <si>
    <t>肉沟</t>
  </si>
  <si>
    <t>肉溝</t>
  </si>
  <si>
    <t>肉棍干骚妇</t>
  </si>
  <si>
    <t>肉棍幹騷婦</t>
  </si>
  <si>
    <t>肉壺</t>
  </si>
  <si>
    <t>肉击</t>
  </si>
  <si>
    <t>肉茎</t>
  </si>
  <si>
    <t>肉莖</t>
  </si>
  <si>
    <t>肉具</t>
  </si>
  <si>
    <t>肉门</t>
  </si>
  <si>
    <t>肉蒲团</t>
  </si>
  <si>
    <t>肉蒲團</t>
  </si>
  <si>
    <t>肉丘</t>
  </si>
  <si>
    <t>肉圈</t>
  </si>
  <si>
    <t>肉丝裤袜</t>
  </si>
  <si>
    <t>肉絲褲襪</t>
  </si>
  <si>
    <t>肉体交融</t>
  </si>
  <si>
    <t>肉體</t>
  </si>
  <si>
    <t>肉臀</t>
  </si>
  <si>
    <t>肉箫</t>
  </si>
  <si>
    <t>肉簫</t>
  </si>
  <si>
    <t>肉穴MOD</t>
  </si>
  <si>
    <t>肉芽</t>
  </si>
  <si>
    <t>肉淫器吞精</t>
  </si>
  <si>
    <t>如何制作原子弹</t>
  </si>
  <si>
    <t>如何做炸弹</t>
  </si>
  <si>
    <t>如何做炸药</t>
  </si>
  <si>
    <t>如来</t>
  </si>
  <si>
    <t>如來</t>
  </si>
  <si>
    <t>乳fan</t>
  </si>
  <si>
    <t>乳霸</t>
  </si>
  <si>
    <t>乳爆</t>
  </si>
  <si>
    <t>乳此动人</t>
  </si>
  <si>
    <t>乳此動人</t>
  </si>
  <si>
    <t>乳此丰满</t>
  </si>
  <si>
    <t>乳此豐滿</t>
  </si>
  <si>
    <t>乳此丝袜</t>
  </si>
  <si>
    <t>乳此絲襪</t>
  </si>
  <si>
    <t>乳沟</t>
  </si>
  <si>
    <t>乳溝</t>
  </si>
  <si>
    <t>乳尻</t>
  </si>
  <si>
    <t>乳球</t>
  </si>
  <si>
    <t>乳射</t>
  </si>
  <si>
    <t>乳首</t>
  </si>
  <si>
    <t>辱骂</t>
  </si>
  <si>
    <t>辱师</t>
  </si>
  <si>
    <t>入党</t>
  </si>
  <si>
    <t>入党申请书</t>
  </si>
  <si>
    <t>入穴一游</t>
  </si>
  <si>
    <t>瑞士金融大学</t>
  </si>
  <si>
    <t>萨斯病</t>
  </si>
  <si>
    <t>薩馬蘭奇</t>
  </si>
  <si>
    <t>塞你娘赛阿母</t>
  </si>
  <si>
    <t>赛克网</t>
  </si>
  <si>
    <t>赛马</t>
  </si>
  <si>
    <t>三P</t>
  </si>
  <si>
    <t>三八淫</t>
  </si>
  <si>
    <t>三挫仑</t>
  </si>
  <si>
    <t>三二二攻台作战</t>
  </si>
  <si>
    <t>三二二攻台作战计划</t>
  </si>
  <si>
    <t>三坊七巷火灾</t>
  </si>
  <si>
    <t>三級片我該死</t>
  </si>
  <si>
    <t>三面翻</t>
  </si>
  <si>
    <t>三浦愛佳</t>
  </si>
  <si>
    <t>三去车仑工力</t>
  </si>
  <si>
    <t>三三九乘元功</t>
  </si>
  <si>
    <t>三水法轮</t>
  </si>
  <si>
    <t>三条腿</t>
  </si>
  <si>
    <t>三退</t>
  </si>
  <si>
    <t>三唑</t>
  </si>
  <si>
    <t>三唑仑片</t>
  </si>
  <si>
    <t>三唑侖</t>
  </si>
  <si>
    <t>氵去车仑工力</t>
  </si>
  <si>
    <t>糁</t>
  </si>
  <si>
    <t>搔穴</t>
  </si>
  <si>
    <t>骚B熟女</t>
  </si>
  <si>
    <t>骚屄</t>
  </si>
  <si>
    <t>骚比</t>
  </si>
  <si>
    <t>骚婊</t>
  </si>
  <si>
    <t>骚洞</t>
  </si>
  <si>
    <t>骚妇</t>
  </si>
  <si>
    <t>骚妇掰B</t>
  </si>
  <si>
    <t>骚妇露逼</t>
  </si>
  <si>
    <t>骚姐姐</t>
  </si>
  <si>
    <t>骚浪</t>
  </si>
  <si>
    <t>骚浪美女</t>
  </si>
  <si>
    <t>骚浪人妻</t>
  </si>
  <si>
    <t>骚乱</t>
  </si>
  <si>
    <t>骚妈</t>
  </si>
  <si>
    <t>骚妹</t>
  </si>
  <si>
    <t>骚妹妹</t>
  </si>
  <si>
    <t>骚母</t>
  </si>
  <si>
    <t>骚女</t>
  </si>
  <si>
    <t>骚女叫春</t>
  </si>
  <si>
    <t>骚妻</t>
  </si>
  <si>
    <t>骚乳</t>
  </si>
  <si>
    <t>骚水</t>
  </si>
  <si>
    <t>骚穴</t>
  </si>
  <si>
    <t>骚穴怒放</t>
  </si>
  <si>
    <t>骚痒</t>
  </si>
  <si>
    <t>骚姨妈</t>
  </si>
  <si>
    <t>骚姊姊</t>
  </si>
  <si>
    <t>騷B熟女</t>
  </si>
  <si>
    <t>騷屄</t>
  </si>
  <si>
    <t>騷洞</t>
  </si>
  <si>
    <t>騷婦掰B</t>
  </si>
  <si>
    <t>騷婦露逼</t>
  </si>
  <si>
    <t>騷姐姐</t>
  </si>
  <si>
    <t>騷浪</t>
  </si>
  <si>
    <t>騷浪美女</t>
  </si>
  <si>
    <t>騷浪人妻</t>
  </si>
  <si>
    <t>騷卵</t>
  </si>
  <si>
    <t>騷媽</t>
  </si>
  <si>
    <t>騷妹</t>
  </si>
  <si>
    <t>騷妹妹</t>
  </si>
  <si>
    <t>騷母</t>
  </si>
  <si>
    <t>騷女</t>
  </si>
  <si>
    <t>騷女叫春</t>
  </si>
  <si>
    <t>騷妻</t>
  </si>
  <si>
    <t>騷乳</t>
  </si>
  <si>
    <t>騷水</t>
  </si>
  <si>
    <t>騷穴</t>
  </si>
  <si>
    <t>騷穴怒放</t>
  </si>
  <si>
    <t>騷姨媽</t>
  </si>
  <si>
    <t>色97爱</t>
  </si>
  <si>
    <t>色97愛</t>
  </si>
  <si>
    <t>色电影</t>
  </si>
  <si>
    <t>色狐狸网址</t>
  </si>
  <si>
    <t>色狐狸網址</t>
  </si>
  <si>
    <t>色戒未删减</t>
  </si>
  <si>
    <t>色界</t>
  </si>
  <si>
    <t>色空寺</t>
  </si>
  <si>
    <t>色狼</t>
  </si>
  <si>
    <t>色狼论坛</t>
  </si>
  <si>
    <t>色狼論壇</t>
  </si>
  <si>
    <t>色狼网</t>
  </si>
  <si>
    <t>色狼網</t>
  </si>
  <si>
    <t>色狼小说</t>
  </si>
  <si>
    <t>色狼小說</t>
  </si>
  <si>
    <t>色猫</t>
  </si>
  <si>
    <t>色貓</t>
  </si>
  <si>
    <t>色迷城</t>
  </si>
  <si>
    <t>色情5</t>
  </si>
  <si>
    <t>色情电视</t>
  </si>
  <si>
    <t>色情电影下载</t>
  </si>
  <si>
    <t>色情電視</t>
  </si>
  <si>
    <t>色情電視色情服务</t>
  </si>
  <si>
    <t>色情工厂</t>
  </si>
  <si>
    <t>色情工廠</t>
  </si>
  <si>
    <t>色情论坛</t>
  </si>
  <si>
    <t>色情論壇</t>
  </si>
  <si>
    <t>色情图片</t>
  </si>
  <si>
    <t>色情圖片</t>
  </si>
  <si>
    <t>色情网络小说</t>
  </si>
  <si>
    <t>色情网站</t>
  </si>
  <si>
    <t>色情網站</t>
  </si>
  <si>
    <t>色情小電影</t>
  </si>
  <si>
    <t>色情小说</t>
  </si>
  <si>
    <t>色区</t>
  </si>
  <si>
    <t>色區</t>
  </si>
  <si>
    <t>色色</t>
  </si>
  <si>
    <t>色色成人</t>
  </si>
  <si>
    <t>色色婷婷</t>
  </si>
  <si>
    <t>色色五月天</t>
  </si>
  <si>
    <t>色书库</t>
  </si>
  <si>
    <t>色書庫</t>
  </si>
  <si>
    <t>色图</t>
  </si>
  <si>
    <t>色窝窝</t>
  </si>
  <si>
    <t>色窩窩</t>
  </si>
  <si>
    <t>色淫</t>
  </si>
  <si>
    <t>色友</t>
  </si>
  <si>
    <t>色诱</t>
  </si>
  <si>
    <t>色誘</t>
  </si>
  <si>
    <t>色欲</t>
  </si>
  <si>
    <t>杀人事件</t>
  </si>
  <si>
    <t>沙皇李长春</t>
  </si>
  <si>
    <t>殺人</t>
  </si>
  <si>
    <t>傻X</t>
  </si>
  <si>
    <t>山寨手机</t>
  </si>
  <si>
    <t>汕尾事件</t>
  </si>
  <si>
    <t>善恶有报</t>
  </si>
  <si>
    <t>上床</t>
  </si>
  <si>
    <t>上吊</t>
  </si>
  <si>
    <t>上访军</t>
  </si>
  <si>
    <t>上海帮</t>
  </si>
  <si>
    <t>上海帮的黄昏</t>
  </si>
  <si>
    <t>上海拆迁悲喜剧</t>
  </si>
  <si>
    <t>上海孤儿院</t>
  </si>
  <si>
    <t>上海交大</t>
  </si>
  <si>
    <t>尚福林</t>
  </si>
  <si>
    <t>尚勇</t>
  </si>
  <si>
    <t>烧光</t>
  </si>
  <si>
    <t>烧国旗</t>
  </si>
  <si>
    <t>少儿</t>
  </si>
  <si>
    <t>少儿不宜</t>
  </si>
  <si>
    <t>少妇</t>
  </si>
  <si>
    <t>少妇白洁</t>
  </si>
  <si>
    <t>少妇偷情</t>
  </si>
  <si>
    <t>少妇穴</t>
  </si>
  <si>
    <t>少婦偷情</t>
  </si>
  <si>
    <t>少女被插</t>
  </si>
  <si>
    <t>少女高潮</t>
  </si>
  <si>
    <t>少修正</t>
  </si>
  <si>
    <t>邵家健</t>
  </si>
  <si>
    <t>舌头添</t>
  </si>
  <si>
    <t>舌头舔</t>
  </si>
  <si>
    <t>舌头穴</t>
  </si>
  <si>
    <t>舌頭穴</t>
  </si>
  <si>
    <t>舌战法庭</t>
  </si>
  <si>
    <t>社保基金会</t>
  </si>
  <si>
    <t>社会民主主义</t>
  </si>
  <si>
    <t>社会正义力量</t>
  </si>
  <si>
    <t>社会主义</t>
  </si>
  <si>
    <t>社民党</t>
  </si>
  <si>
    <t>射出来</t>
  </si>
  <si>
    <t>射奶</t>
  </si>
  <si>
    <t>射你</t>
  </si>
  <si>
    <t>射乳</t>
  </si>
  <si>
    <t>射爽</t>
  </si>
  <si>
    <t>射颜</t>
  </si>
  <si>
    <t>射顏</t>
  </si>
  <si>
    <t>涉毒</t>
  </si>
  <si>
    <t>涉黄</t>
  </si>
  <si>
    <t>涉枪</t>
  </si>
  <si>
    <t>涉台政局</t>
  </si>
  <si>
    <t>涉嫌反动</t>
  </si>
  <si>
    <t>申维辰</t>
  </si>
  <si>
    <t>身份证生成</t>
  </si>
  <si>
    <t>身份证生成器</t>
  </si>
  <si>
    <t>身份證生成</t>
  </si>
  <si>
    <t>深爱色色</t>
  </si>
  <si>
    <t>深愛色色</t>
  </si>
  <si>
    <t>神的教会</t>
  </si>
  <si>
    <t>神佛</t>
  </si>
  <si>
    <t>神漢</t>
  </si>
  <si>
    <t>神州忏悔录</t>
  </si>
  <si>
    <t>神州电影制片厂</t>
  </si>
  <si>
    <t>神洲电影</t>
  </si>
  <si>
    <t>沈昌人体科技</t>
  </si>
  <si>
    <t>沈德咏</t>
  </si>
  <si>
    <t>沈默殺手</t>
  </si>
  <si>
    <t>沈彤</t>
  </si>
  <si>
    <t>沈跃跃</t>
  </si>
  <si>
    <t>审查</t>
  </si>
  <si>
    <t>审查参赛者</t>
  </si>
  <si>
    <t>审计署</t>
  </si>
  <si>
    <t>審查</t>
  </si>
  <si>
    <t>渗透中共</t>
  </si>
  <si>
    <t>升达</t>
  </si>
  <si>
    <t>升达毕业证</t>
  </si>
  <si>
    <t>升達</t>
  </si>
  <si>
    <t>升天</t>
  </si>
  <si>
    <t>生成身份证</t>
  </si>
  <si>
    <t>生春袋</t>
  </si>
  <si>
    <t>生孩子没屁眼</t>
  </si>
  <si>
    <t>生化武器</t>
  </si>
  <si>
    <t>生奸內射</t>
  </si>
  <si>
    <t>生奸内射</t>
  </si>
  <si>
    <t>生命树的分叉</t>
  </si>
  <si>
    <t>生命自私到了极点的中共政权</t>
  </si>
  <si>
    <t>生死</t>
  </si>
  <si>
    <t>生徒胸触</t>
  </si>
  <si>
    <t>生徒胸觸</t>
  </si>
  <si>
    <t>生者和死者</t>
  </si>
  <si>
    <t>生殖</t>
  </si>
  <si>
    <t>绳虐</t>
  </si>
  <si>
    <t>省委大门集合</t>
  </si>
  <si>
    <t>省政府大门集合</t>
  </si>
  <si>
    <t>圣火</t>
  </si>
  <si>
    <t>圣灵重建教会</t>
  </si>
  <si>
    <t>圣母</t>
  </si>
  <si>
    <t>圣泉学淫</t>
  </si>
  <si>
    <t>盛光祖</t>
  </si>
  <si>
    <t>盛华仁</t>
  </si>
  <si>
    <t>盛雪</t>
  </si>
  <si>
    <t>聖母</t>
  </si>
  <si>
    <t>聖泉學淫</t>
  </si>
  <si>
    <t>失密</t>
  </si>
  <si>
    <t>失身药</t>
  </si>
  <si>
    <t>失忆药</t>
  </si>
  <si>
    <t>失意药</t>
  </si>
  <si>
    <t>失意藥</t>
  </si>
  <si>
    <t>师父法身</t>
  </si>
  <si>
    <t>师涛</t>
  </si>
  <si>
    <t>湿身诱惑</t>
  </si>
  <si>
    <t>湿透的内裤</t>
  </si>
  <si>
    <t>湿穴</t>
  </si>
  <si>
    <t>濕身誘惑</t>
  </si>
  <si>
    <t>濕穴</t>
  </si>
  <si>
    <t>十年动乱</t>
  </si>
  <si>
    <t>十七大权力争霸战</t>
  </si>
  <si>
    <t>十七人事安排</t>
  </si>
  <si>
    <t>十七位老部长</t>
  </si>
  <si>
    <t>十五周年</t>
  </si>
  <si>
    <t>石戈</t>
  </si>
  <si>
    <t>石进</t>
  </si>
  <si>
    <t>石生龙</t>
  </si>
  <si>
    <t>石云生</t>
  </si>
  <si>
    <t>石宗源</t>
  </si>
  <si>
    <t>时代互联</t>
  </si>
  <si>
    <t>时代论坛</t>
  </si>
  <si>
    <t>时期打了几次我再次哦唯</t>
  </si>
  <si>
    <t>食精</t>
  </si>
  <si>
    <t>史達林</t>
  </si>
  <si>
    <t>世界基督教统一神灵协会</t>
  </si>
  <si>
    <t>世界经济导报</t>
  </si>
  <si>
    <t>世界日报</t>
  </si>
  <si>
    <t>世界十大独裁者</t>
  </si>
  <si>
    <t>世界之门</t>
  </si>
  <si>
    <t>世维</t>
  </si>
  <si>
    <t>市委会</t>
  </si>
  <si>
    <t>事实独立</t>
  </si>
  <si>
    <t>视眼镜</t>
  </si>
  <si>
    <t>是束告项瓷</t>
  </si>
  <si>
    <t>是中国社会的爱滋病</t>
  </si>
  <si>
    <t>释欲</t>
  </si>
  <si>
    <t>釋迦牟尼</t>
  </si>
  <si>
    <t>釋欲</t>
  </si>
  <si>
    <t>手qiang</t>
  </si>
  <si>
    <t>手把手教你作原子弹</t>
  </si>
  <si>
    <t>手把手教你做原子弹</t>
  </si>
  <si>
    <t>手机复制</t>
  </si>
  <si>
    <t>手机复制卡</t>
  </si>
  <si>
    <t>手机跟踪</t>
  </si>
  <si>
    <t>手机监听</t>
  </si>
  <si>
    <t>手机监听器</t>
  </si>
  <si>
    <t>手机铃声</t>
  </si>
  <si>
    <t>手机铃声下载</t>
  </si>
  <si>
    <t>手机魔卡</t>
  </si>
  <si>
    <t>手机窃听</t>
  </si>
  <si>
    <t>手机窃听器</t>
  </si>
  <si>
    <t>手机窃听设备</t>
  </si>
  <si>
    <t>手机游戏</t>
  </si>
  <si>
    <t>手机追踪器</t>
  </si>
  <si>
    <t>手機復制</t>
  </si>
  <si>
    <t>手機跟蹤</t>
  </si>
  <si>
    <t>手機監聽器</t>
  </si>
  <si>
    <t>手拍肩</t>
  </si>
  <si>
    <t>手枪</t>
  </si>
  <si>
    <t>手枪电话如何做</t>
  </si>
  <si>
    <t>手追踪器</t>
  </si>
  <si>
    <t>售麻醉</t>
  </si>
  <si>
    <t>售枪</t>
  </si>
  <si>
    <t>兽奸</t>
  </si>
  <si>
    <t>兽交</t>
  </si>
  <si>
    <t>兽兽门</t>
  </si>
  <si>
    <t>兽欲</t>
  </si>
  <si>
    <t>獸奸</t>
  </si>
  <si>
    <t>獸交</t>
  </si>
  <si>
    <t>獸獸門</t>
  </si>
  <si>
    <t>獸欲</t>
  </si>
  <si>
    <t>叔嫂肉欲</t>
  </si>
  <si>
    <t>熟妇</t>
  </si>
  <si>
    <t>熟妇人妻</t>
  </si>
  <si>
    <t>熟妇骚器</t>
  </si>
  <si>
    <t>熟婦</t>
  </si>
  <si>
    <t>熟婦人妻</t>
  </si>
  <si>
    <t>熟婦騷器</t>
  </si>
  <si>
    <t>熟母</t>
  </si>
  <si>
    <t>熟女</t>
  </si>
  <si>
    <t>熟女护士</t>
  </si>
  <si>
    <t>熟女護士</t>
  </si>
  <si>
    <t>熟女俱乐部</t>
  </si>
  <si>
    <t>熟女乱伦</t>
  </si>
  <si>
    <t>熟女亂倫</t>
  </si>
  <si>
    <t>熟女颜射</t>
  </si>
  <si>
    <t>熟女顏射</t>
  </si>
  <si>
    <t>熟女之惑</t>
  </si>
  <si>
    <t>树亲民形象不如推动政改</t>
  </si>
  <si>
    <t>双管立式猎枪</t>
  </si>
  <si>
    <t>双管猎枪</t>
  </si>
  <si>
    <t>双规</t>
  </si>
  <si>
    <t>双龙入洞</t>
  </si>
  <si>
    <t>双乳</t>
  </si>
  <si>
    <t>双十节</t>
  </si>
  <si>
    <t>双腿叉开</t>
  </si>
  <si>
    <t>双腿间的禁地</t>
  </si>
  <si>
    <t>雙龍入洞</t>
  </si>
  <si>
    <t>爽电影</t>
  </si>
  <si>
    <t>爽片</t>
  </si>
  <si>
    <t>爽死</t>
  </si>
  <si>
    <t>爽死我了</t>
  </si>
  <si>
    <t>爽穴</t>
  </si>
  <si>
    <t>谁是胡的接班人</t>
  </si>
  <si>
    <t>谁是新中国</t>
  </si>
  <si>
    <t>谁为腐败晚餐买单</t>
  </si>
  <si>
    <t>水扁</t>
  </si>
  <si>
    <t>税力</t>
  </si>
  <si>
    <t>税务总局致歉</t>
  </si>
  <si>
    <t>睡着的武神</t>
  </si>
  <si>
    <t>司法警官</t>
  </si>
  <si>
    <t>司法院</t>
  </si>
  <si>
    <t>司令</t>
  </si>
  <si>
    <t>司马晋</t>
  </si>
  <si>
    <t>司马璐</t>
  </si>
  <si>
    <t>司马璐回忆录</t>
  </si>
  <si>
    <t>司马义铁力瓦尔地</t>
  </si>
  <si>
    <t>司徒华</t>
  </si>
  <si>
    <t>丝袜</t>
  </si>
  <si>
    <t>丝袜高跟</t>
  </si>
  <si>
    <t>丝袜写真</t>
  </si>
  <si>
    <t>丝袜淫妇</t>
  </si>
  <si>
    <t>丝袜足交</t>
  </si>
  <si>
    <t>丝诱</t>
  </si>
  <si>
    <t>私彩</t>
  </si>
  <si>
    <t>私处</t>
  </si>
  <si>
    <t>私密处</t>
  </si>
  <si>
    <t>私人服务器</t>
  </si>
  <si>
    <t>私人伺服器</t>
  </si>
  <si>
    <t>斯鑫良</t>
  </si>
  <si>
    <t>絲襪</t>
  </si>
  <si>
    <t>絲襪高跟</t>
  </si>
  <si>
    <t>絲襪寫真</t>
  </si>
  <si>
    <t>絲襪淫婦</t>
  </si>
  <si>
    <t>絲襪足交</t>
  </si>
  <si>
    <t>絲誘</t>
  </si>
  <si>
    <t>死亡笔记</t>
  </si>
  <si>
    <t>死亡筆記</t>
  </si>
  <si>
    <t>死亡日志</t>
  </si>
  <si>
    <t>死亡日誌</t>
  </si>
  <si>
    <t>死刑</t>
  </si>
  <si>
    <t>死刑过程</t>
  </si>
  <si>
    <t>四川大地震异象揭密</t>
  </si>
  <si>
    <t>四川独</t>
  </si>
  <si>
    <t>四川朱昱</t>
  </si>
  <si>
    <t>四二五事件</t>
  </si>
  <si>
    <t>四海龙女</t>
  </si>
  <si>
    <t>四级答案</t>
  </si>
  <si>
    <t>四六级答案</t>
  </si>
  <si>
    <t>四人帮材料</t>
  </si>
  <si>
    <t>四小码</t>
  </si>
  <si>
    <t>四種當</t>
  </si>
  <si>
    <t>伺服器</t>
  </si>
  <si>
    <t>松花江污染</t>
  </si>
  <si>
    <t>宋爱荣</t>
  </si>
  <si>
    <t>宋大涵</t>
  </si>
  <si>
    <t>宋明昌</t>
  </si>
  <si>
    <t>宋平</t>
  </si>
  <si>
    <t>宋平顺</t>
  </si>
  <si>
    <t>宋平順</t>
  </si>
  <si>
    <t>宋书元</t>
  </si>
  <si>
    <t>宋秀岩</t>
  </si>
  <si>
    <t>宋璇涛</t>
  </si>
  <si>
    <t>苏波</t>
  </si>
  <si>
    <t>苏丹达</t>
  </si>
  <si>
    <t>苏家屯集中营</t>
  </si>
  <si>
    <t>苏军情况汇编</t>
  </si>
  <si>
    <t>苏绍智</t>
  </si>
  <si>
    <t>苏树林</t>
  </si>
  <si>
    <t>苏晓康</t>
  </si>
  <si>
    <t>酥胸诱惑</t>
  </si>
  <si>
    <t>酥胸誘惑</t>
  </si>
  <si>
    <t>酥穴</t>
  </si>
  <si>
    <t>酥痒</t>
  </si>
  <si>
    <t>酥癢</t>
  </si>
  <si>
    <t>蘇家屯</t>
  </si>
  <si>
    <t>素女</t>
  </si>
  <si>
    <t>素人娘</t>
  </si>
  <si>
    <t>塑胶原料的流动性</t>
  </si>
  <si>
    <t>孙春兰</t>
  </si>
  <si>
    <t>孙怀山</t>
  </si>
  <si>
    <t>孙建国</t>
  </si>
  <si>
    <t>孙思敬</t>
  </si>
  <si>
    <t>孙悟空和雅典娜的故事</t>
  </si>
  <si>
    <t>孙政才</t>
  </si>
  <si>
    <t>孫文</t>
  </si>
  <si>
    <t>孫逸仙</t>
  </si>
  <si>
    <t>他妈的他的</t>
  </si>
  <si>
    <t>他媽的他的</t>
  </si>
  <si>
    <t>他娘的</t>
  </si>
  <si>
    <t>它妈的</t>
  </si>
  <si>
    <t>她妈的</t>
  </si>
  <si>
    <t>她马的</t>
  </si>
  <si>
    <t>她奶奶的</t>
  </si>
  <si>
    <t>塔克拉玛干人权联合会</t>
  </si>
  <si>
    <t>台独台湾独立</t>
  </si>
  <si>
    <t>台獨</t>
  </si>
  <si>
    <t>台獨分子</t>
  </si>
  <si>
    <t>台獨萬歲</t>
  </si>
  <si>
    <t>台海盾牌</t>
  </si>
  <si>
    <t>台海军刀</t>
  </si>
  <si>
    <t>台聯</t>
  </si>
  <si>
    <t>台盟</t>
  </si>
  <si>
    <t>台人治台</t>
  </si>
  <si>
    <t>台湾</t>
  </si>
  <si>
    <t>台湾独</t>
  </si>
  <si>
    <t>台湾共合国</t>
  </si>
  <si>
    <t>台湾建国运动组织</t>
  </si>
  <si>
    <t>台湾青年独立联盟</t>
  </si>
  <si>
    <t>台湾应该独立</t>
  </si>
  <si>
    <t>台湾有权独立</t>
  </si>
  <si>
    <t>台湾政论区</t>
  </si>
  <si>
    <t>台湾自由联盟</t>
  </si>
  <si>
    <t>台湾总统</t>
  </si>
  <si>
    <t>臺灣島國</t>
  </si>
  <si>
    <t>臺灣國</t>
  </si>
  <si>
    <t>太王四神记</t>
  </si>
  <si>
    <t>太阳花学运</t>
  </si>
  <si>
    <t>太阳圣殿教</t>
  </si>
  <si>
    <t>太子黨</t>
  </si>
  <si>
    <t>泰州文教局停售通知</t>
  </si>
  <si>
    <t>覃志刚</t>
  </si>
  <si>
    <t>谭力</t>
  </si>
  <si>
    <t>探测定位器</t>
  </si>
  <si>
    <t>探测狗</t>
  </si>
  <si>
    <t>探測狗</t>
  </si>
  <si>
    <t>汤光中</t>
  </si>
  <si>
    <t>唐柏桥</t>
  </si>
  <si>
    <t>唐家璿</t>
  </si>
  <si>
    <t>唐捷</t>
  </si>
  <si>
    <t>唐人电视台</t>
  </si>
  <si>
    <t>涛哥</t>
  </si>
  <si>
    <t>逃犯</t>
  </si>
  <si>
    <t>逃亡艳旅</t>
  </si>
  <si>
    <t>桃园蜜洞</t>
  </si>
  <si>
    <t>桃園蜜洞</t>
  </si>
  <si>
    <t>陶驷驹</t>
  </si>
  <si>
    <t>讨伐中宣部</t>
  </si>
  <si>
    <t>特别党费</t>
  </si>
  <si>
    <t>特别公告</t>
  </si>
  <si>
    <t>特价国际机票</t>
  </si>
  <si>
    <t>特码</t>
  </si>
  <si>
    <t>特碼</t>
  </si>
  <si>
    <t>特务机构</t>
  </si>
  <si>
    <t>特务民运</t>
  </si>
  <si>
    <t>腾文生</t>
  </si>
  <si>
    <t>滕久明</t>
  </si>
  <si>
    <t>滕文生</t>
  </si>
  <si>
    <t>体奸</t>
  </si>
  <si>
    <t>体育总局</t>
  </si>
  <si>
    <t>體奸</t>
  </si>
  <si>
    <t>替考托福</t>
  </si>
  <si>
    <t>天安门</t>
  </si>
  <si>
    <t>天安门大屠杀</t>
  </si>
  <si>
    <t>天安门档案</t>
  </si>
  <si>
    <t>天安门纪念基金会</t>
  </si>
  <si>
    <t>天安门录像带</t>
  </si>
  <si>
    <t>天安门录影带</t>
  </si>
  <si>
    <t>天安门屠杀</t>
  </si>
  <si>
    <t>天安门一代</t>
  </si>
  <si>
    <t>天鹅之旅</t>
  </si>
  <si>
    <t>天鵝之旅</t>
  </si>
  <si>
    <t>天府广场集会</t>
  </si>
  <si>
    <t>天国乐团</t>
  </si>
  <si>
    <t>天互数据</t>
  </si>
  <si>
    <t>天皇</t>
  </si>
  <si>
    <t>天津事件</t>
  </si>
  <si>
    <t>天伦王朝</t>
  </si>
  <si>
    <t>天灭</t>
  </si>
  <si>
    <t>天灭中</t>
  </si>
  <si>
    <t>天灭中共</t>
  </si>
  <si>
    <t>天怒</t>
  </si>
  <si>
    <t>天权</t>
  </si>
  <si>
    <t>天天干贴图</t>
  </si>
  <si>
    <t>天天干貼圖</t>
  </si>
  <si>
    <t>天天情色</t>
  </si>
  <si>
    <t>天要灭</t>
  </si>
  <si>
    <t>天要灭中</t>
  </si>
  <si>
    <t>天要亡</t>
  </si>
  <si>
    <t>天音功</t>
  </si>
  <si>
    <t>天葬</t>
  </si>
  <si>
    <t>添逼</t>
  </si>
  <si>
    <t>添你下面</t>
  </si>
  <si>
    <t>添阴</t>
  </si>
  <si>
    <t>田凤山</t>
  </si>
  <si>
    <t>田修思</t>
  </si>
  <si>
    <t>田中</t>
  </si>
  <si>
    <t>舔B</t>
  </si>
  <si>
    <t>舔xue</t>
  </si>
  <si>
    <t>舔屄</t>
  </si>
  <si>
    <t>舔逼</t>
  </si>
  <si>
    <t>舔便</t>
  </si>
  <si>
    <t>舔遍</t>
  </si>
  <si>
    <t>舔肛</t>
  </si>
  <si>
    <t>舔花苞</t>
  </si>
  <si>
    <t>舔鸡巴</t>
  </si>
  <si>
    <t>舔雞巴</t>
  </si>
  <si>
    <t>舔脚</t>
  </si>
  <si>
    <t>舔腳</t>
  </si>
  <si>
    <t>舔菊</t>
  </si>
  <si>
    <t>舔奶</t>
  </si>
  <si>
    <t>舔弄</t>
  </si>
  <si>
    <t>舔批</t>
  </si>
  <si>
    <t>舔屁眼</t>
  </si>
  <si>
    <t>舔舐</t>
  </si>
  <si>
    <t>舔吮</t>
  </si>
  <si>
    <t>舔下面</t>
  </si>
  <si>
    <t>舔穴</t>
  </si>
  <si>
    <t>舔阴</t>
  </si>
  <si>
    <t>条约</t>
  </si>
  <si>
    <t>调教</t>
  </si>
  <si>
    <t>调教虐待</t>
  </si>
  <si>
    <t>调试家用卫星</t>
  </si>
  <si>
    <t>铁道部</t>
  </si>
  <si>
    <t>铁凝</t>
  </si>
  <si>
    <t>挺胡</t>
  </si>
  <si>
    <t>通示达</t>
  </si>
  <si>
    <t>通信维权</t>
  </si>
  <si>
    <t>同房</t>
  </si>
  <si>
    <t>同居社区</t>
  </si>
  <si>
    <t>同居社區</t>
  </si>
  <si>
    <t>同样的人权</t>
  </si>
  <si>
    <t>童颜巨乳</t>
  </si>
  <si>
    <t>童顏巨乳</t>
  </si>
  <si>
    <t>童屹</t>
  </si>
  <si>
    <t>统独</t>
  </si>
  <si>
    <t>统独论坛</t>
  </si>
  <si>
    <t>统计局</t>
  </si>
  <si>
    <t>统一教</t>
  </si>
  <si>
    <t>统战</t>
  </si>
  <si>
    <t>统治</t>
  </si>
  <si>
    <t>统治术</t>
  </si>
  <si>
    <t>捅你</t>
  </si>
  <si>
    <t>捅我</t>
  </si>
  <si>
    <t>偷欢</t>
  </si>
  <si>
    <t>偷歡</t>
  </si>
  <si>
    <t>偷窥有罪</t>
  </si>
  <si>
    <t>偷窺視頻</t>
  </si>
  <si>
    <t>偷窺圖片</t>
  </si>
  <si>
    <t>偷窺有罪</t>
  </si>
  <si>
    <t>偷拍</t>
  </si>
  <si>
    <t>偷拍美穴</t>
  </si>
  <si>
    <t>偷情</t>
  </si>
  <si>
    <t>投毒殺人</t>
  </si>
  <si>
    <t>骰宝</t>
  </si>
  <si>
    <t>骰子</t>
  </si>
  <si>
    <t>透视</t>
  </si>
  <si>
    <t>透视镜</t>
  </si>
  <si>
    <t>透视器</t>
  </si>
  <si>
    <t>透视照片</t>
  </si>
  <si>
    <t>透視器</t>
  </si>
  <si>
    <t>透視眼鏡</t>
  </si>
  <si>
    <t>透視照片</t>
  </si>
  <si>
    <t>凸你</t>
  </si>
  <si>
    <t>凸妳</t>
  </si>
  <si>
    <t>凸女也</t>
  </si>
  <si>
    <t>凸人也</t>
  </si>
  <si>
    <t>凸肉优</t>
  </si>
  <si>
    <t>凸肉優</t>
  </si>
  <si>
    <t>凸他</t>
  </si>
  <si>
    <t>凸她</t>
  </si>
  <si>
    <t>凸我</t>
  </si>
  <si>
    <t>突破技术</t>
  </si>
  <si>
    <t>突破网封索的软件</t>
  </si>
  <si>
    <t>突破网络</t>
  </si>
  <si>
    <t>图说文化大革命</t>
  </si>
  <si>
    <t>涂运普</t>
  </si>
  <si>
    <t>屠龙别记</t>
  </si>
  <si>
    <t>土制</t>
  </si>
  <si>
    <t>土制C4</t>
  </si>
  <si>
    <t>团派</t>
  </si>
  <si>
    <t>推翻</t>
  </si>
  <si>
    <t>推翻社会主义制度</t>
  </si>
  <si>
    <t>退h集会</t>
  </si>
  <si>
    <t>退出共产</t>
  </si>
  <si>
    <t>退出共产党</t>
  </si>
  <si>
    <t>退出中共</t>
  </si>
  <si>
    <t>退党</t>
  </si>
  <si>
    <t>退党声明</t>
  </si>
  <si>
    <t>退改离</t>
  </si>
  <si>
    <t>退团</t>
  </si>
  <si>
    <t>退团声明</t>
  </si>
  <si>
    <t>吞精</t>
  </si>
  <si>
    <t>吞精骚妹</t>
  </si>
  <si>
    <t>吞精騷妹</t>
  </si>
  <si>
    <t>臀洞</t>
  </si>
  <si>
    <t>臀沟</t>
  </si>
  <si>
    <t>臀孔</t>
  </si>
  <si>
    <t>臀丘</t>
  </si>
  <si>
    <t>脫內褲</t>
  </si>
  <si>
    <t>脫衣舞</t>
  </si>
  <si>
    <t>脱党</t>
  </si>
  <si>
    <t>脱光</t>
  </si>
  <si>
    <t>脱内裤</t>
  </si>
  <si>
    <t>脱团</t>
  </si>
  <si>
    <t>脱衣</t>
  </si>
  <si>
    <t>脱衣服</t>
  </si>
  <si>
    <t>脱衣舞</t>
  </si>
  <si>
    <t>瓦解专制</t>
  </si>
  <si>
    <t>外掛</t>
  </si>
  <si>
    <t>外交论坛</t>
  </si>
  <si>
    <t>外交与方略</t>
  </si>
  <si>
    <t>外蒙</t>
  </si>
  <si>
    <t>外围赌球</t>
  </si>
  <si>
    <t>外围码</t>
  </si>
  <si>
    <t>完蛋操</t>
  </si>
  <si>
    <t>玩逼</t>
  </si>
  <si>
    <t>玩穴</t>
  </si>
  <si>
    <t>万达卫浴</t>
  </si>
  <si>
    <t>万里</t>
  </si>
  <si>
    <t>万润南</t>
  </si>
  <si>
    <t>万岁</t>
  </si>
  <si>
    <t>万晓东</t>
  </si>
  <si>
    <t>万言书</t>
  </si>
  <si>
    <t>万亦凡</t>
  </si>
  <si>
    <t>万淫堂</t>
  </si>
  <si>
    <t>萬淫堂</t>
  </si>
  <si>
    <t>汪东风</t>
  </si>
  <si>
    <t>汪東風</t>
  </si>
  <si>
    <t>汪岷</t>
  </si>
  <si>
    <t>汪洋</t>
  </si>
  <si>
    <t>汪永清</t>
  </si>
  <si>
    <t>亡党</t>
  </si>
  <si>
    <t>亡共者胡</t>
  </si>
  <si>
    <t>亡国</t>
  </si>
  <si>
    <t>王安顺</t>
  </si>
  <si>
    <t>王宾宜</t>
  </si>
  <si>
    <t>王炳章</t>
  </si>
  <si>
    <t>王策</t>
  </si>
  <si>
    <t>王超华</t>
  </si>
  <si>
    <t>王晨</t>
  </si>
  <si>
    <t>王东峰</t>
  </si>
  <si>
    <t>王东明</t>
  </si>
  <si>
    <t>王辅臣</t>
  </si>
  <si>
    <t>王冠中</t>
  </si>
  <si>
    <t>王光亚</t>
  </si>
  <si>
    <t>王国生</t>
  </si>
  <si>
    <t>王涵万</t>
  </si>
  <si>
    <t>王和民</t>
  </si>
  <si>
    <t>王洪尧</t>
  </si>
  <si>
    <t>王沪宁</t>
  </si>
  <si>
    <t>王华庆</t>
  </si>
  <si>
    <t>王怀臣</t>
  </si>
  <si>
    <t>王会生</t>
  </si>
  <si>
    <t>王家瑞</t>
  </si>
  <si>
    <t>王家胜</t>
  </si>
  <si>
    <t>王建平</t>
  </si>
  <si>
    <t>王教成</t>
  </si>
  <si>
    <t>王军涛</t>
  </si>
  <si>
    <t>王君</t>
  </si>
  <si>
    <t>王力雄</t>
  </si>
  <si>
    <t>王立军</t>
  </si>
  <si>
    <t>王立軍</t>
  </si>
  <si>
    <t>王立英</t>
  </si>
  <si>
    <t>王珉</t>
  </si>
  <si>
    <t>王儒林</t>
  </si>
  <si>
    <t>王瑞林</t>
  </si>
  <si>
    <t>王瑞生</t>
  </si>
  <si>
    <t>王润生</t>
  </si>
  <si>
    <t>王若望</t>
  </si>
  <si>
    <t>王三运</t>
  </si>
  <si>
    <t>王森泰</t>
  </si>
  <si>
    <t>王胜俊</t>
  </si>
  <si>
    <t>王万宾</t>
  </si>
  <si>
    <t>王维林</t>
  </si>
  <si>
    <t>王伟</t>
  </si>
  <si>
    <t>王伟光</t>
  </si>
  <si>
    <t>王炜</t>
  </si>
  <si>
    <t>王希哲</t>
  </si>
  <si>
    <t>王侠</t>
  </si>
  <si>
    <t>王宪魁</t>
  </si>
  <si>
    <t>王晓龙</t>
  </si>
  <si>
    <t>王新宪</t>
  </si>
  <si>
    <t>王秀丽</t>
  </si>
  <si>
    <t>王学军</t>
  </si>
  <si>
    <t>王冶坪</t>
  </si>
  <si>
    <t>王宜林</t>
  </si>
  <si>
    <t>王毅</t>
  </si>
  <si>
    <t>王勇</t>
  </si>
  <si>
    <t>王玉普</t>
  </si>
  <si>
    <t>王长河</t>
  </si>
  <si>
    <t>王正伟</t>
  </si>
  <si>
    <t>王志刚</t>
  </si>
  <si>
    <t>王忠民</t>
  </si>
  <si>
    <t>王仲田</t>
  </si>
  <si>
    <t>王子淫传</t>
  </si>
  <si>
    <t>网络代理</t>
  </si>
  <si>
    <t>网络封锁</t>
  </si>
  <si>
    <t>网络活动颠覆</t>
  </si>
  <si>
    <t>网络宣传的真相</t>
  </si>
  <si>
    <t>网络自由联盟</t>
  </si>
  <si>
    <t>网上博彩</t>
  </si>
  <si>
    <t>网上代考</t>
  </si>
  <si>
    <t>网上淫秽色情游戏</t>
  </si>
  <si>
    <t>网特</t>
  </si>
  <si>
    <t>网赚</t>
  </si>
  <si>
    <t>危机</t>
  </si>
  <si>
    <t>微型无线隐型耳机</t>
  </si>
  <si>
    <t>为党不为国</t>
  </si>
  <si>
    <t>违法</t>
  </si>
  <si>
    <t>违反</t>
  </si>
  <si>
    <t>维多利亚包</t>
  </si>
  <si>
    <t>维护</t>
  </si>
  <si>
    <t>维权</t>
  </si>
  <si>
    <t>维权份子</t>
  </si>
  <si>
    <t>维权网</t>
  </si>
  <si>
    <t>维吾尔人权</t>
  </si>
  <si>
    <t>维吾尔信息社</t>
  </si>
  <si>
    <t>維多利亞包</t>
  </si>
  <si>
    <t>維護</t>
  </si>
  <si>
    <t>伪民运</t>
  </si>
  <si>
    <t>伪水</t>
  </si>
  <si>
    <t>伪造</t>
  </si>
  <si>
    <t>伪装美女</t>
  </si>
  <si>
    <t>尾行</t>
  </si>
  <si>
    <t>偽裝美女</t>
  </si>
  <si>
    <t>隗福临</t>
  </si>
  <si>
    <t>猥瑣</t>
  </si>
  <si>
    <t>卫生计划财务参考资料</t>
  </si>
  <si>
    <t>卫星安装调试</t>
  </si>
  <si>
    <t>卫星电视安装</t>
  </si>
  <si>
    <t>未来的自由中国在民间</t>
  </si>
  <si>
    <t>慰安妇</t>
  </si>
  <si>
    <t>慰安婦</t>
  </si>
  <si>
    <t>慰春情</t>
  </si>
  <si>
    <t>魏东死亡</t>
  </si>
  <si>
    <t>魏凤和</t>
  </si>
  <si>
    <t>魏京生</t>
  </si>
  <si>
    <t>魏亮</t>
  </si>
  <si>
    <t>魏新生</t>
  </si>
  <si>
    <t>温宝宝</t>
  </si>
  <si>
    <t>温加饱</t>
  </si>
  <si>
    <t>温家堡</t>
  </si>
  <si>
    <t>温下台</t>
  </si>
  <si>
    <t>温休曾退</t>
  </si>
  <si>
    <t>温爷爷</t>
  </si>
  <si>
    <t>温元凯</t>
  </si>
  <si>
    <t>瘟家</t>
  </si>
  <si>
    <t>瘟家鸨</t>
  </si>
  <si>
    <t>瘟家寶</t>
  </si>
  <si>
    <t>瘟假鸨</t>
  </si>
  <si>
    <t>文革</t>
  </si>
  <si>
    <t>文革××</t>
  </si>
  <si>
    <t>文革释放</t>
  </si>
  <si>
    <t>文化大革命</t>
  </si>
  <si>
    <t>文件秘密</t>
  </si>
  <si>
    <t>文殊</t>
  </si>
  <si>
    <t>文字狱</t>
  </si>
  <si>
    <t>文字獄</t>
  </si>
  <si>
    <t>翁虹</t>
  </si>
  <si>
    <t>瓮安</t>
  </si>
  <si>
    <t>瓮安暴乱</t>
  </si>
  <si>
    <t>瓮安骚乱</t>
  </si>
  <si>
    <t>窝囊的中国</t>
  </si>
  <si>
    <t>窝囊中国</t>
  </si>
  <si>
    <t>窝窝客</t>
  </si>
  <si>
    <t>窩窩客</t>
  </si>
  <si>
    <t>我XX你</t>
  </si>
  <si>
    <t>我操你妈</t>
  </si>
  <si>
    <t>我草</t>
  </si>
  <si>
    <t>我的后讨伐中宣部时代</t>
  </si>
  <si>
    <t>我的鳥羽兄弟</t>
  </si>
  <si>
    <t>我的性启蒙</t>
  </si>
  <si>
    <t>我就去色</t>
  </si>
  <si>
    <t>我就色</t>
  </si>
  <si>
    <t>我靠</t>
  </si>
  <si>
    <t>我靠我</t>
  </si>
  <si>
    <t>我们自杀吧</t>
  </si>
  <si>
    <t>我是回民</t>
  </si>
  <si>
    <t>我虽死去</t>
  </si>
  <si>
    <t>我所犯严重的方向线路错误的检查</t>
  </si>
  <si>
    <t>我要性交</t>
  </si>
  <si>
    <t>我在黑暗中</t>
  </si>
  <si>
    <t>沃爾開西</t>
  </si>
  <si>
    <t>乌兰木伦</t>
  </si>
  <si>
    <t>乌云其木格</t>
  </si>
  <si>
    <t>邬书林</t>
  </si>
  <si>
    <t>巫毒娃娃</t>
  </si>
  <si>
    <t>无官正</t>
  </si>
  <si>
    <t>无界</t>
  </si>
  <si>
    <t>无界5</t>
  </si>
  <si>
    <t>无界浏览</t>
  </si>
  <si>
    <t>无码</t>
  </si>
  <si>
    <t>无码彩图</t>
  </si>
  <si>
    <t>无码电影</t>
  </si>
  <si>
    <t>无码精选</t>
  </si>
  <si>
    <t>无码炮图</t>
  </si>
  <si>
    <t>无码片</t>
  </si>
  <si>
    <t>无码丝袜</t>
  </si>
  <si>
    <t>无码体验</t>
  </si>
  <si>
    <t>无码无套</t>
  </si>
  <si>
    <t>无码淫漫</t>
  </si>
  <si>
    <t>无码淫女</t>
  </si>
  <si>
    <t>无码影</t>
  </si>
  <si>
    <t>无码长片</t>
  </si>
  <si>
    <t>无码做爱</t>
  </si>
  <si>
    <t>无毛</t>
  </si>
  <si>
    <t>无毛美少女</t>
  </si>
  <si>
    <t>无套内射</t>
  </si>
  <si>
    <t>无套自拍</t>
  </si>
  <si>
    <t>无网界</t>
  </si>
  <si>
    <t>无网界浏览</t>
  </si>
  <si>
    <t>无线跟踪设备</t>
  </si>
  <si>
    <t>无线隐形耳机</t>
  </si>
  <si>
    <t>无修正</t>
  </si>
  <si>
    <t>吾尔开西</t>
  </si>
  <si>
    <t>吾尔开希</t>
  </si>
  <si>
    <t>吾尔凯西</t>
  </si>
  <si>
    <t>吾吉买买提</t>
  </si>
  <si>
    <t>吴爱英</t>
  </si>
  <si>
    <t>吴百益</t>
  </si>
  <si>
    <t>吴昌德</t>
  </si>
  <si>
    <t>吴方城</t>
  </si>
  <si>
    <t>吴刚</t>
  </si>
  <si>
    <t>吴弘达</t>
  </si>
  <si>
    <t>吴宏达</t>
  </si>
  <si>
    <t>吴基传</t>
  </si>
  <si>
    <t>吴杰明</t>
  </si>
  <si>
    <t>吴琼花问</t>
  </si>
  <si>
    <t>吴仁华</t>
  </si>
  <si>
    <t>吴胜利</t>
  </si>
  <si>
    <t>吴新雄</t>
  </si>
  <si>
    <t>吴学灿</t>
  </si>
  <si>
    <t>吴学璨</t>
  </si>
  <si>
    <t>吴野渡</t>
  </si>
  <si>
    <t>吴玉良</t>
  </si>
  <si>
    <t>吳邦國</t>
  </si>
  <si>
    <t>吳幫國</t>
  </si>
  <si>
    <t>吳官正</t>
  </si>
  <si>
    <t>吳瓊花問</t>
  </si>
  <si>
    <t>吳儀</t>
  </si>
  <si>
    <t>梧桐文化</t>
  </si>
  <si>
    <t>無邦國</t>
  </si>
  <si>
    <t>無幫國</t>
  </si>
  <si>
    <t>無幫過</t>
  </si>
  <si>
    <t>無界</t>
  </si>
  <si>
    <t>無碼</t>
  </si>
  <si>
    <t>無碼H漫</t>
  </si>
  <si>
    <t>無碼彩圖</t>
  </si>
  <si>
    <t>無碼長片</t>
  </si>
  <si>
    <t>無碼電影</t>
  </si>
  <si>
    <t>無碼精選</t>
  </si>
  <si>
    <t>無碼炮圖</t>
  </si>
  <si>
    <t>無碼絲襪</t>
  </si>
  <si>
    <t>無碼體驗</t>
  </si>
  <si>
    <t>無碼無套</t>
  </si>
  <si>
    <t>無碼淫漫</t>
  </si>
  <si>
    <t>無碼淫女</t>
  </si>
  <si>
    <t>無碼做愛</t>
  </si>
  <si>
    <t>無毛美少女</t>
  </si>
  <si>
    <t>無毛穴</t>
  </si>
  <si>
    <t>無套內射</t>
  </si>
  <si>
    <t>無套自拍</t>
  </si>
  <si>
    <t>無網界</t>
  </si>
  <si>
    <t>無修正</t>
  </si>
  <si>
    <t>五不</t>
  </si>
  <si>
    <t>五出三进</t>
  </si>
  <si>
    <t>五大常委</t>
  </si>
  <si>
    <t>五个部长一个省长</t>
  </si>
  <si>
    <t>五毛党</t>
  </si>
  <si>
    <t>五奶小青</t>
  </si>
  <si>
    <t>五套功法</t>
  </si>
  <si>
    <t>五星宏辉</t>
  </si>
  <si>
    <t>五月天</t>
  </si>
  <si>
    <t>伍凡</t>
  </si>
  <si>
    <t>伍绍祖</t>
  </si>
  <si>
    <t>妩媚挑逗</t>
  </si>
  <si>
    <t>武汉办証</t>
  </si>
  <si>
    <t>武警</t>
  </si>
  <si>
    <t>武腾兰</t>
  </si>
  <si>
    <t>武藤</t>
  </si>
  <si>
    <t>武藤兰</t>
  </si>
  <si>
    <t>武藤蘭</t>
  </si>
  <si>
    <t>侮辱</t>
  </si>
  <si>
    <t>侮辱老师</t>
  </si>
  <si>
    <t>嫵媚挑逗</t>
  </si>
  <si>
    <t>误国</t>
  </si>
  <si>
    <t>夕樹舞子</t>
  </si>
  <si>
    <t>西北帮</t>
  </si>
  <si>
    <t>西藏</t>
  </si>
  <si>
    <t>西藏地震</t>
  </si>
  <si>
    <t>西藏独</t>
  </si>
  <si>
    <t>西藏獨立</t>
  </si>
  <si>
    <t>西藏国家民主党</t>
  </si>
  <si>
    <t>西藏國</t>
  </si>
  <si>
    <t>西藏基金会</t>
  </si>
  <si>
    <t>西藏流亡政府</t>
  </si>
  <si>
    <t>西藏论坛</t>
  </si>
  <si>
    <t>西藏青年大会</t>
  </si>
  <si>
    <t>西藏人民大起义运动</t>
  </si>
  <si>
    <t>西藏人权与民主</t>
  </si>
  <si>
    <t>西藏骚乱</t>
  </si>
  <si>
    <t>西藏网</t>
  </si>
  <si>
    <t>西藏信息中心</t>
  </si>
  <si>
    <t>西藏正义</t>
  </si>
  <si>
    <t>西藏之声</t>
  </si>
  <si>
    <t>西藏之页</t>
  </si>
  <si>
    <t>西藏作家组织</t>
  </si>
  <si>
    <t>西单民主墙</t>
  </si>
  <si>
    <t>西山会议</t>
  </si>
  <si>
    <t>西洋美女</t>
  </si>
  <si>
    <t>吸储</t>
  </si>
  <si>
    <t>吸儲</t>
  </si>
  <si>
    <t>吸精</t>
  </si>
  <si>
    <t>吸精少女</t>
  </si>
  <si>
    <t>吸其目哦轻易</t>
  </si>
  <si>
    <t>吸血莱恩</t>
  </si>
  <si>
    <t>吸血萊恩</t>
  </si>
  <si>
    <t>希望之声国际广播电台</t>
  </si>
  <si>
    <t>奚国华</t>
  </si>
  <si>
    <t>嘻遊中國</t>
  </si>
  <si>
    <t>嘻游中国</t>
  </si>
  <si>
    <t>习大大</t>
  </si>
  <si>
    <t>习主席</t>
  </si>
  <si>
    <t>袭击</t>
  </si>
  <si>
    <t>習大大</t>
  </si>
  <si>
    <t>習近平</t>
  </si>
  <si>
    <t>習遠平</t>
  </si>
  <si>
    <t>習主席</t>
  </si>
  <si>
    <t>襲近平</t>
  </si>
  <si>
    <t>洗肠射尿</t>
  </si>
  <si>
    <t>洗腸射尿</t>
  </si>
  <si>
    <t>洗脑</t>
  </si>
  <si>
    <t>洗瑙</t>
  </si>
  <si>
    <t>下法轮</t>
  </si>
  <si>
    <t>下贱</t>
  </si>
  <si>
    <t>下届总理人选</t>
  </si>
  <si>
    <t>下流地带</t>
  </si>
  <si>
    <t>下流地帶</t>
  </si>
  <si>
    <t>下体</t>
  </si>
  <si>
    <t>夏宝龙</t>
  </si>
  <si>
    <t>先奸後殺</t>
  </si>
  <si>
    <t>先天健康法</t>
  </si>
  <si>
    <t>嫌犯</t>
  </si>
  <si>
    <t>蘚鮑</t>
  </si>
  <si>
    <t>现代情色小说</t>
  </si>
  <si>
    <t>现代人的五大悲哀</t>
  </si>
  <si>
    <t>现代艳帝</t>
  </si>
  <si>
    <t>宪法</t>
  </si>
  <si>
    <t>宪政</t>
  </si>
  <si>
    <t>現代情色小說</t>
  </si>
  <si>
    <t>相互勾联</t>
  </si>
  <si>
    <t>相奸</t>
  </si>
  <si>
    <t>香港</t>
  </si>
  <si>
    <t>香港GHB水</t>
  </si>
  <si>
    <t>香港GHB水色粉</t>
  </si>
  <si>
    <t>香港彩宝必中六肖</t>
  </si>
  <si>
    <t>香港大游行</t>
  </si>
  <si>
    <t>香港国</t>
  </si>
  <si>
    <t>香港黄大仙</t>
  </si>
  <si>
    <t>香港惠泽社群</t>
  </si>
  <si>
    <t>香港六和采</t>
  </si>
  <si>
    <t>香港马会</t>
  </si>
  <si>
    <t>香港明报</t>
  </si>
  <si>
    <t>香港支联会</t>
  </si>
  <si>
    <t>香港总部</t>
  </si>
  <si>
    <t>香港总彩</t>
  </si>
  <si>
    <t>香功</t>
  </si>
  <si>
    <t>香烟型麻醉药</t>
  </si>
  <si>
    <t>向巴平措</t>
  </si>
  <si>
    <t>项怀诚</t>
  </si>
  <si>
    <t>项俊波</t>
  </si>
  <si>
    <t>项小吉</t>
  </si>
  <si>
    <t>项宗西</t>
  </si>
  <si>
    <t>肖钢</t>
  </si>
  <si>
    <t>肖捷</t>
  </si>
  <si>
    <t>肖强</t>
  </si>
  <si>
    <t>肖亚庆</t>
  </si>
  <si>
    <t>消业论</t>
  </si>
  <si>
    <t>消业之说</t>
  </si>
  <si>
    <t>硝化甘油</t>
  </si>
  <si>
    <t>硝化棉</t>
  </si>
  <si>
    <t>硝酸甘油</t>
  </si>
  <si>
    <t>销魂洞</t>
  </si>
  <si>
    <t>销售军用手枪</t>
  </si>
  <si>
    <t>銷魂洞</t>
  </si>
  <si>
    <t>小b</t>
  </si>
  <si>
    <t>小屄</t>
  </si>
  <si>
    <t>小逼</t>
  </si>
  <si>
    <t>小便</t>
  </si>
  <si>
    <t>小弟弟</t>
  </si>
  <si>
    <t>小电影</t>
  </si>
  <si>
    <t>小洞</t>
  </si>
  <si>
    <t>小活佛</t>
  </si>
  <si>
    <t>小雞雞</t>
  </si>
  <si>
    <t>小姐</t>
  </si>
  <si>
    <t>小姐打飞机</t>
  </si>
  <si>
    <t>小姐打飛機</t>
  </si>
  <si>
    <t>小口径步枪</t>
  </si>
  <si>
    <t>小来子</t>
  </si>
  <si>
    <t>小嫩鸡</t>
  </si>
  <si>
    <t>小嫩雞</t>
  </si>
  <si>
    <t>小泉恶搞</t>
  </si>
  <si>
    <t>小穴六四</t>
  </si>
  <si>
    <t>小姨子穴</t>
  </si>
  <si>
    <t>小泽玛莉亚</t>
  </si>
  <si>
    <t>小泽圆</t>
  </si>
  <si>
    <t>小澤園</t>
  </si>
  <si>
    <t>校花沉沦记</t>
  </si>
  <si>
    <t>校级复员军官</t>
  </si>
  <si>
    <t>校园静坐</t>
  </si>
  <si>
    <t>歇逼</t>
  </si>
  <si>
    <t>邪党</t>
  </si>
  <si>
    <t>邪恶</t>
  </si>
  <si>
    <t>邪恶党徒</t>
  </si>
  <si>
    <t>邪恶共产党</t>
  </si>
  <si>
    <t>邪恶江泽民</t>
  </si>
  <si>
    <t>邪恶势力</t>
  </si>
  <si>
    <t>写真</t>
  </si>
  <si>
    <t>寫真</t>
  </si>
  <si>
    <t>谢伏瞻</t>
  </si>
  <si>
    <t>谢国明</t>
  </si>
  <si>
    <t>谢杭生</t>
  </si>
  <si>
    <t>谢选骏</t>
  </si>
  <si>
    <t>谢长廷</t>
  </si>
  <si>
    <t>谢中之</t>
  </si>
  <si>
    <t>心藏大恶</t>
  </si>
  <si>
    <t>辛灏年</t>
  </si>
  <si>
    <t>辛维光汪民</t>
  </si>
  <si>
    <t>新八荣八耻</t>
  </si>
  <si>
    <t>新黨</t>
  </si>
  <si>
    <t>新观察论坛</t>
  </si>
  <si>
    <t>新国歌</t>
  </si>
  <si>
    <t>新华举报</t>
  </si>
  <si>
    <t>新华内情</t>
  </si>
  <si>
    <t>新华通论坛</t>
  </si>
  <si>
    <t>新疆75事件</t>
  </si>
  <si>
    <t>新疆暴乱</t>
  </si>
  <si>
    <t>新疆独</t>
  </si>
  <si>
    <t>新疆獨立</t>
  </si>
  <si>
    <t>新疆反恐纪实</t>
  </si>
  <si>
    <t>新疆國</t>
  </si>
  <si>
    <t>新生网</t>
  </si>
  <si>
    <t>新式军服</t>
  </si>
  <si>
    <t>新唐人</t>
  </si>
  <si>
    <t>新唐人电视台</t>
  </si>
  <si>
    <t>新唐人晚会</t>
  </si>
  <si>
    <t>新搪人电视台</t>
  </si>
  <si>
    <t>新闻封锁</t>
  </si>
  <si>
    <t>新闻自由导报</t>
  </si>
  <si>
    <t>新闻总署粗暴</t>
  </si>
  <si>
    <t>新聞管制</t>
  </si>
  <si>
    <t>新语丝</t>
  </si>
  <si>
    <t>新中华战记</t>
  </si>
  <si>
    <t>新诸侯</t>
  </si>
  <si>
    <t>金三胖</t>
  </si>
  <si>
    <t>鑫胖</t>
  </si>
  <si>
    <t>信用危机</t>
  </si>
  <si>
    <t>星火报</t>
  </si>
  <si>
    <t>星崎未來</t>
  </si>
  <si>
    <t>星亚网络影视公司</t>
  </si>
  <si>
    <t>刑法</t>
  </si>
  <si>
    <t>刑警</t>
  </si>
  <si>
    <t>刑讯</t>
  </si>
  <si>
    <t>邢铮</t>
  </si>
  <si>
    <t>兴华论谈</t>
  </si>
  <si>
    <t>性</t>
  </si>
  <si>
    <t>性爱电影</t>
  </si>
  <si>
    <t>性爱教育</t>
  </si>
  <si>
    <t>性爱擂台</t>
  </si>
  <si>
    <t>性爱图库</t>
  </si>
  <si>
    <t>性爱文字</t>
  </si>
  <si>
    <t>性愛插穴</t>
  </si>
  <si>
    <t>性愛電影</t>
  </si>
  <si>
    <t>性愛擂臺</t>
  </si>
  <si>
    <t>性愛圖庫</t>
  </si>
  <si>
    <t>性愛圖片</t>
  </si>
  <si>
    <t>性吧</t>
  </si>
  <si>
    <t>性伴侣</t>
  </si>
  <si>
    <t>性电影</t>
  </si>
  <si>
    <t>性服务</t>
  </si>
  <si>
    <t>性服务工作者</t>
  </si>
  <si>
    <t>性福人生</t>
  </si>
  <si>
    <t>性感</t>
  </si>
  <si>
    <t>性感克</t>
  </si>
  <si>
    <t>性感撲克</t>
  </si>
  <si>
    <t>性感肉丝</t>
  </si>
  <si>
    <t>性感肉絲</t>
  </si>
  <si>
    <t>性感乳娘</t>
  </si>
  <si>
    <t>性感沙滩</t>
  </si>
  <si>
    <t>性感沙灘</t>
  </si>
  <si>
    <t>性感妖娆</t>
  </si>
  <si>
    <t>性感妖嬈</t>
  </si>
  <si>
    <t>性感诱惑</t>
  </si>
  <si>
    <t>性感誘惑</t>
  </si>
  <si>
    <t>性虎</t>
  </si>
  <si>
    <t>性虎色网</t>
  </si>
  <si>
    <t>性虎色網</t>
  </si>
  <si>
    <t>性饥渴</t>
  </si>
  <si>
    <t>性饑渴</t>
  </si>
  <si>
    <t>性交大赛</t>
  </si>
  <si>
    <t>性交课</t>
  </si>
  <si>
    <t>性交課</t>
  </si>
  <si>
    <t>性交图</t>
  </si>
  <si>
    <t>性交圖</t>
  </si>
  <si>
    <t>性交吞精</t>
  </si>
  <si>
    <t>性交无码</t>
  </si>
  <si>
    <t>性交無碼</t>
  </si>
  <si>
    <t>性交易</t>
  </si>
  <si>
    <t>性交自拍</t>
  </si>
  <si>
    <t>性教官</t>
  </si>
  <si>
    <t>性经验</t>
  </si>
  <si>
    <t>性开放的</t>
  </si>
  <si>
    <t>性开放俱乐部</t>
  </si>
  <si>
    <t>性免费电影</t>
  </si>
  <si>
    <t>性奴会</t>
  </si>
  <si>
    <t>性奴會</t>
  </si>
  <si>
    <t>性启蒙老师</t>
  </si>
  <si>
    <t>性器</t>
  </si>
  <si>
    <t>性骚扰</t>
  </si>
  <si>
    <t>性色</t>
  </si>
  <si>
    <t>性色社区</t>
  </si>
  <si>
    <t>性网站</t>
  </si>
  <si>
    <t>性網站</t>
  </si>
  <si>
    <t>性息</t>
  </si>
  <si>
    <t>性学教授</t>
  </si>
  <si>
    <t>性佣</t>
  </si>
  <si>
    <t>性傭</t>
  </si>
  <si>
    <t>性游戏</t>
  </si>
  <si>
    <t>性友谊</t>
  </si>
  <si>
    <t>性战擂台</t>
  </si>
  <si>
    <t>性戰擂臺</t>
  </si>
  <si>
    <t>性之站</t>
  </si>
  <si>
    <t>兄弟会</t>
  </si>
  <si>
    <t>胸部</t>
  </si>
  <si>
    <t>胸濤乳浪</t>
  </si>
  <si>
    <t>胸罩</t>
  </si>
  <si>
    <t>熊维平</t>
  </si>
  <si>
    <t>熊炎</t>
  </si>
  <si>
    <t>熊焱</t>
  </si>
  <si>
    <t>修炼之歌</t>
  </si>
  <si>
    <t>羞耻母</t>
  </si>
  <si>
    <t>羞恥母</t>
  </si>
  <si>
    <t>宿命论</t>
  </si>
  <si>
    <t>徐邦秦</t>
  </si>
  <si>
    <t>徐才厚</t>
  </si>
  <si>
    <t>徐粉林</t>
  </si>
  <si>
    <t>徐敬业</t>
  </si>
  <si>
    <t>徐匡迪</t>
  </si>
  <si>
    <t>徐绍史</t>
  </si>
  <si>
    <t>徐守盛</t>
  </si>
  <si>
    <t>徐水良</t>
  </si>
  <si>
    <t>许达哲</t>
  </si>
  <si>
    <t>许家屯</t>
  </si>
  <si>
    <t>许其亮</t>
  </si>
  <si>
    <t>许耀元</t>
  </si>
  <si>
    <t>玄`机</t>
  </si>
  <si>
    <t>薛伟</t>
  </si>
  <si>
    <t>穴洞</t>
  </si>
  <si>
    <t>穴海</t>
  </si>
  <si>
    <t>穴口</t>
  </si>
  <si>
    <t>穴里</t>
  </si>
  <si>
    <t>穴前庭</t>
  </si>
  <si>
    <t>穴肉</t>
  </si>
  <si>
    <t>穴爽</t>
  </si>
  <si>
    <t>穴图</t>
  </si>
  <si>
    <t>穴圖</t>
  </si>
  <si>
    <t>穴穴</t>
  </si>
  <si>
    <t>穴淫</t>
  </si>
  <si>
    <t>学潮事件</t>
  </si>
  <si>
    <t>学联</t>
  </si>
  <si>
    <t>学生爱国运动正名</t>
  </si>
  <si>
    <t>学生暴动</t>
  </si>
  <si>
    <t>学生静坐</t>
  </si>
  <si>
    <t>学生妹</t>
  </si>
  <si>
    <t>学生信仰</t>
  </si>
  <si>
    <t>学生运动</t>
  </si>
  <si>
    <t>学院暴动</t>
  </si>
  <si>
    <t>学自联</t>
  </si>
  <si>
    <t>學生妹</t>
  </si>
  <si>
    <t>雪山狮子</t>
  </si>
  <si>
    <t>雪山狮子旗</t>
  </si>
  <si>
    <t>雪山獅子旗</t>
  </si>
  <si>
    <t>雪腿玉胯</t>
  </si>
  <si>
    <t>血溅人民天堂</t>
  </si>
  <si>
    <t>血卡</t>
  </si>
  <si>
    <t>血色京机</t>
  </si>
  <si>
    <t>血色京畿</t>
  </si>
  <si>
    <t>血色黎明</t>
  </si>
  <si>
    <t>血腥圖片</t>
  </si>
  <si>
    <t>寻找林昭的灵魂</t>
  </si>
  <si>
    <t>巡查</t>
  </si>
  <si>
    <t>荨麻疹</t>
  </si>
  <si>
    <t>循环轮回论</t>
  </si>
  <si>
    <t>压迫</t>
  </si>
  <si>
    <t>鴉片</t>
  </si>
  <si>
    <t>亚情</t>
  </si>
  <si>
    <t>亚热</t>
  </si>
  <si>
    <t>亚太正悟网</t>
  </si>
  <si>
    <t>亚洲床上色情</t>
  </si>
  <si>
    <t>亚洲美女总</t>
  </si>
  <si>
    <t>亚洲情色网</t>
  </si>
  <si>
    <t>亚洲色</t>
  </si>
  <si>
    <t>亚洲色图</t>
  </si>
  <si>
    <t>亚洲性虐</t>
  </si>
  <si>
    <t>亚洲淫娃</t>
  </si>
  <si>
    <t>亚洲有码</t>
  </si>
  <si>
    <t>亚洲自由电台</t>
  </si>
  <si>
    <t>亚洲自由之声</t>
  </si>
  <si>
    <t>亞歷山大</t>
  </si>
  <si>
    <t>亞情</t>
  </si>
  <si>
    <t>亞洲bt</t>
  </si>
  <si>
    <t>亞洲情色網</t>
  </si>
  <si>
    <t>亞洲色</t>
  </si>
  <si>
    <t>亞洲圖區</t>
  </si>
  <si>
    <t>亞洲性虐</t>
  </si>
  <si>
    <t>亞洲淫娃</t>
  </si>
  <si>
    <t>亞洲有碼</t>
  </si>
  <si>
    <t>严家其</t>
  </si>
  <si>
    <t>严家祺</t>
  </si>
  <si>
    <t>言禁</t>
  </si>
  <si>
    <t>盐雾试验箱</t>
  </si>
  <si>
    <t>阎明复</t>
  </si>
  <si>
    <t>颜骑</t>
  </si>
  <si>
    <t>颜射自拍</t>
  </si>
  <si>
    <t>閻王</t>
  </si>
  <si>
    <t>顏騎</t>
  </si>
  <si>
    <t>顏射</t>
  </si>
  <si>
    <t>顏射自拍</t>
  </si>
  <si>
    <t>艳妇淫女</t>
  </si>
  <si>
    <t>艳情小说</t>
  </si>
  <si>
    <t>艳乳</t>
  </si>
  <si>
    <t>艳舞</t>
  </si>
  <si>
    <t>艳舞淫业</t>
  </si>
  <si>
    <t>艳照</t>
  </si>
  <si>
    <t>燕南评论</t>
  </si>
  <si>
    <t>豔婦淫女</t>
  </si>
  <si>
    <t>豔情小說</t>
  </si>
  <si>
    <t>豔乳</t>
  </si>
  <si>
    <t>豔舞淫業</t>
  </si>
  <si>
    <t>豔照</t>
  </si>
  <si>
    <t>央视内部晚会</t>
  </si>
  <si>
    <t>阳萎</t>
  </si>
  <si>
    <t>杨传堂</t>
  </si>
  <si>
    <t>杨栋梁</t>
  </si>
  <si>
    <t>杨怀安</t>
  </si>
  <si>
    <t>杨焕宁</t>
  </si>
  <si>
    <t>杨建利</t>
  </si>
  <si>
    <t>杨洁篪</t>
  </si>
  <si>
    <t>杨金山</t>
  </si>
  <si>
    <t>杨晶</t>
  </si>
  <si>
    <t>杨立顺</t>
  </si>
  <si>
    <t>杨明生</t>
  </si>
  <si>
    <t>杨思敏</t>
  </si>
  <si>
    <t>杨巍</t>
  </si>
  <si>
    <t>杨晓渡</t>
  </si>
  <si>
    <t>杨月清</t>
  </si>
  <si>
    <t>杨志今</t>
  </si>
  <si>
    <t>杨周</t>
  </si>
  <si>
    <t>楊思敏</t>
  </si>
  <si>
    <t>养殖户的求救书</t>
  </si>
  <si>
    <t>妖媚熟母</t>
  </si>
  <si>
    <t>妖术</t>
  </si>
  <si>
    <t>姚月谦</t>
  </si>
  <si>
    <t>姚增科</t>
  </si>
  <si>
    <t>遥控炸弹</t>
  </si>
  <si>
    <t>咬着龟头</t>
  </si>
  <si>
    <t>咬著龜頭</t>
  </si>
  <si>
    <t>要色色</t>
  </si>
  <si>
    <t>要射了</t>
  </si>
  <si>
    <t>耶和華</t>
  </si>
  <si>
    <t>耶稣基督血水圣灵全备福音布道团</t>
  </si>
  <si>
    <t>爷</t>
  </si>
  <si>
    <t>爷爷</t>
  </si>
  <si>
    <t>爺</t>
  </si>
  <si>
    <t>爺爺</t>
  </si>
  <si>
    <t>野鸡</t>
  </si>
  <si>
    <t>野外性交</t>
  </si>
  <si>
    <t>业力回报</t>
  </si>
  <si>
    <t>业力轮</t>
  </si>
  <si>
    <t>叶青纯</t>
  </si>
  <si>
    <t>叶小文</t>
  </si>
  <si>
    <t>叶子楣</t>
  </si>
  <si>
    <t>夜半加税</t>
  </si>
  <si>
    <t>夜场兼职</t>
  </si>
  <si>
    <t>夜场女模特</t>
  </si>
  <si>
    <t>夜场招聘</t>
  </si>
  <si>
    <t>夜场直招</t>
  </si>
  <si>
    <t>夜话紫禁城</t>
  </si>
  <si>
    <t>夜激情</t>
  </si>
  <si>
    <t>夜勤病栋</t>
  </si>
  <si>
    <t>夜总会</t>
  </si>
  <si>
    <t>夜总会公关</t>
  </si>
  <si>
    <t>夜总会模特</t>
  </si>
  <si>
    <t>夜总会招聘</t>
  </si>
  <si>
    <t>夜總會</t>
  </si>
  <si>
    <t>液压马达</t>
  </si>
  <si>
    <t>葉劍英</t>
  </si>
  <si>
    <t>一般炸药制作</t>
  </si>
  <si>
    <t>一本道</t>
  </si>
  <si>
    <t>一邊一國</t>
  </si>
  <si>
    <t>一党</t>
  </si>
  <si>
    <t>一党独裁</t>
  </si>
  <si>
    <t>一黨</t>
  </si>
  <si>
    <t>一黨專政</t>
  </si>
  <si>
    <t>一个人的奥林匹克</t>
  </si>
  <si>
    <t>一貫道</t>
  </si>
  <si>
    <t>一级黄电视</t>
  </si>
  <si>
    <t>一军两策</t>
  </si>
  <si>
    <t>一码中特</t>
  </si>
  <si>
    <t>一四我周容重题工无亮</t>
  </si>
  <si>
    <t>一通功</t>
  </si>
  <si>
    <t>一夜欢</t>
  </si>
  <si>
    <t>一夜歡</t>
  </si>
  <si>
    <t>一夜情迷奸</t>
  </si>
  <si>
    <t>一夜性网</t>
  </si>
  <si>
    <t>一夜性網</t>
  </si>
  <si>
    <t>一字解特码</t>
  </si>
  <si>
    <t>伊波拉瘟疫</t>
  </si>
  <si>
    <t>伊東</t>
  </si>
  <si>
    <t>伊斯兰运动</t>
  </si>
  <si>
    <t>伊扎布特</t>
  </si>
  <si>
    <t>宜昌当阳县级市长</t>
  </si>
  <si>
    <t>遗忘药</t>
  </si>
  <si>
    <t>乙醚</t>
  </si>
  <si>
    <t>以身护法</t>
  </si>
  <si>
    <t>以血护法</t>
  </si>
  <si>
    <t>义解</t>
  </si>
  <si>
    <t>亦凡</t>
  </si>
  <si>
    <t>异氟烷</t>
  </si>
  <si>
    <t>异见人士</t>
  </si>
  <si>
    <t>异议人士</t>
  </si>
  <si>
    <t>易丹轩</t>
  </si>
  <si>
    <t>易趣在线购物</t>
  </si>
  <si>
    <t>易志熹</t>
  </si>
  <si>
    <t>阴chun</t>
  </si>
  <si>
    <t>阴dao</t>
  </si>
  <si>
    <t>阴di</t>
  </si>
  <si>
    <t>阴屄</t>
  </si>
  <si>
    <t>阴壁</t>
  </si>
  <si>
    <t>阴部特写</t>
  </si>
  <si>
    <t>阴纯</t>
  </si>
  <si>
    <t>阴道被捅</t>
  </si>
  <si>
    <t>阴道图片</t>
  </si>
  <si>
    <t>阴缔</t>
  </si>
  <si>
    <t>阴阜</t>
  </si>
  <si>
    <t>阴阜高耸</t>
  </si>
  <si>
    <t>阴护</t>
  </si>
  <si>
    <t>阴茎插小穴</t>
  </si>
  <si>
    <t>阴精</t>
  </si>
  <si>
    <t>阴胫</t>
  </si>
  <si>
    <t>阴毛小穴</t>
  </si>
  <si>
    <t>阴囊</t>
  </si>
  <si>
    <t>阴丘</t>
  </si>
  <si>
    <t>阴穴</t>
  </si>
  <si>
    <t>陰屄</t>
  </si>
  <si>
    <t>陰部特寫</t>
  </si>
  <si>
    <t>陰道圖片</t>
  </si>
  <si>
    <t>陰締</t>
  </si>
  <si>
    <t>陰阜</t>
  </si>
  <si>
    <t>陰阜高聳</t>
  </si>
  <si>
    <t>陰核</t>
  </si>
  <si>
    <t>陰户</t>
  </si>
  <si>
    <t>陰茎</t>
  </si>
  <si>
    <t>陰莖插小穴</t>
  </si>
  <si>
    <t>陰穴</t>
  </si>
  <si>
    <t>陰穴新玩法</t>
  </si>
  <si>
    <t>银民吧</t>
  </si>
  <si>
    <t>淫B</t>
  </si>
  <si>
    <t>淫の方程式</t>
  </si>
  <si>
    <t>淫暴</t>
  </si>
  <si>
    <t>淫屄</t>
  </si>
  <si>
    <t>淫逼</t>
  </si>
  <si>
    <t>淫痴</t>
  </si>
  <si>
    <t>淫癡</t>
  </si>
  <si>
    <t>淫虫</t>
  </si>
  <si>
    <t>淫蟲</t>
  </si>
  <si>
    <t>淫传</t>
  </si>
  <si>
    <t>淫唇</t>
  </si>
  <si>
    <t>淫荡贵妇</t>
  </si>
  <si>
    <t>淫蕩貴婦</t>
  </si>
  <si>
    <t>淫蕩少婦</t>
  </si>
  <si>
    <t>淫蕩丗家</t>
  </si>
  <si>
    <t>淫蕩孕婦</t>
  </si>
  <si>
    <t>淫道</t>
  </si>
  <si>
    <t>淫电影</t>
  </si>
  <si>
    <t>淫店</t>
  </si>
  <si>
    <t>淫东方</t>
  </si>
  <si>
    <t>淫東方</t>
  </si>
  <si>
    <t>淫妇</t>
  </si>
  <si>
    <t>淫妇自慰</t>
  </si>
  <si>
    <t>淫婦</t>
  </si>
  <si>
    <t>淫婦自慰</t>
  </si>
  <si>
    <t>淫告白</t>
  </si>
  <si>
    <t>淫棍</t>
  </si>
  <si>
    <t>淫河</t>
  </si>
  <si>
    <t>淫秽词语</t>
  </si>
  <si>
    <t>淫奸</t>
  </si>
  <si>
    <t>淫间道</t>
  </si>
  <si>
    <t>淫浆</t>
  </si>
  <si>
    <t>淫漿</t>
  </si>
  <si>
    <t>淫姐</t>
  </si>
  <si>
    <t>淫浪</t>
  </si>
  <si>
    <t>淫流</t>
  </si>
  <si>
    <t>淫乱电影</t>
  </si>
  <si>
    <t>淫乱工作</t>
  </si>
  <si>
    <t>淫乱熟女</t>
  </si>
  <si>
    <t>淫乱诊所</t>
  </si>
  <si>
    <t>淫亂</t>
  </si>
  <si>
    <t>淫亂潮吹</t>
  </si>
  <si>
    <t>淫亂電影</t>
  </si>
  <si>
    <t>淫亂工作</t>
  </si>
  <si>
    <t>淫亂熟女</t>
  </si>
  <si>
    <t>淫亂診所</t>
  </si>
  <si>
    <t>淫驴屯</t>
  </si>
  <si>
    <t>淫驢屯</t>
  </si>
  <si>
    <t>淫美贴图</t>
  </si>
  <si>
    <t>淫妹</t>
  </si>
  <si>
    <t>淫糜</t>
  </si>
  <si>
    <t>淫蜜</t>
  </si>
  <si>
    <t>淫民</t>
  </si>
  <si>
    <t>淫魔</t>
  </si>
  <si>
    <t>淫魔舞会</t>
  </si>
  <si>
    <t>淫母</t>
  </si>
  <si>
    <t>淫男</t>
  </si>
  <si>
    <t>淫娘</t>
  </si>
  <si>
    <t>淫妞</t>
  </si>
  <si>
    <t>淫奴</t>
  </si>
  <si>
    <t>淫虐</t>
  </si>
  <si>
    <t>淫女</t>
  </si>
  <si>
    <t>淫女炮图</t>
  </si>
  <si>
    <t>淫女炮圖</t>
  </si>
  <si>
    <t>淫片</t>
  </si>
  <si>
    <t>淫妻</t>
  </si>
  <si>
    <t>淫妻交换</t>
  </si>
  <si>
    <t>淫妻交換</t>
  </si>
  <si>
    <t>淫腔</t>
  </si>
  <si>
    <t>淫情</t>
  </si>
  <si>
    <t>淫情女教师</t>
  </si>
  <si>
    <t>淫情女老师</t>
  </si>
  <si>
    <t>淫情贴图</t>
  </si>
  <si>
    <t>淫肉诱惑</t>
  </si>
  <si>
    <t>淫肉誘惑</t>
  </si>
  <si>
    <t>淫色</t>
  </si>
  <si>
    <t>淫色贴图</t>
  </si>
  <si>
    <t>淫色貼圖</t>
  </si>
  <si>
    <t>淫色网站</t>
  </si>
  <si>
    <t>淫声</t>
  </si>
  <si>
    <t>淫声浪语</t>
  </si>
  <si>
    <t>淫聲浪語</t>
  </si>
  <si>
    <t>淫师荡母</t>
  </si>
  <si>
    <t>淫師蕩母</t>
  </si>
  <si>
    <t>淫兽</t>
  </si>
  <si>
    <t>淫兽学园</t>
  </si>
  <si>
    <t>淫獸學園</t>
  </si>
  <si>
    <t>淫书</t>
  </si>
  <si>
    <t>淫書</t>
  </si>
  <si>
    <t>淫术炼金士</t>
  </si>
  <si>
    <t>淫水爱液</t>
  </si>
  <si>
    <t>淫水愛液</t>
  </si>
  <si>
    <t>淫水翻騰</t>
  </si>
  <si>
    <t>淫水横流</t>
  </si>
  <si>
    <t>淫水横溢</t>
  </si>
  <si>
    <t>淫水橫流</t>
  </si>
  <si>
    <t>淫水橫溢</t>
  </si>
  <si>
    <t>淫水涟涟</t>
  </si>
  <si>
    <t>淫水漣漣</t>
  </si>
  <si>
    <t>淫水丝袜</t>
  </si>
  <si>
    <t>淫水絲襪</t>
  </si>
  <si>
    <t>淫水四溅</t>
  </si>
  <si>
    <t>淫水四濺</t>
  </si>
  <si>
    <t>淫丝荡袜</t>
  </si>
  <si>
    <t>淫絲蕩襪</t>
  </si>
  <si>
    <t>淫贴图</t>
  </si>
  <si>
    <t>淫图</t>
  </si>
  <si>
    <t>淫圖</t>
  </si>
  <si>
    <t>淫臀</t>
  </si>
  <si>
    <t>淫西</t>
  </si>
  <si>
    <t>淫样</t>
  </si>
  <si>
    <t>淫樣</t>
  </si>
  <si>
    <t>淫阴</t>
  </si>
  <si>
    <t>淫影</t>
  </si>
  <si>
    <t>淫影片</t>
  </si>
  <si>
    <t>淫影院</t>
  </si>
  <si>
    <t>淫欲日本</t>
  </si>
  <si>
    <t>淫欲世家</t>
  </si>
  <si>
    <t>淫战群P</t>
  </si>
  <si>
    <t>淫戰群P</t>
  </si>
  <si>
    <t>婬乱军团</t>
  </si>
  <si>
    <t>婬亂軍團</t>
  </si>
  <si>
    <t>婬水</t>
  </si>
  <si>
    <t>銀民吧</t>
  </si>
  <si>
    <t>尹晋华</t>
  </si>
  <si>
    <t>尹庆民</t>
  </si>
  <si>
    <t>尹蔚民</t>
  </si>
  <si>
    <t>引爆</t>
  </si>
  <si>
    <t>隐私1图片</t>
  </si>
  <si>
    <t>隐窝窝</t>
  </si>
  <si>
    <t>隱私1圖片</t>
  </si>
  <si>
    <t>隱窩窩</t>
  </si>
  <si>
    <t>隱形鏡</t>
  </si>
  <si>
    <t>隱形噴劑</t>
  </si>
  <si>
    <t>印尼抢劫华人资产</t>
  </si>
  <si>
    <t>印尼伊斯兰祈祷团</t>
  </si>
  <si>
    <t>英语枪手</t>
  </si>
  <si>
    <t>英语四六级答案</t>
  </si>
  <si>
    <t>英語槍手</t>
  </si>
  <si>
    <t>罌粟</t>
  </si>
  <si>
    <t>应召</t>
  </si>
  <si>
    <t>應召</t>
  </si>
  <si>
    <t>优化官员</t>
  </si>
  <si>
    <t>优昙婆罗花</t>
  </si>
  <si>
    <t>尤权</t>
  </si>
  <si>
    <t>由喜贵</t>
  </si>
  <si>
    <t>遊行</t>
  </si>
  <si>
    <t>遊戲管理員</t>
  </si>
  <si>
    <t>游行示威</t>
  </si>
  <si>
    <t>鈾</t>
  </si>
  <si>
    <t>有码片</t>
  </si>
  <si>
    <t>有碼</t>
  </si>
  <si>
    <t>有容奶大</t>
  </si>
  <si>
    <t>右派</t>
  </si>
  <si>
    <t>幼b</t>
  </si>
  <si>
    <t>幼逼</t>
  </si>
  <si>
    <t>幼齿</t>
  </si>
  <si>
    <t>幼妓</t>
  </si>
  <si>
    <t>幼交</t>
  </si>
  <si>
    <t>幼男</t>
  </si>
  <si>
    <t>幼女</t>
  </si>
  <si>
    <t>幼圖</t>
  </si>
  <si>
    <t>幼香阁</t>
  </si>
  <si>
    <t>幼香閣</t>
  </si>
  <si>
    <t>幼穴</t>
  </si>
  <si>
    <t>诱惑电影</t>
  </si>
  <si>
    <t>诱惑视频</t>
  </si>
  <si>
    <t>诱奸</t>
  </si>
  <si>
    <t>诱人双峰</t>
  </si>
  <si>
    <t>诱色uu</t>
  </si>
  <si>
    <t>誘惑視頻</t>
  </si>
  <si>
    <t>誘色uu</t>
  </si>
  <si>
    <t>於淼林</t>
  </si>
  <si>
    <t>於幼軍</t>
  </si>
  <si>
    <t>于春生</t>
  </si>
  <si>
    <t>于大海</t>
  </si>
  <si>
    <t>于广洲</t>
  </si>
  <si>
    <t>于浩成</t>
  </si>
  <si>
    <t>于幼军</t>
  </si>
  <si>
    <t>余传琮</t>
  </si>
  <si>
    <t>余欣荣</t>
  </si>
  <si>
    <t>余英时</t>
  </si>
  <si>
    <t>俞贵麟</t>
  </si>
  <si>
    <t>俞正聲</t>
  </si>
  <si>
    <t>舆论</t>
  </si>
  <si>
    <t>舆论反制</t>
  </si>
  <si>
    <t>宇明网</t>
  </si>
  <si>
    <t>宇宙真理</t>
  </si>
  <si>
    <t>宇宙主佛</t>
  </si>
  <si>
    <t>宇宙最高法理</t>
  </si>
  <si>
    <t>玉女吹箫</t>
  </si>
  <si>
    <t>玉蒲团</t>
  </si>
  <si>
    <t>玉蒲团玉女心经</t>
  </si>
  <si>
    <t>玉蒲團</t>
  </si>
  <si>
    <t>玉蒲團玉女心經</t>
  </si>
  <si>
    <t>玉乳</t>
  </si>
  <si>
    <t>玉穴</t>
  </si>
  <si>
    <t>浴尿</t>
  </si>
  <si>
    <t>浴室乱伦</t>
  </si>
  <si>
    <t>浴室亂倫</t>
  </si>
  <si>
    <t>浴室自拍</t>
  </si>
  <si>
    <t>预测领导人</t>
  </si>
  <si>
    <t>域名备案</t>
  </si>
  <si>
    <t>欲火</t>
  </si>
  <si>
    <t>欲生欲死</t>
  </si>
  <si>
    <t>欲望</t>
  </si>
  <si>
    <t>欲望格斗</t>
  </si>
  <si>
    <t>欲望格鬥</t>
  </si>
  <si>
    <t>欲望之血</t>
  </si>
  <si>
    <t>欲仙欲浪</t>
  </si>
  <si>
    <t>欲仙欲死</t>
  </si>
  <si>
    <t>御の二代目</t>
  </si>
  <si>
    <t>禦の二代目</t>
  </si>
  <si>
    <t>鬱慕明</t>
  </si>
  <si>
    <t>元极功</t>
  </si>
  <si>
    <t>元老蘭提沃德</t>
  </si>
  <si>
    <t>元老蘭提沃德）</t>
  </si>
  <si>
    <t>袁纯清</t>
  </si>
  <si>
    <t>袁贵仁</t>
  </si>
  <si>
    <t>袁伟民</t>
  </si>
  <si>
    <t>袁彦鹏</t>
  </si>
  <si>
    <t>原谅朱镕基</t>
  </si>
  <si>
    <t>原味丝袜</t>
  </si>
  <si>
    <t>原味絲襪</t>
  </si>
  <si>
    <t>原子弹的DIY制作</t>
  </si>
  <si>
    <t>原子弹的简易制法</t>
  </si>
  <si>
    <t>原子弹的理论</t>
  </si>
  <si>
    <t>原子弹制作方法</t>
  </si>
  <si>
    <t>原子弹专家</t>
  </si>
  <si>
    <t>原子彈</t>
  </si>
  <si>
    <t>圆满</t>
  </si>
  <si>
    <t>援交薄码</t>
  </si>
  <si>
    <t>援交薄碼</t>
  </si>
  <si>
    <t>援交自拍</t>
  </si>
  <si>
    <t>援助交易</t>
  </si>
  <si>
    <t>远程攻击</t>
  </si>
  <si>
    <t>远程炸弹</t>
  </si>
  <si>
    <t>远志明</t>
  </si>
  <si>
    <t>遠程偷拍</t>
  </si>
  <si>
    <t>约会强暴药</t>
  </si>
  <si>
    <t>岳武</t>
  </si>
  <si>
    <t>运营</t>
  </si>
  <si>
    <t>运营官</t>
  </si>
  <si>
    <t>运营人</t>
  </si>
  <si>
    <t>运营商</t>
  </si>
  <si>
    <t>运营长</t>
  </si>
  <si>
    <t>运营者</t>
  </si>
  <si>
    <t>运营组</t>
  </si>
  <si>
    <t>運營</t>
  </si>
  <si>
    <t>運營長</t>
  </si>
  <si>
    <t>運營官</t>
  </si>
  <si>
    <t>運營人</t>
  </si>
  <si>
    <t>運營商</t>
  </si>
  <si>
    <t>運營者</t>
  </si>
  <si>
    <t>運營組</t>
  </si>
  <si>
    <t>在家里做原子弹的方法</t>
  </si>
  <si>
    <t>在十月</t>
  </si>
  <si>
    <t>在押</t>
  </si>
  <si>
    <t>昝爱宗</t>
  </si>
  <si>
    <t>脏独</t>
  </si>
  <si>
    <t>臧献甫</t>
  </si>
  <si>
    <t>造爱</t>
  </si>
  <si>
    <t>则民</t>
  </si>
  <si>
    <t>择民</t>
  </si>
  <si>
    <t>泽东</t>
  </si>
  <si>
    <t>泽民</t>
  </si>
  <si>
    <t>泽民轮功</t>
  </si>
  <si>
    <t>贼民</t>
  </si>
  <si>
    <t>炸弹</t>
  </si>
  <si>
    <t>炸弹怎么做</t>
  </si>
  <si>
    <t>炸药</t>
  </si>
  <si>
    <t>炸药配方</t>
  </si>
  <si>
    <t>炸药制作方法</t>
  </si>
  <si>
    <t>佔領中環</t>
  </si>
  <si>
    <t>战斗条令</t>
  </si>
  <si>
    <t>战役学纲××××</t>
  </si>
  <si>
    <t>战争</t>
  </si>
  <si>
    <t>张宝顺</t>
  </si>
  <si>
    <t>张伯笠</t>
  </si>
  <si>
    <t>张昌平</t>
  </si>
  <si>
    <t>张春贤</t>
  </si>
  <si>
    <t>张钢</t>
  </si>
  <si>
    <t>张国清</t>
  </si>
  <si>
    <t>张海阳</t>
  </si>
  <si>
    <t>张宏堡</t>
  </si>
  <si>
    <t>张纪南</t>
  </si>
  <si>
    <t>张健</t>
  </si>
  <si>
    <t>张军</t>
  </si>
  <si>
    <t>张力</t>
  </si>
  <si>
    <t>张立军</t>
  </si>
  <si>
    <t>张林</t>
  </si>
  <si>
    <t>张茅</t>
  </si>
  <si>
    <t>张丕林</t>
  </si>
  <si>
    <t>张庆黎</t>
  </si>
  <si>
    <t>张庆伟</t>
  </si>
  <si>
    <t>张仕波</t>
  </si>
  <si>
    <t>张万年</t>
  </si>
  <si>
    <t>张伟国</t>
  </si>
  <si>
    <t>张五常</t>
  </si>
  <si>
    <t>张晓刚</t>
  </si>
  <si>
    <t>张晓兰</t>
  </si>
  <si>
    <t>张筱雨</t>
  </si>
  <si>
    <t>张阳</t>
  </si>
  <si>
    <t>张裔炯</t>
  </si>
  <si>
    <t>张毅</t>
  </si>
  <si>
    <t>张勇</t>
  </si>
  <si>
    <t>张又侠</t>
  </si>
  <si>
    <t>张昭富</t>
  </si>
  <si>
    <t>张志军</t>
  </si>
  <si>
    <t>张志清</t>
  </si>
  <si>
    <t>張春橋</t>
  </si>
  <si>
    <t>張德江</t>
  </si>
  <si>
    <t>張高麗</t>
  </si>
  <si>
    <t>張丕林</t>
  </si>
  <si>
    <t>張五常</t>
  </si>
  <si>
    <t>張小平</t>
  </si>
  <si>
    <t>張筱雨</t>
  </si>
  <si>
    <t>招妓</t>
  </si>
  <si>
    <t>找工总行</t>
  </si>
  <si>
    <t>找建总行</t>
  </si>
  <si>
    <t>找农总行</t>
  </si>
  <si>
    <t>找小姐</t>
  </si>
  <si>
    <t>找政府评理</t>
  </si>
  <si>
    <t>召妓</t>
  </si>
  <si>
    <t>赵海青</t>
  </si>
  <si>
    <t>赵洪祝</t>
  </si>
  <si>
    <t>赵克石</t>
  </si>
  <si>
    <t>赵克志</t>
  </si>
  <si>
    <t>赵乐际</t>
  </si>
  <si>
    <t>赵南</t>
  </si>
  <si>
    <t>赵品潞</t>
  </si>
  <si>
    <t>赵实</t>
  </si>
  <si>
    <t>赵铁锤</t>
  </si>
  <si>
    <t>赵晓微</t>
  </si>
  <si>
    <t>赵正永</t>
  </si>
  <si>
    <t>赵紫阳最后的机会</t>
  </si>
  <si>
    <t>赵宗岐</t>
  </si>
  <si>
    <t>哲民</t>
  </si>
  <si>
    <t>针孔</t>
  </si>
  <si>
    <t>针孔摄像</t>
  </si>
  <si>
    <t>针孔摄像机</t>
  </si>
  <si>
    <t>针孔偷拍</t>
  </si>
  <si>
    <t>真n善n忍</t>
  </si>
  <si>
    <t>真空度测试仪</t>
  </si>
  <si>
    <t>真名三退</t>
  </si>
  <si>
    <t>真善美</t>
  </si>
  <si>
    <t>真主党</t>
  </si>
  <si>
    <t>針孔攝像</t>
  </si>
  <si>
    <t>針孔偷拍</t>
  </si>
  <si>
    <t>偵探設備</t>
  </si>
  <si>
    <t>姫辱</t>
  </si>
  <si>
    <t>震撼中”文件</t>
  </si>
  <si>
    <t>镇压学生</t>
  </si>
  <si>
    <t>争鸣论坛</t>
  </si>
  <si>
    <t>争鸣杂志</t>
  </si>
  <si>
    <t>征途sf</t>
  </si>
  <si>
    <t>征途私服</t>
  </si>
  <si>
    <t>拯救紫坪铺</t>
  </si>
  <si>
    <t>整肃官场</t>
  </si>
  <si>
    <t>整形美容</t>
  </si>
  <si>
    <t>正法</t>
  </si>
  <si>
    <t>正法时期</t>
  </si>
  <si>
    <t>正见网</t>
  </si>
  <si>
    <t>正见周刊</t>
  </si>
  <si>
    <t>正念正行</t>
  </si>
  <si>
    <t>正派民运</t>
  </si>
  <si>
    <t>正清网</t>
  </si>
  <si>
    <t>正悟网</t>
  </si>
  <si>
    <t>正邪大决战</t>
  </si>
  <si>
    <t>正义党论坛</t>
  </si>
  <si>
    <t>证监会</t>
  </si>
  <si>
    <t>证件</t>
  </si>
  <si>
    <t>证件办理</t>
  </si>
  <si>
    <t>郑国光</t>
  </si>
  <si>
    <t>郑卫平</t>
  </si>
  <si>
    <t>郑义</t>
  </si>
  <si>
    <t>政變</t>
  </si>
  <si>
    <t>政策</t>
  </si>
  <si>
    <t>政府软弱</t>
  </si>
  <si>
    <t>政府无能</t>
  </si>
  <si>
    <t>政协</t>
  </si>
  <si>
    <t>政治变革</t>
  </si>
  <si>
    <t>政治恶棍</t>
  </si>
  <si>
    <t>政治风波</t>
  </si>
  <si>
    <t>政治局</t>
  </si>
  <si>
    <t>政治小丑</t>
  </si>
  <si>
    <t>政治侦察学×××××</t>
  </si>
  <si>
    <t>支持台湾</t>
  </si>
  <si>
    <t>支联会</t>
  </si>
  <si>
    <t>支树平</t>
  </si>
  <si>
    <t>脂溢性皮炎</t>
  </si>
  <si>
    <t>值勤</t>
  </si>
  <si>
    <t>值勤账号</t>
  </si>
  <si>
    <t>职业托福枪手</t>
  </si>
  <si>
    <t>指导员</t>
  </si>
  <si>
    <t>指点江山论坛</t>
  </si>
  <si>
    <t>指幽娘</t>
  </si>
  <si>
    <t>制服美妇</t>
  </si>
  <si>
    <t>制服美婦</t>
  </si>
  <si>
    <t>制服狩</t>
  </si>
  <si>
    <t>制服誘惑</t>
  </si>
  <si>
    <t>制作原子弹</t>
  </si>
  <si>
    <t>制作原子弹新闻</t>
  </si>
  <si>
    <t>制作炸弹首先要制作炸药</t>
  </si>
  <si>
    <t>质检局</t>
  </si>
  <si>
    <t>治安</t>
  </si>
  <si>
    <t>致胡书记的公开信</t>
  </si>
  <si>
    <t>致幻剂</t>
  </si>
  <si>
    <t>致死</t>
  </si>
  <si>
    <t>中俄边界新约</t>
  </si>
  <si>
    <t>中俄密约</t>
  </si>
  <si>
    <t>中功</t>
  </si>
  <si>
    <t>中共暴政</t>
  </si>
  <si>
    <t>中共当局</t>
  </si>
  <si>
    <t>中共党魁</t>
  </si>
  <si>
    <t>中共第六代</t>
  </si>
  <si>
    <t>中共独裁</t>
  </si>
  <si>
    <t>中共独枭</t>
  </si>
  <si>
    <t>中共恶霸</t>
  </si>
  <si>
    <t>中共监狱</t>
  </si>
  <si>
    <t>中共警察</t>
  </si>
  <si>
    <t>中共内斗</t>
  </si>
  <si>
    <t>中共迫害</t>
  </si>
  <si>
    <t>中共十七大幕前戏</t>
  </si>
  <si>
    <t>中共太子</t>
  </si>
  <si>
    <t>中共统治</t>
  </si>
  <si>
    <t>中共亡</t>
  </si>
  <si>
    <t>中共王朝</t>
  </si>
  <si>
    <t>中共伪政权</t>
  </si>
  <si>
    <t>中共心中最大的恐惧</t>
  </si>
  <si>
    <t>中共政权</t>
  </si>
  <si>
    <t>中共政坛腐败内幕</t>
  </si>
  <si>
    <t>中共政治流氓</t>
  </si>
  <si>
    <t>中共政治新星</t>
  </si>
  <si>
    <t>中共中央</t>
  </si>
  <si>
    <t>中共中央材料</t>
  </si>
  <si>
    <t>中共中央大换血</t>
  </si>
  <si>
    <t>中共中央黑幕</t>
  </si>
  <si>
    <t>中共中央文件</t>
  </si>
  <si>
    <t>中共中央资料</t>
  </si>
  <si>
    <t>中共专制</t>
  </si>
  <si>
    <t>中共走狗</t>
  </si>
  <si>
    <t>中国</t>
  </si>
  <si>
    <t>中国报禁</t>
  </si>
  <si>
    <t>中国成人论坛</t>
  </si>
  <si>
    <t>中国泛蓝联盟</t>
  </si>
  <si>
    <t>中国复兴论坛</t>
  </si>
  <si>
    <t>中国改革年代政治斗争</t>
  </si>
  <si>
    <t>中国高层权力斗争</t>
  </si>
  <si>
    <t>中国高层人事变动解读</t>
  </si>
  <si>
    <t>中国革命党</t>
  </si>
  <si>
    <t>中国共产党</t>
  </si>
  <si>
    <t>中国共产党亡</t>
  </si>
  <si>
    <t>中国孤儿院</t>
  </si>
  <si>
    <t>中国国家领导人子女任职名单</t>
  </si>
  <si>
    <t>中国海外腐败兵团</t>
  </si>
  <si>
    <t>中国六四真相</t>
  </si>
  <si>
    <t>中国民主党联合总部</t>
  </si>
  <si>
    <t>中国社会的艾滋病</t>
  </si>
  <si>
    <t>中国社会进步党</t>
  </si>
  <si>
    <t>中国社会论坛</t>
  </si>
  <si>
    <t>中国问题论坛</t>
  </si>
  <si>
    <t>中国性爱城</t>
  </si>
  <si>
    <t>中国在统一问题上的投降主义</t>
  </si>
  <si>
    <t>中国真实内容</t>
  </si>
  <si>
    <t>中国政坛“明日之星”</t>
  </si>
  <si>
    <t>中国政坛“清华帮”盛极而衰</t>
  </si>
  <si>
    <t>中国政坛新星</t>
  </si>
  <si>
    <t>中国政坛新星中的四大天王</t>
  </si>
  <si>
    <t>中国政治新星</t>
  </si>
  <si>
    <t>中国猪</t>
  </si>
  <si>
    <t>中國成人論壇</t>
  </si>
  <si>
    <t>中國當局</t>
  </si>
  <si>
    <t>中國國家領導人子女任職名單</t>
  </si>
  <si>
    <t>中國性愛城</t>
  </si>
  <si>
    <t>中國豬</t>
  </si>
  <si>
    <t>中华大地思考</t>
  </si>
  <si>
    <t>中华大众</t>
  </si>
  <si>
    <t>中华讲清</t>
  </si>
  <si>
    <t>中华联邦政府</t>
  </si>
  <si>
    <t>中华人民共和国</t>
  </si>
  <si>
    <t>中华人民实话实说</t>
  </si>
  <si>
    <t>中华人民正邪</t>
  </si>
  <si>
    <t>中华时事</t>
  </si>
  <si>
    <t>中华养生益智功</t>
  </si>
  <si>
    <t>中华真实报道</t>
  </si>
  <si>
    <t>中科院</t>
  </si>
  <si>
    <t>中南海的权利游戏</t>
  </si>
  <si>
    <t>中南海斗争</t>
  </si>
  <si>
    <t>中南海高层权利斗争</t>
  </si>
  <si>
    <t>中南海惊现东宫小朝廷</t>
  </si>
  <si>
    <t>中南海秘闻</t>
  </si>
  <si>
    <t>中南海内斗</t>
  </si>
  <si>
    <t>中南海内幕</t>
  </si>
  <si>
    <t>中南海浓云密布</t>
  </si>
  <si>
    <t>中年美妇</t>
  </si>
  <si>
    <t>中年美婦</t>
  </si>
  <si>
    <t>中文搜性网</t>
  </si>
  <si>
    <t>中文搜性網</t>
  </si>
  <si>
    <t>中央</t>
  </si>
  <si>
    <t>中央电视台</t>
  </si>
  <si>
    <t>中央文件</t>
  </si>
  <si>
    <t>中央政治局</t>
  </si>
  <si>
    <t>中央资料</t>
  </si>
  <si>
    <t>中医药局</t>
  </si>
  <si>
    <t>钟山风雨论坛</t>
  </si>
  <si>
    <t>重庆服装厂</t>
  </si>
  <si>
    <t>重庆钢构</t>
  </si>
  <si>
    <t>重庆婚纱摄影</t>
  </si>
  <si>
    <t>重庆滤油机</t>
  </si>
  <si>
    <t>重庆木门厂</t>
  </si>
  <si>
    <t>重庆网站建设</t>
  </si>
  <si>
    <t>重庆物业公司</t>
  </si>
  <si>
    <t>周本顺</t>
  </si>
  <si>
    <t>周恩来忏悔</t>
  </si>
  <si>
    <t>周恩来后悔</t>
  </si>
  <si>
    <t>周恩来自责</t>
  </si>
  <si>
    <t>周福启</t>
  </si>
  <si>
    <t>周济</t>
  </si>
  <si>
    <t>周刊纪事</t>
  </si>
  <si>
    <t>周六性吧</t>
  </si>
  <si>
    <t>周强</t>
  </si>
  <si>
    <t>周容重</t>
  </si>
  <si>
    <t>周生贤</t>
  </si>
  <si>
    <t>周守訓</t>
  </si>
  <si>
    <t>周水同志在全省计划工交工作会议上的报告</t>
  </si>
  <si>
    <t>周天法</t>
  </si>
  <si>
    <t>周英</t>
  </si>
  <si>
    <t>周泽民</t>
  </si>
  <si>
    <t>週六性吧</t>
  </si>
  <si>
    <t>軸永康</t>
  </si>
  <si>
    <t>碡</t>
  </si>
  <si>
    <t>朱F基</t>
  </si>
  <si>
    <t>朱福熙</t>
  </si>
  <si>
    <t>朱駿</t>
  </si>
  <si>
    <t>朱蒙</t>
  </si>
  <si>
    <t>朱鎔基</t>
  </si>
  <si>
    <t>朱小丹</t>
  </si>
  <si>
    <t>朱颜血</t>
  </si>
  <si>
    <t>猪哥6合网中国网址联盟</t>
  </si>
  <si>
    <t>豬操</t>
  </si>
  <si>
    <t>豬毛</t>
  </si>
  <si>
    <t>主席复活</t>
  </si>
  <si>
    <t>主席资料</t>
  </si>
  <si>
    <t>助理</t>
  </si>
  <si>
    <t>专业代考</t>
  </si>
  <si>
    <t>转10法10轮</t>
  </si>
  <si>
    <t>轉法輪</t>
  </si>
  <si>
    <t>裝B</t>
  </si>
  <si>
    <t>裝逼</t>
  </si>
  <si>
    <t>壮阳药</t>
  </si>
  <si>
    <t>啄木鸟公司</t>
  </si>
  <si>
    <t>啄木鳥公司</t>
  </si>
  <si>
    <t>子弹</t>
  </si>
  <si>
    <t>自殘</t>
  </si>
  <si>
    <t>自插小穴</t>
  </si>
  <si>
    <t>自摸</t>
  </si>
  <si>
    <t>自拍</t>
  </si>
  <si>
    <t>自拍美穴</t>
  </si>
  <si>
    <t>自拍写真</t>
  </si>
  <si>
    <t>自拍寫真</t>
  </si>
  <si>
    <t>自杀</t>
  </si>
  <si>
    <t>自殺手冊</t>
  </si>
  <si>
    <t>自殺指南</t>
  </si>
  <si>
    <t>自慰抠穴</t>
  </si>
  <si>
    <t>自慰摳穴</t>
  </si>
  <si>
    <t>自缢</t>
  </si>
  <si>
    <t>自由蒙古在线</t>
  </si>
  <si>
    <t>自由网</t>
  </si>
  <si>
    <t>自由西藏</t>
  </si>
  <si>
    <t>自由西藏学生运动</t>
  </si>
  <si>
    <t>自由亚州</t>
  </si>
  <si>
    <t>自由亚洲电台</t>
  </si>
  <si>
    <t>自由之门</t>
  </si>
  <si>
    <t>自制枪</t>
  </si>
  <si>
    <t>自制手槍</t>
  </si>
  <si>
    <t>自制原子弹</t>
  </si>
  <si>
    <t>自主择业军官</t>
  </si>
  <si>
    <t>宗教迫害</t>
  </si>
  <si>
    <t>宗教压迫</t>
  </si>
  <si>
    <t>总理接班人</t>
  </si>
  <si>
    <t>总书记</t>
  </si>
  <si>
    <t>邹家华</t>
  </si>
  <si>
    <t>鯫</t>
  </si>
  <si>
    <t>走光偷拍</t>
  </si>
  <si>
    <t>走向圓滿</t>
  </si>
  <si>
    <t>足脚交</t>
  </si>
  <si>
    <t>足腳交</t>
  </si>
  <si>
    <t>足球博彩</t>
  </si>
  <si>
    <t>阻止中华人民共和国统</t>
  </si>
  <si>
    <t>祖宗</t>
  </si>
  <si>
    <t>钻插</t>
  </si>
  <si>
    <t>鑽插</t>
  </si>
  <si>
    <t>最高绝密新闻</t>
  </si>
  <si>
    <t>最快报码室</t>
  </si>
  <si>
    <t>最新黄站</t>
  </si>
  <si>
    <t>最淫官员</t>
  </si>
  <si>
    <t>嘬</t>
  </si>
  <si>
    <t>阝</t>
  </si>
  <si>
    <t>左派</t>
  </si>
  <si>
    <t>坐交</t>
  </si>
  <si>
    <t>坐莊</t>
  </si>
  <si>
    <t>做ai</t>
  </si>
  <si>
    <t>做爱电影</t>
  </si>
  <si>
    <t>做爱挑逗</t>
  </si>
  <si>
    <t>做爱图片</t>
  </si>
  <si>
    <t>做爱自拍</t>
  </si>
  <si>
    <t>做愛電影</t>
  </si>
  <si>
    <t>做愛圖片</t>
  </si>
  <si>
    <t>做愛自拍</t>
  </si>
  <si>
    <t>做鸡</t>
  </si>
  <si>
    <t>做雞</t>
  </si>
  <si>
    <t>做鸭</t>
  </si>
  <si>
    <t>做原子弹</t>
  </si>
  <si>
    <t>SB123</t>
  </si>
  <si>
    <t>爱的家庭</t>
  </si>
  <si>
    <t>屌丝屌炸天</t>
  </si>
  <si>
    <t>共青团</t>
  </si>
  <si>
    <t>狗男女</t>
  </si>
  <si>
    <t>击杀</t>
  </si>
  <si>
    <t>家庭国际</t>
  </si>
  <si>
    <t>解放组织</t>
  </si>
  <si>
    <t>砍人</t>
  </si>
  <si>
    <t>砍死</t>
  </si>
  <si>
    <t>连杀</t>
  </si>
  <si>
    <t>连斩</t>
  </si>
  <si>
    <t>灵山真佛宗</t>
  </si>
  <si>
    <t>买卖毒品</t>
  </si>
  <si>
    <t>女仆</t>
  </si>
  <si>
    <t>仆从</t>
  </si>
  <si>
    <t>抢夺</t>
  </si>
  <si>
    <t>全范围议会</t>
  </si>
  <si>
    <t>全能教</t>
  </si>
  <si>
    <t>全能神教</t>
  </si>
  <si>
    <t>特朗普</t>
  </si>
  <si>
    <t>屠戮大师</t>
  </si>
  <si>
    <t>侮辱性语言</t>
  </si>
  <si>
    <t>小泽玛利亚</t>
  </si>
  <si>
    <t>新疆势力</t>
  </si>
  <si>
    <t>真主</t>
  </si>
  <si>
    <t>Snd-BLHL-001</t>
  </si>
  <si>
    <t>Snd-BLHL-002</t>
  </si>
  <si>
    <t>Snd-BLHL-003</t>
  </si>
  <si>
    <t>Snd-BLHL-004</t>
  </si>
  <si>
    <t>Snd-BLHL-005</t>
  </si>
  <si>
    <t>加盾</t>
    <phoneticPr fontId="7" type="noConversion"/>
  </si>
  <si>
    <t>加速</t>
    <phoneticPr fontId="7" type="noConversion"/>
  </si>
  <si>
    <t>变大</t>
    <phoneticPr fontId="7" type="noConversion"/>
  </si>
  <si>
    <t>加血</t>
    <phoneticPr fontId="7" type="noConversion"/>
  </si>
  <si>
    <t>眩晕</t>
    <phoneticPr fontId="1" type="noConversion"/>
  </si>
  <si>
    <t>狂暴</t>
    <phoneticPr fontId="1" type="noConversion"/>
  </si>
  <si>
    <t>减速</t>
    <phoneticPr fontId="1" type="noConversion"/>
  </si>
  <si>
    <t>冰冻</t>
    <phoneticPr fontId="1" type="noConversion"/>
  </si>
  <si>
    <t>冰冻 lv1</t>
    <phoneticPr fontId="7" type="noConversion"/>
  </si>
  <si>
    <t>IT</t>
    <phoneticPr fontId="7" type="noConversion"/>
  </si>
  <si>
    <t>soundTime</t>
    <phoneticPr fontId="7" type="noConversion"/>
  </si>
  <si>
    <t>音效时间</t>
    <phoneticPr fontId="7" type="noConversion"/>
  </si>
  <si>
    <t>0.3;0.3</t>
    <phoneticPr fontId="1" type="noConversion"/>
  </si>
  <si>
    <t>Snd-SML-001-1</t>
    <phoneticPr fontId="7" type="noConversion"/>
  </si>
  <si>
    <t>Snd-SML-001-3</t>
    <phoneticPr fontId="7" type="noConversion"/>
  </si>
  <si>
    <t>Snd-JYD-001-1</t>
    <phoneticPr fontId="7" type="noConversion"/>
  </si>
  <si>
    <t>Snd-JYD-001-3</t>
    <phoneticPr fontId="7" type="noConversion"/>
  </si>
  <si>
    <t>Snd-JBN-001-1</t>
    <phoneticPr fontId="7" type="noConversion"/>
  </si>
  <si>
    <t>Snd-JBN-001-2</t>
    <phoneticPr fontId="7" type="noConversion"/>
  </si>
  <si>
    <t>Snd-JBN-001-3</t>
    <phoneticPr fontId="7" type="noConversion"/>
  </si>
  <si>
    <t>Snd-JBN-002-loop</t>
    <phoneticPr fontId="7" type="noConversion"/>
  </si>
  <si>
    <t>trap_09</t>
  </si>
  <si>
    <t>trap_10</t>
  </si>
  <si>
    <t>bing_di</t>
  </si>
  <si>
    <t>fengkou</t>
  </si>
  <si>
    <t>bing</t>
  </si>
  <si>
    <t>E_trap_09_bao</t>
  </si>
  <si>
    <t>中毒 lv1</t>
    <phoneticPr fontId="7" type="noConversion"/>
  </si>
  <si>
    <t>I</t>
    <phoneticPr fontId="7" type="noConversion"/>
  </si>
  <si>
    <t>trapId</t>
    <phoneticPr fontId="7" type="noConversion"/>
  </si>
  <si>
    <t>生成陷阱id</t>
    <phoneticPr fontId="7" type="noConversion"/>
  </si>
  <si>
    <t>yanjiang_kou</t>
    <phoneticPr fontId="7" type="noConversion"/>
  </si>
  <si>
    <t>yanjiang_yan</t>
    <phoneticPr fontId="7" type="noConversion"/>
  </si>
  <si>
    <t>yanjiang</t>
    <phoneticPr fontId="7" type="noConversion"/>
  </si>
  <si>
    <t>生成其他陷阱</t>
    <phoneticPr fontId="7" type="noConversion"/>
  </si>
  <si>
    <t>陷阱</t>
    <phoneticPr fontId="7" type="noConversion"/>
  </si>
  <si>
    <t>蘑菇</t>
    <phoneticPr fontId="7" type="noConversion"/>
  </si>
  <si>
    <t>风口</t>
    <phoneticPr fontId="7" type="noConversion"/>
  </si>
  <si>
    <t>冰刺</t>
    <phoneticPr fontId="7" type="noConversion"/>
  </si>
  <si>
    <t>岩浆</t>
    <phoneticPr fontId="7" type="noConversion"/>
  </si>
  <si>
    <t>E_boss_03_atk01</t>
  </si>
  <si>
    <t>E_boss_03_atk01_hit</t>
  </si>
  <si>
    <t>E_boss_03_atk02</t>
  </si>
  <si>
    <t>E_boss_03_atk03</t>
  </si>
  <si>
    <t>E_boss_03_atk04</t>
    <phoneticPr fontId="7" type="noConversion"/>
  </si>
  <si>
    <t>E_boss_03_atk05</t>
  </si>
  <si>
    <t>E_boss_03_atk05_hit</t>
  </si>
  <si>
    <t>E_boss_03_ready</t>
  </si>
  <si>
    <t>E_boss_04_atk01</t>
  </si>
  <si>
    <t>E_boss_04_atk02</t>
  </si>
  <si>
    <t>E_boss_04_atk03</t>
  </si>
  <si>
    <t>E_boss_04_atk04</t>
  </si>
  <si>
    <t>E_boss_04_atk05_hit</t>
  </si>
  <si>
    <t>E_boss_04_ready</t>
  </si>
  <si>
    <t>E_boss_05_atk01</t>
  </si>
  <si>
    <t>E_boss_05_atk02</t>
  </si>
  <si>
    <t>E_boss_05_atk03</t>
  </si>
  <si>
    <t>E_boss_05_atk05</t>
  </si>
  <si>
    <t>E_boss_05_ready</t>
  </si>
  <si>
    <t>E_boss_06_atk01</t>
  </si>
  <si>
    <t>E_boss_06_atk02</t>
  </si>
  <si>
    <t>E_boss_06_atk03</t>
  </si>
  <si>
    <t>E_boss_06_atk05_hit</t>
  </si>
  <si>
    <t>E_boss_06_ready</t>
  </si>
  <si>
    <t>Boss3</t>
  </si>
  <si>
    <t>Boss4</t>
  </si>
  <si>
    <t>Boss5</t>
  </si>
  <si>
    <t>Boss6</t>
  </si>
  <si>
    <t>Model/Monster/Boss02/prefab</t>
  </si>
  <si>
    <t>Model/Monster/Boss03/prefab</t>
  </si>
  <si>
    <t>Model/Monster/Boss04/prefab</t>
  </si>
  <si>
    <t>Model/Monster/Boss05/prefab</t>
  </si>
  <si>
    <t>Model/Monster/Boss06/prefab</t>
  </si>
  <si>
    <t>5301;5302;5303;5304;5305</t>
    <phoneticPr fontId="7" type="noConversion"/>
  </si>
  <si>
    <t>5401;5402;5403;5404;5405</t>
    <phoneticPr fontId="7" type="noConversion"/>
  </si>
  <si>
    <t>5501;5502;5503;5504;5505</t>
    <phoneticPr fontId="7" type="noConversion"/>
  </si>
  <si>
    <t>5601;5602;5603;5604;5605</t>
    <phoneticPr fontId="7" type="noConversion"/>
  </si>
  <si>
    <t>{{id=5301,hp=100,rate=2},{id=5302,hp=100,rate=2},{id=5303,hp=100,rate=2},{id=5304,hp=100,rate=1},{id=5305,hp=100,rate=2}}</t>
    <phoneticPr fontId="7" type="noConversion"/>
  </si>
  <si>
    <t>{{id=5401,hp=100,rate=2},{id=5402,hp=100,rate=2},{id=5403,hp=100,rate=2},{id=5404,hp=100,rate=1},{id=5405,hp=100,rate=2}}</t>
    <phoneticPr fontId="7" type="noConversion"/>
  </si>
  <si>
    <t>{{id=5501,hp=100,rate=2},{id=5502,hp=100,rate=2},{id=5503,hp=100,rate=2},{id=5504,hp=100,rate=1},{id=5505,hp=100,rate=2}}</t>
    <phoneticPr fontId="7" type="noConversion"/>
  </si>
  <si>
    <t>{{id=5601,hp=100,rate=2},{id=5602,hp=100,rate=2},{id=5603,hp=100,rate=2},{id=5604,hp=100,rate=1},{id=5605,hp=100,rate=2}}</t>
    <phoneticPr fontId="7" type="noConversion"/>
  </si>
  <si>
    <t xml:space="preserve">boss3 atk1 </t>
    <phoneticPr fontId="7" type="noConversion"/>
  </si>
  <si>
    <t>boss3 atk2</t>
  </si>
  <si>
    <t>boss3 atk3</t>
  </si>
  <si>
    <t>boss3 atk4</t>
  </si>
  <si>
    <t>boss3 atk5</t>
  </si>
  <si>
    <t xml:space="preserve">boss4 atk1 </t>
    <phoneticPr fontId="7" type="noConversion"/>
  </si>
  <si>
    <t>boss4 atk2</t>
  </si>
  <si>
    <t>boss4 atk3</t>
  </si>
  <si>
    <t>boss4 atk4</t>
  </si>
  <si>
    <t>boss4 atk5</t>
  </si>
  <si>
    <t xml:space="preserve">boss5 atk1 </t>
    <phoneticPr fontId="7" type="noConversion"/>
  </si>
  <si>
    <t>boss5 atk2</t>
  </si>
  <si>
    <t>boss5 atk3</t>
  </si>
  <si>
    <t>boss5 atk4</t>
  </si>
  <si>
    <t>boss5 atk5</t>
  </si>
  <si>
    <t xml:space="preserve">boss6 atk1 </t>
    <phoneticPr fontId="7" type="noConversion"/>
  </si>
  <si>
    <t>boss6 atk2</t>
  </si>
  <si>
    <t>boss6 atk3</t>
  </si>
  <si>
    <t>boss6 atk4</t>
  </si>
  <si>
    <t>boss6 atk5</t>
  </si>
  <si>
    <t>藤曼</t>
    <phoneticPr fontId="7" type="noConversion"/>
  </si>
  <si>
    <t>激光</t>
    <phoneticPr fontId="7" type="noConversion"/>
  </si>
  <si>
    <t>护盾</t>
    <phoneticPr fontId="7" type="noConversion"/>
  </si>
  <si>
    <t>旋转</t>
    <phoneticPr fontId="7" type="noConversion"/>
  </si>
  <si>
    <t>连续</t>
    <phoneticPr fontId="7" type="noConversion"/>
  </si>
  <si>
    <t>0.2;0.2;0.2;0.2;0.2;0.2;0.2;0.2;0.2;0.2;0.2;0.2;0.2;0.2;0.2</t>
    <phoneticPr fontId="7" type="noConversion"/>
  </si>
  <si>
    <t>0.1;0.1;0.1;0.1;0.1;0.1;0.1;0.1;0.1;0.1;0.1;0.1;0.1;0.1;0.1;0.1;0.1;0.1;0.1;0.1;0.1;0.1;0.1;0.1;0.1;0.1;0.1;0.1;0.1;0.1;0.1;0.1;0.1;0.1;0.1;0.1;0.1;0.1;0.1;0.1;0.1;0.1;0.1;0.1;0.1;0.1;0.1;0.1;0.1;0.1</t>
    <phoneticPr fontId="7" type="noConversion"/>
  </si>
  <si>
    <t>BOSS</t>
    <phoneticPr fontId="7" type="noConversion"/>
  </si>
  <si>
    <t>BOSS</t>
    <phoneticPr fontId="7" type="noConversion"/>
  </si>
  <si>
    <t>主角</t>
    <phoneticPr fontId="7" type="noConversion"/>
  </si>
  <si>
    <t>E_boss_03_atk1</t>
  </si>
  <si>
    <t>E_boss_03_atk05_zidan</t>
  </si>
  <si>
    <t>钻地</t>
    <phoneticPr fontId="7" type="noConversion"/>
  </si>
  <si>
    <t>吐网</t>
    <phoneticPr fontId="7" type="noConversion"/>
  </si>
  <si>
    <t>E_boss_04_atk02_wang</t>
  </si>
  <si>
    <t>拉</t>
    <phoneticPr fontId="7" type="noConversion"/>
  </si>
  <si>
    <t>盾</t>
    <phoneticPr fontId="7" type="noConversion"/>
  </si>
  <si>
    <t>连续</t>
    <phoneticPr fontId="7" type="noConversion"/>
  </si>
  <si>
    <t>E_boss_04_atk05_zidan</t>
  </si>
  <si>
    <t>E_boss_04_atk04_wang</t>
  </si>
  <si>
    <t>0.7;0.08;0.08;0.08;0.08;0.08;0.08;0.08;0.08</t>
    <phoneticPr fontId="7" type="noConversion"/>
  </si>
  <si>
    <t>0.5;0.1;0.1;0.1</t>
    <phoneticPr fontId="7" type="noConversion"/>
  </si>
  <si>
    <t>0.5;0.2;0.2;0.2;0.2;0.2;0.2;0.2;0.2;0.2;0.2;0.2</t>
    <phoneticPr fontId="7" type="noConversion"/>
  </si>
  <si>
    <t>0.5;0.2;0.2;0.2;0.2;0.2;0.2;0.2;0.2;0.2;</t>
    <phoneticPr fontId="7" type="noConversion"/>
  </si>
  <si>
    <t>抓</t>
    <phoneticPr fontId="7" type="noConversion"/>
  </si>
  <si>
    <t>雷电</t>
    <phoneticPr fontId="7" type="noConversion"/>
  </si>
  <si>
    <t>风</t>
    <phoneticPr fontId="7" type="noConversion"/>
  </si>
  <si>
    <t>休息</t>
    <phoneticPr fontId="7" type="noConversion"/>
  </si>
  <si>
    <t>连续</t>
    <phoneticPr fontId="7" type="noConversion"/>
  </si>
  <si>
    <t>E_boss_05_atk02_shandian</t>
  </si>
  <si>
    <t>E_boss_05_atk03_feng</t>
  </si>
  <si>
    <t>E_boss_05_atk05_zidan</t>
  </si>
  <si>
    <t>E_boss_05_atk05_hit</t>
  </si>
  <si>
    <t>跟踪</t>
    <phoneticPr fontId="7" type="noConversion"/>
  </si>
  <si>
    <t>旋风</t>
    <phoneticPr fontId="7" type="noConversion"/>
  </si>
  <si>
    <t>蜘蛛网盾</t>
    <phoneticPr fontId="7" type="noConversion"/>
  </si>
  <si>
    <t>蜘蛛网减速</t>
    <phoneticPr fontId="7" type="noConversion"/>
  </si>
  <si>
    <t>缠绕藤曼</t>
    <phoneticPr fontId="7" type="noConversion"/>
  </si>
  <si>
    <t>冲抓</t>
    <phoneticPr fontId="7" type="noConversion"/>
  </si>
  <si>
    <t>0.5;0.15;0.15;0.15</t>
    <phoneticPr fontId="7" type="noConversion"/>
  </si>
  <si>
    <t>0.66;0.15;0.15;0.15;0.15</t>
    <phoneticPr fontId="7" type="noConversion"/>
  </si>
  <si>
    <t>后跳，丢子弹</t>
    <phoneticPr fontId="7" type="noConversion"/>
  </si>
  <si>
    <t>分身</t>
    <phoneticPr fontId="7" type="noConversion"/>
  </si>
  <si>
    <t>休息</t>
    <phoneticPr fontId="7" type="noConversion"/>
  </si>
  <si>
    <t>连续</t>
    <phoneticPr fontId="7" type="noConversion"/>
  </si>
  <si>
    <t>E_boss_06_atk02_zidan</t>
  </si>
  <si>
    <t>E_boss_06_atk05_zidan</t>
  </si>
  <si>
    <t>狮子</t>
    <phoneticPr fontId="7" type="noConversion"/>
  </si>
  <si>
    <t>{{id=5601,hp=100,rate=2}}</t>
    <phoneticPr fontId="7" type="noConversion"/>
  </si>
  <si>
    <t>Effect3</t>
    <phoneticPr fontId="7" type="noConversion"/>
  </si>
  <si>
    <t>0.35;0.05;0.05;0.05;0.05;0.05;0.05;0.05;0.05;0.05</t>
    <phoneticPr fontId="1" type="noConversion"/>
  </si>
  <si>
    <t>0.45;0.05;0.05;0.05;0.05;0.05</t>
    <phoneticPr fontId="7" type="noConversion"/>
  </si>
  <si>
    <t>0.45;0.05;0.05;0.05;0.05;0.05;0.05;0.05;</t>
    <phoneticPr fontId="7" type="noConversion"/>
  </si>
  <si>
    <t>E_trap_09_buff</t>
  </si>
  <si>
    <t>{{id=4092,hp=100,rate=1}}</t>
    <phoneticPr fontId="7" type="noConversion"/>
  </si>
  <si>
    <t>icon/boss1</t>
    <phoneticPr fontId="7" type="noConversion"/>
  </si>
  <si>
    <t>icon/boss2</t>
  </si>
  <si>
    <t>icon/boss3</t>
  </si>
  <si>
    <t>icon/boss4</t>
  </si>
  <si>
    <t>icon/boss5</t>
  </si>
  <si>
    <t>icon/boss6</t>
  </si>
  <si>
    <t>捕龙达人</t>
    <phoneticPr fontId="7" type="noConversion"/>
  </si>
  <si>
    <t>逃跑技能</t>
    <phoneticPr fontId="7" type="noConversion"/>
  </si>
  <si>
    <t>{{id=11111,hp=100,rate=1}}</t>
    <phoneticPr fontId="7" type="noConversion"/>
  </si>
  <si>
    <t>Text/q1</t>
    <phoneticPr fontId="1" type="noConversion"/>
  </si>
  <si>
    <t>巨鳄霸龙</t>
    <phoneticPr fontId="7" type="noConversion"/>
  </si>
  <si>
    <t>蜘蛛毒龙</t>
    <phoneticPr fontId="7" type="noConversion"/>
  </si>
  <si>
    <t>骷髅煞龙</t>
    <phoneticPr fontId="7" type="noConversion"/>
  </si>
  <si>
    <t>森林古龙</t>
    <phoneticPr fontId="7" type="noConversion"/>
  </si>
  <si>
    <t>雷鹰魔龙</t>
    <phoneticPr fontId="7" type="noConversion"/>
  </si>
  <si>
    <t>无敌 lv1</t>
    <phoneticPr fontId="7" type="noConversion"/>
  </si>
  <si>
    <t>{{id=3191,hp=100,rate=1},{id=3192,hp=50,rate=100}}</t>
    <phoneticPr fontId="1" type="noConversion"/>
  </si>
  <si>
    <t>{{id=7901,hp=100,rate=1},{id=7902,hp=100,rate=1},{id=3194,hp=30,rate=1}}</t>
    <phoneticPr fontId="1" type="noConversion"/>
  </si>
  <si>
    <t>0.3;0.2;0.2;0.2;0.2;0.2</t>
  </si>
  <si>
    <t>0.3;0.2;0.2;0.2;0.2;0.2</t>
    <phoneticPr fontId="7" type="noConversion"/>
  </si>
  <si>
    <t>宠物9</t>
  </si>
  <si>
    <t>0;0;0</t>
  </si>
  <si>
    <t>1;1;1</t>
  </si>
  <si>
    <t>生成一颗子弹</t>
  </si>
  <si>
    <t>ST</t>
    <phoneticPr fontId="7" type="noConversion"/>
  </si>
  <si>
    <t>语音列表</t>
    <phoneticPr fontId="7" type="noConversion"/>
  </si>
  <si>
    <t>voices</t>
    <phoneticPr fontId="7" type="noConversion"/>
  </si>
  <si>
    <t>Voi-JBN-001;Voi-JBN-002;Voi-JBN-003</t>
    <phoneticPr fontId="7" type="noConversion"/>
  </si>
  <si>
    <t>Voi-JYD-001;Voi-JYD-002;Voi-JYD-003</t>
    <phoneticPr fontId="7" type="noConversion"/>
  </si>
  <si>
    <t>Voi-KWL-001;Voi-KWL-002;Voi-KWL-003</t>
    <phoneticPr fontId="7" type="noConversion"/>
  </si>
  <si>
    <t>Voi-LGM-001;Voi-LGM-002;Voi-LGM-003</t>
    <phoneticPr fontId="7" type="noConversion"/>
  </si>
  <si>
    <t>Voi-SL-001;Voi-SL-002;Voi-SL-003</t>
    <phoneticPr fontId="7" type="noConversion"/>
  </si>
  <si>
    <t>Voi-SML-001;Voi-SML-002;Voi-SML-003</t>
    <phoneticPr fontId="7" type="noConversion"/>
  </si>
  <si>
    <t>bing_die</t>
  </si>
  <si>
    <t>diaoxiayan</t>
    <phoneticPr fontId="7" type="noConversion"/>
  </si>
  <si>
    <t>ST</t>
    <phoneticPr fontId="7" type="noConversion"/>
  </si>
  <si>
    <t>Snd-JBN-002</t>
    <phoneticPr fontId="7" type="noConversion"/>
  </si>
  <si>
    <t>Snd-LGM-002</t>
    <phoneticPr fontId="7" type="noConversion"/>
  </si>
  <si>
    <t>Snd-KWL-001</t>
    <phoneticPr fontId="7" type="noConversion"/>
  </si>
  <si>
    <t>Snd-KWL-002</t>
    <phoneticPr fontId="7" type="noConversion"/>
  </si>
  <si>
    <t>Voi-JBN-Robot</t>
    <phoneticPr fontId="7" type="noConversion"/>
  </si>
  <si>
    <t>Snd-LGM-001</t>
    <phoneticPr fontId="7" type="noConversion"/>
  </si>
  <si>
    <t>Snd-SL-001</t>
    <phoneticPr fontId="7" type="noConversion"/>
  </si>
  <si>
    <t>Voi-LGM-Robot</t>
    <phoneticPr fontId="7" type="noConversion"/>
  </si>
  <si>
    <t>Snd-JBN-003;Voi-JBN-Robots</t>
    <phoneticPr fontId="7" type="noConversion"/>
  </si>
  <si>
    <t>Snd-LGM-003;Voi-LGM-Robots</t>
    <phoneticPr fontId="7" type="noConversion"/>
  </si>
  <si>
    <t>Snd-JYD-002</t>
    <phoneticPr fontId="7" type="noConversion"/>
  </si>
  <si>
    <t>Voi-JYD-Robot</t>
    <phoneticPr fontId="7" type="noConversion"/>
  </si>
  <si>
    <t>Snd-JYD-003;Voi-JYD-Robots</t>
    <phoneticPr fontId="7" type="noConversion"/>
  </si>
  <si>
    <t>Snd-SML-002</t>
    <phoneticPr fontId="7" type="noConversion"/>
  </si>
  <si>
    <t>Voi-SML-Robot</t>
    <phoneticPr fontId="7" type="noConversion"/>
  </si>
  <si>
    <t>Snd-SML-003;Voi-SML-Robots</t>
    <phoneticPr fontId="7" type="noConversion"/>
  </si>
  <si>
    <t>Snd-SL-002</t>
    <phoneticPr fontId="7" type="noConversion"/>
  </si>
  <si>
    <t>Voi-SL-Robot</t>
    <phoneticPr fontId="7" type="noConversion"/>
  </si>
  <si>
    <t>Snd-SL-003;Voi-SL-Robots</t>
    <phoneticPr fontId="7" type="noConversion"/>
  </si>
  <si>
    <t>Voi-KWL-Robot</t>
    <phoneticPr fontId="7" type="noConversion"/>
  </si>
  <si>
    <t>Snd-KWL-003;Voi-KWL-Robots</t>
    <phoneticPr fontId="7" type="noConversion"/>
  </si>
  <si>
    <t>引导用数值</t>
    <phoneticPr fontId="1" type="noConversion"/>
  </si>
  <si>
    <t>Boss7</t>
    <phoneticPr fontId="7" type="noConversion"/>
  </si>
  <si>
    <t>Boss8</t>
    <phoneticPr fontId="7" type="noConversion"/>
  </si>
  <si>
    <t>b1</t>
    <phoneticPr fontId="7" type="noConversion"/>
  </si>
  <si>
    <t>b2</t>
    <phoneticPr fontId="7" type="noConversion"/>
  </si>
  <si>
    <t>icon/boss7</t>
  </si>
  <si>
    <t>icon/boss8</t>
  </si>
  <si>
    <t>Model/Monster/Boss07/prefab</t>
  </si>
  <si>
    <t>Model/Monster/Boss08/prefab</t>
  </si>
  <si>
    <t>5801;5802;5803;5804;5805</t>
    <phoneticPr fontId="7" type="noConversion"/>
  </si>
  <si>
    <t>UI体积</t>
    <phoneticPr fontId="7" type="noConversion"/>
  </si>
  <si>
    <t xml:space="preserve">boss7 atk1 </t>
    <phoneticPr fontId="7" type="noConversion"/>
  </si>
  <si>
    <t>boss7 atk2</t>
  </si>
  <si>
    <t>boss7 atk3</t>
  </si>
  <si>
    <t>boss7 atk4</t>
  </si>
  <si>
    <t>boss7 atk5</t>
  </si>
  <si>
    <t xml:space="preserve">boss8 atk1 </t>
    <phoneticPr fontId="7" type="noConversion"/>
  </si>
  <si>
    <t>boss8 atk2</t>
  </si>
  <si>
    <t>boss8 atk4</t>
  </si>
  <si>
    <t>boss8 atk5</t>
  </si>
  <si>
    <t>E_boss_07_atk02_hit</t>
  </si>
  <si>
    <t>E_boss_07_atk03</t>
  </si>
  <si>
    <t>E_boss_07_atk05_hit</t>
  </si>
  <si>
    <t>E_boss_07_change</t>
  </si>
  <si>
    <t>E_boss_07_ready</t>
  </si>
  <si>
    <t>E_boss_08_atk01</t>
  </si>
  <si>
    <t>E_boss_08_atk01_hit</t>
  </si>
  <si>
    <t>E_boss_08_atk03</t>
  </si>
  <si>
    <t>E_boss_08_atk05</t>
  </si>
  <si>
    <t>E_boss_08_ready</t>
  </si>
  <si>
    <t>盾</t>
    <phoneticPr fontId="7" type="noConversion"/>
  </si>
  <si>
    <t>子弹护罩</t>
    <phoneticPr fontId="7" type="noConversion"/>
  </si>
  <si>
    <t>发子弹</t>
    <phoneticPr fontId="7" type="noConversion"/>
  </si>
  <si>
    <t>休息</t>
    <phoneticPr fontId="7" type="noConversion"/>
  </si>
  <si>
    <t>发子弹</t>
    <phoneticPr fontId="7" type="noConversion"/>
  </si>
  <si>
    <t>风</t>
    <phoneticPr fontId="7" type="noConversion"/>
  </si>
  <si>
    <t>回旋镖</t>
    <phoneticPr fontId="7" type="noConversion"/>
  </si>
  <si>
    <t>剑</t>
    <phoneticPr fontId="7" type="noConversion"/>
  </si>
  <si>
    <t>0.2;0.2;0.2;0.2;0.2;0.2;0.2;0.2;0.2;0.2;</t>
    <phoneticPr fontId="7" type="noConversion"/>
  </si>
  <si>
    <t>E_boss_07_atk02_zidan</t>
  </si>
  <si>
    <t>E_boss_07_atk05_zidan</t>
  </si>
  <si>
    <t>盾</t>
    <phoneticPr fontId="7" type="noConversion"/>
  </si>
  <si>
    <t>风领域</t>
    <phoneticPr fontId="7" type="noConversion"/>
  </si>
  <si>
    <t>区域</t>
    <phoneticPr fontId="7" type="noConversion"/>
  </si>
  <si>
    <t>E_boss_07_atk01</t>
  </si>
  <si>
    <t>E_boss_07_atk02</t>
  </si>
  <si>
    <t>E_boss_08_atk02</t>
  </si>
  <si>
    <t>E_boss_08_atk01_zidan</t>
  </si>
  <si>
    <t>0.1;0.1;0.1;0.1;0.1;0.1;0.1;0.1;0.1;0.1;0.1;0.1;0.1;0.1;0.1;0.1;0.1;0.1;0.1;0.1;0.1;0.1;0.1;0.1;0.1;0.1;0.1;0.1;0.1;0.1</t>
    <phoneticPr fontId="7" type="noConversion"/>
  </si>
  <si>
    <t>Model/Monster/Sword/prefab</t>
    <phoneticPr fontId="7" type="noConversion"/>
  </si>
  <si>
    <t>{{id=10002,hp=100,rate=1}}</t>
    <phoneticPr fontId="7" type="noConversion"/>
  </si>
  <si>
    <t>剑 攻击</t>
    <phoneticPr fontId="7" type="noConversion"/>
  </si>
  <si>
    <t>剑 攻击</t>
    <phoneticPr fontId="7" type="noConversion"/>
  </si>
  <si>
    <t>B</t>
    <phoneticPr fontId="7" type="noConversion"/>
  </si>
  <si>
    <t>isRotation</t>
    <phoneticPr fontId="7" type="noConversion"/>
  </si>
  <si>
    <t>是否旋转</t>
    <phoneticPr fontId="7" type="noConversion"/>
  </si>
  <si>
    <t>变身</t>
    <phoneticPr fontId="7" type="noConversion"/>
  </si>
  <si>
    <t>boss7 atk6</t>
  </si>
  <si>
    <t>跟踪</t>
    <phoneticPr fontId="7" type="noConversion"/>
  </si>
  <si>
    <t>Snd-BOSS02-002</t>
  </si>
  <si>
    <t>Snd-BOSS04-001</t>
  </si>
  <si>
    <t>Snd-BOSS04-002</t>
  </si>
  <si>
    <t>Snd-BOSS05-002</t>
  </si>
  <si>
    <t>Snd-BOSS02-001</t>
    <phoneticPr fontId="7" type="noConversion"/>
  </si>
  <si>
    <t>0.4;0.8</t>
    <phoneticPr fontId="7" type="noConversion"/>
  </si>
  <si>
    <t>5701;5702;5703;5704;5705;5706</t>
    <phoneticPr fontId="7" type="noConversion"/>
  </si>
  <si>
    <t>{{id=5801,hp=100,rate=2},{id=5802,hp=100,rate=2},{id=5803,hp=100,rate=2},{id=5805,hp=100,rate=2}}</t>
    <phoneticPr fontId="7" type="noConversion"/>
  </si>
  <si>
    <t>{{id=5701,hp=100,rate=2},{id=5702,hp=100,rate=2},{id=5703,hp=100,rate=2},{id=5705,hp=100,rate=2},{id=5706,hp=30,rate=99999}}</t>
    <phoneticPr fontId="7" type="noConversion"/>
  </si>
  <si>
    <t>不死 lv1</t>
    <phoneticPr fontId="7" type="noConversion"/>
  </si>
  <si>
    <t>自带buff</t>
    <phoneticPr fontId="7" type="noConversion"/>
  </si>
  <si>
    <t>IT</t>
    <phoneticPr fontId="7" type="noConversion"/>
  </si>
  <si>
    <t>1;150</t>
    <phoneticPr fontId="7" type="noConversion"/>
  </si>
  <si>
    <t>buffIds</t>
    <phoneticPr fontId="7" type="noConversion"/>
  </si>
  <si>
    <t>回旋</t>
    <phoneticPr fontId="7" type="noConversion"/>
  </si>
  <si>
    <t>boss8 atk3</t>
    <phoneticPr fontId="7" type="noConversion"/>
  </si>
  <si>
    <t>0.5;0.5;0.5;0.5;0.5;0.5;</t>
    <phoneticPr fontId="7" type="noConversion"/>
  </si>
  <si>
    <t>guai_chuxian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</si>
</sst>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indexed="8"/>
      <name val="宋体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name val="微软雅黑"/>
      <family val="2"/>
      <charset val="134"/>
    </font>
    <font>
      <sz val="12"/>
      <color indexed="8"/>
      <name val="宋体"/>
      <family val="3"/>
      <charset val="134"/>
    </font>
    <font>
      <sz val="10"/>
      <name val="宋体"/>
      <family val="3"/>
      <charset val="134"/>
    </font>
    <font>
      <sz val="36"/>
      <color rgb="FFFF0000"/>
      <name val="微软雅黑"/>
      <family val="2"/>
      <charset val="134"/>
    </font>
    <font>
      <sz val="9"/>
      <name val="宋体"/>
      <family val="3"/>
      <charset val="134"/>
    </font>
    <font>
      <sz val="10"/>
      <name val="微软雅黑"/>
      <family val="2"/>
      <charset val="134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b/>
      <sz val="9"/>
      <name val="宋体"/>
      <family val="3"/>
      <charset val="134"/>
    </font>
    <font>
      <sz val="10"/>
      <color indexed="8"/>
      <name val="微软雅黑"/>
      <family val="2"/>
      <charset val="134"/>
    </font>
    <font>
      <sz val="9"/>
      <color indexed="81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1" tint="0.49998474074526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7064">
    <xf numFmtId="0" fontId="0" fillId="0" borderId="0" applyProtection="0">
      <alignment vertical="center"/>
    </xf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4" fillId="0" borderId="0">
      <alignment vertical="center"/>
    </xf>
  </cellStyleXfs>
  <cellXfs count="47">
    <xf numFmtId="0" fontId="1" fillId="0" borderId="0" xfId="0" applyFont="1" applyProtection="1">
      <alignment vertical="center"/>
    </xf>
    <xf numFmtId="0" fontId="3" fillId="0" borderId="0" xfId="0" applyFont="1" applyProtection="1">
      <alignment vertical="center"/>
    </xf>
    <xf numFmtId="0" fontId="3" fillId="0" borderId="0" xfId="0" applyFont="1" applyProtection="1">
      <alignment vertical="center"/>
    </xf>
    <xf numFmtId="0" fontId="6" fillId="0" borderId="0" xfId="0" applyFont="1" applyAlignment="1" applyProtection="1">
      <alignment vertical="center"/>
    </xf>
    <xf numFmtId="0" fontId="5" fillId="0" borderId="0" xfId="0" applyFont="1" applyProtection="1">
      <alignment vertical="center"/>
    </xf>
    <xf numFmtId="49" fontId="8" fillId="0" borderId="0" xfId="0" applyNumberFormat="1" applyFont="1" applyFill="1" applyBorder="1" applyAlignment="1" applyProtection="1">
      <alignment horizontal="center" vertical="center" wrapText="1"/>
      <protection locked="0"/>
    </xf>
    <xf numFmtId="49" fontId="8" fillId="0" borderId="0" xfId="0" applyNumberFormat="1" applyFont="1" applyBorder="1" applyAlignment="1" applyProtection="1">
      <alignment horizontal="center" vertical="center" wrapText="1"/>
      <protection locked="0"/>
    </xf>
    <xf numFmtId="0" fontId="11" fillId="0" borderId="0" xfId="0" applyFo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/>
    </xf>
    <xf numFmtId="0" fontId="12" fillId="0" borderId="0" xfId="0" applyFont="1" applyFill="1" applyAlignment="1"/>
    <xf numFmtId="0" fontId="12" fillId="0" borderId="0" xfId="0" applyFont="1" applyFill="1" applyBorder="1" applyAlignment="1"/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Alignment="1">
      <alignment horizontal="center"/>
    </xf>
    <xf numFmtId="0" fontId="12" fillId="0" borderId="0" xfId="0" applyNumberFormat="1" applyFont="1" applyFill="1" applyAlignment="1">
      <alignment horizontal="center"/>
    </xf>
    <xf numFmtId="0" fontId="12" fillId="0" borderId="1" xfId="0" applyFont="1" applyFill="1" applyBorder="1" applyAlignment="1"/>
    <xf numFmtId="0" fontId="12" fillId="0" borderId="0" xfId="0" applyNumberFormat="1" applyFont="1" applyFill="1" applyAlignment="1">
      <alignment horizontal="left" vertic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0" borderId="0" xfId="0" applyNumberFormat="1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 wrapText="1"/>
    </xf>
    <xf numFmtId="0" fontId="12" fillId="0" borderId="0" xfId="0" applyNumberFormat="1" applyFont="1" applyFill="1" applyAlignment="1">
      <alignment horizontal="center" vertical="center" wrapText="1"/>
    </xf>
    <xf numFmtId="0" fontId="5" fillId="0" borderId="0" xfId="0" applyFont="1" applyAlignment="1" applyProtection="1">
      <alignment horizontal="center" vertical="center"/>
    </xf>
    <xf numFmtId="0" fontId="12" fillId="0" borderId="2" xfId="0" applyFont="1" applyFill="1" applyBorder="1" applyAlignment="1"/>
    <xf numFmtId="0" fontId="12" fillId="0" borderId="2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 wrapText="1"/>
    </xf>
    <xf numFmtId="0" fontId="5" fillId="0" borderId="1" xfId="0" applyFont="1" applyBorder="1" applyProtection="1">
      <alignment vertical="center"/>
    </xf>
    <xf numFmtId="0" fontId="5" fillId="0" borderId="2" xfId="0" applyFont="1" applyBorder="1" applyProtection="1">
      <alignment vertical="center"/>
    </xf>
    <xf numFmtId="0" fontId="5" fillId="0" borderId="0" xfId="0" applyFont="1" applyBorder="1" applyProtection="1">
      <alignment vertical="center"/>
    </xf>
    <xf numFmtId="0" fontId="5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right" vertical="center"/>
    </xf>
    <xf numFmtId="0" fontId="12" fillId="0" borderId="0" xfId="0" applyFont="1" applyAlignment="1">
      <alignment vertical="center"/>
    </xf>
    <xf numFmtId="0" fontId="5" fillId="0" borderId="0" xfId="0" applyFont="1" applyBorder="1" applyAlignment="1" applyProtection="1">
      <alignment horizontal="center" vertical="center"/>
    </xf>
    <xf numFmtId="0" fontId="5" fillId="0" borderId="2" xfId="0" applyFont="1" applyBorder="1" applyAlignment="1" applyProtection="1">
      <alignment horizontal="center" vertical="center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left" vertical="center"/>
    </xf>
    <xf numFmtId="0" fontId="8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vertical="center" wrapText="1"/>
    </xf>
    <xf numFmtId="0" fontId="5" fillId="6" borderId="0" xfId="0" applyFont="1" applyFill="1" applyProtection="1">
      <alignment vertical="center"/>
    </xf>
    <xf numFmtId="0" fontId="5" fillId="6" borderId="1" xfId="0" applyFont="1" applyFill="1" applyBorder="1" applyProtection="1">
      <alignment vertical="center"/>
    </xf>
    <xf numFmtId="0" fontId="5" fillId="6" borderId="0" xfId="0" applyFont="1" applyFill="1" applyBorder="1" applyProtection="1">
      <alignment vertical="center"/>
    </xf>
    <xf numFmtId="0" fontId="5" fillId="6" borderId="2" xfId="0" applyFont="1" applyFill="1" applyBorder="1" applyProtection="1">
      <alignment vertical="center"/>
    </xf>
    <xf numFmtId="0" fontId="0" fillId="0" borderId="0" xfId="0">
      <alignment vertical="center"/>
    </xf>
    <xf numFmtId="0" fontId="6" fillId="0" borderId="0" xfId="0" applyFont="1" applyAlignment="1" applyProtection="1">
      <alignment horizontal="center" vertical="center"/>
    </xf>
  </cellXfs>
  <cellStyles count="17064">
    <cellStyle name="20% - 强调文字颜色 1 10" xfId="1"/>
    <cellStyle name="20% - 强调文字颜色 1 10 10" xfId="2"/>
    <cellStyle name="20% - 强调文字颜色 1 10 11" xfId="3"/>
    <cellStyle name="20% - 强调文字颜色 1 10 12" xfId="4"/>
    <cellStyle name="20% - 强调文字颜色 1 10 13" xfId="5"/>
    <cellStyle name="20% - 强调文字颜色 1 10 14" xfId="6"/>
    <cellStyle name="20% - 强调文字颜色 1 10 15" xfId="7"/>
    <cellStyle name="20% - 强调文字颜色 1 10 16" xfId="8"/>
    <cellStyle name="20% - 强调文字颜色 1 10 17" xfId="9"/>
    <cellStyle name="20% - 强调文字颜色 1 10 18" xfId="10"/>
    <cellStyle name="20% - 强调文字颜色 1 10 19" xfId="11"/>
    <cellStyle name="20% - 强调文字颜色 1 10 2" xfId="12"/>
    <cellStyle name="20% - 强调文字颜色 1 10 2 10" xfId="13"/>
    <cellStyle name="20% - 强调文字颜色 1 10 2 11" xfId="14"/>
    <cellStyle name="20% - 强调文字颜色 1 10 2 12" xfId="15"/>
    <cellStyle name="20% - 强调文字颜色 1 10 2 13" xfId="16"/>
    <cellStyle name="20% - 强调文字颜色 1 10 2 14" xfId="17"/>
    <cellStyle name="20% - 强调文字颜色 1 10 2 15" xfId="18"/>
    <cellStyle name="20% - 强调文字颜色 1 10 2 16" xfId="19"/>
    <cellStyle name="20% - 强调文字颜色 1 10 2 17" xfId="20"/>
    <cellStyle name="20% - 强调文字颜色 1 10 2 18" xfId="21"/>
    <cellStyle name="20% - 强调文字颜色 1 10 2 19" xfId="22"/>
    <cellStyle name="20% - 强调文字颜色 1 10 2 2" xfId="23"/>
    <cellStyle name="20% - 强调文字颜色 1 10 2 20" xfId="24"/>
    <cellStyle name="20% - 强调文字颜色 1 10 2 21" xfId="25"/>
    <cellStyle name="20% - 强调文字颜色 1 10 2 22" xfId="26"/>
    <cellStyle name="20% - 强调文字颜色 1 10 2 23" xfId="27"/>
    <cellStyle name="20% - 强调文字颜色 1 10 2 24" xfId="28"/>
    <cellStyle name="20% - 强调文字颜色 1 10 2 25" xfId="29"/>
    <cellStyle name="20% - 强调文字颜色 1 10 2 26" xfId="30"/>
    <cellStyle name="20% - 强调文字颜色 1 10 2 27" xfId="31"/>
    <cellStyle name="20% - 强调文字颜色 1 10 2 3" xfId="32"/>
    <cellStyle name="20% - 强调文字颜色 1 10 2 4" xfId="33"/>
    <cellStyle name="20% - 强调文字颜色 1 10 2 5" xfId="34"/>
    <cellStyle name="20% - 强调文字颜色 1 10 2 6" xfId="35"/>
    <cellStyle name="20% - 强调文字颜色 1 10 2 7" xfId="36"/>
    <cellStyle name="20% - 强调文字颜色 1 10 2 8" xfId="37"/>
    <cellStyle name="20% - 强调文字颜色 1 10 2 9" xfId="38"/>
    <cellStyle name="20% - 强调文字颜色 1 10 20" xfId="39"/>
    <cellStyle name="20% - 强调文字颜色 1 10 21" xfId="40"/>
    <cellStyle name="20% - 强调文字颜色 1 10 22" xfId="41"/>
    <cellStyle name="20% - 强调文字颜色 1 10 23" xfId="42"/>
    <cellStyle name="20% - 强调文字颜色 1 10 24" xfId="43"/>
    <cellStyle name="20% - 强调文字颜色 1 10 25" xfId="44"/>
    <cellStyle name="20% - 强调文字颜色 1 10 26" xfId="45"/>
    <cellStyle name="20% - 强调文字颜色 1 10 27" xfId="46"/>
    <cellStyle name="20% - 强调文字颜色 1 10 28" xfId="47"/>
    <cellStyle name="20% - 强调文字颜色 1 10 3" xfId="48"/>
    <cellStyle name="20% - 强调文字颜色 1 10 4" xfId="49"/>
    <cellStyle name="20% - 强调文字颜色 1 10 5" xfId="50"/>
    <cellStyle name="20% - 强调文字颜色 1 10 6" xfId="51"/>
    <cellStyle name="20% - 强调文字颜色 1 10 7" xfId="52"/>
    <cellStyle name="20% - 强调文字颜色 1 10 8" xfId="53"/>
    <cellStyle name="20% - 强调文字颜色 1 10 9" xfId="54"/>
    <cellStyle name="20% - 强调文字颜色 1 11" xfId="55"/>
    <cellStyle name="20% - 强调文字颜色 1 11 10" xfId="56"/>
    <cellStyle name="20% - 强调文字颜色 1 11 11" xfId="57"/>
    <cellStyle name="20% - 强调文字颜色 1 11 12" xfId="58"/>
    <cellStyle name="20% - 强调文字颜色 1 11 13" xfId="59"/>
    <cellStyle name="20% - 强调文字颜色 1 11 14" xfId="60"/>
    <cellStyle name="20% - 强调文字颜色 1 11 15" xfId="61"/>
    <cellStyle name="20% - 强调文字颜色 1 11 16" xfId="62"/>
    <cellStyle name="20% - 强调文字颜色 1 11 17" xfId="63"/>
    <cellStyle name="20% - 强调文字颜色 1 11 18" xfId="64"/>
    <cellStyle name="20% - 强调文字颜色 1 11 19" xfId="65"/>
    <cellStyle name="20% - 强调文字颜色 1 11 2" xfId="66"/>
    <cellStyle name="20% - 强调文字颜色 1 11 2 10" xfId="67"/>
    <cellStyle name="20% - 强调文字颜色 1 11 2 11" xfId="68"/>
    <cellStyle name="20% - 强调文字颜色 1 11 2 12" xfId="69"/>
    <cellStyle name="20% - 强调文字颜色 1 11 2 13" xfId="70"/>
    <cellStyle name="20% - 强调文字颜色 1 11 2 14" xfId="71"/>
    <cellStyle name="20% - 强调文字颜色 1 11 2 15" xfId="72"/>
    <cellStyle name="20% - 强调文字颜色 1 11 2 16" xfId="73"/>
    <cellStyle name="20% - 强调文字颜色 1 11 2 17" xfId="74"/>
    <cellStyle name="20% - 强调文字颜色 1 11 2 18" xfId="75"/>
    <cellStyle name="20% - 强调文字颜色 1 11 2 19" xfId="76"/>
    <cellStyle name="20% - 强调文字颜色 1 11 2 2" xfId="77"/>
    <cellStyle name="20% - 强调文字颜色 1 11 2 20" xfId="78"/>
    <cellStyle name="20% - 强调文字颜色 1 11 2 21" xfId="79"/>
    <cellStyle name="20% - 强调文字颜色 1 11 2 22" xfId="80"/>
    <cellStyle name="20% - 强调文字颜色 1 11 2 23" xfId="81"/>
    <cellStyle name="20% - 强调文字颜色 1 11 2 24" xfId="82"/>
    <cellStyle name="20% - 强调文字颜色 1 11 2 25" xfId="83"/>
    <cellStyle name="20% - 强调文字颜色 1 11 2 26" xfId="84"/>
    <cellStyle name="20% - 强调文字颜色 1 11 2 27" xfId="85"/>
    <cellStyle name="20% - 强调文字颜色 1 11 2 3" xfId="86"/>
    <cellStyle name="20% - 强调文字颜色 1 11 2 4" xfId="87"/>
    <cellStyle name="20% - 强调文字颜色 1 11 2 5" xfId="88"/>
    <cellStyle name="20% - 强调文字颜色 1 11 2 6" xfId="89"/>
    <cellStyle name="20% - 强调文字颜色 1 11 2 7" xfId="90"/>
    <cellStyle name="20% - 强调文字颜色 1 11 2 8" xfId="91"/>
    <cellStyle name="20% - 强调文字颜色 1 11 2 9" xfId="92"/>
    <cellStyle name="20% - 强调文字颜色 1 11 20" xfId="93"/>
    <cellStyle name="20% - 强调文字颜色 1 11 21" xfId="94"/>
    <cellStyle name="20% - 强调文字颜色 1 11 22" xfId="95"/>
    <cellStyle name="20% - 强调文字颜色 1 11 23" xfId="96"/>
    <cellStyle name="20% - 强调文字颜色 1 11 24" xfId="97"/>
    <cellStyle name="20% - 强调文字颜色 1 11 25" xfId="98"/>
    <cellStyle name="20% - 强调文字颜色 1 11 26" xfId="99"/>
    <cellStyle name="20% - 强调文字颜色 1 11 27" xfId="100"/>
    <cellStyle name="20% - 强调文字颜色 1 11 28" xfId="101"/>
    <cellStyle name="20% - 强调文字颜色 1 11 3" xfId="102"/>
    <cellStyle name="20% - 强调文字颜色 1 11 4" xfId="103"/>
    <cellStyle name="20% - 强调文字颜色 1 11 5" xfId="104"/>
    <cellStyle name="20% - 强调文字颜色 1 11 6" xfId="105"/>
    <cellStyle name="20% - 强调文字颜色 1 11 7" xfId="106"/>
    <cellStyle name="20% - 强调文字颜色 1 11 8" xfId="107"/>
    <cellStyle name="20% - 强调文字颜色 1 11 9" xfId="108"/>
    <cellStyle name="20% - 强调文字颜色 1 12" xfId="109"/>
    <cellStyle name="20% - 强调文字颜色 1 13" xfId="110"/>
    <cellStyle name="20% - 强调文字颜色 1 14" xfId="111"/>
    <cellStyle name="20% - 强调文字颜色 1 15" xfId="112"/>
    <cellStyle name="20% - 强调文字颜色 1 16" xfId="113"/>
    <cellStyle name="20% - 强调文字颜色 1 17" xfId="114"/>
    <cellStyle name="20% - 强调文字颜色 1 18" xfId="115"/>
    <cellStyle name="20% - 强调文字颜色 1 19" xfId="116"/>
    <cellStyle name="20% - 强调文字颜色 1 2" xfId="117"/>
    <cellStyle name="20% - 强调文字颜色 1 2 10" xfId="118"/>
    <cellStyle name="20% - 强调文字颜色 1 2 11" xfId="119"/>
    <cellStyle name="20% - 强调文字颜色 1 2 12" xfId="120"/>
    <cellStyle name="20% - 强调文字颜色 1 2 13" xfId="121"/>
    <cellStyle name="20% - 强调文字颜色 1 2 14" xfId="122"/>
    <cellStyle name="20% - 强调文字颜色 1 2 15" xfId="123"/>
    <cellStyle name="20% - 强调文字颜色 1 2 16" xfId="124"/>
    <cellStyle name="20% - 强调文字颜色 1 2 17" xfId="125"/>
    <cellStyle name="20% - 强调文字颜色 1 2 18" xfId="126"/>
    <cellStyle name="20% - 强调文字颜色 1 2 19" xfId="127"/>
    <cellStyle name="20% - 强调文字颜色 1 2 2" xfId="128"/>
    <cellStyle name="20% - 强调文字颜色 1 2 2 10" xfId="129"/>
    <cellStyle name="20% - 强调文字颜色 1 2 2 11" xfId="130"/>
    <cellStyle name="20% - 强调文字颜色 1 2 2 12" xfId="131"/>
    <cellStyle name="20% - 强调文字颜色 1 2 2 13" xfId="132"/>
    <cellStyle name="20% - 强调文字颜色 1 2 2 14" xfId="133"/>
    <cellStyle name="20% - 强调文字颜色 1 2 2 15" xfId="134"/>
    <cellStyle name="20% - 强调文字颜色 1 2 2 16" xfId="135"/>
    <cellStyle name="20% - 强调文字颜色 1 2 2 17" xfId="136"/>
    <cellStyle name="20% - 强调文字颜色 1 2 2 18" xfId="137"/>
    <cellStyle name="20% - 强调文字颜色 1 2 2 19" xfId="138"/>
    <cellStyle name="20% - 强调文字颜色 1 2 2 2" xfId="139"/>
    <cellStyle name="20% - 强调文字颜色 1 2 2 2 10" xfId="140"/>
    <cellStyle name="20% - 强调文字颜色 1 2 2 2 11" xfId="141"/>
    <cellStyle name="20% - 强调文字颜色 1 2 2 2 12" xfId="142"/>
    <cellStyle name="20% - 强调文字颜色 1 2 2 2 13" xfId="143"/>
    <cellStyle name="20% - 强调文字颜色 1 2 2 2 14" xfId="144"/>
    <cellStyle name="20% - 强调文字颜色 1 2 2 2 15" xfId="145"/>
    <cellStyle name="20% - 强调文字颜色 1 2 2 2 16" xfId="146"/>
    <cellStyle name="20% - 强调文字颜色 1 2 2 2 17" xfId="147"/>
    <cellStyle name="20% - 强调文字颜色 1 2 2 2 18" xfId="148"/>
    <cellStyle name="20% - 强调文字颜色 1 2 2 2 19" xfId="149"/>
    <cellStyle name="20% - 强调文字颜色 1 2 2 2 2" xfId="150"/>
    <cellStyle name="20% - 强调文字颜色 1 2 2 2 20" xfId="151"/>
    <cellStyle name="20% - 强调文字颜色 1 2 2 2 21" xfId="152"/>
    <cellStyle name="20% - 强调文字颜色 1 2 2 2 22" xfId="153"/>
    <cellStyle name="20% - 强调文字颜色 1 2 2 2 23" xfId="154"/>
    <cellStyle name="20% - 强调文字颜色 1 2 2 2 24" xfId="155"/>
    <cellStyle name="20% - 强调文字颜色 1 2 2 2 25" xfId="156"/>
    <cellStyle name="20% - 强调文字颜色 1 2 2 2 26" xfId="157"/>
    <cellStyle name="20% - 强调文字颜色 1 2 2 2 27" xfId="158"/>
    <cellStyle name="20% - 强调文字颜色 1 2 2 2 3" xfId="159"/>
    <cellStyle name="20% - 强调文字颜色 1 2 2 2 4" xfId="160"/>
    <cellStyle name="20% - 强调文字颜色 1 2 2 2 5" xfId="161"/>
    <cellStyle name="20% - 强调文字颜色 1 2 2 2 6" xfId="162"/>
    <cellStyle name="20% - 强调文字颜色 1 2 2 2 7" xfId="163"/>
    <cellStyle name="20% - 强调文字颜色 1 2 2 2 8" xfId="164"/>
    <cellStyle name="20% - 强调文字颜色 1 2 2 2 9" xfId="165"/>
    <cellStyle name="20% - 强调文字颜色 1 2 2 20" xfId="166"/>
    <cellStyle name="20% - 强调文字颜色 1 2 2 21" xfId="167"/>
    <cellStyle name="20% - 强调文字颜色 1 2 2 22" xfId="168"/>
    <cellStyle name="20% - 强调文字颜色 1 2 2 23" xfId="169"/>
    <cellStyle name="20% - 强调文字颜色 1 2 2 24" xfId="170"/>
    <cellStyle name="20% - 强调文字颜色 1 2 2 25" xfId="171"/>
    <cellStyle name="20% - 强调文字颜色 1 2 2 26" xfId="172"/>
    <cellStyle name="20% - 强调文字颜色 1 2 2 27" xfId="173"/>
    <cellStyle name="20% - 强调文字颜色 1 2 2 28" xfId="174"/>
    <cellStyle name="20% - 强调文字颜色 1 2 2 3" xfId="175"/>
    <cellStyle name="20% - 强调文字颜色 1 2 2 4" xfId="176"/>
    <cellStyle name="20% - 强调文字颜色 1 2 2 5" xfId="177"/>
    <cellStyle name="20% - 强调文字颜色 1 2 2 6" xfId="178"/>
    <cellStyle name="20% - 强调文字颜色 1 2 2 7" xfId="179"/>
    <cellStyle name="20% - 强调文字颜色 1 2 2 8" xfId="180"/>
    <cellStyle name="20% - 强调文字颜色 1 2 2 9" xfId="181"/>
    <cellStyle name="20% - 强调文字颜色 1 2 20" xfId="182"/>
    <cellStyle name="20% - 强调文字颜色 1 2 21" xfId="183"/>
    <cellStyle name="20% - 强调文字颜色 1 2 22" xfId="184"/>
    <cellStyle name="20% - 强调文字颜色 1 2 23" xfId="185"/>
    <cellStyle name="20% - 强调文字颜色 1 2 24" xfId="186"/>
    <cellStyle name="20% - 强调文字颜色 1 2 25" xfId="187"/>
    <cellStyle name="20% - 强调文字颜色 1 2 26" xfId="188"/>
    <cellStyle name="20% - 强调文字颜色 1 2 27" xfId="189"/>
    <cellStyle name="20% - 强调文字颜色 1 2 28" xfId="190"/>
    <cellStyle name="20% - 强调文字颜色 1 2 29" xfId="191"/>
    <cellStyle name="20% - 强调文字颜色 1 2 3" xfId="192"/>
    <cellStyle name="20% - 强调文字颜色 1 2 3 10" xfId="193"/>
    <cellStyle name="20% - 强调文字颜色 1 2 3 11" xfId="194"/>
    <cellStyle name="20% - 强调文字颜色 1 2 3 12" xfId="195"/>
    <cellStyle name="20% - 强调文字颜色 1 2 3 13" xfId="196"/>
    <cellStyle name="20% - 强调文字颜色 1 2 3 14" xfId="197"/>
    <cellStyle name="20% - 强调文字颜色 1 2 3 15" xfId="198"/>
    <cellStyle name="20% - 强调文字颜色 1 2 3 16" xfId="199"/>
    <cellStyle name="20% - 强调文字颜色 1 2 3 17" xfId="200"/>
    <cellStyle name="20% - 强调文字颜色 1 2 3 18" xfId="201"/>
    <cellStyle name="20% - 强调文字颜色 1 2 3 19" xfId="202"/>
    <cellStyle name="20% - 强调文字颜色 1 2 3 2" xfId="203"/>
    <cellStyle name="20% - 强调文字颜色 1 2 3 2 10" xfId="204"/>
    <cellStyle name="20% - 强调文字颜色 1 2 3 2 11" xfId="205"/>
    <cellStyle name="20% - 强调文字颜色 1 2 3 2 12" xfId="206"/>
    <cellStyle name="20% - 强调文字颜色 1 2 3 2 13" xfId="207"/>
    <cellStyle name="20% - 强调文字颜色 1 2 3 2 14" xfId="208"/>
    <cellStyle name="20% - 强调文字颜色 1 2 3 2 15" xfId="209"/>
    <cellStyle name="20% - 强调文字颜色 1 2 3 2 16" xfId="210"/>
    <cellStyle name="20% - 强调文字颜色 1 2 3 2 17" xfId="211"/>
    <cellStyle name="20% - 强调文字颜色 1 2 3 2 18" xfId="212"/>
    <cellStyle name="20% - 强调文字颜色 1 2 3 2 19" xfId="213"/>
    <cellStyle name="20% - 强调文字颜色 1 2 3 2 2" xfId="214"/>
    <cellStyle name="20% - 强调文字颜色 1 2 3 2 20" xfId="215"/>
    <cellStyle name="20% - 强调文字颜色 1 2 3 2 21" xfId="216"/>
    <cellStyle name="20% - 强调文字颜色 1 2 3 2 22" xfId="217"/>
    <cellStyle name="20% - 强调文字颜色 1 2 3 2 23" xfId="218"/>
    <cellStyle name="20% - 强调文字颜色 1 2 3 2 24" xfId="219"/>
    <cellStyle name="20% - 强调文字颜色 1 2 3 2 25" xfId="220"/>
    <cellStyle name="20% - 强调文字颜色 1 2 3 2 26" xfId="221"/>
    <cellStyle name="20% - 强调文字颜色 1 2 3 2 27" xfId="222"/>
    <cellStyle name="20% - 强调文字颜色 1 2 3 2 3" xfId="223"/>
    <cellStyle name="20% - 强调文字颜色 1 2 3 2 4" xfId="224"/>
    <cellStyle name="20% - 强调文字颜色 1 2 3 2 5" xfId="225"/>
    <cellStyle name="20% - 强调文字颜色 1 2 3 2 6" xfId="226"/>
    <cellStyle name="20% - 强调文字颜色 1 2 3 2 7" xfId="227"/>
    <cellStyle name="20% - 强调文字颜色 1 2 3 2 8" xfId="228"/>
    <cellStyle name="20% - 强调文字颜色 1 2 3 2 9" xfId="229"/>
    <cellStyle name="20% - 强调文字颜色 1 2 3 20" xfId="230"/>
    <cellStyle name="20% - 强调文字颜色 1 2 3 21" xfId="231"/>
    <cellStyle name="20% - 强调文字颜色 1 2 3 22" xfId="232"/>
    <cellStyle name="20% - 强调文字颜色 1 2 3 23" xfId="233"/>
    <cellStyle name="20% - 强调文字颜色 1 2 3 24" xfId="234"/>
    <cellStyle name="20% - 强调文字颜色 1 2 3 25" xfId="235"/>
    <cellStyle name="20% - 强调文字颜色 1 2 3 26" xfId="236"/>
    <cellStyle name="20% - 强调文字颜色 1 2 3 27" xfId="237"/>
    <cellStyle name="20% - 强调文字颜色 1 2 3 28" xfId="238"/>
    <cellStyle name="20% - 强调文字颜色 1 2 3 3" xfId="239"/>
    <cellStyle name="20% - 强调文字颜色 1 2 3 4" xfId="240"/>
    <cellStyle name="20% - 强调文字颜色 1 2 3 5" xfId="241"/>
    <cellStyle name="20% - 强调文字颜色 1 2 3 6" xfId="242"/>
    <cellStyle name="20% - 强调文字颜色 1 2 3 7" xfId="243"/>
    <cellStyle name="20% - 强调文字颜色 1 2 3 8" xfId="244"/>
    <cellStyle name="20% - 强调文字颜色 1 2 3 9" xfId="245"/>
    <cellStyle name="20% - 强调文字颜色 1 2 30" xfId="246"/>
    <cellStyle name="20% - 强调文字颜色 1 2 31" xfId="247"/>
    <cellStyle name="20% - 强调文字颜色 1 2 32" xfId="248"/>
    <cellStyle name="20% - 强调文字颜色 1 2 33" xfId="249"/>
    <cellStyle name="20% - 强调文字颜色 1 2 4" xfId="250"/>
    <cellStyle name="20% - 强调文字颜色 1 2 4 10" xfId="251"/>
    <cellStyle name="20% - 强调文字颜色 1 2 4 11" xfId="252"/>
    <cellStyle name="20% - 强调文字颜色 1 2 4 12" xfId="253"/>
    <cellStyle name="20% - 强调文字颜色 1 2 4 13" xfId="254"/>
    <cellStyle name="20% - 强调文字颜色 1 2 4 14" xfId="255"/>
    <cellStyle name="20% - 强调文字颜色 1 2 4 15" xfId="256"/>
    <cellStyle name="20% - 强调文字颜色 1 2 4 16" xfId="257"/>
    <cellStyle name="20% - 强调文字颜色 1 2 4 17" xfId="258"/>
    <cellStyle name="20% - 强调文字颜色 1 2 4 18" xfId="259"/>
    <cellStyle name="20% - 强调文字颜色 1 2 4 19" xfId="260"/>
    <cellStyle name="20% - 强调文字颜色 1 2 4 2" xfId="261"/>
    <cellStyle name="20% - 强调文字颜色 1 2 4 20" xfId="262"/>
    <cellStyle name="20% - 强调文字颜色 1 2 4 21" xfId="263"/>
    <cellStyle name="20% - 强调文字颜色 1 2 4 22" xfId="264"/>
    <cellStyle name="20% - 强调文字颜色 1 2 4 23" xfId="265"/>
    <cellStyle name="20% - 强调文字颜色 1 2 4 24" xfId="266"/>
    <cellStyle name="20% - 强调文字颜色 1 2 4 25" xfId="267"/>
    <cellStyle name="20% - 强调文字颜色 1 2 4 26" xfId="268"/>
    <cellStyle name="20% - 强调文字颜色 1 2 4 27" xfId="269"/>
    <cellStyle name="20% - 强调文字颜色 1 2 4 3" xfId="270"/>
    <cellStyle name="20% - 强调文字颜色 1 2 4 4" xfId="271"/>
    <cellStyle name="20% - 强调文字颜色 1 2 4 5" xfId="272"/>
    <cellStyle name="20% - 强调文字颜色 1 2 4 6" xfId="273"/>
    <cellStyle name="20% - 强调文字颜色 1 2 4 7" xfId="274"/>
    <cellStyle name="20% - 强调文字颜色 1 2 4 8" xfId="275"/>
    <cellStyle name="20% - 强调文字颜色 1 2 4 9" xfId="276"/>
    <cellStyle name="20% - 强调文字颜色 1 2 5" xfId="277"/>
    <cellStyle name="20% - 强调文字颜色 1 2 6" xfId="278"/>
    <cellStyle name="20% - 强调文字颜色 1 2 7" xfId="279"/>
    <cellStyle name="20% - 强调文字颜色 1 2 8" xfId="280"/>
    <cellStyle name="20% - 强调文字颜色 1 2 9" xfId="281"/>
    <cellStyle name="20% - 强调文字颜色 1 20" xfId="282"/>
    <cellStyle name="20% - 强调文字颜色 1 21" xfId="283"/>
    <cellStyle name="20% - 强调文字颜色 1 22" xfId="284"/>
    <cellStyle name="20% - 强调文字颜色 1 23" xfId="285"/>
    <cellStyle name="20% - 强调文字颜色 1 24" xfId="286"/>
    <cellStyle name="20% - 强调文字颜色 1 25" xfId="287"/>
    <cellStyle name="20% - 强调文字颜色 1 26" xfId="288"/>
    <cellStyle name="20% - 强调文字颜色 1 27" xfId="289"/>
    <cellStyle name="20% - 强调文字颜色 1 28" xfId="290"/>
    <cellStyle name="20% - 强调文字颜色 1 29" xfId="291"/>
    <cellStyle name="20% - 强调文字颜色 1 3" xfId="292"/>
    <cellStyle name="20% - 强调文字颜色 1 3 10" xfId="293"/>
    <cellStyle name="20% - 强调文字颜色 1 3 11" xfId="294"/>
    <cellStyle name="20% - 强调文字颜色 1 3 12" xfId="295"/>
    <cellStyle name="20% - 强调文字颜色 1 3 13" xfId="296"/>
    <cellStyle name="20% - 强调文字颜色 1 3 14" xfId="297"/>
    <cellStyle name="20% - 强调文字颜色 1 3 15" xfId="298"/>
    <cellStyle name="20% - 强调文字颜色 1 3 16" xfId="299"/>
    <cellStyle name="20% - 强调文字颜色 1 3 17" xfId="300"/>
    <cellStyle name="20% - 强调文字颜色 1 3 18" xfId="301"/>
    <cellStyle name="20% - 强调文字颜色 1 3 19" xfId="302"/>
    <cellStyle name="20% - 强调文字颜色 1 3 2" xfId="303"/>
    <cellStyle name="20% - 强调文字颜色 1 3 2 10" xfId="304"/>
    <cellStyle name="20% - 强调文字颜色 1 3 2 11" xfId="305"/>
    <cellStyle name="20% - 强调文字颜色 1 3 2 12" xfId="306"/>
    <cellStyle name="20% - 强调文字颜色 1 3 2 13" xfId="307"/>
    <cellStyle name="20% - 强调文字颜色 1 3 2 14" xfId="308"/>
    <cellStyle name="20% - 强调文字颜色 1 3 2 15" xfId="309"/>
    <cellStyle name="20% - 强调文字颜色 1 3 2 16" xfId="310"/>
    <cellStyle name="20% - 强调文字颜色 1 3 2 17" xfId="311"/>
    <cellStyle name="20% - 强调文字颜色 1 3 2 18" xfId="312"/>
    <cellStyle name="20% - 强调文字颜色 1 3 2 19" xfId="313"/>
    <cellStyle name="20% - 强调文字颜色 1 3 2 2" xfId="314"/>
    <cellStyle name="20% - 强调文字颜色 1 3 2 20" xfId="315"/>
    <cellStyle name="20% - 强调文字颜色 1 3 2 21" xfId="316"/>
    <cellStyle name="20% - 强调文字颜色 1 3 2 22" xfId="317"/>
    <cellStyle name="20% - 强调文字颜色 1 3 2 23" xfId="318"/>
    <cellStyle name="20% - 强调文字颜色 1 3 2 24" xfId="319"/>
    <cellStyle name="20% - 强调文字颜色 1 3 2 25" xfId="320"/>
    <cellStyle name="20% - 强调文字颜色 1 3 2 26" xfId="321"/>
    <cellStyle name="20% - 强调文字颜色 1 3 2 27" xfId="322"/>
    <cellStyle name="20% - 强调文字颜色 1 3 2 3" xfId="323"/>
    <cellStyle name="20% - 强调文字颜色 1 3 2 4" xfId="324"/>
    <cellStyle name="20% - 强调文字颜色 1 3 2 5" xfId="325"/>
    <cellStyle name="20% - 强调文字颜色 1 3 2 6" xfId="326"/>
    <cellStyle name="20% - 强调文字颜色 1 3 2 7" xfId="327"/>
    <cellStyle name="20% - 强调文字颜色 1 3 2 8" xfId="328"/>
    <cellStyle name="20% - 强调文字颜色 1 3 2 9" xfId="329"/>
    <cellStyle name="20% - 强调文字颜色 1 3 20" xfId="330"/>
    <cellStyle name="20% - 强调文字颜色 1 3 21" xfId="331"/>
    <cellStyle name="20% - 强调文字颜色 1 3 22" xfId="332"/>
    <cellStyle name="20% - 强调文字颜色 1 3 23" xfId="333"/>
    <cellStyle name="20% - 强调文字颜色 1 3 24" xfId="334"/>
    <cellStyle name="20% - 强调文字颜色 1 3 25" xfId="335"/>
    <cellStyle name="20% - 强调文字颜色 1 3 26" xfId="336"/>
    <cellStyle name="20% - 强调文字颜色 1 3 27" xfId="337"/>
    <cellStyle name="20% - 强调文字颜色 1 3 28" xfId="338"/>
    <cellStyle name="20% - 强调文字颜色 1 3 3" xfId="339"/>
    <cellStyle name="20% - 强调文字颜色 1 3 4" xfId="340"/>
    <cellStyle name="20% - 强调文字颜色 1 3 5" xfId="341"/>
    <cellStyle name="20% - 强调文字颜色 1 3 6" xfId="342"/>
    <cellStyle name="20% - 强调文字颜色 1 3 7" xfId="343"/>
    <cellStyle name="20% - 强调文字颜色 1 3 8" xfId="344"/>
    <cellStyle name="20% - 强调文字颜色 1 3 9" xfId="345"/>
    <cellStyle name="20% - 强调文字颜色 1 30" xfId="346"/>
    <cellStyle name="20% - 强调文字颜色 1 31" xfId="347"/>
    <cellStyle name="20% - 强调文字颜色 1 32" xfId="348"/>
    <cellStyle name="20% - 强调文字颜色 1 33" xfId="349"/>
    <cellStyle name="20% - 强调文字颜色 1 34" xfId="350"/>
    <cellStyle name="20% - 强调文字颜色 1 35" xfId="351"/>
    <cellStyle name="20% - 强调文字颜色 1 36" xfId="352"/>
    <cellStyle name="20% - 强调文字颜色 1 37" xfId="353"/>
    <cellStyle name="20% - 强调文字颜色 1 38" xfId="354"/>
    <cellStyle name="20% - 强调文字颜色 1 39" xfId="355"/>
    <cellStyle name="20% - 强调文字颜色 1 4" xfId="356"/>
    <cellStyle name="20% - 强调文字颜色 1 4 10" xfId="357"/>
    <cellStyle name="20% - 强调文字颜色 1 4 11" xfId="358"/>
    <cellStyle name="20% - 强调文字颜色 1 4 12" xfId="359"/>
    <cellStyle name="20% - 强调文字颜色 1 4 13" xfId="360"/>
    <cellStyle name="20% - 强调文字颜色 1 4 14" xfId="361"/>
    <cellStyle name="20% - 强调文字颜色 1 4 15" xfId="362"/>
    <cellStyle name="20% - 强调文字颜色 1 4 16" xfId="363"/>
    <cellStyle name="20% - 强调文字颜色 1 4 17" xfId="364"/>
    <cellStyle name="20% - 强调文字颜色 1 4 18" xfId="365"/>
    <cellStyle name="20% - 强调文字颜色 1 4 19" xfId="366"/>
    <cellStyle name="20% - 强调文字颜色 1 4 2" xfId="367"/>
    <cellStyle name="20% - 强调文字颜色 1 4 2 10" xfId="368"/>
    <cellStyle name="20% - 强调文字颜色 1 4 2 11" xfId="369"/>
    <cellStyle name="20% - 强调文字颜色 1 4 2 12" xfId="370"/>
    <cellStyle name="20% - 强调文字颜色 1 4 2 13" xfId="371"/>
    <cellStyle name="20% - 强调文字颜色 1 4 2 14" xfId="372"/>
    <cellStyle name="20% - 强调文字颜色 1 4 2 15" xfId="373"/>
    <cellStyle name="20% - 强调文字颜色 1 4 2 16" xfId="374"/>
    <cellStyle name="20% - 强调文字颜色 1 4 2 17" xfId="375"/>
    <cellStyle name="20% - 强调文字颜色 1 4 2 18" xfId="376"/>
    <cellStyle name="20% - 强调文字颜色 1 4 2 19" xfId="377"/>
    <cellStyle name="20% - 强调文字颜色 1 4 2 2" xfId="378"/>
    <cellStyle name="20% - 强调文字颜色 1 4 2 20" xfId="379"/>
    <cellStyle name="20% - 强调文字颜色 1 4 2 21" xfId="380"/>
    <cellStyle name="20% - 强调文字颜色 1 4 2 22" xfId="381"/>
    <cellStyle name="20% - 强调文字颜色 1 4 2 23" xfId="382"/>
    <cellStyle name="20% - 强调文字颜色 1 4 2 24" xfId="383"/>
    <cellStyle name="20% - 强调文字颜色 1 4 2 25" xfId="384"/>
    <cellStyle name="20% - 强调文字颜色 1 4 2 26" xfId="385"/>
    <cellStyle name="20% - 强调文字颜色 1 4 2 27" xfId="386"/>
    <cellStyle name="20% - 强调文字颜色 1 4 2 3" xfId="387"/>
    <cellStyle name="20% - 强调文字颜色 1 4 2 4" xfId="388"/>
    <cellStyle name="20% - 强调文字颜色 1 4 2 5" xfId="389"/>
    <cellStyle name="20% - 强调文字颜色 1 4 2 6" xfId="390"/>
    <cellStyle name="20% - 强调文字颜色 1 4 2 7" xfId="391"/>
    <cellStyle name="20% - 强调文字颜色 1 4 2 8" xfId="392"/>
    <cellStyle name="20% - 强调文字颜色 1 4 2 9" xfId="393"/>
    <cellStyle name="20% - 强调文字颜色 1 4 20" xfId="394"/>
    <cellStyle name="20% - 强调文字颜色 1 4 21" xfId="395"/>
    <cellStyle name="20% - 强调文字颜色 1 4 22" xfId="396"/>
    <cellStyle name="20% - 强调文字颜色 1 4 23" xfId="397"/>
    <cellStyle name="20% - 强调文字颜色 1 4 24" xfId="398"/>
    <cellStyle name="20% - 强调文字颜色 1 4 25" xfId="399"/>
    <cellStyle name="20% - 强调文字颜色 1 4 26" xfId="400"/>
    <cellStyle name="20% - 强调文字颜色 1 4 27" xfId="401"/>
    <cellStyle name="20% - 强调文字颜色 1 4 28" xfId="402"/>
    <cellStyle name="20% - 强调文字颜色 1 4 3" xfId="403"/>
    <cellStyle name="20% - 强调文字颜色 1 4 4" xfId="404"/>
    <cellStyle name="20% - 强调文字颜色 1 4 5" xfId="405"/>
    <cellStyle name="20% - 强调文字颜色 1 4 6" xfId="406"/>
    <cellStyle name="20% - 强调文字颜色 1 4 7" xfId="407"/>
    <cellStyle name="20% - 强调文字颜色 1 4 8" xfId="408"/>
    <cellStyle name="20% - 强调文字颜色 1 4 9" xfId="409"/>
    <cellStyle name="20% - 强调文字颜色 1 40" xfId="410"/>
    <cellStyle name="20% - 强调文字颜色 1 5" xfId="411"/>
    <cellStyle name="20% - 强调文字颜色 1 5 10" xfId="412"/>
    <cellStyle name="20% - 强调文字颜色 1 5 11" xfId="413"/>
    <cellStyle name="20% - 强调文字颜色 1 5 12" xfId="414"/>
    <cellStyle name="20% - 强调文字颜色 1 5 13" xfId="415"/>
    <cellStyle name="20% - 强调文字颜色 1 5 14" xfId="416"/>
    <cellStyle name="20% - 强调文字颜色 1 5 15" xfId="417"/>
    <cellStyle name="20% - 强调文字颜色 1 5 16" xfId="418"/>
    <cellStyle name="20% - 强调文字颜色 1 5 17" xfId="419"/>
    <cellStyle name="20% - 强调文字颜色 1 5 18" xfId="420"/>
    <cellStyle name="20% - 强调文字颜色 1 5 19" xfId="421"/>
    <cellStyle name="20% - 强调文字颜色 1 5 2" xfId="422"/>
    <cellStyle name="20% - 强调文字颜色 1 5 2 10" xfId="423"/>
    <cellStyle name="20% - 强调文字颜色 1 5 2 11" xfId="424"/>
    <cellStyle name="20% - 强调文字颜色 1 5 2 12" xfId="425"/>
    <cellStyle name="20% - 强调文字颜色 1 5 2 13" xfId="426"/>
    <cellStyle name="20% - 强调文字颜色 1 5 2 14" xfId="427"/>
    <cellStyle name="20% - 强调文字颜色 1 5 2 15" xfId="428"/>
    <cellStyle name="20% - 强调文字颜色 1 5 2 16" xfId="429"/>
    <cellStyle name="20% - 强调文字颜色 1 5 2 17" xfId="430"/>
    <cellStyle name="20% - 强调文字颜色 1 5 2 18" xfId="431"/>
    <cellStyle name="20% - 强调文字颜色 1 5 2 19" xfId="432"/>
    <cellStyle name="20% - 强调文字颜色 1 5 2 2" xfId="433"/>
    <cellStyle name="20% - 强调文字颜色 1 5 2 20" xfId="434"/>
    <cellStyle name="20% - 强调文字颜色 1 5 2 21" xfId="435"/>
    <cellStyle name="20% - 强调文字颜色 1 5 2 22" xfId="436"/>
    <cellStyle name="20% - 强调文字颜色 1 5 2 23" xfId="437"/>
    <cellStyle name="20% - 强调文字颜色 1 5 2 24" xfId="438"/>
    <cellStyle name="20% - 强调文字颜色 1 5 2 25" xfId="439"/>
    <cellStyle name="20% - 强调文字颜色 1 5 2 26" xfId="440"/>
    <cellStyle name="20% - 强调文字颜色 1 5 2 27" xfId="441"/>
    <cellStyle name="20% - 强调文字颜色 1 5 2 3" xfId="442"/>
    <cellStyle name="20% - 强调文字颜色 1 5 2 4" xfId="443"/>
    <cellStyle name="20% - 强调文字颜色 1 5 2 5" xfId="444"/>
    <cellStyle name="20% - 强调文字颜色 1 5 2 6" xfId="445"/>
    <cellStyle name="20% - 强调文字颜色 1 5 2 7" xfId="446"/>
    <cellStyle name="20% - 强调文字颜色 1 5 2 8" xfId="447"/>
    <cellStyle name="20% - 强调文字颜色 1 5 2 9" xfId="448"/>
    <cellStyle name="20% - 强调文字颜色 1 5 20" xfId="449"/>
    <cellStyle name="20% - 强调文字颜色 1 5 21" xfId="450"/>
    <cellStyle name="20% - 强调文字颜色 1 5 22" xfId="451"/>
    <cellStyle name="20% - 强调文字颜色 1 5 23" xfId="452"/>
    <cellStyle name="20% - 强调文字颜色 1 5 24" xfId="453"/>
    <cellStyle name="20% - 强调文字颜色 1 5 25" xfId="454"/>
    <cellStyle name="20% - 强调文字颜色 1 5 26" xfId="455"/>
    <cellStyle name="20% - 强调文字颜色 1 5 27" xfId="456"/>
    <cellStyle name="20% - 强调文字颜色 1 5 28" xfId="457"/>
    <cellStyle name="20% - 强调文字颜色 1 5 3" xfId="458"/>
    <cellStyle name="20% - 强调文字颜色 1 5 4" xfId="459"/>
    <cellStyle name="20% - 强调文字颜色 1 5 5" xfId="460"/>
    <cellStyle name="20% - 强调文字颜色 1 5 6" xfId="461"/>
    <cellStyle name="20% - 强调文字颜色 1 5 7" xfId="462"/>
    <cellStyle name="20% - 强调文字颜色 1 5 8" xfId="463"/>
    <cellStyle name="20% - 强调文字颜色 1 5 9" xfId="464"/>
    <cellStyle name="20% - 强调文字颜色 1 6" xfId="465"/>
    <cellStyle name="20% - 强调文字颜色 1 6 10" xfId="466"/>
    <cellStyle name="20% - 强调文字颜色 1 6 11" xfId="467"/>
    <cellStyle name="20% - 强调文字颜色 1 6 12" xfId="468"/>
    <cellStyle name="20% - 强调文字颜色 1 6 13" xfId="469"/>
    <cellStyle name="20% - 强调文字颜色 1 6 14" xfId="470"/>
    <cellStyle name="20% - 强调文字颜色 1 6 15" xfId="471"/>
    <cellStyle name="20% - 强调文字颜色 1 6 16" xfId="472"/>
    <cellStyle name="20% - 强调文字颜色 1 6 17" xfId="473"/>
    <cellStyle name="20% - 强调文字颜色 1 6 18" xfId="474"/>
    <cellStyle name="20% - 强调文字颜色 1 6 19" xfId="475"/>
    <cellStyle name="20% - 强调文字颜色 1 6 2" xfId="476"/>
    <cellStyle name="20% - 强调文字颜色 1 6 2 10" xfId="477"/>
    <cellStyle name="20% - 强调文字颜色 1 6 2 11" xfId="478"/>
    <cellStyle name="20% - 强调文字颜色 1 6 2 12" xfId="479"/>
    <cellStyle name="20% - 强调文字颜色 1 6 2 13" xfId="480"/>
    <cellStyle name="20% - 强调文字颜色 1 6 2 14" xfId="481"/>
    <cellStyle name="20% - 强调文字颜色 1 6 2 15" xfId="482"/>
    <cellStyle name="20% - 强调文字颜色 1 6 2 16" xfId="483"/>
    <cellStyle name="20% - 强调文字颜色 1 6 2 17" xfId="484"/>
    <cellStyle name="20% - 强调文字颜色 1 6 2 18" xfId="485"/>
    <cellStyle name="20% - 强调文字颜色 1 6 2 19" xfId="486"/>
    <cellStyle name="20% - 强调文字颜色 1 6 2 2" xfId="487"/>
    <cellStyle name="20% - 强调文字颜色 1 6 2 20" xfId="488"/>
    <cellStyle name="20% - 强调文字颜色 1 6 2 21" xfId="489"/>
    <cellStyle name="20% - 强调文字颜色 1 6 2 22" xfId="490"/>
    <cellStyle name="20% - 强调文字颜色 1 6 2 23" xfId="491"/>
    <cellStyle name="20% - 强调文字颜色 1 6 2 24" xfId="492"/>
    <cellStyle name="20% - 强调文字颜色 1 6 2 25" xfId="493"/>
    <cellStyle name="20% - 强调文字颜色 1 6 2 26" xfId="494"/>
    <cellStyle name="20% - 强调文字颜色 1 6 2 27" xfId="495"/>
    <cellStyle name="20% - 强调文字颜色 1 6 2 3" xfId="496"/>
    <cellStyle name="20% - 强调文字颜色 1 6 2 4" xfId="497"/>
    <cellStyle name="20% - 强调文字颜色 1 6 2 5" xfId="498"/>
    <cellStyle name="20% - 强调文字颜色 1 6 2 6" xfId="499"/>
    <cellStyle name="20% - 强调文字颜色 1 6 2 7" xfId="500"/>
    <cellStyle name="20% - 强调文字颜色 1 6 2 8" xfId="501"/>
    <cellStyle name="20% - 强调文字颜色 1 6 2 9" xfId="502"/>
    <cellStyle name="20% - 强调文字颜色 1 6 20" xfId="503"/>
    <cellStyle name="20% - 强调文字颜色 1 6 21" xfId="504"/>
    <cellStyle name="20% - 强调文字颜色 1 6 22" xfId="505"/>
    <cellStyle name="20% - 强调文字颜色 1 6 23" xfId="506"/>
    <cellStyle name="20% - 强调文字颜色 1 6 24" xfId="507"/>
    <cellStyle name="20% - 强调文字颜色 1 6 25" xfId="508"/>
    <cellStyle name="20% - 强调文字颜色 1 6 26" xfId="509"/>
    <cellStyle name="20% - 强调文字颜色 1 6 27" xfId="510"/>
    <cellStyle name="20% - 强调文字颜色 1 6 28" xfId="511"/>
    <cellStyle name="20% - 强调文字颜色 1 6 3" xfId="512"/>
    <cellStyle name="20% - 强调文字颜色 1 6 4" xfId="513"/>
    <cellStyle name="20% - 强调文字颜色 1 6 5" xfId="514"/>
    <cellStyle name="20% - 强调文字颜色 1 6 6" xfId="515"/>
    <cellStyle name="20% - 强调文字颜色 1 6 7" xfId="516"/>
    <cellStyle name="20% - 强调文字颜色 1 6 8" xfId="517"/>
    <cellStyle name="20% - 强调文字颜色 1 6 9" xfId="518"/>
    <cellStyle name="20% - 强调文字颜色 1 7" xfId="519"/>
    <cellStyle name="20% - 强调文字颜色 1 7 10" xfId="520"/>
    <cellStyle name="20% - 强调文字颜色 1 7 11" xfId="521"/>
    <cellStyle name="20% - 强调文字颜色 1 7 12" xfId="522"/>
    <cellStyle name="20% - 强调文字颜色 1 7 13" xfId="523"/>
    <cellStyle name="20% - 强调文字颜色 1 7 14" xfId="524"/>
    <cellStyle name="20% - 强调文字颜色 1 7 15" xfId="525"/>
    <cellStyle name="20% - 强调文字颜色 1 7 16" xfId="526"/>
    <cellStyle name="20% - 强调文字颜色 1 7 17" xfId="527"/>
    <cellStyle name="20% - 强调文字颜色 1 7 18" xfId="528"/>
    <cellStyle name="20% - 强调文字颜色 1 7 19" xfId="529"/>
    <cellStyle name="20% - 强调文字颜色 1 7 2" xfId="530"/>
    <cellStyle name="20% - 强调文字颜色 1 7 2 10" xfId="531"/>
    <cellStyle name="20% - 强调文字颜色 1 7 2 11" xfId="532"/>
    <cellStyle name="20% - 强调文字颜色 1 7 2 12" xfId="533"/>
    <cellStyle name="20% - 强调文字颜色 1 7 2 13" xfId="534"/>
    <cellStyle name="20% - 强调文字颜色 1 7 2 14" xfId="535"/>
    <cellStyle name="20% - 强调文字颜色 1 7 2 15" xfId="536"/>
    <cellStyle name="20% - 强调文字颜色 1 7 2 16" xfId="537"/>
    <cellStyle name="20% - 强调文字颜色 1 7 2 17" xfId="538"/>
    <cellStyle name="20% - 强调文字颜色 1 7 2 18" xfId="539"/>
    <cellStyle name="20% - 强调文字颜色 1 7 2 19" xfId="540"/>
    <cellStyle name="20% - 强调文字颜色 1 7 2 2" xfId="541"/>
    <cellStyle name="20% - 强调文字颜色 1 7 2 20" xfId="542"/>
    <cellStyle name="20% - 强调文字颜色 1 7 2 21" xfId="543"/>
    <cellStyle name="20% - 强调文字颜色 1 7 2 22" xfId="544"/>
    <cellStyle name="20% - 强调文字颜色 1 7 2 23" xfId="545"/>
    <cellStyle name="20% - 强调文字颜色 1 7 2 24" xfId="546"/>
    <cellStyle name="20% - 强调文字颜色 1 7 2 25" xfId="547"/>
    <cellStyle name="20% - 强调文字颜色 1 7 2 26" xfId="548"/>
    <cellStyle name="20% - 强调文字颜色 1 7 2 27" xfId="549"/>
    <cellStyle name="20% - 强调文字颜色 1 7 2 3" xfId="550"/>
    <cellStyle name="20% - 强调文字颜色 1 7 2 4" xfId="551"/>
    <cellStyle name="20% - 强调文字颜色 1 7 2 5" xfId="552"/>
    <cellStyle name="20% - 强调文字颜色 1 7 2 6" xfId="553"/>
    <cellStyle name="20% - 强调文字颜色 1 7 2 7" xfId="554"/>
    <cellStyle name="20% - 强调文字颜色 1 7 2 8" xfId="555"/>
    <cellStyle name="20% - 强调文字颜色 1 7 2 9" xfId="556"/>
    <cellStyle name="20% - 强调文字颜色 1 7 20" xfId="557"/>
    <cellStyle name="20% - 强调文字颜色 1 7 21" xfId="558"/>
    <cellStyle name="20% - 强调文字颜色 1 7 22" xfId="559"/>
    <cellStyle name="20% - 强调文字颜色 1 7 23" xfId="560"/>
    <cellStyle name="20% - 强调文字颜色 1 7 24" xfId="561"/>
    <cellStyle name="20% - 强调文字颜色 1 7 25" xfId="562"/>
    <cellStyle name="20% - 强调文字颜色 1 7 26" xfId="563"/>
    <cellStyle name="20% - 强调文字颜色 1 7 27" xfId="564"/>
    <cellStyle name="20% - 强调文字颜色 1 7 28" xfId="565"/>
    <cellStyle name="20% - 强调文字颜色 1 7 3" xfId="566"/>
    <cellStyle name="20% - 强调文字颜色 1 7 4" xfId="567"/>
    <cellStyle name="20% - 强调文字颜色 1 7 5" xfId="568"/>
    <cellStyle name="20% - 强调文字颜色 1 7 6" xfId="569"/>
    <cellStyle name="20% - 强调文字颜色 1 7 7" xfId="570"/>
    <cellStyle name="20% - 强调文字颜色 1 7 8" xfId="571"/>
    <cellStyle name="20% - 强调文字颜色 1 7 9" xfId="572"/>
    <cellStyle name="20% - 强调文字颜色 1 8" xfId="573"/>
    <cellStyle name="20% - 强调文字颜色 1 8 10" xfId="574"/>
    <cellStyle name="20% - 强调文字颜色 1 8 11" xfId="575"/>
    <cellStyle name="20% - 强调文字颜色 1 8 12" xfId="576"/>
    <cellStyle name="20% - 强调文字颜色 1 8 13" xfId="577"/>
    <cellStyle name="20% - 强调文字颜色 1 8 14" xfId="578"/>
    <cellStyle name="20% - 强调文字颜色 1 8 15" xfId="579"/>
    <cellStyle name="20% - 强调文字颜色 1 8 16" xfId="580"/>
    <cellStyle name="20% - 强调文字颜色 1 8 17" xfId="581"/>
    <cellStyle name="20% - 强调文字颜色 1 8 18" xfId="582"/>
    <cellStyle name="20% - 强调文字颜色 1 8 19" xfId="583"/>
    <cellStyle name="20% - 强调文字颜色 1 8 2" xfId="584"/>
    <cellStyle name="20% - 强调文字颜色 1 8 2 10" xfId="585"/>
    <cellStyle name="20% - 强调文字颜色 1 8 2 11" xfId="586"/>
    <cellStyle name="20% - 强调文字颜色 1 8 2 12" xfId="587"/>
    <cellStyle name="20% - 强调文字颜色 1 8 2 13" xfId="588"/>
    <cellStyle name="20% - 强调文字颜色 1 8 2 14" xfId="589"/>
    <cellStyle name="20% - 强调文字颜色 1 8 2 15" xfId="590"/>
    <cellStyle name="20% - 强调文字颜色 1 8 2 16" xfId="591"/>
    <cellStyle name="20% - 强调文字颜色 1 8 2 17" xfId="592"/>
    <cellStyle name="20% - 强调文字颜色 1 8 2 18" xfId="593"/>
    <cellStyle name="20% - 强调文字颜色 1 8 2 19" xfId="594"/>
    <cellStyle name="20% - 强调文字颜色 1 8 2 2" xfId="595"/>
    <cellStyle name="20% - 强调文字颜色 1 8 2 20" xfId="596"/>
    <cellStyle name="20% - 强调文字颜色 1 8 2 21" xfId="597"/>
    <cellStyle name="20% - 强调文字颜色 1 8 2 22" xfId="598"/>
    <cellStyle name="20% - 强调文字颜色 1 8 2 23" xfId="599"/>
    <cellStyle name="20% - 强调文字颜色 1 8 2 24" xfId="600"/>
    <cellStyle name="20% - 强调文字颜色 1 8 2 25" xfId="601"/>
    <cellStyle name="20% - 强调文字颜色 1 8 2 26" xfId="602"/>
    <cellStyle name="20% - 强调文字颜色 1 8 2 27" xfId="603"/>
    <cellStyle name="20% - 强调文字颜色 1 8 2 3" xfId="604"/>
    <cellStyle name="20% - 强调文字颜色 1 8 2 4" xfId="605"/>
    <cellStyle name="20% - 强调文字颜色 1 8 2 5" xfId="606"/>
    <cellStyle name="20% - 强调文字颜色 1 8 2 6" xfId="607"/>
    <cellStyle name="20% - 强调文字颜色 1 8 2 7" xfId="608"/>
    <cellStyle name="20% - 强调文字颜色 1 8 2 8" xfId="609"/>
    <cellStyle name="20% - 强调文字颜色 1 8 2 9" xfId="610"/>
    <cellStyle name="20% - 强调文字颜色 1 8 20" xfId="611"/>
    <cellStyle name="20% - 强调文字颜色 1 8 21" xfId="612"/>
    <cellStyle name="20% - 强调文字颜色 1 8 22" xfId="613"/>
    <cellStyle name="20% - 强调文字颜色 1 8 23" xfId="614"/>
    <cellStyle name="20% - 强调文字颜色 1 8 24" xfId="615"/>
    <cellStyle name="20% - 强调文字颜色 1 8 25" xfId="616"/>
    <cellStyle name="20% - 强调文字颜色 1 8 26" xfId="617"/>
    <cellStyle name="20% - 强调文字颜色 1 8 27" xfId="618"/>
    <cellStyle name="20% - 强调文字颜色 1 8 28" xfId="619"/>
    <cellStyle name="20% - 强调文字颜色 1 8 3" xfId="620"/>
    <cellStyle name="20% - 强调文字颜色 1 8 4" xfId="621"/>
    <cellStyle name="20% - 强调文字颜色 1 8 5" xfId="622"/>
    <cellStyle name="20% - 强调文字颜色 1 8 6" xfId="623"/>
    <cellStyle name="20% - 强调文字颜色 1 8 7" xfId="624"/>
    <cellStyle name="20% - 强调文字颜色 1 8 8" xfId="625"/>
    <cellStyle name="20% - 强调文字颜色 1 8 9" xfId="626"/>
    <cellStyle name="20% - 强调文字颜色 1 9" xfId="627"/>
    <cellStyle name="20% - 强调文字颜色 1 9 10" xfId="628"/>
    <cellStyle name="20% - 强调文字颜色 1 9 11" xfId="629"/>
    <cellStyle name="20% - 强调文字颜色 1 9 12" xfId="630"/>
    <cellStyle name="20% - 强调文字颜色 1 9 13" xfId="631"/>
    <cellStyle name="20% - 强调文字颜色 1 9 14" xfId="632"/>
    <cellStyle name="20% - 强调文字颜色 1 9 15" xfId="633"/>
    <cellStyle name="20% - 强调文字颜色 1 9 16" xfId="634"/>
    <cellStyle name="20% - 强调文字颜色 1 9 17" xfId="635"/>
    <cellStyle name="20% - 强调文字颜色 1 9 18" xfId="636"/>
    <cellStyle name="20% - 强调文字颜色 1 9 19" xfId="637"/>
    <cellStyle name="20% - 强调文字颜色 1 9 2" xfId="638"/>
    <cellStyle name="20% - 强调文字颜色 1 9 2 10" xfId="639"/>
    <cellStyle name="20% - 强调文字颜色 1 9 2 11" xfId="640"/>
    <cellStyle name="20% - 强调文字颜色 1 9 2 12" xfId="641"/>
    <cellStyle name="20% - 强调文字颜色 1 9 2 13" xfId="642"/>
    <cellStyle name="20% - 强调文字颜色 1 9 2 14" xfId="643"/>
    <cellStyle name="20% - 强调文字颜色 1 9 2 15" xfId="644"/>
    <cellStyle name="20% - 强调文字颜色 1 9 2 16" xfId="645"/>
    <cellStyle name="20% - 强调文字颜色 1 9 2 17" xfId="646"/>
    <cellStyle name="20% - 强调文字颜色 1 9 2 18" xfId="647"/>
    <cellStyle name="20% - 强调文字颜色 1 9 2 19" xfId="648"/>
    <cellStyle name="20% - 强调文字颜色 1 9 2 2" xfId="649"/>
    <cellStyle name="20% - 强调文字颜色 1 9 2 20" xfId="650"/>
    <cellStyle name="20% - 强调文字颜色 1 9 2 21" xfId="651"/>
    <cellStyle name="20% - 强调文字颜色 1 9 2 22" xfId="652"/>
    <cellStyle name="20% - 强调文字颜色 1 9 2 23" xfId="653"/>
    <cellStyle name="20% - 强调文字颜色 1 9 2 24" xfId="654"/>
    <cellStyle name="20% - 强调文字颜色 1 9 2 25" xfId="655"/>
    <cellStyle name="20% - 强调文字颜色 1 9 2 26" xfId="656"/>
    <cellStyle name="20% - 强调文字颜色 1 9 2 27" xfId="657"/>
    <cellStyle name="20% - 强调文字颜色 1 9 2 3" xfId="658"/>
    <cellStyle name="20% - 强调文字颜色 1 9 2 4" xfId="659"/>
    <cellStyle name="20% - 强调文字颜色 1 9 2 5" xfId="660"/>
    <cellStyle name="20% - 强调文字颜色 1 9 2 6" xfId="661"/>
    <cellStyle name="20% - 强调文字颜色 1 9 2 7" xfId="662"/>
    <cellStyle name="20% - 强调文字颜色 1 9 2 8" xfId="663"/>
    <cellStyle name="20% - 强调文字颜色 1 9 2 9" xfId="664"/>
    <cellStyle name="20% - 强调文字颜色 1 9 20" xfId="665"/>
    <cellStyle name="20% - 强调文字颜色 1 9 21" xfId="666"/>
    <cellStyle name="20% - 强调文字颜色 1 9 22" xfId="667"/>
    <cellStyle name="20% - 强调文字颜色 1 9 23" xfId="668"/>
    <cellStyle name="20% - 强调文字颜色 1 9 24" xfId="669"/>
    <cellStyle name="20% - 强调文字颜色 1 9 25" xfId="670"/>
    <cellStyle name="20% - 强调文字颜色 1 9 26" xfId="671"/>
    <cellStyle name="20% - 强调文字颜色 1 9 27" xfId="672"/>
    <cellStyle name="20% - 强调文字颜色 1 9 28" xfId="673"/>
    <cellStyle name="20% - 强调文字颜色 1 9 3" xfId="674"/>
    <cellStyle name="20% - 强调文字颜色 1 9 4" xfId="675"/>
    <cellStyle name="20% - 强调文字颜色 1 9 5" xfId="676"/>
    <cellStyle name="20% - 强调文字颜色 1 9 6" xfId="677"/>
    <cellStyle name="20% - 强调文字颜色 1 9 7" xfId="678"/>
    <cellStyle name="20% - 强调文字颜色 1 9 8" xfId="679"/>
    <cellStyle name="20% - 强调文字颜色 1 9 9" xfId="680"/>
    <cellStyle name="20% - 强调文字颜色 2 10" xfId="681"/>
    <cellStyle name="20% - 强调文字颜色 2 10 10" xfId="682"/>
    <cellStyle name="20% - 强调文字颜色 2 10 11" xfId="683"/>
    <cellStyle name="20% - 强调文字颜色 2 10 12" xfId="684"/>
    <cellStyle name="20% - 强调文字颜色 2 10 13" xfId="685"/>
    <cellStyle name="20% - 强调文字颜色 2 10 14" xfId="686"/>
    <cellStyle name="20% - 强调文字颜色 2 10 15" xfId="687"/>
    <cellStyle name="20% - 强调文字颜色 2 10 16" xfId="688"/>
    <cellStyle name="20% - 强调文字颜色 2 10 17" xfId="689"/>
    <cellStyle name="20% - 强调文字颜色 2 10 18" xfId="690"/>
    <cellStyle name="20% - 强调文字颜色 2 10 19" xfId="691"/>
    <cellStyle name="20% - 强调文字颜色 2 10 2" xfId="692"/>
    <cellStyle name="20% - 强调文字颜色 2 10 2 10" xfId="693"/>
    <cellStyle name="20% - 强调文字颜色 2 10 2 11" xfId="694"/>
    <cellStyle name="20% - 强调文字颜色 2 10 2 12" xfId="695"/>
    <cellStyle name="20% - 强调文字颜色 2 10 2 13" xfId="696"/>
    <cellStyle name="20% - 强调文字颜色 2 10 2 14" xfId="697"/>
    <cellStyle name="20% - 强调文字颜色 2 10 2 15" xfId="698"/>
    <cellStyle name="20% - 强调文字颜色 2 10 2 16" xfId="699"/>
    <cellStyle name="20% - 强调文字颜色 2 10 2 17" xfId="700"/>
    <cellStyle name="20% - 强调文字颜色 2 10 2 18" xfId="701"/>
    <cellStyle name="20% - 强调文字颜色 2 10 2 19" xfId="702"/>
    <cellStyle name="20% - 强调文字颜色 2 10 2 2" xfId="703"/>
    <cellStyle name="20% - 强调文字颜色 2 10 2 20" xfId="704"/>
    <cellStyle name="20% - 强调文字颜色 2 10 2 21" xfId="705"/>
    <cellStyle name="20% - 强调文字颜色 2 10 2 22" xfId="706"/>
    <cellStyle name="20% - 强调文字颜色 2 10 2 23" xfId="707"/>
    <cellStyle name="20% - 强调文字颜色 2 10 2 24" xfId="708"/>
    <cellStyle name="20% - 强调文字颜色 2 10 2 25" xfId="709"/>
    <cellStyle name="20% - 强调文字颜色 2 10 2 26" xfId="710"/>
    <cellStyle name="20% - 强调文字颜色 2 10 2 27" xfId="711"/>
    <cellStyle name="20% - 强调文字颜色 2 10 2 3" xfId="712"/>
    <cellStyle name="20% - 强调文字颜色 2 10 2 4" xfId="713"/>
    <cellStyle name="20% - 强调文字颜色 2 10 2 5" xfId="714"/>
    <cellStyle name="20% - 强调文字颜色 2 10 2 6" xfId="715"/>
    <cellStyle name="20% - 强调文字颜色 2 10 2 7" xfId="716"/>
    <cellStyle name="20% - 强调文字颜色 2 10 2 8" xfId="717"/>
    <cellStyle name="20% - 强调文字颜色 2 10 2 9" xfId="718"/>
    <cellStyle name="20% - 强调文字颜色 2 10 20" xfId="719"/>
    <cellStyle name="20% - 强调文字颜色 2 10 21" xfId="720"/>
    <cellStyle name="20% - 强调文字颜色 2 10 22" xfId="721"/>
    <cellStyle name="20% - 强调文字颜色 2 10 23" xfId="722"/>
    <cellStyle name="20% - 强调文字颜色 2 10 24" xfId="723"/>
    <cellStyle name="20% - 强调文字颜色 2 10 25" xfId="724"/>
    <cellStyle name="20% - 强调文字颜色 2 10 26" xfId="725"/>
    <cellStyle name="20% - 强调文字颜色 2 10 27" xfId="726"/>
    <cellStyle name="20% - 强调文字颜色 2 10 28" xfId="727"/>
    <cellStyle name="20% - 强调文字颜色 2 10 3" xfId="728"/>
    <cellStyle name="20% - 强调文字颜色 2 10 4" xfId="729"/>
    <cellStyle name="20% - 强调文字颜色 2 10 5" xfId="730"/>
    <cellStyle name="20% - 强调文字颜色 2 10 6" xfId="731"/>
    <cellStyle name="20% - 强调文字颜色 2 10 7" xfId="732"/>
    <cellStyle name="20% - 强调文字颜色 2 10 8" xfId="733"/>
    <cellStyle name="20% - 强调文字颜色 2 10 9" xfId="734"/>
    <cellStyle name="20% - 强调文字颜色 2 11" xfId="735"/>
    <cellStyle name="20% - 强调文字颜色 2 11 10" xfId="736"/>
    <cellStyle name="20% - 强调文字颜色 2 11 11" xfId="737"/>
    <cellStyle name="20% - 强调文字颜色 2 11 12" xfId="738"/>
    <cellStyle name="20% - 强调文字颜色 2 11 13" xfId="739"/>
    <cellStyle name="20% - 强调文字颜色 2 11 14" xfId="740"/>
    <cellStyle name="20% - 强调文字颜色 2 11 15" xfId="741"/>
    <cellStyle name="20% - 强调文字颜色 2 11 16" xfId="742"/>
    <cellStyle name="20% - 强调文字颜色 2 11 17" xfId="743"/>
    <cellStyle name="20% - 强调文字颜色 2 11 18" xfId="744"/>
    <cellStyle name="20% - 强调文字颜色 2 11 19" xfId="745"/>
    <cellStyle name="20% - 强调文字颜色 2 11 2" xfId="746"/>
    <cellStyle name="20% - 强调文字颜色 2 11 2 10" xfId="747"/>
    <cellStyle name="20% - 强调文字颜色 2 11 2 11" xfId="748"/>
    <cellStyle name="20% - 强调文字颜色 2 11 2 12" xfId="749"/>
    <cellStyle name="20% - 强调文字颜色 2 11 2 13" xfId="750"/>
    <cellStyle name="20% - 强调文字颜色 2 11 2 14" xfId="751"/>
    <cellStyle name="20% - 强调文字颜色 2 11 2 15" xfId="752"/>
    <cellStyle name="20% - 强调文字颜色 2 11 2 16" xfId="753"/>
    <cellStyle name="20% - 强调文字颜色 2 11 2 17" xfId="754"/>
    <cellStyle name="20% - 强调文字颜色 2 11 2 18" xfId="755"/>
    <cellStyle name="20% - 强调文字颜色 2 11 2 19" xfId="756"/>
    <cellStyle name="20% - 强调文字颜色 2 11 2 2" xfId="757"/>
    <cellStyle name="20% - 强调文字颜色 2 11 2 20" xfId="758"/>
    <cellStyle name="20% - 强调文字颜色 2 11 2 21" xfId="759"/>
    <cellStyle name="20% - 强调文字颜色 2 11 2 22" xfId="760"/>
    <cellStyle name="20% - 强调文字颜色 2 11 2 23" xfId="761"/>
    <cellStyle name="20% - 强调文字颜色 2 11 2 24" xfId="762"/>
    <cellStyle name="20% - 强调文字颜色 2 11 2 25" xfId="763"/>
    <cellStyle name="20% - 强调文字颜色 2 11 2 26" xfId="764"/>
    <cellStyle name="20% - 强调文字颜色 2 11 2 27" xfId="765"/>
    <cellStyle name="20% - 强调文字颜色 2 11 2 3" xfId="766"/>
    <cellStyle name="20% - 强调文字颜色 2 11 2 4" xfId="767"/>
    <cellStyle name="20% - 强调文字颜色 2 11 2 5" xfId="768"/>
    <cellStyle name="20% - 强调文字颜色 2 11 2 6" xfId="769"/>
    <cellStyle name="20% - 强调文字颜色 2 11 2 7" xfId="770"/>
    <cellStyle name="20% - 强调文字颜色 2 11 2 8" xfId="771"/>
    <cellStyle name="20% - 强调文字颜色 2 11 2 9" xfId="772"/>
    <cellStyle name="20% - 强调文字颜色 2 11 20" xfId="773"/>
    <cellStyle name="20% - 强调文字颜色 2 11 21" xfId="774"/>
    <cellStyle name="20% - 强调文字颜色 2 11 22" xfId="775"/>
    <cellStyle name="20% - 强调文字颜色 2 11 23" xfId="776"/>
    <cellStyle name="20% - 强调文字颜色 2 11 24" xfId="777"/>
    <cellStyle name="20% - 强调文字颜色 2 11 25" xfId="778"/>
    <cellStyle name="20% - 强调文字颜色 2 11 26" xfId="779"/>
    <cellStyle name="20% - 强调文字颜色 2 11 27" xfId="780"/>
    <cellStyle name="20% - 强调文字颜色 2 11 28" xfId="781"/>
    <cellStyle name="20% - 强调文字颜色 2 11 3" xfId="782"/>
    <cellStyle name="20% - 强调文字颜色 2 11 4" xfId="783"/>
    <cellStyle name="20% - 强调文字颜色 2 11 5" xfId="784"/>
    <cellStyle name="20% - 强调文字颜色 2 11 6" xfId="785"/>
    <cellStyle name="20% - 强调文字颜色 2 11 7" xfId="786"/>
    <cellStyle name="20% - 强调文字颜色 2 11 8" xfId="787"/>
    <cellStyle name="20% - 强调文字颜色 2 11 9" xfId="788"/>
    <cellStyle name="20% - 强调文字颜色 2 12" xfId="789"/>
    <cellStyle name="20% - 强调文字颜色 2 13" xfId="790"/>
    <cellStyle name="20% - 强调文字颜色 2 14" xfId="791"/>
    <cellStyle name="20% - 强调文字颜色 2 15" xfId="792"/>
    <cellStyle name="20% - 强调文字颜色 2 16" xfId="793"/>
    <cellStyle name="20% - 强调文字颜色 2 17" xfId="794"/>
    <cellStyle name="20% - 强调文字颜色 2 18" xfId="795"/>
    <cellStyle name="20% - 强调文字颜色 2 19" xfId="796"/>
    <cellStyle name="20% - 强调文字颜色 2 2" xfId="797"/>
    <cellStyle name="20% - 强调文字颜色 2 2 10" xfId="798"/>
    <cellStyle name="20% - 强调文字颜色 2 2 11" xfId="799"/>
    <cellStyle name="20% - 强调文字颜色 2 2 12" xfId="800"/>
    <cellStyle name="20% - 强调文字颜色 2 2 13" xfId="801"/>
    <cellStyle name="20% - 强调文字颜色 2 2 14" xfId="802"/>
    <cellStyle name="20% - 强调文字颜色 2 2 15" xfId="803"/>
    <cellStyle name="20% - 强调文字颜色 2 2 16" xfId="804"/>
    <cellStyle name="20% - 强调文字颜色 2 2 17" xfId="805"/>
    <cellStyle name="20% - 强调文字颜色 2 2 18" xfId="806"/>
    <cellStyle name="20% - 强调文字颜色 2 2 19" xfId="807"/>
    <cellStyle name="20% - 强调文字颜色 2 2 2" xfId="808"/>
    <cellStyle name="20% - 强调文字颜色 2 2 2 10" xfId="809"/>
    <cellStyle name="20% - 强调文字颜色 2 2 2 11" xfId="810"/>
    <cellStyle name="20% - 强调文字颜色 2 2 2 12" xfId="811"/>
    <cellStyle name="20% - 强调文字颜色 2 2 2 13" xfId="812"/>
    <cellStyle name="20% - 强调文字颜色 2 2 2 14" xfId="813"/>
    <cellStyle name="20% - 强调文字颜色 2 2 2 15" xfId="814"/>
    <cellStyle name="20% - 强调文字颜色 2 2 2 16" xfId="815"/>
    <cellStyle name="20% - 强调文字颜色 2 2 2 17" xfId="816"/>
    <cellStyle name="20% - 强调文字颜色 2 2 2 18" xfId="817"/>
    <cellStyle name="20% - 强调文字颜色 2 2 2 19" xfId="818"/>
    <cellStyle name="20% - 强调文字颜色 2 2 2 2" xfId="819"/>
    <cellStyle name="20% - 强调文字颜色 2 2 2 2 10" xfId="820"/>
    <cellStyle name="20% - 强调文字颜色 2 2 2 2 11" xfId="821"/>
    <cellStyle name="20% - 强调文字颜色 2 2 2 2 12" xfId="822"/>
    <cellStyle name="20% - 强调文字颜色 2 2 2 2 13" xfId="823"/>
    <cellStyle name="20% - 强调文字颜色 2 2 2 2 14" xfId="824"/>
    <cellStyle name="20% - 强调文字颜色 2 2 2 2 15" xfId="825"/>
    <cellStyle name="20% - 强调文字颜色 2 2 2 2 16" xfId="826"/>
    <cellStyle name="20% - 强调文字颜色 2 2 2 2 17" xfId="827"/>
    <cellStyle name="20% - 强调文字颜色 2 2 2 2 18" xfId="828"/>
    <cellStyle name="20% - 强调文字颜色 2 2 2 2 19" xfId="829"/>
    <cellStyle name="20% - 强调文字颜色 2 2 2 2 2" xfId="830"/>
    <cellStyle name="20% - 强调文字颜色 2 2 2 2 20" xfId="831"/>
    <cellStyle name="20% - 强调文字颜色 2 2 2 2 21" xfId="832"/>
    <cellStyle name="20% - 强调文字颜色 2 2 2 2 22" xfId="833"/>
    <cellStyle name="20% - 强调文字颜色 2 2 2 2 23" xfId="834"/>
    <cellStyle name="20% - 强调文字颜色 2 2 2 2 24" xfId="835"/>
    <cellStyle name="20% - 强调文字颜色 2 2 2 2 25" xfId="836"/>
    <cellStyle name="20% - 强调文字颜色 2 2 2 2 26" xfId="837"/>
    <cellStyle name="20% - 强调文字颜色 2 2 2 2 27" xfId="838"/>
    <cellStyle name="20% - 强调文字颜色 2 2 2 2 3" xfId="839"/>
    <cellStyle name="20% - 强调文字颜色 2 2 2 2 4" xfId="840"/>
    <cellStyle name="20% - 强调文字颜色 2 2 2 2 5" xfId="841"/>
    <cellStyle name="20% - 强调文字颜色 2 2 2 2 6" xfId="842"/>
    <cellStyle name="20% - 强调文字颜色 2 2 2 2 7" xfId="843"/>
    <cellStyle name="20% - 强调文字颜色 2 2 2 2 8" xfId="844"/>
    <cellStyle name="20% - 强调文字颜色 2 2 2 2 9" xfId="845"/>
    <cellStyle name="20% - 强调文字颜色 2 2 2 20" xfId="846"/>
    <cellStyle name="20% - 强调文字颜色 2 2 2 21" xfId="847"/>
    <cellStyle name="20% - 强调文字颜色 2 2 2 22" xfId="848"/>
    <cellStyle name="20% - 强调文字颜色 2 2 2 23" xfId="849"/>
    <cellStyle name="20% - 强调文字颜色 2 2 2 24" xfId="850"/>
    <cellStyle name="20% - 强调文字颜色 2 2 2 25" xfId="851"/>
    <cellStyle name="20% - 强调文字颜色 2 2 2 26" xfId="852"/>
    <cellStyle name="20% - 强调文字颜色 2 2 2 27" xfId="853"/>
    <cellStyle name="20% - 强调文字颜色 2 2 2 28" xfId="854"/>
    <cellStyle name="20% - 强调文字颜色 2 2 2 3" xfId="855"/>
    <cellStyle name="20% - 强调文字颜色 2 2 2 4" xfId="856"/>
    <cellStyle name="20% - 强调文字颜色 2 2 2 5" xfId="857"/>
    <cellStyle name="20% - 强调文字颜色 2 2 2 6" xfId="858"/>
    <cellStyle name="20% - 强调文字颜色 2 2 2 7" xfId="859"/>
    <cellStyle name="20% - 强调文字颜色 2 2 2 8" xfId="860"/>
    <cellStyle name="20% - 强调文字颜色 2 2 2 9" xfId="861"/>
    <cellStyle name="20% - 强调文字颜色 2 2 20" xfId="862"/>
    <cellStyle name="20% - 强调文字颜色 2 2 21" xfId="863"/>
    <cellStyle name="20% - 强调文字颜色 2 2 22" xfId="864"/>
    <cellStyle name="20% - 强调文字颜色 2 2 23" xfId="865"/>
    <cellStyle name="20% - 强调文字颜色 2 2 24" xfId="866"/>
    <cellStyle name="20% - 强调文字颜色 2 2 25" xfId="867"/>
    <cellStyle name="20% - 强调文字颜色 2 2 26" xfId="868"/>
    <cellStyle name="20% - 强调文字颜色 2 2 27" xfId="869"/>
    <cellStyle name="20% - 强调文字颜色 2 2 28" xfId="870"/>
    <cellStyle name="20% - 强调文字颜色 2 2 29" xfId="871"/>
    <cellStyle name="20% - 强调文字颜色 2 2 3" xfId="872"/>
    <cellStyle name="20% - 强调文字颜色 2 2 3 10" xfId="873"/>
    <cellStyle name="20% - 强调文字颜色 2 2 3 11" xfId="874"/>
    <cellStyle name="20% - 强调文字颜色 2 2 3 12" xfId="875"/>
    <cellStyle name="20% - 强调文字颜色 2 2 3 13" xfId="876"/>
    <cellStyle name="20% - 强调文字颜色 2 2 3 14" xfId="877"/>
    <cellStyle name="20% - 强调文字颜色 2 2 3 15" xfId="878"/>
    <cellStyle name="20% - 强调文字颜色 2 2 3 16" xfId="879"/>
    <cellStyle name="20% - 强调文字颜色 2 2 3 17" xfId="880"/>
    <cellStyle name="20% - 强调文字颜色 2 2 3 18" xfId="881"/>
    <cellStyle name="20% - 强调文字颜色 2 2 3 19" xfId="882"/>
    <cellStyle name="20% - 强调文字颜色 2 2 3 2" xfId="883"/>
    <cellStyle name="20% - 强调文字颜色 2 2 3 2 10" xfId="884"/>
    <cellStyle name="20% - 强调文字颜色 2 2 3 2 11" xfId="885"/>
    <cellStyle name="20% - 强调文字颜色 2 2 3 2 12" xfId="886"/>
    <cellStyle name="20% - 强调文字颜色 2 2 3 2 13" xfId="887"/>
    <cellStyle name="20% - 强调文字颜色 2 2 3 2 14" xfId="888"/>
    <cellStyle name="20% - 强调文字颜色 2 2 3 2 15" xfId="889"/>
    <cellStyle name="20% - 强调文字颜色 2 2 3 2 16" xfId="890"/>
    <cellStyle name="20% - 强调文字颜色 2 2 3 2 17" xfId="891"/>
    <cellStyle name="20% - 强调文字颜色 2 2 3 2 18" xfId="892"/>
    <cellStyle name="20% - 强调文字颜色 2 2 3 2 19" xfId="893"/>
    <cellStyle name="20% - 强调文字颜色 2 2 3 2 2" xfId="894"/>
    <cellStyle name="20% - 强调文字颜色 2 2 3 2 20" xfId="895"/>
    <cellStyle name="20% - 强调文字颜色 2 2 3 2 21" xfId="896"/>
    <cellStyle name="20% - 强调文字颜色 2 2 3 2 22" xfId="897"/>
    <cellStyle name="20% - 强调文字颜色 2 2 3 2 23" xfId="898"/>
    <cellStyle name="20% - 强调文字颜色 2 2 3 2 24" xfId="899"/>
    <cellStyle name="20% - 强调文字颜色 2 2 3 2 25" xfId="900"/>
    <cellStyle name="20% - 强调文字颜色 2 2 3 2 26" xfId="901"/>
    <cellStyle name="20% - 强调文字颜色 2 2 3 2 27" xfId="902"/>
    <cellStyle name="20% - 强调文字颜色 2 2 3 2 3" xfId="903"/>
    <cellStyle name="20% - 强调文字颜色 2 2 3 2 4" xfId="904"/>
    <cellStyle name="20% - 强调文字颜色 2 2 3 2 5" xfId="905"/>
    <cellStyle name="20% - 强调文字颜色 2 2 3 2 6" xfId="906"/>
    <cellStyle name="20% - 强调文字颜色 2 2 3 2 7" xfId="907"/>
    <cellStyle name="20% - 强调文字颜色 2 2 3 2 8" xfId="908"/>
    <cellStyle name="20% - 强调文字颜色 2 2 3 2 9" xfId="909"/>
    <cellStyle name="20% - 强调文字颜色 2 2 3 20" xfId="910"/>
    <cellStyle name="20% - 强调文字颜色 2 2 3 21" xfId="911"/>
    <cellStyle name="20% - 强调文字颜色 2 2 3 22" xfId="912"/>
    <cellStyle name="20% - 强调文字颜色 2 2 3 23" xfId="913"/>
    <cellStyle name="20% - 强调文字颜色 2 2 3 24" xfId="914"/>
    <cellStyle name="20% - 强调文字颜色 2 2 3 25" xfId="915"/>
    <cellStyle name="20% - 强调文字颜色 2 2 3 26" xfId="916"/>
    <cellStyle name="20% - 强调文字颜色 2 2 3 27" xfId="917"/>
    <cellStyle name="20% - 强调文字颜色 2 2 3 28" xfId="918"/>
    <cellStyle name="20% - 强调文字颜色 2 2 3 3" xfId="919"/>
    <cellStyle name="20% - 强调文字颜色 2 2 3 4" xfId="920"/>
    <cellStyle name="20% - 强调文字颜色 2 2 3 5" xfId="921"/>
    <cellStyle name="20% - 强调文字颜色 2 2 3 6" xfId="922"/>
    <cellStyle name="20% - 强调文字颜色 2 2 3 7" xfId="923"/>
    <cellStyle name="20% - 强调文字颜色 2 2 3 8" xfId="924"/>
    <cellStyle name="20% - 强调文字颜色 2 2 3 9" xfId="925"/>
    <cellStyle name="20% - 强调文字颜色 2 2 30" xfId="926"/>
    <cellStyle name="20% - 强调文字颜色 2 2 31" xfId="927"/>
    <cellStyle name="20% - 强调文字颜色 2 2 32" xfId="928"/>
    <cellStyle name="20% - 强调文字颜色 2 2 33" xfId="929"/>
    <cellStyle name="20% - 强调文字颜色 2 2 4" xfId="930"/>
    <cellStyle name="20% - 强调文字颜色 2 2 4 10" xfId="931"/>
    <cellStyle name="20% - 强调文字颜色 2 2 4 11" xfId="932"/>
    <cellStyle name="20% - 强调文字颜色 2 2 4 12" xfId="933"/>
    <cellStyle name="20% - 强调文字颜色 2 2 4 13" xfId="934"/>
    <cellStyle name="20% - 强调文字颜色 2 2 4 14" xfId="935"/>
    <cellStyle name="20% - 强调文字颜色 2 2 4 15" xfId="936"/>
    <cellStyle name="20% - 强调文字颜色 2 2 4 16" xfId="937"/>
    <cellStyle name="20% - 强调文字颜色 2 2 4 17" xfId="938"/>
    <cellStyle name="20% - 强调文字颜色 2 2 4 18" xfId="939"/>
    <cellStyle name="20% - 强调文字颜色 2 2 4 19" xfId="940"/>
    <cellStyle name="20% - 强调文字颜色 2 2 4 2" xfId="941"/>
    <cellStyle name="20% - 强调文字颜色 2 2 4 20" xfId="942"/>
    <cellStyle name="20% - 强调文字颜色 2 2 4 21" xfId="943"/>
    <cellStyle name="20% - 强调文字颜色 2 2 4 22" xfId="944"/>
    <cellStyle name="20% - 强调文字颜色 2 2 4 23" xfId="945"/>
    <cellStyle name="20% - 强调文字颜色 2 2 4 24" xfId="946"/>
    <cellStyle name="20% - 强调文字颜色 2 2 4 25" xfId="947"/>
    <cellStyle name="20% - 强调文字颜色 2 2 4 26" xfId="948"/>
    <cellStyle name="20% - 强调文字颜色 2 2 4 27" xfId="949"/>
    <cellStyle name="20% - 强调文字颜色 2 2 4 3" xfId="950"/>
    <cellStyle name="20% - 强调文字颜色 2 2 4 4" xfId="951"/>
    <cellStyle name="20% - 强调文字颜色 2 2 4 5" xfId="952"/>
    <cellStyle name="20% - 强调文字颜色 2 2 4 6" xfId="953"/>
    <cellStyle name="20% - 强调文字颜色 2 2 4 7" xfId="954"/>
    <cellStyle name="20% - 强调文字颜色 2 2 4 8" xfId="955"/>
    <cellStyle name="20% - 强调文字颜色 2 2 4 9" xfId="956"/>
    <cellStyle name="20% - 强调文字颜色 2 2 5" xfId="957"/>
    <cellStyle name="20% - 强调文字颜色 2 2 6" xfId="958"/>
    <cellStyle name="20% - 强调文字颜色 2 2 7" xfId="959"/>
    <cellStyle name="20% - 强调文字颜色 2 2 8" xfId="960"/>
    <cellStyle name="20% - 强调文字颜色 2 2 9" xfId="961"/>
    <cellStyle name="20% - 强调文字颜色 2 20" xfId="962"/>
    <cellStyle name="20% - 强调文字颜色 2 21" xfId="963"/>
    <cellStyle name="20% - 强调文字颜色 2 22" xfId="964"/>
    <cellStyle name="20% - 强调文字颜色 2 23" xfId="965"/>
    <cellStyle name="20% - 强调文字颜色 2 24" xfId="966"/>
    <cellStyle name="20% - 强调文字颜色 2 25" xfId="967"/>
    <cellStyle name="20% - 强调文字颜色 2 26" xfId="968"/>
    <cellStyle name="20% - 强调文字颜色 2 27" xfId="969"/>
    <cellStyle name="20% - 强调文字颜色 2 28" xfId="970"/>
    <cellStyle name="20% - 强调文字颜色 2 29" xfId="971"/>
    <cellStyle name="20% - 强调文字颜色 2 3" xfId="972"/>
    <cellStyle name="20% - 强调文字颜色 2 3 10" xfId="973"/>
    <cellStyle name="20% - 强调文字颜色 2 3 11" xfId="974"/>
    <cellStyle name="20% - 强调文字颜色 2 3 12" xfId="975"/>
    <cellStyle name="20% - 强调文字颜色 2 3 13" xfId="976"/>
    <cellStyle name="20% - 强调文字颜色 2 3 14" xfId="977"/>
    <cellStyle name="20% - 强调文字颜色 2 3 15" xfId="978"/>
    <cellStyle name="20% - 强调文字颜色 2 3 16" xfId="979"/>
    <cellStyle name="20% - 强调文字颜色 2 3 17" xfId="980"/>
    <cellStyle name="20% - 强调文字颜色 2 3 18" xfId="981"/>
    <cellStyle name="20% - 强调文字颜色 2 3 19" xfId="982"/>
    <cellStyle name="20% - 强调文字颜色 2 3 2" xfId="983"/>
    <cellStyle name="20% - 强调文字颜色 2 3 2 10" xfId="984"/>
    <cellStyle name="20% - 强调文字颜色 2 3 2 11" xfId="985"/>
    <cellStyle name="20% - 强调文字颜色 2 3 2 12" xfId="986"/>
    <cellStyle name="20% - 强调文字颜色 2 3 2 13" xfId="987"/>
    <cellStyle name="20% - 强调文字颜色 2 3 2 14" xfId="988"/>
    <cellStyle name="20% - 强调文字颜色 2 3 2 15" xfId="989"/>
    <cellStyle name="20% - 强调文字颜色 2 3 2 16" xfId="990"/>
    <cellStyle name="20% - 强调文字颜色 2 3 2 17" xfId="991"/>
    <cellStyle name="20% - 强调文字颜色 2 3 2 18" xfId="992"/>
    <cellStyle name="20% - 强调文字颜色 2 3 2 19" xfId="993"/>
    <cellStyle name="20% - 强调文字颜色 2 3 2 2" xfId="994"/>
    <cellStyle name="20% - 强调文字颜色 2 3 2 20" xfId="995"/>
    <cellStyle name="20% - 强调文字颜色 2 3 2 21" xfId="996"/>
    <cellStyle name="20% - 强调文字颜色 2 3 2 22" xfId="997"/>
    <cellStyle name="20% - 强调文字颜色 2 3 2 23" xfId="998"/>
    <cellStyle name="20% - 强调文字颜色 2 3 2 24" xfId="999"/>
    <cellStyle name="20% - 强调文字颜色 2 3 2 25" xfId="1000"/>
    <cellStyle name="20% - 强调文字颜色 2 3 2 26" xfId="1001"/>
    <cellStyle name="20% - 强调文字颜色 2 3 2 27" xfId="1002"/>
    <cellStyle name="20% - 强调文字颜色 2 3 2 3" xfId="1003"/>
    <cellStyle name="20% - 强调文字颜色 2 3 2 4" xfId="1004"/>
    <cellStyle name="20% - 强调文字颜色 2 3 2 5" xfId="1005"/>
    <cellStyle name="20% - 强调文字颜色 2 3 2 6" xfId="1006"/>
    <cellStyle name="20% - 强调文字颜色 2 3 2 7" xfId="1007"/>
    <cellStyle name="20% - 强调文字颜色 2 3 2 8" xfId="1008"/>
    <cellStyle name="20% - 强调文字颜色 2 3 2 9" xfId="1009"/>
    <cellStyle name="20% - 强调文字颜色 2 3 20" xfId="1010"/>
    <cellStyle name="20% - 强调文字颜色 2 3 21" xfId="1011"/>
    <cellStyle name="20% - 强调文字颜色 2 3 22" xfId="1012"/>
    <cellStyle name="20% - 强调文字颜色 2 3 23" xfId="1013"/>
    <cellStyle name="20% - 强调文字颜色 2 3 24" xfId="1014"/>
    <cellStyle name="20% - 强调文字颜色 2 3 25" xfId="1015"/>
    <cellStyle name="20% - 强调文字颜色 2 3 26" xfId="1016"/>
    <cellStyle name="20% - 强调文字颜色 2 3 27" xfId="1017"/>
    <cellStyle name="20% - 强调文字颜色 2 3 28" xfId="1018"/>
    <cellStyle name="20% - 强调文字颜色 2 3 3" xfId="1019"/>
    <cellStyle name="20% - 强调文字颜色 2 3 4" xfId="1020"/>
    <cellStyle name="20% - 强调文字颜色 2 3 5" xfId="1021"/>
    <cellStyle name="20% - 强调文字颜色 2 3 6" xfId="1022"/>
    <cellStyle name="20% - 强调文字颜色 2 3 7" xfId="1023"/>
    <cellStyle name="20% - 强调文字颜色 2 3 8" xfId="1024"/>
    <cellStyle name="20% - 强调文字颜色 2 3 9" xfId="1025"/>
    <cellStyle name="20% - 强调文字颜色 2 30" xfId="1026"/>
    <cellStyle name="20% - 强调文字颜色 2 31" xfId="1027"/>
    <cellStyle name="20% - 强调文字颜色 2 32" xfId="1028"/>
    <cellStyle name="20% - 强调文字颜色 2 33" xfId="1029"/>
    <cellStyle name="20% - 强调文字颜色 2 34" xfId="1030"/>
    <cellStyle name="20% - 强调文字颜色 2 35" xfId="1031"/>
    <cellStyle name="20% - 强调文字颜色 2 36" xfId="1032"/>
    <cellStyle name="20% - 强调文字颜色 2 37" xfId="1033"/>
    <cellStyle name="20% - 强调文字颜色 2 38" xfId="1034"/>
    <cellStyle name="20% - 强调文字颜色 2 39" xfId="1035"/>
    <cellStyle name="20% - 强调文字颜色 2 4" xfId="1036"/>
    <cellStyle name="20% - 强调文字颜色 2 4 10" xfId="1037"/>
    <cellStyle name="20% - 强调文字颜色 2 4 11" xfId="1038"/>
    <cellStyle name="20% - 强调文字颜色 2 4 12" xfId="1039"/>
    <cellStyle name="20% - 强调文字颜色 2 4 13" xfId="1040"/>
    <cellStyle name="20% - 强调文字颜色 2 4 14" xfId="1041"/>
    <cellStyle name="20% - 强调文字颜色 2 4 15" xfId="1042"/>
    <cellStyle name="20% - 强调文字颜色 2 4 16" xfId="1043"/>
    <cellStyle name="20% - 强调文字颜色 2 4 17" xfId="1044"/>
    <cellStyle name="20% - 强调文字颜色 2 4 18" xfId="1045"/>
    <cellStyle name="20% - 强调文字颜色 2 4 19" xfId="1046"/>
    <cellStyle name="20% - 强调文字颜色 2 4 2" xfId="1047"/>
    <cellStyle name="20% - 强调文字颜色 2 4 2 10" xfId="1048"/>
    <cellStyle name="20% - 强调文字颜色 2 4 2 11" xfId="1049"/>
    <cellStyle name="20% - 强调文字颜色 2 4 2 12" xfId="1050"/>
    <cellStyle name="20% - 强调文字颜色 2 4 2 13" xfId="1051"/>
    <cellStyle name="20% - 强调文字颜色 2 4 2 14" xfId="1052"/>
    <cellStyle name="20% - 强调文字颜色 2 4 2 15" xfId="1053"/>
    <cellStyle name="20% - 强调文字颜色 2 4 2 16" xfId="1054"/>
    <cellStyle name="20% - 强调文字颜色 2 4 2 17" xfId="1055"/>
    <cellStyle name="20% - 强调文字颜色 2 4 2 18" xfId="1056"/>
    <cellStyle name="20% - 强调文字颜色 2 4 2 19" xfId="1057"/>
    <cellStyle name="20% - 强调文字颜色 2 4 2 2" xfId="1058"/>
    <cellStyle name="20% - 强调文字颜色 2 4 2 20" xfId="1059"/>
    <cellStyle name="20% - 强调文字颜色 2 4 2 21" xfId="1060"/>
    <cellStyle name="20% - 强调文字颜色 2 4 2 22" xfId="1061"/>
    <cellStyle name="20% - 强调文字颜色 2 4 2 23" xfId="1062"/>
    <cellStyle name="20% - 强调文字颜色 2 4 2 24" xfId="1063"/>
    <cellStyle name="20% - 强调文字颜色 2 4 2 25" xfId="1064"/>
    <cellStyle name="20% - 强调文字颜色 2 4 2 26" xfId="1065"/>
    <cellStyle name="20% - 强调文字颜色 2 4 2 27" xfId="1066"/>
    <cellStyle name="20% - 强调文字颜色 2 4 2 3" xfId="1067"/>
    <cellStyle name="20% - 强调文字颜色 2 4 2 4" xfId="1068"/>
    <cellStyle name="20% - 强调文字颜色 2 4 2 5" xfId="1069"/>
    <cellStyle name="20% - 强调文字颜色 2 4 2 6" xfId="1070"/>
    <cellStyle name="20% - 强调文字颜色 2 4 2 7" xfId="1071"/>
    <cellStyle name="20% - 强调文字颜色 2 4 2 8" xfId="1072"/>
    <cellStyle name="20% - 强调文字颜色 2 4 2 9" xfId="1073"/>
    <cellStyle name="20% - 强调文字颜色 2 4 20" xfId="1074"/>
    <cellStyle name="20% - 强调文字颜色 2 4 21" xfId="1075"/>
    <cellStyle name="20% - 强调文字颜色 2 4 22" xfId="1076"/>
    <cellStyle name="20% - 强调文字颜色 2 4 23" xfId="1077"/>
    <cellStyle name="20% - 强调文字颜色 2 4 24" xfId="1078"/>
    <cellStyle name="20% - 强调文字颜色 2 4 25" xfId="1079"/>
    <cellStyle name="20% - 强调文字颜色 2 4 26" xfId="1080"/>
    <cellStyle name="20% - 强调文字颜色 2 4 27" xfId="1081"/>
    <cellStyle name="20% - 强调文字颜色 2 4 28" xfId="1082"/>
    <cellStyle name="20% - 强调文字颜色 2 4 3" xfId="1083"/>
    <cellStyle name="20% - 强调文字颜色 2 4 4" xfId="1084"/>
    <cellStyle name="20% - 强调文字颜色 2 4 5" xfId="1085"/>
    <cellStyle name="20% - 强调文字颜色 2 4 6" xfId="1086"/>
    <cellStyle name="20% - 强调文字颜色 2 4 7" xfId="1087"/>
    <cellStyle name="20% - 强调文字颜色 2 4 8" xfId="1088"/>
    <cellStyle name="20% - 强调文字颜色 2 4 9" xfId="1089"/>
    <cellStyle name="20% - 强调文字颜色 2 40" xfId="1090"/>
    <cellStyle name="20% - 强调文字颜色 2 5" xfId="1091"/>
    <cellStyle name="20% - 强调文字颜色 2 5 10" xfId="1092"/>
    <cellStyle name="20% - 强调文字颜色 2 5 11" xfId="1093"/>
    <cellStyle name="20% - 强调文字颜色 2 5 12" xfId="1094"/>
    <cellStyle name="20% - 强调文字颜色 2 5 13" xfId="1095"/>
    <cellStyle name="20% - 强调文字颜色 2 5 14" xfId="1096"/>
    <cellStyle name="20% - 强调文字颜色 2 5 15" xfId="1097"/>
    <cellStyle name="20% - 强调文字颜色 2 5 16" xfId="1098"/>
    <cellStyle name="20% - 强调文字颜色 2 5 17" xfId="1099"/>
    <cellStyle name="20% - 强调文字颜色 2 5 18" xfId="1100"/>
    <cellStyle name="20% - 强调文字颜色 2 5 19" xfId="1101"/>
    <cellStyle name="20% - 强调文字颜色 2 5 2" xfId="1102"/>
    <cellStyle name="20% - 强调文字颜色 2 5 2 10" xfId="1103"/>
    <cellStyle name="20% - 强调文字颜色 2 5 2 11" xfId="1104"/>
    <cellStyle name="20% - 强调文字颜色 2 5 2 12" xfId="1105"/>
    <cellStyle name="20% - 强调文字颜色 2 5 2 13" xfId="1106"/>
    <cellStyle name="20% - 强调文字颜色 2 5 2 14" xfId="1107"/>
    <cellStyle name="20% - 强调文字颜色 2 5 2 15" xfId="1108"/>
    <cellStyle name="20% - 强调文字颜色 2 5 2 16" xfId="1109"/>
    <cellStyle name="20% - 强调文字颜色 2 5 2 17" xfId="1110"/>
    <cellStyle name="20% - 强调文字颜色 2 5 2 18" xfId="1111"/>
    <cellStyle name="20% - 强调文字颜色 2 5 2 19" xfId="1112"/>
    <cellStyle name="20% - 强调文字颜色 2 5 2 2" xfId="1113"/>
    <cellStyle name="20% - 强调文字颜色 2 5 2 20" xfId="1114"/>
    <cellStyle name="20% - 强调文字颜色 2 5 2 21" xfId="1115"/>
    <cellStyle name="20% - 强调文字颜色 2 5 2 22" xfId="1116"/>
    <cellStyle name="20% - 强调文字颜色 2 5 2 23" xfId="1117"/>
    <cellStyle name="20% - 强调文字颜色 2 5 2 24" xfId="1118"/>
    <cellStyle name="20% - 强调文字颜色 2 5 2 25" xfId="1119"/>
    <cellStyle name="20% - 强调文字颜色 2 5 2 26" xfId="1120"/>
    <cellStyle name="20% - 强调文字颜色 2 5 2 27" xfId="1121"/>
    <cellStyle name="20% - 强调文字颜色 2 5 2 3" xfId="1122"/>
    <cellStyle name="20% - 强调文字颜色 2 5 2 4" xfId="1123"/>
    <cellStyle name="20% - 强调文字颜色 2 5 2 5" xfId="1124"/>
    <cellStyle name="20% - 强调文字颜色 2 5 2 6" xfId="1125"/>
    <cellStyle name="20% - 强调文字颜色 2 5 2 7" xfId="1126"/>
    <cellStyle name="20% - 强调文字颜色 2 5 2 8" xfId="1127"/>
    <cellStyle name="20% - 强调文字颜色 2 5 2 9" xfId="1128"/>
    <cellStyle name="20% - 强调文字颜色 2 5 20" xfId="1129"/>
    <cellStyle name="20% - 强调文字颜色 2 5 21" xfId="1130"/>
    <cellStyle name="20% - 强调文字颜色 2 5 22" xfId="1131"/>
    <cellStyle name="20% - 强调文字颜色 2 5 23" xfId="1132"/>
    <cellStyle name="20% - 强调文字颜色 2 5 24" xfId="1133"/>
    <cellStyle name="20% - 强调文字颜色 2 5 25" xfId="1134"/>
    <cellStyle name="20% - 强调文字颜色 2 5 26" xfId="1135"/>
    <cellStyle name="20% - 强调文字颜色 2 5 27" xfId="1136"/>
    <cellStyle name="20% - 强调文字颜色 2 5 28" xfId="1137"/>
    <cellStyle name="20% - 强调文字颜色 2 5 3" xfId="1138"/>
    <cellStyle name="20% - 强调文字颜色 2 5 4" xfId="1139"/>
    <cellStyle name="20% - 强调文字颜色 2 5 5" xfId="1140"/>
    <cellStyle name="20% - 强调文字颜色 2 5 6" xfId="1141"/>
    <cellStyle name="20% - 强调文字颜色 2 5 7" xfId="1142"/>
    <cellStyle name="20% - 强调文字颜色 2 5 8" xfId="1143"/>
    <cellStyle name="20% - 强调文字颜色 2 5 9" xfId="1144"/>
    <cellStyle name="20% - 强调文字颜色 2 6" xfId="1145"/>
    <cellStyle name="20% - 强调文字颜色 2 6 10" xfId="1146"/>
    <cellStyle name="20% - 强调文字颜色 2 6 11" xfId="1147"/>
    <cellStyle name="20% - 强调文字颜色 2 6 12" xfId="1148"/>
    <cellStyle name="20% - 强调文字颜色 2 6 13" xfId="1149"/>
    <cellStyle name="20% - 强调文字颜色 2 6 14" xfId="1150"/>
    <cellStyle name="20% - 强调文字颜色 2 6 15" xfId="1151"/>
    <cellStyle name="20% - 强调文字颜色 2 6 16" xfId="1152"/>
    <cellStyle name="20% - 强调文字颜色 2 6 17" xfId="1153"/>
    <cellStyle name="20% - 强调文字颜色 2 6 18" xfId="1154"/>
    <cellStyle name="20% - 强调文字颜色 2 6 19" xfId="1155"/>
    <cellStyle name="20% - 强调文字颜色 2 6 2" xfId="1156"/>
    <cellStyle name="20% - 强调文字颜色 2 6 2 10" xfId="1157"/>
    <cellStyle name="20% - 强调文字颜色 2 6 2 11" xfId="1158"/>
    <cellStyle name="20% - 强调文字颜色 2 6 2 12" xfId="1159"/>
    <cellStyle name="20% - 强调文字颜色 2 6 2 13" xfId="1160"/>
    <cellStyle name="20% - 强调文字颜色 2 6 2 14" xfId="1161"/>
    <cellStyle name="20% - 强调文字颜色 2 6 2 15" xfId="1162"/>
    <cellStyle name="20% - 强调文字颜色 2 6 2 16" xfId="1163"/>
    <cellStyle name="20% - 强调文字颜色 2 6 2 17" xfId="1164"/>
    <cellStyle name="20% - 强调文字颜色 2 6 2 18" xfId="1165"/>
    <cellStyle name="20% - 强调文字颜色 2 6 2 19" xfId="1166"/>
    <cellStyle name="20% - 强调文字颜色 2 6 2 2" xfId="1167"/>
    <cellStyle name="20% - 强调文字颜色 2 6 2 20" xfId="1168"/>
    <cellStyle name="20% - 强调文字颜色 2 6 2 21" xfId="1169"/>
    <cellStyle name="20% - 强调文字颜色 2 6 2 22" xfId="1170"/>
    <cellStyle name="20% - 强调文字颜色 2 6 2 23" xfId="1171"/>
    <cellStyle name="20% - 强调文字颜色 2 6 2 24" xfId="1172"/>
    <cellStyle name="20% - 强调文字颜色 2 6 2 25" xfId="1173"/>
    <cellStyle name="20% - 强调文字颜色 2 6 2 26" xfId="1174"/>
    <cellStyle name="20% - 强调文字颜色 2 6 2 27" xfId="1175"/>
    <cellStyle name="20% - 强调文字颜色 2 6 2 3" xfId="1176"/>
    <cellStyle name="20% - 强调文字颜色 2 6 2 4" xfId="1177"/>
    <cellStyle name="20% - 强调文字颜色 2 6 2 5" xfId="1178"/>
    <cellStyle name="20% - 强调文字颜色 2 6 2 6" xfId="1179"/>
    <cellStyle name="20% - 强调文字颜色 2 6 2 7" xfId="1180"/>
    <cellStyle name="20% - 强调文字颜色 2 6 2 8" xfId="1181"/>
    <cellStyle name="20% - 强调文字颜色 2 6 2 9" xfId="1182"/>
    <cellStyle name="20% - 强调文字颜色 2 6 20" xfId="1183"/>
    <cellStyle name="20% - 强调文字颜色 2 6 21" xfId="1184"/>
    <cellStyle name="20% - 强调文字颜色 2 6 22" xfId="1185"/>
    <cellStyle name="20% - 强调文字颜色 2 6 23" xfId="1186"/>
    <cellStyle name="20% - 强调文字颜色 2 6 24" xfId="1187"/>
    <cellStyle name="20% - 强调文字颜色 2 6 25" xfId="1188"/>
    <cellStyle name="20% - 强调文字颜色 2 6 26" xfId="1189"/>
    <cellStyle name="20% - 强调文字颜色 2 6 27" xfId="1190"/>
    <cellStyle name="20% - 强调文字颜色 2 6 28" xfId="1191"/>
    <cellStyle name="20% - 强调文字颜色 2 6 3" xfId="1192"/>
    <cellStyle name="20% - 强调文字颜色 2 6 4" xfId="1193"/>
    <cellStyle name="20% - 强调文字颜色 2 6 5" xfId="1194"/>
    <cellStyle name="20% - 强调文字颜色 2 6 6" xfId="1195"/>
    <cellStyle name="20% - 强调文字颜色 2 6 7" xfId="1196"/>
    <cellStyle name="20% - 强调文字颜色 2 6 8" xfId="1197"/>
    <cellStyle name="20% - 强调文字颜色 2 6 9" xfId="1198"/>
    <cellStyle name="20% - 强调文字颜色 2 7" xfId="1199"/>
    <cellStyle name="20% - 强调文字颜色 2 7 10" xfId="1200"/>
    <cellStyle name="20% - 强调文字颜色 2 7 11" xfId="1201"/>
    <cellStyle name="20% - 强调文字颜色 2 7 12" xfId="1202"/>
    <cellStyle name="20% - 强调文字颜色 2 7 13" xfId="1203"/>
    <cellStyle name="20% - 强调文字颜色 2 7 14" xfId="1204"/>
    <cellStyle name="20% - 强调文字颜色 2 7 15" xfId="1205"/>
    <cellStyle name="20% - 强调文字颜色 2 7 16" xfId="1206"/>
    <cellStyle name="20% - 强调文字颜色 2 7 17" xfId="1207"/>
    <cellStyle name="20% - 强调文字颜色 2 7 18" xfId="1208"/>
    <cellStyle name="20% - 强调文字颜色 2 7 19" xfId="1209"/>
    <cellStyle name="20% - 强调文字颜色 2 7 2" xfId="1210"/>
    <cellStyle name="20% - 强调文字颜色 2 7 2 10" xfId="1211"/>
    <cellStyle name="20% - 强调文字颜色 2 7 2 11" xfId="1212"/>
    <cellStyle name="20% - 强调文字颜色 2 7 2 12" xfId="1213"/>
    <cellStyle name="20% - 强调文字颜色 2 7 2 13" xfId="1214"/>
    <cellStyle name="20% - 强调文字颜色 2 7 2 14" xfId="1215"/>
    <cellStyle name="20% - 强调文字颜色 2 7 2 15" xfId="1216"/>
    <cellStyle name="20% - 强调文字颜色 2 7 2 16" xfId="1217"/>
    <cellStyle name="20% - 强调文字颜色 2 7 2 17" xfId="1218"/>
    <cellStyle name="20% - 强调文字颜色 2 7 2 18" xfId="1219"/>
    <cellStyle name="20% - 强调文字颜色 2 7 2 19" xfId="1220"/>
    <cellStyle name="20% - 强调文字颜色 2 7 2 2" xfId="1221"/>
    <cellStyle name="20% - 强调文字颜色 2 7 2 20" xfId="1222"/>
    <cellStyle name="20% - 强调文字颜色 2 7 2 21" xfId="1223"/>
    <cellStyle name="20% - 强调文字颜色 2 7 2 22" xfId="1224"/>
    <cellStyle name="20% - 强调文字颜色 2 7 2 23" xfId="1225"/>
    <cellStyle name="20% - 强调文字颜色 2 7 2 24" xfId="1226"/>
    <cellStyle name="20% - 强调文字颜色 2 7 2 25" xfId="1227"/>
    <cellStyle name="20% - 强调文字颜色 2 7 2 26" xfId="1228"/>
    <cellStyle name="20% - 强调文字颜色 2 7 2 27" xfId="1229"/>
    <cellStyle name="20% - 强调文字颜色 2 7 2 3" xfId="1230"/>
    <cellStyle name="20% - 强调文字颜色 2 7 2 4" xfId="1231"/>
    <cellStyle name="20% - 强调文字颜色 2 7 2 5" xfId="1232"/>
    <cellStyle name="20% - 强调文字颜色 2 7 2 6" xfId="1233"/>
    <cellStyle name="20% - 强调文字颜色 2 7 2 7" xfId="1234"/>
    <cellStyle name="20% - 强调文字颜色 2 7 2 8" xfId="1235"/>
    <cellStyle name="20% - 强调文字颜色 2 7 2 9" xfId="1236"/>
    <cellStyle name="20% - 强调文字颜色 2 7 20" xfId="1237"/>
    <cellStyle name="20% - 强调文字颜色 2 7 21" xfId="1238"/>
    <cellStyle name="20% - 强调文字颜色 2 7 22" xfId="1239"/>
    <cellStyle name="20% - 强调文字颜色 2 7 23" xfId="1240"/>
    <cellStyle name="20% - 强调文字颜色 2 7 24" xfId="1241"/>
    <cellStyle name="20% - 强调文字颜色 2 7 25" xfId="1242"/>
    <cellStyle name="20% - 强调文字颜色 2 7 26" xfId="1243"/>
    <cellStyle name="20% - 强调文字颜色 2 7 27" xfId="1244"/>
    <cellStyle name="20% - 强调文字颜色 2 7 28" xfId="1245"/>
    <cellStyle name="20% - 强调文字颜色 2 7 3" xfId="1246"/>
    <cellStyle name="20% - 强调文字颜色 2 7 4" xfId="1247"/>
    <cellStyle name="20% - 强调文字颜色 2 7 5" xfId="1248"/>
    <cellStyle name="20% - 强调文字颜色 2 7 6" xfId="1249"/>
    <cellStyle name="20% - 强调文字颜色 2 7 7" xfId="1250"/>
    <cellStyle name="20% - 强调文字颜色 2 7 8" xfId="1251"/>
    <cellStyle name="20% - 强调文字颜色 2 7 9" xfId="1252"/>
    <cellStyle name="20% - 强调文字颜色 2 8" xfId="1253"/>
    <cellStyle name="20% - 强调文字颜色 2 8 10" xfId="1254"/>
    <cellStyle name="20% - 强调文字颜色 2 8 11" xfId="1255"/>
    <cellStyle name="20% - 强调文字颜色 2 8 12" xfId="1256"/>
    <cellStyle name="20% - 强调文字颜色 2 8 13" xfId="1257"/>
    <cellStyle name="20% - 强调文字颜色 2 8 14" xfId="1258"/>
    <cellStyle name="20% - 强调文字颜色 2 8 15" xfId="1259"/>
    <cellStyle name="20% - 强调文字颜色 2 8 16" xfId="1260"/>
    <cellStyle name="20% - 强调文字颜色 2 8 17" xfId="1261"/>
    <cellStyle name="20% - 强调文字颜色 2 8 18" xfId="1262"/>
    <cellStyle name="20% - 强调文字颜色 2 8 19" xfId="1263"/>
    <cellStyle name="20% - 强调文字颜色 2 8 2" xfId="1264"/>
    <cellStyle name="20% - 强调文字颜色 2 8 2 10" xfId="1265"/>
    <cellStyle name="20% - 强调文字颜色 2 8 2 11" xfId="1266"/>
    <cellStyle name="20% - 强调文字颜色 2 8 2 12" xfId="1267"/>
    <cellStyle name="20% - 强调文字颜色 2 8 2 13" xfId="1268"/>
    <cellStyle name="20% - 强调文字颜色 2 8 2 14" xfId="1269"/>
    <cellStyle name="20% - 强调文字颜色 2 8 2 15" xfId="1270"/>
    <cellStyle name="20% - 强调文字颜色 2 8 2 16" xfId="1271"/>
    <cellStyle name="20% - 强调文字颜色 2 8 2 17" xfId="1272"/>
    <cellStyle name="20% - 强调文字颜色 2 8 2 18" xfId="1273"/>
    <cellStyle name="20% - 强调文字颜色 2 8 2 19" xfId="1274"/>
    <cellStyle name="20% - 强调文字颜色 2 8 2 2" xfId="1275"/>
    <cellStyle name="20% - 强调文字颜色 2 8 2 20" xfId="1276"/>
    <cellStyle name="20% - 强调文字颜色 2 8 2 21" xfId="1277"/>
    <cellStyle name="20% - 强调文字颜色 2 8 2 22" xfId="1278"/>
    <cellStyle name="20% - 强调文字颜色 2 8 2 23" xfId="1279"/>
    <cellStyle name="20% - 强调文字颜色 2 8 2 24" xfId="1280"/>
    <cellStyle name="20% - 强调文字颜色 2 8 2 25" xfId="1281"/>
    <cellStyle name="20% - 强调文字颜色 2 8 2 26" xfId="1282"/>
    <cellStyle name="20% - 强调文字颜色 2 8 2 27" xfId="1283"/>
    <cellStyle name="20% - 强调文字颜色 2 8 2 3" xfId="1284"/>
    <cellStyle name="20% - 强调文字颜色 2 8 2 4" xfId="1285"/>
    <cellStyle name="20% - 强调文字颜色 2 8 2 5" xfId="1286"/>
    <cellStyle name="20% - 强调文字颜色 2 8 2 6" xfId="1287"/>
    <cellStyle name="20% - 强调文字颜色 2 8 2 7" xfId="1288"/>
    <cellStyle name="20% - 强调文字颜色 2 8 2 8" xfId="1289"/>
    <cellStyle name="20% - 强调文字颜色 2 8 2 9" xfId="1290"/>
    <cellStyle name="20% - 强调文字颜色 2 8 20" xfId="1291"/>
    <cellStyle name="20% - 强调文字颜色 2 8 21" xfId="1292"/>
    <cellStyle name="20% - 强调文字颜色 2 8 22" xfId="1293"/>
    <cellStyle name="20% - 强调文字颜色 2 8 23" xfId="1294"/>
    <cellStyle name="20% - 强调文字颜色 2 8 24" xfId="1295"/>
    <cellStyle name="20% - 强调文字颜色 2 8 25" xfId="1296"/>
    <cellStyle name="20% - 强调文字颜色 2 8 26" xfId="1297"/>
    <cellStyle name="20% - 强调文字颜色 2 8 27" xfId="1298"/>
    <cellStyle name="20% - 强调文字颜色 2 8 28" xfId="1299"/>
    <cellStyle name="20% - 强调文字颜色 2 8 3" xfId="1300"/>
    <cellStyle name="20% - 强调文字颜色 2 8 4" xfId="1301"/>
    <cellStyle name="20% - 强调文字颜色 2 8 5" xfId="1302"/>
    <cellStyle name="20% - 强调文字颜色 2 8 6" xfId="1303"/>
    <cellStyle name="20% - 强调文字颜色 2 8 7" xfId="1304"/>
    <cellStyle name="20% - 强调文字颜色 2 8 8" xfId="1305"/>
    <cellStyle name="20% - 强调文字颜色 2 8 9" xfId="1306"/>
    <cellStyle name="20% - 强调文字颜色 2 9" xfId="1307"/>
    <cellStyle name="20% - 强调文字颜色 2 9 10" xfId="1308"/>
    <cellStyle name="20% - 强调文字颜色 2 9 11" xfId="1309"/>
    <cellStyle name="20% - 强调文字颜色 2 9 12" xfId="1310"/>
    <cellStyle name="20% - 强调文字颜色 2 9 13" xfId="1311"/>
    <cellStyle name="20% - 强调文字颜色 2 9 14" xfId="1312"/>
    <cellStyle name="20% - 强调文字颜色 2 9 15" xfId="1313"/>
    <cellStyle name="20% - 强调文字颜色 2 9 16" xfId="1314"/>
    <cellStyle name="20% - 强调文字颜色 2 9 17" xfId="1315"/>
    <cellStyle name="20% - 强调文字颜色 2 9 18" xfId="1316"/>
    <cellStyle name="20% - 强调文字颜色 2 9 19" xfId="1317"/>
    <cellStyle name="20% - 强调文字颜色 2 9 2" xfId="1318"/>
    <cellStyle name="20% - 强调文字颜色 2 9 2 10" xfId="1319"/>
    <cellStyle name="20% - 强调文字颜色 2 9 2 11" xfId="1320"/>
    <cellStyle name="20% - 强调文字颜色 2 9 2 12" xfId="1321"/>
    <cellStyle name="20% - 强调文字颜色 2 9 2 13" xfId="1322"/>
    <cellStyle name="20% - 强调文字颜色 2 9 2 14" xfId="1323"/>
    <cellStyle name="20% - 强调文字颜色 2 9 2 15" xfId="1324"/>
    <cellStyle name="20% - 强调文字颜色 2 9 2 16" xfId="1325"/>
    <cellStyle name="20% - 强调文字颜色 2 9 2 17" xfId="1326"/>
    <cellStyle name="20% - 强调文字颜色 2 9 2 18" xfId="1327"/>
    <cellStyle name="20% - 强调文字颜色 2 9 2 19" xfId="1328"/>
    <cellStyle name="20% - 强调文字颜色 2 9 2 2" xfId="1329"/>
    <cellStyle name="20% - 强调文字颜色 2 9 2 20" xfId="1330"/>
    <cellStyle name="20% - 强调文字颜色 2 9 2 21" xfId="1331"/>
    <cellStyle name="20% - 强调文字颜色 2 9 2 22" xfId="1332"/>
    <cellStyle name="20% - 强调文字颜色 2 9 2 23" xfId="1333"/>
    <cellStyle name="20% - 强调文字颜色 2 9 2 24" xfId="1334"/>
    <cellStyle name="20% - 强调文字颜色 2 9 2 25" xfId="1335"/>
    <cellStyle name="20% - 强调文字颜色 2 9 2 26" xfId="1336"/>
    <cellStyle name="20% - 强调文字颜色 2 9 2 27" xfId="1337"/>
    <cellStyle name="20% - 强调文字颜色 2 9 2 3" xfId="1338"/>
    <cellStyle name="20% - 强调文字颜色 2 9 2 4" xfId="1339"/>
    <cellStyle name="20% - 强调文字颜色 2 9 2 5" xfId="1340"/>
    <cellStyle name="20% - 强调文字颜色 2 9 2 6" xfId="1341"/>
    <cellStyle name="20% - 强调文字颜色 2 9 2 7" xfId="1342"/>
    <cellStyle name="20% - 强调文字颜色 2 9 2 8" xfId="1343"/>
    <cellStyle name="20% - 强调文字颜色 2 9 2 9" xfId="1344"/>
    <cellStyle name="20% - 强调文字颜色 2 9 20" xfId="1345"/>
    <cellStyle name="20% - 强调文字颜色 2 9 21" xfId="1346"/>
    <cellStyle name="20% - 强调文字颜色 2 9 22" xfId="1347"/>
    <cellStyle name="20% - 强调文字颜色 2 9 23" xfId="1348"/>
    <cellStyle name="20% - 强调文字颜色 2 9 24" xfId="1349"/>
    <cellStyle name="20% - 强调文字颜色 2 9 25" xfId="1350"/>
    <cellStyle name="20% - 强调文字颜色 2 9 26" xfId="1351"/>
    <cellStyle name="20% - 强调文字颜色 2 9 27" xfId="1352"/>
    <cellStyle name="20% - 强调文字颜色 2 9 28" xfId="1353"/>
    <cellStyle name="20% - 强调文字颜色 2 9 3" xfId="1354"/>
    <cellStyle name="20% - 强调文字颜色 2 9 4" xfId="1355"/>
    <cellStyle name="20% - 强调文字颜色 2 9 5" xfId="1356"/>
    <cellStyle name="20% - 强调文字颜色 2 9 6" xfId="1357"/>
    <cellStyle name="20% - 强调文字颜色 2 9 7" xfId="1358"/>
    <cellStyle name="20% - 强调文字颜色 2 9 8" xfId="1359"/>
    <cellStyle name="20% - 强调文字颜色 2 9 9" xfId="1360"/>
    <cellStyle name="20% - 强调文字颜色 3 10" xfId="1361"/>
    <cellStyle name="20% - 强调文字颜色 3 10 10" xfId="1362"/>
    <cellStyle name="20% - 强调文字颜色 3 10 11" xfId="1363"/>
    <cellStyle name="20% - 强调文字颜色 3 10 12" xfId="1364"/>
    <cellStyle name="20% - 强调文字颜色 3 10 13" xfId="1365"/>
    <cellStyle name="20% - 强调文字颜色 3 10 14" xfId="1366"/>
    <cellStyle name="20% - 强调文字颜色 3 10 15" xfId="1367"/>
    <cellStyle name="20% - 强调文字颜色 3 10 16" xfId="1368"/>
    <cellStyle name="20% - 强调文字颜色 3 10 17" xfId="1369"/>
    <cellStyle name="20% - 强调文字颜色 3 10 18" xfId="1370"/>
    <cellStyle name="20% - 强调文字颜色 3 10 19" xfId="1371"/>
    <cellStyle name="20% - 强调文字颜色 3 10 2" xfId="1372"/>
    <cellStyle name="20% - 强调文字颜色 3 10 2 10" xfId="1373"/>
    <cellStyle name="20% - 强调文字颜色 3 10 2 11" xfId="1374"/>
    <cellStyle name="20% - 强调文字颜色 3 10 2 12" xfId="1375"/>
    <cellStyle name="20% - 强调文字颜色 3 10 2 13" xfId="1376"/>
    <cellStyle name="20% - 强调文字颜色 3 10 2 14" xfId="1377"/>
    <cellStyle name="20% - 强调文字颜色 3 10 2 15" xfId="1378"/>
    <cellStyle name="20% - 强调文字颜色 3 10 2 16" xfId="1379"/>
    <cellStyle name="20% - 强调文字颜色 3 10 2 17" xfId="1380"/>
    <cellStyle name="20% - 强调文字颜色 3 10 2 18" xfId="1381"/>
    <cellStyle name="20% - 强调文字颜色 3 10 2 19" xfId="1382"/>
    <cellStyle name="20% - 强调文字颜色 3 10 2 2" xfId="1383"/>
    <cellStyle name="20% - 强调文字颜色 3 10 2 20" xfId="1384"/>
    <cellStyle name="20% - 强调文字颜色 3 10 2 21" xfId="1385"/>
    <cellStyle name="20% - 强调文字颜色 3 10 2 22" xfId="1386"/>
    <cellStyle name="20% - 强调文字颜色 3 10 2 23" xfId="1387"/>
    <cellStyle name="20% - 强调文字颜色 3 10 2 24" xfId="1388"/>
    <cellStyle name="20% - 强调文字颜色 3 10 2 25" xfId="1389"/>
    <cellStyle name="20% - 强调文字颜色 3 10 2 26" xfId="1390"/>
    <cellStyle name="20% - 强调文字颜色 3 10 2 27" xfId="1391"/>
    <cellStyle name="20% - 强调文字颜色 3 10 2 3" xfId="1392"/>
    <cellStyle name="20% - 强调文字颜色 3 10 2 4" xfId="1393"/>
    <cellStyle name="20% - 强调文字颜色 3 10 2 5" xfId="1394"/>
    <cellStyle name="20% - 强调文字颜色 3 10 2 6" xfId="1395"/>
    <cellStyle name="20% - 强调文字颜色 3 10 2 7" xfId="1396"/>
    <cellStyle name="20% - 强调文字颜色 3 10 2 8" xfId="1397"/>
    <cellStyle name="20% - 强调文字颜色 3 10 2 9" xfId="1398"/>
    <cellStyle name="20% - 强调文字颜色 3 10 20" xfId="1399"/>
    <cellStyle name="20% - 强调文字颜色 3 10 21" xfId="1400"/>
    <cellStyle name="20% - 强调文字颜色 3 10 22" xfId="1401"/>
    <cellStyle name="20% - 强调文字颜色 3 10 23" xfId="1402"/>
    <cellStyle name="20% - 强调文字颜色 3 10 24" xfId="1403"/>
    <cellStyle name="20% - 强调文字颜色 3 10 25" xfId="1404"/>
    <cellStyle name="20% - 强调文字颜色 3 10 26" xfId="1405"/>
    <cellStyle name="20% - 强调文字颜色 3 10 27" xfId="1406"/>
    <cellStyle name="20% - 强调文字颜色 3 10 28" xfId="1407"/>
    <cellStyle name="20% - 强调文字颜色 3 10 3" xfId="1408"/>
    <cellStyle name="20% - 强调文字颜色 3 10 4" xfId="1409"/>
    <cellStyle name="20% - 强调文字颜色 3 10 5" xfId="1410"/>
    <cellStyle name="20% - 强调文字颜色 3 10 6" xfId="1411"/>
    <cellStyle name="20% - 强调文字颜色 3 10 7" xfId="1412"/>
    <cellStyle name="20% - 强调文字颜色 3 10 8" xfId="1413"/>
    <cellStyle name="20% - 强调文字颜色 3 10 9" xfId="1414"/>
    <cellStyle name="20% - 强调文字颜色 3 11" xfId="1415"/>
    <cellStyle name="20% - 强调文字颜色 3 11 10" xfId="1416"/>
    <cellStyle name="20% - 强调文字颜色 3 11 11" xfId="1417"/>
    <cellStyle name="20% - 强调文字颜色 3 11 12" xfId="1418"/>
    <cellStyle name="20% - 强调文字颜色 3 11 13" xfId="1419"/>
    <cellStyle name="20% - 强调文字颜色 3 11 14" xfId="1420"/>
    <cellStyle name="20% - 强调文字颜色 3 11 15" xfId="1421"/>
    <cellStyle name="20% - 强调文字颜色 3 11 16" xfId="1422"/>
    <cellStyle name="20% - 强调文字颜色 3 11 17" xfId="1423"/>
    <cellStyle name="20% - 强调文字颜色 3 11 18" xfId="1424"/>
    <cellStyle name="20% - 强调文字颜色 3 11 19" xfId="1425"/>
    <cellStyle name="20% - 强调文字颜色 3 11 2" xfId="1426"/>
    <cellStyle name="20% - 强调文字颜色 3 11 2 10" xfId="1427"/>
    <cellStyle name="20% - 强调文字颜色 3 11 2 11" xfId="1428"/>
    <cellStyle name="20% - 强调文字颜色 3 11 2 12" xfId="1429"/>
    <cellStyle name="20% - 强调文字颜色 3 11 2 13" xfId="1430"/>
    <cellStyle name="20% - 强调文字颜色 3 11 2 14" xfId="1431"/>
    <cellStyle name="20% - 强调文字颜色 3 11 2 15" xfId="1432"/>
    <cellStyle name="20% - 强调文字颜色 3 11 2 16" xfId="1433"/>
    <cellStyle name="20% - 强调文字颜色 3 11 2 17" xfId="1434"/>
    <cellStyle name="20% - 强调文字颜色 3 11 2 18" xfId="1435"/>
    <cellStyle name="20% - 强调文字颜色 3 11 2 19" xfId="1436"/>
    <cellStyle name="20% - 强调文字颜色 3 11 2 2" xfId="1437"/>
    <cellStyle name="20% - 强调文字颜色 3 11 2 20" xfId="1438"/>
    <cellStyle name="20% - 强调文字颜色 3 11 2 21" xfId="1439"/>
    <cellStyle name="20% - 强调文字颜色 3 11 2 22" xfId="1440"/>
    <cellStyle name="20% - 强调文字颜色 3 11 2 23" xfId="1441"/>
    <cellStyle name="20% - 强调文字颜色 3 11 2 24" xfId="1442"/>
    <cellStyle name="20% - 强调文字颜色 3 11 2 25" xfId="1443"/>
    <cellStyle name="20% - 强调文字颜色 3 11 2 26" xfId="1444"/>
    <cellStyle name="20% - 强调文字颜色 3 11 2 27" xfId="1445"/>
    <cellStyle name="20% - 强调文字颜色 3 11 2 3" xfId="1446"/>
    <cellStyle name="20% - 强调文字颜色 3 11 2 4" xfId="1447"/>
    <cellStyle name="20% - 强调文字颜色 3 11 2 5" xfId="1448"/>
    <cellStyle name="20% - 强调文字颜色 3 11 2 6" xfId="1449"/>
    <cellStyle name="20% - 强调文字颜色 3 11 2 7" xfId="1450"/>
    <cellStyle name="20% - 强调文字颜色 3 11 2 8" xfId="1451"/>
    <cellStyle name="20% - 强调文字颜色 3 11 2 9" xfId="1452"/>
    <cellStyle name="20% - 强调文字颜色 3 11 20" xfId="1453"/>
    <cellStyle name="20% - 强调文字颜色 3 11 21" xfId="1454"/>
    <cellStyle name="20% - 强调文字颜色 3 11 22" xfId="1455"/>
    <cellStyle name="20% - 强调文字颜色 3 11 23" xfId="1456"/>
    <cellStyle name="20% - 强调文字颜色 3 11 24" xfId="1457"/>
    <cellStyle name="20% - 强调文字颜色 3 11 25" xfId="1458"/>
    <cellStyle name="20% - 强调文字颜色 3 11 26" xfId="1459"/>
    <cellStyle name="20% - 强调文字颜色 3 11 27" xfId="1460"/>
    <cellStyle name="20% - 强调文字颜色 3 11 28" xfId="1461"/>
    <cellStyle name="20% - 强调文字颜色 3 11 3" xfId="1462"/>
    <cellStyle name="20% - 强调文字颜色 3 11 4" xfId="1463"/>
    <cellStyle name="20% - 强调文字颜色 3 11 5" xfId="1464"/>
    <cellStyle name="20% - 强调文字颜色 3 11 6" xfId="1465"/>
    <cellStyle name="20% - 强调文字颜色 3 11 7" xfId="1466"/>
    <cellStyle name="20% - 强调文字颜色 3 11 8" xfId="1467"/>
    <cellStyle name="20% - 强调文字颜色 3 11 9" xfId="1468"/>
    <cellStyle name="20% - 强调文字颜色 3 12" xfId="1469"/>
    <cellStyle name="20% - 强调文字颜色 3 13" xfId="1470"/>
    <cellStyle name="20% - 强调文字颜色 3 14" xfId="1471"/>
    <cellStyle name="20% - 强调文字颜色 3 15" xfId="1472"/>
    <cellStyle name="20% - 强调文字颜色 3 16" xfId="1473"/>
    <cellStyle name="20% - 强调文字颜色 3 17" xfId="1474"/>
    <cellStyle name="20% - 强调文字颜色 3 18" xfId="1475"/>
    <cellStyle name="20% - 强调文字颜色 3 19" xfId="1476"/>
    <cellStyle name="20% - 强调文字颜色 3 2" xfId="1477"/>
    <cellStyle name="20% - 强调文字颜色 3 2 10" xfId="1478"/>
    <cellStyle name="20% - 强调文字颜色 3 2 11" xfId="1479"/>
    <cellStyle name="20% - 强调文字颜色 3 2 12" xfId="1480"/>
    <cellStyle name="20% - 强调文字颜色 3 2 13" xfId="1481"/>
    <cellStyle name="20% - 强调文字颜色 3 2 14" xfId="1482"/>
    <cellStyle name="20% - 强调文字颜色 3 2 15" xfId="1483"/>
    <cellStyle name="20% - 强调文字颜色 3 2 16" xfId="1484"/>
    <cellStyle name="20% - 强调文字颜色 3 2 17" xfId="1485"/>
    <cellStyle name="20% - 强调文字颜色 3 2 18" xfId="1486"/>
    <cellStyle name="20% - 强调文字颜色 3 2 19" xfId="1487"/>
    <cellStyle name="20% - 强调文字颜色 3 2 2" xfId="1488"/>
    <cellStyle name="20% - 强调文字颜色 3 2 2 10" xfId="1489"/>
    <cellStyle name="20% - 强调文字颜色 3 2 2 11" xfId="1490"/>
    <cellStyle name="20% - 强调文字颜色 3 2 2 12" xfId="1491"/>
    <cellStyle name="20% - 强调文字颜色 3 2 2 13" xfId="1492"/>
    <cellStyle name="20% - 强调文字颜色 3 2 2 14" xfId="1493"/>
    <cellStyle name="20% - 强调文字颜色 3 2 2 15" xfId="1494"/>
    <cellStyle name="20% - 强调文字颜色 3 2 2 16" xfId="1495"/>
    <cellStyle name="20% - 强调文字颜色 3 2 2 17" xfId="1496"/>
    <cellStyle name="20% - 强调文字颜色 3 2 2 18" xfId="1497"/>
    <cellStyle name="20% - 强调文字颜色 3 2 2 19" xfId="1498"/>
    <cellStyle name="20% - 强调文字颜色 3 2 2 2" xfId="1499"/>
    <cellStyle name="20% - 强调文字颜色 3 2 2 2 10" xfId="1500"/>
    <cellStyle name="20% - 强调文字颜色 3 2 2 2 11" xfId="1501"/>
    <cellStyle name="20% - 强调文字颜色 3 2 2 2 12" xfId="1502"/>
    <cellStyle name="20% - 强调文字颜色 3 2 2 2 13" xfId="1503"/>
    <cellStyle name="20% - 强调文字颜色 3 2 2 2 14" xfId="1504"/>
    <cellStyle name="20% - 强调文字颜色 3 2 2 2 15" xfId="1505"/>
    <cellStyle name="20% - 强调文字颜色 3 2 2 2 16" xfId="1506"/>
    <cellStyle name="20% - 强调文字颜色 3 2 2 2 17" xfId="1507"/>
    <cellStyle name="20% - 强调文字颜色 3 2 2 2 18" xfId="1508"/>
    <cellStyle name="20% - 强调文字颜色 3 2 2 2 19" xfId="1509"/>
    <cellStyle name="20% - 强调文字颜色 3 2 2 2 2" xfId="1510"/>
    <cellStyle name="20% - 强调文字颜色 3 2 2 2 20" xfId="1511"/>
    <cellStyle name="20% - 强调文字颜色 3 2 2 2 21" xfId="1512"/>
    <cellStyle name="20% - 强调文字颜色 3 2 2 2 22" xfId="1513"/>
    <cellStyle name="20% - 强调文字颜色 3 2 2 2 23" xfId="1514"/>
    <cellStyle name="20% - 强调文字颜色 3 2 2 2 24" xfId="1515"/>
    <cellStyle name="20% - 强调文字颜色 3 2 2 2 25" xfId="1516"/>
    <cellStyle name="20% - 强调文字颜色 3 2 2 2 26" xfId="1517"/>
    <cellStyle name="20% - 强调文字颜色 3 2 2 2 27" xfId="1518"/>
    <cellStyle name="20% - 强调文字颜色 3 2 2 2 3" xfId="1519"/>
    <cellStyle name="20% - 强调文字颜色 3 2 2 2 4" xfId="1520"/>
    <cellStyle name="20% - 强调文字颜色 3 2 2 2 5" xfId="1521"/>
    <cellStyle name="20% - 强调文字颜色 3 2 2 2 6" xfId="1522"/>
    <cellStyle name="20% - 强调文字颜色 3 2 2 2 7" xfId="1523"/>
    <cellStyle name="20% - 强调文字颜色 3 2 2 2 8" xfId="1524"/>
    <cellStyle name="20% - 强调文字颜色 3 2 2 2 9" xfId="1525"/>
    <cellStyle name="20% - 强调文字颜色 3 2 2 20" xfId="1526"/>
    <cellStyle name="20% - 强调文字颜色 3 2 2 21" xfId="1527"/>
    <cellStyle name="20% - 强调文字颜色 3 2 2 22" xfId="1528"/>
    <cellStyle name="20% - 强调文字颜色 3 2 2 23" xfId="1529"/>
    <cellStyle name="20% - 强调文字颜色 3 2 2 24" xfId="1530"/>
    <cellStyle name="20% - 强调文字颜色 3 2 2 25" xfId="1531"/>
    <cellStyle name="20% - 强调文字颜色 3 2 2 26" xfId="1532"/>
    <cellStyle name="20% - 强调文字颜色 3 2 2 27" xfId="1533"/>
    <cellStyle name="20% - 强调文字颜色 3 2 2 28" xfId="1534"/>
    <cellStyle name="20% - 强调文字颜色 3 2 2 3" xfId="1535"/>
    <cellStyle name="20% - 强调文字颜色 3 2 2 4" xfId="1536"/>
    <cellStyle name="20% - 强调文字颜色 3 2 2 5" xfId="1537"/>
    <cellStyle name="20% - 强调文字颜色 3 2 2 6" xfId="1538"/>
    <cellStyle name="20% - 强调文字颜色 3 2 2 7" xfId="1539"/>
    <cellStyle name="20% - 强调文字颜色 3 2 2 8" xfId="1540"/>
    <cellStyle name="20% - 强调文字颜色 3 2 2 9" xfId="1541"/>
    <cellStyle name="20% - 强调文字颜色 3 2 20" xfId="1542"/>
    <cellStyle name="20% - 强调文字颜色 3 2 21" xfId="1543"/>
    <cellStyle name="20% - 强调文字颜色 3 2 22" xfId="1544"/>
    <cellStyle name="20% - 强调文字颜色 3 2 23" xfId="1545"/>
    <cellStyle name="20% - 强调文字颜色 3 2 24" xfId="1546"/>
    <cellStyle name="20% - 强调文字颜色 3 2 25" xfId="1547"/>
    <cellStyle name="20% - 强调文字颜色 3 2 26" xfId="1548"/>
    <cellStyle name="20% - 强调文字颜色 3 2 27" xfId="1549"/>
    <cellStyle name="20% - 强调文字颜色 3 2 28" xfId="1550"/>
    <cellStyle name="20% - 强调文字颜色 3 2 29" xfId="1551"/>
    <cellStyle name="20% - 强调文字颜色 3 2 3" xfId="1552"/>
    <cellStyle name="20% - 强调文字颜色 3 2 3 10" xfId="1553"/>
    <cellStyle name="20% - 强调文字颜色 3 2 3 11" xfId="1554"/>
    <cellStyle name="20% - 强调文字颜色 3 2 3 12" xfId="1555"/>
    <cellStyle name="20% - 强调文字颜色 3 2 3 13" xfId="1556"/>
    <cellStyle name="20% - 强调文字颜色 3 2 3 14" xfId="1557"/>
    <cellStyle name="20% - 强调文字颜色 3 2 3 15" xfId="1558"/>
    <cellStyle name="20% - 强调文字颜色 3 2 3 16" xfId="1559"/>
    <cellStyle name="20% - 强调文字颜色 3 2 3 17" xfId="1560"/>
    <cellStyle name="20% - 强调文字颜色 3 2 3 18" xfId="1561"/>
    <cellStyle name="20% - 强调文字颜色 3 2 3 19" xfId="1562"/>
    <cellStyle name="20% - 强调文字颜色 3 2 3 2" xfId="1563"/>
    <cellStyle name="20% - 强调文字颜色 3 2 3 2 10" xfId="1564"/>
    <cellStyle name="20% - 强调文字颜色 3 2 3 2 11" xfId="1565"/>
    <cellStyle name="20% - 强调文字颜色 3 2 3 2 12" xfId="1566"/>
    <cellStyle name="20% - 强调文字颜色 3 2 3 2 13" xfId="1567"/>
    <cellStyle name="20% - 强调文字颜色 3 2 3 2 14" xfId="1568"/>
    <cellStyle name="20% - 强调文字颜色 3 2 3 2 15" xfId="1569"/>
    <cellStyle name="20% - 强调文字颜色 3 2 3 2 16" xfId="1570"/>
    <cellStyle name="20% - 强调文字颜色 3 2 3 2 17" xfId="1571"/>
    <cellStyle name="20% - 强调文字颜色 3 2 3 2 18" xfId="1572"/>
    <cellStyle name="20% - 强调文字颜色 3 2 3 2 19" xfId="1573"/>
    <cellStyle name="20% - 强调文字颜色 3 2 3 2 2" xfId="1574"/>
    <cellStyle name="20% - 强调文字颜色 3 2 3 2 20" xfId="1575"/>
    <cellStyle name="20% - 强调文字颜色 3 2 3 2 21" xfId="1576"/>
    <cellStyle name="20% - 强调文字颜色 3 2 3 2 22" xfId="1577"/>
    <cellStyle name="20% - 强调文字颜色 3 2 3 2 23" xfId="1578"/>
    <cellStyle name="20% - 强调文字颜色 3 2 3 2 24" xfId="1579"/>
    <cellStyle name="20% - 强调文字颜色 3 2 3 2 25" xfId="1580"/>
    <cellStyle name="20% - 强调文字颜色 3 2 3 2 26" xfId="1581"/>
    <cellStyle name="20% - 强调文字颜色 3 2 3 2 27" xfId="1582"/>
    <cellStyle name="20% - 强调文字颜色 3 2 3 2 3" xfId="1583"/>
    <cellStyle name="20% - 强调文字颜色 3 2 3 2 4" xfId="1584"/>
    <cellStyle name="20% - 强调文字颜色 3 2 3 2 5" xfId="1585"/>
    <cellStyle name="20% - 强调文字颜色 3 2 3 2 6" xfId="1586"/>
    <cellStyle name="20% - 强调文字颜色 3 2 3 2 7" xfId="1587"/>
    <cellStyle name="20% - 强调文字颜色 3 2 3 2 8" xfId="1588"/>
    <cellStyle name="20% - 强调文字颜色 3 2 3 2 9" xfId="1589"/>
    <cellStyle name="20% - 强调文字颜色 3 2 3 20" xfId="1590"/>
    <cellStyle name="20% - 强调文字颜色 3 2 3 21" xfId="1591"/>
    <cellStyle name="20% - 强调文字颜色 3 2 3 22" xfId="1592"/>
    <cellStyle name="20% - 强调文字颜色 3 2 3 23" xfId="1593"/>
    <cellStyle name="20% - 强调文字颜色 3 2 3 24" xfId="1594"/>
    <cellStyle name="20% - 强调文字颜色 3 2 3 25" xfId="1595"/>
    <cellStyle name="20% - 强调文字颜色 3 2 3 26" xfId="1596"/>
    <cellStyle name="20% - 强调文字颜色 3 2 3 27" xfId="1597"/>
    <cellStyle name="20% - 强调文字颜色 3 2 3 28" xfId="1598"/>
    <cellStyle name="20% - 强调文字颜色 3 2 3 3" xfId="1599"/>
    <cellStyle name="20% - 强调文字颜色 3 2 3 4" xfId="1600"/>
    <cellStyle name="20% - 强调文字颜色 3 2 3 5" xfId="1601"/>
    <cellStyle name="20% - 强调文字颜色 3 2 3 6" xfId="1602"/>
    <cellStyle name="20% - 强调文字颜色 3 2 3 7" xfId="1603"/>
    <cellStyle name="20% - 强调文字颜色 3 2 3 8" xfId="1604"/>
    <cellStyle name="20% - 强调文字颜色 3 2 3 9" xfId="1605"/>
    <cellStyle name="20% - 强调文字颜色 3 2 30" xfId="1606"/>
    <cellStyle name="20% - 强调文字颜色 3 2 31" xfId="1607"/>
    <cellStyle name="20% - 强调文字颜色 3 2 32" xfId="1608"/>
    <cellStyle name="20% - 强调文字颜色 3 2 33" xfId="1609"/>
    <cellStyle name="20% - 强调文字颜色 3 2 4" xfId="1610"/>
    <cellStyle name="20% - 强调文字颜色 3 2 4 10" xfId="1611"/>
    <cellStyle name="20% - 强调文字颜色 3 2 4 11" xfId="1612"/>
    <cellStyle name="20% - 强调文字颜色 3 2 4 12" xfId="1613"/>
    <cellStyle name="20% - 强调文字颜色 3 2 4 13" xfId="1614"/>
    <cellStyle name="20% - 强调文字颜色 3 2 4 14" xfId="1615"/>
    <cellStyle name="20% - 强调文字颜色 3 2 4 15" xfId="1616"/>
    <cellStyle name="20% - 强调文字颜色 3 2 4 16" xfId="1617"/>
    <cellStyle name="20% - 强调文字颜色 3 2 4 17" xfId="1618"/>
    <cellStyle name="20% - 强调文字颜色 3 2 4 18" xfId="1619"/>
    <cellStyle name="20% - 强调文字颜色 3 2 4 19" xfId="1620"/>
    <cellStyle name="20% - 强调文字颜色 3 2 4 2" xfId="1621"/>
    <cellStyle name="20% - 强调文字颜色 3 2 4 20" xfId="1622"/>
    <cellStyle name="20% - 强调文字颜色 3 2 4 21" xfId="1623"/>
    <cellStyle name="20% - 强调文字颜色 3 2 4 22" xfId="1624"/>
    <cellStyle name="20% - 强调文字颜色 3 2 4 23" xfId="1625"/>
    <cellStyle name="20% - 强调文字颜色 3 2 4 24" xfId="1626"/>
    <cellStyle name="20% - 强调文字颜色 3 2 4 25" xfId="1627"/>
    <cellStyle name="20% - 强调文字颜色 3 2 4 26" xfId="1628"/>
    <cellStyle name="20% - 强调文字颜色 3 2 4 27" xfId="1629"/>
    <cellStyle name="20% - 强调文字颜色 3 2 4 3" xfId="1630"/>
    <cellStyle name="20% - 强调文字颜色 3 2 4 4" xfId="1631"/>
    <cellStyle name="20% - 强调文字颜色 3 2 4 5" xfId="1632"/>
    <cellStyle name="20% - 强调文字颜色 3 2 4 6" xfId="1633"/>
    <cellStyle name="20% - 强调文字颜色 3 2 4 7" xfId="1634"/>
    <cellStyle name="20% - 强调文字颜色 3 2 4 8" xfId="1635"/>
    <cellStyle name="20% - 强调文字颜色 3 2 4 9" xfId="1636"/>
    <cellStyle name="20% - 强调文字颜色 3 2 5" xfId="1637"/>
    <cellStyle name="20% - 强调文字颜色 3 2 6" xfId="1638"/>
    <cellStyle name="20% - 强调文字颜色 3 2 7" xfId="1639"/>
    <cellStyle name="20% - 强调文字颜色 3 2 8" xfId="1640"/>
    <cellStyle name="20% - 强调文字颜色 3 2 9" xfId="1641"/>
    <cellStyle name="20% - 强调文字颜色 3 20" xfId="1642"/>
    <cellStyle name="20% - 强调文字颜色 3 21" xfId="1643"/>
    <cellStyle name="20% - 强调文字颜色 3 22" xfId="1644"/>
    <cellStyle name="20% - 强调文字颜色 3 23" xfId="1645"/>
    <cellStyle name="20% - 强调文字颜色 3 24" xfId="1646"/>
    <cellStyle name="20% - 强调文字颜色 3 25" xfId="1647"/>
    <cellStyle name="20% - 强调文字颜色 3 26" xfId="1648"/>
    <cellStyle name="20% - 强调文字颜色 3 27" xfId="1649"/>
    <cellStyle name="20% - 强调文字颜色 3 28" xfId="1650"/>
    <cellStyle name="20% - 强调文字颜色 3 29" xfId="1651"/>
    <cellStyle name="20% - 强调文字颜色 3 3" xfId="1652"/>
    <cellStyle name="20% - 强调文字颜色 3 3 10" xfId="1653"/>
    <cellStyle name="20% - 强调文字颜色 3 3 11" xfId="1654"/>
    <cellStyle name="20% - 强调文字颜色 3 3 12" xfId="1655"/>
    <cellStyle name="20% - 强调文字颜色 3 3 13" xfId="1656"/>
    <cellStyle name="20% - 强调文字颜色 3 3 14" xfId="1657"/>
    <cellStyle name="20% - 强调文字颜色 3 3 15" xfId="1658"/>
    <cellStyle name="20% - 强调文字颜色 3 3 16" xfId="1659"/>
    <cellStyle name="20% - 强调文字颜色 3 3 17" xfId="1660"/>
    <cellStyle name="20% - 强调文字颜色 3 3 18" xfId="1661"/>
    <cellStyle name="20% - 强调文字颜色 3 3 19" xfId="1662"/>
    <cellStyle name="20% - 强调文字颜色 3 3 2" xfId="1663"/>
    <cellStyle name="20% - 强调文字颜色 3 3 2 10" xfId="1664"/>
    <cellStyle name="20% - 强调文字颜色 3 3 2 11" xfId="1665"/>
    <cellStyle name="20% - 强调文字颜色 3 3 2 12" xfId="1666"/>
    <cellStyle name="20% - 强调文字颜色 3 3 2 13" xfId="1667"/>
    <cellStyle name="20% - 强调文字颜色 3 3 2 14" xfId="1668"/>
    <cellStyle name="20% - 强调文字颜色 3 3 2 15" xfId="1669"/>
    <cellStyle name="20% - 强调文字颜色 3 3 2 16" xfId="1670"/>
    <cellStyle name="20% - 强调文字颜色 3 3 2 17" xfId="1671"/>
    <cellStyle name="20% - 强调文字颜色 3 3 2 18" xfId="1672"/>
    <cellStyle name="20% - 强调文字颜色 3 3 2 19" xfId="1673"/>
    <cellStyle name="20% - 强调文字颜色 3 3 2 2" xfId="1674"/>
    <cellStyle name="20% - 强调文字颜色 3 3 2 20" xfId="1675"/>
    <cellStyle name="20% - 强调文字颜色 3 3 2 21" xfId="1676"/>
    <cellStyle name="20% - 强调文字颜色 3 3 2 22" xfId="1677"/>
    <cellStyle name="20% - 强调文字颜色 3 3 2 23" xfId="1678"/>
    <cellStyle name="20% - 强调文字颜色 3 3 2 24" xfId="1679"/>
    <cellStyle name="20% - 强调文字颜色 3 3 2 25" xfId="1680"/>
    <cellStyle name="20% - 强调文字颜色 3 3 2 26" xfId="1681"/>
    <cellStyle name="20% - 强调文字颜色 3 3 2 27" xfId="1682"/>
    <cellStyle name="20% - 强调文字颜色 3 3 2 3" xfId="1683"/>
    <cellStyle name="20% - 强调文字颜色 3 3 2 4" xfId="1684"/>
    <cellStyle name="20% - 强调文字颜色 3 3 2 5" xfId="1685"/>
    <cellStyle name="20% - 强调文字颜色 3 3 2 6" xfId="1686"/>
    <cellStyle name="20% - 强调文字颜色 3 3 2 7" xfId="1687"/>
    <cellStyle name="20% - 强调文字颜色 3 3 2 8" xfId="1688"/>
    <cellStyle name="20% - 强调文字颜色 3 3 2 9" xfId="1689"/>
    <cellStyle name="20% - 强调文字颜色 3 3 20" xfId="1690"/>
    <cellStyle name="20% - 强调文字颜色 3 3 21" xfId="1691"/>
    <cellStyle name="20% - 强调文字颜色 3 3 22" xfId="1692"/>
    <cellStyle name="20% - 强调文字颜色 3 3 23" xfId="1693"/>
    <cellStyle name="20% - 强调文字颜色 3 3 24" xfId="1694"/>
    <cellStyle name="20% - 强调文字颜色 3 3 25" xfId="1695"/>
    <cellStyle name="20% - 强调文字颜色 3 3 26" xfId="1696"/>
    <cellStyle name="20% - 强调文字颜色 3 3 27" xfId="1697"/>
    <cellStyle name="20% - 强调文字颜色 3 3 28" xfId="1698"/>
    <cellStyle name="20% - 强调文字颜色 3 3 3" xfId="1699"/>
    <cellStyle name="20% - 强调文字颜色 3 3 4" xfId="1700"/>
    <cellStyle name="20% - 强调文字颜色 3 3 5" xfId="1701"/>
    <cellStyle name="20% - 强调文字颜色 3 3 6" xfId="1702"/>
    <cellStyle name="20% - 强调文字颜色 3 3 7" xfId="1703"/>
    <cellStyle name="20% - 强调文字颜色 3 3 8" xfId="1704"/>
    <cellStyle name="20% - 强调文字颜色 3 3 9" xfId="1705"/>
    <cellStyle name="20% - 强调文字颜色 3 30" xfId="1706"/>
    <cellStyle name="20% - 强调文字颜色 3 31" xfId="1707"/>
    <cellStyle name="20% - 强调文字颜色 3 32" xfId="1708"/>
    <cellStyle name="20% - 强调文字颜色 3 33" xfId="1709"/>
    <cellStyle name="20% - 强调文字颜色 3 34" xfId="1710"/>
    <cellStyle name="20% - 强调文字颜色 3 35" xfId="1711"/>
    <cellStyle name="20% - 强调文字颜色 3 36" xfId="1712"/>
    <cellStyle name="20% - 强调文字颜色 3 37" xfId="1713"/>
    <cellStyle name="20% - 强调文字颜色 3 38" xfId="1714"/>
    <cellStyle name="20% - 强调文字颜色 3 39" xfId="1715"/>
    <cellStyle name="20% - 强调文字颜色 3 4" xfId="1716"/>
    <cellStyle name="20% - 强调文字颜色 3 4 10" xfId="1717"/>
    <cellStyle name="20% - 强调文字颜色 3 4 11" xfId="1718"/>
    <cellStyle name="20% - 强调文字颜色 3 4 12" xfId="1719"/>
    <cellStyle name="20% - 强调文字颜色 3 4 13" xfId="1720"/>
    <cellStyle name="20% - 强调文字颜色 3 4 14" xfId="1721"/>
    <cellStyle name="20% - 强调文字颜色 3 4 15" xfId="1722"/>
    <cellStyle name="20% - 强调文字颜色 3 4 16" xfId="1723"/>
    <cellStyle name="20% - 强调文字颜色 3 4 17" xfId="1724"/>
    <cellStyle name="20% - 强调文字颜色 3 4 18" xfId="1725"/>
    <cellStyle name="20% - 强调文字颜色 3 4 19" xfId="1726"/>
    <cellStyle name="20% - 强调文字颜色 3 4 2" xfId="1727"/>
    <cellStyle name="20% - 强调文字颜色 3 4 2 10" xfId="1728"/>
    <cellStyle name="20% - 强调文字颜色 3 4 2 11" xfId="1729"/>
    <cellStyle name="20% - 强调文字颜色 3 4 2 12" xfId="1730"/>
    <cellStyle name="20% - 强调文字颜色 3 4 2 13" xfId="1731"/>
    <cellStyle name="20% - 强调文字颜色 3 4 2 14" xfId="1732"/>
    <cellStyle name="20% - 强调文字颜色 3 4 2 15" xfId="1733"/>
    <cellStyle name="20% - 强调文字颜色 3 4 2 16" xfId="1734"/>
    <cellStyle name="20% - 强调文字颜色 3 4 2 17" xfId="1735"/>
    <cellStyle name="20% - 强调文字颜色 3 4 2 18" xfId="1736"/>
    <cellStyle name="20% - 强调文字颜色 3 4 2 19" xfId="1737"/>
    <cellStyle name="20% - 强调文字颜色 3 4 2 2" xfId="1738"/>
    <cellStyle name="20% - 强调文字颜色 3 4 2 20" xfId="1739"/>
    <cellStyle name="20% - 强调文字颜色 3 4 2 21" xfId="1740"/>
    <cellStyle name="20% - 强调文字颜色 3 4 2 22" xfId="1741"/>
    <cellStyle name="20% - 强调文字颜色 3 4 2 23" xfId="1742"/>
    <cellStyle name="20% - 强调文字颜色 3 4 2 24" xfId="1743"/>
    <cellStyle name="20% - 强调文字颜色 3 4 2 25" xfId="1744"/>
    <cellStyle name="20% - 强调文字颜色 3 4 2 26" xfId="1745"/>
    <cellStyle name="20% - 强调文字颜色 3 4 2 27" xfId="1746"/>
    <cellStyle name="20% - 强调文字颜色 3 4 2 3" xfId="1747"/>
    <cellStyle name="20% - 强调文字颜色 3 4 2 4" xfId="1748"/>
    <cellStyle name="20% - 强调文字颜色 3 4 2 5" xfId="1749"/>
    <cellStyle name="20% - 强调文字颜色 3 4 2 6" xfId="1750"/>
    <cellStyle name="20% - 强调文字颜色 3 4 2 7" xfId="1751"/>
    <cellStyle name="20% - 强调文字颜色 3 4 2 8" xfId="1752"/>
    <cellStyle name="20% - 强调文字颜色 3 4 2 9" xfId="1753"/>
    <cellStyle name="20% - 强调文字颜色 3 4 20" xfId="1754"/>
    <cellStyle name="20% - 强调文字颜色 3 4 21" xfId="1755"/>
    <cellStyle name="20% - 强调文字颜色 3 4 22" xfId="1756"/>
    <cellStyle name="20% - 强调文字颜色 3 4 23" xfId="1757"/>
    <cellStyle name="20% - 强调文字颜色 3 4 24" xfId="1758"/>
    <cellStyle name="20% - 强调文字颜色 3 4 25" xfId="1759"/>
    <cellStyle name="20% - 强调文字颜色 3 4 26" xfId="1760"/>
    <cellStyle name="20% - 强调文字颜色 3 4 27" xfId="1761"/>
    <cellStyle name="20% - 强调文字颜色 3 4 28" xfId="1762"/>
    <cellStyle name="20% - 强调文字颜色 3 4 3" xfId="1763"/>
    <cellStyle name="20% - 强调文字颜色 3 4 4" xfId="1764"/>
    <cellStyle name="20% - 强调文字颜色 3 4 5" xfId="1765"/>
    <cellStyle name="20% - 强调文字颜色 3 4 6" xfId="1766"/>
    <cellStyle name="20% - 强调文字颜色 3 4 7" xfId="1767"/>
    <cellStyle name="20% - 强调文字颜色 3 4 8" xfId="1768"/>
    <cellStyle name="20% - 强调文字颜色 3 4 9" xfId="1769"/>
    <cellStyle name="20% - 强调文字颜色 3 40" xfId="1770"/>
    <cellStyle name="20% - 强调文字颜色 3 5" xfId="1771"/>
    <cellStyle name="20% - 强调文字颜色 3 5 10" xfId="1772"/>
    <cellStyle name="20% - 强调文字颜色 3 5 11" xfId="1773"/>
    <cellStyle name="20% - 强调文字颜色 3 5 12" xfId="1774"/>
    <cellStyle name="20% - 强调文字颜色 3 5 13" xfId="1775"/>
    <cellStyle name="20% - 强调文字颜色 3 5 14" xfId="1776"/>
    <cellStyle name="20% - 强调文字颜色 3 5 15" xfId="1777"/>
    <cellStyle name="20% - 强调文字颜色 3 5 16" xfId="1778"/>
    <cellStyle name="20% - 强调文字颜色 3 5 17" xfId="1779"/>
    <cellStyle name="20% - 强调文字颜色 3 5 18" xfId="1780"/>
    <cellStyle name="20% - 强调文字颜色 3 5 19" xfId="1781"/>
    <cellStyle name="20% - 强调文字颜色 3 5 2" xfId="1782"/>
    <cellStyle name="20% - 强调文字颜色 3 5 2 10" xfId="1783"/>
    <cellStyle name="20% - 强调文字颜色 3 5 2 11" xfId="1784"/>
    <cellStyle name="20% - 强调文字颜色 3 5 2 12" xfId="1785"/>
    <cellStyle name="20% - 强调文字颜色 3 5 2 13" xfId="1786"/>
    <cellStyle name="20% - 强调文字颜色 3 5 2 14" xfId="1787"/>
    <cellStyle name="20% - 强调文字颜色 3 5 2 15" xfId="1788"/>
    <cellStyle name="20% - 强调文字颜色 3 5 2 16" xfId="1789"/>
    <cellStyle name="20% - 强调文字颜色 3 5 2 17" xfId="1790"/>
    <cellStyle name="20% - 强调文字颜色 3 5 2 18" xfId="1791"/>
    <cellStyle name="20% - 强调文字颜色 3 5 2 19" xfId="1792"/>
    <cellStyle name="20% - 强调文字颜色 3 5 2 2" xfId="1793"/>
    <cellStyle name="20% - 强调文字颜色 3 5 2 20" xfId="1794"/>
    <cellStyle name="20% - 强调文字颜色 3 5 2 21" xfId="1795"/>
    <cellStyle name="20% - 强调文字颜色 3 5 2 22" xfId="1796"/>
    <cellStyle name="20% - 强调文字颜色 3 5 2 23" xfId="1797"/>
    <cellStyle name="20% - 强调文字颜色 3 5 2 24" xfId="1798"/>
    <cellStyle name="20% - 强调文字颜色 3 5 2 25" xfId="1799"/>
    <cellStyle name="20% - 强调文字颜色 3 5 2 26" xfId="1800"/>
    <cellStyle name="20% - 强调文字颜色 3 5 2 27" xfId="1801"/>
    <cellStyle name="20% - 强调文字颜色 3 5 2 3" xfId="1802"/>
    <cellStyle name="20% - 强调文字颜色 3 5 2 4" xfId="1803"/>
    <cellStyle name="20% - 强调文字颜色 3 5 2 5" xfId="1804"/>
    <cellStyle name="20% - 强调文字颜色 3 5 2 6" xfId="1805"/>
    <cellStyle name="20% - 强调文字颜色 3 5 2 7" xfId="1806"/>
    <cellStyle name="20% - 强调文字颜色 3 5 2 8" xfId="1807"/>
    <cellStyle name="20% - 强调文字颜色 3 5 2 9" xfId="1808"/>
    <cellStyle name="20% - 强调文字颜色 3 5 20" xfId="1809"/>
    <cellStyle name="20% - 强调文字颜色 3 5 21" xfId="1810"/>
    <cellStyle name="20% - 强调文字颜色 3 5 22" xfId="1811"/>
    <cellStyle name="20% - 强调文字颜色 3 5 23" xfId="1812"/>
    <cellStyle name="20% - 强调文字颜色 3 5 24" xfId="1813"/>
    <cellStyle name="20% - 强调文字颜色 3 5 25" xfId="1814"/>
    <cellStyle name="20% - 强调文字颜色 3 5 26" xfId="1815"/>
    <cellStyle name="20% - 强调文字颜色 3 5 27" xfId="1816"/>
    <cellStyle name="20% - 强调文字颜色 3 5 28" xfId="1817"/>
    <cellStyle name="20% - 强调文字颜色 3 5 3" xfId="1818"/>
    <cellStyle name="20% - 强调文字颜色 3 5 4" xfId="1819"/>
    <cellStyle name="20% - 强调文字颜色 3 5 5" xfId="1820"/>
    <cellStyle name="20% - 强调文字颜色 3 5 6" xfId="1821"/>
    <cellStyle name="20% - 强调文字颜色 3 5 7" xfId="1822"/>
    <cellStyle name="20% - 强调文字颜色 3 5 8" xfId="1823"/>
    <cellStyle name="20% - 强调文字颜色 3 5 9" xfId="1824"/>
    <cellStyle name="20% - 强调文字颜色 3 6" xfId="1825"/>
    <cellStyle name="20% - 强调文字颜色 3 6 10" xfId="1826"/>
    <cellStyle name="20% - 强调文字颜色 3 6 11" xfId="1827"/>
    <cellStyle name="20% - 强调文字颜色 3 6 12" xfId="1828"/>
    <cellStyle name="20% - 强调文字颜色 3 6 13" xfId="1829"/>
    <cellStyle name="20% - 强调文字颜色 3 6 14" xfId="1830"/>
    <cellStyle name="20% - 强调文字颜色 3 6 15" xfId="1831"/>
    <cellStyle name="20% - 强调文字颜色 3 6 16" xfId="1832"/>
    <cellStyle name="20% - 强调文字颜色 3 6 17" xfId="1833"/>
    <cellStyle name="20% - 强调文字颜色 3 6 18" xfId="1834"/>
    <cellStyle name="20% - 强调文字颜色 3 6 19" xfId="1835"/>
    <cellStyle name="20% - 强调文字颜色 3 6 2" xfId="1836"/>
    <cellStyle name="20% - 强调文字颜色 3 6 2 10" xfId="1837"/>
    <cellStyle name="20% - 强调文字颜色 3 6 2 11" xfId="1838"/>
    <cellStyle name="20% - 强调文字颜色 3 6 2 12" xfId="1839"/>
    <cellStyle name="20% - 强调文字颜色 3 6 2 13" xfId="1840"/>
    <cellStyle name="20% - 强调文字颜色 3 6 2 14" xfId="1841"/>
    <cellStyle name="20% - 强调文字颜色 3 6 2 15" xfId="1842"/>
    <cellStyle name="20% - 强调文字颜色 3 6 2 16" xfId="1843"/>
    <cellStyle name="20% - 强调文字颜色 3 6 2 17" xfId="1844"/>
    <cellStyle name="20% - 强调文字颜色 3 6 2 18" xfId="1845"/>
    <cellStyle name="20% - 强调文字颜色 3 6 2 19" xfId="1846"/>
    <cellStyle name="20% - 强调文字颜色 3 6 2 2" xfId="1847"/>
    <cellStyle name="20% - 强调文字颜色 3 6 2 20" xfId="1848"/>
    <cellStyle name="20% - 强调文字颜色 3 6 2 21" xfId="1849"/>
    <cellStyle name="20% - 强调文字颜色 3 6 2 22" xfId="1850"/>
    <cellStyle name="20% - 强调文字颜色 3 6 2 23" xfId="1851"/>
    <cellStyle name="20% - 强调文字颜色 3 6 2 24" xfId="1852"/>
    <cellStyle name="20% - 强调文字颜色 3 6 2 25" xfId="1853"/>
    <cellStyle name="20% - 强调文字颜色 3 6 2 26" xfId="1854"/>
    <cellStyle name="20% - 强调文字颜色 3 6 2 27" xfId="1855"/>
    <cellStyle name="20% - 强调文字颜色 3 6 2 3" xfId="1856"/>
    <cellStyle name="20% - 强调文字颜色 3 6 2 4" xfId="1857"/>
    <cellStyle name="20% - 强调文字颜色 3 6 2 5" xfId="1858"/>
    <cellStyle name="20% - 强调文字颜色 3 6 2 6" xfId="1859"/>
    <cellStyle name="20% - 强调文字颜色 3 6 2 7" xfId="1860"/>
    <cellStyle name="20% - 强调文字颜色 3 6 2 8" xfId="1861"/>
    <cellStyle name="20% - 强调文字颜色 3 6 2 9" xfId="1862"/>
    <cellStyle name="20% - 强调文字颜色 3 6 20" xfId="1863"/>
    <cellStyle name="20% - 强调文字颜色 3 6 21" xfId="1864"/>
    <cellStyle name="20% - 强调文字颜色 3 6 22" xfId="1865"/>
    <cellStyle name="20% - 强调文字颜色 3 6 23" xfId="1866"/>
    <cellStyle name="20% - 强调文字颜色 3 6 24" xfId="1867"/>
    <cellStyle name="20% - 强调文字颜色 3 6 25" xfId="1868"/>
    <cellStyle name="20% - 强调文字颜色 3 6 26" xfId="1869"/>
    <cellStyle name="20% - 强调文字颜色 3 6 27" xfId="1870"/>
    <cellStyle name="20% - 强调文字颜色 3 6 28" xfId="1871"/>
    <cellStyle name="20% - 强调文字颜色 3 6 3" xfId="1872"/>
    <cellStyle name="20% - 强调文字颜色 3 6 4" xfId="1873"/>
    <cellStyle name="20% - 强调文字颜色 3 6 5" xfId="1874"/>
    <cellStyle name="20% - 强调文字颜色 3 6 6" xfId="1875"/>
    <cellStyle name="20% - 强调文字颜色 3 6 7" xfId="1876"/>
    <cellStyle name="20% - 强调文字颜色 3 6 8" xfId="1877"/>
    <cellStyle name="20% - 强调文字颜色 3 6 9" xfId="1878"/>
    <cellStyle name="20% - 强调文字颜色 3 7" xfId="1879"/>
    <cellStyle name="20% - 强调文字颜色 3 7 10" xfId="1880"/>
    <cellStyle name="20% - 强调文字颜色 3 7 11" xfId="1881"/>
    <cellStyle name="20% - 强调文字颜色 3 7 12" xfId="1882"/>
    <cellStyle name="20% - 强调文字颜色 3 7 13" xfId="1883"/>
    <cellStyle name="20% - 强调文字颜色 3 7 14" xfId="1884"/>
    <cellStyle name="20% - 强调文字颜色 3 7 15" xfId="1885"/>
    <cellStyle name="20% - 强调文字颜色 3 7 16" xfId="1886"/>
    <cellStyle name="20% - 强调文字颜色 3 7 17" xfId="1887"/>
    <cellStyle name="20% - 强调文字颜色 3 7 18" xfId="1888"/>
    <cellStyle name="20% - 强调文字颜色 3 7 19" xfId="1889"/>
    <cellStyle name="20% - 强调文字颜色 3 7 2" xfId="1890"/>
    <cellStyle name="20% - 强调文字颜色 3 7 2 10" xfId="1891"/>
    <cellStyle name="20% - 强调文字颜色 3 7 2 11" xfId="1892"/>
    <cellStyle name="20% - 强调文字颜色 3 7 2 12" xfId="1893"/>
    <cellStyle name="20% - 强调文字颜色 3 7 2 13" xfId="1894"/>
    <cellStyle name="20% - 强调文字颜色 3 7 2 14" xfId="1895"/>
    <cellStyle name="20% - 强调文字颜色 3 7 2 15" xfId="1896"/>
    <cellStyle name="20% - 强调文字颜色 3 7 2 16" xfId="1897"/>
    <cellStyle name="20% - 强调文字颜色 3 7 2 17" xfId="1898"/>
    <cellStyle name="20% - 强调文字颜色 3 7 2 18" xfId="1899"/>
    <cellStyle name="20% - 强调文字颜色 3 7 2 19" xfId="1900"/>
    <cellStyle name="20% - 强调文字颜色 3 7 2 2" xfId="1901"/>
    <cellStyle name="20% - 强调文字颜色 3 7 2 20" xfId="1902"/>
    <cellStyle name="20% - 强调文字颜色 3 7 2 21" xfId="1903"/>
    <cellStyle name="20% - 强调文字颜色 3 7 2 22" xfId="1904"/>
    <cellStyle name="20% - 强调文字颜色 3 7 2 23" xfId="1905"/>
    <cellStyle name="20% - 强调文字颜色 3 7 2 24" xfId="1906"/>
    <cellStyle name="20% - 强调文字颜色 3 7 2 25" xfId="1907"/>
    <cellStyle name="20% - 强调文字颜色 3 7 2 26" xfId="1908"/>
    <cellStyle name="20% - 强调文字颜色 3 7 2 27" xfId="1909"/>
    <cellStyle name="20% - 强调文字颜色 3 7 2 3" xfId="1910"/>
    <cellStyle name="20% - 强调文字颜色 3 7 2 4" xfId="1911"/>
    <cellStyle name="20% - 强调文字颜色 3 7 2 5" xfId="1912"/>
    <cellStyle name="20% - 强调文字颜色 3 7 2 6" xfId="1913"/>
    <cellStyle name="20% - 强调文字颜色 3 7 2 7" xfId="1914"/>
    <cellStyle name="20% - 强调文字颜色 3 7 2 8" xfId="1915"/>
    <cellStyle name="20% - 强调文字颜色 3 7 2 9" xfId="1916"/>
    <cellStyle name="20% - 强调文字颜色 3 7 20" xfId="1917"/>
    <cellStyle name="20% - 强调文字颜色 3 7 21" xfId="1918"/>
    <cellStyle name="20% - 强调文字颜色 3 7 22" xfId="1919"/>
    <cellStyle name="20% - 强调文字颜色 3 7 23" xfId="1920"/>
    <cellStyle name="20% - 强调文字颜色 3 7 24" xfId="1921"/>
    <cellStyle name="20% - 强调文字颜色 3 7 25" xfId="1922"/>
    <cellStyle name="20% - 强调文字颜色 3 7 26" xfId="1923"/>
    <cellStyle name="20% - 强调文字颜色 3 7 27" xfId="1924"/>
    <cellStyle name="20% - 强调文字颜色 3 7 28" xfId="1925"/>
    <cellStyle name="20% - 强调文字颜色 3 7 3" xfId="1926"/>
    <cellStyle name="20% - 强调文字颜色 3 7 4" xfId="1927"/>
    <cellStyle name="20% - 强调文字颜色 3 7 5" xfId="1928"/>
    <cellStyle name="20% - 强调文字颜色 3 7 6" xfId="1929"/>
    <cellStyle name="20% - 强调文字颜色 3 7 7" xfId="1930"/>
    <cellStyle name="20% - 强调文字颜色 3 7 8" xfId="1931"/>
    <cellStyle name="20% - 强调文字颜色 3 7 9" xfId="1932"/>
    <cellStyle name="20% - 强调文字颜色 3 8" xfId="1933"/>
    <cellStyle name="20% - 强调文字颜色 3 8 10" xfId="1934"/>
    <cellStyle name="20% - 强调文字颜色 3 8 11" xfId="1935"/>
    <cellStyle name="20% - 强调文字颜色 3 8 12" xfId="1936"/>
    <cellStyle name="20% - 强调文字颜色 3 8 13" xfId="1937"/>
    <cellStyle name="20% - 强调文字颜色 3 8 14" xfId="1938"/>
    <cellStyle name="20% - 强调文字颜色 3 8 15" xfId="1939"/>
    <cellStyle name="20% - 强调文字颜色 3 8 16" xfId="1940"/>
    <cellStyle name="20% - 强调文字颜色 3 8 17" xfId="1941"/>
    <cellStyle name="20% - 强调文字颜色 3 8 18" xfId="1942"/>
    <cellStyle name="20% - 强调文字颜色 3 8 19" xfId="1943"/>
    <cellStyle name="20% - 强调文字颜色 3 8 2" xfId="1944"/>
    <cellStyle name="20% - 强调文字颜色 3 8 2 10" xfId="1945"/>
    <cellStyle name="20% - 强调文字颜色 3 8 2 11" xfId="1946"/>
    <cellStyle name="20% - 强调文字颜色 3 8 2 12" xfId="1947"/>
    <cellStyle name="20% - 强调文字颜色 3 8 2 13" xfId="1948"/>
    <cellStyle name="20% - 强调文字颜色 3 8 2 14" xfId="1949"/>
    <cellStyle name="20% - 强调文字颜色 3 8 2 15" xfId="1950"/>
    <cellStyle name="20% - 强调文字颜色 3 8 2 16" xfId="1951"/>
    <cellStyle name="20% - 强调文字颜色 3 8 2 17" xfId="1952"/>
    <cellStyle name="20% - 强调文字颜色 3 8 2 18" xfId="1953"/>
    <cellStyle name="20% - 强调文字颜色 3 8 2 19" xfId="1954"/>
    <cellStyle name="20% - 强调文字颜色 3 8 2 2" xfId="1955"/>
    <cellStyle name="20% - 强调文字颜色 3 8 2 20" xfId="1956"/>
    <cellStyle name="20% - 强调文字颜色 3 8 2 21" xfId="1957"/>
    <cellStyle name="20% - 强调文字颜色 3 8 2 22" xfId="1958"/>
    <cellStyle name="20% - 强调文字颜色 3 8 2 23" xfId="1959"/>
    <cellStyle name="20% - 强调文字颜色 3 8 2 24" xfId="1960"/>
    <cellStyle name="20% - 强调文字颜色 3 8 2 25" xfId="1961"/>
    <cellStyle name="20% - 强调文字颜色 3 8 2 26" xfId="1962"/>
    <cellStyle name="20% - 强调文字颜色 3 8 2 27" xfId="1963"/>
    <cellStyle name="20% - 强调文字颜色 3 8 2 3" xfId="1964"/>
    <cellStyle name="20% - 强调文字颜色 3 8 2 4" xfId="1965"/>
    <cellStyle name="20% - 强调文字颜色 3 8 2 5" xfId="1966"/>
    <cellStyle name="20% - 强调文字颜色 3 8 2 6" xfId="1967"/>
    <cellStyle name="20% - 强调文字颜色 3 8 2 7" xfId="1968"/>
    <cellStyle name="20% - 强调文字颜色 3 8 2 8" xfId="1969"/>
    <cellStyle name="20% - 强调文字颜色 3 8 2 9" xfId="1970"/>
    <cellStyle name="20% - 强调文字颜色 3 8 20" xfId="1971"/>
    <cellStyle name="20% - 强调文字颜色 3 8 21" xfId="1972"/>
    <cellStyle name="20% - 强调文字颜色 3 8 22" xfId="1973"/>
    <cellStyle name="20% - 强调文字颜色 3 8 23" xfId="1974"/>
    <cellStyle name="20% - 强调文字颜色 3 8 24" xfId="1975"/>
    <cellStyle name="20% - 强调文字颜色 3 8 25" xfId="1976"/>
    <cellStyle name="20% - 强调文字颜色 3 8 26" xfId="1977"/>
    <cellStyle name="20% - 强调文字颜色 3 8 27" xfId="1978"/>
    <cellStyle name="20% - 强调文字颜色 3 8 28" xfId="1979"/>
    <cellStyle name="20% - 强调文字颜色 3 8 3" xfId="1980"/>
    <cellStyle name="20% - 强调文字颜色 3 8 4" xfId="1981"/>
    <cellStyle name="20% - 强调文字颜色 3 8 5" xfId="1982"/>
    <cellStyle name="20% - 强调文字颜色 3 8 6" xfId="1983"/>
    <cellStyle name="20% - 强调文字颜色 3 8 7" xfId="1984"/>
    <cellStyle name="20% - 强调文字颜色 3 8 8" xfId="1985"/>
    <cellStyle name="20% - 强调文字颜色 3 8 9" xfId="1986"/>
    <cellStyle name="20% - 强调文字颜色 3 9" xfId="1987"/>
    <cellStyle name="20% - 强调文字颜色 3 9 10" xfId="1988"/>
    <cellStyle name="20% - 强调文字颜色 3 9 11" xfId="1989"/>
    <cellStyle name="20% - 强调文字颜色 3 9 12" xfId="1990"/>
    <cellStyle name="20% - 强调文字颜色 3 9 13" xfId="1991"/>
    <cellStyle name="20% - 强调文字颜色 3 9 14" xfId="1992"/>
    <cellStyle name="20% - 强调文字颜色 3 9 15" xfId="1993"/>
    <cellStyle name="20% - 强调文字颜色 3 9 16" xfId="1994"/>
    <cellStyle name="20% - 强调文字颜色 3 9 17" xfId="1995"/>
    <cellStyle name="20% - 强调文字颜色 3 9 18" xfId="1996"/>
    <cellStyle name="20% - 强调文字颜色 3 9 19" xfId="1997"/>
    <cellStyle name="20% - 强调文字颜色 3 9 2" xfId="1998"/>
    <cellStyle name="20% - 强调文字颜色 3 9 2 10" xfId="1999"/>
    <cellStyle name="20% - 强调文字颜色 3 9 2 11" xfId="2000"/>
    <cellStyle name="20% - 强调文字颜色 3 9 2 12" xfId="2001"/>
    <cellStyle name="20% - 强调文字颜色 3 9 2 13" xfId="2002"/>
    <cellStyle name="20% - 强调文字颜色 3 9 2 14" xfId="2003"/>
    <cellStyle name="20% - 强调文字颜色 3 9 2 15" xfId="2004"/>
    <cellStyle name="20% - 强调文字颜色 3 9 2 16" xfId="2005"/>
    <cellStyle name="20% - 强调文字颜色 3 9 2 17" xfId="2006"/>
    <cellStyle name="20% - 强调文字颜色 3 9 2 18" xfId="2007"/>
    <cellStyle name="20% - 强调文字颜色 3 9 2 19" xfId="2008"/>
    <cellStyle name="20% - 强调文字颜色 3 9 2 2" xfId="2009"/>
    <cellStyle name="20% - 强调文字颜色 3 9 2 20" xfId="2010"/>
    <cellStyle name="20% - 强调文字颜色 3 9 2 21" xfId="2011"/>
    <cellStyle name="20% - 强调文字颜色 3 9 2 22" xfId="2012"/>
    <cellStyle name="20% - 强调文字颜色 3 9 2 23" xfId="2013"/>
    <cellStyle name="20% - 强调文字颜色 3 9 2 24" xfId="2014"/>
    <cellStyle name="20% - 强调文字颜色 3 9 2 25" xfId="2015"/>
    <cellStyle name="20% - 强调文字颜色 3 9 2 26" xfId="2016"/>
    <cellStyle name="20% - 强调文字颜色 3 9 2 27" xfId="2017"/>
    <cellStyle name="20% - 强调文字颜色 3 9 2 3" xfId="2018"/>
    <cellStyle name="20% - 强调文字颜色 3 9 2 4" xfId="2019"/>
    <cellStyle name="20% - 强调文字颜色 3 9 2 5" xfId="2020"/>
    <cellStyle name="20% - 强调文字颜色 3 9 2 6" xfId="2021"/>
    <cellStyle name="20% - 强调文字颜色 3 9 2 7" xfId="2022"/>
    <cellStyle name="20% - 强调文字颜色 3 9 2 8" xfId="2023"/>
    <cellStyle name="20% - 强调文字颜色 3 9 2 9" xfId="2024"/>
    <cellStyle name="20% - 强调文字颜色 3 9 20" xfId="2025"/>
    <cellStyle name="20% - 强调文字颜色 3 9 21" xfId="2026"/>
    <cellStyle name="20% - 强调文字颜色 3 9 22" xfId="2027"/>
    <cellStyle name="20% - 强调文字颜色 3 9 23" xfId="2028"/>
    <cellStyle name="20% - 强调文字颜色 3 9 24" xfId="2029"/>
    <cellStyle name="20% - 强调文字颜色 3 9 25" xfId="2030"/>
    <cellStyle name="20% - 强调文字颜色 3 9 26" xfId="2031"/>
    <cellStyle name="20% - 强调文字颜色 3 9 27" xfId="2032"/>
    <cellStyle name="20% - 强调文字颜色 3 9 28" xfId="2033"/>
    <cellStyle name="20% - 强调文字颜色 3 9 3" xfId="2034"/>
    <cellStyle name="20% - 强调文字颜色 3 9 4" xfId="2035"/>
    <cellStyle name="20% - 强调文字颜色 3 9 5" xfId="2036"/>
    <cellStyle name="20% - 强调文字颜色 3 9 6" xfId="2037"/>
    <cellStyle name="20% - 强调文字颜色 3 9 7" xfId="2038"/>
    <cellStyle name="20% - 强调文字颜色 3 9 8" xfId="2039"/>
    <cellStyle name="20% - 强调文字颜色 3 9 9" xfId="2040"/>
    <cellStyle name="20% - 强调文字颜色 4 10" xfId="2041"/>
    <cellStyle name="20% - 强调文字颜色 4 10 10" xfId="2042"/>
    <cellStyle name="20% - 强调文字颜色 4 10 11" xfId="2043"/>
    <cellStyle name="20% - 强调文字颜色 4 10 12" xfId="2044"/>
    <cellStyle name="20% - 强调文字颜色 4 10 13" xfId="2045"/>
    <cellStyle name="20% - 强调文字颜色 4 10 14" xfId="2046"/>
    <cellStyle name="20% - 强调文字颜色 4 10 15" xfId="2047"/>
    <cellStyle name="20% - 强调文字颜色 4 10 16" xfId="2048"/>
    <cellStyle name="20% - 强调文字颜色 4 10 17" xfId="2049"/>
    <cellStyle name="20% - 强调文字颜色 4 10 18" xfId="2050"/>
    <cellStyle name="20% - 强调文字颜色 4 10 19" xfId="2051"/>
    <cellStyle name="20% - 强调文字颜色 4 10 2" xfId="2052"/>
    <cellStyle name="20% - 强调文字颜色 4 10 2 10" xfId="2053"/>
    <cellStyle name="20% - 强调文字颜色 4 10 2 11" xfId="2054"/>
    <cellStyle name="20% - 强调文字颜色 4 10 2 12" xfId="2055"/>
    <cellStyle name="20% - 强调文字颜色 4 10 2 13" xfId="2056"/>
    <cellStyle name="20% - 强调文字颜色 4 10 2 14" xfId="2057"/>
    <cellStyle name="20% - 强调文字颜色 4 10 2 15" xfId="2058"/>
    <cellStyle name="20% - 强调文字颜色 4 10 2 16" xfId="2059"/>
    <cellStyle name="20% - 强调文字颜色 4 10 2 17" xfId="2060"/>
    <cellStyle name="20% - 强调文字颜色 4 10 2 18" xfId="2061"/>
    <cellStyle name="20% - 强调文字颜色 4 10 2 19" xfId="2062"/>
    <cellStyle name="20% - 强调文字颜色 4 10 2 2" xfId="2063"/>
    <cellStyle name="20% - 强调文字颜色 4 10 2 20" xfId="2064"/>
    <cellStyle name="20% - 强调文字颜色 4 10 2 21" xfId="2065"/>
    <cellStyle name="20% - 强调文字颜色 4 10 2 22" xfId="2066"/>
    <cellStyle name="20% - 强调文字颜色 4 10 2 23" xfId="2067"/>
    <cellStyle name="20% - 强调文字颜色 4 10 2 24" xfId="2068"/>
    <cellStyle name="20% - 强调文字颜色 4 10 2 25" xfId="2069"/>
    <cellStyle name="20% - 强调文字颜色 4 10 2 26" xfId="2070"/>
    <cellStyle name="20% - 强调文字颜色 4 10 2 27" xfId="2071"/>
    <cellStyle name="20% - 强调文字颜色 4 10 2 3" xfId="2072"/>
    <cellStyle name="20% - 强调文字颜色 4 10 2 4" xfId="2073"/>
    <cellStyle name="20% - 强调文字颜色 4 10 2 5" xfId="2074"/>
    <cellStyle name="20% - 强调文字颜色 4 10 2 6" xfId="2075"/>
    <cellStyle name="20% - 强调文字颜色 4 10 2 7" xfId="2076"/>
    <cellStyle name="20% - 强调文字颜色 4 10 2 8" xfId="2077"/>
    <cellStyle name="20% - 强调文字颜色 4 10 2 9" xfId="2078"/>
    <cellStyle name="20% - 强调文字颜色 4 10 20" xfId="2079"/>
    <cellStyle name="20% - 强调文字颜色 4 10 21" xfId="2080"/>
    <cellStyle name="20% - 强调文字颜色 4 10 22" xfId="2081"/>
    <cellStyle name="20% - 强调文字颜色 4 10 23" xfId="2082"/>
    <cellStyle name="20% - 强调文字颜色 4 10 24" xfId="2083"/>
    <cellStyle name="20% - 强调文字颜色 4 10 25" xfId="2084"/>
    <cellStyle name="20% - 强调文字颜色 4 10 26" xfId="2085"/>
    <cellStyle name="20% - 强调文字颜色 4 10 27" xfId="2086"/>
    <cellStyle name="20% - 强调文字颜色 4 10 28" xfId="2087"/>
    <cellStyle name="20% - 强调文字颜色 4 10 3" xfId="2088"/>
    <cellStyle name="20% - 强调文字颜色 4 10 4" xfId="2089"/>
    <cellStyle name="20% - 强调文字颜色 4 10 5" xfId="2090"/>
    <cellStyle name="20% - 强调文字颜色 4 10 6" xfId="2091"/>
    <cellStyle name="20% - 强调文字颜色 4 10 7" xfId="2092"/>
    <cellStyle name="20% - 强调文字颜色 4 10 8" xfId="2093"/>
    <cellStyle name="20% - 强调文字颜色 4 10 9" xfId="2094"/>
    <cellStyle name="20% - 强调文字颜色 4 11" xfId="2095"/>
    <cellStyle name="20% - 强调文字颜色 4 11 10" xfId="2096"/>
    <cellStyle name="20% - 强调文字颜色 4 11 11" xfId="2097"/>
    <cellStyle name="20% - 强调文字颜色 4 11 12" xfId="2098"/>
    <cellStyle name="20% - 强调文字颜色 4 11 13" xfId="2099"/>
    <cellStyle name="20% - 强调文字颜色 4 11 14" xfId="2100"/>
    <cellStyle name="20% - 强调文字颜色 4 11 15" xfId="2101"/>
    <cellStyle name="20% - 强调文字颜色 4 11 16" xfId="2102"/>
    <cellStyle name="20% - 强调文字颜色 4 11 17" xfId="2103"/>
    <cellStyle name="20% - 强调文字颜色 4 11 18" xfId="2104"/>
    <cellStyle name="20% - 强调文字颜色 4 11 19" xfId="2105"/>
    <cellStyle name="20% - 强调文字颜色 4 11 2" xfId="2106"/>
    <cellStyle name="20% - 强调文字颜色 4 11 2 10" xfId="2107"/>
    <cellStyle name="20% - 强调文字颜色 4 11 2 11" xfId="2108"/>
    <cellStyle name="20% - 强调文字颜色 4 11 2 12" xfId="2109"/>
    <cellStyle name="20% - 强调文字颜色 4 11 2 13" xfId="2110"/>
    <cellStyle name="20% - 强调文字颜色 4 11 2 14" xfId="2111"/>
    <cellStyle name="20% - 强调文字颜色 4 11 2 15" xfId="2112"/>
    <cellStyle name="20% - 强调文字颜色 4 11 2 16" xfId="2113"/>
    <cellStyle name="20% - 强调文字颜色 4 11 2 17" xfId="2114"/>
    <cellStyle name="20% - 强调文字颜色 4 11 2 18" xfId="2115"/>
    <cellStyle name="20% - 强调文字颜色 4 11 2 19" xfId="2116"/>
    <cellStyle name="20% - 强调文字颜色 4 11 2 2" xfId="2117"/>
    <cellStyle name="20% - 强调文字颜色 4 11 2 20" xfId="2118"/>
    <cellStyle name="20% - 强调文字颜色 4 11 2 21" xfId="2119"/>
    <cellStyle name="20% - 强调文字颜色 4 11 2 22" xfId="2120"/>
    <cellStyle name="20% - 强调文字颜色 4 11 2 23" xfId="2121"/>
    <cellStyle name="20% - 强调文字颜色 4 11 2 24" xfId="2122"/>
    <cellStyle name="20% - 强调文字颜色 4 11 2 25" xfId="2123"/>
    <cellStyle name="20% - 强调文字颜色 4 11 2 26" xfId="2124"/>
    <cellStyle name="20% - 强调文字颜色 4 11 2 27" xfId="2125"/>
    <cellStyle name="20% - 强调文字颜色 4 11 2 3" xfId="2126"/>
    <cellStyle name="20% - 强调文字颜色 4 11 2 4" xfId="2127"/>
    <cellStyle name="20% - 强调文字颜色 4 11 2 5" xfId="2128"/>
    <cellStyle name="20% - 强调文字颜色 4 11 2 6" xfId="2129"/>
    <cellStyle name="20% - 强调文字颜色 4 11 2 7" xfId="2130"/>
    <cellStyle name="20% - 强调文字颜色 4 11 2 8" xfId="2131"/>
    <cellStyle name="20% - 强调文字颜色 4 11 2 9" xfId="2132"/>
    <cellStyle name="20% - 强调文字颜色 4 11 20" xfId="2133"/>
    <cellStyle name="20% - 强调文字颜色 4 11 21" xfId="2134"/>
    <cellStyle name="20% - 强调文字颜色 4 11 22" xfId="2135"/>
    <cellStyle name="20% - 强调文字颜色 4 11 23" xfId="2136"/>
    <cellStyle name="20% - 强调文字颜色 4 11 24" xfId="2137"/>
    <cellStyle name="20% - 强调文字颜色 4 11 25" xfId="2138"/>
    <cellStyle name="20% - 强调文字颜色 4 11 26" xfId="2139"/>
    <cellStyle name="20% - 强调文字颜色 4 11 27" xfId="2140"/>
    <cellStyle name="20% - 强调文字颜色 4 11 28" xfId="2141"/>
    <cellStyle name="20% - 强调文字颜色 4 11 3" xfId="2142"/>
    <cellStyle name="20% - 强调文字颜色 4 11 4" xfId="2143"/>
    <cellStyle name="20% - 强调文字颜色 4 11 5" xfId="2144"/>
    <cellStyle name="20% - 强调文字颜色 4 11 6" xfId="2145"/>
    <cellStyle name="20% - 强调文字颜色 4 11 7" xfId="2146"/>
    <cellStyle name="20% - 强调文字颜色 4 11 8" xfId="2147"/>
    <cellStyle name="20% - 强调文字颜色 4 11 9" xfId="2148"/>
    <cellStyle name="20% - 强调文字颜色 4 12" xfId="2149"/>
    <cellStyle name="20% - 强调文字颜色 4 13" xfId="2150"/>
    <cellStyle name="20% - 强调文字颜色 4 14" xfId="2151"/>
    <cellStyle name="20% - 强调文字颜色 4 15" xfId="2152"/>
    <cellStyle name="20% - 强调文字颜色 4 16" xfId="2153"/>
    <cellStyle name="20% - 强调文字颜色 4 17" xfId="2154"/>
    <cellStyle name="20% - 强调文字颜色 4 18" xfId="2155"/>
    <cellStyle name="20% - 强调文字颜色 4 19" xfId="2156"/>
    <cellStyle name="20% - 强调文字颜色 4 2" xfId="2157"/>
    <cellStyle name="20% - 强调文字颜色 4 2 10" xfId="2158"/>
    <cellStyle name="20% - 强调文字颜色 4 2 11" xfId="2159"/>
    <cellStyle name="20% - 强调文字颜色 4 2 12" xfId="2160"/>
    <cellStyle name="20% - 强调文字颜色 4 2 13" xfId="2161"/>
    <cellStyle name="20% - 强调文字颜色 4 2 14" xfId="2162"/>
    <cellStyle name="20% - 强调文字颜色 4 2 15" xfId="2163"/>
    <cellStyle name="20% - 强调文字颜色 4 2 16" xfId="2164"/>
    <cellStyle name="20% - 强调文字颜色 4 2 17" xfId="2165"/>
    <cellStyle name="20% - 强调文字颜色 4 2 18" xfId="2166"/>
    <cellStyle name="20% - 强调文字颜色 4 2 19" xfId="2167"/>
    <cellStyle name="20% - 强调文字颜色 4 2 2" xfId="2168"/>
    <cellStyle name="20% - 强调文字颜色 4 2 2 10" xfId="2169"/>
    <cellStyle name="20% - 强调文字颜色 4 2 2 11" xfId="2170"/>
    <cellStyle name="20% - 强调文字颜色 4 2 2 12" xfId="2171"/>
    <cellStyle name="20% - 强调文字颜色 4 2 2 13" xfId="2172"/>
    <cellStyle name="20% - 强调文字颜色 4 2 2 14" xfId="2173"/>
    <cellStyle name="20% - 强调文字颜色 4 2 2 15" xfId="2174"/>
    <cellStyle name="20% - 强调文字颜色 4 2 2 16" xfId="2175"/>
    <cellStyle name="20% - 强调文字颜色 4 2 2 17" xfId="2176"/>
    <cellStyle name="20% - 强调文字颜色 4 2 2 18" xfId="2177"/>
    <cellStyle name="20% - 强调文字颜色 4 2 2 19" xfId="2178"/>
    <cellStyle name="20% - 强调文字颜色 4 2 2 2" xfId="2179"/>
    <cellStyle name="20% - 强调文字颜色 4 2 2 2 10" xfId="2180"/>
    <cellStyle name="20% - 强调文字颜色 4 2 2 2 11" xfId="2181"/>
    <cellStyle name="20% - 强调文字颜色 4 2 2 2 12" xfId="2182"/>
    <cellStyle name="20% - 强调文字颜色 4 2 2 2 13" xfId="2183"/>
    <cellStyle name="20% - 强调文字颜色 4 2 2 2 14" xfId="2184"/>
    <cellStyle name="20% - 强调文字颜色 4 2 2 2 15" xfId="2185"/>
    <cellStyle name="20% - 强调文字颜色 4 2 2 2 16" xfId="2186"/>
    <cellStyle name="20% - 强调文字颜色 4 2 2 2 17" xfId="2187"/>
    <cellStyle name="20% - 强调文字颜色 4 2 2 2 18" xfId="2188"/>
    <cellStyle name="20% - 强调文字颜色 4 2 2 2 19" xfId="2189"/>
    <cellStyle name="20% - 强调文字颜色 4 2 2 2 2" xfId="2190"/>
    <cellStyle name="20% - 强调文字颜色 4 2 2 2 20" xfId="2191"/>
    <cellStyle name="20% - 强调文字颜色 4 2 2 2 21" xfId="2192"/>
    <cellStyle name="20% - 强调文字颜色 4 2 2 2 22" xfId="2193"/>
    <cellStyle name="20% - 强调文字颜色 4 2 2 2 23" xfId="2194"/>
    <cellStyle name="20% - 强调文字颜色 4 2 2 2 24" xfId="2195"/>
    <cellStyle name="20% - 强调文字颜色 4 2 2 2 25" xfId="2196"/>
    <cellStyle name="20% - 强调文字颜色 4 2 2 2 26" xfId="2197"/>
    <cellStyle name="20% - 强调文字颜色 4 2 2 2 27" xfId="2198"/>
    <cellStyle name="20% - 强调文字颜色 4 2 2 2 3" xfId="2199"/>
    <cellStyle name="20% - 强调文字颜色 4 2 2 2 4" xfId="2200"/>
    <cellStyle name="20% - 强调文字颜色 4 2 2 2 5" xfId="2201"/>
    <cellStyle name="20% - 强调文字颜色 4 2 2 2 6" xfId="2202"/>
    <cellStyle name="20% - 强调文字颜色 4 2 2 2 7" xfId="2203"/>
    <cellStyle name="20% - 强调文字颜色 4 2 2 2 8" xfId="2204"/>
    <cellStyle name="20% - 强调文字颜色 4 2 2 2 9" xfId="2205"/>
    <cellStyle name="20% - 强调文字颜色 4 2 2 20" xfId="2206"/>
    <cellStyle name="20% - 强调文字颜色 4 2 2 21" xfId="2207"/>
    <cellStyle name="20% - 强调文字颜色 4 2 2 22" xfId="2208"/>
    <cellStyle name="20% - 强调文字颜色 4 2 2 23" xfId="2209"/>
    <cellStyle name="20% - 强调文字颜色 4 2 2 24" xfId="2210"/>
    <cellStyle name="20% - 强调文字颜色 4 2 2 25" xfId="2211"/>
    <cellStyle name="20% - 强调文字颜色 4 2 2 26" xfId="2212"/>
    <cellStyle name="20% - 强调文字颜色 4 2 2 27" xfId="2213"/>
    <cellStyle name="20% - 强调文字颜色 4 2 2 28" xfId="2214"/>
    <cellStyle name="20% - 强调文字颜色 4 2 2 3" xfId="2215"/>
    <cellStyle name="20% - 强调文字颜色 4 2 2 4" xfId="2216"/>
    <cellStyle name="20% - 强调文字颜色 4 2 2 5" xfId="2217"/>
    <cellStyle name="20% - 强调文字颜色 4 2 2 6" xfId="2218"/>
    <cellStyle name="20% - 强调文字颜色 4 2 2 7" xfId="2219"/>
    <cellStyle name="20% - 强调文字颜色 4 2 2 8" xfId="2220"/>
    <cellStyle name="20% - 强调文字颜色 4 2 2 9" xfId="2221"/>
    <cellStyle name="20% - 强调文字颜色 4 2 20" xfId="2222"/>
    <cellStyle name="20% - 强调文字颜色 4 2 21" xfId="2223"/>
    <cellStyle name="20% - 强调文字颜色 4 2 22" xfId="2224"/>
    <cellStyle name="20% - 强调文字颜色 4 2 23" xfId="2225"/>
    <cellStyle name="20% - 强调文字颜色 4 2 24" xfId="2226"/>
    <cellStyle name="20% - 强调文字颜色 4 2 25" xfId="2227"/>
    <cellStyle name="20% - 强调文字颜色 4 2 26" xfId="2228"/>
    <cellStyle name="20% - 强调文字颜色 4 2 27" xfId="2229"/>
    <cellStyle name="20% - 强调文字颜色 4 2 28" xfId="2230"/>
    <cellStyle name="20% - 强调文字颜色 4 2 29" xfId="2231"/>
    <cellStyle name="20% - 强调文字颜色 4 2 3" xfId="2232"/>
    <cellStyle name="20% - 强调文字颜色 4 2 3 10" xfId="2233"/>
    <cellStyle name="20% - 强调文字颜色 4 2 3 11" xfId="2234"/>
    <cellStyle name="20% - 强调文字颜色 4 2 3 12" xfId="2235"/>
    <cellStyle name="20% - 强调文字颜色 4 2 3 13" xfId="2236"/>
    <cellStyle name="20% - 强调文字颜色 4 2 3 14" xfId="2237"/>
    <cellStyle name="20% - 强调文字颜色 4 2 3 15" xfId="2238"/>
    <cellStyle name="20% - 强调文字颜色 4 2 3 16" xfId="2239"/>
    <cellStyle name="20% - 强调文字颜色 4 2 3 17" xfId="2240"/>
    <cellStyle name="20% - 强调文字颜色 4 2 3 18" xfId="2241"/>
    <cellStyle name="20% - 强调文字颜色 4 2 3 19" xfId="2242"/>
    <cellStyle name="20% - 强调文字颜色 4 2 3 2" xfId="2243"/>
    <cellStyle name="20% - 强调文字颜色 4 2 3 2 10" xfId="2244"/>
    <cellStyle name="20% - 强调文字颜色 4 2 3 2 11" xfId="2245"/>
    <cellStyle name="20% - 强调文字颜色 4 2 3 2 12" xfId="2246"/>
    <cellStyle name="20% - 强调文字颜色 4 2 3 2 13" xfId="2247"/>
    <cellStyle name="20% - 强调文字颜色 4 2 3 2 14" xfId="2248"/>
    <cellStyle name="20% - 强调文字颜色 4 2 3 2 15" xfId="2249"/>
    <cellStyle name="20% - 强调文字颜色 4 2 3 2 16" xfId="2250"/>
    <cellStyle name="20% - 强调文字颜色 4 2 3 2 17" xfId="2251"/>
    <cellStyle name="20% - 强调文字颜色 4 2 3 2 18" xfId="2252"/>
    <cellStyle name="20% - 强调文字颜色 4 2 3 2 19" xfId="2253"/>
    <cellStyle name="20% - 强调文字颜色 4 2 3 2 2" xfId="2254"/>
    <cellStyle name="20% - 强调文字颜色 4 2 3 2 20" xfId="2255"/>
    <cellStyle name="20% - 强调文字颜色 4 2 3 2 21" xfId="2256"/>
    <cellStyle name="20% - 强调文字颜色 4 2 3 2 22" xfId="2257"/>
    <cellStyle name="20% - 强调文字颜色 4 2 3 2 23" xfId="2258"/>
    <cellStyle name="20% - 强调文字颜色 4 2 3 2 24" xfId="2259"/>
    <cellStyle name="20% - 强调文字颜色 4 2 3 2 25" xfId="2260"/>
    <cellStyle name="20% - 强调文字颜色 4 2 3 2 26" xfId="2261"/>
    <cellStyle name="20% - 强调文字颜色 4 2 3 2 27" xfId="2262"/>
    <cellStyle name="20% - 强调文字颜色 4 2 3 2 3" xfId="2263"/>
    <cellStyle name="20% - 强调文字颜色 4 2 3 2 4" xfId="2264"/>
    <cellStyle name="20% - 强调文字颜色 4 2 3 2 5" xfId="2265"/>
    <cellStyle name="20% - 强调文字颜色 4 2 3 2 6" xfId="2266"/>
    <cellStyle name="20% - 强调文字颜色 4 2 3 2 7" xfId="2267"/>
    <cellStyle name="20% - 强调文字颜色 4 2 3 2 8" xfId="2268"/>
    <cellStyle name="20% - 强调文字颜色 4 2 3 2 9" xfId="2269"/>
    <cellStyle name="20% - 强调文字颜色 4 2 3 20" xfId="2270"/>
    <cellStyle name="20% - 强调文字颜色 4 2 3 21" xfId="2271"/>
    <cellStyle name="20% - 强调文字颜色 4 2 3 22" xfId="2272"/>
    <cellStyle name="20% - 强调文字颜色 4 2 3 23" xfId="2273"/>
    <cellStyle name="20% - 强调文字颜色 4 2 3 24" xfId="2274"/>
    <cellStyle name="20% - 强调文字颜色 4 2 3 25" xfId="2275"/>
    <cellStyle name="20% - 强调文字颜色 4 2 3 26" xfId="2276"/>
    <cellStyle name="20% - 强调文字颜色 4 2 3 27" xfId="2277"/>
    <cellStyle name="20% - 强调文字颜色 4 2 3 28" xfId="2278"/>
    <cellStyle name="20% - 强调文字颜色 4 2 3 3" xfId="2279"/>
    <cellStyle name="20% - 强调文字颜色 4 2 3 4" xfId="2280"/>
    <cellStyle name="20% - 强调文字颜色 4 2 3 5" xfId="2281"/>
    <cellStyle name="20% - 强调文字颜色 4 2 3 6" xfId="2282"/>
    <cellStyle name="20% - 强调文字颜色 4 2 3 7" xfId="2283"/>
    <cellStyle name="20% - 强调文字颜色 4 2 3 8" xfId="2284"/>
    <cellStyle name="20% - 强调文字颜色 4 2 3 9" xfId="2285"/>
    <cellStyle name="20% - 强调文字颜色 4 2 30" xfId="2286"/>
    <cellStyle name="20% - 强调文字颜色 4 2 31" xfId="2287"/>
    <cellStyle name="20% - 强调文字颜色 4 2 32" xfId="2288"/>
    <cellStyle name="20% - 强调文字颜色 4 2 33" xfId="2289"/>
    <cellStyle name="20% - 强调文字颜色 4 2 4" xfId="2290"/>
    <cellStyle name="20% - 强调文字颜色 4 2 4 10" xfId="2291"/>
    <cellStyle name="20% - 强调文字颜色 4 2 4 11" xfId="2292"/>
    <cellStyle name="20% - 强调文字颜色 4 2 4 12" xfId="2293"/>
    <cellStyle name="20% - 强调文字颜色 4 2 4 13" xfId="2294"/>
    <cellStyle name="20% - 强调文字颜色 4 2 4 14" xfId="2295"/>
    <cellStyle name="20% - 强调文字颜色 4 2 4 15" xfId="2296"/>
    <cellStyle name="20% - 强调文字颜色 4 2 4 16" xfId="2297"/>
    <cellStyle name="20% - 强调文字颜色 4 2 4 17" xfId="2298"/>
    <cellStyle name="20% - 强调文字颜色 4 2 4 18" xfId="2299"/>
    <cellStyle name="20% - 强调文字颜色 4 2 4 19" xfId="2300"/>
    <cellStyle name="20% - 强调文字颜色 4 2 4 2" xfId="2301"/>
    <cellStyle name="20% - 强调文字颜色 4 2 4 20" xfId="2302"/>
    <cellStyle name="20% - 强调文字颜色 4 2 4 21" xfId="2303"/>
    <cellStyle name="20% - 强调文字颜色 4 2 4 22" xfId="2304"/>
    <cellStyle name="20% - 强调文字颜色 4 2 4 23" xfId="2305"/>
    <cellStyle name="20% - 强调文字颜色 4 2 4 24" xfId="2306"/>
    <cellStyle name="20% - 强调文字颜色 4 2 4 25" xfId="2307"/>
    <cellStyle name="20% - 强调文字颜色 4 2 4 26" xfId="2308"/>
    <cellStyle name="20% - 强调文字颜色 4 2 4 27" xfId="2309"/>
    <cellStyle name="20% - 强调文字颜色 4 2 4 3" xfId="2310"/>
    <cellStyle name="20% - 强调文字颜色 4 2 4 4" xfId="2311"/>
    <cellStyle name="20% - 强调文字颜色 4 2 4 5" xfId="2312"/>
    <cellStyle name="20% - 强调文字颜色 4 2 4 6" xfId="2313"/>
    <cellStyle name="20% - 强调文字颜色 4 2 4 7" xfId="2314"/>
    <cellStyle name="20% - 强调文字颜色 4 2 4 8" xfId="2315"/>
    <cellStyle name="20% - 强调文字颜色 4 2 4 9" xfId="2316"/>
    <cellStyle name="20% - 强调文字颜色 4 2 5" xfId="2317"/>
    <cellStyle name="20% - 强调文字颜色 4 2 6" xfId="2318"/>
    <cellStyle name="20% - 强调文字颜色 4 2 7" xfId="2319"/>
    <cellStyle name="20% - 强调文字颜色 4 2 8" xfId="2320"/>
    <cellStyle name="20% - 强调文字颜色 4 2 9" xfId="2321"/>
    <cellStyle name="20% - 强调文字颜色 4 20" xfId="2322"/>
    <cellStyle name="20% - 强调文字颜色 4 21" xfId="2323"/>
    <cellStyle name="20% - 强调文字颜色 4 22" xfId="2324"/>
    <cellStyle name="20% - 强调文字颜色 4 23" xfId="2325"/>
    <cellStyle name="20% - 强调文字颜色 4 24" xfId="2326"/>
    <cellStyle name="20% - 强调文字颜色 4 25" xfId="2327"/>
    <cellStyle name="20% - 强调文字颜色 4 26" xfId="2328"/>
    <cellStyle name="20% - 强调文字颜色 4 27" xfId="2329"/>
    <cellStyle name="20% - 强调文字颜色 4 28" xfId="2330"/>
    <cellStyle name="20% - 强调文字颜色 4 29" xfId="2331"/>
    <cellStyle name="20% - 强调文字颜色 4 3" xfId="2332"/>
    <cellStyle name="20% - 强调文字颜色 4 3 10" xfId="2333"/>
    <cellStyle name="20% - 强调文字颜色 4 3 11" xfId="2334"/>
    <cellStyle name="20% - 强调文字颜色 4 3 12" xfId="2335"/>
    <cellStyle name="20% - 强调文字颜色 4 3 13" xfId="2336"/>
    <cellStyle name="20% - 强调文字颜色 4 3 14" xfId="2337"/>
    <cellStyle name="20% - 强调文字颜色 4 3 15" xfId="2338"/>
    <cellStyle name="20% - 强调文字颜色 4 3 16" xfId="2339"/>
    <cellStyle name="20% - 强调文字颜色 4 3 17" xfId="2340"/>
    <cellStyle name="20% - 强调文字颜色 4 3 18" xfId="2341"/>
    <cellStyle name="20% - 强调文字颜色 4 3 19" xfId="2342"/>
    <cellStyle name="20% - 强调文字颜色 4 3 2" xfId="2343"/>
    <cellStyle name="20% - 强调文字颜色 4 3 2 10" xfId="2344"/>
    <cellStyle name="20% - 强调文字颜色 4 3 2 11" xfId="2345"/>
    <cellStyle name="20% - 强调文字颜色 4 3 2 12" xfId="2346"/>
    <cellStyle name="20% - 强调文字颜色 4 3 2 13" xfId="2347"/>
    <cellStyle name="20% - 强调文字颜色 4 3 2 14" xfId="2348"/>
    <cellStyle name="20% - 强调文字颜色 4 3 2 15" xfId="2349"/>
    <cellStyle name="20% - 强调文字颜色 4 3 2 16" xfId="2350"/>
    <cellStyle name="20% - 强调文字颜色 4 3 2 17" xfId="2351"/>
    <cellStyle name="20% - 强调文字颜色 4 3 2 18" xfId="2352"/>
    <cellStyle name="20% - 强调文字颜色 4 3 2 19" xfId="2353"/>
    <cellStyle name="20% - 强调文字颜色 4 3 2 2" xfId="2354"/>
    <cellStyle name="20% - 强调文字颜色 4 3 2 20" xfId="2355"/>
    <cellStyle name="20% - 强调文字颜色 4 3 2 21" xfId="2356"/>
    <cellStyle name="20% - 强调文字颜色 4 3 2 22" xfId="2357"/>
    <cellStyle name="20% - 强调文字颜色 4 3 2 23" xfId="2358"/>
    <cellStyle name="20% - 强调文字颜色 4 3 2 24" xfId="2359"/>
    <cellStyle name="20% - 强调文字颜色 4 3 2 25" xfId="2360"/>
    <cellStyle name="20% - 强调文字颜色 4 3 2 26" xfId="2361"/>
    <cellStyle name="20% - 强调文字颜色 4 3 2 27" xfId="2362"/>
    <cellStyle name="20% - 强调文字颜色 4 3 2 3" xfId="2363"/>
    <cellStyle name="20% - 强调文字颜色 4 3 2 4" xfId="2364"/>
    <cellStyle name="20% - 强调文字颜色 4 3 2 5" xfId="2365"/>
    <cellStyle name="20% - 强调文字颜色 4 3 2 6" xfId="2366"/>
    <cellStyle name="20% - 强调文字颜色 4 3 2 7" xfId="2367"/>
    <cellStyle name="20% - 强调文字颜色 4 3 2 8" xfId="2368"/>
    <cellStyle name="20% - 强调文字颜色 4 3 2 9" xfId="2369"/>
    <cellStyle name="20% - 强调文字颜色 4 3 20" xfId="2370"/>
    <cellStyle name="20% - 强调文字颜色 4 3 21" xfId="2371"/>
    <cellStyle name="20% - 强调文字颜色 4 3 22" xfId="2372"/>
    <cellStyle name="20% - 强调文字颜色 4 3 23" xfId="2373"/>
    <cellStyle name="20% - 强调文字颜色 4 3 24" xfId="2374"/>
    <cellStyle name="20% - 强调文字颜色 4 3 25" xfId="2375"/>
    <cellStyle name="20% - 强调文字颜色 4 3 26" xfId="2376"/>
    <cellStyle name="20% - 强调文字颜色 4 3 27" xfId="2377"/>
    <cellStyle name="20% - 强调文字颜色 4 3 28" xfId="2378"/>
    <cellStyle name="20% - 强调文字颜色 4 3 3" xfId="2379"/>
    <cellStyle name="20% - 强调文字颜色 4 3 4" xfId="2380"/>
    <cellStyle name="20% - 强调文字颜色 4 3 5" xfId="2381"/>
    <cellStyle name="20% - 强调文字颜色 4 3 6" xfId="2382"/>
    <cellStyle name="20% - 强调文字颜色 4 3 7" xfId="2383"/>
    <cellStyle name="20% - 强调文字颜色 4 3 8" xfId="2384"/>
    <cellStyle name="20% - 强调文字颜色 4 3 9" xfId="2385"/>
    <cellStyle name="20% - 强调文字颜色 4 30" xfId="2386"/>
    <cellStyle name="20% - 强调文字颜色 4 31" xfId="2387"/>
    <cellStyle name="20% - 强调文字颜色 4 32" xfId="2388"/>
    <cellStyle name="20% - 强调文字颜色 4 33" xfId="2389"/>
    <cellStyle name="20% - 强调文字颜色 4 34" xfId="2390"/>
    <cellStyle name="20% - 强调文字颜色 4 35" xfId="2391"/>
    <cellStyle name="20% - 强调文字颜色 4 36" xfId="2392"/>
    <cellStyle name="20% - 强调文字颜色 4 37" xfId="2393"/>
    <cellStyle name="20% - 强调文字颜色 4 38" xfId="2394"/>
    <cellStyle name="20% - 强调文字颜色 4 39" xfId="2395"/>
    <cellStyle name="20% - 强调文字颜色 4 4" xfId="2396"/>
    <cellStyle name="20% - 强调文字颜色 4 4 10" xfId="2397"/>
    <cellStyle name="20% - 强调文字颜色 4 4 11" xfId="2398"/>
    <cellStyle name="20% - 强调文字颜色 4 4 12" xfId="2399"/>
    <cellStyle name="20% - 强调文字颜色 4 4 13" xfId="2400"/>
    <cellStyle name="20% - 强调文字颜色 4 4 14" xfId="2401"/>
    <cellStyle name="20% - 强调文字颜色 4 4 15" xfId="2402"/>
    <cellStyle name="20% - 强调文字颜色 4 4 16" xfId="2403"/>
    <cellStyle name="20% - 强调文字颜色 4 4 17" xfId="2404"/>
    <cellStyle name="20% - 强调文字颜色 4 4 18" xfId="2405"/>
    <cellStyle name="20% - 强调文字颜色 4 4 19" xfId="2406"/>
    <cellStyle name="20% - 强调文字颜色 4 4 2" xfId="2407"/>
    <cellStyle name="20% - 强调文字颜色 4 4 2 10" xfId="2408"/>
    <cellStyle name="20% - 强调文字颜色 4 4 2 11" xfId="2409"/>
    <cellStyle name="20% - 强调文字颜色 4 4 2 12" xfId="2410"/>
    <cellStyle name="20% - 强调文字颜色 4 4 2 13" xfId="2411"/>
    <cellStyle name="20% - 强调文字颜色 4 4 2 14" xfId="2412"/>
    <cellStyle name="20% - 强调文字颜色 4 4 2 15" xfId="2413"/>
    <cellStyle name="20% - 强调文字颜色 4 4 2 16" xfId="2414"/>
    <cellStyle name="20% - 强调文字颜色 4 4 2 17" xfId="2415"/>
    <cellStyle name="20% - 强调文字颜色 4 4 2 18" xfId="2416"/>
    <cellStyle name="20% - 强调文字颜色 4 4 2 19" xfId="2417"/>
    <cellStyle name="20% - 强调文字颜色 4 4 2 2" xfId="2418"/>
    <cellStyle name="20% - 强调文字颜色 4 4 2 20" xfId="2419"/>
    <cellStyle name="20% - 强调文字颜色 4 4 2 21" xfId="2420"/>
    <cellStyle name="20% - 强调文字颜色 4 4 2 22" xfId="2421"/>
    <cellStyle name="20% - 强调文字颜色 4 4 2 23" xfId="2422"/>
    <cellStyle name="20% - 强调文字颜色 4 4 2 24" xfId="2423"/>
    <cellStyle name="20% - 强调文字颜色 4 4 2 25" xfId="2424"/>
    <cellStyle name="20% - 强调文字颜色 4 4 2 26" xfId="2425"/>
    <cellStyle name="20% - 强调文字颜色 4 4 2 27" xfId="2426"/>
    <cellStyle name="20% - 强调文字颜色 4 4 2 3" xfId="2427"/>
    <cellStyle name="20% - 强调文字颜色 4 4 2 4" xfId="2428"/>
    <cellStyle name="20% - 强调文字颜色 4 4 2 5" xfId="2429"/>
    <cellStyle name="20% - 强调文字颜色 4 4 2 6" xfId="2430"/>
    <cellStyle name="20% - 强调文字颜色 4 4 2 7" xfId="2431"/>
    <cellStyle name="20% - 强调文字颜色 4 4 2 8" xfId="2432"/>
    <cellStyle name="20% - 强调文字颜色 4 4 2 9" xfId="2433"/>
    <cellStyle name="20% - 强调文字颜色 4 4 20" xfId="2434"/>
    <cellStyle name="20% - 强调文字颜色 4 4 21" xfId="2435"/>
    <cellStyle name="20% - 强调文字颜色 4 4 22" xfId="2436"/>
    <cellStyle name="20% - 强调文字颜色 4 4 23" xfId="2437"/>
    <cellStyle name="20% - 强调文字颜色 4 4 24" xfId="2438"/>
    <cellStyle name="20% - 强调文字颜色 4 4 25" xfId="2439"/>
    <cellStyle name="20% - 强调文字颜色 4 4 26" xfId="2440"/>
    <cellStyle name="20% - 强调文字颜色 4 4 27" xfId="2441"/>
    <cellStyle name="20% - 强调文字颜色 4 4 28" xfId="2442"/>
    <cellStyle name="20% - 强调文字颜色 4 4 3" xfId="2443"/>
    <cellStyle name="20% - 强调文字颜色 4 4 4" xfId="2444"/>
    <cellStyle name="20% - 强调文字颜色 4 4 5" xfId="2445"/>
    <cellStyle name="20% - 强调文字颜色 4 4 6" xfId="2446"/>
    <cellStyle name="20% - 强调文字颜色 4 4 7" xfId="2447"/>
    <cellStyle name="20% - 强调文字颜色 4 4 8" xfId="2448"/>
    <cellStyle name="20% - 强调文字颜色 4 4 9" xfId="2449"/>
    <cellStyle name="20% - 强调文字颜色 4 40" xfId="2450"/>
    <cellStyle name="20% - 强调文字颜色 4 5" xfId="2451"/>
    <cellStyle name="20% - 强调文字颜色 4 5 10" xfId="2452"/>
    <cellStyle name="20% - 强调文字颜色 4 5 11" xfId="2453"/>
    <cellStyle name="20% - 强调文字颜色 4 5 12" xfId="2454"/>
    <cellStyle name="20% - 强调文字颜色 4 5 13" xfId="2455"/>
    <cellStyle name="20% - 强调文字颜色 4 5 14" xfId="2456"/>
    <cellStyle name="20% - 强调文字颜色 4 5 15" xfId="2457"/>
    <cellStyle name="20% - 强调文字颜色 4 5 16" xfId="2458"/>
    <cellStyle name="20% - 强调文字颜色 4 5 17" xfId="2459"/>
    <cellStyle name="20% - 强调文字颜色 4 5 18" xfId="2460"/>
    <cellStyle name="20% - 强调文字颜色 4 5 19" xfId="2461"/>
    <cellStyle name="20% - 强调文字颜色 4 5 2" xfId="2462"/>
    <cellStyle name="20% - 强调文字颜色 4 5 2 10" xfId="2463"/>
    <cellStyle name="20% - 强调文字颜色 4 5 2 11" xfId="2464"/>
    <cellStyle name="20% - 强调文字颜色 4 5 2 12" xfId="2465"/>
    <cellStyle name="20% - 强调文字颜色 4 5 2 13" xfId="2466"/>
    <cellStyle name="20% - 强调文字颜色 4 5 2 14" xfId="2467"/>
    <cellStyle name="20% - 强调文字颜色 4 5 2 15" xfId="2468"/>
    <cellStyle name="20% - 强调文字颜色 4 5 2 16" xfId="2469"/>
    <cellStyle name="20% - 强调文字颜色 4 5 2 17" xfId="2470"/>
    <cellStyle name="20% - 强调文字颜色 4 5 2 18" xfId="2471"/>
    <cellStyle name="20% - 强调文字颜色 4 5 2 19" xfId="2472"/>
    <cellStyle name="20% - 强调文字颜色 4 5 2 2" xfId="2473"/>
    <cellStyle name="20% - 强调文字颜色 4 5 2 20" xfId="2474"/>
    <cellStyle name="20% - 强调文字颜色 4 5 2 21" xfId="2475"/>
    <cellStyle name="20% - 强调文字颜色 4 5 2 22" xfId="2476"/>
    <cellStyle name="20% - 强调文字颜色 4 5 2 23" xfId="2477"/>
    <cellStyle name="20% - 强调文字颜色 4 5 2 24" xfId="2478"/>
    <cellStyle name="20% - 强调文字颜色 4 5 2 25" xfId="2479"/>
    <cellStyle name="20% - 强调文字颜色 4 5 2 26" xfId="2480"/>
    <cellStyle name="20% - 强调文字颜色 4 5 2 27" xfId="2481"/>
    <cellStyle name="20% - 强调文字颜色 4 5 2 3" xfId="2482"/>
    <cellStyle name="20% - 强调文字颜色 4 5 2 4" xfId="2483"/>
    <cellStyle name="20% - 强调文字颜色 4 5 2 5" xfId="2484"/>
    <cellStyle name="20% - 强调文字颜色 4 5 2 6" xfId="2485"/>
    <cellStyle name="20% - 强调文字颜色 4 5 2 7" xfId="2486"/>
    <cellStyle name="20% - 强调文字颜色 4 5 2 8" xfId="2487"/>
    <cellStyle name="20% - 强调文字颜色 4 5 2 9" xfId="2488"/>
    <cellStyle name="20% - 强调文字颜色 4 5 20" xfId="2489"/>
    <cellStyle name="20% - 强调文字颜色 4 5 21" xfId="2490"/>
    <cellStyle name="20% - 强调文字颜色 4 5 22" xfId="2491"/>
    <cellStyle name="20% - 强调文字颜色 4 5 23" xfId="2492"/>
    <cellStyle name="20% - 强调文字颜色 4 5 24" xfId="2493"/>
    <cellStyle name="20% - 强调文字颜色 4 5 25" xfId="2494"/>
    <cellStyle name="20% - 强调文字颜色 4 5 26" xfId="2495"/>
    <cellStyle name="20% - 强调文字颜色 4 5 27" xfId="2496"/>
    <cellStyle name="20% - 强调文字颜色 4 5 28" xfId="2497"/>
    <cellStyle name="20% - 强调文字颜色 4 5 3" xfId="2498"/>
    <cellStyle name="20% - 强调文字颜色 4 5 4" xfId="2499"/>
    <cellStyle name="20% - 强调文字颜色 4 5 5" xfId="2500"/>
    <cellStyle name="20% - 强调文字颜色 4 5 6" xfId="2501"/>
    <cellStyle name="20% - 强调文字颜色 4 5 7" xfId="2502"/>
    <cellStyle name="20% - 强调文字颜色 4 5 8" xfId="2503"/>
    <cellStyle name="20% - 强调文字颜色 4 5 9" xfId="2504"/>
    <cellStyle name="20% - 强调文字颜色 4 6" xfId="2505"/>
    <cellStyle name="20% - 强调文字颜色 4 6 10" xfId="2506"/>
    <cellStyle name="20% - 强调文字颜色 4 6 11" xfId="2507"/>
    <cellStyle name="20% - 强调文字颜色 4 6 12" xfId="2508"/>
    <cellStyle name="20% - 强调文字颜色 4 6 13" xfId="2509"/>
    <cellStyle name="20% - 强调文字颜色 4 6 14" xfId="2510"/>
    <cellStyle name="20% - 强调文字颜色 4 6 15" xfId="2511"/>
    <cellStyle name="20% - 强调文字颜色 4 6 16" xfId="2512"/>
    <cellStyle name="20% - 强调文字颜色 4 6 17" xfId="2513"/>
    <cellStyle name="20% - 强调文字颜色 4 6 18" xfId="2514"/>
    <cellStyle name="20% - 强调文字颜色 4 6 19" xfId="2515"/>
    <cellStyle name="20% - 强调文字颜色 4 6 2" xfId="2516"/>
    <cellStyle name="20% - 强调文字颜色 4 6 2 10" xfId="2517"/>
    <cellStyle name="20% - 强调文字颜色 4 6 2 11" xfId="2518"/>
    <cellStyle name="20% - 强调文字颜色 4 6 2 12" xfId="2519"/>
    <cellStyle name="20% - 强调文字颜色 4 6 2 13" xfId="2520"/>
    <cellStyle name="20% - 强调文字颜色 4 6 2 14" xfId="2521"/>
    <cellStyle name="20% - 强调文字颜色 4 6 2 15" xfId="2522"/>
    <cellStyle name="20% - 强调文字颜色 4 6 2 16" xfId="2523"/>
    <cellStyle name="20% - 强调文字颜色 4 6 2 17" xfId="2524"/>
    <cellStyle name="20% - 强调文字颜色 4 6 2 18" xfId="2525"/>
    <cellStyle name="20% - 强调文字颜色 4 6 2 19" xfId="2526"/>
    <cellStyle name="20% - 强调文字颜色 4 6 2 2" xfId="2527"/>
    <cellStyle name="20% - 强调文字颜色 4 6 2 20" xfId="2528"/>
    <cellStyle name="20% - 强调文字颜色 4 6 2 21" xfId="2529"/>
    <cellStyle name="20% - 强调文字颜色 4 6 2 22" xfId="2530"/>
    <cellStyle name="20% - 强调文字颜色 4 6 2 23" xfId="2531"/>
    <cellStyle name="20% - 强调文字颜色 4 6 2 24" xfId="2532"/>
    <cellStyle name="20% - 强调文字颜色 4 6 2 25" xfId="2533"/>
    <cellStyle name="20% - 强调文字颜色 4 6 2 26" xfId="2534"/>
    <cellStyle name="20% - 强调文字颜色 4 6 2 27" xfId="2535"/>
    <cellStyle name="20% - 强调文字颜色 4 6 2 3" xfId="2536"/>
    <cellStyle name="20% - 强调文字颜色 4 6 2 4" xfId="2537"/>
    <cellStyle name="20% - 强调文字颜色 4 6 2 5" xfId="2538"/>
    <cellStyle name="20% - 强调文字颜色 4 6 2 6" xfId="2539"/>
    <cellStyle name="20% - 强调文字颜色 4 6 2 7" xfId="2540"/>
    <cellStyle name="20% - 强调文字颜色 4 6 2 8" xfId="2541"/>
    <cellStyle name="20% - 强调文字颜色 4 6 2 9" xfId="2542"/>
    <cellStyle name="20% - 强调文字颜色 4 6 20" xfId="2543"/>
    <cellStyle name="20% - 强调文字颜色 4 6 21" xfId="2544"/>
    <cellStyle name="20% - 强调文字颜色 4 6 22" xfId="2545"/>
    <cellStyle name="20% - 强调文字颜色 4 6 23" xfId="2546"/>
    <cellStyle name="20% - 强调文字颜色 4 6 24" xfId="2547"/>
    <cellStyle name="20% - 强调文字颜色 4 6 25" xfId="2548"/>
    <cellStyle name="20% - 强调文字颜色 4 6 26" xfId="2549"/>
    <cellStyle name="20% - 强调文字颜色 4 6 27" xfId="2550"/>
    <cellStyle name="20% - 强调文字颜色 4 6 28" xfId="2551"/>
    <cellStyle name="20% - 强调文字颜色 4 6 3" xfId="2552"/>
    <cellStyle name="20% - 强调文字颜色 4 6 4" xfId="2553"/>
    <cellStyle name="20% - 强调文字颜色 4 6 5" xfId="2554"/>
    <cellStyle name="20% - 强调文字颜色 4 6 6" xfId="2555"/>
    <cellStyle name="20% - 强调文字颜色 4 6 7" xfId="2556"/>
    <cellStyle name="20% - 强调文字颜色 4 6 8" xfId="2557"/>
    <cellStyle name="20% - 强调文字颜色 4 6 9" xfId="2558"/>
    <cellStyle name="20% - 强调文字颜色 4 7" xfId="2559"/>
    <cellStyle name="20% - 强调文字颜色 4 7 10" xfId="2560"/>
    <cellStyle name="20% - 强调文字颜色 4 7 11" xfId="2561"/>
    <cellStyle name="20% - 强调文字颜色 4 7 12" xfId="2562"/>
    <cellStyle name="20% - 强调文字颜色 4 7 13" xfId="2563"/>
    <cellStyle name="20% - 强调文字颜色 4 7 14" xfId="2564"/>
    <cellStyle name="20% - 强调文字颜色 4 7 15" xfId="2565"/>
    <cellStyle name="20% - 强调文字颜色 4 7 16" xfId="2566"/>
    <cellStyle name="20% - 强调文字颜色 4 7 17" xfId="2567"/>
    <cellStyle name="20% - 强调文字颜色 4 7 18" xfId="2568"/>
    <cellStyle name="20% - 强调文字颜色 4 7 19" xfId="2569"/>
    <cellStyle name="20% - 强调文字颜色 4 7 2" xfId="2570"/>
    <cellStyle name="20% - 强调文字颜色 4 7 2 10" xfId="2571"/>
    <cellStyle name="20% - 强调文字颜色 4 7 2 11" xfId="2572"/>
    <cellStyle name="20% - 强调文字颜色 4 7 2 12" xfId="2573"/>
    <cellStyle name="20% - 强调文字颜色 4 7 2 13" xfId="2574"/>
    <cellStyle name="20% - 强调文字颜色 4 7 2 14" xfId="2575"/>
    <cellStyle name="20% - 强调文字颜色 4 7 2 15" xfId="2576"/>
    <cellStyle name="20% - 强调文字颜色 4 7 2 16" xfId="2577"/>
    <cellStyle name="20% - 强调文字颜色 4 7 2 17" xfId="2578"/>
    <cellStyle name="20% - 强调文字颜色 4 7 2 18" xfId="2579"/>
    <cellStyle name="20% - 强调文字颜色 4 7 2 19" xfId="2580"/>
    <cellStyle name="20% - 强调文字颜色 4 7 2 2" xfId="2581"/>
    <cellStyle name="20% - 强调文字颜色 4 7 2 20" xfId="2582"/>
    <cellStyle name="20% - 强调文字颜色 4 7 2 21" xfId="2583"/>
    <cellStyle name="20% - 强调文字颜色 4 7 2 22" xfId="2584"/>
    <cellStyle name="20% - 强调文字颜色 4 7 2 23" xfId="2585"/>
    <cellStyle name="20% - 强调文字颜色 4 7 2 24" xfId="2586"/>
    <cellStyle name="20% - 强调文字颜色 4 7 2 25" xfId="2587"/>
    <cellStyle name="20% - 强调文字颜色 4 7 2 26" xfId="2588"/>
    <cellStyle name="20% - 强调文字颜色 4 7 2 27" xfId="2589"/>
    <cellStyle name="20% - 强调文字颜色 4 7 2 3" xfId="2590"/>
    <cellStyle name="20% - 强调文字颜色 4 7 2 4" xfId="2591"/>
    <cellStyle name="20% - 强调文字颜色 4 7 2 5" xfId="2592"/>
    <cellStyle name="20% - 强调文字颜色 4 7 2 6" xfId="2593"/>
    <cellStyle name="20% - 强调文字颜色 4 7 2 7" xfId="2594"/>
    <cellStyle name="20% - 强调文字颜色 4 7 2 8" xfId="2595"/>
    <cellStyle name="20% - 强调文字颜色 4 7 2 9" xfId="2596"/>
    <cellStyle name="20% - 强调文字颜色 4 7 20" xfId="2597"/>
    <cellStyle name="20% - 强调文字颜色 4 7 21" xfId="2598"/>
    <cellStyle name="20% - 强调文字颜色 4 7 22" xfId="2599"/>
    <cellStyle name="20% - 强调文字颜色 4 7 23" xfId="2600"/>
    <cellStyle name="20% - 强调文字颜色 4 7 24" xfId="2601"/>
    <cellStyle name="20% - 强调文字颜色 4 7 25" xfId="2602"/>
    <cellStyle name="20% - 强调文字颜色 4 7 26" xfId="2603"/>
    <cellStyle name="20% - 强调文字颜色 4 7 27" xfId="2604"/>
    <cellStyle name="20% - 强调文字颜色 4 7 28" xfId="2605"/>
    <cellStyle name="20% - 强调文字颜色 4 7 3" xfId="2606"/>
    <cellStyle name="20% - 强调文字颜色 4 7 4" xfId="2607"/>
    <cellStyle name="20% - 强调文字颜色 4 7 5" xfId="2608"/>
    <cellStyle name="20% - 强调文字颜色 4 7 6" xfId="2609"/>
    <cellStyle name="20% - 强调文字颜色 4 7 7" xfId="2610"/>
    <cellStyle name="20% - 强调文字颜色 4 7 8" xfId="2611"/>
    <cellStyle name="20% - 强调文字颜色 4 7 9" xfId="2612"/>
    <cellStyle name="20% - 强调文字颜色 4 8" xfId="2613"/>
    <cellStyle name="20% - 强调文字颜色 4 8 10" xfId="2614"/>
    <cellStyle name="20% - 强调文字颜色 4 8 11" xfId="2615"/>
    <cellStyle name="20% - 强调文字颜色 4 8 12" xfId="2616"/>
    <cellStyle name="20% - 强调文字颜色 4 8 13" xfId="2617"/>
    <cellStyle name="20% - 强调文字颜色 4 8 14" xfId="2618"/>
    <cellStyle name="20% - 强调文字颜色 4 8 15" xfId="2619"/>
    <cellStyle name="20% - 强调文字颜色 4 8 16" xfId="2620"/>
    <cellStyle name="20% - 强调文字颜色 4 8 17" xfId="2621"/>
    <cellStyle name="20% - 强调文字颜色 4 8 18" xfId="2622"/>
    <cellStyle name="20% - 强调文字颜色 4 8 19" xfId="2623"/>
    <cellStyle name="20% - 强调文字颜色 4 8 2" xfId="2624"/>
    <cellStyle name="20% - 强调文字颜色 4 8 2 10" xfId="2625"/>
    <cellStyle name="20% - 强调文字颜色 4 8 2 11" xfId="2626"/>
    <cellStyle name="20% - 强调文字颜色 4 8 2 12" xfId="2627"/>
    <cellStyle name="20% - 强调文字颜色 4 8 2 13" xfId="2628"/>
    <cellStyle name="20% - 强调文字颜色 4 8 2 14" xfId="2629"/>
    <cellStyle name="20% - 强调文字颜色 4 8 2 15" xfId="2630"/>
    <cellStyle name="20% - 强调文字颜色 4 8 2 16" xfId="2631"/>
    <cellStyle name="20% - 强调文字颜色 4 8 2 17" xfId="2632"/>
    <cellStyle name="20% - 强调文字颜色 4 8 2 18" xfId="2633"/>
    <cellStyle name="20% - 强调文字颜色 4 8 2 19" xfId="2634"/>
    <cellStyle name="20% - 强调文字颜色 4 8 2 2" xfId="2635"/>
    <cellStyle name="20% - 强调文字颜色 4 8 2 20" xfId="2636"/>
    <cellStyle name="20% - 强调文字颜色 4 8 2 21" xfId="2637"/>
    <cellStyle name="20% - 强调文字颜色 4 8 2 22" xfId="2638"/>
    <cellStyle name="20% - 强调文字颜色 4 8 2 23" xfId="2639"/>
    <cellStyle name="20% - 强调文字颜色 4 8 2 24" xfId="2640"/>
    <cellStyle name="20% - 强调文字颜色 4 8 2 25" xfId="2641"/>
    <cellStyle name="20% - 强调文字颜色 4 8 2 26" xfId="2642"/>
    <cellStyle name="20% - 强调文字颜色 4 8 2 27" xfId="2643"/>
    <cellStyle name="20% - 强调文字颜色 4 8 2 3" xfId="2644"/>
    <cellStyle name="20% - 强调文字颜色 4 8 2 4" xfId="2645"/>
    <cellStyle name="20% - 强调文字颜色 4 8 2 5" xfId="2646"/>
    <cellStyle name="20% - 强调文字颜色 4 8 2 6" xfId="2647"/>
    <cellStyle name="20% - 强调文字颜色 4 8 2 7" xfId="2648"/>
    <cellStyle name="20% - 强调文字颜色 4 8 2 8" xfId="2649"/>
    <cellStyle name="20% - 强调文字颜色 4 8 2 9" xfId="2650"/>
    <cellStyle name="20% - 强调文字颜色 4 8 20" xfId="2651"/>
    <cellStyle name="20% - 强调文字颜色 4 8 21" xfId="2652"/>
    <cellStyle name="20% - 强调文字颜色 4 8 22" xfId="2653"/>
    <cellStyle name="20% - 强调文字颜色 4 8 23" xfId="2654"/>
    <cellStyle name="20% - 强调文字颜色 4 8 24" xfId="2655"/>
    <cellStyle name="20% - 强调文字颜色 4 8 25" xfId="2656"/>
    <cellStyle name="20% - 强调文字颜色 4 8 26" xfId="2657"/>
    <cellStyle name="20% - 强调文字颜色 4 8 27" xfId="2658"/>
    <cellStyle name="20% - 强调文字颜色 4 8 28" xfId="2659"/>
    <cellStyle name="20% - 强调文字颜色 4 8 3" xfId="2660"/>
    <cellStyle name="20% - 强调文字颜色 4 8 4" xfId="2661"/>
    <cellStyle name="20% - 强调文字颜色 4 8 5" xfId="2662"/>
    <cellStyle name="20% - 强调文字颜色 4 8 6" xfId="2663"/>
    <cellStyle name="20% - 强调文字颜色 4 8 7" xfId="2664"/>
    <cellStyle name="20% - 强调文字颜色 4 8 8" xfId="2665"/>
    <cellStyle name="20% - 强调文字颜色 4 8 9" xfId="2666"/>
    <cellStyle name="20% - 强调文字颜色 4 9" xfId="2667"/>
    <cellStyle name="20% - 强调文字颜色 4 9 10" xfId="2668"/>
    <cellStyle name="20% - 强调文字颜色 4 9 11" xfId="2669"/>
    <cellStyle name="20% - 强调文字颜色 4 9 12" xfId="2670"/>
    <cellStyle name="20% - 强调文字颜色 4 9 13" xfId="2671"/>
    <cellStyle name="20% - 强调文字颜色 4 9 14" xfId="2672"/>
    <cellStyle name="20% - 强调文字颜色 4 9 15" xfId="2673"/>
    <cellStyle name="20% - 强调文字颜色 4 9 16" xfId="2674"/>
    <cellStyle name="20% - 强调文字颜色 4 9 17" xfId="2675"/>
    <cellStyle name="20% - 强调文字颜色 4 9 18" xfId="2676"/>
    <cellStyle name="20% - 强调文字颜色 4 9 19" xfId="2677"/>
    <cellStyle name="20% - 强调文字颜色 4 9 2" xfId="2678"/>
    <cellStyle name="20% - 强调文字颜色 4 9 2 10" xfId="2679"/>
    <cellStyle name="20% - 强调文字颜色 4 9 2 11" xfId="2680"/>
    <cellStyle name="20% - 强调文字颜色 4 9 2 12" xfId="2681"/>
    <cellStyle name="20% - 强调文字颜色 4 9 2 13" xfId="2682"/>
    <cellStyle name="20% - 强调文字颜色 4 9 2 14" xfId="2683"/>
    <cellStyle name="20% - 强调文字颜色 4 9 2 15" xfId="2684"/>
    <cellStyle name="20% - 强调文字颜色 4 9 2 16" xfId="2685"/>
    <cellStyle name="20% - 强调文字颜色 4 9 2 17" xfId="2686"/>
    <cellStyle name="20% - 强调文字颜色 4 9 2 18" xfId="2687"/>
    <cellStyle name="20% - 强调文字颜色 4 9 2 19" xfId="2688"/>
    <cellStyle name="20% - 强调文字颜色 4 9 2 2" xfId="2689"/>
    <cellStyle name="20% - 强调文字颜色 4 9 2 20" xfId="2690"/>
    <cellStyle name="20% - 强调文字颜色 4 9 2 21" xfId="2691"/>
    <cellStyle name="20% - 强调文字颜色 4 9 2 22" xfId="2692"/>
    <cellStyle name="20% - 强调文字颜色 4 9 2 23" xfId="2693"/>
    <cellStyle name="20% - 强调文字颜色 4 9 2 24" xfId="2694"/>
    <cellStyle name="20% - 强调文字颜色 4 9 2 25" xfId="2695"/>
    <cellStyle name="20% - 强调文字颜色 4 9 2 26" xfId="2696"/>
    <cellStyle name="20% - 强调文字颜色 4 9 2 27" xfId="2697"/>
    <cellStyle name="20% - 强调文字颜色 4 9 2 3" xfId="2698"/>
    <cellStyle name="20% - 强调文字颜色 4 9 2 4" xfId="2699"/>
    <cellStyle name="20% - 强调文字颜色 4 9 2 5" xfId="2700"/>
    <cellStyle name="20% - 强调文字颜色 4 9 2 6" xfId="2701"/>
    <cellStyle name="20% - 强调文字颜色 4 9 2 7" xfId="2702"/>
    <cellStyle name="20% - 强调文字颜色 4 9 2 8" xfId="2703"/>
    <cellStyle name="20% - 强调文字颜色 4 9 2 9" xfId="2704"/>
    <cellStyle name="20% - 强调文字颜色 4 9 20" xfId="2705"/>
    <cellStyle name="20% - 强调文字颜色 4 9 21" xfId="2706"/>
    <cellStyle name="20% - 强调文字颜色 4 9 22" xfId="2707"/>
    <cellStyle name="20% - 强调文字颜色 4 9 23" xfId="2708"/>
    <cellStyle name="20% - 强调文字颜色 4 9 24" xfId="2709"/>
    <cellStyle name="20% - 强调文字颜色 4 9 25" xfId="2710"/>
    <cellStyle name="20% - 强调文字颜色 4 9 26" xfId="2711"/>
    <cellStyle name="20% - 强调文字颜色 4 9 27" xfId="2712"/>
    <cellStyle name="20% - 强调文字颜色 4 9 28" xfId="2713"/>
    <cellStyle name="20% - 强调文字颜色 4 9 3" xfId="2714"/>
    <cellStyle name="20% - 强调文字颜色 4 9 4" xfId="2715"/>
    <cellStyle name="20% - 强调文字颜色 4 9 5" xfId="2716"/>
    <cellStyle name="20% - 强调文字颜色 4 9 6" xfId="2717"/>
    <cellStyle name="20% - 强调文字颜色 4 9 7" xfId="2718"/>
    <cellStyle name="20% - 强调文字颜色 4 9 8" xfId="2719"/>
    <cellStyle name="20% - 强调文字颜色 4 9 9" xfId="2720"/>
    <cellStyle name="20% - 强调文字颜色 5 10" xfId="2721"/>
    <cellStyle name="20% - 强调文字颜色 5 10 10" xfId="2722"/>
    <cellStyle name="20% - 强调文字颜色 5 10 11" xfId="2723"/>
    <cellStyle name="20% - 强调文字颜色 5 10 12" xfId="2724"/>
    <cellStyle name="20% - 强调文字颜色 5 10 13" xfId="2725"/>
    <cellStyle name="20% - 强调文字颜色 5 10 14" xfId="2726"/>
    <cellStyle name="20% - 强调文字颜色 5 10 15" xfId="2727"/>
    <cellStyle name="20% - 强调文字颜色 5 10 16" xfId="2728"/>
    <cellStyle name="20% - 强调文字颜色 5 10 17" xfId="2729"/>
    <cellStyle name="20% - 强调文字颜色 5 10 18" xfId="2730"/>
    <cellStyle name="20% - 强调文字颜色 5 10 19" xfId="2731"/>
    <cellStyle name="20% - 强调文字颜色 5 10 2" xfId="2732"/>
    <cellStyle name="20% - 强调文字颜色 5 10 2 10" xfId="2733"/>
    <cellStyle name="20% - 强调文字颜色 5 10 2 11" xfId="2734"/>
    <cellStyle name="20% - 强调文字颜色 5 10 2 12" xfId="2735"/>
    <cellStyle name="20% - 强调文字颜色 5 10 2 13" xfId="2736"/>
    <cellStyle name="20% - 强调文字颜色 5 10 2 14" xfId="2737"/>
    <cellStyle name="20% - 强调文字颜色 5 10 2 15" xfId="2738"/>
    <cellStyle name="20% - 强调文字颜色 5 10 2 16" xfId="2739"/>
    <cellStyle name="20% - 强调文字颜色 5 10 2 17" xfId="2740"/>
    <cellStyle name="20% - 强调文字颜色 5 10 2 18" xfId="2741"/>
    <cellStyle name="20% - 强调文字颜色 5 10 2 19" xfId="2742"/>
    <cellStyle name="20% - 强调文字颜色 5 10 2 2" xfId="2743"/>
    <cellStyle name="20% - 强调文字颜色 5 10 2 20" xfId="2744"/>
    <cellStyle name="20% - 强调文字颜色 5 10 2 21" xfId="2745"/>
    <cellStyle name="20% - 强调文字颜色 5 10 2 22" xfId="2746"/>
    <cellStyle name="20% - 强调文字颜色 5 10 2 23" xfId="2747"/>
    <cellStyle name="20% - 强调文字颜色 5 10 2 24" xfId="2748"/>
    <cellStyle name="20% - 强调文字颜色 5 10 2 25" xfId="2749"/>
    <cellStyle name="20% - 强调文字颜色 5 10 2 26" xfId="2750"/>
    <cellStyle name="20% - 强调文字颜色 5 10 2 27" xfId="2751"/>
    <cellStyle name="20% - 强调文字颜色 5 10 2 3" xfId="2752"/>
    <cellStyle name="20% - 强调文字颜色 5 10 2 4" xfId="2753"/>
    <cellStyle name="20% - 强调文字颜色 5 10 2 5" xfId="2754"/>
    <cellStyle name="20% - 强调文字颜色 5 10 2 6" xfId="2755"/>
    <cellStyle name="20% - 强调文字颜色 5 10 2 7" xfId="2756"/>
    <cellStyle name="20% - 强调文字颜色 5 10 2 8" xfId="2757"/>
    <cellStyle name="20% - 强调文字颜色 5 10 2 9" xfId="2758"/>
    <cellStyle name="20% - 强调文字颜色 5 10 20" xfId="2759"/>
    <cellStyle name="20% - 强调文字颜色 5 10 21" xfId="2760"/>
    <cellStyle name="20% - 强调文字颜色 5 10 22" xfId="2761"/>
    <cellStyle name="20% - 强调文字颜色 5 10 23" xfId="2762"/>
    <cellStyle name="20% - 强调文字颜色 5 10 24" xfId="2763"/>
    <cellStyle name="20% - 强调文字颜色 5 10 25" xfId="2764"/>
    <cellStyle name="20% - 强调文字颜色 5 10 26" xfId="2765"/>
    <cellStyle name="20% - 强调文字颜色 5 10 27" xfId="2766"/>
    <cellStyle name="20% - 强调文字颜色 5 10 28" xfId="2767"/>
    <cellStyle name="20% - 强调文字颜色 5 10 3" xfId="2768"/>
    <cellStyle name="20% - 强调文字颜色 5 10 4" xfId="2769"/>
    <cellStyle name="20% - 强调文字颜色 5 10 5" xfId="2770"/>
    <cellStyle name="20% - 强调文字颜色 5 10 6" xfId="2771"/>
    <cellStyle name="20% - 强调文字颜色 5 10 7" xfId="2772"/>
    <cellStyle name="20% - 强调文字颜色 5 10 8" xfId="2773"/>
    <cellStyle name="20% - 强调文字颜色 5 10 9" xfId="2774"/>
    <cellStyle name="20% - 强调文字颜色 5 11" xfId="2775"/>
    <cellStyle name="20% - 强调文字颜色 5 11 10" xfId="2776"/>
    <cellStyle name="20% - 强调文字颜色 5 11 11" xfId="2777"/>
    <cellStyle name="20% - 强调文字颜色 5 11 12" xfId="2778"/>
    <cellStyle name="20% - 强调文字颜色 5 11 13" xfId="2779"/>
    <cellStyle name="20% - 强调文字颜色 5 11 14" xfId="2780"/>
    <cellStyle name="20% - 强调文字颜色 5 11 15" xfId="2781"/>
    <cellStyle name="20% - 强调文字颜色 5 11 16" xfId="2782"/>
    <cellStyle name="20% - 强调文字颜色 5 11 17" xfId="2783"/>
    <cellStyle name="20% - 强调文字颜色 5 11 18" xfId="2784"/>
    <cellStyle name="20% - 强调文字颜色 5 11 19" xfId="2785"/>
    <cellStyle name="20% - 强调文字颜色 5 11 2" xfId="2786"/>
    <cellStyle name="20% - 强调文字颜色 5 11 2 10" xfId="2787"/>
    <cellStyle name="20% - 强调文字颜色 5 11 2 11" xfId="2788"/>
    <cellStyle name="20% - 强调文字颜色 5 11 2 12" xfId="2789"/>
    <cellStyle name="20% - 强调文字颜色 5 11 2 13" xfId="2790"/>
    <cellStyle name="20% - 强调文字颜色 5 11 2 14" xfId="2791"/>
    <cellStyle name="20% - 强调文字颜色 5 11 2 15" xfId="2792"/>
    <cellStyle name="20% - 强调文字颜色 5 11 2 16" xfId="2793"/>
    <cellStyle name="20% - 强调文字颜色 5 11 2 17" xfId="2794"/>
    <cellStyle name="20% - 强调文字颜色 5 11 2 18" xfId="2795"/>
    <cellStyle name="20% - 强调文字颜色 5 11 2 19" xfId="2796"/>
    <cellStyle name="20% - 强调文字颜色 5 11 2 2" xfId="2797"/>
    <cellStyle name="20% - 强调文字颜色 5 11 2 20" xfId="2798"/>
    <cellStyle name="20% - 强调文字颜色 5 11 2 21" xfId="2799"/>
    <cellStyle name="20% - 强调文字颜色 5 11 2 22" xfId="2800"/>
    <cellStyle name="20% - 强调文字颜色 5 11 2 23" xfId="2801"/>
    <cellStyle name="20% - 强调文字颜色 5 11 2 24" xfId="2802"/>
    <cellStyle name="20% - 强调文字颜色 5 11 2 25" xfId="2803"/>
    <cellStyle name="20% - 强调文字颜色 5 11 2 26" xfId="2804"/>
    <cellStyle name="20% - 强调文字颜色 5 11 2 27" xfId="2805"/>
    <cellStyle name="20% - 强调文字颜色 5 11 2 3" xfId="2806"/>
    <cellStyle name="20% - 强调文字颜色 5 11 2 4" xfId="2807"/>
    <cellStyle name="20% - 强调文字颜色 5 11 2 5" xfId="2808"/>
    <cellStyle name="20% - 强调文字颜色 5 11 2 6" xfId="2809"/>
    <cellStyle name="20% - 强调文字颜色 5 11 2 7" xfId="2810"/>
    <cellStyle name="20% - 强调文字颜色 5 11 2 8" xfId="2811"/>
    <cellStyle name="20% - 强调文字颜色 5 11 2 9" xfId="2812"/>
    <cellStyle name="20% - 强调文字颜色 5 11 20" xfId="2813"/>
    <cellStyle name="20% - 强调文字颜色 5 11 21" xfId="2814"/>
    <cellStyle name="20% - 强调文字颜色 5 11 22" xfId="2815"/>
    <cellStyle name="20% - 强调文字颜色 5 11 23" xfId="2816"/>
    <cellStyle name="20% - 强调文字颜色 5 11 24" xfId="2817"/>
    <cellStyle name="20% - 强调文字颜色 5 11 25" xfId="2818"/>
    <cellStyle name="20% - 强调文字颜色 5 11 26" xfId="2819"/>
    <cellStyle name="20% - 强调文字颜色 5 11 27" xfId="2820"/>
    <cellStyle name="20% - 强调文字颜色 5 11 28" xfId="2821"/>
    <cellStyle name="20% - 强调文字颜色 5 11 3" xfId="2822"/>
    <cellStyle name="20% - 强调文字颜色 5 11 4" xfId="2823"/>
    <cellStyle name="20% - 强调文字颜色 5 11 5" xfId="2824"/>
    <cellStyle name="20% - 强调文字颜色 5 11 6" xfId="2825"/>
    <cellStyle name="20% - 强调文字颜色 5 11 7" xfId="2826"/>
    <cellStyle name="20% - 强调文字颜色 5 11 8" xfId="2827"/>
    <cellStyle name="20% - 强调文字颜色 5 11 9" xfId="2828"/>
    <cellStyle name="20% - 强调文字颜色 5 12" xfId="2829"/>
    <cellStyle name="20% - 强调文字颜色 5 13" xfId="2830"/>
    <cellStyle name="20% - 强调文字颜色 5 14" xfId="2831"/>
    <cellStyle name="20% - 强调文字颜色 5 15" xfId="2832"/>
    <cellStyle name="20% - 强调文字颜色 5 16" xfId="2833"/>
    <cellStyle name="20% - 强调文字颜色 5 17" xfId="2834"/>
    <cellStyle name="20% - 强调文字颜色 5 18" xfId="2835"/>
    <cellStyle name="20% - 强调文字颜色 5 19" xfId="2836"/>
    <cellStyle name="20% - 强调文字颜色 5 2" xfId="2837"/>
    <cellStyle name="20% - 强调文字颜色 5 2 10" xfId="2838"/>
    <cellStyle name="20% - 强调文字颜色 5 2 11" xfId="2839"/>
    <cellStyle name="20% - 强调文字颜色 5 2 12" xfId="2840"/>
    <cellStyle name="20% - 强调文字颜色 5 2 13" xfId="2841"/>
    <cellStyle name="20% - 强调文字颜色 5 2 14" xfId="2842"/>
    <cellStyle name="20% - 强调文字颜色 5 2 15" xfId="2843"/>
    <cellStyle name="20% - 强调文字颜色 5 2 16" xfId="2844"/>
    <cellStyle name="20% - 强调文字颜色 5 2 17" xfId="2845"/>
    <cellStyle name="20% - 强调文字颜色 5 2 18" xfId="2846"/>
    <cellStyle name="20% - 强调文字颜色 5 2 19" xfId="2847"/>
    <cellStyle name="20% - 强调文字颜色 5 2 2" xfId="2848"/>
    <cellStyle name="20% - 强调文字颜色 5 2 2 10" xfId="2849"/>
    <cellStyle name="20% - 强调文字颜色 5 2 2 11" xfId="2850"/>
    <cellStyle name="20% - 强调文字颜色 5 2 2 12" xfId="2851"/>
    <cellStyle name="20% - 强调文字颜色 5 2 2 13" xfId="2852"/>
    <cellStyle name="20% - 强调文字颜色 5 2 2 14" xfId="2853"/>
    <cellStyle name="20% - 强调文字颜色 5 2 2 15" xfId="2854"/>
    <cellStyle name="20% - 强调文字颜色 5 2 2 16" xfId="2855"/>
    <cellStyle name="20% - 强调文字颜色 5 2 2 17" xfId="2856"/>
    <cellStyle name="20% - 强调文字颜色 5 2 2 18" xfId="2857"/>
    <cellStyle name="20% - 强调文字颜色 5 2 2 19" xfId="2858"/>
    <cellStyle name="20% - 强调文字颜色 5 2 2 2" xfId="2859"/>
    <cellStyle name="20% - 强调文字颜色 5 2 2 2 10" xfId="2860"/>
    <cellStyle name="20% - 强调文字颜色 5 2 2 2 11" xfId="2861"/>
    <cellStyle name="20% - 强调文字颜色 5 2 2 2 12" xfId="2862"/>
    <cellStyle name="20% - 强调文字颜色 5 2 2 2 13" xfId="2863"/>
    <cellStyle name="20% - 强调文字颜色 5 2 2 2 14" xfId="2864"/>
    <cellStyle name="20% - 强调文字颜色 5 2 2 2 15" xfId="2865"/>
    <cellStyle name="20% - 强调文字颜色 5 2 2 2 16" xfId="2866"/>
    <cellStyle name="20% - 强调文字颜色 5 2 2 2 17" xfId="2867"/>
    <cellStyle name="20% - 强调文字颜色 5 2 2 2 18" xfId="2868"/>
    <cellStyle name="20% - 强调文字颜色 5 2 2 2 19" xfId="2869"/>
    <cellStyle name="20% - 强调文字颜色 5 2 2 2 2" xfId="2870"/>
    <cellStyle name="20% - 强调文字颜色 5 2 2 2 20" xfId="2871"/>
    <cellStyle name="20% - 强调文字颜色 5 2 2 2 21" xfId="2872"/>
    <cellStyle name="20% - 强调文字颜色 5 2 2 2 22" xfId="2873"/>
    <cellStyle name="20% - 强调文字颜色 5 2 2 2 23" xfId="2874"/>
    <cellStyle name="20% - 强调文字颜色 5 2 2 2 24" xfId="2875"/>
    <cellStyle name="20% - 强调文字颜色 5 2 2 2 25" xfId="2876"/>
    <cellStyle name="20% - 强调文字颜色 5 2 2 2 26" xfId="2877"/>
    <cellStyle name="20% - 强调文字颜色 5 2 2 2 27" xfId="2878"/>
    <cellStyle name="20% - 强调文字颜色 5 2 2 2 3" xfId="2879"/>
    <cellStyle name="20% - 强调文字颜色 5 2 2 2 4" xfId="2880"/>
    <cellStyle name="20% - 强调文字颜色 5 2 2 2 5" xfId="2881"/>
    <cellStyle name="20% - 强调文字颜色 5 2 2 2 6" xfId="2882"/>
    <cellStyle name="20% - 强调文字颜色 5 2 2 2 7" xfId="2883"/>
    <cellStyle name="20% - 强调文字颜色 5 2 2 2 8" xfId="2884"/>
    <cellStyle name="20% - 强调文字颜色 5 2 2 2 9" xfId="2885"/>
    <cellStyle name="20% - 强调文字颜色 5 2 2 20" xfId="2886"/>
    <cellStyle name="20% - 强调文字颜色 5 2 2 21" xfId="2887"/>
    <cellStyle name="20% - 强调文字颜色 5 2 2 22" xfId="2888"/>
    <cellStyle name="20% - 强调文字颜色 5 2 2 23" xfId="2889"/>
    <cellStyle name="20% - 强调文字颜色 5 2 2 24" xfId="2890"/>
    <cellStyle name="20% - 强调文字颜色 5 2 2 25" xfId="2891"/>
    <cellStyle name="20% - 强调文字颜色 5 2 2 26" xfId="2892"/>
    <cellStyle name="20% - 强调文字颜色 5 2 2 27" xfId="2893"/>
    <cellStyle name="20% - 强调文字颜色 5 2 2 28" xfId="2894"/>
    <cellStyle name="20% - 强调文字颜色 5 2 2 3" xfId="2895"/>
    <cellStyle name="20% - 强调文字颜色 5 2 2 4" xfId="2896"/>
    <cellStyle name="20% - 强调文字颜色 5 2 2 5" xfId="2897"/>
    <cellStyle name="20% - 强调文字颜色 5 2 2 6" xfId="2898"/>
    <cellStyle name="20% - 强调文字颜色 5 2 2 7" xfId="2899"/>
    <cellStyle name="20% - 强调文字颜色 5 2 2 8" xfId="2900"/>
    <cellStyle name="20% - 强调文字颜色 5 2 2 9" xfId="2901"/>
    <cellStyle name="20% - 强调文字颜色 5 2 20" xfId="2902"/>
    <cellStyle name="20% - 强调文字颜色 5 2 21" xfId="2903"/>
    <cellStyle name="20% - 强调文字颜色 5 2 22" xfId="2904"/>
    <cellStyle name="20% - 强调文字颜色 5 2 23" xfId="2905"/>
    <cellStyle name="20% - 强调文字颜色 5 2 24" xfId="2906"/>
    <cellStyle name="20% - 强调文字颜色 5 2 25" xfId="2907"/>
    <cellStyle name="20% - 强调文字颜色 5 2 26" xfId="2908"/>
    <cellStyle name="20% - 强调文字颜色 5 2 27" xfId="2909"/>
    <cellStyle name="20% - 强调文字颜色 5 2 28" xfId="2910"/>
    <cellStyle name="20% - 强调文字颜色 5 2 29" xfId="2911"/>
    <cellStyle name="20% - 强调文字颜色 5 2 3" xfId="2912"/>
    <cellStyle name="20% - 强调文字颜色 5 2 3 10" xfId="2913"/>
    <cellStyle name="20% - 强调文字颜色 5 2 3 11" xfId="2914"/>
    <cellStyle name="20% - 强调文字颜色 5 2 3 12" xfId="2915"/>
    <cellStyle name="20% - 强调文字颜色 5 2 3 13" xfId="2916"/>
    <cellStyle name="20% - 强调文字颜色 5 2 3 14" xfId="2917"/>
    <cellStyle name="20% - 强调文字颜色 5 2 3 15" xfId="2918"/>
    <cellStyle name="20% - 强调文字颜色 5 2 3 16" xfId="2919"/>
    <cellStyle name="20% - 强调文字颜色 5 2 3 17" xfId="2920"/>
    <cellStyle name="20% - 强调文字颜色 5 2 3 18" xfId="2921"/>
    <cellStyle name="20% - 强调文字颜色 5 2 3 19" xfId="2922"/>
    <cellStyle name="20% - 强调文字颜色 5 2 3 2" xfId="2923"/>
    <cellStyle name="20% - 强调文字颜色 5 2 3 2 10" xfId="2924"/>
    <cellStyle name="20% - 强调文字颜色 5 2 3 2 11" xfId="2925"/>
    <cellStyle name="20% - 强调文字颜色 5 2 3 2 12" xfId="2926"/>
    <cellStyle name="20% - 强调文字颜色 5 2 3 2 13" xfId="2927"/>
    <cellStyle name="20% - 强调文字颜色 5 2 3 2 14" xfId="2928"/>
    <cellStyle name="20% - 强调文字颜色 5 2 3 2 15" xfId="2929"/>
    <cellStyle name="20% - 强调文字颜色 5 2 3 2 16" xfId="2930"/>
    <cellStyle name="20% - 强调文字颜色 5 2 3 2 17" xfId="2931"/>
    <cellStyle name="20% - 强调文字颜色 5 2 3 2 18" xfId="2932"/>
    <cellStyle name="20% - 强调文字颜色 5 2 3 2 19" xfId="2933"/>
    <cellStyle name="20% - 强调文字颜色 5 2 3 2 2" xfId="2934"/>
    <cellStyle name="20% - 强调文字颜色 5 2 3 2 20" xfId="2935"/>
    <cellStyle name="20% - 强调文字颜色 5 2 3 2 21" xfId="2936"/>
    <cellStyle name="20% - 强调文字颜色 5 2 3 2 22" xfId="2937"/>
    <cellStyle name="20% - 强调文字颜色 5 2 3 2 23" xfId="2938"/>
    <cellStyle name="20% - 强调文字颜色 5 2 3 2 24" xfId="2939"/>
    <cellStyle name="20% - 强调文字颜色 5 2 3 2 25" xfId="2940"/>
    <cellStyle name="20% - 强调文字颜色 5 2 3 2 26" xfId="2941"/>
    <cellStyle name="20% - 强调文字颜色 5 2 3 2 27" xfId="2942"/>
    <cellStyle name="20% - 强调文字颜色 5 2 3 2 3" xfId="2943"/>
    <cellStyle name="20% - 强调文字颜色 5 2 3 2 4" xfId="2944"/>
    <cellStyle name="20% - 强调文字颜色 5 2 3 2 5" xfId="2945"/>
    <cellStyle name="20% - 强调文字颜色 5 2 3 2 6" xfId="2946"/>
    <cellStyle name="20% - 强调文字颜色 5 2 3 2 7" xfId="2947"/>
    <cellStyle name="20% - 强调文字颜色 5 2 3 2 8" xfId="2948"/>
    <cellStyle name="20% - 强调文字颜色 5 2 3 2 9" xfId="2949"/>
    <cellStyle name="20% - 强调文字颜色 5 2 3 20" xfId="2950"/>
    <cellStyle name="20% - 强调文字颜色 5 2 3 21" xfId="2951"/>
    <cellStyle name="20% - 强调文字颜色 5 2 3 22" xfId="2952"/>
    <cellStyle name="20% - 强调文字颜色 5 2 3 23" xfId="2953"/>
    <cellStyle name="20% - 强调文字颜色 5 2 3 24" xfId="2954"/>
    <cellStyle name="20% - 强调文字颜色 5 2 3 25" xfId="2955"/>
    <cellStyle name="20% - 强调文字颜色 5 2 3 26" xfId="2956"/>
    <cellStyle name="20% - 强调文字颜色 5 2 3 27" xfId="2957"/>
    <cellStyle name="20% - 强调文字颜色 5 2 3 28" xfId="2958"/>
    <cellStyle name="20% - 强调文字颜色 5 2 3 3" xfId="2959"/>
    <cellStyle name="20% - 强调文字颜色 5 2 3 4" xfId="2960"/>
    <cellStyle name="20% - 强调文字颜色 5 2 3 5" xfId="2961"/>
    <cellStyle name="20% - 强调文字颜色 5 2 3 6" xfId="2962"/>
    <cellStyle name="20% - 强调文字颜色 5 2 3 7" xfId="2963"/>
    <cellStyle name="20% - 强调文字颜色 5 2 3 8" xfId="2964"/>
    <cellStyle name="20% - 强调文字颜色 5 2 3 9" xfId="2965"/>
    <cellStyle name="20% - 强调文字颜色 5 2 30" xfId="2966"/>
    <cellStyle name="20% - 强调文字颜色 5 2 31" xfId="2967"/>
    <cellStyle name="20% - 强调文字颜色 5 2 32" xfId="2968"/>
    <cellStyle name="20% - 强调文字颜色 5 2 33" xfId="2969"/>
    <cellStyle name="20% - 强调文字颜色 5 2 4" xfId="2970"/>
    <cellStyle name="20% - 强调文字颜色 5 2 4 10" xfId="2971"/>
    <cellStyle name="20% - 强调文字颜色 5 2 4 11" xfId="2972"/>
    <cellStyle name="20% - 强调文字颜色 5 2 4 12" xfId="2973"/>
    <cellStyle name="20% - 强调文字颜色 5 2 4 13" xfId="2974"/>
    <cellStyle name="20% - 强调文字颜色 5 2 4 14" xfId="2975"/>
    <cellStyle name="20% - 强调文字颜色 5 2 4 15" xfId="2976"/>
    <cellStyle name="20% - 强调文字颜色 5 2 4 16" xfId="2977"/>
    <cellStyle name="20% - 强调文字颜色 5 2 4 17" xfId="2978"/>
    <cellStyle name="20% - 强调文字颜色 5 2 4 18" xfId="2979"/>
    <cellStyle name="20% - 强调文字颜色 5 2 4 19" xfId="2980"/>
    <cellStyle name="20% - 强调文字颜色 5 2 4 2" xfId="2981"/>
    <cellStyle name="20% - 强调文字颜色 5 2 4 20" xfId="2982"/>
    <cellStyle name="20% - 强调文字颜色 5 2 4 21" xfId="2983"/>
    <cellStyle name="20% - 强调文字颜色 5 2 4 22" xfId="2984"/>
    <cellStyle name="20% - 强调文字颜色 5 2 4 23" xfId="2985"/>
    <cellStyle name="20% - 强调文字颜色 5 2 4 24" xfId="2986"/>
    <cellStyle name="20% - 强调文字颜色 5 2 4 25" xfId="2987"/>
    <cellStyle name="20% - 强调文字颜色 5 2 4 26" xfId="2988"/>
    <cellStyle name="20% - 强调文字颜色 5 2 4 27" xfId="2989"/>
    <cellStyle name="20% - 强调文字颜色 5 2 4 3" xfId="2990"/>
    <cellStyle name="20% - 强调文字颜色 5 2 4 4" xfId="2991"/>
    <cellStyle name="20% - 强调文字颜色 5 2 4 5" xfId="2992"/>
    <cellStyle name="20% - 强调文字颜色 5 2 4 6" xfId="2993"/>
    <cellStyle name="20% - 强调文字颜色 5 2 4 7" xfId="2994"/>
    <cellStyle name="20% - 强调文字颜色 5 2 4 8" xfId="2995"/>
    <cellStyle name="20% - 强调文字颜色 5 2 4 9" xfId="2996"/>
    <cellStyle name="20% - 强调文字颜色 5 2 5" xfId="2997"/>
    <cellStyle name="20% - 强调文字颜色 5 2 6" xfId="2998"/>
    <cellStyle name="20% - 强调文字颜色 5 2 7" xfId="2999"/>
    <cellStyle name="20% - 强调文字颜色 5 2 8" xfId="3000"/>
    <cellStyle name="20% - 强调文字颜色 5 2 9" xfId="3001"/>
    <cellStyle name="20% - 强调文字颜色 5 20" xfId="3002"/>
    <cellStyle name="20% - 强调文字颜色 5 21" xfId="3003"/>
    <cellStyle name="20% - 强调文字颜色 5 22" xfId="3004"/>
    <cellStyle name="20% - 强调文字颜色 5 23" xfId="3005"/>
    <cellStyle name="20% - 强调文字颜色 5 24" xfId="3006"/>
    <cellStyle name="20% - 强调文字颜色 5 25" xfId="3007"/>
    <cellStyle name="20% - 强调文字颜色 5 26" xfId="3008"/>
    <cellStyle name="20% - 强调文字颜色 5 27" xfId="3009"/>
    <cellStyle name="20% - 强调文字颜色 5 28" xfId="3010"/>
    <cellStyle name="20% - 强调文字颜色 5 29" xfId="3011"/>
    <cellStyle name="20% - 强调文字颜色 5 3" xfId="3012"/>
    <cellStyle name="20% - 强调文字颜色 5 3 10" xfId="3013"/>
    <cellStyle name="20% - 强调文字颜色 5 3 11" xfId="3014"/>
    <cellStyle name="20% - 强调文字颜色 5 3 12" xfId="3015"/>
    <cellStyle name="20% - 强调文字颜色 5 3 13" xfId="3016"/>
    <cellStyle name="20% - 强调文字颜色 5 3 14" xfId="3017"/>
    <cellStyle name="20% - 强调文字颜色 5 3 15" xfId="3018"/>
    <cellStyle name="20% - 强调文字颜色 5 3 16" xfId="3019"/>
    <cellStyle name="20% - 强调文字颜色 5 3 17" xfId="3020"/>
    <cellStyle name="20% - 强调文字颜色 5 3 18" xfId="3021"/>
    <cellStyle name="20% - 强调文字颜色 5 3 19" xfId="3022"/>
    <cellStyle name="20% - 强调文字颜色 5 3 2" xfId="3023"/>
    <cellStyle name="20% - 强调文字颜色 5 3 2 10" xfId="3024"/>
    <cellStyle name="20% - 强调文字颜色 5 3 2 11" xfId="3025"/>
    <cellStyle name="20% - 强调文字颜色 5 3 2 12" xfId="3026"/>
    <cellStyle name="20% - 强调文字颜色 5 3 2 13" xfId="3027"/>
    <cellStyle name="20% - 强调文字颜色 5 3 2 14" xfId="3028"/>
    <cellStyle name="20% - 强调文字颜色 5 3 2 15" xfId="3029"/>
    <cellStyle name="20% - 强调文字颜色 5 3 2 16" xfId="3030"/>
    <cellStyle name="20% - 强调文字颜色 5 3 2 17" xfId="3031"/>
    <cellStyle name="20% - 强调文字颜色 5 3 2 18" xfId="3032"/>
    <cellStyle name="20% - 强调文字颜色 5 3 2 19" xfId="3033"/>
    <cellStyle name="20% - 强调文字颜色 5 3 2 2" xfId="3034"/>
    <cellStyle name="20% - 强调文字颜色 5 3 2 20" xfId="3035"/>
    <cellStyle name="20% - 强调文字颜色 5 3 2 21" xfId="3036"/>
    <cellStyle name="20% - 强调文字颜色 5 3 2 22" xfId="3037"/>
    <cellStyle name="20% - 强调文字颜色 5 3 2 23" xfId="3038"/>
    <cellStyle name="20% - 强调文字颜色 5 3 2 24" xfId="3039"/>
    <cellStyle name="20% - 强调文字颜色 5 3 2 25" xfId="3040"/>
    <cellStyle name="20% - 强调文字颜色 5 3 2 26" xfId="3041"/>
    <cellStyle name="20% - 强调文字颜色 5 3 2 27" xfId="3042"/>
    <cellStyle name="20% - 强调文字颜色 5 3 2 3" xfId="3043"/>
    <cellStyle name="20% - 强调文字颜色 5 3 2 4" xfId="3044"/>
    <cellStyle name="20% - 强调文字颜色 5 3 2 5" xfId="3045"/>
    <cellStyle name="20% - 强调文字颜色 5 3 2 6" xfId="3046"/>
    <cellStyle name="20% - 强调文字颜色 5 3 2 7" xfId="3047"/>
    <cellStyle name="20% - 强调文字颜色 5 3 2 8" xfId="3048"/>
    <cellStyle name="20% - 强调文字颜色 5 3 2 9" xfId="3049"/>
    <cellStyle name="20% - 强调文字颜色 5 3 20" xfId="3050"/>
    <cellStyle name="20% - 强调文字颜色 5 3 21" xfId="3051"/>
    <cellStyle name="20% - 强调文字颜色 5 3 22" xfId="3052"/>
    <cellStyle name="20% - 强调文字颜色 5 3 23" xfId="3053"/>
    <cellStyle name="20% - 强调文字颜色 5 3 24" xfId="3054"/>
    <cellStyle name="20% - 强调文字颜色 5 3 25" xfId="3055"/>
    <cellStyle name="20% - 强调文字颜色 5 3 26" xfId="3056"/>
    <cellStyle name="20% - 强调文字颜色 5 3 27" xfId="3057"/>
    <cellStyle name="20% - 强调文字颜色 5 3 28" xfId="3058"/>
    <cellStyle name="20% - 强调文字颜色 5 3 3" xfId="3059"/>
    <cellStyle name="20% - 强调文字颜色 5 3 4" xfId="3060"/>
    <cellStyle name="20% - 强调文字颜色 5 3 5" xfId="3061"/>
    <cellStyle name="20% - 强调文字颜色 5 3 6" xfId="3062"/>
    <cellStyle name="20% - 强调文字颜色 5 3 7" xfId="3063"/>
    <cellStyle name="20% - 强调文字颜色 5 3 8" xfId="3064"/>
    <cellStyle name="20% - 强调文字颜色 5 3 9" xfId="3065"/>
    <cellStyle name="20% - 强调文字颜色 5 30" xfId="3066"/>
    <cellStyle name="20% - 强调文字颜色 5 31" xfId="3067"/>
    <cellStyle name="20% - 强调文字颜色 5 32" xfId="3068"/>
    <cellStyle name="20% - 强调文字颜色 5 33" xfId="3069"/>
    <cellStyle name="20% - 强调文字颜色 5 34" xfId="3070"/>
    <cellStyle name="20% - 强调文字颜色 5 35" xfId="3071"/>
    <cellStyle name="20% - 强调文字颜色 5 36" xfId="3072"/>
    <cellStyle name="20% - 强调文字颜色 5 37" xfId="3073"/>
    <cellStyle name="20% - 强调文字颜色 5 38" xfId="3074"/>
    <cellStyle name="20% - 强调文字颜色 5 39" xfId="3075"/>
    <cellStyle name="20% - 强调文字颜色 5 4" xfId="3076"/>
    <cellStyle name="20% - 强调文字颜色 5 4 10" xfId="3077"/>
    <cellStyle name="20% - 强调文字颜色 5 4 11" xfId="3078"/>
    <cellStyle name="20% - 强调文字颜色 5 4 12" xfId="3079"/>
    <cellStyle name="20% - 强调文字颜色 5 4 13" xfId="3080"/>
    <cellStyle name="20% - 强调文字颜色 5 4 14" xfId="3081"/>
    <cellStyle name="20% - 强调文字颜色 5 4 15" xfId="3082"/>
    <cellStyle name="20% - 强调文字颜色 5 4 16" xfId="3083"/>
    <cellStyle name="20% - 强调文字颜色 5 4 17" xfId="3084"/>
    <cellStyle name="20% - 强调文字颜色 5 4 18" xfId="3085"/>
    <cellStyle name="20% - 强调文字颜色 5 4 19" xfId="3086"/>
    <cellStyle name="20% - 强调文字颜色 5 4 2" xfId="3087"/>
    <cellStyle name="20% - 强调文字颜色 5 4 2 10" xfId="3088"/>
    <cellStyle name="20% - 强调文字颜色 5 4 2 11" xfId="3089"/>
    <cellStyle name="20% - 强调文字颜色 5 4 2 12" xfId="3090"/>
    <cellStyle name="20% - 强调文字颜色 5 4 2 13" xfId="3091"/>
    <cellStyle name="20% - 强调文字颜色 5 4 2 14" xfId="3092"/>
    <cellStyle name="20% - 强调文字颜色 5 4 2 15" xfId="3093"/>
    <cellStyle name="20% - 强调文字颜色 5 4 2 16" xfId="3094"/>
    <cellStyle name="20% - 强调文字颜色 5 4 2 17" xfId="3095"/>
    <cellStyle name="20% - 强调文字颜色 5 4 2 18" xfId="3096"/>
    <cellStyle name="20% - 强调文字颜色 5 4 2 19" xfId="3097"/>
    <cellStyle name="20% - 强调文字颜色 5 4 2 2" xfId="3098"/>
    <cellStyle name="20% - 强调文字颜色 5 4 2 20" xfId="3099"/>
    <cellStyle name="20% - 强调文字颜色 5 4 2 21" xfId="3100"/>
    <cellStyle name="20% - 强调文字颜色 5 4 2 22" xfId="3101"/>
    <cellStyle name="20% - 强调文字颜色 5 4 2 23" xfId="3102"/>
    <cellStyle name="20% - 强调文字颜色 5 4 2 24" xfId="3103"/>
    <cellStyle name="20% - 强调文字颜色 5 4 2 25" xfId="3104"/>
    <cellStyle name="20% - 强调文字颜色 5 4 2 26" xfId="3105"/>
    <cellStyle name="20% - 强调文字颜色 5 4 2 27" xfId="3106"/>
    <cellStyle name="20% - 强调文字颜色 5 4 2 3" xfId="3107"/>
    <cellStyle name="20% - 强调文字颜色 5 4 2 4" xfId="3108"/>
    <cellStyle name="20% - 强调文字颜色 5 4 2 5" xfId="3109"/>
    <cellStyle name="20% - 强调文字颜色 5 4 2 6" xfId="3110"/>
    <cellStyle name="20% - 强调文字颜色 5 4 2 7" xfId="3111"/>
    <cellStyle name="20% - 强调文字颜色 5 4 2 8" xfId="3112"/>
    <cellStyle name="20% - 强调文字颜色 5 4 2 9" xfId="3113"/>
    <cellStyle name="20% - 强调文字颜色 5 4 20" xfId="3114"/>
    <cellStyle name="20% - 强调文字颜色 5 4 21" xfId="3115"/>
    <cellStyle name="20% - 强调文字颜色 5 4 22" xfId="3116"/>
    <cellStyle name="20% - 强调文字颜色 5 4 23" xfId="3117"/>
    <cellStyle name="20% - 强调文字颜色 5 4 24" xfId="3118"/>
    <cellStyle name="20% - 强调文字颜色 5 4 25" xfId="3119"/>
    <cellStyle name="20% - 强调文字颜色 5 4 26" xfId="3120"/>
    <cellStyle name="20% - 强调文字颜色 5 4 27" xfId="3121"/>
    <cellStyle name="20% - 强调文字颜色 5 4 28" xfId="3122"/>
    <cellStyle name="20% - 强调文字颜色 5 4 3" xfId="3123"/>
    <cellStyle name="20% - 强调文字颜色 5 4 4" xfId="3124"/>
    <cellStyle name="20% - 强调文字颜色 5 4 5" xfId="3125"/>
    <cellStyle name="20% - 强调文字颜色 5 4 6" xfId="3126"/>
    <cellStyle name="20% - 强调文字颜色 5 4 7" xfId="3127"/>
    <cellStyle name="20% - 强调文字颜色 5 4 8" xfId="3128"/>
    <cellStyle name="20% - 强调文字颜色 5 4 9" xfId="3129"/>
    <cellStyle name="20% - 强调文字颜色 5 40" xfId="3130"/>
    <cellStyle name="20% - 强调文字颜色 5 5" xfId="3131"/>
    <cellStyle name="20% - 强调文字颜色 5 5 10" xfId="3132"/>
    <cellStyle name="20% - 强调文字颜色 5 5 11" xfId="3133"/>
    <cellStyle name="20% - 强调文字颜色 5 5 12" xfId="3134"/>
    <cellStyle name="20% - 强调文字颜色 5 5 13" xfId="3135"/>
    <cellStyle name="20% - 强调文字颜色 5 5 14" xfId="3136"/>
    <cellStyle name="20% - 强调文字颜色 5 5 15" xfId="3137"/>
    <cellStyle name="20% - 强调文字颜色 5 5 16" xfId="3138"/>
    <cellStyle name="20% - 强调文字颜色 5 5 17" xfId="3139"/>
    <cellStyle name="20% - 强调文字颜色 5 5 18" xfId="3140"/>
    <cellStyle name="20% - 强调文字颜色 5 5 19" xfId="3141"/>
    <cellStyle name="20% - 强调文字颜色 5 5 2" xfId="3142"/>
    <cellStyle name="20% - 强调文字颜色 5 5 2 10" xfId="3143"/>
    <cellStyle name="20% - 强调文字颜色 5 5 2 11" xfId="3144"/>
    <cellStyle name="20% - 强调文字颜色 5 5 2 12" xfId="3145"/>
    <cellStyle name="20% - 强调文字颜色 5 5 2 13" xfId="3146"/>
    <cellStyle name="20% - 强调文字颜色 5 5 2 14" xfId="3147"/>
    <cellStyle name="20% - 强调文字颜色 5 5 2 15" xfId="3148"/>
    <cellStyle name="20% - 强调文字颜色 5 5 2 16" xfId="3149"/>
    <cellStyle name="20% - 强调文字颜色 5 5 2 17" xfId="3150"/>
    <cellStyle name="20% - 强调文字颜色 5 5 2 18" xfId="3151"/>
    <cellStyle name="20% - 强调文字颜色 5 5 2 19" xfId="3152"/>
    <cellStyle name="20% - 强调文字颜色 5 5 2 2" xfId="3153"/>
    <cellStyle name="20% - 强调文字颜色 5 5 2 20" xfId="3154"/>
    <cellStyle name="20% - 强调文字颜色 5 5 2 21" xfId="3155"/>
    <cellStyle name="20% - 强调文字颜色 5 5 2 22" xfId="3156"/>
    <cellStyle name="20% - 强调文字颜色 5 5 2 23" xfId="3157"/>
    <cellStyle name="20% - 强调文字颜色 5 5 2 24" xfId="3158"/>
    <cellStyle name="20% - 强调文字颜色 5 5 2 25" xfId="3159"/>
    <cellStyle name="20% - 强调文字颜色 5 5 2 26" xfId="3160"/>
    <cellStyle name="20% - 强调文字颜色 5 5 2 27" xfId="3161"/>
    <cellStyle name="20% - 强调文字颜色 5 5 2 3" xfId="3162"/>
    <cellStyle name="20% - 强调文字颜色 5 5 2 4" xfId="3163"/>
    <cellStyle name="20% - 强调文字颜色 5 5 2 5" xfId="3164"/>
    <cellStyle name="20% - 强调文字颜色 5 5 2 6" xfId="3165"/>
    <cellStyle name="20% - 强调文字颜色 5 5 2 7" xfId="3166"/>
    <cellStyle name="20% - 强调文字颜色 5 5 2 8" xfId="3167"/>
    <cellStyle name="20% - 强调文字颜色 5 5 2 9" xfId="3168"/>
    <cellStyle name="20% - 强调文字颜色 5 5 20" xfId="3169"/>
    <cellStyle name="20% - 强调文字颜色 5 5 21" xfId="3170"/>
    <cellStyle name="20% - 强调文字颜色 5 5 22" xfId="3171"/>
    <cellStyle name="20% - 强调文字颜色 5 5 23" xfId="3172"/>
    <cellStyle name="20% - 强调文字颜色 5 5 24" xfId="3173"/>
    <cellStyle name="20% - 强调文字颜色 5 5 25" xfId="3174"/>
    <cellStyle name="20% - 强调文字颜色 5 5 26" xfId="3175"/>
    <cellStyle name="20% - 强调文字颜色 5 5 27" xfId="3176"/>
    <cellStyle name="20% - 强调文字颜色 5 5 28" xfId="3177"/>
    <cellStyle name="20% - 强调文字颜色 5 5 3" xfId="3178"/>
    <cellStyle name="20% - 强调文字颜色 5 5 4" xfId="3179"/>
    <cellStyle name="20% - 强调文字颜色 5 5 5" xfId="3180"/>
    <cellStyle name="20% - 强调文字颜色 5 5 6" xfId="3181"/>
    <cellStyle name="20% - 强调文字颜色 5 5 7" xfId="3182"/>
    <cellStyle name="20% - 强调文字颜色 5 5 8" xfId="3183"/>
    <cellStyle name="20% - 强调文字颜色 5 5 9" xfId="3184"/>
    <cellStyle name="20% - 强调文字颜色 5 6" xfId="3185"/>
    <cellStyle name="20% - 强调文字颜色 5 6 10" xfId="3186"/>
    <cellStyle name="20% - 强调文字颜色 5 6 11" xfId="3187"/>
    <cellStyle name="20% - 强调文字颜色 5 6 12" xfId="3188"/>
    <cellStyle name="20% - 强调文字颜色 5 6 13" xfId="3189"/>
    <cellStyle name="20% - 强调文字颜色 5 6 14" xfId="3190"/>
    <cellStyle name="20% - 强调文字颜色 5 6 15" xfId="3191"/>
    <cellStyle name="20% - 强调文字颜色 5 6 16" xfId="3192"/>
    <cellStyle name="20% - 强调文字颜色 5 6 17" xfId="3193"/>
    <cellStyle name="20% - 强调文字颜色 5 6 18" xfId="3194"/>
    <cellStyle name="20% - 强调文字颜色 5 6 19" xfId="3195"/>
    <cellStyle name="20% - 强调文字颜色 5 6 2" xfId="3196"/>
    <cellStyle name="20% - 强调文字颜色 5 6 2 10" xfId="3197"/>
    <cellStyle name="20% - 强调文字颜色 5 6 2 11" xfId="3198"/>
    <cellStyle name="20% - 强调文字颜色 5 6 2 12" xfId="3199"/>
    <cellStyle name="20% - 强调文字颜色 5 6 2 13" xfId="3200"/>
    <cellStyle name="20% - 强调文字颜色 5 6 2 14" xfId="3201"/>
    <cellStyle name="20% - 强调文字颜色 5 6 2 15" xfId="3202"/>
    <cellStyle name="20% - 强调文字颜色 5 6 2 16" xfId="3203"/>
    <cellStyle name="20% - 强调文字颜色 5 6 2 17" xfId="3204"/>
    <cellStyle name="20% - 强调文字颜色 5 6 2 18" xfId="3205"/>
    <cellStyle name="20% - 强调文字颜色 5 6 2 19" xfId="3206"/>
    <cellStyle name="20% - 强调文字颜色 5 6 2 2" xfId="3207"/>
    <cellStyle name="20% - 强调文字颜色 5 6 2 20" xfId="3208"/>
    <cellStyle name="20% - 强调文字颜色 5 6 2 21" xfId="3209"/>
    <cellStyle name="20% - 强调文字颜色 5 6 2 22" xfId="3210"/>
    <cellStyle name="20% - 强调文字颜色 5 6 2 23" xfId="3211"/>
    <cellStyle name="20% - 强调文字颜色 5 6 2 24" xfId="3212"/>
    <cellStyle name="20% - 强调文字颜色 5 6 2 25" xfId="3213"/>
    <cellStyle name="20% - 强调文字颜色 5 6 2 26" xfId="3214"/>
    <cellStyle name="20% - 强调文字颜色 5 6 2 27" xfId="3215"/>
    <cellStyle name="20% - 强调文字颜色 5 6 2 3" xfId="3216"/>
    <cellStyle name="20% - 强调文字颜色 5 6 2 4" xfId="3217"/>
    <cellStyle name="20% - 强调文字颜色 5 6 2 5" xfId="3218"/>
    <cellStyle name="20% - 强调文字颜色 5 6 2 6" xfId="3219"/>
    <cellStyle name="20% - 强调文字颜色 5 6 2 7" xfId="3220"/>
    <cellStyle name="20% - 强调文字颜色 5 6 2 8" xfId="3221"/>
    <cellStyle name="20% - 强调文字颜色 5 6 2 9" xfId="3222"/>
    <cellStyle name="20% - 强调文字颜色 5 6 20" xfId="3223"/>
    <cellStyle name="20% - 强调文字颜色 5 6 21" xfId="3224"/>
    <cellStyle name="20% - 强调文字颜色 5 6 22" xfId="3225"/>
    <cellStyle name="20% - 强调文字颜色 5 6 23" xfId="3226"/>
    <cellStyle name="20% - 强调文字颜色 5 6 24" xfId="3227"/>
    <cellStyle name="20% - 强调文字颜色 5 6 25" xfId="3228"/>
    <cellStyle name="20% - 强调文字颜色 5 6 26" xfId="3229"/>
    <cellStyle name="20% - 强调文字颜色 5 6 27" xfId="3230"/>
    <cellStyle name="20% - 强调文字颜色 5 6 28" xfId="3231"/>
    <cellStyle name="20% - 强调文字颜色 5 6 3" xfId="3232"/>
    <cellStyle name="20% - 强调文字颜色 5 6 4" xfId="3233"/>
    <cellStyle name="20% - 强调文字颜色 5 6 5" xfId="3234"/>
    <cellStyle name="20% - 强调文字颜色 5 6 6" xfId="3235"/>
    <cellStyle name="20% - 强调文字颜色 5 6 7" xfId="3236"/>
    <cellStyle name="20% - 强调文字颜色 5 6 8" xfId="3237"/>
    <cellStyle name="20% - 强调文字颜色 5 6 9" xfId="3238"/>
    <cellStyle name="20% - 强调文字颜色 5 7" xfId="3239"/>
    <cellStyle name="20% - 强调文字颜色 5 7 10" xfId="3240"/>
    <cellStyle name="20% - 强调文字颜色 5 7 11" xfId="3241"/>
    <cellStyle name="20% - 强调文字颜色 5 7 12" xfId="3242"/>
    <cellStyle name="20% - 强调文字颜色 5 7 13" xfId="3243"/>
    <cellStyle name="20% - 强调文字颜色 5 7 14" xfId="3244"/>
    <cellStyle name="20% - 强调文字颜色 5 7 15" xfId="3245"/>
    <cellStyle name="20% - 强调文字颜色 5 7 16" xfId="3246"/>
    <cellStyle name="20% - 强调文字颜色 5 7 17" xfId="3247"/>
    <cellStyle name="20% - 强调文字颜色 5 7 18" xfId="3248"/>
    <cellStyle name="20% - 强调文字颜色 5 7 19" xfId="3249"/>
    <cellStyle name="20% - 强调文字颜色 5 7 2" xfId="3250"/>
    <cellStyle name="20% - 强调文字颜色 5 7 2 10" xfId="3251"/>
    <cellStyle name="20% - 强调文字颜色 5 7 2 11" xfId="3252"/>
    <cellStyle name="20% - 强调文字颜色 5 7 2 12" xfId="3253"/>
    <cellStyle name="20% - 强调文字颜色 5 7 2 13" xfId="3254"/>
    <cellStyle name="20% - 强调文字颜色 5 7 2 14" xfId="3255"/>
    <cellStyle name="20% - 强调文字颜色 5 7 2 15" xfId="3256"/>
    <cellStyle name="20% - 强调文字颜色 5 7 2 16" xfId="3257"/>
    <cellStyle name="20% - 强调文字颜色 5 7 2 17" xfId="3258"/>
    <cellStyle name="20% - 强调文字颜色 5 7 2 18" xfId="3259"/>
    <cellStyle name="20% - 强调文字颜色 5 7 2 19" xfId="3260"/>
    <cellStyle name="20% - 强调文字颜色 5 7 2 2" xfId="3261"/>
    <cellStyle name="20% - 强调文字颜色 5 7 2 20" xfId="3262"/>
    <cellStyle name="20% - 强调文字颜色 5 7 2 21" xfId="3263"/>
    <cellStyle name="20% - 强调文字颜色 5 7 2 22" xfId="3264"/>
    <cellStyle name="20% - 强调文字颜色 5 7 2 23" xfId="3265"/>
    <cellStyle name="20% - 强调文字颜色 5 7 2 24" xfId="3266"/>
    <cellStyle name="20% - 强调文字颜色 5 7 2 25" xfId="3267"/>
    <cellStyle name="20% - 强调文字颜色 5 7 2 26" xfId="3268"/>
    <cellStyle name="20% - 强调文字颜色 5 7 2 27" xfId="3269"/>
    <cellStyle name="20% - 强调文字颜色 5 7 2 3" xfId="3270"/>
    <cellStyle name="20% - 强调文字颜色 5 7 2 4" xfId="3271"/>
    <cellStyle name="20% - 强调文字颜色 5 7 2 5" xfId="3272"/>
    <cellStyle name="20% - 强调文字颜色 5 7 2 6" xfId="3273"/>
    <cellStyle name="20% - 强调文字颜色 5 7 2 7" xfId="3274"/>
    <cellStyle name="20% - 强调文字颜色 5 7 2 8" xfId="3275"/>
    <cellStyle name="20% - 强调文字颜色 5 7 2 9" xfId="3276"/>
    <cellStyle name="20% - 强调文字颜色 5 7 20" xfId="3277"/>
    <cellStyle name="20% - 强调文字颜色 5 7 21" xfId="3278"/>
    <cellStyle name="20% - 强调文字颜色 5 7 22" xfId="3279"/>
    <cellStyle name="20% - 强调文字颜色 5 7 23" xfId="3280"/>
    <cellStyle name="20% - 强调文字颜色 5 7 24" xfId="3281"/>
    <cellStyle name="20% - 强调文字颜色 5 7 25" xfId="3282"/>
    <cellStyle name="20% - 强调文字颜色 5 7 26" xfId="3283"/>
    <cellStyle name="20% - 强调文字颜色 5 7 27" xfId="3284"/>
    <cellStyle name="20% - 强调文字颜色 5 7 28" xfId="3285"/>
    <cellStyle name="20% - 强调文字颜色 5 7 3" xfId="3286"/>
    <cellStyle name="20% - 强调文字颜色 5 7 4" xfId="3287"/>
    <cellStyle name="20% - 强调文字颜色 5 7 5" xfId="3288"/>
    <cellStyle name="20% - 强调文字颜色 5 7 6" xfId="3289"/>
    <cellStyle name="20% - 强调文字颜色 5 7 7" xfId="3290"/>
    <cellStyle name="20% - 强调文字颜色 5 7 8" xfId="3291"/>
    <cellStyle name="20% - 强调文字颜色 5 7 9" xfId="3292"/>
    <cellStyle name="20% - 强调文字颜色 5 8" xfId="3293"/>
    <cellStyle name="20% - 强调文字颜色 5 8 10" xfId="3294"/>
    <cellStyle name="20% - 强调文字颜色 5 8 11" xfId="3295"/>
    <cellStyle name="20% - 强调文字颜色 5 8 12" xfId="3296"/>
    <cellStyle name="20% - 强调文字颜色 5 8 13" xfId="3297"/>
    <cellStyle name="20% - 强调文字颜色 5 8 14" xfId="3298"/>
    <cellStyle name="20% - 强调文字颜色 5 8 15" xfId="3299"/>
    <cellStyle name="20% - 强调文字颜色 5 8 16" xfId="3300"/>
    <cellStyle name="20% - 强调文字颜色 5 8 17" xfId="3301"/>
    <cellStyle name="20% - 强调文字颜色 5 8 18" xfId="3302"/>
    <cellStyle name="20% - 强调文字颜色 5 8 19" xfId="3303"/>
    <cellStyle name="20% - 强调文字颜色 5 8 2" xfId="3304"/>
    <cellStyle name="20% - 强调文字颜色 5 8 2 10" xfId="3305"/>
    <cellStyle name="20% - 强调文字颜色 5 8 2 11" xfId="3306"/>
    <cellStyle name="20% - 强调文字颜色 5 8 2 12" xfId="3307"/>
    <cellStyle name="20% - 强调文字颜色 5 8 2 13" xfId="3308"/>
    <cellStyle name="20% - 强调文字颜色 5 8 2 14" xfId="3309"/>
    <cellStyle name="20% - 强调文字颜色 5 8 2 15" xfId="3310"/>
    <cellStyle name="20% - 强调文字颜色 5 8 2 16" xfId="3311"/>
    <cellStyle name="20% - 强调文字颜色 5 8 2 17" xfId="3312"/>
    <cellStyle name="20% - 强调文字颜色 5 8 2 18" xfId="3313"/>
    <cellStyle name="20% - 强调文字颜色 5 8 2 19" xfId="3314"/>
    <cellStyle name="20% - 强调文字颜色 5 8 2 2" xfId="3315"/>
    <cellStyle name="20% - 强调文字颜色 5 8 2 20" xfId="3316"/>
    <cellStyle name="20% - 强调文字颜色 5 8 2 21" xfId="3317"/>
    <cellStyle name="20% - 强调文字颜色 5 8 2 22" xfId="3318"/>
    <cellStyle name="20% - 强调文字颜色 5 8 2 23" xfId="3319"/>
    <cellStyle name="20% - 强调文字颜色 5 8 2 24" xfId="3320"/>
    <cellStyle name="20% - 强调文字颜色 5 8 2 25" xfId="3321"/>
    <cellStyle name="20% - 强调文字颜色 5 8 2 26" xfId="3322"/>
    <cellStyle name="20% - 强调文字颜色 5 8 2 27" xfId="3323"/>
    <cellStyle name="20% - 强调文字颜色 5 8 2 3" xfId="3324"/>
    <cellStyle name="20% - 强调文字颜色 5 8 2 4" xfId="3325"/>
    <cellStyle name="20% - 强调文字颜色 5 8 2 5" xfId="3326"/>
    <cellStyle name="20% - 强调文字颜色 5 8 2 6" xfId="3327"/>
    <cellStyle name="20% - 强调文字颜色 5 8 2 7" xfId="3328"/>
    <cellStyle name="20% - 强调文字颜色 5 8 2 8" xfId="3329"/>
    <cellStyle name="20% - 强调文字颜色 5 8 2 9" xfId="3330"/>
    <cellStyle name="20% - 强调文字颜色 5 8 20" xfId="3331"/>
    <cellStyle name="20% - 强调文字颜色 5 8 21" xfId="3332"/>
    <cellStyle name="20% - 强调文字颜色 5 8 22" xfId="3333"/>
    <cellStyle name="20% - 强调文字颜色 5 8 23" xfId="3334"/>
    <cellStyle name="20% - 强调文字颜色 5 8 24" xfId="3335"/>
    <cellStyle name="20% - 强调文字颜色 5 8 25" xfId="3336"/>
    <cellStyle name="20% - 强调文字颜色 5 8 26" xfId="3337"/>
    <cellStyle name="20% - 强调文字颜色 5 8 27" xfId="3338"/>
    <cellStyle name="20% - 强调文字颜色 5 8 28" xfId="3339"/>
    <cellStyle name="20% - 强调文字颜色 5 8 3" xfId="3340"/>
    <cellStyle name="20% - 强调文字颜色 5 8 4" xfId="3341"/>
    <cellStyle name="20% - 强调文字颜色 5 8 5" xfId="3342"/>
    <cellStyle name="20% - 强调文字颜色 5 8 6" xfId="3343"/>
    <cellStyle name="20% - 强调文字颜色 5 8 7" xfId="3344"/>
    <cellStyle name="20% - 强调文字颜色 5 8 8" xfId="3345"/>
    <cellStyle name="20% - 强调文字颜色 5 8 9" xfId="3346"/>
    <cellStyle name="20% - 强调文字颜色 5 9" xfId="3347"/>
    <cellStyle name="20% - 强调文字颜色 5 9 10" xfId="3348"/>
    <cellStyle name="20% - 强调文字颜色 5 9 11" xfId="3349"/>
    <cellStyle name="20% - 强调文字颜色 5 9 12" xfId="3350"/>
    <cellStyle name="20% - 强调文字颜色 5 9 13" xfId="3351"/>
    <cellStyle name="20% - 强调文字颜色 5 9 14" xfId="3352"/>
    <cellStyle name="20% - 强调文字颜色 5 9 15" xfId="3353"/>
    <cellStyle name="20% - 强调文字颜色 5 9 16" xfId="3354"/>
    <cellStyle name="20% - 强调文字颜色 5 9 17" xfId="3355"/>
    <cellStyle name="20% - 强调文字颜色 5 9 18" xfId="3356"/>
    <cellStyle name="20% - 强调文字颜色 5 9 19" xfId="3357"/>
    <cellStyle name="20% - 强调文字颜色 5 9 2" xfId="3358"/>
    <cellStyle name="20% - 强调文字颜色 5 9 2 10" xfId="3359"/>
    <cellStyle name="20% - 强调文字颜色 5 9 2 11" xfId="3360"/>
    <cellStyle name="20% - 强调文字颜色 5 9 2 12" xfId="3361"/>
    <cellStyle name="20% - 强调文字颜色 5 9 2 13" xfId="3362"/>
    <cellStyle name="20% - 强调文字颜色 5 9 2 14" xfId="3363"/>
    <cellStyle name="20% - 强调文字颜色 5 9 2 15" xfId="3364"/>
    <cellStyle name="20% - 强调文字颜色 5 9 2 16" xfId="3365"/>
    <cellStyle name="20% - 强调文字颜色 5 9 2 17" xfId="3366"/>
    <cellStyle name="20% - 强调文字颜色 5 9 2 18" xfId="3367"/>
    <cellStyle name="20% - 强调文字颜色 5 9 2 19" xfId="3368"/>
    <cellStyle name="20% - 强调文字颜色 5 9 2 2" xfId="3369"/>
    <cellStyle name="20% - 强调文字颜色 5 9 2 20" xfId="3370"/>
    <cellStyle name="20% - 强调文字颜色 5 9 2 21" xfId="3371"/>
    <cellStyle name="20% - 强调文字颜色 5 9 2 22" xfId="3372"/>
    <cellStyle name="20% - 强调文字颜色 5 9 2 23" xfId="3373"/>
    <cellStyle name="20% - 强调文字颜色 5 9 2 24" xfId="3374"/>
    <cellStyle name="20% - 强调文字颜色 5 9 2 25" xfId="3375"/>
    <cellStyle name="20% - 强调文字颜色 5 9 2 26" xfId="3376"/>
    <cellStyle name="20% - 强调文字颜色 5 9 2 27" xfId="3377"/>
    <cellStyle name="20% - 强调文字颜色 5 9 2 3" xfId="3378"/>
    <cellStyle name="20% - 强调文字颜色 5 9 2 4" xfId="3379"/>
    <cellStyle name="20% - 强调文字颜色 5 9 2 5" xfId="3380"/>
    <cellStyle name="20% - 强调文字颜色 5 9 2 6" xfId="3381"/>
    <cellStyle name="20% - 强调文字颜色 5 9 2 7" xfId="3382"/>
    <cellStyle name="20% - 强调文字颜色 5 9 2 8" xfId="3383"/>
    <cellStyle name="20% - 强调文字颜色 5 9 2 9" xfId="3384"/>
    <cellStyle name="20% - 强调文字颜色 5 9 20" xfId="3385"/>
    <cellStyle name="20% - 强调文字颜色 5 9 21" xfId="3386"/>
    <cellStyle name="20% - 强调文字颜色 5 9 22" xfId="3387"/>
    <cellStyle name="20% - 强调文字颜色 5 9 23" xfId="3388"/>
    <cellStyle name="20% - 强调文字颜色 5 9 24" xfId="3389"/>
    <cellStyle name="20% - 强调文字颜色 5 9 25" xfId="3390"/>
    <cellStyle name="20% - 强调文字颜色 5 9 26" xfId="3391"/>
    <cellStyle name="20% - 强调文字颜色 5 9 27" xfId="3392"/>
    <cellStyle name="20% - 强调文字颜色 5 9 28" xfId="3393"/>
    <cellStyle name="20% - 强调文字颜色 5 9 3" xfId="3394"/>
    <cellStyle name="20% - 强调文字颜色 5 9 4" xfId="3395"/>
    <cellStyle name="20% - 强调文字颜色 5 9 5" xfId="3396"/>
    <cellStyle name="20% - 强调文字颜色 5 9 6" xfId="3397"/>
    <cellStyle name="20% - 强调文字颜色 5 9 7" xfId="3398"/>
    <cellStyle name="20% - 强调文字颜色 5 9 8" xfId="3399"/>
    <cellStyle name="20% - 强调文字颜色 5 9 9" xfId="3400"/>
    <cellStyle name="20% - 强调文字颜色 6 10" xfId="3401"/>
    <cellStyle name="20% - 强调文字颜色 6 10 10" xfId="3402"/>
    <cellStyle name="20% - 强调文字颜色 6 10 11" xfId="3403"/>
    <cellStyle name="20% - 强调文字颜色 6 10 12" xfId="3404"/>
    <cellStyle name="20% - 强调文字颜色 6 10 13" xfId="3405"/>
    <cellStyle name="20% - 强调文字颜色 6 10 14" xfId="3406"/>
    <cellStyle name="20% - 强调文字颜色 6 10 15" xfId="3407"/>
    <cellStyle name="20% - 强调文字颜色 6 10 16" xfId="3408"/>
    <cellStyle name="20% - 强调文字颜色 6 10 17" xfId="3409"/>
    <cellStyle name="20% - 强调文字颜色 6 10 18" xfId="3410"/>
    <cellStyle name="20% - 强调文字颜色 6 10 19" xfId="3411"/>
    <cellStyle name="20% - 强调文字颜色 6 10 2" xfId="3412"/>
    <cellStyle name="20% - 强调文字颜色 6 10 2 10" xfId="3413"/>
    <cellStyle name="20% - 强调文字颜色 6 10 2 11" xfId="3414"/>
    <cellStyle name="20% - 强调文字颜色 6 10 2 12" xfId="3415"/>
    <cellStyle name="20% - 强调文字颜色 6 10 2 13" xfId="3416"/>
    <cellStyle name="20% - 强调文字颜色 6 10 2 14" xfId="3417"/>
    <cellStyle name="20% - 强调文字颜色 6 10 2 15" xfId="3418"/>
    <cellStyle name="20% - 强调文字颜色 6 10 2 16" xfId="3419"/>
    <cellStyle name="20% - 强调文字颜色 6 10 2 17" xfId="3420"/>
    <cellStyle name="20% - 强调文字颜色 6 10 2 18" xfId="3421"/>
    <cellStyle name="20% - 强调文字颜色 6 10 2 19" xfId="3422"/>
    <cellStyle name="20% - 强调文字颜色 6 10 2 2" xfId="3423"/>
    <cellStyle name="20% - 强调文字颜色 6 10 2 20" xfId="3424"/>
    <cellStyle name="20% - 强调文字颜色 6 10 2 21" xfId="3425"/>
    <cellStyle name="20% - 强调文字颜色 6 10 2 22" xfId="3426"/>
    <cellStyle name="20% - 强调文字颜色 6 10 2 23" xfId="3427"/>
    <cellStyle name="20% - 强调文字颜色 6 10 2 24" xfId="3428"/>
    <cellStyle name="20% - 强调文字颜色 6 10 2 25" xfId="3429"/>
    <cellStyle name="20% - 强调文字颜色 6 10 2 26" xfId="3430"/>
    <cellStyle name="20% - 强调文字颜色 6 10 2 27" xfId="3431"/>
    <cellStyle name="20% - 强调文字颜色 6 10 2 3" xfId="3432"/>
    <cellStyle name="20% - 强调文字颜色 6 10 2 4" xfId="3433"/>
    <cellStyle name="20% - 强调文字颜色 6 10 2 5" xfId="3434"/>
    <cellStyle name="20% - 强调文字颜色 6 10 2 6" xfId="3435"/>
    <cellStyle name="20% - 强调文字颜色 6 10 2 7" xfId="3436"/>
    <cellStyle name="20% - 强调文字颜色 6 10 2 8" xfId="3437"/>
    <cellStyle name="20% - 强调文字颜色 6 10 2 9" xfId="3438"/>
    <cellStyle name="20% - 强调文字颜色 6 10 20" xfId="3439"/>
    <cellStyle name="20% - 强调文字颜色 6 10 21" xfId="3440"/>
    <cellStyle name="20% - 强调文字颜色 6 10 22" xfId="3441"/>
    <cellStyle name="20% - 强调文字颜色 6 10 23" xfId="3442"/>
    <cellStyle name="20% - 强调文字颜色 6 10 24" xfId="3443"/>
    <cellStyle name="20% - 强调文字颜色 6 10 25" xfId="3444"/>
    <cellStyle name="20% - 强调文字颜色 6 10 26" xfId="3445"/>
    <cellStyle name="20% - 强调文字颜色 6 10 27" xfId="3446"/>
    <cellStyle name="20% - 强调文字颜色 6 10 28" xfId="3447"/>
    <cellStyle name="20% - 强调文字颜色 6 10 3" xfId="3448"/>
    <cellStyle name="20% - 强调文字颜色 6 10 4" xfId="3449"/>
    <cellStyle name="20% - 强调文字颜色 6 10 5" xfId="3450"/>
    <cellStyle name="20% - 强调文字颜色 6 10 6" xfId="3451"/>
    <cellStyle name="20% - 强调文字颜色 6 10 7" xfId="3452"/>
    <cellStyle name="20% - 强调文字颜色 6 10 8" xfId="3453"/>
    <cellStyle name="20% - 强调文字颜色 6 10 9" xfId="3454"/>
    <cellStyle name="20% - 强调文字颜色 6 11" xfId="3455"/>
    <cellStyle name="20% - 强调文字颜色 6 11 10" xfId="3456"/>
    <cellStyle name="20% - 强调文字颜色 6 11 11" xfId="3457"/>
    <cellStyle name="20% - 强调文字颜色 6 11 12" xfId="3458"/>
    <cellStyle name="20% - 强调文字颜色 6 11 13" xfId="3459"/>
    <cellStyle name="20% - 强调文字颜色 6 11 14" xfId="3460"/>
    <cellStyle name="20% - 强调文字颜色 6 11 15" xfId="3461"/>
    <cellStyle name="20% - 强调文字颜色 6 11 16" xfId="3462"/>
    <cellStyle name="20% - 强调文字颜色 6 11 17" xfId="3463"/>
    <cellStyle name="20% - 强调文字颜色 6 11 18" xfId="3464"/>
    <cellStyle name="20% - 强调文字颜色 6 11 19" xfId="3465"/>
    <cellStyle name="20% - 强调文字颜色 6 11 2" xfId="3466"/>
    <cellStyle name="20% - 强调文字颜色 6 11 2 10" xfId="3467"/>
    <cellStyle name="20% - 强调文字颜色 6 11 2 11" xfId="3468"/>
    <cellStyle name="20% - 强调文字颜色 6 11 2 12" xfId="3469"/>
    <cellStyle name="20% - 强调文字颜色 6 11 2 13" xfId="3470"/>
    <cellStyle name="20% - 强调文字颜色 6 11 2 14" xfId="3471"/>
    <cellStyle name="20% - 强调文字颜色 6 11 2 15" xfId="3472"/>
    <cellStyle name="20% - 强调文字颜色 6 11 2 16" xfId="3473"/>
    <cellStyle name="20% - 强调文字颜色 6 11 2 17" xfId="3474"/>
    <cellStyle name="20% - 强调文字颜色 6 11 2 18" xfId="3475"/>
    <cellStyle name="20% - 强调文字颜色 6 11 2 19" xfId="3476"/>
    <cellStyle name="20% - 强调文字颜色 6 11 2 2" xfId="3477"/>
    <cellStyle name="20% - 强调文字颜色 6 11 2 20" xfId="3478"/>
    <cellStyle name="20% - 强调文字颜色 6 11 2 21" xfId="3479"/>
    <cellStyle name="20% - 强调文字颜色 6 11 2 22" xfId="3480"/>
    <cellStyle name="20% - 强调文字颜色 6 11 2 23" xfId="3481"/>
    <cellStyle name="20% - 强调文字颜色 6 11 2 24" xfId="3482"/>
    <cellStyle name="20% - 强调文字颜色 6 11 2 25" xfId="3483"/>
    <cellStyle name="20% - 强调文字颜色 6 11 2 26" xfId="3484"/>
    <cellStyle name="20% - 强调文字颜色 6 11 2 27" xfId="3485"/>
    <cellStyle name="20% - 强调文字颜色 6 11 2 3" xfId="3486"/>
    <cellStyle name="20% - 强调文字颜色 6 11 2 4" xfId="3487"/>
    <cellStyle name="20% - 强调文字颜色 6 11 2 5" xfId="3488"/>
    <cellStyle name="20% - 强调文字颜色 6 11 2 6" xfId="3489"/>
    <cellStyle name="20% - 强调文字颜色 6 11 2 7" xfId="3490"/>
    <cellStyle name="20% - 强调文字颜色 6 11 2 8" xfId="3491"/>
    <cellStyle name="20% - 强调文字颜色 6 11 2 9" xfId="3492"/>
    <cellStyle name="20% - 强调文字颜色 6 11 20" xfId="3493"/>
    <cellStyle name="20% - 强调文字颜色 6 11 21" xfId="3494"/>
    <cellStyle name="20% - 强调文字颜色 6 11 22" xfId="3495"/>
    <cellStyle name="20% - 强调文字颜色 6 11 23" xfId="3496"/>
    <cellStyle name="20% - 强调文字颜色 6 11 24" xfId="3497"/>
    <cellStyle name="20% - 强调文字颜色 6 11 25" xfId="3498"/>
    <cellStyle name="20% - 强调文字颜色 6 11 26" xfId="3499"/>
    <cellStyle name="20% - 强调文字颜色 6 11 27" xfId="3500"/>
    <cellStyle name="20% - 强调文字颜色 6 11 28" xfId="3501"/>
    <cellStyle name="20% - 强调文字颜色 6 11 3" xfId="3502"/>
    <cellStyle name="20% - 强调文字颜色 6 11 4" xfId="3503"/>
    <cellStyle name="20% - 强调文字颜色 6 11 5" xfId="3504"/>
    <cellStyle name="20% - 强调文字颜色 6 11 6" xfId="3505"/>
    <cellStyle name="20% - 强调文字颜色 6 11 7" xfId="3506"/>
    <cellStyle name="20% - 强调文字颜色 6 11 8" xfId="3507"/>
    <cellStyle name="20% - 强调文字颜色 6 11 9" xfId="3508"/>
    <cellStyle name="20% - 强调文字颜色 6 12" xfId="3509"/>
    <cellStyle name="20% - 强调文字颜色 6 13" xfId="3510"/>
    <cellStyle name="20% - 强调文字颜色 6 14" xfId="3511"/>
    <cellStyle name="20% - 强调文字颜色 6 15" xfId="3512"/>
    <cellStyle name="20% - 强调文字颜色 6 16" xfId="3513"/>
    <cellStyle name="20% - 强调文字颜色 6 17" xfId="3514"/>
    <cellStyle name="20% - 强调文字颜色 6 18" xfId="3515"/>
    <cellStyle name="20% - 强调文字颜色 6 19" xfId="3516"/>
    <cellStyle name="20% - 强调文字颜色 6 2" xfId="3517"/>
    <cellStyle name="20% - 强调文字颜色 6 2 10" xfId="3518"/>
    <cellStyle name="20% - 强调文字颜色 6 2 11" xfId="3519"/>
    <cellStyle name="20% - 强调文字颜色 6 2 12" xfId="3520"/>
    <cellStyle name="20% - 强调文字颜色 6 2 13" xfId="3521"/>
    <cellStyle name="20% - 强调文字颜色 6 2 14" xfId="3522"/>
    <cellStyle name="20% - 强调文字颜色 6 2 15" xfId="3523"/>
    <cellStyle name="20% - 强调文字颜色 6 2 16" xfId="3524"/>
    <cellStyle name="20% - 强调文字颜色 6 2 17" xfId="3525"/>
    <cellStyle name="20% - 强调文字颜色 6 2 18" xfId="3526"/>
    <cellStyle name="20% - 强调文字颜色 6 2 19" xfId="3527"/>
    <cellStyle name="20% - 强调文字颜色 6 2 2" xfId="3528"/>
    <cellStyle name="20% - 强调文字颜色 6 2 2 10" xfId="3529"/>
    <cellStyle name="20% - 强调文字颜色 6 2 2 11" xfId="3530"/>
    <cellStyle name="20% - 强调文字颜色 6 2 2 12" xfId="3531"/>
    <cellStyle name="20% - 强调文字颜色 6 2 2 13" xfId="3532"/>
    <cellStyle name="20% - 强调文字颜色 6 2 2 14" xfId="3533"/>
    <cellStyle name="20% - 强调文字颜色 6 2 2 15" xfId="3534"/>
    <cellStyle name="20% - 强调文字颜色 6 2 2 16" xfId="3535"/>
    <cellStyle name="20% - 强调文字颜色 6 2 2 17" xfId="3536"/>
    <cellStyle name="20% - 强调文字颜色 6 2 2 18" xfId="3537"/>
    <cellStyle name="20% - 强调文字颜色 6 2 2 19" xfId="3538"/>
    <cellStyle name="20% - 强调文字颜色 6 2 2 2" xfId="3539"/>
    <cellStyle name="20% - 强调文字颜色 6 2 2 2 10" xfId="3540"/>
    <cellStyle name="20% - 强调文字颜色 6 2 2 2 11" xfId="3541"/>
    <cellStyle name="20% - 强调文字颜色 6 2 2 2 12" xfId="3542"/>
    <cellStyle name="20% - 强调文字颜色 6 2 2 2 13" xfId="3543"/>
    <cellStyle name="20% - 强调文字颜色 6 2 2 2 14" xfId="3544"/>
    <cellStyle name="20% - 强调文字颜色 6 2 2 2 15" xfId="3545"/>
    <cellStyle name="20% - 强调文字颜色 6 2 2 2 16" xfId="3546"/>
    <cellStyle name="20% - 强调文字颜色 6 2 2 2 17" xfId="3547"/>
    <cellStyle name="20% - 强调文字颜色 6 2 2 2 18" xfId="3548"/>
    <cellStyle name="20% - 强调文字颜色 6 2 2 2 19" xfId="3549"/>
    <cellStyle name="20% - 强调文字颜色 6 2 2 2 2" xfId="3550"/>
    <cellStyle name="20% - 强调文字颜色 6 2 2 2 20" xfId="3551"/>
    <cellStyle name="20% - 强调文字颜色 6 2 2 2 21" xfId="3552"/>
    <cellStyle name="20% - 强调文字颜色 6 2 2 2 22" xfId="3553"/>
    <cellStyle name="20% - 强调文字颜色 6 2 2 2 23" xfId="3554"/>
    <cellStyle name="20% - 强调文字颜色 6 2 2 2 24" xfId="3555"/>
    <cellStyle name="20% - 强调文字颜色 6 2 2 2 25" xfId="3556"/>
    <cellStyle name="20% - 强调文字颜色 6 2 2 2 26" xfId="3557"/>
    <cellStyle name="20% - 强调文字颜色 6 2 2 2 27" xfId="3558"/>
    <cellStyle name="20% - 强调文字颜色 6 2 2 2 3" xfId="3559"/>
    <cellStyle name="20% - 强调文字颜色 6 2 2 2 4" xfId="3560"/>
    <cellStyle name="20% - 强调文字颜色 6 2 2 2 5" xfId="3561"/>
    <cellStyle name="20% - 强调文字颜色 6 2 2 2 6" xfId="3562"/>
    <cellStyle name="20% - 强调文字颜色 6 2 2 2 7" xfId="3563"/>
    <cellStyle name="20% - 强调文字颜色 6 2 2 2 8" xfId="3564"/>
    <cellStyle name="20% - 强调文字颜色 6 2 2 2 9" xfId="3565"/>
    <cellStyle name="20% - 强调文字颜色 6 2 2 20" xfId="3566"/>
    <cellStyle name="20% - 强调文字颜色 6 2 2 21" xfId="3567"/>
    <cellStyle name="20% - 强调文字颜色 6 2 2 22" xfId="3568"/>
    <cellStyle name="20% - 强调文字颜色 6 2 2 23" xfId="3569"/>
    <cellStyle name="20% - 强调文字颜色 6 2 2 24" xfId="3570"/>
    <cellStyle name="20% - 强调文字颜色 6 2 2 25" xfId="3571"/>
    <cellStyle name="20% - 强调文字颜色 6 2 2 26" xfId="3572"/>
    <cellStyle name="20% - 强调文字颜色 6 2 2 27" xfId="3573"/>
    <cellStyle name="20% - 强调文字颜色 6 2 2 28" xfId="3574"/>
    <cellStyle name="20% - 强调文字颜色 6 2 2 3" xfId="3575"/>
    <cellStyle name="20% - 强调文字颜色 6 2 2 4" xfId="3576"/>
    <cellStyle name="20% - 强调文字颜色 6 2 2 5" xfId="3577"/>
    <cellStyle name="20% - 强调文字颜色 6 2 2 6" xfId="3578"/>
    <cellStyle name="20% - 强调文字颜色 6 2 2 7" xfId="3579"/>
    <cellStyle name="20% - 强调文字颜色 6 2 2 8" xfId="3580"/>
    <cellStyle name="20% - 强调文字颜色 6 2 2 9" xfId="3581"/>
    <cellStyle name="20% - 强调文字颜色 6 2 20" xfId="3582"/>
    <cellStyle name="20% - 强调文字颜色 6 2 21" xfId="3583"/>
    <cellStyle name="20% - 强调文字颜色 6 2 22" xfId="3584"/>
    <cellStyle name="20% - 强调文字颜色 6 2 23" xfId="3585"/>
    <cellStyle name="20% - 强调文字颜色 6 2 24" xfId="3586"/>
    <cellStyle name="20% - 强调文字颜色 6 2 25" xfId="3587"/>
    <cellStyle name="20% - 强调文字颜色 6 2 26" xfId="3588"/>
    <cellStyle name="20% - 强调文字颜色 6 2 27" xfId="3589"/>
    <cellStyle name="20% - 强调文字颜色 6 2 28" xfId="3590"/>
    <cellStyle name="20% - 强调文字颜色 6 2 29" xfId="3591"/>
    <cellStyle name="20% - 强调文字颜色 6 2 3" xfId="3592"/>
    <cellStyle name="20% - 强调文字颜色 6 2 3 10" xfId="3593"/>
    <cellStyle name="20% - 强调文字颜色 6 2 3 11" xfId="3594"/>
    <cellStyle name="20% - 强调文字颜色 6 2 3 12" xfId="3595"/>
    <cellStyle name="20% - 强调文字颜色 6 2 3 13" xfId="3596"/>
    <cellStyle name="20% - 强调文字颜色 6 2 3 14" xfId="3597"/>
    <cellStyle name="20% - 强调文字颜色 6 2 3 15" xfId="3598"/>
    <cellStyle name="20% - 强调文字颜色 6 2 3 16" xfId="3599"/>
    <cellStyle name="20% - 强调文字颜色 6 2 3 17" xfId="3600"/>
    <cellStyle name="20% - 强调文字颜色 6 2 3 18" xfId="3601"/>
    <cellStyle name="20% - 强调文字颜色 6 2 3 19" xfId="3602"/>
    <cellStyle name="20% - 强调文字颜色 6 2 3 2" xfId="3603"/>
    <cellStyle name="20% - 强调文字颜色 6 2 3 2 10" xfId="3604"/>
    <cellStyle name="20% - 强调文字颜色 6 2 3 2 11" xfId="3605"/>
    <cellStyle name="20% - 强调文字颜色 6 2 3 2 12" xfId="3606"/>
    <cellStyle name="20% - 强调文字颜色 6 2 3 2 13" xfId="3607"/>
    <cellStyle name="20% - 强调文字颜色 6 2 3 2 14" xfId="3608"/>
    <cellStyle name="20% - 强调文字颜色 6 2 3 2 15" xfId="3609"/>
    <cellStyle name="20% - 强调文字颜色 6 2 3 2 16" xfId="3610"/>
    <cellStyle name="20% - 强调文字颜色 6 2 3 2 17" xfId="3611"/>
    <cellStyle name="20% - 强调文字颜色 6 2 3 2 18" xfId="3612"/>
    <cellStyle name="20% - 强调文字颜色 6 2 3 2 19" xfId="3613"/>
    <cellStyle name="20% - 强调文字颜色 6 2 3 2 2" xfId="3614"/>
    <cellStyle name="20% - 强调文字颜色 6 2 3 2 20" xfId="3615"/>
    <cellStyle name="20% - 强调文字颜色 6 2 3 2 21" xfId="3616"/>
    <cellStyle name="20% - 强调文字颜色 6 2 3 2 22" xfId="3617"/>
    <cellStyle name="20% - 强调文字颜色 6 2 3 2 23" xfId="3618"/>
    <cellStyle name="20% - 强调文字颜色 6 2 3 2 24" xfId="3619"/>
    <cellStyle name="20% - 强调文字颜色 6 2 3 2 25" xfId="3620"/>
    <cellStyle name="20% - 强调文字颜色 6 2 3 2 26" xfId="3621"/>
    <cellStyle name="20% - 强调文字颜色 6 2 3 2 27" xfId="3622"/>
    <cellStyle name="20% - 强调文字颜色 6 2 3 2 3" xfId="3623"/>
    <cellStyle name="20% - 强调文字颜色 6 2 3 2 4" xfId="3624"/>
    <cellStyle name="20% - 强调文字颜色 6 2 3 2 5" xfId="3625"/>
    <cellStyle name="20% - 强调文字颜色 6 2 3 2 6" xfId="3626"/>
    <cellStyle name="20% - 强调文字颜色 6 2 3 2 7" xfId="3627"/>
    <cellStyle name="20% - 强调文字颜色 6 2 3 2 8" xfId="3628"/>
    <cellStyle name="20% - 强调文字颜色 6 2 3 2 9" xfId="3629"/>
    <cellStyle name="20% - 强调文字颜色 6 2 3 20" xfId="3630"/>
    <cellStyle name="20% - 强调文字颜色 6 2 3 21" xfId="3631"/>
    <cellStyle name="20% - 强调文字颜色 6 2 3 22" xfId="3632"/>
    <cellStyle name="20% - 强调文字颜色 6 2 3 23" xfId="3633"/>
    <cellStyle name="20% - 强调文字颜色 6 2 3 24" xfId="3634"/>
    <cellStyle name="20% - 强调文字颜色 6 2 3 25" xfId="3635"/>
    <cellStyle name="20% - 强调文字颜色 6 2 3 26" xfId="3636"/>
    <cellStyle name="20% - 强调文字颜色 6 2 3 27" xfId="3637"/>
    <cellStyle name="20% - 强调文字颜色 6 2 3 28" xfId="3638"/>
    <cellStyle name="20% - 强调文字颜色 6 2 3 3" xfId="3639"/>
    <cellStyle name="20% - 强调文字颜色 6 2 3 4" xfId="3640"/>
    <cellStyle name="20% - 强调文字颜色 6 2 3 5" xfId="3641"/>
    <cellStyle name="20% - 强调文字颜色 6 2 3 6" xfId="3642"/>
    <cellStyle name="20% - 强调文字颜色 6 2 3 7" xfId="3643"/>
    <cellStyle name="20% - 强调文字颜色 6 2 3 8" xfId="3644"/>
    <cellStyle name="20% - 强调文字颜色 6 2 3 9" xfId="3645"/>
    <cellStyle name="20% - 强调文字颜色 6 2 30" xfId="3646"/>
    <cellStyle name="20% - 强调文字颜色 6 2 31" xfId="3647"/>
    <cellStyle name="20% - 强调文字颜色 6 2 32" xfId="3648"/>
    <cellStyle name="20% - 强调文字颜色 6 2 33" xfId="3649"/>
    <cellStyle name="20% - 强调文字颜色 6 2 4" xfId="3650"/>
    <cellStyle name="20% - 强调文字颜色 6 2 4 10" xfId="3651"/>
    <cellStyle name="20% - 强调文字颜色 6 2 4 11" xfId="3652"/>
    <cellStyle name="20% - 强调文字颜色 6 2 4 12" xfId="3653"/>
    <cellStyle name="20% - 强调文字颜色 6 2 4 13" xfId="3654"/>
    <cellStyle name="20% - 强调文字颜色 6 2 4 14" xfId="3655"/>
    <cellStyle name="20% - 强调文字颜色 6 2 4 15" xfId="3656"/>
    <cellStyle name="20% - 强调文字颜色 6 2 4 16" xfId="3657"/>
    <cellStyle name="20% - 强调文字颜色 6 2 4 17" xfId="3658"/>
    <cellStyle name="20% - 强调文字颜色 6 2 4 18" xfId="3659"/>
    <cellStyle name="20% - 强调文字颜色 6 2 4 19" xfId="3660"/>
    <cellStyle name="20% - 强调文字颜色 6 2 4 2" xfId="3661"/>
    <cellStyle name="20% - 强调文字颜色 6 2 4 20" xfId="3662"/>
    <cellStyle name="20% - 强调文字颜色 6 2 4 21" xfId="3663"/>
    <cellStyle name="20% - 强调文字颜色 6 2 4 22" xfId="3664"/>
    <cellStyle name="20% - 强调文字颜色 6 2 4 23" xfId="3665"/>
    <cellStyle name="20% - 强调文字颜色 6 2 4 24" xfId="3666"/>
    <cellStyle name="20% - 强调文字颜色 6 2 4 25" xfId="3667"/>
    <cellStyle name="20% - 强调文字颜色 6 2 4 26" xfId="3668"/>
    <cellStyle name="20% - 强调文字颜色 6 2 4 27" xfId="3669"/>
    <cellStyle name="20% - 强调文字颜色 6 2 4 3" xfId="3670"/>
    <cellStyle name="20% - 强调文字颜色 6 2 4 4" xfId="3671"/>
    <cellStyle name="20% - 强调文字颜色 6 2 4 5" xfId="3672"/>
    <cellStyle name="20% - 强调文字颜色 6 2 4 6" xfId="3673"/>
    <cellStyle name="20% - 强调文字颜色 6 2 4 7" xfId="3674"/>
    <cellStyle name="20% - 强调文字颜色 6 2 4 8" xfId="3675"/>
    <cellStyle name="20% - 强调文字颜色 6 2 4 9" xfId="3676"/>
    <cellStyle name="20% - 强调文字颜色 6 2 5" xfId="3677"/>
    <cellStyle name="20% - 强调文字颜色 6 2 6" xfId="3678"/>
    <cellStyle name="20% - 强调文字颜色 6 2 7" xfId="3679"/>
    <cellStyle name="20% - 强调文字颜色 6 2 8" xfId="3680"/>
    <cellStyle name="20% - 强调文字颜色 6 2 9" xfId="3681"/>
    <cellStyle name="20% - 强调文字颜色 6 20" xfId="3682"/>
    <cellStyle name="20% - 强调文字颜色 6 21" xfId="3683"/>
    <cellStyle name="20% - 强调文字颜色 6 22" xfId="3684"/>
    <cellStyle name="20% - 强调文字颜色 6 23" xfId="3685"/>
    <cellStyle name="20% - 强调文字颜色 6 24" xfId="3686"/>
    <cellStyle name="20% - 强调文字颜色 6 25" xfId="3687"/>
    <cellStyle name="20% - 强调文字颜色 6 26" xfId="3688"/>
    <cellStyle name="20% - 强调文字颜色 6 27" xfId="3689"/>
    <cellStyle name="20% - 强调文字颜色 6 28" xfId="3690"/>
    <cellStyle name="20% - 强调文字颜色 6 29" xfId="3691"/>
    <cellStyle name="20% - 强调文字颜色 6 3" xfId="3692"/>
    <cellStyle name="20% - 强调文字颜色 6 3 10" xfId="3693"/>
    <cellStyle name="20% - 强调文字颜色 6 3 11" xfId="3694"/>
    <cellStyle name="20% - 强调文字颜色 6 3 12" xfId="3695"/>
    <cellStyle name="20% - 强调文字颜色 6 3 13" xfId="3696"/>
    <cellStyle name="20% - 强调文字颜色 6 3 14" xfId="3697"/>
    <cellStyle name="20% - 强调文字颜色 6 3 15" xfId="3698"/>
    <cellStyle name="20% - 强调文字颜色 6 3 16" xfId="3699"/>
    <cellStyle name="20% - 强调文字颜色 6 3 17" xfId="3700"/>
    <cellStyle name="20% - 强调文字颜色 6 3 18" xfId="3701"/>
    <cellStyle name="20% - 强调文字颜色 6 3 19" xfId="3702"/>
    <cellStyle name="20% - 强调文字颜色 6 3 2" xfId="3703"/>
    <cellStyle name="20% - 强调文字颜色 6 3 2 10" xfId="3704"/>
    <cellStyle name="20% - 强调文字颜色 6 3 2 11" xfId="3705"/>
    <cellStyle name="20% - 强调文字颜色 6 3 2 12" xfId="3706"/>
    <cellStyle name="20% - 强调文字颜色 6 3 2 13" xfId="3707"/>
    <cellStyle name="20% - 强调文字颜色 6 3 2 14" xfId="3708"/>
    <cellStyle name="20% - 强调文字颜色 6 3 2 15" xfId="3709"/>
    <cellStyle name="20% - 强调文字颜色 6 3 2 16" xfId="3710"/>
    <cellStyle name="20% - 强调文字颜色 6 3 2 17" xfId="3711"/>
    <cellStyle name="20% - 强调文字颜色 6 3 2 18" xfId="3712"/>
    <cellStyle name="20% - 强调文字颜色 6 3 2 19" xfId="3713"/>
    <cellStyle name="20% - 强调文字颜色 6 3 2 2" xfId="3714"/>
    <cellStyle name="20% - 强调文字颜色 6 3 2 20" xfId="3715"/>
    <cellStyle name="20% - 强调文字颜色 6 3 2 21" xfId="3716"/>
    <cellStyle name="20% - 强调文字颜色 6 3 2 22" xfId="3717"/>
    <cellStyle name="20% - 强调文字颜色 6 3 2 23" xfId="3718"/>
    <cellStyle name="20% - 强调文字颜色 6 3 2 24" xfId="3719"/>
    <cellStyle name="20% - 强调文字颜色 6 3 2 25" xfId="3720"/>
    <cellStyle name="20% - 强调文字颜色 6 3 2 26" xfId="3721"/>
    <cellStyle name="20% - 强调文字颜色 6 3 2 27" xfId="3722"/>
    <cellStyle name="20% - 强调文字颜色 6 3 2 3" xfId="3723"/>
    <cellStyle name="20% - 强调文字颜色 6 3 2 4" xfId="3724"/>
    <cellStyle name="20% - 强调文字颜色 6 3 2 5" xfId="3725"/>
    <cellStyle name="20% - 强调文字颜色 6 3 2 6" xfId="3726"/>
    <cellStyle name="20% - 强调文字颜色 6 3 2 7" xfId="3727"/>
    <cellStyle name="20% - 强调文字颜色 6 3 2 8" xfId="3728"/>
    <cellStyle name="20% - 强调文字颜色 6 3 2 9" xfId="3729"/>
    <cellStyle name="20% - 强调文字颜色 6 3 20" xfId="3730"/>
    <cellStyle name="20% - 强调文字颜色 6 3 21" xfId="3731"/>
    <cellStyle name="20% - 强调文字颜色 6 3 22" xfId="3732"/>
    <cellStyle name="20% - 强调文字颜色 6 3 23" xfId="3733"/>
    <cellStyle name="20% - 强调文字颜色 6 3 24" xfId="3734"/>
    <cellStyle name="20% - 强调文字颜色 6 3 25" xfId="3735"/>
    <cellStyle name="20% - 强调文字颜色 6 3 26" xfId="3736"/>
    <cellStyle name="20% - 强调文字颜色 6 3 27" xfId="3737"/>
    <cellStyle name="20% - 强调文字颜色 6 3 28" xfId="3738"/>
    <cellStyle name="20% - 强调文字颜色 6 3 3" xfId="3739"/>
    <cellStyle name="20% - 强调文字颜色 6 3 4" xfId="3740"/>
    <cellStyle name="20% - 强调文字颜色 6 3 5" xfId="3741"/>
    <cellStyle name="20% - 强调文字颜色 6 3 6" xfId="3742"/>
    <cellStyle name="20% - 强调文字颜色 6 3 7" xfId="3743"/>
    <cellStyle name="20% - 强调文字颜色 6 3 8" xfId="3744"/>
    <cellStyle name="20% - 强调文字颜色 6 3 9" xfId="3745"/>
    <cellStyle name="20% - 强调文字颜色 6 30" xfId="3746"/>
    <cellStyle name="20% - 强调文字颜色 6 31" xfId="3747"/>
    <cellStyle name="20% - 强调文字颜色 6 32" xfId="3748"/>
    <cellStyle name="20% - 强调文字颜色 6 33" xfId="3749"/>
    <cellStyle name="20% - 强调文字颜色 6 34" xfId="3750"/>
    <cellStyle name="20% - 强调文字颜色 6 35" xfId="3751"/>
    <cellStyle name="20% - 强调文字颜色 6 36" xfId="3752"/>
    <cellStyle name="20% - 强调文字颜色 6 37" xfId="3753"/>
    <cellStyle name="20% - 强调文字颜色 6 38" xfId="3754"/>
    <cellStyle name="20% - 强调文字颜色 6 39" xfId="3755"/>
    <cellStyle name="20% - 强调文字颜色 6 4" xfId="3756"/>
    <cellStyle name="20% - 强调文字颜色 6 4 10" xfId="3757"/>
    <cellStyle name="20% - 强调文字颜色 6 4 11" xfId="3758"/>
    <cellStyle name="20% - 强调文字颜色 6 4 12" xfId="3759"/>
    <cellStyle name="20% - 强调文字颜色 6 4 13" xfId="3760"/>
    <cellStyle name="20% - 强调文字颜色 6 4 14" xfId="3761"/>
    <cellStyle name="20% - 强调文字颜色 6 4 15" xfId="3762"/>
    <cellStyle name="20% - 强调文字颜色 6 4 16" xfId="3763"/>
    <cellStyle name="20% - 强调文字颜色 6 4 17" xfId="3764"/>
    <cellStyle name="20% - 强调文字颜色 6 4 18" xfId="3765"/>
    <cellStyle name="20% - 强调文字颜色 6 4 19" xfId="3766"/>
    <cellStyle name="20% - 强调文字颜色 6 4 2" xfId="3767"/>
    <cellStyle name="20% - 强调文字颜色 6 4 2 10" xfId="3768"/>
    <cellStyle name="20% - 强调文字颜色 6 4 2 11" xfId="3769"/>
    <cellStyle name="20% - 强调文字颜色 6 4 2 12" xfId="3770"/>
    <cellStyle name="20% - 强调文字颜色 6 4 2 13" xfId="3771"/>
    <cellStyle name="20% - 强调文字颜色 6 4 2 14" xfId="3772"/>
    <cellStyle name="20% - 强调文字颜色 6 4 2 15" xfId="3773"/>
    <cellStyle name="20% - 强调文字颜色 6 4 2 16" xfId="3774"/>
    <cellStyle name="20% - 强调文字颜色 6 4 2 17" xfId="3775"/>
    <cellStyle name="20% - 强调文字颜色 6 4 2 18" xfId="3776"/>
    <cellStyle name="20% - 强调文字颜色 6 4 2 19" xfId="3777"/>
    <cellStyle name="20% - 强调文字颜色 6 4 2 2" xfId="3778"/>
    <cellStyle name="20% - 强调文字颜色 6 4 2 20" xfId="3779"/>
    <cellStyle name="20% - 强调文字颜色 6 4 2 21" xfId="3780"/>
    <cellStyle name="20% - 强调文字颜色 6 4 2 22" xfId="3781"/>
    <cellStyle name="20% - 强调文字颜色 6 4 2 23" xfId="3782"/>
    <cellStyle name="20% - 强调文字颜色 6 4 2 24" xfId="3783"/>
    <cellStyle name="20% - 强调文字颜色 6 4 2 25" xfId="3784"/>
    <cellStyle name="20% - 强调文字颜色 6 4 2 26" xfId="3785"/>
    <cellStyle name="20% - 强调文字颜色 6 4 2 27" xfId="3786"/>
    <cellStyle name="20% - 强调文字颜色 6 4 2 3" xfId="3787"/>
    <cellStyle name="20% - 强调文字颜色 6 4 2 4" xfId="3788"/>
    <cellStyle name="20% - 强调文字颜色 6 4 2 5" xfId="3789"/>
    <cellStyle name="20% - 强调文字颜色 6 4 2 6" xfId="3790"/>
    <cellStyle name="20% - 强调文字颜色 6 4 2 7" xfId="3791"/>
    <cellStyle name="20% - 强调文字颜色 6 4 2 8" xfId="3792"/>
    <cellStyle name="20% - 强调文字颜色 6 4 2 9" xfId="3793"/>
    <cellStyle name="20% - 强调文字颜色 6 4 20" xfId="3794"/>
    <cellStyle name="20% - 强调文字颜色 6 4 21" xfId="3795"/>
    <cellStyle name="20% - 强调文字颜色 6 4 22" xfId="3796"/>
    <cellStyle name="20% - 强调文字颜色 6 4 23" xfId="3797"/>
    <cellStyle name="20% - 强调文字颜色 6 4 24" xfId="3798"/>
    <cellStyle name="20% - 强调文字颜色 6 4 25" xfId="3799"/>
    <cellStyle name="20% - 强调文字颜色 6 4 26" xfId="3800"/>
    <cellStyle name="20% - 强调文字颜色 6 4 27" xfId="3801"/>
    <cellStyle name="20% - 强调文字颜色 6 4 28" xfId="3802"/>
    <cellStyle name="20% - 强调文字颜色 6 4 3" xfId="3803"/>
    <cellStyle name="20% - 强调文字颜色 6 4 4" xfId="3804"/>
    <cellStyle name="20% - 强调文字颜色 6 4 5" xfId="3805"/>
    <cellStyle name="20% - 强调文字颜色 6 4 6" xfId="3806"/>
    <cellStyle name="20% - 强调文字颜色 6 4 7" xfId="3807"/>
    <cellStyle name="20% - 强调文字颜色 6 4 8" xfId="3808"/>
    <cellStyle name="20% - 强调文字颜色 6 4 9" xfId="3809"/>
    <cellStyle name="20% - 强调文字颜色 6 40" xfId="3810"/>
    <cellStyle name="20% - 强调文字颜色 6 5" xfId="3811"/>
    <cellStyle name="20% - 强调文字颜色 6 5 10" xfId="3812"/>
    <cellStyle name="20% - 强调文字颜色 6 5 11" xfId="3813"/>
    <cellStyle name="20% - 强调文字颜色 6 5 12" xfId="3814"/>
    <cellStyle name="20% - 强调文字颜色 6 5 13" xfId="3815"/>
    <cellStyle name="20% - 强调文字颜色 6 5 14" xfId="3816"/>
    <cellStyle name="20% - 强调文字颜色 6 5 15" xfId="3817"/>
    <cellStyle name="20% - 强调文字颜色 6 5 16" xfId="3818"/>
    <cellStyle name="20% - 强调文字颜色 6 5 17" xfId="3819"/>
    <cellStyle name="20% - 强调文字颜色 6 5 18" xfId="3820"/>
    <cellStyle name="20% - 强调文字颜色 6 5 19" xfId="3821"/>
    <cellStyle name="20% - 强调文字颜色 6 5 2" xfId="3822"/>
    <cellStyle name="20% - 强调文字颜色 6 5 2 10" xfId="3823"/>
    <cellStyle name="20% - 强调文字颜色 6 5 2 11" xfId="3824"/>
    <cellStyle name="20% - 强调文字颜色 6 5 2 12" xfId="3825"/>
    <cellStyle name="20% - 强调文字颜色 6 5 2 13" xfId="3826"/>
    <cellStyle name="20% - 强调文字颜色 6 5 2 14" xfId="3827"/>
    <cellStyle name="20% - 强调文字颜色 6 5 2 15" xfId="3828"/>
    <cellStyle name="20% - 强调文字颜色 6 5 2 16" xfId="3829"/>
    <cellStyle name="20% - 强调文字颜色 6 5 2 17" xfId="3830"/>
    <cellStyle name="20% - 强调文字颜色 6 5 2 18" xfId="3831"/>
    <cellStyle name="20% - 强调文字颜色 6 5 2 19" xfId="3832"/>
    <cellStyle name="20% - 强调文字颜色 6 5 2 2" xfId="3833"/>
    <cellStyle name="20% - 强调文字颜色 6 5 2 20" xfId="3834"/>
    <cellStyle name="20% - 强调文字颜色 6 5 2 21" xfId="3835"/>
    <cellStyle name="20% - 强调文字颜色 6 5 2 22" xfId="3836"/>
    <cellStyle name="20% - 强调文字颜色 6 5 2 23" xfId="3837"/>
    <cellStyle name="20% - 强调文字颜色 6 5 2 24" xfId="3838"/>
    <cellStyle name="20% - 强调文字颜色 6 5 2 25" xfId="3839"/>
    <cellStyle name="20% - 强调文字颜色 6 5 2 26" xfId="3840"/>
    <cellStyle name="20% - 强调文字颜色 6 5 2 27" xfId="3841"/>
    <cellStyle name="20% - 强调文字颜色 6 5 2 3" xfId="3842"/>
    <cellStyle name="20% - 强调文字颜色 6 5 2 4" xfId="3843"/>
    <cellStyle name="20% - 强调文字颜色 6 5 2 5" xfId="3844"/>
    <cellStyle name="20% - 强调文字颜色 6 5 2 6" xfId="3845"/>
    <cellStyle name="20% - 强调文字颜色 6 5 2 7" xfId="3846"/>
    <cellStyle name="20% - 强调文字颜色 6 5 2 8" xfId="3847"/>
    <cellStyle name="20% - 强调文字颜色 6 5 2 9" xfId="3848"/>
    <cellStyle name="20% - 强调文字颜色 6 5 20" xfId="3849"/>
    <cellStyle name="20% - 强调文字颜色 6 5 21" xfId="3850"/>
    <cellStyle name="20% - 强调文字颜色 6 5 22" xfId="3851"/>
    <cellStyle name="20% - 强调文字颜色 6 5 23" xfId="3852"/>
    <cellStyle name="20% - 强调文字颜色 6 5 24" xfId="3853"/>
    <cellStyle name="20% - 强调文字颜色 6 5 25" xfId="3854"/>
    <cellStyle name="20% - 强调文字颜色 6 5 26" xfId="3855"/>
    <cellStyle name="20% - 强调文字颜色 6 5 27" xfId="3856"/>
    <cellStyle name="20% - 强调文字颜色 6 5 28" xfId="3857"/>
    <cellStyle name="20% - 强调文字颜色 6 5 3" xfId="3858"/>
    <cellStyle name="20% - 强调文字颜色 6 5 4" xfId="3859"/>
    <cellStyle name="20% - 强调文字颜色 6 5 5" xfId="3860"/>
    <cellStyle name="20% - 强调文字颜色 6 5 6" xfId="3861"/>
    <cellStyle name="20% - 强调文字颜色 6 5 7" xfId="3862"/>
    <cellStyle name="20% - 强调文字颜色 6 5 8" xfId="3863"/>
    <cellStyle name="20% - 强调文字颜色 6 5 9" xfId="3864"/>
    <cellStyle name="20% - 强调文字颜色 6 6" xfId="3865"/>
    <cellStyle name="20% - 强调文字颜色 6 6 10" xfId="3866"/>
    <cellStyle name="20% - 强调文字颜色 6 6 11" xfId="3867"/>
    <cellStyle name="20% - 强调文字颜色 6 6 12" xfId="3868"/>
    <cellStyle name="20% - 强调文字颜色 6 6 13" xfId="3869"/>
    <cellStyle name="20% - 强调文字颜色 6 6 14" xfId="3870"/>
    <cellStyle name="20% - 强调文字颜色 6 6 15" xfId="3871"/>
    <cellStyle name="20% - 强调文字颜色 6 6 16" xfId="3872"/>
    <cellStyle name="20% - 强调文字颜色 6 6 17" xfId="3873"/>
    <cellStyle name="20% - 强调文字颜色 6 6 18" xfId="3874"/>
    <cellStyle name="20% - 强调文字颜色 6 6 19" xfId="3875"/>
    <cellStyle name="20% - 强调文字颜色 6 6 2" xfId="3876"/>
    <cellStyle name="20% - 强调文字颜色 6 6 2 10" xfId="3877"/>
    <cellStyle name="20% - 强调文字颜色 6 6 2 11" xfId="3878"/>
    <cellStyle name="20% - 强调文字颜色 6 6 2 12" xfId="3879"/>
    <cellStyle name="20% - 强调文字颜色 6 6 2 13" xfId="3880"/>
    <cellStyle name="20% - 强调文字颜色 6 6 2 14" xfId="3881"/>
    <cellStyle name="20% - 强调文字颜色 6 6 2 15" xfId="3882"/>
    <cellStyle name="20% - 强调文字颜色 6 6 2 16" xfId="3883"/>
    <cellStyle name="20% - 强调文字颜色 6 6 2 17" xfId="3884"/>
    <cellStyle name="20% - 强调文字颜色 6 6 2 18" xfId="3885"/>
    <cellStyle name="20% - 强调文字颜色 6 6 2 19" xfId="3886"/>
    <cellStyle name="20% - 强调文字颜色 6 6 2 2" xfId="3887"/>
    <cellStyle name="20% - 强调文字颜色 6 6 2 20" xfId="3888"/>
    <cellStyle name="20% - 强调文字颜色 6 6 2 21" xfId="3889"/>
    <cellStyle name="20% - 强调文字颜色 6 6 2 22" xfId="3890"/>
    <cellStyle name="20% - 强调文字颜色 6 6 2 23" xfId="3891"/>
    <cellStyle name="20% - 强调文字颜色 6 6 2 24" xfId="3892"/>
    <cellStyle name="20% - 强调文字颜色 6 6 2 25" xfId="3893"/>
    <cellStyle name="20% - 强调文字颜色 6 6 2 26" xfId="3894"/>
    <cellStyle name="20% - 强调文字颜色 6 6 2 27" xfId="3895"/>
    <cellStyle name="20% - 强调文字颜色 6 6 2 3" xfId="3896"/>
    <cellStyle name="20% - 强调文字颜色 6 6 2 4" xfId="3897"/>
    <cellStyle name="20% - 强调文字颜色 6 6 2 5" xfId="3898"/>
    <cellStyle name="20% - 强调文字颜色 6 6 2 6" xfId="3899"/>
    <cellStyle name="20% - 强调文字颜色 6 6 2 7" xfId="3900"/>
    <cellStyle name="20% - 强调文字颜色 6 6 2 8" xfId="3901"/>
    <cellStyle name="20% - 强调文字颜色 6 6 2 9" xfId="3902"/>
    <cellStyle name="20% - 强调文字颜色 6 6 20" xfId="3903"/>
    <cellStyle name="20% - 强调文字颜色 6 6 21" xfId="3904"/>
    <cellStyle name="20% - 强调文字颜色 6 6 22" xfId="3905"/>
    <cellStyle name="20% - 强调文字颜色 6 6 23" xfId="3906"/>
    <cellStyle name="20% - 强调文字颜色 6 6 24" xfId="3907"/>
    <cellStyle name="20% - 强调文字颜色 6 6 25" xfId="3908"/>
    <cellStyle name="20% - 强调文字颜色 6 6 26" xfId="3909"/>
    <cellStyle name="20% - 强调文字颜色 6 6 27" xfId="3910"/>
    <cellStyle name="20% - 强调文字颜色 6 6 28" xfId="3911"/>
    <cellStyle name="20% - 强调文字颜色 6 6 3" xfId="3912"/>
    <cellStyle name="20% - 强调文字颜色 6 6 4" xfId="3913"/>
    <cellStyle name="20% - 强调文字颜色 6 6 5" xfId="3914"/>
    <cellStyle name="20% - 强调文字颜色 6 6 6" xfId="3915"/>
    <cellStyle name="20% - 强调文字颜色 6 6 7" xfId="3916"/>
    <cellStyle name="20% - 强调文字颜色 6 6 8" xfId="3917"/>
    <cellStyle name="20% - 强调文字颜色 6 6 9" xfId="3918"/>
    <cellStyle name="20% - 强调文字颜色 6 7" xfId="3919"/>
    <cellStyle name="20% - 强调文字颜色 6 7 10" xfId="3920"/>
    <cellStyle name="20% - 强调文字颜色 6 7 11" xfId="3921"/>
    <cellStyle name="20% - 强调文字颜色 6 7 12" xfId="3922"/>
    <cellStyle name="20% - 强调文字颜色 6 7 13" xfId="3923"/>
    <cellStyle name="20% - 强调文字颜色 6 7 14" xfId="3924"/>
    <cellStyle name="20% - 强调文字颜色 6 7 15" xfId="3925"/>
    <cellStyle name="20% - 强调文字颜色 6 7 16" xfId="3926"/>
    <cellStyle name="20% - 强调文字颜色 6 7 17" xfId="3927"/>
    <cellStyle name="20% - 强调文字颜色 6 7 18" xfId="3928"/>
    <cellStyle name="20% - 强调文字颜色 6 7 19" xfId="3929"/>
    <cellStyle name="20% - 强调文字颜色 6 7 2" xfId="3930"/>
    <cellStyle name="20% - 强调文字颜色 6 7 2 10" xfId="3931"/>
    <cellStyle name="20% - 强调文字颜色 6 7 2 11" xfId="3932"/>
    <cellStyle name="20% - 强调文字颜色 6 7 2 12" xfId="3933"/>
    <cellStyle name="20% - 强调文字颜色 6 7 2 13" xfId="3934"/>
    <cellStyle name="20% - 强调文字颜色 6 7 2 14" xfId="3935"/>
    <cellStyle name="20% - 强调文字颜色 6 7 2 15" xfId="3936"/>
    <cellStyle name="20% - 强调文字颜色 6 7 2 16" xfId="3937"/>
    <cellStyle name="20% - 强调文字颜色 6 7 2 17" xfId="3938"/>
    <cellStyle name="20% - 强调文字颜色 6 7 2 18" xfId="3939"/>
    <cellStyle name="20% - 强调文字颜色 6 7 2 19" xfId="3940"/>
    <cellStyle name="20% - 强调文字颜色 6 7 2 2" xfId="3941"/>
    <cellStyle name="20% - 强调文字颜色 6 7 2 20" xfId="3942"/>
    <cellStyle name="20% - 强调文字颜色 6 7 2 21" xfId="3943"/>
    <cellStyle name="20% - 强调文字颜色 6 7 2 22" xfId="3944"/>
    <cellStyle name="20% - 强调文字颜色 6 7 2 23" xfId="3945"/>
    <cellStyle name="20% - 强调文字颜色 6 7 2 24" xfId="3946"/>
    <cellStyle name="20% - 强调文字颜色 6 7 2 25" xfId="3947"/>
    <cellStyle name="20% - 强调文字颜色 6 7 2 26" xfId="3948"/>
    <cellStyle name="20% - 强调文字颜色 6 7 2 27" xfId="3949"/>
    <cellStyle name="20% - 强调文字颜色 6 7 2 3" xfId="3950"/>
    <cellStyle name="20% - 强调文字颜色 6 7 2 4" xfId="3951"/>
    <cellStyle name="20% - 强调文字颜色 6 7 2 5" xfId="3952"/>
    <cellStyle name="20% - 强调文字颜色 6 7 2 6" xfId="3953"/>
    <cellStyle name="20% - 强调文字颜色 6 7 2 7" xfId="3954"/>
    <cellStyle name="20% - 强调文字颜色 6 7 2 8" xfId="3955"/>
    <cellStyle name="20% - 强调文字颜色 6 7 2 9" xfId="3956"/>
    <cellStyle name="20% - 强调文字颜色 6 7 20" xfId="3957"/>
    <cellStyle name="20% - 强调文字颜色 6 7 21" xfId="3958"/>
    <cellStyle name="20% - 强调文字颜色 6 7 22" xfId="3959"/>
    <cellStyle name="20% - 强调文字颜色 6 7 23" xfId="3960"/>
    <cellStyle name="20% - 强调文字颜色 6 7 24" xfId="3961"/>
    <cellStyle name="20% - 强调文字颜色 6 7 25" xfId="3962"/>
    <cellStyle name="20% - 强调文字颜色 6 7 26" xfId="3963"/>
    <cellStyle name="20% - 强调文字颜色 6 7 27" xfId="3964"/>
    <cellStyle name="20% - 强调文字颜色 6 7 28" xfId="3965"/>
    <cellStyle name="20% - 强调文字颜色 6 7 3" xfId="3966"/>
    <cellStyle name="20% - 强调文字颜色 6 7 4" xfId="3967"/>
    <cellStyle name="20% - 强调文字颜色 6 7 5" xfId="3968"/>
    <cellStyle name="20% - 强调文字颜色 6 7 6" xfId="3969"/>
    <cellStyle name="20% - 强调文字颜色 6 7 7" xfId="3970"/>
    <cellStyle name="20% - 强调文字颜色 6 7 8" xfId="3971"/>
    <cellStyle name="20% - 强调文字颜色 6 7 9" xfId="3972"/>
    <cellStyle name="20% - 强调文字颜色 6 8" xfId="3973"/>
    <cellStyle name="20% - 强调文字颜色 6 8 10" xfId="3974"/>
    <cellStyle name="20% - 强调文字颜色 6 8 11" xfId="3975"/>
    <cellStyle name="20% - 强调文字颜色 6 8 12" xfId="3976"/>
    <cellStyle name="20% - 强调文字颜色 6 8 13" xfId="3977"/>
    <cellStyle name="20% - 强调文字颜色 6 8 14" xfId="3978"/>
    <cellStyle name="20% - 强调文字颜色 6 8 15" xfId="3979"/>
    <cellStyle name="20% - 强调文字颜色 6 8 16" xfId="3980"/>
    <cellStyle name="20% - 强调文字颜色 6 8 17" xfId="3981"/>
    <cellStyle name="20% - 强调文字颜色 6 8 18" xfId="3982"/>
    <cellStyle name="20% - 强调文字颜色 6 8 19" xfId="3983"/>
    <cellStyle name="20% - 强调文字颜色 6 8 2" xfId="3984"/>
    <cellStyle name="20% - 强调文字颜色 6 8 2 10" xfId="3985"/>
    <cellStyle name="20% - 强调文字颜色 6 8 2 11" xfId="3986"/>
    <cellStyle name="20% - 强调文字颜色 6 8 2 12" xfId="3987"/>
    <cellStyle name="20% - 强调文字颜色 6 8 2 13" xfId="3988"/>
    <cellStyle name="20% - 强调文字颜色 6 8 2 14" xfId="3989"/>
    <cellStyle name="20% - 强调文字颜色 6 8 2 15" xfId="3990"/>
    <cellStyle name="20% - 强调文字颜色 6 8 2 16" xfId="3991"/>
    <cellStyle name="20% - 强调文字颜色 6 8 2 17" xfId="3992"/>
    <cellStyle name="20% - 强调文字颜色 6 8 2 18" xfId="3993"/>
    <cellStyle name="20% - 强调文字颜色 6 8 2 19" xfId="3994"/>
    <cellStyle name="20% - 强调文字颜色 6 8 2 2" xfId="3995"/>
    <cellStyle name="20% - 强调文字颜色 6 8 2 20" xfId="3996"/>
    <cellStyle name="20% - 强调文字颜色 6 8 2 21" xfId="3997"/>
    <cellStyle name="20% - 强调文字颜色 6 8 2 22" xfId="3998"/>
    <cellStyle name="20% - 强调文字颜色 6 8 2 23" xfId="3999"/>
    <cellStyle name="20% - 强调文字颜色 6 8 2 24" xfId="4000"/>
    <cellStyle name="20% - 强调文字颜色 6 8 2 25" xfId="4001"/>
    <cellStyle name="20% - 强调文字颜色 6 8 2 26" xfId="4002"/>
    <cellStyle name="20% - 强调文字颜色 6 8 2 27" xfId="4003"/>
    <cellStyle name="20% - 强调文字颜色 6 8 2 3" xfId="4004"/>
    <cellStyle name="20% - 强调文字颜色 6 8 2 4" xfId="4005"/>
    <cellStyle name="20% - 强调文字颜色 6 8 2 5" xfId="4006"/>
    <cellStyle name="20% - 强调文字颜色 6 8 2 6" xfId="4007"/>
    <cellStyle name="20% - 强调文字颜色 6 8 2 7" xfId="4008"/>
    <cellStyle name="20% - 强调文字颜色 6 8 2 8" xfId="4009"/>
    <cellStyle name="20% - 强调文字颜色 6 8 2 9" xfId="4010"/>
    <cellStyle name="20% - 强调文字颜色 6 8 20" xfId="4011"/>
    <cellStyle name="20% - 强调文字颜色 6 8 21" xfId="4012"/>
    <cellStyle name="20% - 强调文字颜色 6 8 22" xfId="4013"/>
    <cellStyle name="20% - 强调文字颜色 6 8 23" xfId="4014"/>
    <cellStyle name="20% - 强调文字颜色 6 8 24" xfId="4015"/>
    <cellStyle name="20% - 强调文字颜色 6 8 25" xfId="4016"/>
    <cellStyle name="20% - 强调文字颜色 6 8 26" xfId="4017"/>
    <cellStyle name="20% - 强调文字颜色 6 8 27" xfId="4018"/>
    <cellStyle name="20% - 强调文字颜色 6 8 28" xfId="4019"/>
    <cellStyle name="20% - 强调文字颜色 6 8 3" xfId="4020"/>
    <cellStyle name="20% - 强调文字颜色 6 8 4" xfId="4021"/>
    <cellStyle name="20% - 强调文字颜色 6 8 5" xfId="4022"/>
    <cellStyle name="20% - 强调文字颜色 6 8 6" xfId="4023"/>
    <cellStyle name="20% - 强调文字颜色 6 8 7" xfId="4024"/>
    <cellStyle name="20% - 强调文字颜色 6 8 8" xfId="4025"/>
    <cellStyle name="20% - 强调文字颜色 6 8 9" xfId="4026"/>
    <cellStyle name="20% - 强调文字颜色 6 9" xfId="4027"/>
    <cellStyle name="20% - 强调文字颜色 6 9 10" xfId="4028"/>
    <cellStyle name="20% - 强调文字颜色 6 9 11" xfId="4029"/>
    <cellStyle name="20% - 强调文字颜色 6 9 12" xfId="4030"/>
    <cellStyle name="20% - 强调文字颜色 6 9 13" xfId="4031"/>
    <cellStyle name="20% - 强调文字颜色 6 9 14" xfId="4032"/>
    <cellStyle name="20% - 强调文字颜色 6 9 15" xfId="4033"/>
    <cellStyle name="20% - 强调文字颜色 6 9 16" xfId="4034"/>
    <cellStyle name="20% - 强调文字颜色 6 9 17" xfId="4035"/>
    <cellStyle name="20% - 强调文字颜色 6 9 18" xfId="4036"/>
    <cellStyle name="20% - 强调文字颜色 6 9 19" xfId="4037"/>
    <cellStyle name="20% - 强调文字颜色 6 9 2" xfId="4038"/>
    <cellStyle name="20% - 强调文字颜色 6 9 2 10" xfId="4039"/>
    <cellStyle name="20% - 强调文字颜色 6 9 2 11" xfId="4040"/>
    <cellStyle name="20% - 强调文字颜色 6 9 2 12" xfId="4041"/>
    <cellStyle name="20% - 强调文字颜色 6 9 2 13" xfId="4042"/>
    <cellStyle name="20% - 强调文字颜色 6 9 2 14" xfId="4043"/>
    <cellStyle name="20% - 强调文字颜色 6 9 2 15" xfId="4044"/>
    <cellStyle name="20% - 强调文字颜色 6 9 2 16" xfId="4045"/>
    <cellStyle name="20% - 强调文字颜色 6 9 2 17" xfId="4046"/>
    <cellStyle name="20% - 强调文字颜色 6 9 2 18" xfId="4047"/>
    <cellStyle name="20% - 强调文字颜色 6 9 2 19" xfId="4048"/>
    <cellStyle name="20% - 强调文字颜色 6 9 2 2" xfId="4049"/>
    <cellStyle name="20% - 强调文字颜色 6 9 2 20" xfId="4050"/>
    <cellStyle name="20% - 强调文字颜色 6 9 2 21" xfId="4051"/>
    <cellStyle name="20% - 强调文字颜色 6 9 2 22" xfId="4052"/>
    <cellStyle name="20% - 强调文字颜色 6 9 2 23" xfId="4053"/>
    <cellStyle name="20% - 强调文字颜色 6 9 2 24" xfId="4054"/>
    <cellStyle name="20% - 强调文字颜色 6 9 2 25" xfId="4055"/>
    <cellStyle name="20% - 强调文字颜色 6 9 2 26" xfId="4056"/>
    <cellStyle name="20% - 强调文字颜色 6 9 2 27" xfId="4057"/>
    <cellStyle name="20% - 强调文字颜色 6 9 2 3" xfId="4058"/>
    <cellStyle name="20% - 强调文字颜色 6 9 2 4" xfId="4059"/>
    <cellStyle name="20% - 强调文字颜色 6 9 2 5" xfId="4060"/>
    <cellStyle name="20% - 强调文字颜色 6 9 2 6" xfId="4061"/>
    <cellStyle name="20% - 强调文字颜色 6 9 2 7" xfId="4062"/>
    <cellStyle name="20% - 强调文字颜色 6 9 2 8" xfId="4063"/>
    <cellStyle name="20% - 强调文字颜色 6 9 2 9" xfId="4064"/>
    <cellStyle name="20% - 强调文字颜色 6 9 20" xfId="4065"/>
    <cellStyle name="20% - 强调文字颜色 6 9 21" xfId="4066"/>
    <cellStyle name="20% - 强调文字颜色 6 9 22" xfId="4067"/>
    <cellStyle name="20% - 强调文字颜色 6 9 23" xfId="4068"/>
    <cellStyle name="20% - 强调文字颜色 6 9 24" xfId="4069"/>
    <cellStyle name="20% - 强调文字颜色 6 9 25" xfId="4070"/>
    <cellStyle name="20% - 强调文字颜色 6 9 26" xfId="4071"/>
    <cellStyle name="20% - 强调文字颜色 6 9 27" xfId="4072"/>
    <cellStyle name="20% - 强调文字颜色 6 9 28" xfId="4073"/>
    <cellStyle name="20% - 强调文字颜色 6 9 3" xfId="4074"/>
    <cellStyle name="20% - 强调文字颜色 6 9 4" xfId="4075"/>
    <cellStyle name="20% - 强调文字颜色 6 9 5" xfId="4076"/>
    <cellStyle name="20% - 强调文字颜色 6 9 6" xfId="4077"/>
    <cellStyle name="20% - 强调文字颜色 6 9 7" xfId="4078"/>
    <cellStyle name="20% - 强调文字颜色 6 9 8" xfId="4079"/>
    <cellStyle name="20% - 强调文字颜色 6 9 9" xfId="4080"/>
    <cellStyle name="40% - 强调文字颜色 1 10" xfId="4081"/>
    <cellStyle name="40% - 强调文字颜色 1 10 10" xfId="4082"/>
    <cellStyle name="40% - 强调文字颜色 1 10 11" xfId="4083"/>
    <cellStyle name="40% - 强调文字颜色 1 10 12" xfId="4084"/>
    <cellStyle name="40% - 强调文字颜色 1 10 13" xfId="4085"/>
    <cellStyle name="40% - 强调文字颜色 1 10 14" xfId="4086"/>
    <cellStyle name="40% - 强调文字颜色 1 10 15" xfId="4087"/>
    <cellStyle name="40% - 强调文字颜色 1 10 16" xfId="4088"/>
    <cellStyle name="40% - 强调文字颜色 1 10 17" xfId="4089"/>
    <cellStyle name="40% - 强调文字颜色 1 10 18" xfId="4090"/>
    <cellStyle name="40% - 强调文字颜色 1 10 19" xfId="4091"/>
    <cellStyle name="40% - 强调文字颜色 1 10 2" xfId="4092"/>
    <cellStyle name="40% - 强调文字颜色 1 10 2 10" xfId="4093"/>
    <cellStyle name="40% - 强调文字颜色 1 10 2 11" xfId="4094"/>
    <cellStyle name="40% - 强调文字颜色 1 10 2 12" xfId="4095"/>
    <cellStyle name="40% - 强调文字颜色 1 10 2 13" xfId="4096"/>
    <cellStyle name="40% - 强调文字颜色 1 10 2 14" xfId="4097"/>
    <cellStyle name="40% - 强调文字颜色 1 10 2 15" xfId="4098"/>
    <cellStyle name="40% - 强调文字颜色 1 10 2 16" xfId="4099"/>
    <cellStyle name="40% - 强调文字颜色 1 10 2 17" xfId="4100"/>
    <cellStyle name="40% - 强调文字颜色 1 10 2 18" xfId="4101"/>
    <cellStyle name="40% - 强调文字颜色 1 10 2 19" xfId="4102"/>
    <cellStyle name="40% - 强调文字颜色 1 10 2 2" xfId="4103"/>
    <cellStyle name="40% - 强调文字颜色 1 10 2 20" xfId="4104"/>
    <cellStyle name="40% - 强调文字颜色 1 10 2 21" xfId="4105"/>
    <cellStyle name="40% - 强调文字颜色 1 10 2 22" xfId="4106"/>
    <cellStyle name="40% - 强调文字颜色 1 10 2 23" xfId="4107"/>
    <cellStyle name="40% - 强调文字颜色 1 10 2 24" xfId="4108"/>
    <cellStyle name="40% - 强调文字颜色 1 10 2 25" xfId="4109"/>
    <cellStyle name="40% - 强调文字颜色 1 10 2 26" xfId="4110"/>
    <cellStyle name="40% - 强调文字颜色 1 10 2 27" xfId="4111"/>
    <cellStyle name="40% - 强调文字颜色 1 10 2 3" xfId="4112"/>
    <cellStyle name="40% - 强调文字颜色 1 10 2 4" xfId="4113"/>
    <cellStyle name="40% - 强调文字颜色 1 10 2 5" xfId="4114"/>
    <cellStyle name="40% - 强调文字颜色 1 10 2 6" xfId="4115"/>
    <cellStyle name="40% - 强调文字颜色 1 10 2 7" xfId="4116"/>
    <cellStyle name="40% - 强调文字颜色 1 10 2 8" xfId="4117"/>
    <cellStyle name="40% - 强调文字颜色 1 10 2 9" xfId="4118"/>
    <cellStyle name="40% - 强调文字颜色 1 10 20" xfId="4119"/>
    <cellStyle name="40% - 强调文字颜色 1 10 21" xfId="4120"/>
    <cellStyle name="40% - 强调文字颜色 1 10 22" xfId="4121"/>
    <cellStyle name="40% - 强调文字颜色 1 10 23" xfId="4122"/>
    <cellStyle name="40% - 强调文字颜色 1 10 24" xfId="4123"/>
    <cellStyle name="40% - 强调文字颜色 1 10 25" xfId="4124"/>
    <cellStyle name="40% - 强调文字颜色 1 10 26" xfId="4125"/>
    <cellStyle name="40% - 强调文字颜色 1 10 27" xfId="4126"/>
    <cellStyle name="40% - 强调文字颜色 1 10 28" xfId="4127"/>
    <cellStyle name="40% - 强调文字颜色 1 10 3" xfId="4128"/>
    <cellStyle name="40% - 强调文字颜色 1 10 4" xfId="4129"/>
    <cellStyle name="40% - 强调文字颜色 1 10 5" xfId="4130"/>
    <cellStyle name="40% - 强调文字颜色 1 10 6" xfId="4131"/>
    <cellStyle name="40% - 强调文字颜色 1 10 7" xfId="4132"/>
    <cellStyle name="40% - 强调文字颜色 1 10 8" xfId="4133"/>
    <cellStyle name="40% - 强调文字颜色 1 10 9" xfId="4134"/>
    <cellStyle name="40% - 强调文字颜色 1 11" xfId="4135"/>
    <cellStyle name="40% - 强调文字颜色 1 11 10" xfId="4136"/>
    <cellStyle name="40% - 强调文字颜色 1 11 11" xfId="4137"/>
    <cellStyle name="40% - 强调文字颜色 1 11 12" xfId="4138"/>
    <cellStyle name="40% - 强调文字颜色 1 11 13" xfId="4139"/>
    <cellStyle name="40% - 强调文字颜色 1 11 14" xfId="4140"/>
    <cellStyle name="40% - 强调文字颜色 1 11 15" xfId="4141"/>
    <cellStyle name="40% - 强调文字颜色 1 11 16" xfId="4142"/>
    <cellStyle name="40% - 强调文字颜色 1 11 17" xfId="4143"/>
    <cellStyle name="40% - 强调文字颜色 1 11 18" xfId="4144"/>
    <cellStyle name="40% - 强调文字颜色 1 11 19" xfId="4145"/>
    <cellStyle name="40% - 强调文字颜色 1 11 2" xfId="4146"/>
    <cellStyle name="40% - 强调文字颜色 1 11 2 10" xfId="4147"/>
    <cellStyle name="40% - 强调文字颜色 1 11 2 11" xfId="4148"/>
    <cellStyle name="40% - 强调文字颜色 1 11 2 12" xfId="4149"/>
    <cellStyle name="40% - 强调文字颜色 1 11 2 13" xfId="4150"/>
    <cellStyle name="40% - 强调文字颜色 1 11 2 14" xfId="4151"/>
    <cellStyle name="40% - 强调文字颜色 1 11 2 15" xfId="4152"/>
    <cellStyle name="40% - 强调文字颜色 1 11 2 16" xfId="4153"/>
    <cellStyle name="40% - 强调文字颜色 1 11 2 17" xfId="4154"/>
    <cellStyle name="40% - 强调文字颜色 1 11 2 18" xfId="4155"/>
    <cellStyle name="40% - 强调文字颜色 1 11 2 19" xfId="4156"/>
    <cellStyle name="40% - 强调文字颜色 1 11 2 2" xfId="4157"/>
    <cellStyle name="40% - 强调文字颜色 1 11 2 20" xfId="4158"/>
    <cellStyle name="40% - 强调文字颜色 1 11 2 21" xfId="4159"/>
    <cellStyle name="40% - 强调文字颜色 1 11 2 22" xfId="4160"/>
    <cellStyle name="40% - 强调文字颜色 1 11 2 23" xfId="4161"/>
    <cellStyle name="40% - 强调文字颜色 1 11 2 24" xfId="4162"/>
    <cellStyle name="40% - 强调文字颜色 1 11 2 25" xfId="4163"/>
    <cellStyle name="40% - 强调文字颜色 1 11 2 26" xfId="4164"/>
    <cellStyle name="40% - 强调文字颜色 1 11 2 27" xfId="4165"/>
    <cellStyle name="40% - 强调文字颜色 1 11 2 3" xfId="4166"/>
    <cellStyle name="40% - 强调文字颜色 1 11 2 4" xfId="4167"/>
    <cellStyle name="40% - 强调文字颜色 1 11 2 5" xfId="4168"/>
    <cellStyle name="40% - 强调文字颜色 1 11 2 6" xfId="4169"/>
    <cellStyle name="40% - 强调文字颜色 1 11 2 7" xfId="4170"/>
    <cellStyle name="40% - 强调文字颜色 1 11 2 8" xfId="4171"/>
    <cellStyle name="40% - 强调文字颜色 1 11 2 9" xfId="4172"/>
    <cellStyle name="40% - 强调文字颜色 1 11 20" xfId="4173"/>
    <cellStyle name="40% - 强调文字颜色 1 11 21" xfId="4174"/>
    <cellStyle name="40% - 强调文字颜色 1 11 22" xfId="4175"/>
    <cellStyle name="40% - 强调文字颜色 1 11 23" xfId="4176"/>
    <cellStyle name="40% - 强调文字颜色 1 11 24" xfId="4177"/>
    <cellStyle name="40% - 强调文字颜色 1 11 25" xfId="4178"/>
    <cellStyle name="40% - 强调文字颜色 1 11 26" xfId="4179"/>
    <cellStyle name="40% - 强调文字颜色 1 11 27" xfId="4180"/>
    <cellStyle name="40% - 强调文字颜色 1 11 28" xfId="4181"/>
    <cellStyle name="40% - 强调文字颜色 1 11 3" xfId="4182"/>
    <cellStyle name="40% - 强调文字颜色 1 11 4" xfId="4183"/>
    <cellStyle name="40% - 强调文字颜色 1 11 5" xfId="4184"/>
    <cellStyle name="40% - 强调文字颜色 1 11 6" xfId="4185"/>
    <cellStyle name="40% - 强调文字颜色 1 11 7" xfId="4186"/>
    <cellStyle name="40% - 强调文字颜色 1 11 8" xfId="4187"/>
    <cellStyle name="40% - 强调文字颜色 1 11 9" xfId="4188"/>
    <cellStyle name="40% - 强调文字颜色 1 12" xfId="4189"/>
    <cellStyle name="40% - 强调文字颜色 1 13" xfId="4190"/>
    <cellStyle name="40% - 强调文字颜色 1 14" xfId="4191"/>
    <cellStyle name="40% - 强调文字颜色 1 15" xfId="4192"/>
    <cellStyle name="40% - 强调文字颜色 1 16" xfId="4193"/>
    <cellStyle name="40% - 强调文字颜色 1 17" xfId="4194"/>
    <cellStyle name="40% - 强调文字颜色 1 18" xfId="4195"/>
    <cellStyle name="40% - 强调文字颜色 1 19" xfId="4196"/>
    <cellStyle name="40% - 强调文字颜色 1 2" xfId="4197"/>
    <cellStyle name="40% - 强调文字颜色 1 2 10" xfId="4198"/>
    <cellStyle name="40% - 强调文字颜色 1 2 11" xfId="4199"/>
    <cellStyle name="40% - 强调文字颜色 1 2 12" xfId="4200"/>
    <cellStyle name="40% - 强调文字颜色 1 2 13" xfId="4201"/>
    <cellStyle name="40% - 强调文字颜色 1 2 14" xfId="4202"/>
    <cellStyle name="40% - 强调文字颜色 1 2 15" xfId="4203"/>
    <cellStyle name="40% - 强调文字颜色 1 2 16" xfId="4204"/>
    <cellStyle name="40% - 强调文字颜色 1 2 17" xfId="4205"/>
    <cellStyle name="40% - 强调文字颜色 1 2 18" xfId="4206"/>
    <cellStyle name="40% - 强调文字颜色 1 2 19" xfId="4207"/>
    <cellStyle name="40% - 强调文字颜色 1 2 2" xfId="4208"/>
    <cellStyle name="40% - 强调文字颜色 1 2 2 10" xfId="4209"/>
    <cellStyle name="40% - 强调文字颜色 1 2 2 11" xfId="4210"/>
    <cellStyle name="40% - 强调文字颜色 1 2 2 12" xfId="4211"/>
    <cellStyle name="40% - 强调文字颜色 1 2 2 13" xfId="4212"/>
    <cellStyle name="40% - 强调文字颜色 1 2 2 14" xfId="4213"/>
    <cellStyle name="40% - 强调文字颜色 1 2 2 15" xfId="4214"/>
    <cellStyle name="40% - 强调文字颜色 1 2 2 16" xfId="4215"/>
    <cellStyle name="40% - 强调文字颜色 1 2 2 17" xfId="4216"/>
    <cellStyle name="40% - 强调文字颜色 1 2 2 18" xfId="4217"/>
    <cellStyle name="40% - 强调文字颜色 1 2 2 19" xfId="4218"/>
    <cellStyle name="40% - 强调文字颜色 1 2 2 2" xfId="4219"/>
    <cellStyle name="40% - 强调文字颜色 1 2 2 2 10" xfId="4220"/>
    <cellStyle name="40% - 强调文字颜色 1 2 2 2 11" xfId="4221"/>
    <cellStyle name="40% - 强调文字颜色 1 2 2 2 12" xfId="4222"/>
    <cellStyle name="40% - 强调文字颜色 1 2 2 2 13" xfId="4223"/>
    <cellStyle name="40% - 强调文字颜色 1 2 2 2 14" xfId="4224"/>
    <cellStyle name="40% - 强调文字颜色 1 2 2 2 15" xfId="4225"/>
    <cellStyle name="40% - 强调文字颜色 1 2 2 2 16" xfId="4226"/>
    <cellStyle name="40% - 强调文字颜色 1 2 2 2 17" xfId="4227"/>
    <cellStyle name="40% - 强调文字颜色 1 2 2 2 18" xfId="4228"/>
    <cellStyle name="40% - 强调文字颜色 1 2 2 2 19" xfId="4229"/>
    <cellStyle name="40% - 强调文字颜色 1 2 2 2 2" xfId="4230"/>
    <cellStyle name="40% - 强调文字颜色 1 2 2 2 20" xfId="4231"/>
    <cellStyle name="40% - 强调文字颜色 1 2 2 2 21" xfId="4232"/>
    <cellStyle name="40% - 强调文字颜色 1 2 2 2 22" xfId="4233"/>
    <cellStyle name="40% - 强调文字颜色 1 2 2 2 23" xfId="4234"/>
    <cellStyle name="40% - 强调文字颜色 1 2 2 2 24" xfId="4235"/>
    <cellStyle name="40% - 强调文字颜色 1 2 2 2 25" xfId="4236"/>
    <cellStyle name="40% - 强调文字颜色 1 2 2 2 26" xfId="4237"/>
    <cellStyle name="40% - 强调文字颜色 1 2 2 2 27" xfId="4238"/>
    <cellStyle name="40% - 强调文字颜色 1 2 2 2 3" xfId="4239"/>
    <cellStyle name="40% - 强调文字颜色 1 2 2 2 4" xfId="4240"/>
    <cellStyle name="40% - 强调文字颜色 1 2 2 2 5" xfId="4241"/>
    <cellStyle name="40% - 强调文字颜色 1 2 2 2 6" xfId="4242"/>
    <cellStyle name="40% - 强调文字颜色 1 2 2 2 7" xfId="4243"/>
    <cellStyle name="40% - 强调文字颜色 1 2 2 2 8" xfId="4244"/>
    <cellStyle name="40% - 强调文字颜色 1 2 2 2 9" xfId="4245"/>
    <cellStyle name="40% - 强调文字颜色 1 2 2 20" xfId="4246"/>
    <cellStyle name="40% - 强调文字颜色 1 2 2 21" xfId="4247"/>
    <cellStyle name="40% - 强调文字颜色 1 2 2 22" xfId="4248"/>
    <cellStyle name="40% - 强调文字颜色 1 2 2 23" xfId="4249"/>
    <cellStyle name="40% - 强调文字颜色 1 2 2 24" xfId="4250"/>
    <cellStyle name="40% - 强调文字颜色 1 2 2 25" xfId="4251"/>
    <cellStyle name="40% - 强调文字颜色 1 2 2 26" xfId="4252"/>
    <cellStyle name="40% - 强调文字颜色 1 2 2 27" xfId="4253"/>
    <cellStyle name="40% - 强调文字颜色 1 2 2 28" xfId="4254"/>
    <cellStyle name="40% - 强调文字颜色 1 2 2 3" xfId="4255"/>
    <cellStyle name="40% - 强调文字颜色 1 2 2 4" xfId="4256"/>
    <cellStyle name="40% - 强调文字颜色 1 2 2 5" xfId="4257"/>
    <cellStyle name="40% - 强调文字颜色 1 2 2 6" xfId="4258"/>
    <cellStyle name="40% - 强调文字颜色 1 2 2 7" xfId="4259"/>
    <cellStyle name="40% - 强调文字颜色 1 2 2 8" xfId="4260"/>
    <cellStyle name="40% - 强调文字颜色 1 2 2 9" xfId="4261"/>
    <cellStyle name="40% - 强调文字颜色 1 2 20" xfId="4262"/>
    <cellStyle name="40% - 强调文字颜色 1 2 21" xfId="4263"/>
    <cellStyle name="40% - 强调文字颜色 1 2 22" xfId="4264"/>
    <cellStyle name="40% - 强调文字颜色 1 2 23" xfId="4265"/>
    <cellStyle name="40% - 强调文字颜色 1 2 24" xfId="4266"/>
    <cellStyle name="40% - 强调文字颜色 1 2 25" xfId="4267"/>
    <cellStyle name="40% - 强调文字颜色 1 2 26" xfId="4268"/>
    <cellStyle name="40% - 强调文字颜色 1 2 27" xfId="4269"/>
    <cellStyle name="40% - 强调文字颜色 1 2 28" xfId="4270"/>
    <cellStyle name="40% - 强调文字颜色 1 2 29" xfId="4271"/>
    <cellStyle name="40% - 强调文字颜色 1 2 3" xfId="4272"/>
    <cellStyle name="40% - 强调文字颜色 1 2 3 10" xfId="4273"/>
    <cellStyle name="40% - 强调文字颜色 1 2 3 11" xfId="4274"/>
    <cellStyle name="40% - 强调文字颜色 1 2 3 12" xfId="4275"/>
    <cellStyle name="40% - 强调文字颜色 1 2 3 13" xfId="4276"/>
    <cellStyle name="40% - 强调文字颜色 1 2 3 14" xfId="4277"/>
    <cellStyle name="40% - 强调文字颜色 1 2 3 15" xfId="4278"/>
    <cellStyle name="40% - 强调文字颜色 1 2 3 16" xfId="4279"/>
    <cellStyle name="40% - 强调文字颜色 1 2 3 17" xfId="4280"/>
    <cellStyle name="40% - 强调文字颜色 1 2 3 18" xfId="4281"/>
    <cellStyle name="40% - 强调文字颜色 1 2 3 19" xfId="4282"/>
    <cellStyle name="40% - 强调文字颜色 1 2 3 2" xfId="4283"/>
    <cellStyle name="40% - 强调文字颜色 1 2 3 2 10" xfId="4284"/>
    <cellStyle name="40% - 强调文字颜色 1 2 3 2 11" xfId="4285"/>
    <cellStyle name="40% - 强调文字颜色 1 2 3 2 12" xfId="4286"/>
    <cellStyle name="40% - 强调文字颜色 1 2 3 2 13" xfId="4287"/>
    <cellStyle name="40% - 强调文字颜色 1 2 3 2 14" xfId="4288"/>
    <cellStyle name="40% - 强调文字颜色 1 2 3 2 15" xfId="4289"/>
    <cellStyle name="40% - 强调文字颜色 1 2 3 2 16" xfId="4290"/>
    <cellStyle name="40% - 强调文字颜色 1 2 3 2 17" xfId="4291"/>
    <cellStyle name="40% - 强调文字颜色 1 2 3 2 18" xfId="4292"/>
    <cellStyle name="40% - 强调文字颜色 1 2 3 2 19" xfId="4293"/>
    <cellStyle name="40% - 强调文字颜色 1 2 3 2 2" xfId="4294"/>
    <cellStyle name="40% - 强调文字颜色 1 2 3 2 20" xfId="4295"/>
    <cellStyle name="40% - 强调文字颜色 1 2 3 2 21" xfId="4296"/>
    <cellStyle name="40% - 强调文字颜色 1 2 3 2 22" xfId="4297"/>
    <cellStyle name="40% - 强调文字颜色 1 2 3 2 23" xfId="4298"/>
    <cellStyle name="40% - 强调文字颜色 1 2 3 2 24" xfId="4299"/>
    <cellStyle name="40% - 强调文字颜色 1 2 3 2 25" xfId="4300"/>
    <cellStyle name="40% - 强调文字颜色 1 2 3 2 26" xfId="4301"/>
    <cellStyle name="40% - 强调文字颜色 1 2 3 2 27" xfId="4302"/>
    <cellStyle name="40% - 强调文字颜色 1 2 3 2 3" xfId="4303"/>
    <cellStyle name="40% - 强调文字颜色 1 2 3 2 4" xfId="4304"/>
    <cellStyle name="40% - 强调文字颜色 1 2 3 2 5" xfId="4305"/>
    <cellStyle name="40% - 强调文字颜色 1 2 3 2 6" xfId="4306"/>
    <cellStyle name="40% - 强调文字颜色 1 2 3 2 7" xfId="4307"/>
    <cellStyle name="40% - 强调文字颜色 1 2 3 2 8" xfId="4308"/>
    <cellStyle name="40% - 强调文字颜色 1 2 3 2 9" xfId="4309"/>
    <cellStyle name="40% - 强调文字颜色 1 2 3 20" xfId="4310"/>
    <cellStyle name="40% - 强调文字颜色 1 2 3 21" xfId="4311"/>
    <cellStyle name="40% - 强调文字颜色 1 2 3 22" xfId="4312"/>
    <cellStyle name="40% - 强调文字颜色 1 2 3 23" xfId="4313"/>
    <cellStyle name="40% - 强调文字颜色 1 2 3 24" xfId="4314"/>
    <cellStyle name="40% - 强调文字颜色 1 2 3 25" xfId="4315"/>
    <cellStyle name="40% - 强调文字颜色 1 2 3 26" xfId="4316"/>
    <cellStyle name="40% - 强调文字颜色 1 2 3 27" xfId="4317"/>
    <cellStyle name="40% - 强调文字颜色 1 2 3 28" xfId="4318"/>
    <cellStyle name="40% - 强调文字颜色 1 2 3 3" xfId="4319"/>
    <cellStyle name="40% - 强调文字颜色 1 2 3 4" xfId="4320"/>
    <cellStyle name="40% - 强调文字颜色 1 2 3 5" xfId="4321"/>
    <cellStyle name="40% - 强调文字颜色 1 2 3 6" xfId="4322"/>
    <cellStyle name="40% - 强调文字颜色 1 2 3 7" xfId="4323"/>
    <cellStyle name="40% - 强调文字颜色 1 2 3 8" xfId="4324"/>
    <cellStyle name="40% - 强调文字颜色 1 2 3 9" xfId="4325"/>
    <cellStyle name="40% - 强调文字颜色 1 2 30" xfId="4326"/>
    <cellStyle name="40% - 强调文字颜色 1 2 31" xfId="4327"/>
    <cellStyle name="40% - 强调文字颜色 1 2 32" xfId="4328"/>
    <cellStyle name="40% - 强调文字颜色 1 2 33" xfId="4329"/>
    <cellStyle name="40% - 强调文字颜色 1 2 4" xfId="4330"/>
    <cellStyle name="40% - 强调文字颜色 1 2 4 10" xfId="4331"/>
    <cellStyle name="40% - 强调文字颜色 1 2 4 11" xfId="4332"/>
    <cellStyle name="40% - 强调文字颜色 1 2 4 12" xfId="4333"/>
    <cellStyle name="40% - 强调文字颜色 1 2 4 13" xfId="4334"/>
    <cellStyle name="40% - 强调文字颜色 1 2 4 14" xfId="4335"/>
    <cellStyle name="40% - 强调文字颜色 1 2 4 15" xfId="4336"/>
    <cellStyle name="40% - 强调文字颜色 1 2 4 16" xfId="4337"/>
    <cellStyle name="40% - 强调文字颜色 1 2 4 17" xfId="4338"/>
    <cellStyle name="40% - 强调文字颜色 1 2 4 18" xfId="4339"/>
    <cellStyle name="40% - 强调文字颜色 1 2 4 19" xfId="4340"/>
    <cellStyle name="40% - 强调文字颜色 1 2 4 2" xfId="4341"/>
    <cellStyle name="40% - 强调文字颜色 1 2 4 20" xfId="4342"/>
    <cellStyle name="40% - 强调文字颜色 1 2 4 21" xfId="4343"/>
    <cellStyle name="40% - 强调文字颜色 1 2 4 22" xfId="4344"/>
    <cellStyle name="40% - 强调文字颜色 1 2 4 23" xfId="4345"/>
    <cellStyle name="40% - 强调文字颜色 1 2 4 24" xfId="4346"/>
    <cellStyle name="40% - 强调文字颜色 1 2 4 25" xfId="4347"/>
    <cellStyle name="40% - 强调文字颜色 1 2 4 26" xfId="4348"/>
    <cellStyle name="40% - 强调文字颜色 1 2 4 27" xfId="4349"/>
    <cellStyle name="40% - 强调文字颜色 1 2 4 3" xfId="4350"/>
    <cellStyle name="40% - 强调文字颜色 1 2 4 4" xfId="4351"/>
    <cellStyle name="40% - 强调文字颜色 1 2 4 5" xfId="4352"/>
    <cellStyle name="40% - 强调文字颜色 1 2 4 6" xfId="4353"/>
    <cellStyle name="40% - 强调文字颜色 1 2 4 7" xfId="4354"/>
    <cellStyle name="40% - 强调文字颜色 1 2 4 8" xfId="4355"/>
    <cellStyle name="40% - 强调文字颜色 1 2 4 9" xfId="4356"/>
    <cellStyle name="40% - 强调文字颜色 1 2 5" xfId="4357"/>
    <cellStyle name="40% - 强调文字颜色 1 2 6" xfId="4358"/>
    <cellStyle name="40% - 强调文字颜色 1 2 7" xfId="4359"/>
    <cellStyle name="40% - 强调文字颜色 1 2 8" xfId="4360"/>
    <cellStyle name="40% - 强调文字颜色 1 2 9" xfId="4361"/>
    <cellStyle name="40% - 强调文字颜色 1 20" xfId="4362"/>
    <cellStyle name="40% - 强调文字颜色 1 21" xfId="4363"/>
    <cellStyle name="40% - 强调文字颜色 1 22" xfId="4364"/>
    <cellStyle name="40% - 强调文字颜色 1 23" xfId="4365"/>
    <cellStyle name="40% - 强调文字颜色 1 24" xfId="4366"/>
    <cellStyle name="40% - 强调文字颜色 1 25" xfId="4367"/>
    <cellStyle name="40% - 强调文字颜色 1 26" xfId="4368"/>
    <cellStyle name="40% - 强调文字颜色 1 27" xfId="4369"/>
    <cellStyle name="40% - 强调文字颜色 1 28" xfId="4370"/>
    <cellStyle name="40% - 强调文字颜色 1 29" xfId="4371"/>
    <cellStyle name="40% - 强调文字颜色 1 3" xfId="4372"/>
    <cellStyle name="40% - 强调文字颜色 1 3 10" xfId="4373"/>
    <cellStyle name="40% - 强调文字颜色 1 3 11" xfId="4374"/>
    <cellStyle name="40% - 强调文字颜色 1 3 12" xfId="4375"/>
    <cellStyle name="40% - 强调文字颜色 1 3 13" xfId="4376"/>
    <cellStyle name="40% - 强调文字颜色 1 3 14" xfId="4377"/>
    <cellStyle name="40% - 强调文字颜色 1 3 15" xfId="4378"/>
    <cellStyle name="40% - 强调文字颜色 1 3 16" xfId="4379"/>
    <cellStyle name="40% - 强调文字颜色 1 3 17" xfId="4380"/>
    <cellStyle name="40% - 强调文字颜色 1 3 18" xfId="4381"/>
    <cellStyle name="40% - 强调文字颜色 1 3 19" xfId="4382"/>
    <cellStyle name="40% - 强调文字颜色 1 3 2" xfId="4383"/>
    <cellStyle name="40% - 强调文字颜色 1 3 2 10" xfId="4384"/>
    <cellStyle name="40% - 强调文字颜色 1 3 2 11" xfId="4385"/>
    <cellStyle name="40% - 强调文字颜色 1 3 2 12" xfId="4386"/>
    <cellStyle name="40% - 强调文字颜色 1 3 2 13" xfId="4387"/>
    <cellStyle name="40% - 强调文字颜色 1 3 2 14" xfId="4388"/>
    <cellStyle name="40% - 强调文字颜色 1 3 2 15" xfId="4389"/>
    <cellStyle name="40% - 强调文字颜色 1 3 2 16" xfId="4390"/>
    <cellStyle name="40% - 强调文字颜色 1 3 2 17" xfId="4391"/>
    <cellStyle name="40% - 强调文字颜色 1 3 2 18" xfId="4392"/>
    <cellStyle name="40% - 强调文字颜色 1 3 2 19" xfId="4393"/>
    <cellStyle name="40% - 强调文字颜色 1 3 2 2" xfId="4394"/>
    <cellStyle name="40% - 强调文字颜色 1 3 2 20" xfId="4395"/>
    <cellStyle name="40% - 强调文字颜色 1 3 2 21" xfId="4396"/>
    <cellStyle name="40% - 强调文字颜色 1 3 2 22" xfId="4397"/>
    <cellStyle name="40% - 强调文字颜色 1 3 2 23" xfId="4398"/>
    <cellStyle name="40% - 强调文字颜色 1 3 2 24" xfId="4399"/>
    <cellStyle name="40% - 强调文字颜色 1 3 2 25" xfId="4400"/>
    <cellStyle name="40% - 强调文字颜色 1 3 2 26" xfId="4401"/>
    <cellStyle name="40% - 强调文字颜色 1 3 2 27" xfId="4402"/>
    <cellStyle name="40% - 强调文字颜色 1 3 2 3" xfId="4403"/>
    <cellStyle name="40% - 强调文字颜色 1 3 2 4" xfId="4404"/>
    <cellStyle name="40% - 强调文字颜色 1 3 2 5" xfId="4405"/>
    <cellStyle name="40% - 强调文字颜色 1 3 2 6" xfId="4406"/>
    <cellStyle name="40% - 强调文字颜色 1 3 2 7" xfId="4407"/>
    <cellStyle name="40% - 强调文字颜色 1 3 2 8" xfId="4408"/>
    <cellStyle name="40% - 强调文字颜色 1 3 2 9" xfId="4409"/>
    <cellStyle name="40% - 强调文字颜色 1 3 20" xfId="4410"/>
    <cellStyle name="40% - 强调文字颜色 1 3 21" xfId="4411"/>
    <cellStyle name="40% - 强调文字颜色 1 3 22" xfId="4412"/>
    <cellStyle name="40% - 强调文字颜色 1 3 23" xfId="4413"/>
    <cellStyle name="40% - 强调文字颜色 1 3 24" xfId="4414"/>
    <cellStyle name="40% - 强调文字颜色 1 3 25" xfId="4415"/>
    <cellStyle name="40% - 强调文字颜色 1 3 26" xfId="4416"/>
    <cellStyle name="40% - 强调文字颜色 1 3 27" xfId="4417"/>
    <cellStyle name="40% - 强调文字颜色 1 3 28" xfId="4418"/>
    <cellStyle name="40% - 强调文字颜色 1 3 3" xfId="4419"/>
    <cellStyle name="40% - 强调文字颜色 1 3 4" xfId="4420"/>
    <cellStyle name="40% - 强调文字颜色 1 3 5" xfId="4421"/>
    <cellStyle name="40% - 强调文字颜色 1 3 6" xfId="4422"/>
    <cellStyle name="40% - 强调文字颜色 1 3 7" xfId="4423"/>
    <cellStyle name="40% - 强调文字颜色 1 3 8" xfId="4424"/>
    <cellStyle name="40% - 强调文字颜色 1 3 9" xfId="4425"/>
    <cellStyle name="40% - 强调文字颜色 1 30" xfId="4426"/>
    <cellStyle name="40% - 强调文字颜色 1 31" xfId="4427"/>
    <cellStyle name="40% - 强调文字颜色 1 32" xfId="4428"/>
    <cellStyle name="40% - 强调文字颜色 1 33" xfId="4429"/>
    <cellStyle name="40% - 强调文字颜色 1 34" xfId="4430"/>
    <cellStyle name="40% - 强调文字颜色 1 35" xfId="4431"/>
    <cellStyle name="40% - 强调文字颜色 1 36" xfId="4432"/>
    <cellStyle name="40% - 强调文字颜色 1 37" xfId="4433"/>
    <cellStyle name="40% - 强调文字颜色 1 38" xfId="4434"/>
    <cellStyle name="40% - 强调文字颜色 1 39" xfId="4435"/>
    <cellStyle name="40% - 强调文字颜色 1 4" xfId="4436"/>
    <cellStyle name="40% - 强调文字颜色 1 4 10" xfId="4437"/>
    <cellStyle name="40% - 强调文字颜色 1 4 11" xfId="4438"/>
    <cellStyle name="40% - 强调文字颜色 1 4 12" xfId="4439"/>
    <cellStyle name="40% - 强调文字颜色 1 4 13" xfId="4440"/>
    <cellStyle name="40% - 强调文字颜色 1 4 14" xfId="4441"/>
    <cellStyle name="40% - 强调文字颜色 1 4 15" xfId="4442"/>
    <cellStyle name="40% - 强调文字颜色 1 4 16" xfId="4443"/>
    <cellStyle name="40% - 强调文字颜色 1 4 17" xfId="4444"/>
    <cellStyle name="40% - 强调文字颜色 1 4 18" xfId="4445"/>
    <cellStyle name="40% - 强调文字颜色 1 4 19" xfId="4446"/>
    <cellStyle name="40% - 强调文字颜色 1 4 2" xfId="4447"/>
    <cellStyle name="40% - 强调文字颜色 1 4 2 10" xfId="4448"/>
    <cellStyle name="40% - 强调文字颜色 1 4 2 11" xfId="4449"/>
    <cellStyle name="40% - 强调文字颜色 1 4 2 12" xfId="4450"/>
    <cellStyle name="40% - 强调文字颜色 1 4 2 13" xfId="4451"/>
    <cellStyle name="40% - 强调文字颜色 1 4 2 14" xfId="4452"/>
    <cellStyle name="40% - 强调文字颜色 1 4 2 15" xfId="4453"/>
    <cellStyle name="40% - 强调文字颜色 1 4 2 16" xfId="4454"/>
    <cellStyle name="40% - 强调文字颜色 1 4 2 17" xfId="4455"/>
    <cellStyle name="40% - 强调文字颜色 1 4 2 18" xfId="4456"/>
    <cellStyle name="40% - 强调文字颜色 1 4 2 19" xfId="4457"/>
    <cellStyle name="40% - 强调文字颜色 1 4 2 2" xfId="4458"/>
    <cellStyle name="40% - 强调文字颜色 1 4 2 20" xfId="4459"/>
    <cellStyle name="40% - 强调文字颜色 1 4 2 21" xfId="4460"/>
    <cellStyle name="40% - 强调文字颜色 1 4 2 22" xfId="4461"/>
    <cellStyle name="40% - 强调文字颜色 1 4 2 23" xfId="4462"/>
    <cellStyle name="40% - 强调文字颜色 1 4 2 24" xfId="4463"/>
    <cellStyle name="40% - 强调文字颜色 1 4 2 25" xfId="4464"/>
    <cellStyle name="40% - 强调文字颜色 1 4 2 26" xfId="4465"/>
    <cellStyle name="40% - 强调文字颜色 1 4 2 27" xfId="4466"/>
    <cellStyle name="40% - 强调文字颜色 1 4 2 3" xfId="4467"/>
    <cellStyle name="40% - 强调文字颜色 1 4 2 4" xfId="4468"/>
    <cellStyle name="40% - 强调文字颜色 1 4 2 5" xfId="4469"/>
    <cellStyle name="40% - 强调文字颜色 1 4 2 6" xfId="4470"/>
    <cellStyle name="40% - 强调文字颜色 1 4 2 7" xfId="4471"/>
    <cellStyle name="40% - 强调文字颜色 1 4 2 8" xfId="4472"/>
    <cellStyle name="40% - 强调文字颜色 1 4 2 9" xfId="4473"/>
    <cellStyle name="40% - 强调文字颜色 1 4 20" xfId="4474"/>
    <cellStyle name="40% - 强调文字颜色 1 4 21" xfId="4475"/>
    <cellStyle name="40% - 强调文字颜色 1 4 22" xfId="4476"/>
    <cellStyle name="40% - 强调文字颜色 1 4 23" xfId="4477"/>
    <cellStyle name="40% - 强调文字颜色 1 4 24" xfId="4478"/>
    <cellStyle name="40% - 强调文字颜色 1 4 25" xfId="4479"/>
    <cellStyle name="40% - 强调文字颜色 1 4 26" xfId="4480"/>
    <cellStyle name="40% - 强调文字颜色 1 4 27" xfId="4481"/>
    <cellStyle name="40% - 强调文字颜色 1 4 28" xfId="4482"/>
    <cellStyle name="40% - 强调文字颜色 1 4 3" xfId="4483"/>
    <cellStyle name="40% - 强调文字颜色 1 4 4" xfId="4484"/>
    <cellStyle name="40% - 强调文字颜色 1 4 5" xfId="4485"/>
    <cellStyle name="40% - 强调文字颜色 1 4 6" xfId="4486"/>
    <cellStyle name="40% - 强调文字颜色 1 4 7" xfId="4487"/>
    <cellStyle name="40% - 强调文字颜色 1 4 8" xfId="4488"/>
    <cellStyle name="40% - 强调文字颜色 1 4 9" xfId="4489"/>
    <cellStyle name="40% - 强调文字颜色 1 40" xfId="4490"/>
    <cellStyle name="40% - 强调文字颜色 1 5" xfId="4491"/>
    <cellStyle name="40% - 强调文字颜色 1 5 10" xfId="4492"/>
    <cellStyle name="40% - 强调文字颜色 1 5 11" xfId="4493"/>
    <cellStyle name="40% - 强调文字颜色 1 5 12" xfId="4494"/>
    <cellStyle name="40% - 强调文字颜色 1 5 13" xfId="4495"/>
    <cellStyle name="40% - 强调文字颜色 1 5 14" xfId="4496"/>
    <cellStyle name="40% - 强调文字颜色 1 5 15" xfId="4497"/>
    <cellStyle name="40% - 强调文字颜色 1 5 16" xfId="4498"/>
    <cellStyle name="40% - 强调文字颜色 1 5 17" xfId="4499"/>
    <cellStyle name="40% - 强调文字颜色 1 5 18" xfId="4500"/>
    <cellStyle name="40% - 强调文字颜色 1 5 19" xfId="4501"/>
    <cellStyle name="40% - 强调文字颜色 1 5 2" xfId="4502"/>
    <cellStyle name="40% - 强调文字颜色 1 5 2 10" xfId="4503"/>
    <cellStyle name="40% - 强调文字颜色 1 5 2 11" xfId="4504"/>
    <cellStyle name="40% - 强调文字颜色 1 5 2 12" xfId="4505"/>
    <cellStyle name="40% - 强调文字颜色 1 5 2 13" xfId="4506"/>
    <cellStyle name="40% - 强调文字颜色 1 5 2 14" xfId="4507"/>
    <cellStyle name="40% - 强调文字颜色 1 5 2 15" xfId="4508"/>
    <cellStyle name="40% - 强调文字颜色 1 5 2 16" xfId="4509"/>
    <cellStyle name="40% - 强调文字颜色 1 5 2 17" xfId="4510"/>
    <cellStyle name="40% - 强调文字颜色 1 5 2 18" xfId="4511"/>
    <cellStyle name="40% - 强调文字颜色 1 5 2 19" xfId="4512"/>
    <cellStyle name="40% - 强调文字颜色 1 5 2 2" xfId="4513"/>
    <cellStyle name="40% - 强调文字颜色 1 5 2 20" xfId="4514"/>
    <cellStyle name="40% - 强调文字颜色 1 5 2 21" xfId="4515"/>
    <cellStyle name="40% - 强调文字颜色 1 5 2 22" xfId="4516"/>
    <cellStyle name="40% - 强调文字颜色 1 5 2 23" xfId="4517"/>
    <cellStyle name="40% - 强调文字颜色 1 5 2 24" xfId="4518"/>
    <cellStyle name="40% - 强调文字颜色 1 5 2 25" xfId="4519"/>
    <cellStyle name="40% - 强调文字颜色 1 5 2 26" xfId="4520"/>
    <cellStyle name="40% - 强调文字颜色 1 5 2 27" xfId="4521"/>
    <cellStyle name="40% - 强调文字颜色 1 5 2 3" xfId="4522"/>
    <cellStyle name="40% - 强调文字颜色 1 5 2 4" xfId="4523"/>
    <cellStyle name="40% - 强调文字颜色 1 5 2 5" xfId="4524"/>
    <cellStyle name="40% - 强调文字颜色 1 5 2 6" xfId="4525"/>
    <cellStyle name="40% - 强调文字颜色 1 5 2 7" xfId="4526"/>
    <cellStyle name="40% - 强调文字颜色 1 5 2 8" xfId="4527"/>
    <cellStyle name="40% - 强调文字颜色 1 5 2 9" xfId="4528"/>
    <cellStyle name="40% - 强调文字颜色 1 5 20" xfId="4529"/>
    <cellStyle name="40% - 强调文字颜色 1 5 21" xfId="4530"/>
    <cellStyle name="40% - 强调文字颜色 1 5 22" xfId="4531"/>
    <cellStyle name="40% - 强调文字颜色 1 5 23" xfId="4532"/>
    <cellStyle name="40% - 强调文字颜色 1 5 24" xfId="4533"/>
    <cellStyle name="40% - 强调文字颜色 1 5 25" xfId="4534"/>
    <cellStyle name="40% - 强调文字颜色 1 5 26" xfId="4535"/>
    <cellStyle name="40% - 强调文字颜色 1 5 27" xfId="4536"/>
    <cellStyle name="40% - 强调文字颜色 1 5 28" xfId="4537"/>
    <cellStyle name="40% - 强调文字颜色 1 5 3" xfId="4538"/>
    <cellStyle name="40% - 强调文字颜色 1 5 4" xfId="4539"/>
    <cellStyle name="40% - 强调文字颜色 1 5 5" xfId="4540"/>
    <cellStyle name="40% - 强调文字颜色 1 5 6" xfId="4541"/>
    <cellStyle name="40% - 强调文字颜色 1 5 7" xfId="4542"/>
    <cellStyle name="40% - 强调文字颜色 1 5 8" xfId="4543"/>
    <cellStyle name="40% - 强调文字颜色 1 5 9" xfId="4544"/>
    <cellStyle name="40% - 强调文字颜色 1 6" xfId="4545"/>
    <cellStyle name="40% - 强调文字颜色 1 6 10" xfId="4546"/>
    <cellStyle name="40% - 强调文字颜色 1 6 11" xfId="4547"/>
    <cellStyle name="40% - 强调文字颜色 1 6 12" xfId="4548"/>
    <cellStyle name="40% - 强调文字颜色 1 6 13" xfId="4549"/>
    <cellStyle name="40% - 强调文字颜色 1 6 14" xfId="4550"/>
    <cellStyle name="40% - 强调文字颜色 1 6 15" xfId="4551"/>
    <cellStyle name="40% - 强调文字颜色 1 6 16" xfId="4552"/>
    <cellStyle name="40% - 强调文字颜色 1 6 17" xfId="4553"/>
    <cellStyle name="40% - 强调文字颜色 1 6 18" xfId="4554"/>
    <cellStyle name="40% - 强调文字颜色 1 6 19" xfId="4555"/>
    <cellStyle name="40% - 强调文字颜色 1 6 2" xfId="4556"/>
    <cellStyle name="40% - 强调文字颜色 1 6 2 10" xfId="4557"/>
    <cellStyle name="40% - 强调文字颜色 1 6 2 11" xfId="4558"/>
    <cellStyle name="40% - 强调文字颜色 1 6 2 12" xfId="4559"/>
    <cellStyle name="40% - 强调文字颜色 1 6 2 13" xfId="4560"/>
    <cellStyle name="40% - 强调文字颜色 1 6 2 14" xfId="4561"/>
    <cellStyle name="40% - 强调文字颜色 1 6 2 15" xfId="4562"/>
    <cellStyle name="40% - 强调文字颜色 1 6 2 16" xfId="4563"/>
    <cellStyle name="40% - 强调文字颜色 1 6 2 17" xfId="4564"/>
    <cellStyle name="40% - 强调文字颜色 1 6 2 18" xfId="4565"/>
    <cellStyle name="40% - 强调文字颜色 1 6 2 19" xfId="4566"/>
    <cellStyle name="40% - 强调文字颜色 1 6 2 2" xfId="4567"/>
    <cellStyle name="40% - 强调文字颜色 1 6 2 20" xfId="4568"/>
    <cellStyle name="40% - 强调文字颜色 1 6 2 21" xfId="4569"/>
    <cellStyle name="40% - 强调文字颜色 1 6 2 22" xfId="4570"/>
    <cellStyle name="40% - 强调文字颜色 1 6 2 23" xfId="4571"/>
    <cellStyle name="40% - 强调文字颜色 1 6 2 24" xfId="4572"/>
    <cellStyle name="40% - 强调文字颜色 1 6 2 25" xfId="4573"/>
    <cellStyle name="40% - 强调文字颜色 1 6 2 26" xfId="4574"/>
    <cellStyle name="40% - 强调文字颜色 1 6 2 27" xfId="4575"/>
    <cellStyle name="40% - 强调文字颜色 1 6 2 3" xfId="4576"/>
    <cellStyle name="40% - 强调文字颜色 1 6 2 4" xfId="4577"/>
    <cellStyle name="40% - 强调文字颜色 1 6 2 5" xfId="4578"/>
    <cellStyle name="40% - 强调文字颜色 1 6 2 6" xfId="4579"/>
    <cellStyle name="40% - 强调文字颜色 1 6 2 7" xfId="4580"/>
    <cellStyle name="40% - 强调文字颜色 1 6 2 8" xfId="4581"/>
    <cellStyle name="40% - 强调文字颜色 1 6 2 9" xfId="4582"/>
    <cellStyle name="40% - 强调文字颜色 1 6 20" xfId="4583"/>
    <cellStyle name="40% - 强调文字颜色 1 6 21" xfId="4584"/>
    <cellStyle name="40% - 强调文字颜色 1 6 22" xfId="4585"/>
    <cellStyle name="40% - 强调文字颜色 1 6 23" xfId="4586"/>
    <cellStyle name="40% - 强调文字颜色 1 6 24" xfId="4587"/>
    <cellStyle name="40% - 强调文字颜色 1 6 25" xfId="4588"/>
    <cellStyle name="40% - 强调文字颜色 1 6 26" xfId="4589"/>
    <cellStyle name="40% - 强调文字颜色 1 6 27" xfId="4590"/>
    <cellStyle name="40% - 强调文字颜色 1 6 28" xfId="4591"/>
    <cellStyle name="40% - 强调文字颜色 1 6 3" xfId="4592"/>
    <cellStyle name="40% - 强调文字颜色 1 6 4" xfId="4593"/>
    <cellStyle name="40% - 强调文字颜色 1 6 5" xfId="4594"/>
    <cellStyle name="40% - 强调文字颜色 1 6 6" xfId="4595"/>
    <cellStyle name="40% - 强调文字颜色 1 6 7" xfId="4596"/>
    <cellStyle name="40% - 强调文字颜色 1 6 8" xfId="4597"/>
    <cellStyle name="40% - 强调文字颜色 1 6 9" xfId="4598"/>
    <cellStyle name="40% - 强调文字颜色 1 7" xfId="4599"/>
    <cellStyle name="40% - 强调文字颜色 1 7 10" xfId="4600"/>
    <cellStyle name="40% - 强调文字颜色 1 7 11" xfId="4601"/>
    <cellStyle name="40% - 强调文字颜色 1 7 12" xfId="4602"/>
    <cellStyle name="40% - 强调文字颜色 1 7 13" xfId="4603"/>
    <cellStyle name="40% - 强调文字颜色 1 7 14" xfId="4604"/>
    <cellStyle name="40% - 强调文字颜色 1 7 15" xfId="4605"/>
    <cellStyle name="40% - 强调文字颜色 1 7 16" xfId="4606"/>
    <cellStyle name="40% - 强调文字颜色 1 7 17" xfId="4607"/>
    <cellStyle name="40% - 强调文字颜色 1 7 18" xfId="4608"/>
    <cellStyle name="40% - 强调文字颜色 1 7 19" xfId="4609"/>
    <cellStyle name="40% - 强调文字颜色 1 7 2" xfId="4610"/>
    <cellStyle name="40% - 强调文字颜色 1 7 2 10" xfId="4611"/>
    <cellStyle name="40% - 强调文字颜色 1 7 2 11" xfId="4612"/>
    <cellStyle name="40% - 强调文字颜色 1 7 2 12" xfId="4613"/>
    <cellStyle name="40% - 强调文字颜色 1 7 2 13" xfId="4614"/>
    <cellStyle name="40% - 强调文字颜色 1 7 2 14" xfId="4615"/>
    <cellStyle name="40% - 强调文字颜色 1 7 2 15" xfId="4616"/>
    <cellStyle name="40% - 强调文字颜色 1 7 2 16" xfId="4617"/>
    <cellStyle name="40% - 强调文字颜色 1 7 2 17" xfId="4618"/>
    <cellStyle name="40% - 强调文字颜色 1 7 2 18" xfId="4619"/>
    <cellStyle name="40% - 强调文字颜色 1 7 2 19" xfId="4620"/>
    <cellStyle name="40% - 强调文字颜色 1 7 2 2" xfId="4621"/>
    <cellStyle name="40% - 强调文字颜色 1 7 2 20" xfId="4622"/>
    <cellStyle name="40% - 强调文字颜色 1 7 2 21" xfId="4623"/>
    <cellStyle name="40% - 强调文字颜色 1 7 2 22" xfId="4624"/>
    <cellStyle name="40% - 强调文字颜色 1 7 2 23" xfId="4625"/>
    <cellStyle name="40% - 强调文字颜色 1 7 2 24" xfId="4626"/>
    <cellStyle name="40% - 强调文字颜色 1 7 2 25" xfId="4627"/>
    <cellStyle name="40% - 强调文字颜色 1 7 2 26" xfId="4628"/>
    <cellStyle name="40% - 强调文字颜色 1 7 2 27" xfId="4629"/>
    <cellStyle name="40% - 强调文字颜色 1 7 2 3" xfId="4630"/>
    <cellStyle name="40% - 强调文字颜色 1 7 2 4" xfId="4631"/>
    <cellStyle name="40% - 强调文字颜色 1 7 2 5" xfId="4632"/>
    <cellStyle name="40% - 强调文字颜色 1 7 2 6" xfId="4633"/>
    <cellStyle name="40% - 强调文字颜色 1 7 2 7" xfId="4634"/>
    <cellStyle name="40% - 强调文字颜色 1 7 2 8" xfId="4635"/>
    <cellStyle name="40% - 强调文字颜色 1 7 2 9" xfId="4636"/>
    <cellStyle name="40% - 强调文字颜色 1 7 20" xfId="4637"/>
    <cellStyle name="40% - 强调文字颜色 1 7 21" xfId="4638"/>
    <cellStyle name="40% - 强调文字颜色 1 7 22" xfId="4639"/>
    <cellStyle name="40% - 强调文字颜色 1 7 23" xfId="4640"/>
    <cellStyle name="40% - 强调文字颜色 1 7 24" xfId="4641"/>
    <cellStyle name="40% - 强调文字颜色 1 7 25" xfId="4642"/>
    <cellStyle name="40% - 强调文字颜色 1 7 26" xfId="4643"/>
    <cellStyle name="40% - 强调文字颜色 1 7 27" xfId="4644"/>
    <cellStyle name="40% - 强调文字颜色 1 7 28" xfId="4645"/>
    <cellStyle name="40% - 强调文字颜色 1 7 3" xfId="4646"/>
    <cellStyle name="40% - 强调文字颜色 1 7 4" xfId="4647"/>
    <cellStyle name="40% - 强调文字颜色 1 7 5" xfId="4648"/>
    <cellStyle name="40% - 强调文字颜色 1 7 6" xfId="4649"/>
    <cellStyle name="40% - 强调文字颜色 1 7 7" xfId="4650"/>
    <cellStyle name="40% - 强调文字颜色 1 7 8" xfId="4651"/>
    <cellStyle name="40% - 强调文字颜色 1 7 9" xfId="4652"/>
    <cellStyle name="40% - 强调文字颜色 1 8" xfId="4653"/>
    <cellStyle name="40% - 强调文字颜色 1 8 10" xfId="4654"/>
    <cellStyle name="40% - 强调文字颜色 1 8 11" xfId="4655"/>
    <cellStyle name="40% - 强调文字颜色 1 8 12" xfId="4656"/>
    <cellStyle name="40% - 强调文字颜色 1 8 13" xfId="4657"/>
    <cellStyle name="40% - 强调文字颜色 1 8 14" xfId="4658"/>
    <cellStyle name="40% - 强调文字颜色 1 8 15" xfId="4659"/>
    <cellStyle name="40% - 强调文字颜色 1 8 16" xfId="4660"/>
    <cellStyle name="40% - 强调文字颜色 1 8 17" xfId="4661"/>
    <cellStyle name="40% - 强调文字颜色 1 8 18" xfId="4662"/>
    <cellStyle name="40% - 强调文字颜色 1 8 19" xfId="4663"/>
    <cellStyle name="40% - 强调文字颜色 1 8 2" xfId="4664"/>
    <cellStyle name="40% - 强调文字颜色 1 8 2 10" xfId="4665"/>
    <cellStyle name="40% - 强调文字颜色 1 8 2 11" xfId="4666"/>
    <cellStyle name="40% - 强调文字颜色 1 8 2 12" xfId="4667"/>
    <cellStyle name="40% - 强调文字颜色 1 8 2 13" xfId="4668"/>
    <cellStyle name="40% - 强调文字颜色 1 8 2 14" xfId="4669"/>
    <cellStyle name="40% - 强调文字颜色 1 8 2 15" xfId="4670"/>
    <cellStyle name="40% - 强调文字颜色 1 8 2 16" xfId="4671"/>
    <cellStyle name="40% - 强调文字颜色 1 8 2 17" xfId="4672"/>
    <cellStyle name="40% - 强调文字颜色 1 8 2 18" xfId="4673"/>
    <cellStyle name="40% - 强调文字颜色 1 8 2 19" xfId="4674"/>
    <cellStyle name="40% - 强调文字颜色 1 8 2 2" xfId="4675"/>
    <cellStyle name="40% - 强调文字颜色 1 8 2 20" xfId="4676"/>
    <cellStyle name="40% - 强调文字颜色 1 8 2 21" xfId="4677"/>
    <cellStyle name="40% - 强调文字颜色 1 8 2 22" xfId="4678"/>
    <cellStyle name="40% - 强调文字颜色 1 8 2 23" xfId="4679"/>
    <cellStyle name="40% - 强调文字颜色 1 8 2 24" xfId="4680"/>
    <cellStyle name="40% - 强调文字颜色 1 8 2 25" xfId="4681"/>
    <cellStyle name="40% - 强调文字颜色 1 8 2 26" xfId="4682"/>
    <cellStyle name="40% - 强调文字颜色 1 8 2 27" xfId="4683"/>
    <cellStyle name="40% - 强调文字颜色 1 8 2 3" xfId="4684"/>
    <cellStyle name="40% - 强调文字颜色 1 8 2 4" xfId="4685"/>
    <cellStyle name="40% - 强调文字颜色 1 8 2 5" xfId="4686"/>
    <cellStyle name="40% - 强调文字颜色 1 8 2 6" xfId="4687"/>
    <cellStyle name="40% - 强调文字颜色 1 8 2 7" xfId="4688"/>
    <cellStyle name="40% - 强调文字颜色 1 8 2 8" xfId="4689"/>
    <cellStyle name="40% - 强调文字颜色 1 8 2 9" xfId="4690"/>
    <cellStyle name="40% - 强调文字颜色 1 8 20" xfId="4691"/>
    <cellStyle name="40% - 强调文字颜色 1 8 21" xfId="4692"/>
    <cellStyle name="40% - 强调文字颜色 1 8 22" xfId="4693"/>
    <cellStyle name="40% - 强调文字颜色 1 8 23" xfId="4694"/>
    <cellStyle name="40% - 强调文字颜色 1 8 24" xfId="4695"/>
    <cellStyle name="40% - 强调文字颜色 1 8 25" xfId="4696"/>
    <cellStyle name="40% - 强调文字颜色 1 8 26" xfId="4697"/>
    <cellStyle name="40% - 强调文字颜色 1 8 27" xfId="4698"/>
    <cellStyle name="40% - 强调文字颜色 1 8 28" xfId="4699"/>
    <cellStyle name="40% - 强调文字颜色 1 8 3" xfId="4700"/>
    <cellStyle name="40% - 强调文字颜色 1 8 4" xfId="4701"/>
    <cellStyle name="40% - 强调文字颜色 1 8 5" xfId="4702"/>
    <cellStyle name="40% - 强调文字颜色 1 8 6" xfId="4703"/>
    <cellStyle name="40% - 强调文字颜色 1 8 7" xfId="4704"/>
    <cellStyle name="40% - 强调文字颜色 1 8 8" xfId="4705"/>
    <cellStyle name="40% - 强调文字颜色 1 8 9" xfId="4706"/>
    <cellStyle name="40% - 强调文字颜色 1 9" xfId="4707"/>
    <cellStyle name="40% - 强调文字颜色 1 9 10" xfId="4708"/>
    <cellStyle name="40% - 强调文字颜色 1 9 11" xfId="4709"/>
    <cellStyle name="40% - 强调文字颜色 1 9 12" xfId="4710"/>
    <cellStyle name="40% - 强调文字颜色 1 9 13" xfId="4711"/>
    <cellStyle name="40% - 强调文字颜色 1 9 14" xfId="4712"/>
    <cellStyle name="40% - 强调文字颜色 1 9 15" xfId="4713"/>
    <cellStyle name="40% - 强调文字颜色 1 9 16" xfId="4714"/>
    <cellStyle name="40% - 强调文字颜色 1 9 17" xfId="4715"/>
    <cellStyle name="40% - 强调文字颜色 1 9 18" xfId="4716"/>
    <cellStyle name="40% - 强调文字颜色 1 9 19" xfId="4717"/>
    <cellStyle name="40% - 强调文字颜色 1 9 2" xfId="4718"/>
    <cellStyle name="40% - 强调文字颜色 1 9 2 10" xfId="4719"/>
    <cellStyle name="40% - 强调文字颜色 1 9 2 11" xfId="4720"/>
    <cellStyle name="40% - 强调文字颜色 1 9 2 12" xfId="4721"/>
    <cellStyle name="40% - 强调文字颜色 1 9 2 13" xfId="4722"/>
    <cellStyle name="40% - 强调文字颜色 1 9 2 14" xfId="4723"/>
    <cellStyle name="40% - 强调文字颜色 1 9 2 15" xfId="4724"/>
    <cellStyle name="40% - 强调文字颜色 1 9 2 16" xfId="4725"/>
    <cellStyle name="40% - 强调文字颜色 1 9 2 17" xfId="4726"/>
    <cellStyle name="40% - 强调文字颜色 1 9 2 18" xfId="4727"/>
    <cellStyle name="40% - 强调文字颜色 1 9 2 19" xfId="4728"/>
    <cellStyle name="40% - 强调文字颜色 1 9 2 2" xfId="4729"/>
    <cellStyle name="40% - 强调文字颜色 1 9 2 20" xfId="4730"/>
    <cellStyle name="40% - 强调文字颜色 1 9 2 21" xfId="4731"/>
    <cellStyle name="40% - 强调文字颜色 1 9 2 22" xfId="4732"/>
    <cellStyle name="40% - 强调文字颜色 1 9 2 23" xfId="4733"/>
    <cellStyle name="40% - 强调文字颜色 1 9 2 24" xfId="4734"/>
    <cellStyle name="40% - 强调文字颜色 1 9 2 25" xfId="4735"/>
    <cellStyle name="40% - 强调文字颜色 1 9 2 26" xfId="4736"/>
    <cellStyle name="40% - 强调文字颜色 1 9 2 27" xfId="4737"/>
    <cellStyle name="40% - 强调文字颜色 1 9 2 3" xfId="4738"/>
    <cellStyle name="40% - 强调文字颜色 1 9 2 4" xfId="4739"/>
    <cellStyle name="40% - 强调文字颜色 1 9 2 5" xfId="4740"/>
    <cellStyle name="40% - 强调文字颜色 1 9 2 6" xfId="4741"/>
    <cellStyle name="40% - 强调文字颜色 1 9 2 7" xfId="4742"/>
    <cellStyle name="40% - 强调文字颜色 1 9 2 8" xfId="4743"/>
    <cellStyle name="40% - 强调文字颜色 1 9 2 9" xfId="4744"/>
    <cellStyle name="40% - 强调文字颜色 1 9 20" xfId="4745"/>
    <cellStyle name="40% - 强调文字颜色 1 9 21" xfId="4746"/>
    <cellStyle name="40% - 强调文字颜色 1 9 22" xfId="4747"/>
    <cellStyle name="40% - 强调文字颜色 1 9 23" xfId="4748"/>
    <cellStyle name="40% - 强调文字颜色 1 9 24" xfId="4749"/>
    <cellStyle name="40% - 强调文字颜色 1 9 25" xfId="4750"/>
    <cellStyle name="40% - 强调文字颜色 1 9 26" xfId="4751"/>
    <cellStyle name="40% - 强调文字颜色 1 9 27" xfId="4752"/>
    <cellStyle name="40% - 强调文字颜色 1 9 28" xfId="4753"/>
    <cellStyle name="40% - 强调文字颜色 1 9 3" xfId="4754"/>
    <cellStyle name="40% - 强调文字颜色 1 9 4" xfId="4755"/>
    <cellStyle name="40% - 强调文字颜色 1 9 5" xfId="4756"/>
    <cellStyle name="40% - 强调文字颜色 1 9 6" xfId="4757"/>
    <cellStyle name="40% - 强调文字颜色 1 9 7" xfId="4758"/>
    <cellStyle name="40% - 强调文字颜色 1 9 8" xfId="4759"/>
    <cellStyle name="40% - 强调文字颜色 1 9 9" xfId="4760"/>
    <cellStyle name="40% - 强调文字颜色 2 10" xfId="4761"/>
    <cellStyle name="40% - 强调文字颜色 2 10 10" xfId="4762"/>
    <cellStyle name="40% - 强调文字颜色 2 10 11" xfId="4763"/>
    <cellStyle name="40% - 强调文字颜色 2 10 12" xfId="4764"/>
    <cellStyle name="40% - 强调文字颜色 2 10 13" xfId="4765"/>
    <cellStyle name="40% - 强调文字颜色 2 10 14" xfId="4766"/>
    <cellStyle name="40% - 强调文字颜色 2 10 15" xfId="4767"/>
    <cellStyle name="40% - 强调文字颜色 2 10 16" xfId="4768"/>
    <cellStyle name="40% - 强调文字颜色 2 10 17" xfId="4769"/>
    <cellStyle name="40% - 强调文字颜色 2 10 18" xfId="4770"/>
    <cellStyle name="40% - 强调文字颜色 2 10 19" xfId="4771"/>
    <cellStyle name="40% - 强调文字颜色 2 10 2" xfId="4772"/>
    <cellStyle name="40% - 强调文字颜色 2 10 2 10" xfId="4773"/>
    <cellStyle name="40% - 强调文字颜色 2 10 2 11" xfId="4774"/>
    <cellStyle name="40% - 强调文字颜色 2 10 2 12" xfId="4775"/>
    <cellStyle name="40% - 强调文字颜色 2 10 2 13" xfId="4776"/>
    <cellStyle name="40% - 强调文字颜色 2 10 2 14" xfId="4777"/>
    <cellStyle name="40% - 强调文字颜色 2 10 2 15" xfId="4778"/>
    <cellStyle name="40% - 强调文字颜色 2 10 2 16" xfId="4779"/>
    <cellStyle name="40% - 强调文字颜色 2 10 2 17" xfId="4780"/>
    <cellStyle name="40% - 强调文字颜色 2 10 2 18" xfId="4781"/>
    <cellStyle name="40% - 强调文字颜色 2 10 2 19" xfId="4782"/>
    <cellStyle name="40% - 强调文字颜色 2 10 2 2" xfId="4783"/>
    <cellStyle name="40% - 强调文字颜色 2 10 2 20" xfId="4784"/>
    <cellStyle name="40% - 强调文字颜色 2 10 2 21" xfId="4785"/>
    <cellStyle name="40% - 强调文字颜色 2 10 2 22" xfId="4786"/>
    <cellStyle name="40% - 强调文字颜色 2 10 2 23" xfId="4787"/>
    <cellStyle name="40% - 强调文字颜色 2 10 2 24" xfId="4788"/>
    <cellStyle name="40% - 强调文字颜色 2 10 2 25" xfId="4789"/>
    <cellStyle name="40% - 强调文字颜色 2 10 2 26" xfId="4790"/>
    <cellStyle name="40% - 强调文字颜色 2 10 2 27" xfId="4791"/>
    <cellStyle name="40% - 强调文字颜色 2 10 2 3" xfId="4792"/>
    <cellStyle name="40% - 强调文字颜色 2 10 2 4" xfId="4793"/>
    <cellStyle name="40% - 强调文字颜色 2 10 2 5" xfId="4794"/>
    <cellStyle name="40% - 强调文字颜色 2 10 2 6" xfId="4795"/>
    <cellStyle name="40% - 强调文字颜色 2 10 2 7" xfId="4796"/>
    <cellStyle name="40% - 强调文字颜色 2 10 2 8" xfId="4797"/>
    <cellStyle name="40% - 强调文字颜色 2 10 2 9" xfId="4798"/>
    <cellStyle name="40% - 强调文字颜色 2 10 20" xfId="4799"/>
    <cellStyle name="40% - 强调文字颜色 2 10 21" xfId="4800"/>
    <cellStyle name="40% - 强调文字颜色 2 10 22" xfId="4801"/>
    <cellStyle name="40% - 强调文字颜色 2 10 23" xfId="4802"/>
    <cellStyle name="40% - 强调文字颜色 2 10 24" xfId="4803"/>
    <cellStyle name="40% - 强调文字颜色 2 10 25" xfId="4804"/>
    <cellStyle name="40% - 强调文字颜色 2 10 26" xfId="4805"/>
    <cellStyle name="40% - 强调文字颜色 2 10 27" xfId="4806"/>
    <cellStyle name="40% - 强调文字颜色 2 10 28" xfId="4807"/>
    <cellStyle name="40% - 强调文字颜色 2 10 3" xfId="4808"/>
    <cellStyle name="40% - 强调文字颜色 2 10 4" xfId="4809"/>
    <cellStyle name="40% - 强调文字颜色 2 10 5" xfId="4810"/>
    <cellStyle name="40% - 强调文字颜色 2 10 6" xfId="4811"/>
    <cellStyle name="40% - 强调文字颜色 2 10 7" xfId="4812"/>
    <cellStyle name="40% - 强调文字颜色 2 10 8" xfId="4813"/>
    <cellStyle name="40% - 强调文字颜色 2 10 9" xfId="4814"/>
    <cellStyle name="40% - 强调文字颜色 2 11" xfId="4815"/>
    <cellStyle name="40% - 强调文字颜色 2 11 10" xfId="4816"/>
    <cellStyle name="40% - 强调文字颜色 2 11 11" xfId="4817"/>
    <cellStyle name="40% - 强调文字颜色 2 11 12" xfId="4818"/>
    <cellStyle name="40% - 强调文字颜色 2 11 13" xfId="4819"/>
    <cellStyle name="40% - 强调文字颜色 2 11 14" xfId="4820"/>
    <cellStyle name="40% - 强调文字颜色 2 11 15" xfId="4821"/>
    <cellStyle name="40% - 强调文字颜色 2 11 16" xfId="4822"/>
    <cellStyle name="40% - 强调文字颜色 2 11 17" xfId="4823"/>
    <cellStyle name="40% - 强调文字颜色 2 11 18" xfId="4824"/>
    <cellStyle name="40% - 强调文字颜色 2 11 19" xfId="4825"/>
    <cellStyle name="40% - 强调文字颜色 2 11 2" xfId="4826"/>
    <cellStyle name="40% - 强调文字颜色 2 11 2 10" xfId="4827"/>
    <cellStyle name="40% - 强调文字颜色 2 11 2 11" xfId="4828"/>
    <cellStyle name="40% - 强调文字颜色 2 11 2 12" xfId="4829"/>
    <cellStyle name="40% - 强调文字颜色 2 11 2 13" xfId="4830"/>
    <cellStyle name="40% - 强调文字颜色 2 11 2 14" xfId="4831"/>
    <cellStyle name="40% - 强调文字颜色 2 11 2 15" xfId="4832"/>
    <cellStyle name="40% - 强调文字颜色 2 11 2 16" xfId="4833"/>
    <cellStyle name="40% - 强调文字颜色 2 11 2 17" xfId="4834"/>
    <cellStyle name="40% - 强调文字颜色 2 11 2 18" xfId="4835"/>
    <cellStyle name="40% - 强调文字颜色 2 11 2 19" xfId="4836"/>
    <cellStyle name="40% - 强调文字颜色 2 11 2 2" xfId="4837"/>
    <cellStyle name="40% - 强调文字颜色 2 11 2 20" xfId="4838"/>
    <cellStyle name="40% - 强调文字颜色 2 11 2 21" xfId="4839"/>
    <cellStyle name="40% - 强调文字颜色 2 11 2 22" xfId="4840"/>
    <cellStyle name="40% - 强调文字颜色 2 11 2 23" xfId="4841"/>
    <cellStyle name="40% - 强调文字颜色 2 11 2 24" xfId="4842"/>
    <cellStyle name="40% - 强调文字颜色 2 11 2 25" xfId="4843"/>
    <cellStyle name="40% - 强调文字颜色 2 11 2 26" xfId="4844"/>
    <cellStyle name="40% - 强调文字颜色 2 11 2 27" xfId="4845"/>
    <cellStyle name="40% - 强调文字颜色 2 11 2 3" xfId="4846"/>
    <cellStyle name="40% - 强调文字颜色 2 11 2 4" xfId="4847"/>
    <cellStyle name="40% - 强调文字颜色 2 11 2 5" xfId="4848"/>
    <cellStyle name="40% - 强调文字颜色 2 11 2 6" xfId="4849"/>
    <cellStyle name="40% - 强调文字颜色 2 11 2 7" xfId="4850"/>
    <cellStyle name="40% - 强调文字颜色 2 11 2 8" xfId="4851"/>
    <cellStyle name="40% - 强调文字颜色 2 11 2 9" xfId="4852"/>
    <cellStyle name="40% - 强调文字颜色 2 11 20" xfId="4853"/>
    <cellStyle name="40% - 强调文字颜色 2 11 21" xfId="4854"/>
    <cellStyle name="40% - 强调文字颜色 2 11 22" xfId="4855"/>
    <cellStyle name="40% - 强调文字颜色 2 11 23" xfId="4856"/>
    <cellStyle name="40% - 强调文字颜色 2 11 24" xfId="4857"/>
    <cellStyle name="40% - 强调文字颜色 2 11 25" xfId="4858"/>
    <cellStyle name="40% - 强调文字颜色 2 11 26" xfId="4859"/>
    <cellStyle name="40% - 强调文字颜色 2 11 27" xfId="4860"/>
    <cellStyle name="40% - 强调文字颜色 2 11 28" xfId="4861"/>
    <cellStyle name="40% - 强调文字颜色 2 11 3" xfId="4862"/>
    <cellStyle name="40% - 强调文字颜色 2 11 4" xfId="4863"/>
    <cellStyle name="40% - 强调文字颜色 2 11 5" xfId="4864"/>
    <cellStyle name="40% - 强调文字颜色 2 11 6" xfId="4865"/>
    <cellStyle name="40% - 强调文字颜色 2 11 7" xfId="4866"/>
    <cellStyle name="40% - 强调文字颜色 2 11 8" xfId="4867"/>
    <cellStyle name="40% - 强调文字颜色 2 11 9" xfId="4868"/>
    <cellStyle name="40% - 强调文字颜色 2 12" xfId="4869"/>
    <cellStyle name="40% - 强调文字颜色 2 13" xfId="4870"/>
    <cellStyle name="40% - 强调文字颜色 2 14" xfId="4871"/>
    <cellStyle name="40% - 强调文字颜色 2 15" xfId="4872"/>
    <cellStyle name="40% - 强调文字颜色 2 16" xfId="4873"/>
    <cellStyle name="40% - 强调文字颜色 2 17" xfId="4874"/>
    <cellStyle name="40% - 强调文字颜色 2 18" xfId="4875"/>
    <cellStyle name="40% - 强调文字颜色 2 19" xfId="4876"/>
    <cellStyle name="40% - 强调文字颜色 2 2" xfId="4877"/>
    <cellStyle name="40% - 强调文字颜色 2 2 10" xfId="4878"/>
    <cellStyle name="40% - 强调文字颜色 2 2 11" xfId="4879"/>
    <cellStyle name="40% - 强调文字颜色 2 2 12" xfId="4880"/>
    <cellStyle name="40% - 强调文字颜色 2 2 13" xfId="4881"/>
    <cellStyle name="40% - 强调文字颜色 2 2 14" xfId="4882"/>
    <cellStyle name="40% - 强调文字颜色 2 2 15" xfId="4883"/>
    <cellStyle name="40% - 强调文字颜色 2 2 16" xfId="4884"/>
    <cellStyle name="40% - 强调文字颜色 2 2 17" xfId="4885"/>
    <cellStyle name="40% - 强调文字颜色 2 2 18" xfId="4886"/>
    <cellStyle name="40% - 强调文字颜色 2 2 19" xfId="4887"/>
    <cellStyle name="40% - 强调文字颜色 2 2 2" xfId="4888"/>
    <cellStyle name="40% - 强调文字颜色 2 2 2 10" xfId="4889"/>
    <cellStyle name="40% - 强调文字颜色 2 2 2 11" xfId="4890"/>
    <cellStyle name="40% - 强调文字颜色 2 2 2 12" xfId="4891"/>
    <cellStyle name="40% - 强调文字颜色 2 2 2 13" xfId="4892"/>
    <cellStyle name="40% - 强调文字颜色 2 2 2 14" xfId="4893"/>
    <cellStyle name="40% - 强调文字颜色 2 2 2 15" xfId="4894"/>
    <cellStyle name="40% - 强调文字颜色 2 2 2 16" xfId="4895"/>
    <cellStyle name="40% - 强调文字颜色 2 2 2 17" xfId="4896"/>
    <cellStyle name="40% - 强调文字颜色 2 2 2 18" xfId="4897"/>
    <cellStyle name="40% - 强调文字颜色 2 2 2 19" xfId="4898"/>
    <cellStyle name="40% - 强调文字颜色 2 2 2 2" xfId="4899"/>
    <cellStyle name="40% - 强调文字颜色 2 2 2 2 10" xfId="4900"/>
    <cellStyle name="40% - 强调文字颜色 2 2 2 2 11" xfId="4901"/>
    <cellStyle name="40% - 强调文字颜色 2 2 2 2 12" xfId="4902"/>
    <cellStyle name="40% - 强调文字颜色 2 2 2 2 13" xfId="4903"/>
    <cellStyle name="40% - 强调文字颜色 2 2 2 2 14" xfId="4904"/>
    <cellStyle name="40% - 强调文字颜色 2 2 2 2 15" xfId="4905"/>
    <cellStyle name="40% - 强调文字颜色 2 2 2 2 16" xfId="4906"/>
    <cellStyle name="40% - 强调文字颜色 2 2 2 2 17" xfId="4907"/>
    <cellStyle name="40% - 强调文字颜色 2 2 2 2 18" xfId="4908"/>
    <cellStyle name="40% - 强调文字颜色 2 2 2 2 19" xfId="4909"/>
    <cellStyle name="40% - 强调文字颜色 2 2 2 2 2" xfId="4910"/>
    <cellStyle name="40% - 强调文字颜色 2 2 2 2 20" xfId="4911"/>
    <cellStyle name="40% - 强调文字颜色 2 2 2 2 21" xfId="4912"/>
    <cellStyle name="40% - 强调文字颜色 2 2 2 2 22" xfId="4913"/>
    <cellStyle name="40% - 强调文字颜色 2 2 2 2 23" xfId="4914"/>
    <cellStyle name="40% - 强调文字颜色 2 2 2 2 24" xfId="4915"/>
    <cellStyle name="40% - 强调文字颜色 2 2 2 2 25" xfId="4916"/>
    <cellStyle name="40% - 强调文字颜色 2 2 2 2 26" xfId="4917"/>
    <cellStyle name="40% - 强调文字颜色 2 2 2 2 27" xfId="4918"/>
    <cellStyle name="40% - 强调文字颜色 2 2 2 2 3" xfId="4919"/>
    <cellStyle name="40% - 强调文字颜色 2 2 2 2 4" xfId="4920"/>
    <cellStyle name="40% - 强调文字颜色 2 2 2 2 5" xfId="4921"/>
    <cellStyle name="40% - 强调文字颜色 2 2 2 2 6" xfId="4922"/>
    <cellStyle name="40% - 强调文字颜色 2 2 2 2 7" xfId="4923"/>
    <cellStyle name="40% - 强调文字颜色 2 2 2 2 8" xfId="4924"/>
    <cellStyle name="40% - 强调文字颜色 2 2 2 2 9" xfId="4925"/>
    <cellStyle name="40% - 强调文字颜色 2 2 2 20" xfId="4926"/>
    <cellStyle name="40% - 强调文字颜色 2 2 2 21" xfId="4927"/>
    <cellStyle name="40% - 强调文字颜色 2 2 2 22" xfId="4928"/>
    <cellStyle name="40% - 强调文字颜色 2 2 2 23" xfId="4929"/>
    <cellStyle name="40% - 强调文字颜色 2 2 2 24" xfId="4930"/>
    <cellStyle name="40% - 强调文字颜色 2 2 2 25" xfId="4931"/>
    <cellStyle name="40% - 强调文字颜色 2 2 2 26" xfId="4932"/>
    <cellStyle name="40% - 强调文字颜色 2 2 2 27" xfId="4933"/>
    <cellStyle name="40% - 强调文字颜色 2 2 2 28" xfId="4934"/>
    <cellStyle name="40% - 强调文字颜色 2 2 2 3" xfId="4935"/>
    <cellStyle name="40% - 强调文字颜色 2 2 2 4" xfId="4936"/>
    <cellStyle name="40% - 强调文字颜色 2 2 2 5" xfId="4937"/>
    <cellStyle name="40% - 强调文字颜色 2 2 2 6" xfId="4938"/>
    <cellStyle name="40% - 强调文字颜色 2 2 2 7" xfId="4939"/>
    <cellStyle name="40% - 强调文字颜色 2 2 2 8" xfId="4940"/>
    <cellStyle name="40% - 强调文字颜色 2 2 2 9" xfId="4941"/>
    <cellStyle name="40% - 强调文字颜色 2 2 20" xfId="4942"/>
    <cellStyle name="40% - 强调文字颜色 2 2 21" xfId="4943"/>
    <cellStyle name="40% - 强调文字颜色 2 2 22" xfId="4944"/>
    <cellStyle name="40% - 强调文字颜色 2 2 23" xfId="4945"/>
    <cellStyle name="40% - 强调文字颜色 2 2 24" xfId="4946"/>
    <cellStyle name="40% - 强调文字颜色 2 2 25" xfId="4947"/>
    <cellStyle name="40% - 强调文字颜色 2 2 26" xfId="4948"/>
    <cellStyle name="40% - 强调文字颜色 2 2 27" xfId="4949"/>
    <cellStyle name="40% - 强调文字颜色 2 2 28" xfId="4950"/>
    <cellStyle name="40% - 强调文字颜色 2 2 29" xfId="4951"/>
    <cellStyle name="40% - 强调文字颜色 2 2 3" xfId="4952"/>
    <cellStyle name="40% - 强调文字颜色 2 2 3 10" xfId="4953"/>
    <cellStyle name="40% - 强调文字颜色 2 2 3 11" xfId="4954"/>
    <cellStyle name="40% - 强调文字颜色 2 2 3 12" xfId="4955"/>
    <cellStyle name="40% - 强调文字颜色 2 2 3 13" xfId="4956"/>
    <cellStyle name="40% - 强调文字颜色 2 2 3 14" xfId="4957"/>
    <cellStyle name="40% - 强调文字颜色 2 2 3 15" xfId="4958"/>
    <cellStyle name="40% - 强调文字颜色 2 2 3 16" xfId="4959"/>
    <cellStyle name="40% - 强调文字颜色 2 2 3 17" xfId="4960"/>
    <cellStyle name="40% - 强调文字颜色 2 2 3 18" xfId="4961"/>
    <cellStyle name="40% - 强调文字颜色 2 2 3 19" xfId="4962"/>
    <cellStyle name="40% - 强调文字颜色 2 2 3 2" xfId="4963"/>
    <cellStyle name="40% - 强调文字颜色 2 2 3 2 10" xfId="4964"/>
    <cellStyle name="40% - 强调文字颜色 2 2 3 2 11" xfId="4965"/>
    <cellStyle name="40% - 强调文字颜色 2 2 3 2 12" xfId="4966"/>
    <cellStyle name="40% - 强调文字颜色 2 2 3 2 13" xfId="4967"/>
    <cellStyle name="40% - 强调文字颜色 2 2 3 2 14" xfId="4968"/>
    <cellStyle name="40% - 强调文字颜色 2 2 3 2 15" xfId="4969"/>
    <cellStyle name="40% - 强调文字颜色 2 2 3 2 16" xfId="4970"/>
    <cellStyle name="40% - 强调文字颜色 2 2 3 2 17" xfId="4971"/>
    <cellStyle name="40% - 强调文字颜色 2 2 3 2 18" xfId="4972"/>
    <cellStyle name="40% - 强调文字颜色 2 2 3 2 19" xfId="4973"/>
    <cellStyle name="40% - 强调文字颜色 2 2 3 2 2" xfId="4974"/>
    <cellStyle name="40% - 强调文字颜色 2 2 3 2 20" xfId="4975"/>
    <cellStyle name="40% - 强调文字颜色 2 2 3 2 21" xfId="4976"/>
    <cellStyle name="40% - 强调文字颜色 2 2 3 2 22" xfId="4977"/>
    <cellStyle name="40% - 强调文字颜色 2 2 3 2 23" xfId="4978"/>
    <cellStyle name="40% - 强调文字颜色 2 2 3 2 24" xfId="4979"/>
    <cellStyle name="40% - 强调文字颜色 2 2 3 2 25" xfId="4980"/>
    <cellStyle name="40% - 强调文字颜色 2 2 3 2 26" xfId="4981"/>
    <cellStyle name="40% - 强调文字颜色 2 2 3 2 27" xfId="4982"/>
    <cellStyle name="40% - 强调文字颜色 2 2 3 2 3" xfId="4983"/>
    <cellStyle name="40% - 强调文字颜色 2 2 3 2 4" xfId="4984"/>
    <cellStyle name="40% - 强调文字颜色 2 2 3 2 5" xfId="4985"/>
    <cellStyle name="40% - 强调文字颜色 2 2 3 2 6" xfId="4986"/>
    <cellStyle name="40% - 强调文字颜色 2 2 3 2 7" xfId="4987"/>
    <cellStyle name="40% - 强调文字颜色 2 2 3 2 8" xfId="4988"/>
    <cellStyle name="40% - 强调文字颜色 2 2 3 2 9" xfId="4989"/>
    <cellStyle name="40% - 强调文字颜色 2 2 3 20" xfId="4990"/>
    <cellStyle name="40% - 强调文字颜色 2 2 3 21" xfId="4991"/>
    <cellStyle name="40% - 强调文字颜色 2 2 3 22" xfId="4992"/>
    <cellStyle name="40% - 强调文字颜色 2 2 3 23" xfId="4993"/>
    <cellStyle name="40% - 强调文字颜色 2 2 3 24" xfId="4994"/>
    <cellStyle name="40% - 强调文字颜色 2 2 3 25" xfId="4995"/>
    <cellStyle name="40% - 强调文字颜色 2 2 3 26" xfId="4996"/>
    <cellStyle name="40% - 强调文字颜色 2 2 3 27" xfId="4997"/>
    <cellStyle name="40% - 强调文字颜色 2 2 3 28" xfId="4998"/>
    <cellStyle name="40% - 强调文字颜色 2 2 3 3" xfId="4999"/>
    <cellStyle name="40% - 强调文字颜色 2 2 3 4" xfId="5000"/>
    <cellStyle name="40% - 强调文字颜色 2 2 3 5" xfId="5001"/>
    <cellStyle name="40% - 强调文字颜色 2 2 3 6" xfId="5002"/>
    <cellStyle name="40% - 强调文字颜色 2 2 3 7" xfId="5003"/>
    <cellStyle name="40% - 强调文字颜色 2 2 3 8" xfId="5004"/>
    <cellStyle name="40% - 强调文字颜色 2 2 3 9" xfId="5005"/>
    <cellStyle name="40% - 强调文字颜色 2 2 30" xfId="5006"/>
    <cellStyle name="40% - 强调文字颜色 2 2 31" xfId="5007"/>
    <cellStyle name="40% - 强调文字颜色 2 2 32" xfId="5008"/>
    <cellStyle name="40% - 强调文字颜色 2 2 33" xfId="5009"/>
    <cellStyle name="40% - 强调文字颜色 2 2 4" xfId="5010"/>
    <cellStyle name="40% - 强调文字颜色 2 2 4 10" xfId="5011"/>
    <cellStyle name="40% - 强调文字颜色 2 2 4 11" xfId="5012"/>
    <cellStyle name="40% - 强调文字颜色 2 2 4 12" xfId="5013"/>
    <cellStyle name="40% - 强调文字颜色 2 2 4 13" xfId="5014"/>
    <cellStyle name="40% - 强调文字颜色 2 2 4 14" xfId="5015"/>
    <cellStyle name="40% - 强调文字颜色 2 2 4 15" xfId="5016"/>
    <cellStyle name="40% - 强调文字颜色 2 2 4 16" xfId="5017"/>
    <cellStyle name="40% - 强调文字颜色 2 2 4 17" xfId="5018"/>
    <cellStyle name="40% - 强调文字颜色 2 2 4 18" xfId="5019"/>
    <cellStyle name="40% - 强调文字颜色 2 2 4 19" xfId="5020"/>
    <cellStyle name="40% - 强调文字颜色 2 2 4 2" xfId="5021"/>
    <cellStyle name="40% - 强调文字颜色 2 2 4 20" xfId="5022"/>
    <cellStyle name="40% - 强调文字颜色 2 2 4 21" xfId="5023"/>
    <cellStyle name="40% - 强调文字颜色 2 2 4 22" xfId="5024"/>
    <cellStyle name="40% - 强调文字颜色 2 2 4 23" xfId="5025"/>
    <cellStyle name="40% - 强调文字颜色 2 2 4 24" xfId="5026"/>
    <cellStyle name="40% - 强调文字颜色 2 2 4 25" xfId="5027"/>
    <cellStyle name="40% - 强调文字颜色 2 2 4 26" xfId="5028"/>
    <cellStyle name="40% - 强调文字颜色 2 2 4 27" xfId="5029"/>
    <cellStyle name="40% - 强调文字颜色 2 2 4 3" xfId="5030"/>
    <cellStyle name="40% - 强调文字颜色 2 2 4 4" xfId="5031"/>
    <cellStyle name="40% - 强调文字颜色 2 2 4 5" xfId="5032"/>
    <cellStyle name="40% - 强调文字颜色 2 2 4 6" xfId="5033"/>
    <cellStyle name="40% - 强调文字颜色 2 2 4 7" xfId="5034"/>
    <cellStyle name="40% - 强调文字颜色 2 2 4 8" xfId="5035"/>
    <cellStyle name="40% - 强调文字颜色 2 2 4 9" xfId="5036"/>
    <cellStyle name="40% - 强调文字颜色 2 2 5" xfId="5037"/>
    <cellStyle name="40% - 强调文字颜色 2 2 6" xfId="5038"/>
    <cellStyle name="40% - 强调文字颜色 2 2 7" xfId="5039"/>
    <cellStyle name="40% - 强调文字颜色 2 2 8" xfId="5040"/>
    <cellStyle name="40% - 强调文字颜色 2 2 9" xfId="5041"/>
    <cellStyle name="40% - 强调文字颜色 2 20" xfId="5042"/>
    <cellStyle name="40% - 强调文字颜色 2 21" xfId="5043"/>
    <cellStyle name="40% - 强调文字颜色 2 22" xfId="5044"/>
    <cellStyle name="40% - 强调文字颜色 2 23" xfId="5045"/>
    <cellStyle name="40% - 强调文字颜色 2 24" xfId="5046"/>
    <cellStyle name="40% - 强调文字颜色 2 25" xfId="5047"/>
    <cellStyle name="40% - 强调文字颜色 2 26" xfId="5048"/>
    <cellStyle name="40% - 强调文字颜色 2 27" xfId="5049"/>
    <cellStyle name="40% - 强调文字颜色 2 28" xfId="5050"/>
    <cellStyle name="40% - 强调文字颜色 2 29" xfId="5051"/>
    <cellStyle name="40% - 强调文字颜色 2 3" xfId="5052"/>
    <cellStyle name="40% - 强调文字颜色 2 3 10" xfId="5053"/>
    <cellStyle name="40% - 强调文字颜色 2 3 11" xfId="5054"/>
    <cellStyle name="40% - 强调文字颜色 2 3 12" xfId="5055"/>
    <cellStyle name="40% - 强调文字颜色 2 3 13" xfId="5056"/>
    <cellStyle name="40% - 强调文字颜色 2 3 14" xfId="5057"/>
    <cellStyle name="40% - 强调文字颜色 2 3 15" xfId="5058"/>
    <cellStyle name="40% - 强调文字颜色 2 3 16" xfId="5059"/>
    <cellStyle name="40% - 强调文字颜色 2 3 17" xfId="5060"/>
    <cellStyle name="40% - 强调文字颜色 2 3 18" xfId="5061"/>
    <cellStyle name="40% - 强调文字颜色 2 3 19" xfId="5062"/>
    <cellStyle name="40% - 强调文字颜色 2 3 2" xfId="5063"/>
    <cellStyle name="40% - 强调文字颜色 2 3 2 10" xfId="5064"/>
    <cellStyle name="40% - 强调文字颜色 2 3 2 11" xfId="5065"/>
    <cellStyle name="40% - 强调文字颜色 2 3 2 12" xfId="5066"/>
    <cellStyle name="40% - 强调文字颜色 2 3 2 13" xfId="5067"/>
    <cellStyle name="40% - 强调文字颜色 2 3 2 14" xfId="5068"/>
    <cellStyle name="40% - 强调文字颜色 2 3 2 15" xfId="5069"/>
    <cellStyle name="40% - 强调文字颜色 2 3 2 16" xfId="5070"/>
    <cellStyle name="40% - 强调文字颜色 2 3 2 17" xfId="5071"/>
    <cellStyle name="40% - 强调文字颜色 2 3 2 18" xfId="5072"/>
    <cellStyle name="40% - 强调文字颜色 2 3 2 19" xfId="5073"/>
    <cellStyle name="40% - 强调文字颜色 2 3 2 2" xfId="5074"/>
    <cellStyle name="40% - 强调文字颜色 2 3 2 20" xfId="5075"/>
    <cellStyle name="40% - 强调文字颜色 2 3 2 21" xfId="5076"/>
    <cellStyle name="40% - 强调文字颜色 2 3 2 22" xfId="5077"/>
    <cellStyle name="40% - 强调文字颜色 2 3 2 23" xfId="5078"/>
    <cellStyle name="40% - 强调文字颜色 2 3 2 24" xfId="5079"/>
    <cellStyle name="40% - 强调文字颜色 2 3 2 25" xfId="5080"/>
    <cellStyle name="40% - 强调文字颜色 2 3 2 26" xfId="5081"/>
    <cellStyle name="40% - 强调文字颜色 2 3 2 27" xfId="5082"/>
    <cellStyle name="40% - 强调文字颜色 2 3 2 3" xfId="5083"/>
    <cellStyle name="40% - 强调文字颜色 2 3 2 4" xfId="5084"/>
    <cellStyle name="40% - 强调文字颜色 2 3 2 5" xfId="5085"/>
    <cellStyle name="40% - 强调文字颜色 2 3 2 6" xfId="5086"/>
    <cellStyle name="40% - 强调文字颜色 2 3 2 7" xfId="5087"/>
    <cellStyle name="40% - 强调文字颜色 2 3 2 8" xfId="5088"/>
    <cellStyle name="40% - 强调文字颜色 2 3 2 9" xfId="5089"/>
    <cellStyle name="40% - 强调文字颜色 2 3 20" xfId="5090"/>
    <cellStyle name="40% - 强调文字颜色 2 3 21" xfId="5091"/>
    <cellStyle name="40% - 强调文字颜色 2 3 22" xfId="5092"/>
    <cellStyle name="40% - 强调文字颜色 2 3 23" xfId="5093"/>
    <cellStyle name="40% - 强调文字颜色 2 3 24" xfId="5094"/>
    <cellStyle name="40% - 强调文字颜色 2 3 25" xfId="5095"/>
    <cellStyle name="40% - 强调文字颜色 2 3 26" xfId="5096"/>
    <cellStyle name="40% - 强调文字颜色 2 3 27" xfId="5097"/>
    <cellStyle name="40% - 强调文字颜色 2 3 28" xfId="5098"/>
    <cellStyle name="40% - 强调文字颜色 2 3 3" xfId="5099"/>
    <cellStyle name="40% - 强调文字颜色 2 3 4" xfId="5100"/>
    <cellStyle name="40% - 强调文字颜色 2 3 5" xfId="5101"/>
    <cellStyle name="40% - 强调文字颜色 2 3 6" xfId="5102"/>
    <cellStyle name="40% - 强调文字颜色 2 3 7" xfId="5103"/>
    <cellStyle name="40% - 强调文字颜色 2 3 8" xfId="5104"/>
    <cellStyle name="40% - 强调文字颜色 2 3 9" xfId="5105"/>
    <cellStyle name="40% - 强调文字颜色 2 30" xfId="5106"/>
    <cellStyle name="40% - 强调文字颜色 2 31" xfId="5107"/>
    <cellStyle name="40% - 强调文字颜色 2 32" xfId="5108"/>
    <cellStyle name="40% - 强调文字颜色 2 33" xfId="5109"/>
    <cellStyle name="40% - 强调文字颜色 2 34" xfId="5110"/>
    <cellStyle name="40% - 强调文字颜色 2 35" xfId="5111"/>
    <cellStyle name="40% - 强调文字颜色 2 36" xfId="5112"/>
    <cellStyle name="40% - 强调文字颜色 2 37" xfId="5113"/>
    <cellStyle name="40% - 强调文字颜色 2 38" xfId="5114"/>
    <cellStyle name="40% - 强调文字颜色 2 39" xfId="5115"/>
    <cellStyle name="40% - 强调文字颜色 2 4" xfId="5116"/>
    <cellStyle name="40% - 强调文字颜色 2 4 10" xfId="5117"/>
    <cellStyle name="40% - 强调文字颜色 2 4 11" xfId="5118"/>
    <cellStyle name="40% - 强调文字颜色 2 4 12" xfId="5119"/>
    <cellStyle name="40% - 强调文字颜色 2 4 13" xfId="5120"/>
    <cellStyle name="40% - 强调文字颜色 2 4 14" xfId="5121"/>
    <cellStyle name="40% - 强调文字颜色 2 4 15" xfId="5122"/>
    <cellStyle name="40% - 强调文字颜色 2 4 16" xfId="5123"/>
    <cellStyle name="40% - 强调文字颜色 2 4 17" xfId="5124"/>
    <cellStyle name="40% - 强调文字颜色 2 4 18" xfId="5125"/>
    <cellStyle name="40% - 强调文字颜色 2 4 19" xfId="5126"/>
    <cellStyle name="40% - 强调文字颜色 2 4 2" xfId="5127"/>
    <cellStyle name="40% - 强调文字颜色 2 4 2 10" xfId="5128"/>
    <cellStyle name="40% - 强调文字颜色 2 4 2 11" xfId="5129"/>
    <cellStyle name="40% - 强调文字颜色 2 4 2 12" xfId="5130"/>
    <cellStyle name="40% - 强调文字颜色 2 4 2 13" xfId="5131"/>
    <cellStyle name="40% - 强调文字颜色 2 4 2 14" xfId="5132"/>
    <cellStyle name="40% - 强调文字颜色 2 4 2 15" xfId="5133"/>
    <cellStyle name="40% - 强调文字颜色 2 4 2 16" xfId="5134"/>
    <cellStyle name="40% - 强调文字颜色 2 4 2 17" xfId="5135"/>
    <cellStyle name="40% - 强调文字颜色 2 4 2 18" xfId="5136"/>
    <cellStyle name="40% - 强调文字颜色 2 4 2 19" xfId="5137"/>
    <cellStyle name="40% - 强调文字颜色 2 4 2 2" xfId="5138"/>
    <cellStyle name="40% - 强调文字颜色 2 4 2 20" xfId="5139"/>
    <cellStyle name="40% - 强调文字颜色 2 4 2 21" xfId="5140"/>
    <cellStyle name="40% - 强调文字颜色 2 4 2 22" xfId="5141"/>
    <cellStyle name="40% - 强调文字颜色 2 4 2 23" xfId="5142"/>
    <cellStyle name="40% - 强调文字颜色 2 4 2 24" xfId="5143"/>
    <cellStyle name="40% - 强调文字颜色 2 4 2 25" xfId="5144"/>
    <cellStyle name="40% - 强调文字颜色 2 4 2 26" xfId="5145"/>
    <cellStyle name="40% - 强调文字颜色 2 4 2 27" xfId="5146"/>
    <cellStyle name="40% - 强调文字颜色 2 4 2 3" xfId="5147"/>
    <cellStyle name="40% - 强调文字颜色 2 4 2 4" xfId="5148"/>
    <cellStyle name="40% - 强调文字颜色 2 4 2 5" xfId="5149"/>
    <cellStyle name="40% - 强调文字颜色 2 4 2 6" xfId="5150"/>
    <cellStyle name="40% - 强调文字颜色 2 4 2 7" xfId="5151"/>
    <cellStyle name="40% - 强调文字颜色 2 4 2 8" xfId="5152"/>
    <cellStyle name="40% - 强调文字颜色 2 4 2 9" xfId="5153"/>
    <cellStyle name="40% - 强调文字颜色 2 4 20" xfId="5154"/>
    <cellStyle name="40% - 强调文字颜色 2 4 21" xfId="5155"/>
    <cellStyle name="40% - 强调文字颜色 2 4 22" xfId="5156"/>
    <cellStyle name="40% - 强调文字颜色 2 4 23" xfId="5157"/>
    <cellStyle name="40% - 强调文字颜色 2 4 24" xfId="5158"/>
    <cellStyle name="40% - 强调文字颜色 2 4 25" xfId="5159"/>
    <cellStyle name="40% - 强调文字颜色 2 4 26" xfId="5160"/>
    <cellStyle name="40% - 强调文字颜色 2 4 27" xfId="5161"/>
    <cellStyle name="40% - 强调文字颜色 2 4 28" xfId="5162"/>
    <cellStyle name="40% - 强调文字颜色 2 4 3" xfId="5163"/>
    <cellStyle name="40% - 强调文字颜色 2 4 4" xfId="5164"/>
    <cellStyle name="40% - 强调文字颜色 2 4 5" xfId="5165"/>
    <cellStyle name="40% - 强调文字颜色 2 4 6" xfId="5166"/>
    <cellStyle name="40% - 强调文字颜色 2 4 7" xfId="5167"/>
    <cellStyle name="40% - 强调文字颜色 2 4 8" xfId="5168"/>
    <cellStyle name="40% - 强调文字颜色 2 4 9" xfId="5169"/>
    <cellStyle name="40% - 强调文字颜色 2 40" xfId="5170"/>
    <cellStyle name="40% - 强调文字颜色 2 5" xfId="5171"/>
    <cellStyle name="40% - 强调文字颜色 2 5 10" xfId="5172"/>
    <cellStyle name="40% - 强调文字颜色 2 5 11" xfId="5173"/>
    <cellStyle name="40% - 强调文字颜色 2 5 12" xfId="5174"/>
    <cellStyle name="40% - 强调文字颜色 2 5 13" xfId="5175"/>
    <cellStyle name="40% - 强调文字颜色 2 5 14" xfId="5176"/>
    <cellStyle name="40% - 强调文字颜色 2 5 15" xfId="5177"/>
    <cellStyle name="40% - 强调文字颜色 2 5 16" xfId="5178"/>
    <cellStyle name="40% - 强调文字颜色 2 5 17" xfId="5179"/>
    <cellStyle name="40% - 强调文字颜色 2 5 18" xfId="5180"/>
    <cellStyle name="40% - 强调文字颜色 2 5 19" xfId="5181"/>
    <cellStyle name="40% - 强调文字颜色 2 5 2" xfId="5182"/>
    <cellStyle name="40% - 强调文字颜色 2 5 2 10" xfId="5183"/>
    <cellStyle name="40% - 强调文字颜色 2 5 2 11" xfId="5184"/>
    <cellStyle name="40% - 强调文字颜色 2 5 2 12" xfId="5185"/>
    <cellStyle name="40% - 强调文字颜色 2 5 2 13" xfId="5186"/>
    <cellStyle name="40% - 强调文字颜色 2 5 2 14" xfId="5187"/>
    <cellStyle name="40% - 强调文字颜色 2 5 2 15" xfId="5188"/>
    <cellStyle name="40% - 强调文字颜色 2 5 2 16" xfId="5189"/>
    <cellStyle name="40% - 强调文字颜色 2 5 2 17" xfId="5190"/>
    <cellStyle name="40% - 强调文字颜色 2 5 2 18" xfId="5191"/>
    <cellStyle name="40% - 强调文字颜色 2 5 2 19" xfId="5192"/>
    <cellStyle name="40% - 强调文字颜色 2 5 2 2" xfId="5193"/>
    <cellStyle name="40% - 强调文字颜色 2 5 2 20" xfId="5194"/>
    <cellStyle name="40% - 强调文字颜色 2 5 2 21" xfId="5195"/>
    <cellStyle name="40% - 强调文字颜色 2 5 2 22" xfId="5196"/>
    <cellStyle name="40% - 强调文字颜色 2 5 2 23" xfId="5197"/>
    <cellStyle name="40% - 强调文字颜色 2 5 2 24" xfId="5198"/>
    <cellStyle name="40% - 强调文字颜色 2 5 2 25" xfId="5199"/>
    <cellStyle name="40% - 强调文字颜色 2 5 2 26" xfId="5200"/>
    <cellStyle name="40% - 强调文字颜色 2 5 2 27" xfId="5201"/>
    <cellStyle name="40% - 强调文字颜色 2 5 2 3" xfId="5202"/>
    <cellStyle name="40% - 强调文字颜色 2 5 2 4" xfId="5203"/>
    <cellStyle name="40% - 强调文字颜色 2 5 2 5" xfId="5204"/>
    <cellStyle name="40% - 强调文字颜色 2 5 2 6" xfId="5205"/>
    <cellStyle name="40% - 强调文字颜色 2 5 2 7" xfId="5206"/>
    <cellStyle name="40% - 强调文字颜色 2 5 2 8" xfId="5207"/>
    <cellStyle name="40% - 强调文字颜色 2 5 2 9" xfId="5208"/>
    <cellStyle name="40% - 强调文字颜色 2 5 20" xfId="5209"/>
    <cellStyle name="40% - 强调文字颜色 2 5 21" xfId="5210"/>
    <cellStyle name="40% - 强调文字颜色 2 5 22" xfId="5211"/>
    <cellStyle name="40% - 强调文字颜色 2 5 23" xfId="5212"/>
    <cellStyle name="40% - 强调文字颜色 2 5 24" xfId="5213"/>
    <cellStyle name="40% - 强调文字颜色 2 5 25" xfId="5214"/>
    <cellStyle name="40% - 强调文字颜色 2 5 26" xfId="5215"/>
    <cellStyle name="40% - 强调文字颜色 2 5 27" xfId="5216"/>
    <cellStyle name="40% - 强调文字颜色 2 5 28" xfId="5217"/>
    <cellStyle name="40% - 强调文字颜色 2 5 3" xfId="5218"/>
    <cellStyle name="40% - 强调文字颜色 2 5 4" xfId="5219"/>
    <cellStyle name="40% - 强调文字颜色 2 5 5" xfId="5220"/>
    <cellStyle name="40% - 强调文字颜色 2 5 6" xfId="5221"/>
    <cellStyle name="40% - 强调文字颜色 2 5 7" xfId="5222"/>
    <cellStyle name="40% - 强调文字颜色 2 5 8" xfId="5223"/>
    <cellStyle name="40% - 强调文字颜色 2 5 9" xfId="5224"/>
    <cellStyle name="40% - 强调文字颜色 2 6" xfId="5225"/>
    <cellStyle name="40% - 强调文字颜色 2 6 10" xfId="5226"/>
    <cellStyle name="40% - 强调文字颜色 2 6 11" xfId="5227"/>
    <cellStyle name="40% - 强调文字颜色 2 6 12" xfId="5228"/>
    <cellStyle name="40% - 强调文字颜色 2 6 13" xfId="5229"/>
    <cellStyle name="40% - 强调文字颜色 2 6 14" xfId="5230"/>
    <cellStyle name="40% - 强调文字颜色 2 6 15" xfId="5231"/>
    <cellStyle name="40% - 强调文字颜色 2 6 16" xfId="5232"/>
    <cellStyle name="40% - 强调文字颜色 2 6 17" xfId="5233"/>
    <cellStyle name="40% - 强调文字颜色 2 6 18" xfId="5234"/>
    <cellStyle name="40% - 强调文字颜色 2 6 19" xfId="5235"/>
    <cellStyle name="40% - 强调文字颜色 2 6 2" xfId="5236"/>
    <cellStyle name="40% - 强调文字颜色 2 6 2 10" xfId="5237"/>
    <cellStyle name="40% - 强调文字颜色 2 6 2 11" xfId="5238"/>
    <cellStyle name="40% - 强调文字颜色 2 6 2 12" xfId="5239"/>
    <cellStyle name="40% - 强调文字颜色 2 6 2 13" xfId="5240"/>
    <cellStyle name="40% - 强调文字颜色 2 6 2 14" xfId="5241"/>
    <cellStyle name="40% - 强调文字颜色 2 6 2 15" xfId="5242"/>
    <cellStyle name="40% - 强调文字颜色 2 6 2 16" xfId="5243"/>
    <cellStyle name="40% - 强调文字颜色 2 6 2 17" xfId="5244"/>
    <cellStyle name="40% - 强调文字颜色 2 6 2 18" xfId="5245"/>
    <cellStyle name="40% - 强调文字颜色 2 6 2 19" xfId="5246"/>
    <cellStyle name="40% - 强调文字颜色 2 6 2 2" xfId="5247"/>
    <cellStyle name="40% - 强调文字颜色 2 6 2 20" xfId="5248"/>
    <cellStyle name="40% - 强调文字颜色 2 6 2 21" xfId="5249"/>
    <cellStyle name="40% - 强调文字颜色 2 6 2 22" xfId="5250"/>
    <cellStyle name="40% - 强调文字颜色 2 6 2 23" xfId="5251"/>
    <cellStyle name="40% - 强调文字颜色 2 6 2 24" xfId="5252"/>
    <cellStyle name="40% - 强调文字颜色 2 6 2 25" xfId="5253"/>
    <cellStyle name="40% - 强调文字颜色 2 6 2 26" xfId="5254"/>
    <cellStyle name="40% - 强调文字颜色 2 6 2 27" xfId="5255"/>
    <cellStyle name="40% - 强调文字颜色 2 6 2 3" xfId="5256"/>
    <cellStyle name="40% - 强调文字颜色 2 6 2 4" xfId="5257"/>
    <cellStyle name="40% - 强调文字颜色 2 6 2 5" xfId="5258"/>
    <cellStyle name="40% - 强调文字颜色 2 6 2 6" xfId="5259"/>
    <cellStyle name="40% - 强调文字颜色 2 6 2 7" xfId="5260"/>
    <cellStyle name="40% - 强调文字颜色 2 6 2 8" xfId="5261"/>
    <cellStyle name="40% - 强调文字颜色 2 6 2 9" xfId="5262"/>
    <cellStyle name="40% - 强调文字颜色 2 6 20" xfId="5263"/>
    <cellStyle name="40% - 强调文字颜色 2 6 21" xfId="5264"/>
    <cellStyle name="40% - 强调文字颜色 2 6 22" xfId="5265"/>
    <cellStyle name="40% - 强调文字颜色 2 6 23" xfId="5266"/>
    <cellStyle name="40% - 强调文字颜色 2 6 24" xfId="5267"/>
    <cellStyle name="40% - 强调文字颜色 2 6 25" xfId="5268"/>
    <cellStyle name="40% - 强调文字颜色 2 6 26" xfId="5269"/>
    <cellStyle name="40% - 强调文字颜色 2 6 27" xfId="5270"/>
    <cellStyle name="40% - 强调文字颜色 2 6 28" xfId="5271"/>
    <cellStyle name="40% - 强调文字颜色 2 6 3" xfId="5272"/>
    <cellStyle name="40% - 强调文字颜色 2 6 4" xfId="5273"/>
    <cellStyle name="40% - 强调文字颜色 2 6 5" xfId="5274"/>
    <cellStyle name="40% - 强调文字颜色 2 6 6" xfId="5275"/>
    <cellStyle name="40% - 强调文字颜色 2 6 7" xfId="5276"/>
    <cellStyle name="40% - 强调文字颜色 2 6 8" xfId="5277"/>
    <cellStyle name="40% - 强调文字颜色 2 6 9" xfId="5278"/>
    <cellStyle name="40% - 强调文字颜色 2 7" xfId="5279"/>
    <cellStyle name="40% - 强调文字颜色 2 7 10" xfId="5280"/>
    <cellStyle name="40% - 强调文字颜色 2 7 11" xfId="5281"/>
    <cellStyle name="40% - 强调文字颜色 2 7 12" xfId="5282"/>
    <cellStyle name="40% - 强调文字颜色 2 7 13" xfId="5283"/>
    <cellStyle name="40% - 强调文字颜色 2 7 14" xfId="5284"/>
    <cellStyle name="40% - 强调文字颜色 2 7 15" xfId="5285"/>
    <cellStyle name="40% - 强调文字颜色 2 7 16" xfId="5286"/>
    <cellStyle name="40% - 强调文字颜色 2 7 17" xfId="5287"/>
    <cellStyle name="40% - 强调文字颜色 2 7 18" xfId="5288"/>
    <cellStyle name="40% - 强调文字颜色 2 7 19" xfId="5289"/>
    <cellStyle name="40% - 强调文字颜色 2 7 2" xfId="5290"/>
    <cellStyle name="40% - 强调文字颜色 2 7 2 10" xfId="5291"/>
    <cellStyle name="40% - 强调文字颜色 2 7 2 11" xfId="5292"/>
    <cellStyle name="40% - 强调文字颜色 2 7 2 12" xfId="5293"/>
    <cellStyle name="40% - 强调文字颜色 2 7 2 13" xfId="5294"/>
    <cellStyle name="40% - 强调文字颜色 2 7 2 14" xfId="5295"/>
    <cellStyle name="40% - 强调文字颜色 2 7 2 15" xfId="5296"/>
    <cellStyle name="40% - 强调文字颜色 2 7 2 16" xfId="5297"/>
    <cellStyle name="40% - 强调文字颜色 2 7 2 17" xfId="5298"/>
    <cellStyle name="40% - 强调文字颜色 2 7 2 18" xfId="5299"/>
    <cellStyle name="40% - 强调文字颜色 2 7 2 19" xfId="5300"/>
    <cellStyle name="40% - 强调文字颜色 2 7 2 2" xfId="5301"/>
    <cellStyle name="40% - 强调文字颜色 2 7 2 20" xfId="5302"/>
    <cellStyle name="40% - 强调文字颜色 2 7 2 21" xfId="5303"/>
    <cellStyle name="40% - 强调文字颜色 2 7 2 22" xfId="5304"/>
    <cellStyle name="40% - 强调文字颜色 2 7 2 23" xfId="5305"/>
    <cellStyle name="40% - 强调文字颜色 2 7 2 24" xfId="5306"/>
    <cellStyle name="40% - 强调文字颜色 2 7 2 25" xfId="5307"/>
    <cellStyle name="40% - 强调文字颜色 2 7 2 26" xfId="5308"/>
    <cellStyle name="40% - 强调文字颜色 2 7 2 27" xfId="5309"/>
    <cellStyle name="40% - 强调文字颜色 2 7 2 3" xfId="5310"/>
    <cellStyle name="40% - 强调文字颜色 2 7 2 4" xfId="5311"/>
    <cellStyle name="40% - 强调文字颜色 2 7 2 5" xfId="5312"/>
    <cellStyle name="40% - 强调文字颜色 2 7 2 6" xfId="5313"/>
    <cellStyle name="40% - 强调文字颜色 2 7 2 7" xfId="5314"/>
    <cellStyle name="40% - 强调文字颜色 2 7 2 8" xfId="5315"/>
    <cellStyle name="40% - 强调文字颜色 2 7 2 9" xfId="5316"/>
    <cellStyle name="40% - 强调文字颜色 2 7 20" xfId="5317"/>
    <cellStyle name="40% - 强调文字颜色 2 7 21" xfId="5318"/>
    <cellStyle name="40% - 强调文字颜色 2 7 22" xfId="5319"/>
    <cellStyle name="40% - 强调文字颜色 2 7 23" xfId="5320"/>
    <cellStyle name="40% - 强调文字颜色 2 7 24" xfId="5321"/>
    <cellStyle name="40% - 强调文字颜色 2 7 25" xfId="5322"/>
    <cellStyle name="40% - 强调文字颜色 2 7 26" xfId="5323"/>
    <cellStyle name="40% - 强调文字颜色 2 7 27" xfId="5324"/>
    <cellStyle name="40% - 强调文字颜色 2 7 28" xfId="5325"/>
    <cellStyle name="40% - 强调文字颜色 2 7 3" xfId="5326"/>
    <cellStyle name="40% - 强调文字颜色 2 7 4" xfId="5327"/>
    <cellStyle name="40% - 强调文字颜色 2 7 5" xfId="5328"/>
    <cellStyle name="40% - 强调文字颜色 2 7 6" xfId="5329"/>
    <cellStyle name="40% - 强调文字颜色 2 7 7" xfId="5330"/>
    <cellStyle name="40% - 强调文字颜色 2 7 8" xfId="5331"/>
    <cellStyle name="40% - 强调文字颜色 2 7 9" xfId="5332"/>
    <cellStyle name="40% - 强调文字颜色 2 8" xfId="5333"/>
    <cellStyle name="40% - 强调文字颜色 2 8 10" xfId="5334"/>
    <cellStyle name="40% - 强调文字颜色 2 8 11" xfId="5335"/>
    <cellStyle name="40% - 强调文字颜色 2 8 12" xfId="5336"/>
    <cellStyle name="40% - 强调文字颜色 2 8 13" xfId="5337"/>
    <cellStyle name="40% - 强调文字颜色 2 8 14" xfId="5338"/>
    <cellStyle name="40% - 强调文字颜色 2 8 15" xfId="5339"/>
    <cellStyle name="40% - 强调文字颜色 2 8 16" xfId="5340"/>
    <cellStyle name="40% - 强调文字颜色 2 8 17" xfId="5341"/>
    <cellStyle name="40% - 强调文字颜色 2 8 18" xfId="5342"/>
    <cellStyle name="40% - 强调文字颜色 2 8 19" xfId="5343"/>
    <cellStyle name="40% - 强调文字颜色 2 8 2" xfId="5344"/>
    <cellStyle name="40% - 强调文字颜色 2 8 2 10" xfId="5345"/>
    <cellStyle name="40% - 强调文字颜色 2 8 2 11" xfId="5346"/>
    <cellStyle name="40% - 强调文字颜色 2 8 2 12" xfId="5347"/>
    <cellStyle name="40% - 强调文字颜色 2 8 2 13" xfId="5348"/>
    <cellStyle name="40% - 强调文字颜色 2 8 2 14" xfId="5349"/>
    <cellStyle name="40% - 强调文字颜色 2 8 2 15" xfId="5350"/>
    <cellStyle name="40% - 强调文字颜色 2 8 2 16" xfId="5351"/>
    <cellStyle name="40% - 强调文字颜色 2 8 2 17" xfId="5352"/>
    <cellStyle name="40% - 强调文字颜色 2 8 2 18" xfId="5353"/>
    <cellStyle name="40% - 强调文字颜色 2 8 2 19" xfId="5354"/>
    <cellStyle name="40% - 强调文字颜色 2 8 2 2" xfId="5355"/>
    <cellStyle name="40% - 强调文字颜色 2 8 2 20" xfId="5356"/>
    <cellStyle name="40% - 强调文字颜色 2 8 2 21" xfId="5357"/>
    <cellStyle name="40% - 强调文字颜色 2 8 2 22" xfId="5358"/>
    <cellStyle name="40% - 强调文字颜色 2 8 2 23" xfId="5359"/>
    <cellStyle name="40% - 强调文字颜色 2 8 2 24" xfId="5360"/>
    <cellStyle name="40% - 强调文字颜色 2 8 2 25" xfId="5361"/>
    <cellStyle name="40% - 强调文字颜色 2 8 2 26" xfId="5362"/>
    <cellStyle name="40% - 强调文字颜色 2 8 2 27" xfId="5363"/>
    <cellStyle name="40% - 强调文字颜色 2 8 2 3" xfId="5364"/>
    <cellStyle name="40% - 强调文字颜色 2 8 2 4" xfId="5365"/>
    <cellStyle name="40% - 强调文字颜色 2 8 2 5" xfId="5366"/>
    <cellStyle name="40% - 强调文字颜色 2 8 2 6" xfId="5367"/>
    <cellStyle name="40% - 强调文字颜色 2 8 2 7" xfId="5368"/>
    <cellStyle name="40% - 强调文字颜色 2 8 2 8" xfId="5369"/>
    <cellStyle name="40% - 强调文字颜色 2 8 2 9" xfId="5370"/>
    <cellStyle name="40% - 强调文字颜色 2 8 20" xfId="5371"/>
    <cellStyle name="40% - 强调文字颜色 2 8 21" xfId="5372"/>
    <cellStyle name="40% - 强调文字颜色 2 8 22" xfId="5373"/>
    <cellStyle name="40% - 强调文字颜色 2 8 23" xfId="5374"/>
    <cellStyle name="40% - 强调文字颜色 2 8 24" xfId="5375"/>
    <cellStyle name="40% - 强调文字颜色 2 8 25" xfId="5376"/>
    <cellStyle name="40% - 强调文字颜色 2 8 26" xfId="5377"/>
    <cellStyle name="40% - 强调文字颜色 2 8 27" xfId="5378"/>
    <cellStyle name="40% - 强调文字颜色 2 8 28" xfId="5379"/>
    <cellStyle name="40% - 强调文字颜色 2 8 3" xfId="5380"/>
    <cellStyle name="40% - 强调文字颜色 2 8 4" xfId="5381"/>
    <cellStyle name="40% - 强调文字颜色 2 8 5" xfId="5382"/>
    <cellStyle name="40% - 强调文字颜色 2 8 6" xfId="5383"/>
    <cellStyle name="40% - 强调文字颜色 2 8 7" xfId="5384"/>
    <cellStyle name="40% - 强调文字颜色 2 8 8" xfId="5385"/>
    <cellStyle name="40% - 强调文字颜色 2 8 9" xfId="5386"/>
    <cellStyle name="40% - 强调文字颜色 2 9" xfId="5387"/>
    <cellStyle name="40% - 强调文字颜色 2 9 10" xfId="5388"/>
    <cellStyle name="40% - 强调文字颜色 2 9 11" xfId="5389"/>
    <cellStyle name="40% - 强调文字颜色 2 9 12" xfId="5390"/>
    <cellStyle name="40% - 强调文字颜色 2 9 13" xfId="5391"/>
    <cellStyle name="40% - 强调文字颜色 2 9 14" xfId="5392"/>
    <cellStyle name="40% - 强调文字颜色 2 9 15" xfId="5393"/>
    <cellStyle name="40% - 强调文字颜色 2 9 16" xfId="5394"/>
    <cellStyle name="40% - 强调文字颜色 2 9 17" xfId="5395"/>
    <cellStyle name="40% - 强调文字颜色 2 9 18" xfId="5396"/>
    <cellStyle name="40% - 强调文字颜色 2 9 19" xfId="5397"/>
    <cellStyle name="40% - 强调文字颜色 2 9 2" xfId="5398"/>
    <cellStyle name="40% - 强调文字颜色 2 9 2 10" xfId="5399"/>
    <cellStyle name="40% - 强调文字颜色 2 9 2 11" xfId="5400"/>
    <cellStyle name="40% - 强调文字颜色 2 9 2 12" xfId="5401"/>
    <cellStyle name="40% - 强调文字颜色 2 9 2 13" xfId="5402"/>
    <cellStyle name="40% - 强调文字颜色 2 9 2 14" xfId="5403"/>
    <cellStyle name="40% - 强调文字颜色 2 9 2 15" xfId="5404"/>
    <cellStyle name="40% - 强调文字颜色 2 9 2 16" xfId="5405"/>
    <cellStyle name="40% - 强调文字颜色 2 9 2 17" xfId="5406"/>
    <cellStyle name="40% - 强调文字颜色 2 9 2 18" xfId="5407"/>
    <cellStyle name="40% - 强调文字颜色 2 9 2 19" xfId="5408"/>
    <cellStyle name="40% - 强调文字颜色 2 9 2 2" xfId="5409"/>
    <cellStyle name="40% - 强调文字颜色 2 9 2 20" xfId="5410"/>
    <cellStyle name="40% - 强调文字颜色 2 9 2 21" xfId="5411"/>
    <cellStyle name="40% - 强调文字颜色 2 9 2 22" xfId="5412"/>
    <cellStyle name="40% - 强调文字颜色 2 9 2 23" xfId="5413"/>
    <cellStyle name="40% - 强调文字颜色 2 9 2 24" xfId="5414"/>
    <cellStyle name="40% - 强调文字颜色 2 9 2 25" xfId="5415"/>
    <cellStyle name="40% - 强调文字颜色 2 9 2 26" xfId="5416"/>
    <cellStyle name="40% - 强调文字颜色 2 9 2 27" xfId="5417"/>
    <cellStyle name="40% - 强调文字颜色 2 9 2 3" xfId="5418"/>
    <cellStyle name="40% - 强调文字颜色 2 9 2 4" xfId="5419"/>
    <cellStyle name="40% - 强调文字颜色 2 9 2 5" xfId="5420"/>
    <cellStyle name="40% - 强调文字颜色 2 9 2 6" xfId="5421"/>
    <cellStyle name="40% - 强调文字颜色 2 9 2 7" xfId="5422"/>
    <cellStyle name="40% - 强调文字颜色 2 9 2 8" xfId="5423"/>
    <cellStyle name="40% - 强调文字颜色 2 9 2 9" xfId="5424"/>
    <cellStyle name="40% - 强调文字颜色 2 9 20" xfId="5425"/>
    <cellStyle name="40% - 强调文字颜色 2 9 21" xfId="5426"/>
    <cellStyle name="40% - 强调文字颜色 2 9 22" xfId="5427"/>
    <cellStyle name="40% - 强调文字颜色 2 9 23" xfId="5428"/>
    <cellStyle name="40% - 强调文字颜色 2 9 24" xfId="5429"/>
    <cellStyle name="40% - 强调文字颜色 2 9 25" xfId="5430"/>
    <cellStyle name="40% - 强调文字颜色 2 9 26" xfId="5431"/>
    <cellStyle name="40% - 强调文字颜色 2 9 27" xfId="5432"/>
    <cellStyle name="40% - 强调文字颜色 2 9 28" xfId="5433"/>
    <cellStyle name="40% - 强调文字颜色 2 9 3" xfId="5434"/>
    <cellStyle name="40% - 强调文字颜色 2 9 4" xfId="5435"/>
    <cellStyle name="40% - 强调文字颜色 2 9 5" xfId="5436"/>
    <cellStyle name="40% - 强调文字颜色 2 9 6" xfId="5437"/>
    <cellStyle name="40% - 强调文字颜色 2 9 7" xfId="5438"/>
    <cellStyle name="40% - 强调文字颜色 2 9 8" xfId="5439"/>
    <cellStyle name="40% - 强调文字颜色 2 9 9" xfId="5440"/>
    <cellStyle name="40% - 强调文字颜色 3 10" xfId="5441"/>
    <cellStyle name="40% - 强调文字颜色 3 10 10" xfId="5442"/>
    <cellStyle name="40% - 强调文字颜色 3 10 11" xfId="5443"/>
    <cellStyle name="40% - 强调文字颜色 3 10 12" xfId="5444"/>
    <cellStyle name="40% - 强调文字颜色 3 10 13" xfId="5445"/>
    <cellStyle name="40% - 强调文字颜色 3 10 14" xfId="5446"/>
    <cellStyle name="40% - 强调文字颜色 3 10 15" xfId="5447"/>
    <cellStyle name="40% - 强调文字颜色 3 10 16" xfId="5448"/>
    <cellStyle name="40% - 强调文字颜色 3 10 17" xfId="5449"/>
    <cellStyle name="40% - 强调文字颜色 3 10 18" xfId="5450"/>
    <cellStyle name="40% - 强调文字颜色 3 10 19" xfId="5451"/>
    <cellStyle name="40% - 强调文字颜色 3 10 2" xfId="5452"/>
    <cellStyle name="40% - 强调文字颜色 3 10 2 10" xfId="5453"/>
    <cellStyle name="40% - 强调文字颜色 3 10 2 11" xfId="5454"/>
    <cellStyle name="40% - 强调文字颜色 3 10 2 12" xfId="5455"/>
    <cellStyle name="40% - 强调文字颜色 3 10 2 13" xfId="5456"/>
    <cellStyle name="40% - 强调文字颜色 3 10 2 14" xfId="5457"/>
    <cellStyle name="40% - 强调文字颜色 3 10 2 15" xfId="5458"/>
    <cellStyle name="40% - 强调文字颜色 3 10 2 16" xfId="5459"/>
    <cellStyle name="40% - 强调文字颜色 3 10 2 17" xfId="5460"/>
    <cellStyle name="40% - 强调文字颜色 3 10 2 18" xfId="5461"/>
    <cellStyle name="40% - 强调文字颜色 3 10 2 19" xfId="5462"/>
    <cellStyle name="40% - 强调文字颜色 3 10 2 2" xfId="5463"/>
    <cellStyle name="40% - 强调文字颜色 3 10 2 20" xfId="5464"/>
    <cellStyle name="40% - 强调文字颜色 3 10 2 21" xfId="5465"/>
    <cellStyle name="40% - 强调文字颜色 3 10 2 22" xfId="5466"/>
    <cellStyle name="40% - 强调文字颜色 3 10 2 23" xfId="5467"/>
    <cellStyle name="40% - 强调文字颜色 3 10 2 24" xfId="5468"/>
    <cellStyle name="40% - 强调文字颜色 3 10 2 25" xfId="5469"/>
    <cellStyle name="40% - 强调文字颜色 3 10 2 26" xfId="5470"/>
    <cellStyle name="40% - 强调文字颜色 3 10 2 27" xfId="5471"/>
    <cellStyle name="40% - 强调文字颜色 3 10 2 3" xfId="5472"/>
    <cellStyle name="40% - 强调文字颜色 3 10 2 4" xfId="5473"/>
    <cellStyle name="40% - 强调文字颜色 3 10 2 5" xfId="5474"/>
    <cellStyle name="40% - 强调文字颜色 3 10 2 6" xfId="5475"/>
    <cellStyle name="40% - 强调文字颜色 3 10 2 7" xfId="5476"/>
    <cellStyle name="40% - 强调文字颜色 3 10 2 8" xfId="5477"/>
    <cellStyle name="40% - 强调文字颜色 3 10 2 9" xfId="5478"/>
    <cellStyle name="40% - 强调文字颜色 3 10 20" xfId="5479"/>
    <cellStyle name="40% - 强调文字颜色 3 10 21" xfId="5480"/>
    <cellStyle name="40% - 强调文字颜色 3 10 22" xfId="5481"/>
    <cellStyle name="40% - 强调文字颜色 3 10 23" xfId="5482"/>
    <cellStyle name="40% - 强调文字颜色 3 10 24" xfId="5483"/>
    <cellStyle name="40% - 强调文字颜色 3 10 25" xfId="5484"/>
    <cellStyle name="40% - 强调文字颜色 3 10 26" xfId="5485"/>
    <cellStyle name="40% - 强调文字颜色 3 10 27" xfId="5486"/>
    <cellStyle name="40% - 强调文字颜色 3 10 28" xfId="5487"/>
    <cellStyle name="40% - 强调文字颜色 3 10 3" xfId="5488"/>
    <cellStyle name="40% - 强调文字颜色 3 10 4" xfId="5489"/>
    <cellStyle name="40% - 强调文字颜色 3 10 5" xfId="5490"/>
    <cellStyle name="40% - 强调文字颜色 3 10 6" xfId="5491"/>
    <cellStyle name="40% - 强调文字颜色 3 10 7" xfId="5492"/>
    <cellStyle name="40% - 强调文字颜色 3 10 8" xfId="5493"/>
    <cellStyle name="40% - 强调文字颜色 3 10 9" xfId="5494"/>
    <cellStyle name="40% - 强调文字颜色 3 11" xfId="5495"/>
    <cellStyle name="40% - 强调文字颜色 3 11 10" xfId="5496"/>
    <cellStyle name="40% - 强调文字颜色 3 11 11" xfId="5497"/>
    <cellStyle name="40% - 强调文字颜色 3 11 12" xfId="5498"/>
    <cellStyle name="40% - 强调文字颜色 3 11 13" xfId="5499"/>
    <cellStyle name="40% - 强调文字颜色 3 11 14" xfId="5500"/>
    <cellStyle name="40% - 强调文字颜色 3 11 15" xfId="5501"/>
    <cellStyle name="40% - 强调文字颜色 3 11 16" xfId="5502"/>
    <cellStyle name="40% - 强调文字颜色 3 11 17" xfId="5503"/>
    <cellStyle name="40% - 强调文字颜色 3 11 18" xfId="5504"/>
    <cellStyle name="40% - 强调文字颜色 3 11 19" xfId="5505"/>
    <cellStyle name="40% - 强调文字颜色 3 11 2" xfId="5506"/>
    <cellStyle name="40% - 强调文字颜色 3 11 2 10" xfId="5507"/>
    <cellStyle name="40% - 强调文字颜色 3 11 2 11" xfId="5508"/>
    <cellStyle name="40% - 强调文字颜色 3 11 2 12" xfId="5509"/>
    <cellStyle name="40% - 强调文字颜色 3 11 2 13" xfId="5510"/>
    <cellStyle name="40% - 强调文字颜色 3 11 2 14" xfId="5511"/>
    <cellStyle name="40% - 强调文字颜色 3 11 2 15" xfId="5512"/>
    <cellStyle name="40% - 强调文字颜色 3 11 2 16" xfId="5513"/>
    <cellStyle name="40% - 强调文字颜色 3 11 2 17" xfId="5514"/>
    <cellStyle name="40% - 强调文字颜色 3 11 2 18" xfId="5515"/>
    <cellStyle name="40% - 强调文字颜色 3 11 2 19" xfId="5516"/>
    <cellStyle name="40% - 强调文字颜色 3 11 2 2" xfId="5517"/>
    <cellStyle name="40% - 强调文字颜色 3 11 2 20" xfId="5518"/>
    <cellStyle name="40% - 强调文字颜色 3 11 2 21" xfId="5519"/>
    <cellStyle name="40% - 强调文字颜色 3 11 2 22" xfId="5520"/>
    <cellStyle name="40% - 强调文字颜色 3 11 2 23" xfId="5521"/>
    <cellStyle name="40% - 强调文字颜色 3 11 2 24" xfId="5522"/>
    <cellStyle name="40% - 强调文字颜色 3 11 2 25" xfId="5523"/>
    <cellStyle name="40% - 强调文字颜色 3 11 2 26" xfId="5524"/>
    <cellStyle name="40% - 强调文字颜色 3 11 2 27" xfId="5525"/>
    <cellStyle name="40% - 强调文字颜色 3 11 2 3" xfId="5526"/>
    <cellStyle name="40% - 强调文字颜色 3 11 2 4" xfId="5527"/>
    <cellStyle name="40% - 强调文字颜色 3 11 2 5" xfId="5528"/>
    <cellStyle name="40% - 强调文字颜色 3 11 2 6" xfId="5529"/>
    <cellStyle name="40% - 强调文字颜色 3 11 2 7" xfId="5530"/>
    <cellStyle name="40% - 强调文字颜色 3 11 2 8" xfId="5531"/>
    <cellStyle name="40% - 强调文字颜色 3 11 2 9" xfId="5532"/>
    <cellStyle name="40% - 强调文字颜色 3 11 20" xfId="5533"/>
    <cellStyle name="40% - 强调文字颜色 3 11 21" xfId="5534"/>
    <cellStyle name="40% - 强调文字颜色 3 11 22" xfId="5535"/>
    <cellStyle name="40% - 强调文字颜色 3 11 23" xfId="5536"/>
    <cellStyle name="40% - 强调文字颜色 3 11 24" xfId="5537"/>
    <cellStyle name="40% - 强调文字颜色 3 11 25" xfId="5538"/>
    <cellStyle name="40% - 强调文字颜色 3 11 26" xfId="5539"/>
    <cellStyle name="40% - 强调文字颜色 3 11 27" xfId="5540"/>
    <cellStyle name="40% - 强调文字颜色 3 11 28" xfId="5541"/>
    <cellStyle name="40% - 强调文字颜色 3 11 3" xfId="5542"/>
    <cellStyle name="40% - 强调文字颜色 3 11 4" xfId="5543"/>
    <cellStyle name="40% - 强调文字颜色 3 11 5" xfId="5544"/>
    <cellStyle name="40% - 强调文字颜色 3 11 6" xfId="5545"/>
    <cellStyle name="40% - 强调文字颜色 3 11 7" xfId="5546"/>
    <cellStyle name="40% - 强调文字颜色 3 11 8" xfId="5547"/>
    <cellStyle name="40% - 强调文字颜色 3 11 9" xfId="5548"/>
    <cellStyle name="40% - 强调文字颜色 3 12" xfId="5549"/>
    <cellStyle name="40% - 强调文字颜色 3 13" xfId="5550"/>
    <cellStyle name="40% - 强调文字颜色 3 14" xfId="5551"/>
    <cellStyle name="40% - 强调文字颜色 3 15" xfId="5552"/>
    <cellStyle name="40% - 强调文字颜色 3 16" xfId="5553"/>
    <cellStyle name="40% - 强调文字颜色 3 17" xfId="5554"/>
    <cellStyle name="40% - 强调文字颜色 3 18" xfId="5555"/>
    <cellStyle name="40% - 强调文字颜色 3 19" xfId="5556"/>
    <cellStyle name="40% - 强调文字颜色 3 2" xfId="5557"/>
    <cellStyle name="40% - 强调文字颜色 3 2 10" xfId="5558"/>
    <cellStyle name="40% - 强调文字颜色 3 2 11" xfId="5559"/>
    <cellStyle name="40% - 强调文字颜色 3 2 12" xfId="5560"/>
    <cellStyle name="40% - 强调文字颜色 3 2 13" xfId="5561"/>
    <cellStyle name="40% - 强调文字颜色 3 2 14" xfId="5562"/>
    <cellStyle name="40% - 强调文字颜色 3 2 15" xfId="5563"/>
    <cellStyle name="40% - 强调文字颜色 3 2 16" xfId="5564"/>
    <cellStyle name="40% - 强调文字颜色 3 2 17" xfId="5565"/>
    <cellStyle name="40% - 强调文字颜色 3 2 18" xfId="5566"/>
    <cellStyle name="40% - 强调文字颜色 3 2 19" xfId="5567"/>
    <cellStyle name="40% - 强调文字颜色 3 2 2" xfId="5568"/>
    <cellStyle name="40% - 强调文字颜色 3 2 2 10" xfId="5569"/>
    <cellStyle name="40% - 强调文字颜色 3 2 2 11" xfId="5570"/>
    <cellStyle name="40% - 强调文字颜色 3 2 2 12" xfId="5571"/>
    <cellStyle name="40% - 强调文字颜色 3 2 2 13" xfId="5572"/>
    <cellStyle name="40% - 强调文字颜色 3 2 2 14" xfId="5573"/>
    <cellStyle name="40% - 强调文字颜色 3 2 2 15" xfId="5574"/>
    <cellStyle name="40% - 强调文字颜色 3 2 2 16" xfId="5575"/>
    <cellStyle name="40% - 强调文字颜色 3 2 2 17" xfId="5576"/>
    <cellStyle name="40% - 强调文字颜色 3 2 2 18" xfId="5577"/>
    <cellStyle name="40% - 强调文字颜色 3 2 2 19" xfId="5578"/>
    <cellStyle name="40% - 强调文字颜色 3 2 2 2" xfId="5579"/>
    <cellStyle name="40% - 强调文字颜色 3 2 2 2 10" xfId="5580"/>
    <cellStyle name="40% - 强调文字颜色 3 2 2 2 11" xfId="5581"/>
    <cellStyle name="40% - 强调文字颜色 3 2 2 2 12" xfId="5582"/>
    <cellStyle name="40% - 强调文字颜色 3 2 2 2 13" xfId="5583"/>
    <cellStyle name="40% - 强调文字颜色 3 2 2 2 14" xfId="5584"/>
    <cellStyle name="40% - 强调文字颜色 3 2 2 2 15" xfId="5585"/>
    <cellStyle name="40% - 强调文字颜色 3 2 2 2 16" xfId="5586"/>
    <cellStyle name="40% - 强调文字颜色 3 2 2 2 17" xfId="5587"/>
    <cellStyle name="40% - 强调文字颜色 3 2 2 2 18" xfId="5588"/>
    <cellStyle name="40% - 强调文字颜色 3 2 2 2 19" xfId="5589"/>
    <cellStyle name="40% - 强调文字颜色 3 2 2 2 2" xfId="5590"/>
    <cellStyle name="40% - 强调文字颜色 3 2 2 2 20" xfId="5591"/>
    <cellStyle name="40% - 强调文字颜色 3 2 2 2 21" xfId="5592"/>
    <cellStyle name="40% - 强调文字颜色 3 2 2 2 22" xfId="5593"/>
    <cellStyle name="40% - 强调文字颜色 3 2 2 2 23" xfId="5594"/>
    <cellStyle name="40% - 强调文字颜色 3 2 2 2 24" xfId="5595"/>
    <cellStyle name="40% - 强调文字颜色 3 2 2 2 25" xfId="5596"/>
    <cellStyle name="40% - 强调文字颜色 3 2 2 2 26" xfId="5597"/>
    <cellStyle name="40% - 强调文字颜色 3 2 2 2 27" xfId="5598"/>
    <cellStyle name="40% - 强调文字颜色 3 2 2 2 3" xfId="5599"/>
    <cellStyle name="40% - 强调文字颜色 3 2 2 2 4" xfId="5600"/>
    <cellStyle name="40% - 强调文字颜色 3 2 2 2 5" xfId="5601"/>
    <cellStyle name="40% - 强调文字颜色 3 2 2 2 6" xfId="5602"/>
    <cellStyle name="40% - 强调文字颜色 3 2 2 2 7" xfId="5603"/>
    <cellStyle name="40% - 强调文字颜色 3 2 2 2 8" xfId="5604"/>
    <cellStyle name="40% - 强调文字颜色 3 2 2 2 9" xfId="5605"/>
    <cellStyle name="40% - 强调文字颜色 3 2 2 20" xfId="5606"/>
    <cellStyle name="40% - 强调文字颜色 3 2 2 21" xfId="5607"/>
    <cellStyle name="40% - 强调文字颜色 3 2 2 22" xfId="5608"/>
    <cellStyle name="40% - 强调文字颜色 3 2 2 23" xfId="5609"/>
    <cellStyle name="40% - 强调文字颜色 3 2 2 24" xfId="5610"/>
    <cellStyle name="40% - 强调文字颜色 3 2 2 25" xfId="5611"/>
    <cellStyle name="40% - 强调文字颜色 3 2 2 26" xfId="5612"/>
    <cellStyle name="40% - 强调文字颜色 3 2 2 27" xfId="5613"/>
    <cellStyle name="40% - 强调文字颜色 3 2 2 28" xfId="5614"/>
    <cellStyle name="40% - 强调文字颜色 3 2 2 3" xfId="5615"/>
    <cellStyle name="40% - 强调文字颜色 3 2 2 4" xfId="5616"/>
    <cellStyle name="40% - 强调文字颜色 3 2 2 5" xfId="5617"/>
    <cellStyle name="40% - 强调文字颜色 3 2 2 6" xfId="5618"/>
    <cellStyle name="40% - 强调文字颜色 3 2 2 7" xfId="5619"/>
    <cellStyle name="40% - 强调文字颜色 3 2 2 8" xfId="5620"/>
    <cellStyle name="40% - 强调文字颜色 3 2 2 9" xfId="5621"/>
    <cellStyle name="40% - 强调文字颜色 3 2 20" xfId="5622"/>
    <cellStyle name="40% - 强调文字颜色 3 2 21" xfId="5623"/>
    <cellStyle name="40% - 强调文字颜色 3 2 22" xfId="5624"/>
    <cellStyle name="40% - 强调文字颜色 3 2 23" xfId="5625"/>
    <cellStyle name="40% - 强调文字颜色 3 2 24" xfId="5626"/>
    <cellStyle name="40% - 强调文字颜色 3 2 25" xfId="5627"/>
    <cellStyle name="40% - 强调文字颜色 3 2 26" xfId="5628"/>
    <cellStyle name="40% - 强调文字颜色 3 2 27" xfId="5629"/>
    <cellStyle name="40% - 强调文字颜色 3 2 28" xfId="5630"/>
    <cellStyle name="40% - 强调文字颜色 3 2 29" xfId="5631"/>
    <cellStyle name="40% - 强调文字颜色 3 2 3" xfId="5632"/>
    <cellStyle name="40% - 强调文字颜色 3 2 3 10" xfId="5633"/>
    <cellStyle name="40% - 强调文字颜色 3 2 3 11" xfId="5634"/>
    <cellStyle name="40% - 强调文字颜色 3 2 3 12" xfId="5635"/>
    <cellStyle name="40% - 强调文字颜色 3 2 3 13" xfId="5636"/>
    <cellStyle name="40% - 强调文字颜色 3 2 3 14" xfId="5637"/>
    <cellStyle name="40% - 强调文字颜色 3 2 3 15" xfId="5638"/>
    <cellStyle name="40% - 强调文字颜色 3 2 3 16" xfId="5639"/>
    <cellStyle name="40% - 强调文字颜色 3 2 3 17" xfId="5640"/>
    <cellStyle name="40% - 强调文字颜色 3 2 3 18" xfId="5641"/>
    <cellStyle name="40% - 强调文字颜色 3 2 3 19" xfId="5642"/>
    <cellStyle name="40% - 强调文字颜色 3 2 3 2" xfId="5643"/>
    <cellStyle name="40% - 强调文字颜色 3 2 3 2 10" xfId="5644"/>
    <cellStyle name="40% - 强调文字颜色 3 2 3 2 11" xfId="5645"/>
    <cellStyle name="40% - 强调文字颜色 3 2 3 2 12" xfId="5646"/>
    <cellStyle name="40% - 强调文字颜色 3 2 3 2 13" xfId="5647"/>
    <cellStyle name="40% - 强调文字颜色 3 2 3 2 14" xfId="5648"/>
    <cellStyle name="40% - 强调文字颜色 3 2 3 2 15" xfId="5649"/>
    <cellStyle name="40% - 强调文字颜色 3 2 3 2 16" xfId="5650"/>
    <cellStyle name="40% - 强调文字颜色 3 2 3 2 17" xfId="5651"/>
    <cellStyle name="40% - 强调文字颜色 3 2 3 2 18" xfId="5652"/>
    <cellStyle name="40% - 强调文字颜色 3 2 3 2 19" xfId="5653"/>
    <cellStyle name="40% - 强调文字颜色 3 2 3 2 2" xfId="5654"/>
    <cellStyle name="40% - 强调文字颜色 3 2 3 2 20" xfId="5655"/>
    <cellStyle name="40% - 强调文字颜色 3 2 3 2 21" xfId="5656"/>
    <cellStyle name="40% - 强调文字颜色 3 2 3 2 22" xfId="5657"/>
    <cellStyle name="40% - 强调文字颜色 3 2 3 2 23" xfId="5658"/>
    <cellStyle name="40% - 强调文字颜色 3 2 3 2 24" xfId="5659"/>
    <cellStyle name="40% - 强调文字颜色 3 2 3 2 25" xfId="5660"/>
    <cellStyle name="40% - 强调文字颜色 3 2 3 2 26" xfId="5661"/>
    <cellStyle name="40% - 强调文字颜色 3 2 3 2 27" xfId="5662"/>
    <cellStyle name="40% - 强调文字颜色 3 2 3 2 3" xfId="5663"/>
    <cellStyle name="40% - 强调文字颜色 3 2 3 2 4" xfId="5664"/>
    <cellStyle name="40% - 强调文字颜色 3 2 3 2 5" xfId="5665"/>
    <cellStyle name="40% - 强调文字颜色 3 2 3 2 6" xfId="5666"/>
    <cellStyle name="40% - 强调文字颜色 3 2 3 2 7" xfId="5667"/>
    <cellStyle name="40% - 强调文字颜色 3 2 3 2 8" xfId="5668"/>
    <cellStyle name="40% - 强调文字颜色 3 2 3 2 9" xfId="5669"/>
    <cellStyle name="40% - 强调文字颜色 3 2 3 20" xfId="5670"/>
    <cellStyle name="40% - 强调文字颜色 3 2 3 21" xfId="5671"/>
    <cellStyle name="40% - 强调文字颜色 3 2 3 22" xfId="5672"/>
    <cellStyle name="40% - 强调文字颜色 3 2 3 23" xfId="5673"/>
    <cellStyle name="40% - 强调文字颜色 3 2 3 24" xfId="5674"/>
    <cellStyle name="40% - 强调文字颜色 3 2 3 25" xfId="5675"/>
    <cellStyle name="40% - 强调文字颜色 3 2 3 26" xfId="5676"/>
    <cellStyle name="40% - 强调文字颜色 3 2 3 27" xfId="5677"/>
    <cellStyle name="40% - 强调文字颜色 3 2 3 28" xfId="5678"/>
    <cellStyle name="40% - 强调文字颜色 3 2 3 3" xfId="5679"/>
    <cellStyle name="40% - 强调文字颜色 3 2 3 4" xfId="5680"/>
    <cellStyle name="40% - 强调文字颜色 3 2 3 5" xfId="5681"/>
    <cellStyle name="40% - 强调文字颜色 3 2 3 6" xfId="5682"/>
    <cellStyle name="40% - 强调文字颜色 3 2 3 7" xfId="5683"/>
    <cellStyle name="40% - 强调文字颜色 3 2 3 8" xfId="5684"/>
    <cellStyle name="40% - 强调文字颜色 3 2 3 9" xfId="5685"/>
    <cellStyle name="40% - 强调文字颜色 3 2 30" xfId="5686"/>
    <cellStyle name="40% - 强调文字颜色 3 2 31" xfId="5687"/>
    <cellStyle name="40% - 强调文字颜色 3 2 32" xfId="5688"/>
    <cellStyle name="40% - 强调文字颜色 3 2 33" xfId="5689"/>
    <cellStyle name="40% - 强调文字颜色 3 2 4" xfId="5690"/>
    <cellStyle name="40% - 强调文字颜色 3 2 4 10" xfId="5691"/>
    <cellStyle name="40% - 强调文字颜色 3 2 4 11" xfId="5692"/>
    <cellStyle name="40% - 强调文字颜色 3 2 4 12" xfId="5693"/>
    <cellStyle name="40% - 强调文字颜色 3 2 4 13" xfId="5694"/>
    <cellStyle name="40% - 强调文字颜色 3 2 4 14" xfId="5695"/>
    <cellStyle name="40% - 强调文字颜色 3 2 4 15" xfId="5696"/>
    <cellStyle name="40% - 强调文字颜色 3 2 4 16" xfId="5697"/>
    <cellStyle name="40% - 强调文字颜色 3 2 4 17" xfId="5698"/>
    <cellStyle name="40% - 强调文字颜色 3 2 4 18" xfId="5699"/>
    <cellStyle name="40% - 强调文字颜色 3 2 4 19" xfId="5700"/>
    <cellStyle name="40% - 强调文字颜色 3 2 4 2" xfId="5701"/>
    <cellStyle name="40% - 强调文字颜色 3 2 4 20" xfId="5702"/>
    <cellStyle name="40% - 强调文字颜色 3 2 4 21" xfId="5703"/>
    <cellStyle name="40% - 强调文字颜色 3 2 4 22" xfId="5704"/>
    <cellStyle name="40% - 强调文字颜色 3 2 4 23" xfId="5705"/>
    <cellStyle name="40% - 强调文字颜色 3 2 4 24" xfId="5706"/>
    <cellStyle name="40% - 强调文字颜色 3 2 4 25" xfId="5707"/>
    <cellStyle name="40% - 强调文字颜色 3 2 4 26" xfId="5708"/>
    <cellStyle name="40% - 强调文字颜色 3 2 4 27" xfId="5709"/>
    <cellStyle name="40% - 强调文字颜色 3 2 4 3" xfId="5710"/>
    <cellStyle name="40% - 强调文字颜色 3 2 4 4" xfId="5711"/>
    <cellStyle name="40% - 强调文字颜色 3 2 4 5" xfId="5712"/>
    <cellStyle name="40% - 强调文字颜色 3 2 4 6" xfId="5713"/>
    <cellStyle name="40% - 强调文字颜色 3 2 4 7" xfId="5714"/>
    <cellStyle name="40% - 强调文字颜色 3 2 4 8" xfId="5715"/>
    <cellStyle name="40% - 强调文字颜色 3 2 4 9" xfId="5716"/>
    <cellStyle name="40% - 强调文字颜色 3 2 5" xfId="5717"/>
    <cellStyle name="40% - 强调文字颜色 3 2 6" xfId="5718"/>
    <cellStyle name="40% - 强调文字颜色 3 2 7" xfId="5719"/>
    <cellStyle name="40% - 强调文字颜色 3 2 8" xfId="5720"/>
    <cellStyle name="40% - 强调文字颜色 3 2 9" xfId="5721"/>
    <cellStyle name="40% - 强调文字颜色 3 20" xfId="5722"/>
    <cellStyle name="40% - 强调文字颜色 3 21" xfId="5723"/>
    <cellStyle name="40% - 强调文字颜色 3 22" xfId="5724"/>
    <cellStyle name="40% - 强调文字颜色 3 23" xfId="5725"/>
    <cellStyle name="40% - 强调文字颜色 3 24" xfId="5726"/>
    <cellStyle name="40% - 强调文字颜色 3 25" xfId="5727"/>
    <cellStyle name="40% - 强调文字颜色 3 26" xfId="5728"/>
    <cellStyle name="40% - 强调文字颜色 3 27" xfId="5729"/>
    <cellStyle name="40% - 强调文字颜色 3 28" xfId="5730"/>
    <cellStyle name="40% - 强调文字颜色 3 29" xfId="5731"/>
    <cellStyle name="40% - 强调文字颜色 3 3" xfId="5732"/>
    <cellStyle name="40% - 强调文字颜色 3 3 10" xfId="5733"/>
    <cellStyle name="40% - 强调文字颜色 3 3 11" xfId="5734"/>
    <cellStyle name="40% - 强调文字颜色 3 3 12" xfId="5735"/>
    <cellStyle name="40% - 强调文字颜色 3 3 13" xfId="5736"/>
    <cellStyle name="40% - 强调文字颜色 3 3 14" xfId="5737"/>
    <cellStyle name="40% - 强调文字颜色 3 3 15" xfId="5738"/>
    <cellStyle name="40% - 强调文字颜色 3 3 16" xfId="5739"/>
    <cellStyle name="40% - 强调文字颜色 3 3 17" xfId="5740"/>
    <cellStyle name="40% - 强调文字颜色 3 3 18" xfId="5741"/>
    <cellStyle name="40% - 强调文字颜色 3 3 19" xfId="5742"/>
    <cellStyle name="40% - 强调文字颜色 3 3 2" xfId="5743"/>
    <cellStyle name="40% - 强调文字颜色 3 3 2 10" xfId="5744"/>
    <cellStyle name="40% - 强调文字颜色 3 3 2 11" xfId="5745"/>
    <cellStyle name="40% - 强调文字颜色 3 3 2 12" xfId="5746"/>
    <cellStyle name="40% - 强调文字颜色 3 3 2 13" xfId="5747"/>
    <cellStyle name="40% - 强调文字颜色 3 3 2 14" xfId="5748"/>
    <cellStyle name="40% - 强调文字颜色 3 3 2 15" xfId="5749"/>
    <cellStyle name="40% - 强调文字颜色 3 3 2 16" xfId="5750"/>
    <cellStyle name="40% - 强调文字颜色 3 3 2 17" xfId="5751"/>
    <cellStyle name="40% - 强调文字颜色 3 3 2 18" xfId="5752"/>
    <cellStyle name="40% - 强调文字颜色 3 3 2 19" xfId="5753"/>
    <cellStyle name="40% - 强调文字颜色 3 3 2 2" xfId="5754"/>
    <cellStyle name="40% - 强调文字颜色 3 3 2 20" xfId="5755"/>
    <cellStyle name="40% - 强调文字颜色 3 3 2 21" xfId="5756"/>
    <cellStyle name="40% - 强调文字颜色 3 3 2 22" xfId="5757"/>
    <cellStyle name="40% - 强调文字颜色 3 3 2 23" xfId="5758"/>
    <cellStyle name="40% - 强调文字颜色 3 3 2 24" xfId="5759"/>
    <cellStyle name="40% - 强调文字颜色 3 3 2 25" xfId="5760"/>
    <cellStyle name="40% - 强调文字颜色 3 3 2 26" xfId="5761"/>
    <cellStyle name="40% - 强调文字颜色 3 3 2 27" xfId="5762"/>
    <cellStyle name="40% - 强调文字颜色 3 3 2 3" xfId="5763"/>
    <cellStyle name="40% - 强调文字颜色 3 3 2 4" xfId="5764"/>
    <cellStyle name="40% - 强调文字颜色 3 3 2 5" xfId="5765"/>
    <cellStyle name="40% - 强调文字颜色 3 3 2 6" xfId="5766"/>
    <cellStyle name="40% - 强调文字颜色 3 3 2 7" xfId="5767"/>
    <cellStyle name="40% - 强调文字颜色 3 3 2 8" xfId="5768"/>
    <cellStyle name="40% - 强调文字颜色 3 3 2 9" xfId="5769"/>
    <cellStyle name="40% - 强调文字颜色 3 3 20" xfId="5770"/>
    <cellStyle name="40% - 强调文字颜色 3 3 21" xfId="5771"/>
    <cellStyle name="40% - 强调文字颜色 3 3 22" xfId="5772"/>
    <cellStyle name="40% - 强调文字颜色 3 3 23" xfId="5773"/>
    <cellStyle name="40% - 强调文字颜色 3 3 24" xfId="5774"/>
    <cellStyle name="40% - 强调文字颜色 3 3 25" xfId="5775"/>
    <cellStyle name="40% - 强调文字颜色 3 3 26" xfId="5776"/>
    <cellStyle name="40% - 强调文字颜色 3 3 27" xfId="5777"/>
    <cellStyle name="40% - 强调文字颜色 3 3 28" xfId="5778"/>
    <cellStyle name="40% - 强调文字颜色 3 3 3" xfId="5779"/>
    <cellStyle name="40% - 强调文字颜色 3 3 4" xfId="5780"/>
    <cellStyle name="40% - 强调文字颜色 3 3 5" xfId="5781"/>
    <cellStyle name="40% - 强调文字颜色 3 3 6" xfId="5782"/>
    <cellStyle name="40% - 强调文字颜色 3 3 7" xfId="5783"/>
    <cellStyle name="40% - 强调文字颜色 3 3 8" xfId="5784"/>
    <cellStyle name="40% - 强调文字颜色 3 3 9" xfId="5785"/>
    <cellStyle name="40% - 强调文字颜色 3 30" xfId="5786"/>
    <cellStyle name="40% - 强调文字颜色 3 31" xfId="5787"/>
    <cellStyle name="40% - 强调文字颜色 3 32" xfId="5788"/>
    <cellStyle name="40% - 强调文字颜色 3 33" xfId="5789"/>
    <cellStyle name="40% - 强调文字颜色 3 34" xfId="5790"/>
    <cellStyle name="40% - 强调文字颜色 3 35" xfId="5791"/>
    <cellStyle name="40% - 强调文字颜色 3 36" xfId="5792"/>
    <cellStyle name="40% - 强调文字颜色 3 37" xfId="5793"/>
    <cellStyle name="40% - 强调文字颜色 3 38" xfId="5794"/>
    <cellStyle name="40% - 强调文字颜色 3 39" xfId="5795"/>
    <cellStyle name="40% - 强调文字颜色 3 4" xfId="5796"/>
    <cellStyle name="40% - 强调文字颜色 3 4 10" xfId="5797"/>
    <cellStyle name="40% - 强调文字颜色 3 4 11" xfId="5798"/>
    <cellStyle name="40% - 强调文字颜色 3 4 12" xfId="5799"/>
    <cellStyle name="40% - 强调文字颜色 3 4 13" xfId="5800"/>
    <cellStyle name="40% - 强调文字颜色 3 4 14" xfId="5801"/>
    <cellStyle name="40% - 强调文字颜色 3 4 15" xfId="5802"/>
    <cellStyle name="40% - 强调文字颜色 3 4 16" xfId="5803"/>
    <cellStyle name="40% - 强调文字颜色 3 4 17" xfId="5804"/>
    <cellStyle name="40% - 强调文字颜色 3 4 18" xfId="5805"/>
    <cellStyle name="40% - 强调文字颜色 3 4 19" xfId="5806"/>
    <cellStyle name="40% - 强调文字颜色 3 4 2" xfId="5807"/>
    <cellStyle name="40% - 强调文字颜色 3 4 2 10" xfId="5808"/>
    <cellStyle name="40% - 强调文字颜色 3 4 2 11" xfId="5809"/>
    <cellStyle name="40% - 强调文字颜色 3 4 2 12" xfId="5810"/>
    <cellStyle name="40% - 强调文字颜色 3 4 2 13" xfId="5811"/>
    <cellStyle name="40% - 强调文字颜色 3 4 2 14" xfId="5812"/>
    <cellStyle name="40% - 强调文字颜色 3 4 2 15" xfId="5813"/>
    <cellStyle name="40% - 强调文字颜色 3 4 2 16" xfId="5814"/>
    <cellStyle name="40% - 强调文字颜色 3 4 2 17" xfId="5815"/>
    <cellStyle name="40% - 强调文字颜色 3 4 2 18" xfId="5816"/>
    <cellStyle name="40% - 强调文字颜色 3 4 2 19" xfId="5817"/>
    <cellStyle name="40% - 强调文字颜色 3 4 2 2" xfId="5818"/>
    <cellStyle name="40% - 强调文字颜色 3 4 2 20" xfId="5819"/>
    <cellStyle name="40% - 强调文字颜色 3 4 2 21" xfId="5820"/>
    <cellStyle name="40% - 强调文字颜色 3 4 2 22" xfId="5821"/>
    <cellStyle name="40% - 强调文字颜色 3 4 2 23" xfId="5822"/>
    <cellStyle name="40% - 强调文字颜色 3 4 2 24" xfId="5823"/>
    <cellStyle name="40% - 强调文字颜色 3 4 2 25" xfId="5824"/>
    <cellStyle name="40% - 强调文字颜色 3 4 2 26" xfId="5825"/>
    <cellStyle name="40% - 强调文字颜色 3 4 2 27" xfId="5826"/>
    <cellStyle name="40% - 强调文字颜色 3 4 2 3" xfId="5827"/>
    <cellStyle name="40% - 强调文字颜色 3 4 2 4" xfId="5828"/>
    <cellStyle name="40% - 强调文字颜色 3 4 2 5" xfId="5829"/>
    <cellStyle name="40% - 强调文字颜色 3 4 2 6" xfId="5830"/>
    <cellStyle name="40% - 强调文字颜色 3 4 2 7" xfId="5831"/>
    <cellStyle name="40% - 强调文字颜色 3 4 2 8" xfId="5832"/>
    <cellStyle name="40% - 强调文字颜色 3 4 2 9" xfId="5833"/>
    <cellStyle name="40% - 强调文字颜色 3 4 20" xfId="5834"/>
    <cellStyle name="40% - 强调文字颜色 3 4 21" xfId="5835"/>
    <cellStyle name="40% - 强调文字颜色 3 4 22" xfId="5836"/>
    <cellStyle name="40% - 强调文字颜色 3 4 23" xfId="5837"/>
    <cellStyle name="40% - 强调文字颜色 3 4 24" xfId="5838"/>
    <cellStyle name="40% - 强调文字颜色 3 4 25" xfId="5839"/>
    <cellStyle name="40% - 强调文字颜色 3 4 26" xfId="5840"/>
    <cellStyle name="40% - 强调文字颜色 3 4 27" xfId="5841"/>
    <cellStyle name="40% - 强调文字颜色 3 4 28" xfId="5842"/>
    <cellStyle name="40% - 强调文字颜色 3 4 3" xfId="5843"/>
    <cellStyle name="40% - 强调文字颜色 3 4 4" xfId="5844"/>
    <cellStyle name="40% - 强调文字颜色 3 4 5" xfId="5845"/>
    <cellStyle name="40% - 强调文字颜色 3 4 6" xfId="5846"/>
    <cellStyle name="40% - 强调文字颜色 3 4 7" xfId="5847"/>
    <cellStyle name="40% - 强调文字颜色 3 4 8" xfId="5848"/>
    <cellStyle name="40% - 强调文字颜色 3 4 9" xfId="5849"/>
    <cellStyle name="40% - 强调文字颜色 3 40" xfId="5850"/>
    <cellStyle name="40% - 强调文字颜色 3 5" xfId="5851"/>
    <cellStyle name="40% - 强调文字颜色 3 5 10" xfId="5852"/>
    <cellStyle name="40% - 强调文字颜色 3 5 11" xfId="5853"/>
    <cellStyle name="40% - 强调文字颜色 3 5 12" xfId="5854"/>
    <cellStyle name="40% - 强调文字颜色 3 5 13" xfId="5855"/>
    <cellStyle name="40% - 强调文字颜色 3 5 14" xfId="5856"/>
    <cellStyle name="40% - 强调文字颜色 3 5 15" xfId="5857"/>
    <cellStyle name="40% - 强调文字颜色 3 5 16" xfId="5858"/>
    <cellStyle name="40% - 强调文字颜色 3 5 17" xfId="5859"/>
    <cellStyle name="40% - 强调文字颜色 3 5 18" xfId="5860"/>
    <cellStyle name="40% - 强调文字颜色 3 5 19" xfId="5861"/>
    <cellStyle name="40% - 强调文字颜色 3 5 2" xfId="5862"/>
    <cellStyle name="40% - 强调文字颜色 3 5 2 10" xfId="5863"/>
    <cellStyle name="40% - 强调文字颜色 3 5 2 11" xfId="5864"/>
    <cellStyle name="40% - 强调文字颜色 3 5 2 12" xfId="5865"/>
    <cellStyle name="40% - 强调文字颜色 3 5 2 13" xfId="5866"/>
    <cellStyle name="40% - 强调文字颜色 3 5 2 14" xfId="5867"/>
    <cellStyle name="40% - 强调文字颜色 3 5 2 15" xfId="5868"/>
    <cellStyle name="40% - 强调文字颜色 3 5 2 16" xfId="5869"/>
    <cellStyle name="40% - 强调文字颜色 3 5 2 17" xfId="5870"/>
    <cellStyle name="40% - 强调文字颜色 3 5 2 18" xfId="5871"/>
    <cellStyle name="40% - 强调文字颜色 3 5 2 19" xfId="5872"/>
    <cellStyle name="40% - 强调文字颜色 3 5 2 2" xfId="5873"/>
    <cellStyle name="40% - 强调文字颜色 3 5 2 20" xfId="5874"/>
    <cellStyle name="40% - 强调文字颜色 3 5 2 21" xfId="5875"/>
    <cellStyle name="40% - 强调文字颜色 3 5 2 22" xfId="5876"/>
    <cellStyle name="40% - 强调文字颜色 3 5 2 23" xfId="5877"/>
    <cellStyle name="40% - 强调文字颜色 3 5 2 24" xfId="5878"/>
    <cellStyle name="40% - 强调文字颜色 3 5 2 25" xfId="5879"/>
    <cellStyle name="40% - 强调文字颜色 3 5 2 26" xfId="5880"/>
    <cellStyle name="40% - 强调文字颜色 3 5 2 27" xfId="5881"/>
    <cellStyle name="40% - 强调文字颜色 3 5 2 3" xfId="5882"/>
    <cellStyle name="40% - 强调文字颜色 3 5 2 4" xfId="5883"/>
    <cellStyle name="40% - 强调文字颜色 3 5 2 5" xfId="5884"/>
    <cellStyle name="40% - 强调文字颜色 3 5 2 6" xfId="5885"/>
    <cellStyle name="40% - 强调文字颜色 3 5 2 7" xfId="5886"/>
    <cellStyle name="40% - 强调文字颜色 3 5 2 8" xfId="5887"/>
    <cellStyle name="40% - 强调文字颜色 3 5 2 9" xfId="5888"/>
    <cellStyle name="40% - 强调文字颜色 3 5 20" xfId="5889"/>
    <cellStyle name="40% - 强调文字颜色 3 5 21" xfId="5890"/>
    <cellStyle name="40% - 强调文字颜色 3 5 22" xfId="5891"/>
    <cellStyle name="40% - 强调文字颜色 3 5 23" xfId="5892"/>
    <cellStyle name="40% - 强调文字颜色 3 5 24" xfId="5893"/>
    <cellStyle name="40% - 强调文字颜色 3 5 25" xfId="5894"/>
    <cellStyle name="40% - 强调文字颜色 3 5 26" xfId="5895"/>
    <cellStyle name="40% - 强调文字颜色 3 5 27" xfId="5896"/>
    <cellStyle name="40% - 强调文字颜色 3 5 28" xfId="5897"/>
    <cellStyle name="40% - 强调文字颜色 3 5 3" xfId="5898"/>
    <cellStyle name="40% - 强调文字颜色 3 5 4" xfId="5899"/>
    <cellStyle name="40% - 强调文字颜色 3 5 5" xfId="5900"/>
    <cellStyle name="40% - 强调文字颜色 3 5 6" xfId="5901"/>
    <cellStyle name="40% - 强调文字颜色 3 5 7" xfId="5902"/>
    <cellStyle name="40% - 强调文字颜色 3 5 8" xfId="5903"/>
    <cellStyle name="40% - 强调文字颜色 3 5 9" xfId="5904"/>
    <cellStyle name="40% - 强调文字颜色 3 6" xfId="5905"/>
    <cellStyle name="40% - 强调文字颜色 3 6 10" xfId="5906"/>
    <cellStyle name="40% - 强调文字颜色 3 6 11" xfId="5907"/>
    <cellStyle name="40% - 强调文字颜色 3 6 12" xfId="5908"/>
    <cellStyle name="40% - 强调文字颜色 3 6 13" xfId="5909"/>
    <cellStyle name="40% - 强调文字颜色 3 6 14" xfId="5910"/>
    <cellStyle name="40% - 强调文字颜色 3 6 15" xfId="5911"/>
    <cellStyle name="40% - 强调文字颜色 3 6 16" xfId="5912"/>
    <cellStyle name="40% - 强调文字颜色 3 6 17" xfId="5913"/>
    <cellStyle name="40% - 强调文字颜色 3 6 18" xfId="5914"/>
    <cellStyle name="40% - 强调文字颜色 3 6 19" xfId="5915"/>
    <cellStyle name="40% - 强调文字颜色 3 6 2" xfId="5916"/>
    <cellStyle name="40% - 强调文字颜色 3 6 2 10" xfId="5917"/>
    <cellStyle name="40% - 强调文字颜色 3 6 2 11" xfId="5918"/>
    <cellStyle name="40% - 强调文字颜色 3 6 2 12" xfId="5919"/>
    <cellStyle name="40% - 强调文字颜色 3 6 2 13" xfId="5920"/>
    <cellStyle name="40% - 强调文字颜色 3 6 2 14" xfId="5921"/>
    <cellStyle name="40% - 强调文字颜色 3 6 2 15" xfId="5922"/>
    <cellStyle name="40% - 强调文字颜色 3 6 2 16" xfId="5923"/>
    <cellStyle name="40% - 强调文字颜色 3 6 2 17" xfId="5924"/>
    <cellStyle name="40% - 强调文字颜色 3 6 2 18" xfId="5925"/>
    <cellStyle name="40% - 强调文字颜色 3 6 2 19" xfId="5926"/>
    <cellStyle name="40% - 强调文字颜色 3 6 2 2" xfId="5927"/>
    <cellStyle name="40% - 强调文字颜色 3 6 2 20" xfId="5928"/>
    <cellStyle name="40% - 强调文字颜色 3 6 2 21" xfId="5929"/>
    <cellStyle name="40% - 强调文字颜色 3 6 2 22" xfId="5930"/>
    <cellStyle name="40% - 强调文字颜色 3 6 2 23" xfId="5931"/>
    <cellStyle name="40% - 强调文字颜色 3 6 2 24" xfId="5932"/>
    <cellStyle name="40% - 强调文字颜色 3 6 2 25" xfId="5933"/>
    <cellStyle name="40% - 强调文字颜色 3 6 2 26" xfId="5934"/>
    <cellStyle name="40% - 强调文字颜色 3 6 2 27" xfId="5935"/>
    <cellStyle name="40% - 强调文字颜色 3 6 2 3" xfId="5936"/>
    <cellStyle name="40% - 强调文字颜色 3 6 2 4" xfId="5937"/>
    <cellStyle name="40% - 强调文字颜色 3 6 2 5" xfId="5938"/>
    <cellStyle name="40% - 强调文字颜色 3 6 2 6" xfId="5939"/>
    <cellStyle name="40% - 强调文字颜色 3 6 2 7" xfId="5940"/>
    <cellStyle name="40% - 强调文字颜色 3 6 2 8" xfId="5941"/>
    <cellStyle name="40% - 强调文字颜色 3 6 2 9" xfId="5942"/>
    <cellStyle name="40% - 强调文字颜色 3 6 20" xfId="5943"/>
    <cellStyle name="40% - 强调文字颜色 3 6 21" xfId="5944"/>
    <cellStyle name="40% - 强调文字颜色 3 6 22" xfId="5945"/>
    <cellStyle name="40% - 强调文字颜色 3 6 23" xfId="5946"/>
    <cellStyle name="40% - 强调文字颜色 3 6 24" xfId="5947"/>
    <cellStyle name="40% - 强调文字颜色 3 6 25" xfId="5948"/>
    <cellStyle name="40% - 强调文字颜色 3 6 26" xfId="5949"/>
    <cellStyle name="40% - 强调文字颜色 3 6 27" xfId="5950"/>
    <cellStyle name="40% - 强调文字颜色 3 6 28" xfId="5951"/>
    <cellStyle name="40% - 强调文字颜色 3 6 3" xfId="5952"/>
    <cellStyle name="40% - 强调文字颜色 3 6 4" xfId="5953"/>
    <cellStyle name="40% - 强调文字颜色 3 6 5" xfId="5954"/>
    <cellStyle name="40% - 强调文字颜色 3 6 6" xfId="5955"/>
    <cellStyle name="40% - 强调文字颜色 3 6 7" xfId="5956"/>
    <cellStyle name="40% - 强调文字颜色 3 6 8" xfId="5957"/>
    <cellStyle name="40% - 强调文字颜色 3 6 9" xfId="5958"/>
    <cellStyle name="40% - 强调文字颜色 3 7" xfId="5959"/>
    <cellStyle name="40% - 强调文字颜色 3 7 10" xfId="5960"/>
    <cellStyle name="40% - 强调文字颜色 3 7 11" xfId="5961"/>
    <cellStyle name="40% - 强调文字颜色 3 7 12" xfId="5962"/>
    <cellStyle name="40% - 强调文字颜色 3 7 13" xfId="5963"/>
    <cellStyle name="40% - 强调文字颜色 3 7 14" xfId="5964"/>
    <cellStyle name="40% - 强调文字颜色 3 7 15" xfId="5965"/>
    <cellStyle name="40% - 强调文字颜色 3 7 16" xfId="5966"/>
    <cellStyle name="40% - 强调文字颜色 3 7 17" xfId="5967"/>
    <cellStyle name="40% - 强调文字颜色 3 7 18" xfId="5968"/>
    <cellStyle name="40% - 强调文字颜色 3 7 19" xfId="5969"/>
    <cellStyle name="40% - 强调文字颜色 3 7 2" xfId="5970"/>
    <cellStyle name="40% - 强调文字颜色 3 7 2 10" xfId="5971"/>
    <cellStyle name="40% - 强调文字颜色 3 7 2 11" xfId="5972"/>
    <cellStyle name="40% - 强调文字颜色 3 7 2 12" xfId="5973"/>
    <cellStyle name="40% - 强调文字颜色 3 7 2 13" xfId="5974"/>
    <cellStyle name="40% - 强调文字颜色 3 7 2 14" xfId="5975"/>
    <cellStyle name="40% - 强调文字颜色 3 7 2 15" xfId="5976"/>
    <cellStyle name="40% - 强调文字颜色 3 7 2 16" xfId="5977"/>
    <cellStyle name="40% - 强调文字颜色 3 7 2 17" xfId="5978"/>
    <cellStyle name="40% - 强调文字颜色 3 7 2 18" xfId="5979"/>
    <cellStyle name="40% - 强调文字颜色 3 7 2 19" xfId="5980"/>
    <cellStyle name="40% - 强调文字颜色 3 7 2 2" xfId="5981"/>
    <cellStyle name="40% - 强调文字颜色 3 7 2 20" xfId="5982"/>
    <cellStyle name="40% - 强调文字颜色 3 7 2 21" xfId="5983"/>
    <cellStyle name="40% - 强调文字颜色 3 7 2 22" xfId="5984"/>
    <cellStyle name="40% - 强调文字颜色 3 7 2 23" xfId="5985"/>
    <cellStyle name="40% - 强调文字颜色 3 7 2 24" xfId="5986"/>
    <cellStyle name="40% - 强调文字颜色 3 7 2 25" xfId="5987"/>
    <cellStyle name="40% - 强调文字颜色 3 7 2 26" xfId="5988"/>
    <cellStyle name="40% - 强调文字颜色 3 7 2 27" xfId="5989"/>
    <cellStyle name="40% - 强调文字颜色 3 7 2 3" xfId="5990"/>
    <cellStyle name="40% - 强调文字颜色 3 7 2 4" xfId="5991"/>
    <cellStyle name="40% - 强调文字颜色 3 7 2 5" xfId="5992"/>
    <cellStyle name="40% - 强调文字颜色 3 7 2 6" xfId="5993"/>
    <cellStyle name="40% - 强调文字颜色 3 7 2 7" xfId="5994"/>
    <cellStyle name="40% - 强调文字颜色 3 7 2 8" xfId="5995"/>
    <cellStyle name="40% - 强调文字颜色 3 7 2 9" xfId="5996"/>
    <cellStyle name="40% - 强调文字颜色 3 7 20" xfId="5997"/>
    <cellStyle name="40% - 强调文字颜色 3 7 21" xfId="5998"/>
    <cellStyle name="40% - 强调文字颜色 3 7 22" xfId="5999"/>
    <cellStyle name="40% - 强调文字颜色 3 7 23" xfId="6000"/>
    <cellStyle name="40% - 强调文字颜色 3 7 24" xfId="6001"/>
    <cellStyle name="40% - 强调文字颜色 3 7 25" xfId="6002"/>
    <cellStyle name="40% - 强调文字颜色 3 7 26" xfId="6003"/>
    <cellStyle name="40% - 强调文字颜色 3 7 27" xfId="6004"/>
    <cellStyle name="40% - 强调文字颜色 3 7 28" xfId="6005"/>
    <cellStyle name="40% - 强调文字颜色 3 7 3" xfId="6006"/>
    <cellStyle name="40% - 强调文字颜色 3 7 4" xfId="6007"/>
    <cellStyle name="40% - 强调文字颜色 3 7 5" xfId="6008"/>
    <cellStyle name="40% - 强调文字颜色 3 7 6" xfId="6009"/>
    <cellStyle name="40% - 强调文字颜色 3 7 7" xfId="6010"/>
    <cellStyle name="40% - 强调文字颜色 3 7 8" xfId="6011"/>
    <cellStyle name="40% - 强调文字颜色 3 7 9" xfId="6012"/>
    <cellStyle name="40% - 强调文字颜色 3 8" xfId="6013"/>
    <cellStyle name="40% - 强调文字颜色 3 8 10" xfId="6014"/>
    <cellStyle name="40% - 强调文字颜色 3 8 11" xfId="6015"/>
    <cellStyle name="40% - 强调文字颜色 3 8 12" xfId="6016"/>
    <cellStyle name="40% - 强调文字颜色 3 8 13" xfId="6017"/>
    <cellStyle name="40% - 强调文字颜色 3 8 14" xfId="6018"/>
    <cellStyle name="40% - 强调文字颜色 3 8 15" xfId="6019"/>
    <cellStyle name="40% - 强调文字颜色 3 8 16" xfId="6020"/>
    <cellStyle name="40% - 强调文字颜色 3 8 17" xfId="6021"/>
    <cellStyle name="40% - 强调文字颜色 3 8 18" xfId="6022"/>
    <cellStyle name="40% - 强调文字颜色 3 8 19" xfId="6023"/>
    <cellStyle name="40% - 强调文字颜色 3 8 2" xfId="6024"/>
    <cellStyle name="40% - 强调文字颜色 3 8 2 10" xfId="6025"/>
    <cellStyle name="40% - 强调文字颜色 3 8 2 11" xfId="6026"/>
    <cellStyle name="40% - 强调文字颜色 3 8 2 12" xfId="6027"/>
    <cellStyle name="40% - 强调文字颜色 3 8 2 13" xfId="6028"/>
    <cellStyle name="40% - 强调文字颜色 3 8 2 14" xfId="6029"/>
    <cellStyle name="40% - 强调文字颜色 3 8 2 15" xfId="6030"/>
    <cellStyle name="40% - 强调文字颜色 3 8 2 16" xfId="6031"/>
    <cellStyle name="40% - 强调文字颜色 3 8 2 17" xfId="6032"/>
    <cellStyle name="40% - 强调文字颜色 3 8 2 18" xfId="6033"/>
    <cellStyle name="40% - 强调文字颜色 3 8 2 19" xfId="6034"/>
    <cellStyle name="40% - 强调文字颜色 3 8 2 2" xfId="6035"/>
    <cellStyle name="40% - 强调文字颜色 3 8 2 20" xfId="6036"/>
    <cellStyle name="40% - 强调文字颜色 3 8 2 21" xfId="6037"/>
    <cellStyle name="40% - 强调文字颜色 3 8 2 22" xfId="6038"/>
    <cellStyle name="40% - 强调文字颜色 3 8 2 23" xfId="6039"/>
    <cellStyle name="40% - 强调文字颜色 3 8 2 24" xfId="6040"/>
    <cellStyle name="40% - 强调文字颜色 3 8 2 25" xfId="6041"/>
    <cellStyle name="40% - 强调文字颜色 3 8 2 26" xfId="6042"/>
    <cellStyle name="40% - 强调文字颜色 3 8 2 27" xfId="6043"/>
    <cellStyle name="40% - 强调文字颜色 3 8 2 3" xfId="6044"/>
    <cellStyle name="40% - 强调文字颜色 3 8 2 4" xfId="6045"/>
    <cellStyle name="40% - 强调文字颜色 3 8 2 5" xfId="6046"/>
    <cellStyle name="40% - 强调文字颜色 3 8 2 6" xfId="6047"/>
    <cellStyle name="40% - 强调文字颜色 3 8 2 7" xfId="6048"/>
    <cellStyle name="40% - 强调文字颜色 3 8 2 8" xfId="6049"/>
    <cellStyle name="40% - 强调文字颜色 3 8 2 9" xfId="6050"/>
    <cellStyle name="40% - 强调文字颜色 3 8 20" xfId="6051"/>
    <cellStyle name="40% - 强调文字颜色 3 8 21" xfId="6052"/>
    <cellStyle name="40% - 强调文字颜色 3 8 22" xfId="6053"/>
    <cellStyle name="40% - 强调文字颜色 3 8 23" xfId="6054"/>
    <cellStyle name="40% - 强调文字颜色 3 8 24" xfId="6055"/>
    <cellStyle name="40% - 强调文字颜色 3 8 25" xfId="6056"/>
    <cellStyle name="40% - 强调文字颜色 3 8 26" xfId="6057"/>
    <cellStyle name="40% - 强调文字颜色 3 8 27" xfId="6058"/>
    <cellStyle name="40% - 强调文字颜色 3 8 28" xfId="6059"/>
    <cellStyle name="40% - 强调文字颜色 3 8 3" xfId="6060"/>
    <cellStyle name="40% - 强调文字颜色 3 8 4" xfId="6061"/>
    <cellStyle name="40% - 强调文字颜色 3 8 5" xfId="6062"/>
    <cellStyle name="40% - 强调文字颜色 3 8 6" xfId="6063"/>
    <cellStyle name="40% - 强调文字颜色 3 8 7" xfId="6064"/>
    <cellStyle name="40% - 强调文字颜色 3 8 8" xfId="6065"/>
    <cellStyle name="40% - 强调文字颜色 3 8 9" xfId="6066"/>
    <cellStyle name="40% - 强调文字颜色 3 9" xfId="6067"/>
    <cellStyle name="40% - 强调文字颜色 3 9 10" xfId="6068"/>
    <cellStyle name="40% - 强调文字颜色 3 9 11" xfId="6069"/>
    <cellStyle name="40% - 强调文字颜色 3 9 12" xfId="6070"/>
    <cellStyle name="40% - 强调文字颜色 3 9 13" xfId="6071"/>
    <cellStyle name="40% - 强调文字颜色 3 9 14" xfId="6072"/>
    <cellStyle name="40% - 强调文字颜色 3 9 15" xfId="6073"/>
    <cellStyle name="40% - 强调文字颜色 3 9 16" xfId="6074"/>
    <cellStyle name="40% - 强调文字颜色 3 9 17" xfId="6075"/>
    <cellStyle name="40% - 强调文字颜色 3 9 18" xfId="6076"/>
    <cellStyle name="40% - 强调文字颜色 3 9 19" xfId="6077"/>
    <cellStyle name="40% - 强调文字颜色 3 9 2" xfId="6078"/>
    <cellStyle name="40% - 强调文字颜色 3 9 2 10" xfId="6079"/>
    <cellStyle name="40% - 强调文字颜色 3 9 2 11" xfId="6080"/>
    <cellStyle name="40% - 强调文字颜色 3 9 2 12" xfId="6081"/>
    <cellStyle name="40% - 强调文字颜色 3 9 2 13" xfId="6082"/>
    <cellStyle name="40% - 强调文字颜色 3 9 2 14" xfId="6083"/>
    <cellStyle name="40% - 强调文字颜色 3 9 2 15" xfId="6084"/>
    <cellStyle name="40% - 强调文字颜色 3 9 2 16" xfId="6085"/>
    <cellStyle name="40% - 强调文字颜色 3 9 2 17" xfId="6086"/>
    <cellStyle name="40% - 强调文字颜色 3 9 2 18" xfId="6087"/>
    <cellStyle name="40% - 强调文字颜色 3 9 2 19" xfId="6088"/>
    <cellStyle name="40% - 强调文字颜色 3 9 2 2" xfId="6089"/>
    <cellStyle name="40% - 强调文字颜色 3 9 2 20" xfId="6090"/>
    <cellStyle name="40% - 强调文字颜色 3 9 2 21" xfId="6091"/>
    <cellStyle name="40% - 强调文字颜色 3 9 2 22" xfId="6092"/>
    <cellStyle name="40% - 强调文字颜色 3 9 2 23" xfId="6093"/>
    <cellStyle name="40% - 强调文字颜色 3 9 2 24" xfId="6094"/>
    <cellStyle name="40% - 强调文字颜色 3 9 2 25" xfId="6095"/>
    <cellStyle name="40% - 强调文字颜色 3 9 2 26" xfId="6096"/>
    <cellStyle name="40% - 强调文字颜色 3 9 2 27" xfId="6097"/>
    <cellStyle name="40% - 强调文字颜色 3 9 2 3" xfId="6098"/>
    <cellStyle name="40% - 强调文字颜色 3 9 2 4" xfId="6099"/>
    <cellStyle name="40% - 强调文字颜色 3 9 2 5" xfId="6100"/>
    <cellStyle name="40% - 强调文字颜色 3 9 2 6" xfId="6101"/>
    <cellStyle name="40% - 强调文字颜色 3 9 2 7" xfId="6102"/>
    <cellStyle name="40% - 强调文字颜色 3 9 2 8" xfId="6103"/>
    <cellStyle name="40% - 强调文字颜色 3 9 2 9" xfId="6104"/>
    <cellStyle name="40% - 强调文字颜色 3 9 20" xfId="6105"/>
    <cellStyle name="40% - 强调文字颜色 3 9 21" xfId="6106"/>
    <cellStyle name="40% - 强调文字颜色 3 9 22" xfId="6107"/>
    <cellStyle name="40% - 强调文字颜色 3 9 23" xfId="6108"/>
    <cellStyle name="40% - 强调文字颜色 3 9 24" xfId="6109"/>
    <cellStyle name="40% - 强调文字颜色 3 9 25" xfId="6110"/>
    <cellStyle name="40% - 强调文字颜色 3 9 26" xfId="6111"/>
    <cellStyle name="40% - 强调文字颜色 3 9 27" xfId="6112"/>
    <cellStyle name="40% - 强调文字颜色 3 9 28" xfId="6113"/>
    <cellStyle name="40% - 强调文字颜色 3 9 3" xfId="6114"/>
    <cellStyle name="40% - 强调文字颜色 3 9 4" xfId="6115"/>
    <cellStyle name="40% - 强调文字颜色 3 9 5" xfId="6116"/>
    <cellStyle name="40% - 强调文字颜色 3 9 6" xfId="6117"/>
    <cellStyle name="40% - 强调文字颜色 3 9 7" xfId="6118"/>
    <cellStyle name="40% - 强调文字颜色 3 9 8" xfId="6119"/>
    <cellStyle name="40% - 强调文字颜色 3 9 9" xfId="6120"/>
    <cellStyle name="40% - 强调文字颜色 4 10" xfId="6121"/>
    <cellStyle name="40% - 强调文字颜色 4 10 10" xfId="6122"/>
    <cellStyle name="40% - 强调文字颜色 4 10 11" xfId="6123"/>
    <cellStyle name="40% - 强调文字颜色 4 10 12" xfId="6124"/>
    <cellStyle name="40% - 强调文字颜色 4 10 13" xfId="6125"/>
    <cellStyle name="40% - 强调文字颜色 4 10 14" xfId="6126"/>
    <cellStyle name="40% - 强调文字颜色 4 10 15" xfId="6127"/>
    <cellStyle name="40% - 强调文字颜色 4 10 16" xfId="6128"/>
    <cellStyle name="40% - 强调文字颜色 4 10 17" xfId="6129"/>
    <cellStyle name="40% - 强调文字颜色 4 10 18" xfId="6130"/>
    <cellStyle name="40% - 强调文字颜色 4 10 19" xfId="6131"/>
    <cellStyle name="40% - 强调文字颜色 4 10 2" xfId="6132"/>
    <cellStyle name="40% - 强调文字颜色 4 10 2 10" xfId="6133"/>
    <cellStyle name="40% - 强调文字颜色 4 10 2 11" xfId="6134"/>
    <cellStyle name="40% - 强调文字颜色 4 10 2 12" xfId="6135"/>
    <cellStyle name="40% - 强调文字颜色 4 10 2 13" xfId="6136"/>
    <cellStyle name="40% - 强调文字颜色 4 10 2 14" xfId="6137"/>
    <cellStyle name="40% - 强调文字颜色 4 10 2 15" xfId="6138"/>
    <cellStyle name="40% - 强调文字颜色 4 10 2 16" xfId="6139"/>
    <cellStyle name="40% - 强调文字颜色 4 10 2 17" xfId="6140"/>
    <cellStyle name="40% - 强调文字颜色 4 10 2 18" xfId="6141"/>
    <cellStyle name="40% - 强调文字颜色 4 10 2 19" xfId="6142"/>
    <cellStyle name="40% - 强调文字颜色 4 10 2 2" xfId="6143"/>
    <cellStyle name="40% - 强调文字颜色 4 10 2 20" xfId="6144"/>
    <cellStyle name="40% - 强调文字颜色 4 10 2 21" xfId="6145"/>
    <cellStyle name="40% - 强调文字颜色 4 10 2 22" xfId="6146"/>
    <cellStyle name="40% - 强调文字颜色 4 10 2 23" xfId="6147"/>
    <cellStyle name="40% - 强调文字颜色 4 10 2 24" xfId="6148"/>
    <cellStyle name="40% - 强调文字颜色 4 10 2 25" xfId="6149"/>
    <cellStyle name="40% - 强调文字颜色 4 10 2 26" xfId="6150"/>
    <cellStyle name="40% - 强调文字颜色 4 10 2 27" xfId="6151"/>
    <cellStyle name="40% - 强调文字颜色 4 10 2 3" xfId="6152"/>
    <cellStyle name="40% - 强调文字颜色 4 10 2 4" xfId="6153"/>
    <cellStyle name="40% - 强调文字颜色 4 10 2 5" xfId="6154"/>
    <cellStyle name="40% - 强调文字颜色 4 10 2 6" xfId="6155"/>
    <cellStyle name="40% - 强调文字颜色 4 10 2 7" xfId="6156"/>
    <cellStyle name="40% - 强调文字颜色 4 10 2 8" xfId="6157"/>
    <cellStyle name="40% - 强调文字颜色 4 10 2 9" xfId="6158"/>
    <cellStyle name="40% - 强调文字颜色 4 10 20" xfId="6159"/>
    <cellStyle name="40% - 强调文字颜色 4 10 21" xfId="6160"/>
    <cellStyle name="40% - 强调文字颜色 4 10 22" xfId="6161"/>
    <cellStyle name="40% - 强调文字颜色 4 10 23" xfId="6162"/>
    <cellStyle name="40% - 强调文字颜色 4 10 24" xfId="6163"/>
    <cellStyle name="40% - 强调文字颜色 4 10 25" xfId="6164"/>
    <cellStyle name="40% - 强调文字颜色 4 10 26" xfId="6165"/>
    <cellStyle name="40% - 强调文字颜色 4 10 27" xfId="6166"/>
    <cellStyle name="40% - 强调文字颜色 4 10 28" xfId="6167"/>
    <cellStyle name="40% - 强调文字颜色 4 10 3" xfId="6168"/>
    <cellStyle name="40% - 强调文字颜色 4 10 4" xfId="6169"/>
    <cellStyle name="40% - 强调文字颜色 4 10 5" xfId="6170"/>
    <cellStyle name="40% - 强调文字颜色 4 10 6" xfId="6171"/>
    <cellStyle name="40% - 强调文字颜色 4 10 7" xfId="6172"/>
    <cellStyle name="40% - 强调文字颜色 4 10 8" xfId="6173"/>
    <cellStyle name="40% - 强调文字颜色 4 10 9" xfId="6174"/>
    <cellStyle name="40% - 强调文字颜色 4 11" xfId="6175"/>
    <cellStyle name="40% - 强调文字颜色 4 11 10" xfId="6176"/>
    <cellStyle name="40% - 强调文字颜色 4 11 11" xfId="6177"/>
    <cellStyle name="40% - 强调文字颜色 4 11 12" xfId="6178"/>
    <cellStyle name="40% - 强调文字颜色 4 11 13" xfId="6179"/>
    <cellStyle name="40% - 强调文字颜色 4 11 14" xfId="6180"/>
    <cellStyle name="40% - 强调文字颜色 4 11 15" xfId="6181"/>
    <cellStyle name="40% - 强调文字颜色 4 11 16" xfId="6182"/>
    <cellStyle name="40% - 强调文字颜色 4 11 17" xfId="6183"/>
    <cellStyle name="40% - 强调文字颜色 4 11 18" xfId="6184"/>
    <cellStyle name="40% - 强调文字颜色 4 11 19" xfId="6185"/>
    <cellStyle name="40% - 强调文字颜色 4 11 2" xfId="6186"/>
    <cellStyle name="40% - 强调文字颜色 4 11 2 10" xfId="6187"/>
    <cellStyle name="40% - 强调文字颜色 4 11 2 11" xfId="6188"/>
    <cellStyle name="40% - 强调文字颜色 4 11 2 12" xfId="6189"/>
    <cellStyle name="40% - 强调文字颜色 4 11 2 13" xfId="6190"/>
    <cellStyle name="40% - 强调文字颜色 4 11 2 14" xfId="6191"/>
    <cellStyle name="40% - 强调文字颜色 4 11 2 15" xfId="6192"/>
    <cellStyle name="40% - 强调文字颜色 4 11 2 16" xfId="6193"/>
    <cellStyle name="40% - 强调文字颜色 4 11 2 17" xfId="6194"/>
    <cellStyle name="40% - 强调文字颜色 4 11 2 18" xfId="6195"/>
    <cellStyle name="40% - 强调文字颜色 4 11 2 19" xfId="6196"/>
    <cellStyle name="40% - 强调文字颜色 4 11 2 2" xfId="6197"/>
    <cellStyle name="40% - 强调文字颜色 4 11 2 20" xfId="6198"/>
    <cellStyle name="40% - 强调文字颜色 4 11 2 21" xfId="6199"/>
    <cellStyle name="40% - 强调文字颜色 4 11 2 22" xfId="6200"/>
    <cellStyle name="40% - 强调文字颜色 4 11 2 23" xfId="6201"/>
    <cellStyle name="40% - 强调文字颜色 4 11 2 24" xfId="6202"/>
    <cellStyle name="40% - 强调文字颜色 4 11 2 25" xfId="6203"/>
    <cellStyle name="40% - 强调文字颜色 4 11 2 26" xfId="6204"/>
    <cellStyle name="40% - 强调文字颜色 4 11 2 27" xfId="6205"/>
    <cellStyle name="40% - 强调文字颜色 4 11 2 3" xfId="6206"/>
    <cellStyle name="40% - 强调文字颜色 4 11 2 4" xfId="6207"/>
    <cellStyle name="40% - 强调文字颜色 4 11 2 5" xfId="6208"/>
    <cellStyle name="40% - 强调文字颜色 4 11 2 6" xfId="6209"/>
    <cellStyle name="40% - 强调文字颜色 4 11 2 7" xfId="6210"/>
    <cellStyle name="40% - 强调文字颜色 4 11 2 8" xfId="6211"/>
    <cellStyle name="40% - 强调文字颜色 4 11 2 9" xfId="6212"/>
    <cellStyle name="40% - 强调文字颜色 4 11 20" xfId="6213"/>
    <cellStyle name="40% - 强调文字颜色 4 11 21" xfId="6214"/>
    <cellStyle name="40% - 强调文字颜色 4 11 22" xfId="6215"/>
    <cellStyle name="40% - 强调文字颜色 4 11 23" xfId="6216"/>
    <cellStyle name="40% - 强调文字颜色 4 11 24" xfId="6217"/>
    <cellStyle name="40% - 强调文字颜色 4 11 25" xfId="6218"/>
    <cellStyle name="40% - 强调文字颜色 4 11 26" xfId="6219"/>
    <cellStyle name="40% - 强调文字颜色 4 11 27" xfId="6220"/>
    <cellStyle name="40% - 强调文字颜色 4 11 28" xfId="6221"/>
    <cellStyle name="40% - 强调文字颜色 4 11 3" xfId="6222"/>
    <cellStyle name="40% - 强调文字颜色 4 11 4" xfId="6223"/>
    <cellStyle name="40% - 强调文字颜色 4 11 5" xfId="6224"/>
    <cellStyle name="40% - 强调文字颜色 4 11 6" xfId="6225"/>
    <cellStyle name="40% - 强调文字颜色 4 11 7" xfId="6226"/>
    <cellStyle name="40% - 强调文字颜色 4 11 8" xfId="6227"/>
    <cellStyle name="40% - 强调文字颜色 4 11 9" xfId="6228"/>
    <cellStyle name="40% - 强调文字颜色 4 12" xfId="6229"/>
    <cellStyle name="40% - 强调文字颜色 4 13" xfId="6230"/>
    <cellStyle name="40% - 强调文字颜色 4 14" xfId="6231"/>
    <cellStyle name="40% - 强调文字颜色 4 15" xfId="6232"/>
    <cellStyle name="40% - 强调文字颜色 4 16" xfId="6233"/>
    <cellStyle name="40% - 强调文字颜色 4 17" xfId="6234"/>
    <cellStyle name="40% - 强调文字颜色 4 18" xfId="6235"/>
    <cellStyle name="40% - 强调文字颜色 4 19" xfId="6236"/>
    <cellStyle name="40% - 强调文字颜色 4 2" xfId="6237"/>
    <cellStyle name="40% - 强调文字颜色 4 2 10" xfId="6238"/>
    <cellStyle name="40% - 强调文字颜色 4 2 11" xfId="6239"/>
    <cellStyle name="40% - 强调文字颜色 4 2 12" xfId="6240"/>
    <cellStyle name="40% - 强调文字颜色 4 2 13" xfId="6241"/>
    <cellStyle name="40% - 强调文字颜色 4 2 14" xfId="6242"/>
    <cellStyle name="40% - 强调文字颜色 4 2 15" xfId="6243"/>
    <cellStyle name="40% - 强调文字颜色 4 2 16" xfId="6244"/>
    <cellStyle name="40% - 强调文字颜色 4 2 17" xfId="6245"/>
    <cellStyle name="40% - 强调文字颜色 4 2 18" xfId="6246"/>
    <cellStyle name="40% - 强调文字颜色 4 2 19" xfId="6247"/>
    <cellStyle name="40% - 强调文字颜色 4 2 2" xfId="6248"/>
    <cellStyle name="40% - 强调文字颜色 4 2 2 10" xfId="6249"/>
    <cellStyle name="40% - 强调文字颜色 4 2 2 11" xfId="6250"/>
    <cellStyle name="40% - 强调文字颜色 4 2 2 12" xfId="6251"/>
    <cellStyle name="40% - 强调文字颜色 4 2 2 13" xfId="6252"/>
    <cellStyle name="40% - 强调文字颜色 4 2 2 14" xfId="6253"/>
    <cellStyle name="40% - 强调文字颜色 4 2 2 15" xfId="6254"/>
    <cellStyle name="40% - 强调文字颜色 4 2 2 16" xfId="6255"/>
    <cellStyle name="40% - 强调文字颜色 4 2 2 17" xfId="6256"/>
    <cellStyle name="40% - 强调文字颜色 4 2 2 18" xfId="6257"/>
    <cellStyle name="40% - 强调文字颜色 4 2 2 19" xfId="6258"/>
    <cellStyle name="40% - 强调文字颜色 4 2 2 2" xfId="6259"/>
    <cellStyle name="40% - 强调文字颜色 4 2 2 2 10" xfId="6260"/>
    <cellStyle name="40% - 强调文字颜色 4 2 2 2 11" xfId="6261"/>
    <cellStyle name="40% - 强调文字颜色 4 2 2 2 12" xfId="6262"/>
    <cellStyle name="40% - 强调文字颜色 4 2 2 2 13" xfId="6263"/>
    <cellStyle name="40% - 强调文字颜色 4 2 2 2 14" xfId="6264"/>
    <cellStyle name="40% - 强调文字颜色 4 2 2 2 15" xfId="6265"/>
    <cellStyle name="40% - 强调文字颜色 4 2 2 2 16" xfId="6266"/>
    <cellStyle name="40% - 强调文字颜色 4 2 2 2 17" xfId="6267"/>
    <cellStyle name="40% - 强调文字颜色 4 2 2 2 18" xfId="6268"/>
    <cellStyle name="40% - 强调文字颜色 4 2 2 2 19" xfId="6269"/>
    <cellStyle name="40% - 强调文字颜色 4 2 2 2 2" xfId="6270"/>
    <cellStyle name="40% - 强调文字颜色 4 2 2 2 20" xfId="6271"/>
    <cellStyle name="40% - 强调文字颜色 4 2 2 2 21" xfId="6272"/>
    <cellStyle name="40% - 强调文字颜色 4 2 2 2 22" xfId="6273"/>
    <cellStyle name="40% - 强调文字颜色 4 2 2 2 23" xfId="6274"/>
    <cellStyle name="40% - 强调文字颜色 4 2 2 2 24" xfId="6275"/>
    <cellStyle name="40% - 强调文字颜色 4 2 2 2 25" xfId="6276"/>
    <cellStyle name="40% - 强调文字颜色 4 2 2 2 26" xfId="6277"/>
    <cellStyle name="40% - 强调文字颜色 4 2 2 2 27" xfId="6278"/>
    <cellStyle name="40% - 强调文字颜色 4 2 2 2 3" xfId="6279"/>
    <cellStyle name="40% - 强调文字颜色 4 2 2 2 4" xfId="6280"/>
    <cellStyle name="40% - 强调文字颜色 4 2 2 2 5" xfId="6281"/>
    <cellStyle name="40% - 强调文字颜色 4 2 2 2 6" xfId="6282"/>
    <cellStyle name="40% - 强调文字颜色 4 2 2 2 7" xfId="6283"/>
    <cellStyle name="40% - 强调文字颜色 4 2 2 2 8" xfId="6284"/>
    <cellStyle name="40% - 强调文字颜色 4 2 2 2 9" xfId="6285"/>
    <cellStyle name="40% - 强调文字颜色 4 2 2 20" xfId="6286"/>
    <cellStyle name="40% - 强调文字颜色 4 2 2 21" xfId="6287"/>
    <cellStyle name="40% - 强调文字颜色 4 2 2 22" xfId="6288"/>
    <cellStyle name="40% - 强调文字颜色 4 2 2 23" xfId="6289"/>
    <cellStyle name="40% - 强调文字颜色 4 2 2 24" xfId="6290"/>
    <cellStyle name="40% - 强调文字颜色 4 2 2 25" xfId="6291"/>
    <cellStyle name="40% - 强调文字颜色 4 2 2 26" xfId="6292"/>
    <cellStyle name="40% - 强调文字颜色 4 2 2 27" xfId="6293"/>
    <cellStyle name="40% - 强调文字颜色 4 2 2 28" xfId="6294"/>
    <cellStyle name="40% - 强调文字颜色 4 2 2 3" xfId="6295"/>
    <cellStyle name="40% - 强调文字颜色 4 2 2 4" xfId="6296"/>
    <cellStyle name="40% - 强调文字颜色 4 2 2 5" xfId="6297"/>
    <cellStyle name="40% - 强调文字颜色 4 2 2 6" xfId="6298"/>
    <cellStyle name="40% - 强调文字颜色 4 2 2 7" xfId="6299"/>
    <cellStyle name="40% - 强调文字颜色 4 2 2 8" xfId="6300"/>
    <cellStyle name="40% - 强调文字颜色 4 2 2 9" xfId="6301"/>
    <cellStyle name="40% - 强调文字颜色 4 2 20" xfId="6302"/>
    <cellStyle name="40% - 强调文字颜色 4 2 21" xfId="6303"/>
    <cellStyle name="40% - 强调文字颜色 4 2 22" xfId="6304"/>
    <cellStyle name="40% - 强调文字颜色 4 2 23" xfId="6305"/>
    <cellStyle name="40% - 强调文字颜色 4 2 24" xfId="6306"/>
    <cellStyle name="40% - 强调文字颜色 4 2 25" xfId="6307"/>
    <cellStyle name="40% - 强调文字颜色 4 2 26" xfId="6308"/>
    <cellStyle name="40% - 强调文字颜色 4 2 27" xfId="6309"/>
    <cellStyle name="40% - 强调文字颜色 4 2 28" xfId="6310"/>
    <cellStyle name="40% - 强调文字颜色 4 2 29" xfId="6311"/>
    <cellStyle name="40% - 强调文字颜色 4 2 3" xfId="6312"/>
    <cellStyle name="40% - 强调文字颜色 4 2 3 10" xfId="6313"/>
    <cellStyle name="40% - 强调文字颜色 4 2 3 11" xfId="6314"/>
    <cellStyle name="40% - 强调文字颜色 4 2 3 12" xfId="6315"/>
    <cellStyle name="40% - 强调文字颜色 4 2 3 13" xfId="6316"/>
    <cellStyle name="40% - 强调文字颜色 4 2 3 14" xfId="6317"/>
    <cellStyle name="40% - 强调文字颜色 4 2 3 15" xfId="6318"/>
    <cellStyle name="40% - 强调文字颜色 4 2 3 16" xfId="6319"/>
    <cellStyle name="40% - 强调文字颜色 4 2 3 17" xfId="6320"/>
    <cellStyle name="40% - 强调文字颜色 4 2 3 18" xfId="6321"/>
    <cellStyle name="40% - 强调文字颜色 4 2 3 19" xfId="6322"/>
    <cellStyle name="40% - 强调文字颜色 4 2 3 2" xfId="6323"/>
    <cellStyle name="40% - 强调文字颜色 4 2 3 2 10" xfId="6324"/>
    <cellStyle name="40% - 强调文字颜色 4 2 3 2 11" xfId="6325"/>
    <cellStyle name="40% - 强调文字颜色 4 2 3 2 12" xfId="6326"/>
    <cellStyle name="40% - 强调文字颜色 4 2 3 2 13" xfId="6327"/>
    <cellStyle name="40% - 强调文字颜色 4 2 3 2 14" xfId="6328"/>
    <cellStyle name="40% - 强调文字颜色 4 2 3 2 15" xfId="6329"/>
    <cellStyle name="40% - 强调文字颜色 4 2 3 2 16" xfId="6330"/>
    <cellStyle name="40% - 强调文字颜色 4 2 3 2 17" xfId="6331"/>
    <cellStyle name="40% - 强调文字颜色 4 2 3 2 18" xfId="6332"/>
    <cellStyle name="40% - 强调文字颜色 4 2 3 2 19" xfId="6333"/>
    <cellStyle name="40% - 强调文字颜色 4 2 3 2 2" xfId="6334"/>
    <cellStyle name="40% - 强调文字颜色 4 2 3 2 20" xfId="6335"/>
    <cellStyle name="40% - 强调文字颜色 4 2 3 2 21" xfId="6336"/>
    <cellStyle name="40% - 强调文字颜色 4 2 3 2 22" xfId="6337"/>
    <cellStyle name="40% - 强调文字颜色 4 2 3 2 23" xfId="6338"/>
    <cellStyle name="40% - 强调文字颜色 4 2 3 2 24" xfId="6339"/>
    <cellStyle name="40% - 强调文字颜色 4 2 3 2 25" xfId="6340"/>
    <cellStyle name="40% - 强调文字颜色 4 2 3 2 26" xfId="6341"/>
    <cellStyle name="40% - 强调文字颜色 4 2 3 2 27" xfId="6342"/>
    <cellStyle name="40% - 强调文字颜色 4 2 3 2 3" xfId="6343"/>
    <cellStyle name="40% - 强调文字颜色 4 2 3 2 4" xfId="6344"/>
    <cellStyle name="40% - 强调文字颜色 4 2 3 2 5" xfId="6345"/>
    <cellStyle name="40% - 强调文字颜色 4 2 3 2 6" xfId="6346"/>
    <cellStyle name="40% - 强调文字颜色 4 2 3 2 7" xfId="6347"/>
    <cellStyle name="40% - 强调文字颜色 4 2 3 2 8" xfId="6348"/>
    <cellStyle name="40% - 强调文字颜色 4 2 3 2 9" xfId="6349"/>
    <cellStyle name="40% - 强调文字颜色 4 2 3 20" xfId="6350"/>
    <cellStyle name="40% - 强调文字颜色 4 2 3 21" xfId="6351"/>
    <cellStyle name="40% - 强调文字颜色 4 2 3 22" xfId="6352"/>
    <cellStyle name="40% - 强调文字颜色 4 2 3 23" xfId="6353"/>
    <cellStyle name="40% - 强调文字颜色 4 2 3 24" xfId="6354"/>
    <cellStyle name="40% - 强调文字颜色 4 2 3 25" xfId="6355"/>
    <cellStyle name="40% - 强调文字颜色 4 2 3 26" xfId="6356"/>
    <cellStyle name="40% - 强调文字颜色 4 2 3 27" xfId="6357"/>
    <cellStyle name="40% - 强调文字颜色 4 2 3 28" xfId="6358"/>
    <cellStyle name="40% - 强调文字颜色 4 2 3 3" xfId="6359"/>
    <cellStyle name="40% - 强调文字颜色 4 2 3 4" xfId="6360"/>
    <cellStyle name="40% - 强调文字颜色 4 2 3 5" xfId="6361"/>
    <cellStyle name="40% - 强调文字颜色 4 2 3 6" xfId="6362"/>
    <cellStyle name="40% - 强调文字颜色 4 2 3 7" xfId="6363"/>
    <cellStyle name="40% - 强调文字颜色 4 2 3 8" xfId="6364"/>
    <cellStyle name="40% - 强调文字颜色 4 2 3 9" xfId="6365"/>
    <cellStyle name="40% - 强调文字颜色 4 2 30" xfId="6366"/>
    <cellStyle name="40% - 强调文字颜色 4 2 31" xfId="6367"/>
    <cellStyle name="40% - 强调文字颜色 4 2 32" xfId="6368"/>
    <cellStyle name="40% - 强调文字颜色 4 2 33" xfId="6369"/>
    <cellStyle name="40% - 强调文字颜色 4 2 4" xfId="6370"/>
    <cellStyle name="40% - 强调文字颜色 4 2 4 10" xfId="6371"/>
    <cellStyle name="40% - 强调文字颜色 4 2 4 11" xfId="6372"/>
    <cellStyle name="40% - 强调文字颜色 4 2 4 12" xfId="6373"/>
    <cellStyle name="40% - 强调文字颜色 4 2 4 13" xfId="6374"/>
    <cellStyle name="40% - 强调文字颜色 4 2 4 14" xfId="6375"/>
    <cellStyle name="40% - 强调文字颜色 4 2 4 15" xfId="6376"/>
    <cellStyle name="40% - 强调文字颜色 4 2 4 16" xfId="6377"/>
    <cellStyle name="40% - 强调文字颜色 4 2 4 17" xfId="6378"/>
    <cellStyle name="40% - 强调文字颜色 4 2 4 18" xfId="6379"/>
    <cellStyle name="40% - 强调文字颜色 4 2 4 19" xfId="6380"/>
    <cellStyle name="40% - 强调文字颜色 4 2 4 2" xfId="6381"/>
    <cellStyle name="40% - 强调文字颜色 4 2 4 20" xfId="6382"/>
    <cellStyle name="40% - 强调文字颜色 4 2 4 21" xfId="6383"/>
    <cellStyle name="40% - 强调文字颜色 4 2 4 22" xfId="6384"/>
    <cellStyle name="40% - 强调文字颜色 4 2 4 23" xfId="6385"/>
    <cellStyle name="40% - 强调文字颜色 4 2 4 24" xfId="6386"/>
    <cellStyle name="40% - 强调文字颜色 4 2 4 25" xfId="6387"/>
    <cellStyle name="40% - 强调文字颜色 4 2 4 26" xfId="6388"/>
    <cellStyle name="40% - 强调文字颜色 4 2 4 27" xfId="6389"/>
    <cellStyle name="40% - 强调文字颜色 4 2 4 3" xfId="6390"/>
    <cellStyle name="40% - 强调文字颜色 4 2 4 4" xfId="6391"/>
    <cellStyle name="40% - 强调文字颜色 4 2 4 5" xfId="6392"/>
    <cellStyle name="40% - 强调文字颜色 4 2 4 6" xfId="6393"/>
    <cellStyle name="40% - 强调文字颜色 4 2 4 7" xfId="6394"/>
    <cellStyle name="40% - 强调文字颜色 4 2 4 8" xfId="6395"/>
    <cellStyle name="40% - 强调文字颜色 4 2 4 9" xfId="6396"/>
    <cellStyle name="40% - 强调文字颜色 4 2 5" xfId="6397"/>
    <cellStyle name="40% - 强调文字颜色 4 2 6" xfId="6398"/>
    <cellStyle name="40% - 强调文字颜色 4 2 7" xfId="6399"/>
    <cellStyle name="40% - 强调文字颜色 4 2 8" xfId="6400"/>
    <cellStyle name="40% - 强调文字颜色 4 2 9" xfId="6401"/>
    <cellStyle name="40% - 强调文字颜色 4 20" xfId="6402"/>
    <cellStyle name="40% - 强调文字颜色 4 21" xfId="6403"/>
    <cellStyle name="40% - 强调文字颜色 4 22" xfId="6404"/>
    <cellStyle name="40% - 强调文字颜色 4 23" xfId="6405"/>
    <cellStyle name="40% - 强调文字颜色 4 24" xfId="6406"/>
    <cellStyle name="40% - 强调文字颜色 4 25" xfId="6407"/>
    <cellStyle name="40% - 强调文字颜色 4 26" xfId="6408"/>
    <cellStyle name="40% - 强调文字颜色 4 27" xfId="6409"/>
    <cellStyle name="40% - 强调文字颜色 4 28" xfId="6410"/>
    <cellStyle name="40% - 强调文字颜色 4 29" xfId="6411"/>
    <cellStyle name="40% - 强调文字颜色 4 3" xfId="6412"/>
    <cellStyle name="40% - 强调文字颜色 4 3 10" xfId="6413"/>
    <cellStyle name="40% - 强调文字颜色 4 3 11" xfId="6414"/>
    <cellStyle name="40% - 强调文字颜色 4 3 12" xfId="6415"/>
    <cellStyle name="40% - 强调文字颜色 4 3 13" xfId="6416"/>
    <cellStyle name="40% - 强调文字颜色 4 3 14" xfId="6417"/>
    <cellStyle name="40% - 强调文字颜色 4 3 15" xfId="6418"/>
    <cellStyle name="40% - 强调文字颜色 4 3 16" xfId="6419"/>
    <cellStyle name="40% - 强调文字颜色 4 3 17" xfId="6420"/>
    <cellStyle name="40% - 强调文字颜色 4 3 18" xfId="6421"/>
    <cellStyle name="40% - 强调文字颜色 4 3 19" xfId="6422"/>
    <cellStyle name="40% - 强调文字颜色 4 3 2" xfId="6423"/>
    <cellStyle name="40% - 强调文字颜色 4 3 2 10" xfId="6424"/>
    <cellStyle name="40% - 强调文字颜色 4 3 2 11" xfId="6425"/>
    <cellStyle name="40% - 强调文字颜色 4 3 2 12" xfId="6426"/>
    <cellStyle name="40% - 强调文字颜色 4 3 2 13" xfId="6427"/>
    <cellStyle name="40% - 强调文字颜色 4 3 2 14" xfId="6428"/>
    <cellStyle name="40% - 强调文字颜色 4 3 2 15" xfId="6429"/>
    <cellStyle name="40% - 强调文字颜色 4 3 2 16" xfId="6430"/>
    <cellStyle name="40% - 强调文字颜色 4 3 2 17" xfId="6431"/>
    <cellStyle name="40% - 强调文字颜色 4 3 2 18" xfId="6432"/>
    <cellStyle name="40% - 强调文字颜色 4 3 2 19" xfId="6433"/>
    <cellStyle name="40% - 强调文字颜色 4 3 2 2" xfId="6434"/>
    <cellStyle name="40% - 强调文字颜色 4 3 2 20" xfId="6435"/>
    <cellStyle name="40% - 强调文字颜色 4 3 2 21" xfId="6436"/>
    <cellStyle name="40% - 强调文字颜色 4 3 2 22" xfId="6437"/>
    <cellStyle name="40% - 强调文字颜色 4 3 2 23" xfId="6438"/>
    <cellStyle name="40% - 强调文字颜色 4 3 2 24" xfId="6439"/>
    <cellStyle name="40% - 强调文字颜色 4 3 2 25" xfId="6440"/>
    <cellStyle name="40% - 强调文字颜色 4 3 2 26" xfId="6441"/>
    <cellStyle name="40% - 强调文字颜色 4 3 2 27" xfId="6442"/>
    <cellStyle name="40% - 强调文字颜色 4 3 2 3" xfId="6443"/>
    <cellStyle name="40% - 强调文字颜色 4 3 2 4" xfId="6444"/>
    <cellStyle name="40% - 强调文字颜色 4 3 2 5" xfId="6445"/>
    <cellStyle name="40% - 强调文字颜色 4 3 2 6" xfId="6446"/>
    <cellStyle name="40% - 强调文字颜色 4 3 2 7" xfId="6447"/>
    <cellStyle name="40% - 强调文字颜色 4 3 2 8" xfId="6448"/>
    <cellStyle name="40% - 强调文字颜色 4 3 2 9" xfId="6449"/>
    <cellStyle name="40% - 强调文字颜色 4 3 20" xfId="6450"/>
    <cellStyle name="40% - 强调文字颜色 4 3 21" xfId="6451"/>
    <cellStyle name="40% - 强调文字颜色 4 3 22" xfId="6452"/>
    <cellStyle name="40% - 强调文字颜色 4 3 23" xfId="6453"/>
    <cellStyle name="40% - 强调文字颜色 4 3 24" xfId="6454"/>
    <cellStyle name="40% - 强调文字颜色 4 3 25" xfId="6455"/>
    <cellStyle name="40% - 强调文字颜色 4 3 26" xfId="6456"/>
    <cellStyle name="40% - 强调文字颜色 4 3 27" xfId="6457"/>
    <cellStyle name="40% - 强调文字颜色 4 3 28" xfId="6458"/>
    <cellStyle name="40% - 强调文字颜色 4 3 3" xfId="6459"/>
    <cellStyle name="40% - 强调文字颜色 4 3 4" xfId="6460"/>
    <cellStyle name="40% - 强调文字颜色 4 3 5" xfId="6461"/>
    <cellStyle name="40% - 强调文字颜色 4 3 6" xfId="6462"/>
    <cellStyle name="40% - 强调文字颜色 4 3 7" xfId="6463"/>
    <cellStyle name="40% - 强调文字颜色 4 3 8" xfId="6464"/>
    <cellStyle name="40% - 强调文字颜色 4 3 9" xfId="6465"/>
    <cellStyle name="40% - 强调文字颜色 4 30" xfId="6466"/>
    <cellStyle name="40% - 强调文字颜色 4 31" xfId="6467"/>
    <cellStyle name="40% - 强调文字颜色 4 32" xfId="6468"/>
    <cellStyle name="40% - 强调文字颜色 4 33" xfId="6469"/>
    <cellStyle name="40% - 强调文字颜色 4 34" xfId="6470"/>
    <cellStyle name="40% - 强调文字颜色 4 35" xfId="6471"/>
    <cellStyle name="40% - 强调文字颜色 4 36" xfId="6472"/>
    <cellStyle name="40% - 强调文字颜色 4 37" xfId="6473"/>
    <cellStyle name="40% - 强调文字颜色 4 38" xfId="6474"/>
    <cellStyle name="40% - 强调文字颜色 4 39" xfId="6475"/>
    <cellStyle name="40% - 强调文字颜色 4 4" xfId="6476"/>
    <cellStyle name="40% - 强调文字颜色 4 4 10" xfId="6477"/>
    <cellStyle name="40% - 强调文字颜色 4 4 11" xfId="6478"/>
    <cellStyle name="40% - 强调文字颜色 4 4 12" xfId="6479"/>
    <cellStyle name="40% - 强调文字颜色 4 4 13" xfId="6480"/>
    <cellStyle name="40% - 强调文字颜色 4 4 14" xfId="6481"/>
    <cellStyle name="40% - 强调文字颜色 4 4 15" xfId="6482"/>
    <cellStyle name="40% - 强调文字颜色 4 4 16" xfId="6483"/>
    <cellStyle name="40% - 强调文字颜色 4 4 17" xfId="6484"/>
    <cellStyle name="40% - 强调文字颜色 4 4 18" xfId="6485"/>
    <cellStyle name="40% - 强调文字颜色 4 4 19" xfId="6486"/>
    <cellStyle name="40% - 强调文字颜色 4 4 2" xfId="6487"/>
    <cellStyle name="40% - 强调文字颜色 4 4 2 10" xfId="6488"/>
    <cellStyle name="40% - 强调文字颜色 4 4 2 11" xfId="6489"/>
    <cellStyle name="40% - 强调文字颜色 4 4 2 12" xfId="6490"/>
    <cellStyle name="40% - 强调文字颜色 4 4 2 13" xfId="6491"/>
    <cellStyle name="40% - 强调文字颜色 4 4 2 14" xfId="6492"/>
    <cellStyle name="40% - 强调文字颜色 4 4 2 15" xfId="6493"/>
    <cellStyle name="40% - 强调文字颜色 4 4 2 16" xfId="6494"/>
    <cellStyle name="40% - 强调文字颜色 4 4 2 17" xfId="6495"/>
    <cellStyle name="40% - 强调文字颜色 4 4 2 18" xfId="6496"/>
    <cellStyle name="40% - 强调文字颜色 4 4 2 19" xfId="6497"/>
    <cellStyle name="40% - 强调文字颜色 4 4 2 2" xfId="6498"/>
    <cellStyle name="40% - 强调文字颜色 4 4 2 20" xfId="6499"/>
    <cellStyle name="40% - 强调文字颜色 4 4 2 21" xfId="6500"/>
    <cellStyle name="40% - 强调文字颜色 4 4 2 22" xfId="6501"/>
    <cellStyle name="40% - 强调文字颜色 4 4 2 23" xfId="6502"/>
    <cellStyle name="40% - 强调文字颜色 4 4 2 24" xfId="6503"/>
    <cellStyle name="40% - 强调文字颜色 4 4 2 25" xfId="6504"/>
    <cellStyle name="40% - 强调文字颜色 4 4 2 26" xfId="6505"/>
    <cellStyle name="40% - 强调文字颜色 4 4 2 27" xfId="6506"/>
    <cellStyle name="40% - 强调文字颜色 4 4 2 3" xfId="6507"/>
    <cellStyle name="40% - 强调文字颜色 4 4 2 4" xfId="6508"/>
    <cellStyle name="40% - 强调文字颜色 4 4 2 5" xfId="6509"/>
    <cellStyle name="40% - 强调文字颜色 4 4 2 6" xfId="6510"/>
    <cellStyle name="40% - 强调文字颜色 4 4 2 7" xfId="6511"/>
    <cellStyle name="40% - 强调文字颜色 4 4 2 8" xfId="6512"/>
    <cellStyle name="40% - 强调文字颜色 4 4 2 9" xfId="6513"/>
    <cellStyle name="40% - 强调文字颜色 4 4 20" xfId="6514"/>
    <cellStyle name="40% - 强调文字颜色 4 4 21" xfId="6515"/>
    <cellStyle name="40% - 强调文字颜色 4 4 22" xfId="6516"/>
    <cellStyle name="40% - 强调文字颜色 4 4 23" xfId="6517"/>
    <cellStyle name="40% - 强调文字颜色 4 4 24" xfId="6518"/>
    <cellStyle name="40% - 强调文字颜色 4 4 25" xfId="6519"/>
    <cellStyle name="40% - 强调文字颜色 4 4 26" xfId="6520"/>
    <cellStyle name="40% - 强调文字颜色 4 4 27" xfId="6521"/>
    <cellStyle name="40% - 强调文字颜色 4 4 28" xfId="6522"/>
    <cellStyle name="40% - 强调文字颜色 4 4 3" xfId="6523"/>
    <cellStyle name="40% - 强调文字颜色 4 4 4" xfId="6524"/>
    <cellStyle name="40% - 强调文字颜色 4 4 5" xfId="6525"/>
    <cellStyle name="40% - 强调文字颜色 4 4 6" xfId="6526"/>
    <cellStyle name="40% - 强调文字颜色 4 4 7" xfId="6527"/>
    <cellStyle name="40% - 强调文字颜色 4 4 8" xfId="6528"/>
    <cellStyle name="40% - 强调文字颜色 4 4 9" xfId="6529"/>
    <cellStyle name="40% - 强调文字颜色 4 40" xfId="6530"/>
    <cellStyle name="40% - 强调文字颜色 4 5" xfId="6531"/>
    <cellStyle name="40% - 强调文字颜色 4 5 10" xfId="6532"/>
    <cellStyle name="40% - 强调文字颜色 4 5 11" xfId="6533"/>
    <cellStyle name="40% - 强调文字颜色 4 5 12" xfId="6534"/>
    <cellStyle name="40% - 强调文字颜色 4 5 13" xfId="6535"/>
    <cellStyle name="40% - 强调文字颜色 4 5 14" xfId="6536"/>
    <cellStyle name="40% - 强调文字颜色 4 5 15" xfId="6537"/>
    <cellStyle name="40% - 强调文字颜色 4 5 16" xfId="6538"/>
    <cellStyle name="40% - 强调文字颜色 4 5 17" xfId="6539"/>
    <cellStyle name="40% - 强调文字颜色 4 5 18" xfId="6540"/>
    <cellStyle name="40% - 强调文字颜色 4 5 19" xfId="6541"/>
    <cellStyle name="40% - 强调文字颜色 4 5 2" xfId="6542"/>
    <cellStyle name="40% - 强调文字颜色 4 5 2 10" xfId="6543"/>
    <cellStyle name="40% - 强调文字颜色 4 5 2 11" xfId="6544"/>
    <cellStyle name="40% - 强调文字颜色 4 5 2 12" xfId="6545"/>
    <cellStyle name="40% - 强调文字颜色 4 5 2 13" xfId="6546"/>
    <cellStyle name="40% - 强调文字颜色 4 5 2 14" xfId="6547"/>
    <cellStyle name="40% - 强调文字颜色 4 5 2 15" xfId="6548"/>
    <cellStyle name="40% - 强调文字颜色 4 5 2 16" xfId="6549"/>
    <cellStyle name="40% - 强调文字颜色 4 5 2 17" xfId="6550"/>
    <cellStyle name="40% - 强调文字颜色 4 5 2 18" xfId="6551"/>
    <cellStyle name="40% - 强调文字颜色 4 5 2 19" xfId="6552"/>
    <cellStyle name="40% - 强调文字颜色 4 5 2 2" xfId="6553"/>
    <cellStyle name="40% - 强调文字颜色 4 5 2 20" xfId="6554"/>
    <cellStyle name="40% - 强调文字颜色 4 5 2 21" xfId="6555"/>
    <cellStyle name="40% - 强调文字颜色 4 5 2 22" xfId="6556"/>
    <cellStyle name="40% - 强调文字颜色 4 5 2 23" xfId="6557"/>
    <cellStyle name="40% - 强调文字颜色 4 5 2 24" xfId="6558"/>
    <cellStyle name="40% - 强调文字颜色 4 5 2 25" xfId="6559"/>
    <cellStyle name="40% - 强调文字颜色 4 5 2 26" xfId="6560"/>
    <cellStyle name="40% - 强调文字颜色 4 5 2 27" xfId="6561"/>
    <cellStyle name="40% - 强调文字颜色 4 5 2 3" xfId="6562"/>
    <cellStyle name="40% - 强调文字颜色 4 5 2 4" xfId="6563"/>
    <cellStyle name="40% - 强调文字颜色 4 5 2 5" xfId="6564"/>
    <cellStyle name="40% - 强调文字颜色 4 5 2 6" xfId="6565"/>
    <cellStyle name="40% - 强调文字颜色 4 5 2 7" xfId="6566"/>
    <cellStyle name="40% - 强调文字颜色 4 5 2 8" xfId="6567"/>
    <cellStyle name="40% - 强调文字颜色 4 5 2 9" xfId="6568"/>
    <cellStyle name="40% - 强调文字颜色 4 5 20" xfId="6569"/>
    <cellStyle name="40% - 强调文字颜色 4 5 21" xfId="6570"/>
    <cellStyle name="40% - 强调文字颜色 4 5 22" xfId="6571"/>
    <cellStyle name="40% - 强调文字颜色 4 5 23" xfId="6572"/>
    <cellStyle name="40% - 强调文字颜色 4 5 24" xfId="6573"/>
    <cellStyle name="40% - 强调文字颜色 4 5 25" xfId="6574"/>
    <cellStyle name="40% - 强调文字颜色 4 5 26" xfId="6575"/>
    <cellStyle name="40% - 强调文字颜色 4 5 27" xfId="6576"/>
    <cellStyle name="40% - 强调文字颜色 4 5 28" xfId="6577"/>
    <cellStyle name="40% - 强调文字颜色 4 5 3" xfId="6578"/>
    <cellStyle name="40% - 强调文字颜色 4 5 4" xfId="6579"/>
    <cellStyle name="40% - 强调文字颜色 4 5 5" xfId="6580"/>
    <cellStyle name="40% - 强调文字颜色 4 5 6" xfId="6581"/>
    <cellStyle name="40% - 强调文字颜色 4 5 7" xfId="6582"/>
    <cellStyle name="40% - 强调文字颜色 4 5 8" xfId="6583"/>
    <cellStyle name="40% - 强调文字颜色 4 5 9" xfId="6584"/>
    <cellStyle name="40% - 强调文字颜色 4 6" xfId="6585"/>
    <cellStyle name="40% - 强调文字颜色 4 6 10" xfId="6586"/>
    <cellStyle name="40% - 强调文字颜色 4 6 11" xfId="6587"/>
    <cellStyle name="40% - 强调文字颜色 4 6 12" xfId="6588"/>
    <cellStyle name="40% - 强调文字颜色 4 6 13" xfId="6589"/>
    <cellStyle name="40% - 强调文字颜色 4 6 14" xfId="6590"/>
    <cellStyle name="40% - 强调文字颜色 4 6 15" xfId="6591"/>
    <cellStyle name="40% - 强调文字颜色 4 6 16" xfId="6592"/>
    <cellStyle name="40% - 强调文字颜色 4 6 17" xfId="6593"/>
    <cellStyle name="40% - 强调文字颜色 4 6 18" xfId="6594"/>
    <cellStyle name="40% - 强调文字颜色 4 6 19" xfId="6595"/>
    <cellStyle name="40% - 强调文字颜色 4 6 2" xfId="6596"/>
    <cellStyle name="40% - 强调文字颜色 4 6 2 10" xfId="6597"/>
    <cellStyle name="40% - 强调文字颜色 4 6 2 11" xfId="6598"/>
    <cellStyle name="40% - 强调文字颜色 4 6 2 12" xfId="6599"/>
    <cellStyle name="40% - 强调文字颜色 4 6 2 13" xfId="6600"/>
    <cellStyle name="40% - 强调文字颜色 4 6 2 14" xfId="6601"/>
    <cellStyle name="40% - 强调文字颜色 4 6 2 15" xfId="6602"/>
    <cellStyle name="40% - 强调文字颜色 4 6 2 16" xfId="6603"/>
    <cellStyle name="40% - 强调文字颜色 4 6 2 17" xfId="6604"/>
    <cellStyle name="40% - 强调文字颜色 4 6 2 18" xfId="6605"/>
    <cellStyle name="40% - 强调文字颜色 4 6 2 19" xfId="6606"/>
    <cellStyle name="40% - 强调文字颜色 4 6 2 2" xfId="6607"/>
    <cellStyle name="40% - 强调文字颜色 4 6 2 20" xfId="6608"/>
    <cellStyle name="40% - 强调文字颜色 4 6 2 21" xfId="6609"/>
    <cellStyle name="40% - 强调文字颜色 4 6 2 22" xfId="6610"/>
    <cellStyle name="40% - 强调文字颜色 4 6 2 23" xfId="6611"/>
    <cellStyle name="40% - 强调文字颜色 4 6 2 24" xfId="6612"/>
    <cellStyle name="40% - 强调文字颜色 4 6 2 25" xfId="6613"/>
    <cellStyle name="40% - 强调文字颜色 4 6 2 26" xfId="6614"/>
    <cellStyle name="40% - 强调文字颜色 4 6 2 27" xfId="6615"/>
    <cellStyle name="40% - 强调文字颜色 4 6 2 3" xfId="6616"/>
    <cellStyle name="40% - 强调文字颜色 4 6 2 4" xfId="6617"/>
    <cellStyle name="40% - 强调文字颜色 4 6 2 5" xfId="6618"/>
    <cellStyle name="40% - 强调文字颜色 4 6 2 6" xfId="6619"/>
    <cellStyle name="40% - 强调文字颜色 4 6 2 7" xfId="6620"/>
    <cellStyle name="40% - 强调文字颜色 4 6 2 8" xfId="6621"/>
    <cellStyle name="40% - 强调文字颜色 4 6 2 9" xfId="6622"/>
    <cellStyle name="40% - 强调文字颜色 4 6 20" xfId="6623"/>
    <cellStyle name="40% - 强调文字颜色 4 6 21" xfId="6624"/>
    <cellStyle name="40% - 强调文字颜色 4 6 22" xfId="6625"/>
    <cellStyle name="40% - 强调文字颜色 4 6 23" xfId="6626"/>
    <cellStyle name="40% - 强调文字颜色 4 6 24" xfId="6627"/>
    <cellStyle name="40% - 强调文字颜色 4 6 25" xfId="6628"/>
    <cellStyle name="40% - 强调文字颜色 4 6 26" xfId="6629"/>
    <cellStyle name="40% - 强调文字颜色 4 6 27" xfId="6630"/>
    <cellStyle name="40% - 强调文字颜色 4 6 28" xfId="6631"/>
    <cellStyle name="40% - 强调文字颜色 4 6 3" xfId="6632"/>
    <cellStyle name="40% - 强调文字颜色 4 6 4" xfId="6633"/>
    <cellStyle name="40% - 强调文字颜色 4 6 5" xfId="6634"/>
    <cellStyle name="40% - 强调文字颜色 4 6 6" xfId="6635"/>
    <cellStyle name="40% - 强调文字颜色 4 6 7" xfId="6636"/>
    <cellStyle name="40% - 强调文字颜色 4 6 8" xfId="6637"/>
    <cellStyle name="40% - 强调文字颜色 4 6 9" xfId="6638"/>
    <cellStyle name="40% - 强调文字颜色 4 7" xfId="6639"/>
    <cellStyle name="40% - 强调文字颜色 4 7 10" xfId="6640"/>
    <cellStyle name="40% - 强调文字颜色 4 7 11" xfId="6641"/>
    <cellStyle name="40% - 强调文字颜色 4 7 12" xfId="6642"/>
    <cellStyle name="40% - 强调文字颜色 4 7 13" xfId="6643"/>
    <cellStyle name="40% - 强调文字颜色 4 7 14" xfId="6644"/>
    <cellStyle name="40% - 强调文字颜色 4 7 15" xfId="6645"/>
    <cellStyle name="40% - 强调文字颜色 4 7 16" xfId="6646"/>
    <cellStyle name="40% - 强调文字颜色 4 7 17" xfId="6647"/>
    <cellStyle name="40% - 强调文字颜色 4 7 18" xfId="6648"/>
    <cellStyle name="40% - 强调文字颜色 4 7 19" xfId="6649"/>
    <cellStyle name="40% - 强调文字颜色 4 7 2" xfId="6650"/>
    <cellStyle name="40% - 强调文字颜色 4 7 2 10" xfId="6651"/>
    <cellStyle name="40% - 强调文字颜色 4 7 2 11" xfId="6652"/>
    <cellStyle name="40% - 强调文字颜色 4 7 2 12" xfId="6653"/>
    <cellStyle name="40% - 强调文字颜色 4 7 2 13" xfId="6654"/>
    <cellStyle name="40% - 强调文字颜色 4 7 2 14" xfId="6655"/>
    <cellStyle name="40% - 强调文字颜色 4 7 2 15" xfId="6656"/>
    <cellStyle name="40% - 强调文字颜色 4 7 2 16" xfId="6657"/>
    <cellStyle name="40% - 强调文字颜色 4 7 2 17" xfId="6658"/>
    <cellStyle name="40% - 强调文字颜色 4 7 2 18" xfId="6659"/>
    <cellStyle name="40% - 强调文字颜色 4 7 2 19" xfId="6660"/>
    <cellStyle name="40% - 强调文字颜色 4 7 2 2" xfId="6661"/>
    <cellStyle name="40% - 强调文字颜色 4 7 2 20" xfId="6662"/>
    <cellStyle name="40% - 强调文字颜色 4 7 2 21" xfId="6663"/>
    <cellStyle name="40% - 强调文字颜色 4 7 2 22" xfId="6664"/>
    <cellStyle name="40% - 强调文字颜色 4 7 2 23" xfId="6665"/>
    <cellStyle name="40% - 强调文字颜色 4 7 2 24" xfId="6666"/>
    <cellStyle name="40% - 强调文字颜色 4 7 2 25" xfId="6667"/>
    <cellStyle name="40% - 强调文字颜色 4 7 2 26" xfId="6668"/>
    <cellStyle name="40% - 强调文字颜色 4 7 2 27" xfId="6669"/>
    <cellStyle name="40% - 强调文字颜色 4 7 2 3" xfId="6670"/>
    <cellStyle name="40% - 强调文字颜色 4 7 2 4" xfId="6671"/>
    <cellStyle name="40% - 强调文字颜色 4 7 2 5" xfId="6672"/>
    <cellStyle name="40% - 强调文字颜色 4 7 2 6" xfId="6673"/>
    <cellStyle name="40% - 强调文字颜色 4 7 2 7" xfId="6674"/>
    <cellStyle name="40% - 强调文字颜色 4 7 2 8" xfId="6675"/>
    <cellStyle name="40% - 强调文字颜色 4 7 2 9" xfId="6676"/>
    <cellStyle name="40% - 强调文字颜色 4 7 20" xfId="6677"/>
    <cellStyle name="40% - 强调文字颜色 4 7 21" xfId="6678"/>
    <cellStyle name="40% - 强调文字颜色 4 7 22" xfId="6679"/>
    <cellStyle name="40% - 强调文字颜色 4 7 23" xfId="6680"/>
    <cellStyle name="40% - 强调文字颜色 4 7 24" xfId="6681"/>
    <cellStyle name="40% - 强调文字颜色 4 7 25" xfId="6682"/>
    <cellStyle name="40% - 强调文字颜色 4 7 26" xfId="6683"/>
    <cellStyle name="40% - 强调文字颜色 4 7 27" xfId="6684"/>
    <cellStyle name="40% - 强调文字颜色 4 7 28" xfId="6685"/>
    <cellStyle name="40% - 强调文字颜色 4 7 3" xfId="6686"/>
    <cellStyle name="40% - 强调文字颜色 4 7 4" xfId="6687"/>
    <cellStyle name="40% - 强调文字颜色 4 7 5" xfId="6688"/>
    <cellStyle name="40% - 强调文字颜色 4 7 6" xfId="6689"/>
    <cellStyle name="40% - 强调文字颜色 4 7 7" xfId="6690"/>
    <cellStyle name="40% - 强调文字颜色 4 7 8" xfId="6691"/>
    <cellStyle name="40% - 强调文字颜色 4 7 9" xfId="6692"/>
    <cellStyle name="40% - 强调文字颜色 4 8" xfId="6693"/>
    <cellStyle name="40% - 强调文字颜色 4 8 10" xfId="6694"/>
    <cellStyle name="40% - 强调文字颜色 4 8 11" xfId="6695"/>
    <cellStyle name="40% - 强调文字颜色 4 8 12" xfId="6696"/>
    <cellStyle name="40% - 强调文字颜色 4 8 13" xfId="6697"/>
    <cellStyle name="40% - 强调文字颜色 4 8 14" xfId="6698"/>
    <cellStyle name="40% - 强调文字颜色 4 8 15" xfId="6699"/>
    <cellStyle name="40% - 强调文字颜色 4 8 16" xfId="6700"/>
    <cellStyle name="40% - 强调文字颜色 4 8 17" xfId="6701"/>
    <cellStyle name="40% - 强调文字颜色 4 8 18" xfId="6702"/>
    <cellStyle name="40% - 强调文字颜色 4 8 19" xfId="6703"/>
    <cellStyle name="40% - 强调文字颜色 4 8 2" xfId="6704"/>
    <cellStyle name="40% - 强调文字颜色 4 8 2 10" xfId="6705"/>
    <cellStyle name="40% - 强调文字颜色 4 8 2 11" xfId="6706"/>
    <cellStyle name="40% - 强调文字颜色 4 8 2 12" xfId="6707"/>
    <cellStyle name="40% - 强调文字颜色 4 8 2 13" xfId="6708"/>
    <cellStyle name="40% - 强调文字颜色 4 8 2 14" xfId="6709"/>
    <cellStyle name="40% - 强调文字颜色 4 8 2 15" xfId="6710"/>
    <cellStyle name="40% - 强调文字颜色 4 8 2 16" xfId="6711"/>
    <cellStyle name="40% - 强调文字颜色 4 8 2 17" xfId="6712"/>
    <cellStyle name="40% - 强调文字颜色 4 8 2 18" xfId="6713"/>
    <cellStyle name="40% - 强调文字颜色 4 8 2 19" xfId="6714"/>
    <cellStyle name="40% - 强调文字颜色 4 8 2 2" xfId="6715"/>
    <cellStyle name="40% - 强调文字颜色 4 8 2 20" xfId="6716"/>
    <cellStyle name="40% - 强调文字颜色 4 8 2 21" xfId="6717"/>
    <cellStyle name="40% - 强调文字颜色 4 8 2 22" xfId="6718"/>
    <cellStyle name="40% - 强调文字颜色 4 8 2 23" xfId="6719"/>
    <cellStyle name="40% - 强调文字颜色 4 8 2 24" xfId="6720"/>
    <cellStyle name="40% - 强调文字颜色 4 8 2 25" xfId="6721"/>
    <cellStyle name="40% - 强调文字颜色 4 8 2 26" xfId="6722"/>
    <cellStyle name="40% - 强调文字颜色 4 8 2 27" xfId="6723"/>
    <cellStyle name="40% - 强调文字颜色 4 8 2 3" xfId="6724"/>
    <cellStyle name="40% - 强调文字颜色 4 8 2 4" xfId="6725"/>
    <cellStyle name="40% - 强调文字颜色 4 8 2 5" xfId="6726"/>
    <cellStyle name="40% - 强调文字颜色 4 8 2 6" xfId="6727"/>
    <cellStyle name="40% - 强调文字颜色 4 8 2 7" xfId="6728"/>
    <cellStyle name="40% - 强调文字颜色 4 8 2 8" xfId="6729"/>
    <cellStyle name="40% - 强调文字颜色 4 8 2 9" xfId="6730"/>
    <cellStyle name="40% - 强调文字颜色 4 8 20" xfId="6731"/>
    <cellStyle name="40% - 强调文字颜色 4 8 21" xfId="6732"/>
    <cellStyle name="40% - 强调文字颜色 4 8 22" xfId="6733"/>
    <cellStyle name="40% - 强调文字颜色 4 8 23" xfId="6734"/>
    <cellStyle name="40% - 强调文字颜色 4 8 24" xfId="6735"/>
    <cellStyle name="40% - 强调文字颜色 4 8 25" xfId="6736"/>
    <cellStyle name="40% - 强调文字颜色 4 8 26" xfId="6737"/>
    <cellStyle name="40% - 强调文字颜色 4 8 27" xfId="6738"/>
    <cellStyle name="40% - 强调文字颜色 4 8 28" xfId="6739"/>
    <cellStyle name="40% - 强调文字颜色 4 8 3" xfId="6740"/>
    <cellStyle name="40% - 强调文字颜色 4 8 4" xfId="6741"/>
    <cellStyle name="40% - 强调文字颜色 4 8 5" xfId="6742"/>
    <cellStyle name="40% - 强调文字颜色 4 8 6" xfId="6743"/>
    <cellStyle name="40% - 强调文字颜色 4 8 7" xfId="6744"/>
    <cellStyle name="40% - 强调文字颜色 4 8 8" xfId="6745"/>
    <cellStyle name="40% - 强调文字颜色 4 8 9" xfId="6746"/>
    <cellStyle name="40% - 强调文字颜色 4 9" xfId="6747"/>
    <cellStyle name="40% - 强调文字颜色 4 9 10" xfId="6748"/>
    <cellStyle name="40% - 强调文字颜色 4 9 11" xfId="6749"/>
    <cellStyle name="40% - 强调文字颜色 4 9 12" xfId="6750"/>
    <cellStyle name="40% - 强调文字颜色 4 9 13" xfId="6751"/>
    <cellStyle name="40% - 强调文字颜色 4 9 14" xfId="6752"/>
    <cellStyle name="40% - 强调文字颜色 4 9 15" xfId="6753"/>
    <cellStyle name="40% - 强调文字颜色 4 9 16" xfId="6754"/>
    <cellStyle name="40% - 强调文字颜色 4 9 17" xfId="6755"/>
    <cellStyle name="40% - 强调文字颜色 4 9 18" xfId="6756"/>
    <cellStyle name="40% - 强调文字颜色 4 9 19" xfId="6757"/>
    <cellStyle name="40% - 强调文字颜色 4 9 2" xfId="6758"/>
    <cellStyle name="40% - 强调文字颜色 4 9 2 10" xfId="6759"/>
    <cellStyle name="40% - 强调文字颜色 4 9 2 11" xfId="6760"/>
    <cellStyle name="40% - 强调文字颜色 4 9 2 12" xfId="6761"/>
    <cellStyle name="40% - 强调文字颜色 4 9 2 13" xfId="6762"/>
    <cellStyle name="40% - 强调文字颜色 4 9 2 14" xfId="6763"/>
    <cellStyle name="40% - 强调文字颜色 4 9 2 15" xfId="6764"/>
    <cellStyle name="40% - 强调文字颜色 4 9 2 16" xfId="6765"/>
    <cellStyle name="40% - 强调文字颜色 4 9 2 17" xfId="6766"/>
    <cellStyle name="40% - 强调文字颜色 4 9 2 18" xfId="6767"/>
    <cellStyle name="40% - 强调文字颜色 4 9 2 19" xfId="6768"/>
    <cellStyle name="40% - 强调文字颜色 4 9 2 2" xfId="6769"/>
    <cellStyle name="40% - 强调文字颜色 4 9 2 20" xfId="6770"/>
    <cellStyle name="40% - 强调文字颜色 4 9 2 21" xfId="6771"/>
    <cellStyle name="40% - 强调文字颜色 4 9 2 22" xfId="6772"/>
    <cellStyle name="40% - 强调文字颜色 4 9 2 23" xfId="6773"/>
    <cellStyle name="40% - 强调文字颜色 4 9 2 24" xfId="6774"/>
    <cellStyle name="40% - 强调文字颜色 4 9 2 25" xfId="6775"/>
    <cellStyle name="40% - 强调文字颜色 4 9 2 26" xfId="6776"/>
    <cellStyle name="40% - 强调文字颜色 4 9 2 27" xfId="6777"/>
    <cellStyle name="40% - 强调文字颜色 4 9 2 3" xfId="6778"/>
    <cellStyle name="40% - 强调文字颜色 4 9 2 4" xfId="6779"/>
    <cellStyle name="40% - 强调文字颜色 4 9 2 5" xfId="6780"/>
    <cellStyle name="40% - 强调文字颜色 4 9 2 6" xfId="6781"/>
    <cellStyle name="40% - 强调文字颜色 4 9 2 7" xfId="6782"/>
    <cellStyle name="40% - 强调文字颜色 4 9 2 8" xfId="6783"/>
    <cellStyle name="40% - 强调文字颜色 4 9 2 9" xfId="6784"/>
    <cellStyle name="40% - 强调文字颜色 4 9 20" xfId="6785"/>
    <cellStyle name="40% - 强调文字颜色 4 9 21" xfId="6786"/>
    <cellStyle name="40% - 强调文字颜色 4 9 22" xfId="6787"/>
    <cellStyle name="40% - 强调文字颜色 4 9 23" xfId="6788"/>
    <cellStyle name="40% - 强调文字颜色 4 9 24" xfId="6789"/>
    <cellStyle name="40% - 强调文字颜色 4 9 25" xfId="6790"/>
    <cellStyle name="40% - 强调文字颜色 4 9 26" xfId="6791"/>
    <cellStyle name="40% - 强调文字颜色 4 9 27" xfId="6792"/>
    <cellStyle name="40% - 强调文字颜色 4 9 28" xfId="6793"/>
    <cellStyle name="40% - 强调文字颜色 4 9 3" xfId="6794"/>
    <cellStyle name="40% - 强调文字颜色 4 9 4" xfId="6795"/>
    <cellStyle name="40% - 强调文字颜色 4 9 5" xfId="6796"/>
    <cellStyle name="40% - 强调文字颜色 4 9 6" xfId="6797"/>
    <cellStyle name="40% - 强调文字颜色 4 9 7" xfId="6798"/>
    <cellStyle name="40% - 强调文字颜色 4 9 8" xfId="6799"/>
    <cellStyle name="40% - 强调文字颜色 4 9 9" xfId="6800"/>
    <cellStyle name="40% - 强调文字颜色 5 10" xfId="6801"/>
    <cellStyle name="40% - 强调文字颜色 5 10 10" xfId="6802"/>
    <cellStyle name="40% - 强调文字颜色 5 10 11" xfId="6803"/>
    <cellStyle name="40% - 强调文字颜色 5 10 12" xfId="6804"/>
    <cellStyle name="40% - 强调文字颜色 5 10 13" xfId="6805"/>
    <cellStyle name="40% - 强调文字颜色 5 10 14" xfId="6806"/>
    <cellStyle name="40% - 强调文字颜色 5 10 15" xfId="6807"/>
    <cellStyle name="40% - 强调文字颜色 5 10 16" xfId="6808"/>
    <cellStyle name="40% - 强调文字颜色 5 10 17" xfId="6809"/>
    <cellStyle name="40% - 强调文字颜色 5 10 18" xfId="6810"/>
    <cellStyle name="40% - 强调文字颜色 5 10 19" xfId="6811"/>
    <cellStyle name="40% - 强调文字颜色 5 10 2" xfId="6812"/>
    <cellStyle name="40% - 强调文字颜色 5 10 2 10" xfId="6813"/>
    <cellStyle name="40% - 强调文字颜色 5 10 2 11" xfId="6814"/>
    <cellStyle name="40% - 强调文字颜色 5 10 2 12" xfId="6815"/>
    <cellStyle name="40% - 强调文字颜色 5 10 2 13" xfId="6816"/>
    <cellStyle name="40% - 强调文字颜色 5 10 2 14" xfId="6817"/>
    <cellStyle name="40% - 强调文字颜色 5 10 2 15" xfId="6818"/>
    <cellStyle name="40% - 强调文字颜色 5 10 2 16" xfId="6819"/>
    <cellStyle name="40% - 强调文字颜色 5 10 2 17" xfId="6820"/>
    <cellStyle name="40% - 强调文字颜色 5 10 2 18" xfId="6821"/>
    <cellStyle name="40% - 强调文字颜色 5 10 2 19" xfId="6822"/>
    <cellStyle name="40% - 强调文字颜色 5 10 2 2" xfId="6823"/>
    <cellStyle name="40% - 强调文字颜色 5 10 2 20" xfId="6824"/>
    <cellStyle name="40% - 强调文字颜色 5 10 2 21" xfId="6825"/>
    <cellStyle name="40% - 强调文字颜色 5 10 2 22" xfId="6826"/>
    <cellStyle name="40% - 强调文字颜色 5 10 2 23" xfId="6827"/>
    <cellStyle name="40% - 强调文字颜色 5 10 2 24" xfId="6828"/>
    <cellStyle name="40% - 强调文字颜色 5 10 2 25" xfId="6829"/>
    <cellStyle name="40% - 强调文字颜色 5 10 2 26" xfId="6830"/>
    <cellStyle name="40% - 强调文字颜色 5 10 2 27" xfId="6831"/>
    <cellStyle name="40% - 强调文字颜色 5 10 2 3" xfId="6832"/>
    <cellStyle name="40% - 强调文字颜色 5 10 2 4" xfId="6833"/>
    <cellStyle name="40% - 强调文字颜色 5 10 2 5" xfId="6834"/>
    <cellStyle name="40% - 强调文字颜色 5 10 2 6" xfId="6835"/>
    <cellStyle name="40% - 强调文字颜色 5 10 2 7" xfId="6836"/>
    <cellStyle name="40% - 强调文字颜色 5 10 2 8" xfId="6837"/>
    <cellStyle name="40% - 强调文字颜色 5 10 2 9" xfId="6838"/>
    <cellStyle name="40% - 强调文字颜色 5 10 20" xfId="6839"/>
    <cellStyle name="40% - 强调文字颜色 5 10 21" xfId="6840"/>
    <cellStyle name="40% - 强调文字颜色 5 10 22" xfId="6841"/>
    <cellStyle name="40% - 强调文字颜色 5 10 23" xfId="6842"/>
    <cellStyle name="40% - 强调文字颜色 5 10 24" xfId="6843"/>
    <cellStyle name="40% - 强调文字颜色 5 10 25" xfId="6844"/>
    <cellStyle name="40% - 强调文字颜色 5 10 26" xfId="6845"/>
    <cellStyle name="40% - 强调文字颜色 5 10 27" xfId="6846"/>
    <cellStyle name="40% - 强调文字颜色 5 10 28" xfId="6847"/>
    <cellStyle name="40% - 强调文字颜色 5 10 3" xfId="6848"/>
    <cellStyle name="40% - 强调文字颜色 5 10 4" xfId="6849"/>
    <cellStyle name="40% - 强调文字颜色 5 10 5" xfId="6850"/>
    <cellStyle name="40% - 强调文字颜色 5 10 6" xfId="6851"/>
    <cellStyle name="40% - 强调文字颜色 5 10 7" xfId="6852"/>
    <cellStyle name="40% - 强调文字颜色 5 10 8" xfId="6853"/>
    <cellStyle name="40% - 强调文字颜色 5 10 9" xfId="6854"/>
    <cellStyle name="40% - 强调文字颜色 5 11" xfId="6855"/>
    <cellStyle name="40% - 强调文字颜色 5 11 10" xfId="6856"/>
    <cellStyle name="40% - 强调文字颜色 5 11 11" xfId="6857"/>
    <cellStyle name="40% - 强调文字颜色 5 11 12" xfId="6858"/>
    <cellStyle name="40% - 强调文字颜色 5 11 13" xfId="6859"/>
    <cellStyle name="40% - 强调文字颜色 5 11 14" xfId="6860"/>
    <cellStyle name="40% - 强调文字颜色 5 11 15" xfId="6861"/>
    <cellStyle name="40% - 强调文字颜色 5 11 16" xfId="6862"/>
    <cellStyle name="40% - 强调文字颜色 5 11 17" xfId="6863"/>
    <cellStyle name="40% - 强调文字颜色 5 11 18" xfId="6864"/>
    <cellStyle name="40% - 强调文字颜色 5 11 19" xfId="6865"/>
    <cellStyle name="40% - 强调文字颜色 5 11 2" xfId="6866"/>
    <cellStyle name="40% - 强调文字颜色 5 11 2 10" xfId="6867"/>
    <cellStyle name="40% - 强调文字颜色 5 11 2 11" xfId="6868"/>
    <cellStyle name="40% - 强调文字颜色 5 11 2 12" xfId="6869"/>
    <cellStyle name="40% - 强调文字颜色 5 11 2 13" xfId="6870"/>
    <cellStyle name="40% - 强调文字颜色 5 11 2 14" xfId="6871"/>
    <cellStyle name="40% - 强调文字颜色 5 11 2 15" xfId="6872"/>
    <cellStyle name="40% - 强调文字颜色 5 11 2 16" xfId="6873"/>
    <cellStyle name="40% - 强调文字颜色 5 11 2 17" xfId="6874"/>
    <cellStyle name="40% - 强调文字颜色 5 11 2 18" xfId="6875"/>
    <cellStyle name="40% - 强调文字颜色 5 11 2 19" xfId="6876"/>
    <cellStyle name="40% - 强调文字颜色 5 11 2 2" xfId="6877"/>
    <cellStyle name="40% - 强调文字颜色 5 11 2 20" xfId="6878"/>
    <cellStyle name="40% - 强调文字颜色 5 11 2 21" xfId="6879"/>
    <cellStyle name="40% - 强调文字颜色 5 11 2 22" xfId="6880"/>
    <cellStyle name="40% - 强调文字颜色 5 11 2 23" xfId="6881"/>
    <cellStyle name="40% - 强调文字颜色 5 11 2 24" xfId="6882"/>
    <cellStyle name="40% - 强调文字颜色 5 11 2 25" xfId="6883"/>
    <cellStyle name="40% - 强调文字颜色 5 11 2 26" xfId="6884"/>
    <cellStyle name="40% - 强调文字颜色 5 11 2 27" xfId="6885"/>
    <cellStyle name="40% - 强调文字颜色 5 11 2 3" xfId="6886"/>
    <cellStyle name="40% - 强调文字颜色 5 11 2 4" xfId="6887"/>
    <cellStyle name="40% - 强调文字颜色 5 11 2 5" xfId="6888"/>
    <cellStyle name="40% - 强调文字颜色 5 11 2 6" xfId="6889"/>
    <cellStyle name="40% - 强调文字颜色 5 11 2 7" xfId="6890"/>
    <cellStyle name="40% - 强调文字颜色 5 11 2 8" xfId="6891"/>
    <cellStyle name="40% - 强调文字颜色 5 11 2 9" xfId="6892"/>
    <cellStyle name="40% - 强调文字颜色 5 11 20" xfId="6893"/>
    <cellStyle name="40% - 强调文字颜色 5 11 21" xfId="6894"/>
    <cellStyle name="40% - 强调文字颜色 5 11 22" xfId="6895"/>
    <cellStyle name="40% - 强调文字颜色 5 11 23" xfId="6896"/>
    <cellStyle name="40% - 强调文字颜色 5 11 24" xfId="6897"/>
    <cellStyle name="40% - 强调文字颜色 5 11 25" xfId="6898"/>
    <cellStyle name="40% - 强调文字颜色 5 11 26" xfId="6899"/>
    <cellStyle name="40% - 强调文字颜色 5 11 27" xfId="6900"/>
    <cellStyle name="40% - 强调文字颜色 5 11 28" xfId="6901"/>
    <cellStyle name="40% - 强调文字颜色 5 11 3" xfId="6902"/>
    <cellStyle name="40% - 强调文字颜色 5 11 4" xfId="6903"/>
    <cellStyle name="40% - 强调文字颜色 5 11 5" xfId="6904"/>
    <cellStyle name="40% - 强调文字颜色 5 11 6" xfId="6905"/>
    <cellStyle name="40% - 强调文字颜色 5 11 7" xfId="6906"/>
    <cellStyle name="40% - 强调文字颜色 5 11 8" xfId="6907"/>
    <cellStyle name="40% - 强调文字颜色 5 11 9" xfId="6908"/>
    <cellStyle name="40% - 强调文字颜色 5 12" xfId="6909"/>
    <cellStyle name="40% - 强调文字颜色 5 13" xfId="6910"/>
    <cellStyle name="40% - 强调文字颜色 5 14" xfId="6911"/>
    <cellStyle name="40% - 强调文字颜色 5 15" xfId="6912"/>
    <cellStyle name="40% - 强调文字颜色 5 16" xfId="6913"/>
    <cellStyle name="40% - 强调文字颜色 5 17" xfId="6914"/>
    <cellStyle name="40% - 强调文字颜色 5 18" xfId="6915"/>
    <cellStyle name="40% - 强调文字颜色 5 19" xfId="6916"/>
    <cellStyle name="40% - 强调文字颜色 5 2" xfId="6917"/>
    <cellStyle name="40% - 强调文字颜色 5 2 10" xfId="6918"/>
    <cellStyle name="40% - 强调文字颜色 5 2 11" xfId="6919"/>
    <cellStyle name="40% - 强调文字颜色 5 2 12" xfId="6920"/>
    <cellStyle name="40% - 强调文字颜色 5 2 13" xfId="6921"/>
    <cellStyle name="40% - 强调文字颜色 5 2 14" xfId="6922"/>
    <cellStyle name="40% - 强调文字颜色 5 2 15" xfId="6923"/>
    <cellStyle name="40% - 强调文字颜色 5 2 16" xfId="6924"/>
    <cellStyle name="40% - 强调文字颜色 5 2 17" xfId="6925"/>
    <cellStyle name="40% - 强调文字颜色 5 2 18" xfId="6926"/>
    <cellStyle name="40% - 强调文字颜色 5 2 19" xfId="6927"/>
    <cellStyle name="40% - 强调文字颜色 5 2 2" xfId="6928"/>
    <cellStyle name="40% - 强调文字颜色 5 2 2 10" xfId="6929"/>
    <cellStyle name="40% - 强调文字颜色 5 2 2 11" xfId="6930"/>
    <cellStyle name="40% - 强调文字颜色 5 2 2 12" xfId="6931"/>
    <cellStyle name="40% - 强调文字颜色 5 2 2 13" xfId="6932"/>
    <cellStyle name="40% - 强调文字颜色 5 2 2 14" xfId="6933"/>
    <cellStyle name="40% - 强调文字颜色 5 2 2 15" xfId="6934"/>
    <cellStyle name="40% - 强调文字颜色 5 2 2 16" xfId="6935"/>
    <cellStyle name="40% - 强调文字颜色 5 2 2 17" xfId="6936"/>
    <cellStyle name="40% - 强调文字颜色 5 2 2 18" xfId="6937"/>
    <cellStyle name="40% - 强调文字颜色 5 2 2 19" xfId="6938"/>
    <cellStyle name="40% - 强调文字颜色 5 2 2 2" xfId="6939"/>
    <cellStyle name="40% - 强调文字颜色 5 2 2 2 10" xfId="6940"/>
    <cellStyle name="40% - 强调文字颜色 5 2 2 2 11" xfId="6941"/>
    <cellStyle name="40% - 强调文字颜色 5 2 2 2 12" xfId="6942"/>
    <cellStyle name="40% - 强调文字颜色 5 2 2 2 13" xfId="6943"/>
    <cellStyle name="40% - 强调文字颜色 5 2 2 2 14" xfId="6944"/>
    <cellStyle name="40% - 强调文字颜色 5 2 2 2 15" xfId="6945"/>
    <cellStyle name="40% - 强调文字颜色 5 2 2 2 16" xfId="6946"/>
    <cellStyle name="40% - 强调文字颜色 5 2 2 2 17" xfId="6947"/>
    <cellStyle name="40% - 强调文字颜色 5 2 2 2 18" xfId="6948"/>
    <cellStyle name="40% - 强调文字颜色 5 2 2 2 19" xfId="6949"/>
    <cellStyle name="40% - 强调文字颜色 5 2 2 2 2" xfId="6950"/>
    <cellStyle name="40% - 强调文字颜色 5 2 2 2 20" xfId="6951"/>
    <cellStyle name="40% - 强调文字颜色 5 2 2 2 21" xfId="6952"/>
    <cellStyle name="40% - 强调文字颜色 5 2 2 2 22" xfId="6953"/>
    <cellStyle name="40% - 强调文字颜色 5 2 2 2 23" xfId="6954"/>
    <cellStyle name="40% - 强调文字颜色 5 2 2 2 24" xfId="6955"/>
    <cellStyle name="40% - 强调文字颜色 5 2 2 2 25" xfId="6956"/>
    <cellStyle name="40% - 强调文字颜色 5 2 2 2 26" xfId="6957"/>
    <cellStyle name="40% - 强调文字颜色 5 2 2 2 27" xfId="6958"/>
    <cellStyle name="40% - 强调文字颜色 5 2 2 2 3" xfId="6959"/>
    <cellStyle name="40% - 强调文字颜色 5 2 2 2 4" xfId="6960"/>
    <cellStyle name="40% - 强调文字颜色 5 2 2 2 5" xfId="6961"/>
    <cellStyle name="40% - 强调文字颜色 5 2 2 2 6" xfId="6962"/>
    <cellStyle name="40% - 强调文字颜色 5 2 2 2 7" xfId="6963"/>
    <cellStyle name="40% - 强调文字颜色 5 2 2 2 8" xfId="6964"/>
    <cellStyle name="40% - 强调文字颜色 5 2 2 2 9" xfId="6965"/>
    <cellStyle name="40% - 强调文字颜色 5 2 2 20" xfId="6966"/>
    <cellStyle name="40% - 强调文字颜色 5 2 2 21" xfId="6967"/>
    <cellStyle name="40% - 强调文字颜色 5 2 2 22" xfId="6968"/>
    <cellStyle name="40% - 强调文字颜色 5 2 2 23" xfId="6969"/>
    <cellStyle name="40% - 强调文字颜色 5 2 2 24" xfId="6970"/>
    <cellStyle name="40% - 强调文字颜色 5 2 2 25" xfId="6971"/>
    <cellStyle name="40% - 强调文字颜色 5 2 2 26" xfId="6972"/>
    <cellStyle name="40% - 强调文字颜色 5 2 2 27" xfId="6973"/>
    <cellStyle name="40% - 强调文字颜色 5 2 2 28" xfId="6974"/>
    <cellStyle name="40% - 强调文字颜色 5 2 2 3" xfId="6975"/>
    <cellStyle name="40% - 强调文字颜色 5 2 2 4" xfId="6976"/>
    <cellStyle name="40% - 强调文字颜色 5 2 2 5" xfId="6977"/>
    <cellStyle name="40% - 强调文字颜色 5 2 2 6" xfId="6978"/>
    <cellStyle name="40% - 强调文字颜色 5 2 2 7" xfId="6979"/>
    <cellStyle name="40% - 强调文字颜色 5 2 2 8" xfId="6980"/>
    <cellStyle name="40% - 强调文字颜色 5 2 2 9" xfId="6981"/>
    <cellStyle name="40% - 强调文字颜色 5 2 20" xfId="6982"/>
    <cellStyle name="40% - 强调文字颜色 5 2 21" xfId="6983"/>
    <cellStyle name="40% - 强调文字颜色 5 2 22" xfId="6984"/>
    <cellStyle name="40% - 强调文字颜色 5 2 23" xfId="6985"/>
    <cellStyle name="40% - 强调文字颜色 5 2 24" xfId="6986"/>
    <cellStyle name="40% - 强调文字颜色 5 2 25" xfId="6987"/>
    <cellStyle name="40% - 强调文字颜色 5 2 26" xfId="6988"/>
    <cellStyle name="40% - 强调文字颜色 5 2 27" xfId="6989"/>
    <cellStyle name="40% - 强调文字颜色 5 2 28" xfId="6990"/>
    <cellStyle name="40% - 强调文字颜色 5 2 29" xfId="6991"/>
    <cellStyle name="40% - 强调文字颜色 5 2 3" xfId="6992"/>
    <cellStyle name="40% - 强调文字颜色 5 2 3 10" xfId="6993"/>
    <cellStyle name="40% - 强调文字颜色 5 2 3 11" xfId="6994"/>
    <cellStyle name="40% - 强调文字颜色 5 2 3 12" xfId="6995"/>
    <cellStyle name="40% - 强调文字颜色 5 2 3 13" xfId="6996"/>
    <cellStyle name="40% - 强调文字颜色 5 2 3 14" xfId="6997"/>
    <cellStyle name="40% - 强调文字颜色 5 2 3 15" xfId="6998"/>
    <cellStyle name="40% - 强调文字颜色 5 2 3 16" xfId="6999"/>
    <cellStyle name="40% - 强调文字颜色 5 2 3 17" xfId="7000"/>
    <cellStyle name="40% - 强调文字颜色 5 2 3 18" xfId="7001"/>
    <cellStyle name="40% - 强调文字颜色 5 2 3 19" xfId="7002"/>
    <cellStyle name="40% - 强调文字颜色 5 2 3 2" xfId="7003"/>
    <cellStyle name="40% - 强调文字颜色 5 2 3 2 10" xfId="7004"/>
    <cellStyle name="40% - 强调文字颜色 5 2 3 2 11" xfId="7005"/>
    <cellStyle name="40% - 强调文字颜色 5 2 3 2 12" xfId="7006"/>
    <cellStyle name="40% - 强调文字颜色 5 2 3 2 13" xfId="7007"/>
    <cellStyle name="40% - 强调文字颜色 5 2 3 2 14" xfId="7008"/>
    <cellStyle name="40% - 强调文字颜色 5 2 3 2 15" xfId="7009"/>
    <cellStyle name="40% - 强调文字颜色 5 2 3 2 16" xfId="7010"/>
    <cellStyle name="40% - 强调文字颜色 5 2 3 2 17" xfId="7011"/>
    <cellStyle name="40% - 强调文字颜色 5 2 3 2 18" xfId="7012"/>
    <cellStyle name="40% - 强调文字颜色 5 2 3 2 19" xfId="7013"/>
    <cellStyle name="40% - 强调文字颜色 5 2 3 2 2" xfId="7014"/>
    <cellStyle name="40% - 强调文字颜色 5 2 3 2 20" xfId="7015"/>
    <cellStyle name="40% - 强调文字颜色 5 2 3 2 21" xfId="7016"/>
    <cellStyle name="40% - 强调文字颜色 5 2 3 2 22" xfId="7017"/>
    <cellStyle name="40% - 强调文字颜色 5 2 3 2 23" xfId="7018"/>
    <cellStyle name="40% - 强调文字颜色 5 2 3 2 24" xfId="7019"/>
    <cellStyle name="40% - 强调文字颜色 5 2 3 2 25" xfId="7020"/>
    <cellStyle name="40% - 强调文字颜色 5 2 3 2 26" xfId="7021"/>
    <cellStyle name="40% - 强调文字颜色 5 2 3 2 27" xfId="7022"/>
    <cellStyle name="40% - 强调文字颜色 5 2 3 2 3" xfId="7023"/>
    <cellStyle name="40% - 强调文字颜色 5 2 3 2 4" xfId="7024"/>
    <cellStyle name="40% - 强调文字颜色 5 2 3 2 5" xfId="7025"/>
    <cellStyle name="40% - 强调文字颜色 5 2 3 2 6" xfId="7026"/>
    <cellStyle name="40% - 强调文字颜色 5 2 3 2 7" xfId="7027"/>
    <cellStyle name="40% - 强调文字颜色 5 2 3 2 8" xfId="7028"/>
    <cellStyle name="40% - 强调文字颜色 5 2 3 2 9" xfId="7029"/>
    <cellStyle name="40% - 强调文字颜色 5 2 3 20" xfId="7030"/>
    <cellStyle name="40% - 强调文字颜色 5 2 3 21" xfId="7031"/>
    <cellStyle name="40% - 强调文字颜色 5 2 3 22" xfId="7032"/>
    <cellStyle name="40% - 强调文字颜色 5 2 3 23" xfId="7033"/>
    <cellStyle name="40% - 强调文字颜色 5 2 3 24" xfId="7034"/>
    <cellStyle name="40% - 强调文字颜色 5 2 3 25" xfId="7035"/>
    <cellStyle name="40% - 强调文字颜色 5 2 3 26" xfId="7036"/>
    <cellStyle name="40% - 强调文字颜色 5 2 3 27" xfId="7037"/>
    <cellStyle name="40% - 强调文字颜色 5 2 3 28" xfId="7038"/>
    <cellStyle name="40% - 强调文字颜色 5 2 3 3" xfId="7039"/>
    <cellStyle name="40% - 强调文字颜色 5 2 3 4" xfId="7040"/>
    <cellStyle name="40% - 强调文字颜色 5 2 3 5" xfId="7041"/>
    <cellStyle name="40% - 强调文字颜色 5 2 3 6" xfId="7042"/>
    <cellStyle name="40% - 强调文字颜色 5 2 3 7" xfId="7043"/>
    <cellStyle name="40% - 强调文字颜色 5 2 3 8" xfId="7044"/>
    <cellStyle name="40% - 强调文字颜色 5 2 3 9" xfId="7045"/>
    <cellStyle name="40% - 强调文字颜色 5 2 30" xfId="7046"/>
    <cellStyle name="40% - 强调文字颜色 5 2 31" xfId="7047"/>
    <cellStyle name="40% - 强调文字颜色 5 2 32" xfId="7048"/>
    <cellStyle name="40% - 强调文字颜色 5 2 33" xfId="7049"/>
    <cellStyle name="40% - 强调文字颜色 5 2 4" xfId="7050"/>
    <cellStyle name="40% - 强调文字颜色 5 2 4 10" xfId="7051"/>
    <cellStyle name="40% - 强调文字颜色 5 2 4 11" xfId="7052"/>
    <cellStyle name="40% - 强调文字颜色 5 2 4 12" xfId="7053"/>
    <cellStyle name="40% - 强调文字颜色 5 2 4 13" xfId="7054"/>
    <cellStyle name="40% - 强调文字颜色 5 2 4 14" xfId="7055"/>
    <cellStyle name="40% - 强调文字颜色 5 2 4 15" xfId="7056"/>
    <cellStyle name="40% - 强调文字颜色 5 2 4 16" xfId="7057"/>
    <cellStyle name="40% - 强调文字颜色 5 2 4 17" xfId="7058"/>
    <cellStyle name="40% - 强调文字颜色 5 2 4 18" xfId="7059"/>
    <cellStyle name="40% - 强调文字颜色 5 2 4 19" xfId="7060"/>
    <cellStyle name="40% - 强调文字颜色 5 2 4 2" xfId="7061"/>
    <cellStyle name="40% - 强调文字颜色 5 2 4 20" xfId="7062"/>
    <cellStyle name="40% - 强调文字颜色 5 2 4 21" xfId="7063"/>
    <cellStyle name="40% - 强调文字颜色 5 2 4 22" xfId="7064"/>
    <cellStyle name="40% - 强调文字颜色 5 2 4 23" xfId="7065"/>
    <cellStyle name="40% - 强调文字颜色 5 2 4 24" xfId="7066"/>
    <cellStyle name="40% - 强调文字颜色 5 2 4 25" xfId="7067"/>
    <cellStyle name="40% - 强调文字颜色 5 2 4 26" xfId="7068"/>
    <cellStyle name="40% - 强调文字颜色 5 2 4 27" xfId="7069"/>
    <cellStyle name="40% - 强调文字颜色 5 2 4 3" xfId="7070"/>
    <cellStyle name="40% - 强调文字颜色 5 2 4 4" xfId="7071"/>
    <cellStyle name="40% - 强调文字颜色 5 2 4 5" xfId="7072"/>
    <cellStyle name="40% - 强调文字颜色 5 2 4 6" xfId="7073"/>
    <cellStyle name="40% - 强调文字颜色 5 2 4 7" xfId="7074"/>
    <cellStyle name="40% - 强调文字颜色 5 2 4 8" xfId="7075"/>
    <cellStyle name="40% - 强调文字颜色 5 2 4 9" xfId="7076"/>
    <cellStyle name="40% - 强调文字颜色 5 2 5" xfId="7077"/>
    <cellStyle name="40% - 强调文字颜色 5 2 6" xfId="7078"/>
    <cellStyle name="40% - 强调文字颜色 5 2 7" xfId="7079"/>
    <cellStyle name="40% - 强调文字颜色 5 2 8" xfId="7080"/>
    <cellStyle name="40% - 强调文字颜色 5 2 9" xfId="7081"/>
    <cellStyle name="40% - 强调文字颜色 5 20" xfId="7082"/>
    <cellStyle name="40% - 强调文字颜色 5 21" xfId="7083"/>
    <cellStyle name="40% - 强调文字颜色 5 22" xfId="7084"/>
    <cellStyle name="40% - 强调文字颜色 5 23" xfId="7085"/>
    <cellStyle name="40% - 强调文字颜色 5 24" xfId="7086"/>
    <cellStyle name="40% - 强调文字颜色 5 25" xfId="7087"/>
    <cellStyle name="40% - 强调文字颜色 5 26" xfId="7088"/>
    <cellStyle name="40% - 强调文字颜色 5 27" xfId="7089"/>
    <cellStyle name="40% - 强调文字颜色 5 28" xfId="7090"/>
    <cellStyle name="40% - 强调文字颜色 5 29" xfId="7091"/>
    <cellStyle name="40% - 强调文字颜色 5 3" xfId="7092"/>
    <cellStyle name="40% - 强调文字颜色 5 3 10" xfId="7093"/>
    <cellStyle name="40% - 强调文字颜色 5 3 11" xfId="7094"/>
    <cellStyle name="40% - 强调文字颜色 5 3 12" xfId="7095"/>
    <cellStyle name="40% - 强调文字颜色 5 3 13" xfId="7096"/>
    <cellStyle name="40% - 强调文字颜色 5 3 14" xfId="7097"/>
    <cellStyle name="40% - 强调文字颜色 5 3 15" xfId="7098"/>
    <cellStyle name="40% - 强调文字颜色 5 3 16" xfId="7099"/>
    <cellStyle name="40% - 强调文字颜色 5 3 17" xfId="7100"/>
    <cellStyle name="40% - 强调文字颜色 5 3 18" xfId="7101"/>
    <cellStyle name="40% - 强调文字颜色 5 3 19" xfId="7102"/>
    <cellStyle name="40% - 强调文字颜色 5 3 2" xfId="7103"/>
    <cellStyle name="40% - 强调文字颜色 5 3 2 10" xfId="7104"/>
    <cellStyle name="40% - 强调文字颜色 5 3 2 11" xfId="7105"/>
    <cellStyle name="40% - 强调文字颜色 5 3 2 12" xfId="7106"/>
    <cellStyle name="40% - 强调文字颜色 5 3 2 13" xfId="7107"/>
    <cellStyle name="40% - 强调文字颜色 5 3 2 14" xfId="7108"/>
    <cellStyle name="40% - 强调文字颜色 5 3 2 15" xfId="7109"/>
    <cellStyle name="40% - 强调文字颜色 5 3 2 16" xfId="7110"/>
    <cellStyle name="40% - 强调文字颜色 5 3 2 17" xfId="7111"/>
    <cellStyle name="40% - 强调文字颜色 5 3 2 18" xfId="7112"/>
    <cellStyle name="40% - 强调文字颜色 5 3 2 19" xfId="7113"/>
    <cellStyle name="40% - 强调文字颜色 5 3 2 2" xfId="7114"/>
    <cellStyle name="40% - 强调文字颜色 5 3 2 20" xfId="7115"/>
    <cellStyle name="40% - 强调文字颜色 5 3 2 21" xfId="7116"/>
    <cellStyle name="40% - 强调文字颜色 5 3 2 22" xfId="7117"/>
    <cellStyle name="40% - 强调文字颜色 5 3 2 23" xfId="7118"/>
    <cellStyle name="40% - 强调文字颜色 5 3 2 24" xfId="7119"/>
    <cellStyle name="40% - 强调文字颜色 5 3 2 25" xfId="7120"/>
    <cellStyle name="40% - 强调文字颜色 5 3 2 26" xfId="7121"/>
    <cellStyle name="40% - 强调文字颜色 5 3 2 27" xfId="7122"/>
    <cellStyle name="40% - 强调文字颜色 5 3 2 3" xfId="7123"/>
    <cellStyle name="40% - 强调文字颜色 5 3 2 4" xfId="7124"/>
    <cellStyle name="40% - 强调文字颜色 5 3 2 5" xfId="7125"/>
    <cellStyle name="40% - 强调文字颜色 5 3 2 6" xfId="7126"/>
    <cellStyle name="40% - 强调文字颜色 5 3 2 7" xfId="7127"/>
    <cellStyle name="40% - 强调文字颜色 5 3 2 8" xfId="7128"/>
    <cellStyle name="40% - 强调文字颜色 5 3 2 9" xfId="7129"/>
    <cellStyle name="40% - 强调文字颜色 5 3 20" xfId="7130"/>
    <cellStyle name="40% - 强调文字颜色 5 3 21" xfId="7131"/>
    <cellStyle name="40% - 强调文字颜色 5 3 22" xfId="7132"/>
    <cellStyle name="40% - 强调文字颜色 5 3 23" xfId="7133"/>
    <cellStyle name="40% - 强调文字颜色 5 3 24" xfId="7134"/>
    <cellStyle name="40% - 强调文字颜色 5 3 25" xfId="7135"/>
    <cellStyle name="40% - 强调文字颜色 5 3 26" xfId="7136"/>
    <cellStyle name="40% - 强调文字颜色 5 3 27" xfId="7137"/>
    <cellStyle name="40% - 强调文字颜色 5 3 28" xfId="7138"/>
    <cellStyle name="40% - 强调文字颜色 5 3 3" xfId="7139"/>
    <cellStyle name="40% - 强调文字颜色 5 3 4" xfId="7140"/>
    <cellStyle name="40% - 强调文字颜色 5 3 5" xfId="7141"/>
    <cellStyle name="40% - 强调文字颜色 5 3 6" xfId="7142"/>
    <cellStyle name="40% - 强调文字颜色 5 3 7" xfId="7143"/>
    <cellStyle name="40% - 强调文字颜色 5 3 8" xfId="7144"/>
    <cellStyle name="40% - 强调文字颜色 5 3 9" xfId="7145"/>
    <cellStyle name="40% - 强调文字颜色 5 30" xfId="7146"/>
    <cellStyle name="40% - 强调文字颜色 5 31" xfId="7147"/>
    <cellStyle name="40% - 强调文字颜色 5 32" xfId="7148"/>
    <cellStyle name="40% - 强调文字颜色 5 33" xfId="7149"/>
    <cellStyle name="40% - 强调文字颜色 5 34" xfId="7150"/>
    <cellStyle name="40% - 强调文字颜色 5 35" xfId="7151"/>
    <cellStyle name="40% - 强调文字颜色 5 36" xfId="7152"/>
    <cellStyle name="40% - 强调文字颜色 5 37" xfId="7153"/>
    <cellStyle name="40% - 强调文字颜色 5 38" xfId="7154"/>
    <cellStyle name="40% - 强调文字颜色 5 39" xfId="7155"/>
    <cellStyle name="40% - 强调文字颜色 5 4" xfId="7156"/>
    <cellStyle name="40% - 强调文字颜色 5 4 10" xfId="7157"/>
    <cellStyle name="40% - 强调文字颜色 5 4 11" xfId="7158"/>
    <cellStyle name="40% - 强调文字颜色 5 4 12" xfId="7159"/>
    <cellStyle name="40% - 强调文字颜色 5 4 13" xfId="7160"/>
    <cellStyle name="40% - 强调文字颜色 5 4 14" xfId="7161"/>
    <cellStyle name="40% - 强调文字颜色 5 4 15" xfId="7162"/>
    <cellStyle name="40% - 强调文字颜色 5 4 16" xfId="7163"/>
    <cellStyle name="40% - 强调文字颜色 5 4 17" xfId="7164"/>
    <cellStyle name="40% - 强调文字颜色 5 4 18" xfId="7165"/>
    <cellStyle name="40% - 强调文字颜色 5 4 19" xfId="7166"/>
    <cellStyle name="40% - 强调文字颜色 5 4 2" xfId="7167"/>
    <cellStyle name="40% - 强调文字颜色 5 4 2 10" xfId="7168"/>
    <cellStyle name="40% - 强调文字颜色 5 4 2 11" xfId="7169"/>
    <cellStyle name="40% - 强调文字颜色 5 4 2 12" xfId="7170"/>
    <cellStyle name="40% - 强调文字颜色 5 4 2 13" xfId="7171"/>
    <cellStyle name="40% - 强调文字颜色 5 4 2 14" xfId="7172"/>
    <cellStyle name="40% - 强调文字颜色 5 4 2 15" xfId="7173"/>
    <cellStyle name="40% - 强调文字颜色 5 4 2 16" xfId="7174"/>
    <cellStyle name="40% - 强调文字颜色 5 4 2 17" xfId="7175"/>
    <cellStyle name="40% - 强调文字颜色 5 4 2 18" xfId="7176"/>
    <cellStyle name="40% - 强调文字颜色 5 4 2 19" xfId="7177"/>
    <cellStyle name="40% - 强调文字颜色 5 4 2 2" xfId="7178"/>
    <cellStyle name="40% - 强调文字颜色 5 4 2 20" xfId="7179"/>
    <cellStyle name="40% - 强调文字颜色 5 4 2 21" xfId="7180"/>
    <cellStyle name="40% - 强调文字颜色 5 4 2 22" xfId="7181"/>
    <cellStyle name="40% - 强调文字颜色 5 4 2 23" xfId="7182"/>
    <cellStyle name="40% - 强调文字颜色 5 4 2 24" xfId="7183"/>
    <cellStyle name="40% - 强调文字颜色 5 4 2 25" xfId="7184"/>
    <cellStyle name="40% - 强调文字颜色 5 4 2 26" xfId="7185"/>
    <cellStyle name="40% - 强调文字颜色 5 4 2 27" xfId="7186"/>
    <cellStyle name="40% - 强调文字颜色 5 4 2 3" xfId="7187"/>
    <cellStyle name="40% - 强调文字颜色 5 4 2 4" xfId="7188"/>
    <cellStyle name="40% - 强调文字颜色 5 4 2 5" xfId="7189"/>
    <cellStyle name="40% - 强调文字颜色 5 4 2 6" xfId="7190"/>
    <cellStyle name="40% - 强调文字颜色 5 4 2 7" xfId="7191"/>
    <cellStyle name="40% - 强调文字颜色 5 4 2 8" xfId="7192"/>
    <cellStyle name="40% - 强调文字颜色 5 4 2 9" xfId="7193"/>
    <cellStyle name="40% - 强调文字颜色 5 4 20" xfId="7194"/>
    <cellStyle name="40% - 强调文字颜色 5 4 21" xfId="7195"/>
    <cellStyle name="40% - 强调文字颜色 5 4 22" xfId="7196"/>
    <cellStyle name="40% - 强调文字颜色 5 4 23" xfId="7197"/>
    <cellStyle name="40% - 强调文字颜色 5 4 24" xfId="7198"/>
    <cellStyle name="40% - 强调文字颜色 5 4 25" xfId="7199"/>
    <cellStyle name="40% - 强调文字颜色 5 4 26" xfId="7200"/>
    <cellStyle name="40% - 强调文字颜色 5 4 27" xfId="7201"/>
    <cellStyle name="40% - 强调文字颜色 5 4 28" xfId="7202"/>
    <cellStyle name="40% - 强调文字颜色 5 4 3" xfId="7203"/>
    <cellStyle name="40% - 强调文字颜色 5 4 4" xfId="7204"/>
    <cellStyle name="40% - 强调文字颜色 5 4 5" xfId="7205"/>
    <cellStyle name="40% - 强调文字颜色 5 4 6" xfId="7206"/>
    <cellStyle name="40% - 强调文字颜色 5 4 7" xfId="7207"/>
    <cellStyle name="40% - 强调文字颜色 5 4 8" xfId="7208"/>
    <cellStyle name="40% - 强调文字颜色 5 4 9" xfId="7209"/>
    <cellStyle name="40% - 强调文字颜色 5 40" xfId="7210"/>
    <cellStyle name="40% - 强调文字颜色 5 5" xfId="7211"/>
    <cellStyle name="40% - 强调文字颜色 5 5 10" xfId="7212"/>
    <cellStyle name="40% - 强调文字颜色 5 5 11" xfId="7213"/>
    <cellStyle name="40% - 强调文字颜色 5 5 12" xfId="7214"/>
    <cellStyle name="40% - 强调文字颜色 5 5 13" xfId="7215"/>
    <cellStyle name="40% - 强调文字颜色 5 5 14" xfId="7216"/>
    <cellStyle name="40% - 强调文字颜色 5 5 15" xfId="7217"/>
    <cellStyle name="40% - 强调文字颜色 5 5 16" xfId="7218"/>
    <cellStyle name="40% - 强调文字颜色 5 5 17" xfId="7219"/>
    <cellStyle name="40% - 强调文字颜色 5 5 18" xfId="7220"/>
    <cellStyle name="40% - 强调文字颜色 5 5 19" xfId="7221"/>
    <cellStyle name="40% - 强调文字颜色 5 5 2" xfId="7222"/>
    <cellStyle name="40% - 强调文字颜色 5 5 2 10" xfId="7223"/>
    <cellStyle name="40% - 强调文字颜色 5 5 2 11" xfId="7224"/>
    <cellStyle name="40% - 强调文字颜色 5 5 2 12" xfId="7225"/>
    <cellStyle name="40% - 强调文字颜色 5 5 2 13" xfId="7226"/>
    <cellStyle name="40% - 强调文字颜色 5 5 2 14" xfId="7227"/>
    <cellStyle name="40% - 强调文字颜色 5 5 2 15" xfId="7228"/>
    <cellStyle name="40% - 强调文字颜色 5 5 2 16" xfId="7229"/>
    <cellStyle name="40% - 强调文字颜色 5 5 2 17" xfId="7230"/>
    <cellStyle name="40% - 强调文字颜色 5 5 2 18" xfId="7231"/>
    <cellStyle name="40% - 强调文字颜色 5 5 2 19" xfId="7232"/>
    <cellStyle name="40% - 强调文字颜色 5 5 2 2" xfId="7233"/>
    <cellStyle name="40% - 强调文字颜色 5 5 2 20" xfId="7234"/>
    <cellStyle name="40% - 强调文字颜色 5 5 2 21" xfId="7235"/>
    <cellStyle name="40% - 强调文字颜色 5 5 2 22" xfId="7236"/>
    <cellStyle name="40% - 强调文字颜色 5 5 2 23" xfId="7237"/>
    <cellStyle name="40% - 强调文字颜色 5 5 2 24" xfId="7238"/>
    <cellStyle name="40% - 强调文字颜色 5 5 2 25" xfId="7239"/>
    <cellStyle name="40% - 强调文字颜色 5 5 2 26" xfId="7240"/>
    <cellStyle name="40% - 强调文字颜色 5 5 2 27" xfId="7241"/>
    <cellStyle name="40% - 强调文字颜色 5 5 2 3" xfId="7242"/>
    <cellStyle name="40% - 强调文字颜色 5 5 2 4" xfId="7243"/>
    <cellStyle name="40% - 强调文字颜色 5 5 2 5" xfId="7244"/>
    <cellStyle name="40% - 强调文字颜色 5 5 2 6" xfId="7245"/>
    <cellStyle name="40% - 强调文字颜色 5 5 2 7" xfId="7246"/>
    <cellStyle name="40% - 强调文字颜色 5 5 2 8" xfId="7247"/>
    <cellStyle name="40% - 强调文字颜色 5 5 2 9" xfId="7248"/>
    <cellStyle name="40% - 强调文字颜色 5 5 20" xfId="7249"/>
    <cellStyle name="40% - 强调文字颜色 5 5 21" xfId="7250"/>
    <cellStyle name="40% - 强调文字颜色 5 5 22" xfId="7251"/>
    <cellStyle name="40% - 强调文字颜色 5 5 23" xfId="7252"/>
    <cellStyle name="40% - 强调文字颜色 5 5 24" xfId="7253"/>
    <cellStyle name="40% - 强调文字颜色 5 5 25" xfId="7254"/>
    <cellStyle name="40% - 强调文字颜色 5 5 26" xfId="7255"/>
    <cellStyle name="40% - 强调文字颜色 5 5 27" xfId="7256"/>
    <cellStyle name="40% - 强调文字颜色 5 5 28" xfId="7257"/>
    <cellStyle name="40% - 强调文字颜色 5 5 3" xfId="7258"/>
    <cellStyle name="40% - 强调文字颜色 5 5 4" xfId="7259"/>
    <cellStyle name="40% - 强调文字颜色 5 5 5" xfId="7260"/>
    <cellStyle name="40% - 强调文字颜色 5 5 6" xfId="7261"/>
    <cellStyle name="40% - 强调文字颜色 5 5 7" xfId="7262"/>
    <cellStyle name="40% - 强调文字颜色 5 5 8" xfId="7263"/>
    <cellStyle name="40% - 强调文字颜色 5 5 9" xfId="7264"/>
    <cellStyle name="40% - 强调文字颜色 5 6" xfId="7265"/>
    <cellStyle name="40% - 强调文字颜色 5 6 10" xfId="7266"/>
    <cellStyle name="40% - 强调文字颜色 5 6 11" xfId="7267"/>
    <cellStyle name="40% - 强调文字颜色 5 6 12" xfId="7268"/>
    <cellStyle name="40% - 强调文字颜色 5 6 13" xfId="7269"/>
    <cellStyle name="40% - 强调文字颜色 5 6 14" xfId="7270"/>
    <cellStyle name="40% - 强调文字颜色 5 6 15" xfId="7271"/>
    <cellStyle name="40% - 强调文字颜色 5 6 16" xfId="7272"/>
    <cellStyle name="40% - 强调文字颜色 5 6 17" xfId="7273"/>
    <cellStyle name="40% - 强调文字颜色 5 6 18" xfId="7274"/>
    <cellStyle name="40% - 强调文字颜色 5 6 19" xfId="7275"/>
    <cellStyle name="40% - 强调文字颜色 5 6 2" xfId="7276"/>
    <cellStyle name="40% - 强调文字颜色 5 6 2 10" xfId="7277"/>
    <cellStyle name="40% - 强调文字颜色 5 6 2 11" xfId="7278"/>
    <cellStyle name="40% - 强调文字颜色 5 6 2 12" xfId="7279"/>
    <cellStyle name="40% - 强调文字颜色 5 6 2 13" xfId="7280"/>
    <cellStyle name="40% - 强调文字颜色 5 6 2 14" xfId="7281"/>
    <cellStyle name="40% - 强调文字颜色 5 6 2 15" xfId="7282"/>
    <cellStyle name="40% - 强调文字颜色 5 6 2 16" xfId="7283"/>
    <cellStyle name="40% - 强调文字颜色 5 6 2 17" xfId="7284"/>
    <cellStyle name="40% - 强调文字颜色 5 6 2 18" xfId="7285"/>
    <cellStyle name="40% - 强调文字颜色 5 6 2 19" xfId="7286"/>
    <cellStyle name="40% - 强调文字颜色 5 6 2 2" xfId="7287"/>
    <cellStyle name="40% - 强调文字颜色 5 6 2 20" xfId="7288"/>
    <cellStyle name="40% - 强调文字颜色 5 6 2 21" xfId="7289"/>
    <cellStyle name="40% - 强调文字颜色 5 6 2 22" xfId="7290"/>
    <cellStyle name="40% - 强调文字颜色 5 6 2 23" xfId="7291"/>
    <cellStyle name="40% - 强调文字颜色 5 6 2 24" xfId="7292"/>
    <cellStyle name="40% - 强调文字颜色 5 6 2 25" xfId="7293"/>
    <cellStyle name="40% - 强调文字颜色 5 6 2 26" xfId="7294"/>
    <cellStyle name="40% - 强调文字颜色 5 6 2 27" xfId="7295"/>
    <cellStyle name="40% - 强调文字颜色 5 6 2 3" xfId="7296"/>
    <cellStyle name="40% - 强调文字颜色 5 6 2 4" xfId="7297"/>
    <cellStyle name="40% - 强调文字颜色 5 6 2 5" xfId="7298"/>
    <cellStyle name="40% - 强调文字颜色 5 6 2 6" xfId="7299"/>
    <cellStyle name="40% - 强调文字颜色 5 6 2 7" xfId="7300"/>
    <cellStyle name="40% - 强调文字颜色 5 6 2 8" xfId="7301"/>
    <cellStyle name="40% - 强调文字颜色 5 6 2 9" xfId="7302"/>
    <cellStyle name="40% - 强调文字颜色 5 6 20" xfId="7303"/>
    <cellStyle name="40% - 强调文字颜色 5 6 21" xfId="7304"/>
    <cellStyle name="40% - 强调文字颜色 5 6 22" xfId="7305"/>
    <cellStyle name="40% - 强调文字颜色 5 6 23" xfId="7306"/>
    <cellStyle name="40% - 强调文字颜色 5 6 24" xfId="7307"/>
    <cellStyle name="40% - 强调文字颜色 5 6 25" xfId="7308"/>
    <cellStyle name="40% - 强调文字颜色 5 6 26" xfId="7309"/>
    <cellStyle name="40% - 强调文字颜色 5 6 27" xfId="7310"/>
    <cellStyle name="40% - 强调文字颜色 5 6 28" xfId="7311"/>
    <cellStyle name="40% - 强调文字颜色 5 6 3" xfId="7312"/>
    <cellStyle name="40% - 强调文字颜色 5 6 4" xfId="7313"/>
    <cellStyle name="40% - 强调文字颜色 5 6 5" xfId="7314"/>
    <cellStyle name="40% - 强调文字颜色 5 6 6" xfId="7315"/>
    <cellStyle name="40% - 强调文字颜色 5 6 7" xfId="7316"/>
    <cellStyle name="40% - 强调文字颜色 5 6 8" xfId="7317"/>
    <cellStyle name="40% - 强调文字颜色 5 6 9" xfId="7318"/>
    <cellStyle name="40% - 强调文字颜色 5 7" xfId="7319"/>
    <cellStyle name="40% - 强调文字颜色 5 7 10" xfId="7320"/>
    <cellStyle name="40% - 强调文字颜色 5 7 11" xfId="7321"/>
    <cellStyle name="40% - 强调文字颜色 5 7 12" xfId="7322"/>
    <cellStyle name="40% - 强调文字颜色 5 7 13" xfId="7323"/>
    <cellStyle name="40% - 强调文字颜色 5 7 14" xfId="7324"/>
    <cellStyle name="40% - 强调文字颜色 5 7 15" xfId="7325"/>
    <cellStyle name="40% - 强调文字颜色 5 7 16" xfId="7326"/>
    <cellStyle name="40% - 强调文字颜色 5 7 17" xfId="7327"/>
    <cellStyle name="40% - 强调文字颜色 5 7 18" xfId="7328"/>
    <cellStyle name="40% - 强调文字颜色 5 7 19" xfId="7329"/>
    <cellStyle name="40% - 强调文字颜色 5 7 2" xfId="7330"/>
    <cellStyle name="40% - 强调文字颜色 5 7 2 10" xfId="7331"/>
    <cellStyle name="40% - 强调文字颜色 5 7 2 11" xfId="7332"/>
    <cellStyle name="40% - 强调文字颜色 5 7 2 12" xfId="7333"/>
    <cellStyle name="40% - 强调文字颜色 5 7 2 13" xfId="7334"/>
    <cellStyle name="40% - 强调文字颜色 5 7 2 14" xfId="7335"/>
    <cellStyle name="40% - 强调文字颜色 5 7 2 15" xfId="7336"/>
    <cellStyle name="40% - 强调文字颜色 5 7 2 16" xfId="7337"/>
    <cellStyle name="40% - 强调文字颜色 5 7 2 17" xfId="7338"/>
    <cellStyle name="40% - 强调文字颜色 5 7 2 18" xfId="7339"/>
    <cellStyle name="40% - 强调文字颜色 5 7 2 19" xfId="7340"/>
    <cellStyle name="40% - 强调文字颜色 5 7 2 2" xfId="7341"/>
    <cellStyle name="40% - 强调文字颜色 5 7 2 20" xfId="7342"/>
    <cellStyle name="40% - 强调文字颜色 5 7 2 21" xfId="7343"/>
    <cellStyle name="40% - 强调文字颜色 5 7 2 22" xfId="7344"/>
    <cellStyle name="40% - 强调文字颜色 5 7 2 23" xfId="7345"/>
    <cellStyle name="40% - 强调文字颜色 5 7 2 24" xfId="7346"/>
    <cellStyle name="40% - 强调文字颜色 5 7 2 25" xfId="7347"/>
    <cellStyle name="40% - 强调文字颜色 5 7 2 26" xfId="7348"/>
    <cellStyle name="40% - 强调文字颜色 5 7 2 27" xfId="7349"/>
    <cellStyle name="40% - 强调文字颜色 5 7 2 3" xfId="7350"/>
    <cellStyle name="40% - 强调文字颜色 5 7 2 4" xfId="7351"/>
    <cellStyle name="40% - 强调文字颜色 5 7 2 5" xfId="7352"/>
    <cellStyle name="40% - 强调文字颜色 5 7 2 6" xfId="7353"/>
    <cellStyle name="40% - 强调文字颜色 5 7 2 7" xfId="7354"/>
    <cellStyle name="40% - 强调文字颜色 5 7 2 8" xfId="7355"/>
    <cellStyle name="40% - 强调文字颜色 5 7 2 9" xfId="7356"/>
    <cellStyle name="40% - 强调文字颜色 5 7 20" xfId="7357"/>
    <cellStyle name="40% - 强调文字颜色 5 7 21" xfId="7358"/>
    <cellStyle name="40% - 强调文字颜色 5 7 22" xfId="7359"/>
    <cellStyle name="40% - 强调文字颜色 5 7 23" xfId="7360"/>
    <cellStyle name="40% - 强调文字颜色 5 7 24" xfId="7361"/>
    <cellStyle name="40% - 强调文字颜色 5 7 25" xfId="7362"/>
    <cellStyle name="40% - 强调文字颜色 5 7 26" xfId="7363"/>
    <cellStyle name="40% - 强调文字颜色 5 7 27" xfId="7364"/>
    <cellStyle name="40% - 强调文字颜色 5 7 28" xfId="7365"/>
    <cellStyle name="40% - 强调文字颜色 5 7 3" xfId="7366"/>
    <cellStyle name="40% - 强调文字颜色 5 7 4" xfId="7367"/>
    <cellStyle name="40% - 强调文字颜色 5 7 5" xfId="7368"/>
    <cellStyle name="40% - 强调文字颜色 5 7 6" xfId="7369"/>
    <cellStyle name="40% - 强调文字颜色 5 7 7" xfId="7370"/>
    <cellStyle name="40% - 强调文字颜色 5 7 8" xfId="7371"/>
    <cellStyle name="40% - 强调文字颜色 5 7 9" xfId="7372"/>
    <cellStyle name="40% - 强调文字颜色 5 8" xfId="7373"/>
    <cellStyle name="40% - 强调文字颜色 5 8 10" xfId="7374"/>
    <cellStyle name="40% - 强调文字颜色 5 8 11" xfId="7375"/>
    <cellStyle name="40% - 强调文字颜色 5 8 12" xfId="7376"/>
    <cellStyle name="40% - 强调文字颜色 5 8 13" xfId="7377"/>
    <cellStyle name="40% - 强调文字颜色 5 8 14" xfId="7378"/>
    <cellStyle name="40% - 强调文字颜色 5 8 15" xfId="7379"/>
    <cellStyle name="40% - 强调文字颜色 5 8 16" xfId="7380"/>
    <cellStyle name="40% - 强调文字颜色 5 8 17" xfId="7381"/>
    <cellStyle name="40% - 强调文字颜色 5 8 18" xfId="7382"/>
    <cellStyle name="40% - 强调文字颜色 5 8 19" xfId="7383"/>
    <cellStyle name="40% - 强调文字颜色 5 8 2" xfId="7384"/>
    <cellStyle name="40% - 强调文字颜色 5 8 2 10" xfId="7385"/>
    <cellStyle name="40% - 强调文字颜色 5 8 2 11" xfId="7386"/>
    <cellStyle name="40% - 强调文字颜色 5 8 2 12" xfId="7387"/>
    <cellStyle name="40% - 强调文字颜色 5 8 2 13" xfId="7388"/>
    <cellStyle name="40% - 强调文字颜色 5 8 2 14" xfId="7389"/>
    <cellStyle name="40% - 强调文字颜色 5 8 2 15" xfId="7390"/>
    <cellStyle name="40% - 强调文字颜色 5 8 2 16" xfId="7391"/>
    <cellStyle name="40% - 强调文字颜色 5 8 2 17" xfId="7392"/>
    <cellStyle name="40% - 强调文字颜色 5 8 2 18" xfId="7393"/>
    <cellStyle name="40% - 强调文字颜色 5 8 2 19" xfId="7394"/>
    <cellStyle name="40% - 强调文字颜色 5 8 2 2" xfId="7395"/>
    <cellStyle name="40% - 强调文字颜色 5 8 2 20" xfId="7396"/>
    <cellStyle name="40% - 强调文字颜色 5 8 2 21" xfId="7397"/>
    <cellStyle name="40% - 强调文字颜色 5 8 2 22" xfId="7398"/>
    <cellStyle name="40% - 强调文字颜色 5 8 2 23" xfId="7399"/>
    <cellStyle name="40% - 强调文字颜色 5 8 2 24" xfId="7400"/>
    <cellStyle name="40% - 强调文字颜色 5 8 2 25" xfId="7401"/>
    <cellStyle name="40% - 强调文字颜色 5 8 2 26" xfId="7402"/>
    <cellStyle name="40% - 强调文字颜色 5 8 2 27" xfId="7403"/>
    <cellStyle name="40% - 强调文字颜色 5 8 2 3" xfId="7404"/>
    <cellStyle name="40% - 强调文字颜色 5 8 2 4" xfId="7405"/>
    <cellStyle name="40% - 强调文字颜色 5 8 2 5" xfId="7406"/>
    <cellStyle name="40% - 强调文字颜色 5 8 2 6" xfId="7407"/>
    <cellStyle name="40% - 强调文字颜色 5 8 2 7" xfId="7408"/>
    <cellStyle name="40% - 强调文字颜色 5 8 2 8" xfId="7409"/>
    <cellStyle name="40% - 强调文字颜色 5 8 2 9" xfId="7410"/>
    <cellStyle name="40% - 强调文字颜色 5 8 20" xfId="7411"/>
    <cellStyle name="40% - 强调文字颜色 5 8 21" xfId="7412"/>
    <cellStyle name="40% - 强调文字颜色 5 8 22" xfId="7413"/>
    <cellStyle name="40% - 强调文字颜色 5 8 23" xfId="7414"/>
    <cellStyle name="40% - 强调文字颜色 5 8 24" xfId="7415"/>
    <cellStyle name="40% - 强调文字颜色 5 8 25" xfId="7416"/>
    <cellStyle name="40% - 强调文字颜色 5 8 26" xfId="7417"/>
    <cellStyle name="40% - 强调文字颜色 5 8 27" xfId="7418"/>
    <cellStyle name="40% - 强调文字颜色 5 8 28" xfId="7419"/>
    <cellStyle name="40% - 强调文字颜色 5 8 3" xfId="7420"/>
    <cellStyle name="40% - 强调文字颜色 5 8 4" xfId="7421"/>
    <cellStyle name="40% - 强调文字颜色 5 8 5" xfId="7422"/>
    <cellStyle name="40% - 强调文字颜色 5 8 6" xfId="7423"/>
    <cellStyle name="40% - 强调文字颜色 5 8 7" xfId="7424"/>
    <cellStyle name="40% - 强调文字颜色 5 8 8" xfId="7425"/>
    <cellStyle name="40% - 强调文字颜色 5 8 9" xfId="7426"/>
    <cellStyle name="40% - 强调文字颜色 5 9" xfId="7427"/>
    <cellStyle name="40% - 强调文字颜色 5 9 10" xfId="7428"/>
    <cellStyle name="40% - 强调文字颜色 5 9 11" xfId="7429"/>
    <cellStyle name="40% - 强调文字颜色 5 9 12" xfId="7430"/>
    <cellStyle name="40% - 强调文字颜色 5 9 13" xfId="7431"/>
    <cellStyle name="40% - 强调文字颜色 5 9 14" xfId="7432"/>
    <cellStyle name="40% - 强调文字颜色 5 9 15" xfId="7433"/>
    <cellStyle name="40% - 强调文字颜色 5 9 16" xfId="7434"/>
    <cellStyle name="40% - 强调文字颜色 5 9 17" xfId="7435"/>
    <cellStyle name="40% - 强调文字颜色 5 9 18" xfId="7436"/>
    <cellStyle name="40% - 强调文字颜色 5 9 19" xfId="7437"/>
    <cellStyle name="40% - 强调文字颜色 5 9 2" xfId="7438"/>
    <cellStyle name="40% - 强调文字颜色 5 9 2 10" xfId="7439"/>
    <cellStyle name="40% - 强调文字颜色 5 9 2 11" xfId="7440"/>
    <cellStyle name="40% - 强调文字颜色 5 9 2 12" xfId="7441"/>
    <cellStyle name="40% - 强调文字颜色 5 9 2 13" xfId="7442"/>
    <cellStyle name="40% - 强调文字颜色 5 9 2 14" xfId="7443"/>
    <cellStyle name="40% - 强调文字颜色 5 9 2 15" xfId="7444"/>
    <cellStyle name="40% - 强调文字颜色 5 9 2 16" xfId="7445"/>
    <cellStyle name="40% - 强调文字颜色 5 9 2 17" xfId="7446"/>
    <cellStyle name="40% - 强调文字颜色 5 9 2 18" xfId="7447"/>
    <cellStyle name="40% - 强调文字颜色 5 9 2 19" xfId="7448"/>
    <cellStyle name="40% - 强调文字颜色 5 9 2 2" xfId="7449"/>
    <cellStyle name="40% - 强调文字颜色 5 9 2 20" xfId="7450"/>
    <cellStyle name="40% - 强调文字颜色 5 9 2 21" xfId="7451"/>
    <cellStyle name="40% - 强调文字颜色 5 9 2 22" xfId="7452"/>
    <cellStyle name="40% - 强调文字颜色 5 9 2 23" xfId="7453"/>
    <cellStyle name="40% - 强调文字颜色 5 9 2 24" xfId="7454"/>
    <cellStyle name="40% - 强调文字颜色 5 9 2 25" xfId="7455"/>
    <cellStyle name="40% - 强调文字颜色 5 9 2 26" xfId="7456"/>
    <cellStyle name="40% - 强调文字颜色 5 9 2 27" xfId="7457"/>
    <cellStyle name="40% - 强调文字颜色 5 9 2 3" xfId="7458"/>
    <cellStyle name="40% - 强调文字颜色 5 9 2 4" xfId="7459"/>
    <cellStyle name="40% - 强调文字颜色 5 9 2 5" xfId="7460"/>
    <cellStyle name="40% - 强调文字颜色 5 9 2 6" xfId="7461"/>
    <cellStyle name="40% - 强调文字颜色 5 9 2 7" xfId="7462"/>
    <cellStyle name="40% - 强调文字颜色 5 9 2 8" xfId="7463"/>
    <cellStyle name="40% - 强调文字颜色 5 9 2 9" xfId="7464"/>
    <cellStyle name="40% - 强调文字颜色 5 9 20" xfId="7465"/>
    <cellStyle name="40% - 强调文字颜色 5 9 21" xfId="7466"/>
    <cellStyle name="40% - 强调文字颜色 5 9 22" xfId="7467"/>
    <cellStyle name="40% - 强调文字颜色 5 9 23" xfId="7468"/>
    <cellStyle name="40% - 强调文字颜色 5 9 24" xfId="7469"/>
    <cellStyle name="40% - 强调文字颜色 5 9 25" xfId="7470"/>
    <cellStyle name="40% - 强调文字颜色 5 9 26" xfId="7471"/>
    <cellStyle name="40% - 强调文字颜色 5 9 27" xfId="7472"/>
    <cellStyle name="40% - 强调文字颜色 5 9 28" xfId="7473"/>
    <cellStyle name="40% - 强调文字颜色 5 9 3" xfId="7474"/>
    <cellStyle name="40% - 强调文字颜色 5 9 4" xfId="7475"/>
    <cellStyle name="40% - 强调文字颜色 5 9 5" xfId="7476"/>
    <cellStyle name="40% - 强调文字颜色 5 9 6" xfId="7477"/>
    <cellStyle name="40% - 强调文字颜色 5 9 7" xfId="7478"/>
    <cellStyle name="40% - 强调文字颜色 5 9 8" xfId="7479"/>
    <cellStyle name="40% - 强调文字颜色 5 9 9" xfId="7480"/>
    <cellStyle name="40% - 强调文字颜色 6 10" xfId="7481"/>
    <cellStyle name="40% - 强调文字颜色 6 10 10" xfId="7482"/>
    <cellStyle name="40% - 强调文字颜色 6 10 11" xfId="7483"/>
    <cellStyle name="40% - 强调文字颜色 6 10 12" xfId="7484"/>
    <cellStyle name="40% - 强调文字颜色 6 10 13" xfId="7485"/>
    <cellStyle name="40% - 强调文字颜色 6 10 14" xfId="7486"/>
    <cellStyle name="40% - 强调文字颜色 6 10 15" xfId="7487"/>
    <cellStyle name="40% - 强调文字颜色 6 10 16" xfId="7488"/>
    <cellStyle name="40% - 强调文字颜色 6 10 17" xfId="7489"/>
    <cellStyle name="40% - 强调文字颜色 6 10 18" xfId="7490"/>
    <cellStyle name="40% - 强调文字颜色 6 10 19" xfId="7491"/>
    <cellStyle name="40% - 强调文字颜色 6 10 2" xfId="7492"/>
    <cellStyle name="40% - 强调文字颜色 6 10 2 10" xfId="7493"/>
    <cellStyle name="40% - 强调文字颜色 6 10 2 11" xfId="7494"/>
    <cellStyle name="40% - 强调文字颜色 6 10 2 12" xfId="7495"/>
    <cellStyle name="40% - 强调文字颜色 6 10 2 13" xfId="7496"/>
    <cellStyle name="40% - 强调文字颜色 6 10 2 14" xfId="7497"/>
    <cellStyle name="40% - 强调文字颜色 6 10 2 15" xfId="7498"/>
    <cellStyle name="40% - 强调文字颜色 6 10 2 16" xfId="7499"/>
    <cellStyle name="40% - 强调文字颜色 6 10 2 17" xfId="7500"/>
    <cellStyle name="40% - 强调文字颜色 6 10 2 18" xfId="7501"/>
    <cellStyle name="40% - 强调文字颜色 6 10 2 19" xfId="7502"/>
    <cellStyle name="40% - 强调文字颜色 6 10 2 2" xfId="7503"/>
    <cellStyle name="40% - 强调文字颜色 6 10 2 20" xfId="7504"/>
    <cellStyle name="40% - 强调文字颜色 6 10 2 21" xfId="7505"/>
    <cellStyle name="40% - 强调文字颜色 6 10 2 22" xfId="7506"/>
    <cellStyle name="40% - 强调文字颜色 6 10 2 23" xfId="7507"/>
    <cellStyle name="40% - 强调文字颜色 6 10 2 24" xfId="7508"/>
    <cellStyle name="40% - 强调文字颜色 6 10 2 25" xfId="7509"/>
    <cellStyle name="40% - 强调文字颜色 6 10 2 26" xfId="7510"/>
    <cellStyle name="40% - 强调文字颜色 6 10 2 27" xfId="7511"/>
    <cellStyle name="40% - 强调文字颜色 6 10 2 3" xfId="7512"/>
    <cellStyle name="40% - 强调文字颜色 6 10 2 4" xfId="7513"/>
    <cellStyle name="40% - 强调文字颜色 6 10 2 5" xfId="7514"/>
    <cellStyle name="40% - 强调文字颜色 6 10 2 6" xfId="7515"/>
    <cellStyle name="40% - 强调文字颜色 6 10 2 7" xfId="7516"/>
    <cellStyle name="40% - 强调文字颜色 6 10 2 8" xfId="7517"/>
    <cellStyle name="40% - 强调文字颜色 6 10 2 9" xfId="7518"/>
    <cellStyle name="40% - 强调文字颜色 6 10 20" xfId="7519"/>
    <cellStyle name="40% - 强调文字颜色 6 10 21" xfId="7520"/>
    <cellStyle name="40% - 强调文字颜色 6 10 22" xfId="7521"/>
    <cellStyle name="40% - 强调文字颜色 6 10 23" xfId="7522"/>
    <cellStyle name="40% - 强调文字颜色 6 10 24" xfId="7523"/>
    <cellStyle name="40% - 强调文字颜色 6 10 25" xfId="7524"/>
    <cellStyle name="40% - 强调文字颜色 6 10 26" xfId="7525"/>
    <cellStyle name="40% - 强调文字颜色 6 10 27" xfId="7526"/>
    <cellStyle name="40% - 强调文字颜色 6 10 28" xfId="7527"/>
    <cellStyle name="40% - 强调文字颜色 6 10 3" xfId="7528"/>
    <cellStyle name="40% - 强调文字颜色 6 10 4" xfId="7529"/>
    <cellStyle name="40% - 强调文字颜色 6 10 5" xfId="7530"/>
    <cellStyle name="40% - 强调文字颜色 6 10 6" xfId="7531"/>
    <cellStyle name="40% - 强调文字颜色 6 10 7" xfId="7532"/>
    <cellStyle name="40% - 强调文字颜色 6 10 8" xfId="7533"/>
    <cellStyle name="40% - 强调文字颜色 6 10 9" xfId="7534"/>
    <cellStyle name="40% - 强调文字颜色 6 11" xfId="7535"/>
    <cellStyle name="40% - 强调文字颜色 6 11 10" xfId="7536"/>
    <cellStyle name="40% - 强调文字颜色 6 11 11" xfId="7537"/>
    <cellStyle name="40% - 强调文字颜色 6 11 12" xfId="7538"/>
    <cellStyle name="40% - 强调文字颜色 6 11 13" xfId="7539"/>
    <cellStyle name="40% - 强调文字颜色 6 11 14" xfId="7540"/>
    <cellStyle name="40% - 强调文字颜色 6 11 15" xfId="7541"/>
    <cellStyle name="40% - 强调文字颜色 6 11 16" xfId="7542"/>
    <cellStyle name="40% - 强调文字颜色 6 11 17" xfId="7543"/>
    <cellStyle name="40% - 强调文字颜色 6 11 18" xfId="7544"/>
    <cellStyle name="40% - 强调文字颜色 6 11 19" xfId="7545"/>
    <cellStyle name="40% - 强调文字颜色 6 11 2" xfId="7546"/>
    <cellStyle name="40% - 强调文字颜色 6 11 2 10" xfId="7547"/>
    <cellStyle name="40% - 强调文字颜色 6 11 2 11" xfId="7548"/>
    <cellStyle name="40% - 强调文字颜色 6 11 2 12" xfId="7549"/>
    <cellStyle name="40% - 强调文字颜色 6 11 2 13" xfId="7550"/>
    <cellStyle name="40% - 强调文字颜色 6 11 2 14" xfId="7551"/>
    <cellStyle name="40% - 强调文字颜色 6 11 2 15" xfId="7552"/>
    <cellStyle name="40% - 强调文字颜色 6 11 2 16" xfId="7553"/>
    <cellStyle name="40% - 强调文字颜色 6 11 2 17" xfId="7554"/>
    <cellStyle name="40% - 强调文字颜色 6 11 2 18" xfId="7555"/>
    <cellStyle name="40% - 强调文字颜色 6 11 2 19" xfId="7556"/>
    <cellStyle name="40% - 强调文字颜色 6 11 2 2" xfId="7557"/>
    <cellStyle name="40% - 强调文字颜色 6 11 2 20" xfId="7558"/>
    <cellStyle name="40% - 强调文字颜色 6 11 2 21" xfId="7559"/>
    <cellStyle name="40% - 强调文字颜色 6 11 2 22" xfId="7560"/>
    <cellStyle name="40% - 强调文字颜色 6 11 2 23" xfId="7561"/>
    <cellStyle name="40% - 强调文字颜色 6 11 2 24" xfId="7562"/>
    <cellStyle name="40% - 强调文字颜色 6 11 2 25" xfId="7563"/>
    <cellStyle name="40% - 强调文字颜色 6 11 2 26" xfId="7564"/>
    <cellStyle name="40% - 强调文字颜色 6 11 2 27" xfId="7565"/>
    <cellStyle name="40% - 强调文字颜色 6 11 2 3" xfId="7566"/>
    <cellStyle name="40% - 强调文字颜色 6 11 2 4" xfId="7567"/>
    <cellStyle name="40% - 强调文字颜色 6 11 2 5" xfId="7568"/>
    <cellStyle name="40% - 强调文字颜色 6 11 2 6" xfId="7569"/>
    <cellStyle name="40% - 强调文字颜色 6 11 2 7" xfId="7570"/>
    <cellStyle name="40% - 强调文字颜色 6 11 2 8" xfId="7571"/>
    <cellStyle name="40% - 强调文字颜色 6 11 2 9" xfId="7572"/>
    <cellStyle name="40% - 强调文字颜色 6 11 20" xfId="7573"/>
    <cellStyle name="40% - 强调文字颜色 6 11 21" xfId="7574"/>
    <cellStyle name="40% - 强调文字颜色 6 11 22" xfId="7575"/>
    <cellStyle name="40% - 强调文字颜色 6 11 23" xfId="7576"/>
    <cellStyle name="40% - 强调文字颜色 6 11 24" xfId="7577"/>
    <cellStyle name="40% - 强调文字颜色 6 11 25" xfId="7578"/>
    <cellStyle name="40% - 强调文字颜色 6 11 26" xfId="7579"/>
    <cellStyle name="40% - 强调文字颜色 6 11 27" xfId="7580"/>
    <cellStyle name="40% - 强调文字颜色 6 11 28" xfId="7581"/>
    <cellStyle name="40% - 强调文字颜色 6 11 3" xfId="7582"/>
    <cellStyle name="40% - 强调文字颜色 6 11 4" xfId="7583"/>
    <cellStyle name="40% - 强调文字颜色 6 11 5" xfId="7584"/>
    <cellStyle name="40% - 强调文字颜色 6 11 6" xfId="7585"/>
    <cellStyle name="40% - 强调文字颜色 6 11 7" xfId="7586"/>
    <cellStyle name="40% - 强调文字颜色 6 11 8" xfId="7587"/>
    <cellStyle name="40% - 强调文字颜色 6 11 9" xfId="7588"/>
    <cellStyle name="40% - 强调文字颜色 6 12" xfId="7589"/>
    <cellStyle name="40% - 强调文字颜色 6 13" xfId="7590"/>
    <cellStyle name="40% - 强调文字颜色 6 14" xfId="7591"/>
    <cellStyle name="40% - 强调文字颜色 6 15" xfId="7592"/>
    <cellStyle name="40% - 强调文字颜色 6 16" xfId="7593"/>
    <cellStyle name="40% - 强调文字颜色 6 17" xfId="7594"/>
    <cellStyle name="40% - 强调文字颜色 6 18" xfId="7595"/>
    <cellStyle name="40% - 强调文字颜色 6 19" xfId="7596"/>
    <cellStyle name="40% - 强调文字颜色 6 2" xfId="7597"/>
    <cellStyle name="40% - 强调文字颜色 6 2 10" xfId="7598"/>
    <cellStyle name="40% - 强调文字颜色 6 2 11" xfId="7599"/>
    <cellStyle name="40% - 强调文字颜色 6 2 12" xfId="7600"/>
    <cellStyle name="40% - 强调文字颜色 6 2 13" xfId="7601"/>
    <cellStyle name="40% - 强调文字颜色 6 2 14" xfId="7602"/>
    <cellStyle name="40% - 强调文字颜色 6 2 15" xfId="7603"/>
    <cellStyle name="40% - 强调文字颜色 6 2 16" xfId="7604"/>
    <cellStyle name="40% - 强调文字颜色 6 2 17" xfId="7605"/>
    <cellStyle name="40% - 强调文字颜色 6 2 18" xfId="7606"/>
    <cellStyle name="40% - 强调文字颜色 6 2 19" xfId="7607"/>
    <cellStyle name="40% - 强调文字颜色 6 2 2" xfId="7608"/>
    <cellStyle name="40% - 强调文字颜色 6 2 2 10" xfId="7609"/>
    <cellStyle name="40% - 强调文字颜色 6 2 2 11" xfId="7610"/>
    <cellStyle name="40% - 强调文字颜色 6 2 2 12" xfId="7611"/>
    <cellStyle name="40% - 强调文字颜色 6 2 2 13" xfId="7612"/>
    <cellStyle name="40% - 强调文字颜色 6 2 2 14" xfId="7613"/>
    <cellStyle name="40% - 强调文字颜色 6 2 2 15" xfId="7614"/>
    <cellStyle name="40% - 强调文字颜色 6 2 2 16" xfId="7615"/>
    <cellStyle name="40% - 强调文字颜色 6 2 2 17" xfId="7616"/>
    <cellStyle name="40% - 强调文字颜色 6 2 2 18" xfId="7617"/>
    <cellStyle name="40% - 强调文字颜色 6 2 2 19" xfId="7618"/>
    <cellStyle name="40% - 强调文字颜色 6 2 2 2" xfId="7619"/>
    <cellStyle name="40% - 强调文字颜色 6 2 2 2 10" xfId="7620"/>
    <cellStyle name="40% - 强调文字颜色 6 2 2 2 11" xfId="7621"/>
    <cellStyle name="40% - 强调文字颜色 6 2 2 2 12" xfId="7622"/>
    <cellStyle name="40% - 强调文字颜色 6 2 2 2 13" xfId="7623"/>
    <cellStyle name="40% - 强调文字颜色 6 2 2 2 14" xfId="7624"/>
    <cellStyle name="40% - 强调文字颜色 6 2 2 2 15" xfId="7625"/>
    <cellStyle name="40% - 强调文字颜色 6 2 2 2 16" xfId="7626"/>
    <cellStyle name="40% - 强调文字颜色 6 2 2 2 17" xfId="7627"/>
    <cellStyle name="40% - 强调文字颜色 6 2 2 2 18" xfId="7628"/>
    <cellStyle name="40% - 强调文字颜色 6 2 2 2 19" xfId="7629"/>
    <cellStyle name="40% - 强调文字颜色 6 2 2 2 2" xfId="7630"/>
    <cellStyle name="40% - 强调文字颜色 6 2 2 2 20" xfId="7631"/>
    <cellStyle name="40% - 强调文字颜色 6 2 2 2 21" xfId="7632"/>
    <cellStyle name="40% - 强调文字颜色 6 2 2 2 22" xfId="7633"/>
    <cellStyle name="40% - 强调文字颜色 6 2 2 2 23" xfId="7634"/>
    <cellStyle name="40% - 强调文字颜色 6 2 2 2 24" xfId="7635"/>
    <cellStyle name="40% - 强调文字颜色 6 2 2 2 25" xfId="7636"/>
    <cellStyle name="40% - 强调文字颜色 6 2 2 2 26" xfId="7637"/>
    <cellStyle name="40% - 强调文字颜色 6 2 2 2 27" xfId="7638"/>
    <cellStyle name="40% - 强调文字颜色 6 2 2 2 3" xfId="7639"/>
    <cellStyle name="40% - 强调文字颜色 6 2 2 2 4" xfId="7640"/>
    <cellStyle name="40% - 强调文字颜色 6 2 2 2 5" xfId="7641"/>
    <cellStyle name="40% - 强调文字颜色 6 2 2 2 6" xfId="7642"/>
    <cellStyle name="40% - 强调文字颜色 6 2 2 2 7" xfId="7643"/>
    <cellStyle name="40% - 强调文字颜色 6 2 2 2 8" xfId="7644"/>
    <cellStyle name="40% - 强调文字颜色 6 2 2 2 9" xfId="7645"/>
    <cellStyle name="40% - 强调文字颜色 6 2 2 20" xfId="7646"/>
    <cellStyle name="40% - 强调文字颜色 6 2 2 21" xfId="7647"/>
    <cellStyle name="40% - 强调文字颜色 6 2 2 22" xfId="7648"/>
    <cellStyle name="40% - 强调文字颜色 6 2 2 23" xfId="7649"/>
    <cellStyle name="40% - 强调文字颜色 6 2 2 24" xfId="7650"/>
    <cellStyle name="40% - 强调文字颜色 6 2 2 25" xfId="7651"/>
    <cellStyle name="40% - 强调文字颜色 6 2 2 26" xfId="7652"/>
    <cellStyle name="40% - 强调文字颜色 6 2 2 27" xfId="7653"/>
    <cellStyle name="40% - 强调文字颜色 6 2 2 28" xfId="7654"/>
    <cellStyle name="40% - 强调文字颜色 6 2 2 3" xfId="7655"/>
    <cellStyle name="40% - 强调文字颜色 6 2 2 4" xfId="7656"/>
    <cellStyle name="40% - 强调文字颜色 6 2 2 5" xfId="7657"/>
    <cellStyle name="40% - 强调文字颜色 6 2 2 6" xfId="7658"/>
    <cellStyle name="40% - 强调文字颜色 6 2 2 7" xfId="7659"/>
    <cellStyle name="40% - 强调文字颜色 6 2 2 8" xfId="7660"/>
    <cellStyle name="40% - 强调文字颜色 6 2 2 9" xfId="7661"/>
    <cellStyle name="40% - 强调文字颜色 6 2 20" xfId="7662"/>
    <cellStyle name="40% - 强调文字颜色 6 2 21" xfId="7663"/>
    <cellStyle name="40% - 强调文字颜色 6 2 22" xfId="7664"/>
    <cellStyle name="40% - 强调文字颜色 6 2 23" xfId="7665"/>
    <cellStyle name="40% - 强调文字颜色 6 2 24" xfId="7666"/>
    <cellStyle name="40% - 强调文字颜色 6 2 25" xfId="7667"/>
    <cellStyle name="40% - 强调文字颜色 6 2 26" xfId="7668"/>
    <cellStyle name="40% - 强调文字颜色 6 2 27" xfId="7669"/>
    <cellStyle name="40% - 强调文字颜色 6 2 28" xfId="7670"/>
    <cellStyle name="40% - 强调文字颜色 6 2 29" xfId="7671"/>
    <cellStyle name="40% - 强调文字颜色 6 2 3" xfId="7672"/>
    <cellStyle name="40% - 强调文字颜色 6 2 3 10" xfId="7673"/>
    <cellStyle name="40% - 强调文字颜色 6 2 3 11" xfId="7674"/>
    <cellStyle name="40% - 强调文字颜色 6 2 3 12" xfId="7675"/>
    <cellStyle name="40% - 强调文字颜色 6 2 3 13" xfId="7676"/>
    <cellStyle name="40% - 强调文字颜色 6 2 3 14" xfId="7677"/>
    <cellStyle name="40% - 强调文字颜色 6 2 3 15" xfId="7678"/>
    <cellStyle name="40% - 强调文字颜色 6 2 3 16" xfId="7679"/>
    <cellStyle name="40% - 强调文字颜色 6 2 3 17" xfId="7680"/>
    <cellStyle name="40% - 强调文字颜色 6 2 3 18" xfId="7681"/>
    <cellStyle name="40% - 强调文字颜色 6 2 3 19" xfId="7682"/>
    <cellStyle name="40% - 强调文字颜色 6 2 3 2" xfId="7683"/>
    <cellStyle name="40% - 强调文字颜色 6 2 3 2 10" xfId="7684"/>
    <cellStyle name="40% - 强调文字颜色 6 2 3 2 11" xfId="7685"/>
    <cellStyle name="40% - 强调文字颜色 6 2 3 2 12" xfId="7686"/>
    <cellStyle name="40% - 强调文字颜色 6 2 3 2 13" xfId="7687"/>
    <cellStyle name="40% - 强调文字颜色 6 2 3 2 14" xfId="7688"/>
    <cellStyle name="40% - 强调文字颜色 6 2 3 2 15" xfId="7689"/>
    <cellStyle name="40% - 强调文字颜色 6 2 3 2 16" xfId="7690"/>
    <cellStyle name="40% - 强调文字颜色 6 2 3 2 17" xfId="7691"/>
    <cellStyle name="40% - 强调文字颜色 6 2 3 2 18" xfId="7692"/>
    <cellStyle name="40% - 强调文字颜色 6 2 3 2 19" xfId="7693"/>
    <cellStyle name="40% - 强调文字颜色 6 2 3 2 2" xfId="7694"/>
    <cellStyle name="40% - 强调文字颜色 6 2 3 2 20" xfId="7695"/>
    <cellStyle name="40% - 强调文字颜色 6 2 3 2 21" xfId="7696"/>
    <cellStyle name="40% - 强调文字颜色 6 2 3 2 22" xfId="7697"/>
    <cellStyle name="40% - 强调文字颜色 6 2 3 2 23" xfId="7698"/>
    <cellStyle name="40% - 强调文字颜色 6 2 3 2 24" xfId="7699"/>
    <cellStyle name="40% - 强调文字颜色 6 2 3 2 25" xfId="7700"/>
    <cellStyle name="40% - 强调文字颜色 6 2 3 2 26" xfId="7701"/>
    <cellStyle name="40% - 强调文字颜色 6 2 3 2 27" xfId="7702"/>
    <cellStyle name="40% - 强调文字颜色 6 2 3 2 3" xfId="7703"/>
    <cellStyle name="40% - 强调文字颜色 6 2 3 2 4" xfId="7704"/>
    <cellStyle name="40% - 强调文字颜色 6 2 3 2 5" xfId="7705"/>
    <cellStyle name="40% - 强调文字颜色 6 2 3 2 6" xfId="7706"/>
    <cellStyle name="40% - 强调文字颜色 6 2 3 2 7" xfId="7707"/>
    <cellStyle name="40% - 强调文字颜色 6 2 3 2 8" xfId="7708"/>
    <cellStyle name="40% - 强调文字颜色 6 2 3 2 9" xfId="7709"/>
    <cellStyle name="40% - 强调文字颜色 6 2 3 20" xfId="7710"/>
    <cellStyle name="40% - 强调文字颜色 6 2 3 21" xfId="7711"/>
    <cellStyle name="40% - 强调文字颜色 6 2 3 22" xfId="7712"/>
    <cellStyle name="40% - 强调文字颜色 6 2 3 23" xfId="7713"/>
    <cellStyle name="40% - 强调文字颜色 6 2 3 24" xfId="7714"/>
    <cellStyle name="40% - 强调文字颜色 6 2 3 25" xfId="7715"/>
    <cellStyle name="40% - 强调文字颜色 6 2 3 26" xfId="7716"/>
    <cellStyle name="40% - 强调文字颜色 6 2 3 27" xfId="7717"/>
    <cellStyle name="40% - 强调文字颜色 6 2 3 28" xfId="7718"/>
    <cellStyle name="40% - 强调文字颜色 6 2 3 3" xfId="7719"/>
    <cellStyle name="40% - 强调文字颜色 6 2 3 4" xfId="7720"/>
    <cellStyle name="40% - 强调文字颜色 6 2 3 5" xfId="7721"/>
    <cellStyle name="40% - 强调文字颜色 6 2 3 6" xfId="7722"/>
    <cellStyle name="40% - 强调文字颜色 6 2 3 7" xfId="7723"/>
    <cellStyle name="40% - 强调文字颜色 6 2 3 8" xfId="7724"/>
    <cellStyle name="40% - 强调文字颜色 6 2 3 9" xfId="7725"/>
    <cellStyle name="40% - 强调文字颜色 6 2 30" xfId="7726"/>
    <cellStyle name="40% - 强调文字颜色 6 2 31" xfId="7727"/>
    <cellStyle name="40% - 强调文字颜色 6 2 32" xfId="7728"/>
    <cellStyle name="40% - 强调文字颜色 6 2 33" xfId="7729"/>
    <cellStyle name="40% - 强调文字颜色 6 2 4" xfId="7730"/>
    <cellStyle name="40% - 强调文字颜色 6 2 4 10" xfId="7731"/>
    <cellStyle name="40% - 强调文字颜色 6 2 4 11" xfId="7732"/>
    <cellStyle name="40% - 强调文字颜色 6 2 4 12" xfId="7733"/>
    <cellStyle name="40% - 强调文字颜色 6 2 4 13" xfId="7734"/>
    <cellStyle name="40% - 强调文字颜色 6 2 4 14" xfId="7735"/>
    <cellStyle name="40% - 强调文字颜色 6 2 4 15" xfId="7736"/>
    <cellStyle name="40% - 强调文字颜色 6 2 4 16" xfId="7737"/>
    <cellStyle name="40% - 强调文字颜色 6 2 4 17" xfId="7738"/>
    <cellStyle name="40% - 强调文字颜色 6 2 4 18" xfId="7739"/>
    <cellStyle name="40% - 强调文字颜色 6 2 4 19" xfId="7740"/>
    <cellStyle name="40% - 强调文字颜色 6 2 4 2" xfId="7741"/>
    <cellStyle name="40% - 强调文字颜色 6 2 4 20" xfId="7742"/>
    <cellStyle name="40% - 强调文字颜色 6 2 4 21" xfId="7743"/>
    <cellStyle name="40% - 强调文字颜色 6 2 4 22" xfId="7744"/>
    <cellStyle name="40% - 强调文字颜色 6 2 4 23" xfId="7745"/>
    <cellStyle name="40% - 强调文字颜色 6 2 4 24" xfId="7746"/>
    <cellStyle name="40% - 强调文字颜色 6 2 4 25" xfId="7747"/>
    <cellStyle name="40% - 强调文字颜色 6 2 4 26" xfId="7748"/>
    <cellStyle name="40% - 强调文字颜色 6 2 4 27" xfId="7749"/>
    <cellStyle name="40% - 强调文字颜色 6 2 4 3" xfId="7750"/>
    <cellStyle name="40% - 强调文字颜色 6 2 4 4" xfId="7751"/>
    <cellStyle name="40% - 强调文字颜色 6 2 4 5" xfId="7752"/>
    <cellStyle name="40% - 强调文字颜色 6 2 4 6" xfId="7753"/>
    <cellStyle name="40% - 强调文字颜色 6 2 4 7" xfId="7754"/>
    <cellStyle name="40% - 强调文字颜色 6 2 4 8" xfId="7755"/>
    <cellStyle name="40% - 强调文字颜色 6 2 4 9" xfId="7756"/>
    <cellStyle name="40% - 强调文字颜色 6 2 5" xfId="7757"/>
    <cellStyle name="40% - 强调文字颜色 6 2 6" xfId="7758"/>
    <cellStyle name="40% - 强调文字颜色 6 2 7" xfId="7759"/>
    <cellStyle name="40% - 强调文字颜色 6 2 8" xfId="7760"/>
    <cellStyle name="40% - 强调文字颜色 6 2 9" xfId="7761"/>
    <cellStyle name="40% - 强调文字颜色 6 20" xfId="7762"/>
    <cellStyle name="40% - 强调文字颜色 6 21" xfId="7763"/>
    <cellStyle name="40% - 强调文字颜色 6 22" xfId="7764"/>
    <cellStyle name="40% - 强调文字颜色 6 23" xfId="7765"/>
    <cellStyle name="40% - 强调文字颜色 6 24" xfId="7766"/>
    <cellStyle name="40% - 强调文字颜色 6 25" xfId="7767"/>
    <cellStyle name="40% - 强调文字颜色 6 26" xfId="7768"/>
    <cellStyle name="40% - 强调文字颜色 6 27" xfId="7769"/>
    <cellStyle name="40% - 强调文字颜色 6 28" xfId="7770"/>
    <cellStyle name="40% - 强调文字颜色 6 29" xfId="7771"/>
    <cellStyle name="40% - 强调文字颜色 6 3" xfId="7772"/>
    <cellStyle name="40% - 强调文字颜色 6 3 10" xfId="7773"/>
    <cellStyle name="40% - 强调文字颜色 6 3 11" xfId="7774"/>
    <cellStyle name="40% - 强调文字颜色 6 3 12" xfId="7775"/>
    <cellStyle name="40% - 强调文字颜色 6 3 13" xfId="7776"/>
    <cellStyle name="40% - 强调文字颜色 6 3 14" xfId="7777"/>
    <cellStyle name="40% - 强调文字颜色 6 3 15" xfId="7778"/>
    <cellStyle name="40% - 强调文字颜色 6 3 16" xfId="7779"/>
    <cellStyle name="40% - 强调文字颜色 6 3 17" xfId="7780"/>
    <cellStyle name="40% - 强调文字颜色 6 3 18" xfId="7781"/>
    <cellStyle name="40% - 强调文字颜色 6 3 19" xfId="7782"/>
    <cellStyle name="40% - 强调文字颜色 6 3 2" xfId="7783"/>
    <cellStyle name="40% - 强调文字颜色 6 3 2 10" xfId="7784"/>
    <cellStyle name="40% - 强调文字颜色 6 3 2 11" xfId="7785"/>
    <cellStyle name="40% - 强调文字颜色 6 3 2 12" xfId="7786"/>
    <cellStyle name="40% - 强调文字颜色 6 3 2 13" xfId="7787"/>
    <cellStyle name="40% - 强调文字颜色 6 3 2 14" xfId="7788"/>
    <cellStyle name="40% - 强调文字颜色 6 3 2 15" xfId="7789"/>
    <cellStyle name="40% - 强调文字颜色 6 3 2 16" xfId="7790"/>
    <cellStyle name="40% - 强调文字颜色 6 3 2 17" xfId="7791"/>
    <cellStyle name="40% - 强调文字颜色 6 3 2 18" xfId="7792"/>
    <cellStyle name="40% - 强调文字颜色 6 3 2 19" xfId="7793"/>
    <cellStyle name="40% - 强调文字颜色 6 3 2 2" xfId="7794"/>
    <cellStyle name="40% - 强调文字颜色 6 3 2 20" xfId="7795"/>
    <cellStyle name="40% - 强调文字颜色 6 3 2 21" xfId="7796"/>
    <cellStyle name="40% - 强调文字颜色 6 3 2 22" xfId="7797"/>
    <cellStyle name="40% - 强调文字颜色 6 3 2 23" xfId="7798"/>
    <cellStyle name="40% - 强调文字颜色 6 3 2 24" xfId="7799"/>
    <cellStyle name="40% - 强调文字颜色 6 3 2 25" xfId="7800"/>
    <cellStyle name="40% - 强调文字颜色 6 3 2 26" xfId="7801"/>
    <cellStyle name="40% - 强调文字颜色 6 3 2 27" xfId="7802"/>
    <cellStyle name="40% - 强调文字颜色 6 3 2 3" xfId="7803"/>
    <cellStyle name="40% - 强调文字颜色 6 3 2 4" xfId="7804"/>
    <cellStyle name="40% - 强调文字颜色 6 3 2 5" xfId="7805"/>
    <cellStyle name="40% - 强调文字颜色 6 3 2 6" xfId="7806"/>
    <cellStyle name="40% - 强调文字颜色 6 3 2 7" xfId="7807"/>
    <cellStyle name="40% - 强调文字颜色 6 3 2 8" xfId="7808"/>
    <cellStyle name="40% - 强调文字颜色 6 3 2 9" xfId="7809"/>
    <cellStyle name="40% - 强调文字颜色 6 3 20" xfId="7810"/>
    <cellStyle name="40% - 强调文字颜色 6 3 21" xfId="7811"/>
    <cellStyle name="40% - 强调文字颜色 6 3 22" xfId="7812"/>
    <cellStyle name="40% - 强调文字颜色 6 3 23" xfId="7813"/>
    <cellStyle name="40% - 强调文字颜色 6 3 24" xfId="7814"/>
    <cellStyle name="40% - 强调文字颜色 6 3 25" xfId="7815"/>
    <cellStyle name="40% - 强调文字颜色 6 3 26" xfId="7816"/>
    <cellStyle name="40% - 强调文字颜色 6 3 27" xfId="7817"/>
    <cellStyle name="40% - 强调文字颜色 6 3 28" xfId="7818"/>
    <cellStyle name="40% - 强调文字颜色 6 3 3" xfId="7819"/>
    <cellStyle name="40% - 强调文字颜色 6 3 4" xfId="7820"/>
    <cellStyle name="40% - 强调文字颜色 6 3 5" xfId="7821"/>
    <cellStyle name="40% - 强调文字颜色 6 3 6" xfId="7822"/>
    <cellStyle name="40% - 强调文字颜色 6 3 7" xfId="7823"/>
    <cellStyle name="40% - 强调文字颜色 6 3 8" xfId="7824"/>
    <cellStyle name="40% - 强调文字颜色 6 3 9" xfId="7825"/>
    <cellStyle name="40% - 强调文字颜色 6 30" xfId="7826"/>
    <cellStyle name="40% - 强调文字颜色 6 31" xfId="7827"/>
    <cellStyle name="40% - 强调文字颜色 6 32" xfId="7828"/>
    <cellStyle name="40% - 强调文字颜色 6 33" xfId="7829"/>
    <cellStyle name="40% - 强调文字颜色 6 34" xfId="7830"/>
    <cellStyle name="40% - 强调文字颜色 6 35" xfId="7831"/>
    <cellStyle name="40% - 强调文字颜色 6 36" xfId="7832"/>
    <cellStyle name="40% - 强调文字颜色 6 37" xfId="7833"/>
    <cellStyle name="40% - 强调文字颜色 6 38" xfId="7834"/>
    <cellStyle name="40% - 强调文字颜色 6 39" xfId="7835"/>
    <cellStyle name="40% - 强调文字颜色 6 4" xfId="7836"/>
    <cellStyle name="40% - 强调文字颜色 6 4 10" xfId="7837"/>
    <cellStyle name="40% - 强调文字颜色 6 4 11" xfId="7838"/>
    <cellStyle name="40% - 强调文字颜色 6 4 12" xfId="7839"/>
    <cellStyle name="40% - 强调文字颜色 6 4 13" xfId="7840"/>
    <cellStyle name="40% - 强调文字颜色 6 4 14" xfId="7841"/>
    <cellStyle name="40% - 强调文字颜色 6 4 15" xfId="7842"/>
    <cellStyle name="40% - 强调文字颜色 6 4 16" xfId="7843"/>
    <cellStyle name="40% - 强调文字颜色 6 4 17" xfId="7844"/>
    <cellStyle name="40% - 强调文字颜色 6 4 18" xfId="7845"/>
    <cellStyle name="40% - 强调文字颜色 6 4 19" xfId="7846"/>
    <cellStyle name="40% - 强调文字颜色 6 4 2" xfId="7847"/>
    <cellStyle name="40% - 强调文字颜色 6 4 2 10" xfId="7848"/>
    <cellStyle name="40% - 强调文字颜色 6 4 2 11" xfId="7849"/>
    <cellStyle name="40% - 强调文字颜色 6 4 2 12" xfId="7850"/>
    <cellStyle name="40% - 强调文字颜色 6 4 2 13" xfId="7851"/>
    <cellStyle name="40% - 强调文字颜色 6 4 2 14" xfId="7852"/>
    <cellStyle name="40% - 强调文字颜色 6 4 2 15" xfId="7853"/>
    <cellStyle name="40% - 强调文字颜色 6 4 2 16" xfId="7854"/>
    <cellStyle name="40% - 强调文字颜色 6 4 2 17" xfId="7855"/>
    <cellStyle name="40% - 强调文字颜色 6 4 2 18" xfId="7856"/>
    <cellStyle name="40% - 强调文字颜色 6 4 2 19" xfId="7857"/>
    <cellStyle name="40% - 强调文字颜色 6 4 2 2" xfId="7858"/>
    <cellStyle name="40% - 强调文字颜色 6 4 2 20" xfId="7859"/>
    <cellStyle name="40% - 强调文字颜色 6 4 2 21" xfId="7860"/>
    <cellStyle name="40% - 强调文字颜色 6 4 2 22" xfId="7861"/>
    <cellStyle name="40% - 强调文字颜色 6 4 2 23" xfId="7862"/>
    <cellStyle name="40% - 强调文字颜色 6 4 2 24" xfId="7863"/>
    <cellStyle name="40% - 强调文字颜色 6 4 2 25" xfId="7864"/>
    <cellStyle name="40% - 强调文字颜色 6 4 2 26" xfId="7865"/>
    <cellStyle name="40% - 强调文字颜色 6 4 2 27" xfId="7866"/>
    <cellStyle name="40% - 强调文字颜色 6 4 2 3" xfId="7867"/>
    <cellStyle name="40% - 强调文字颜色 6 4 2 4" xfId="7868"/>
    <cellStyle name="40% - 强调文字颜色 6 4 2 5" xfId="7869"/>
    <cellStyle name="40% - 强调文字颜色 6 4 2 6" xfId="7870"/>
    <cellStyle name="40% - 强调文字颜色 6 4 2 7" xfId="7871"/>
    <cellStyle name="40% - 强调文字颜色 6 4 2 8" xfId="7872"/>
    <cellStyle name="40% - 强调文字颜色 6 4 2 9" xfId="7873"/>
    <cellStyle name="40% - 强调文字颜色 6 4 20" xfId="7874"/>
    <cellStyle name="40% - 强调文字颜色 6 4 21" xfId="7875"/>
    <cellStyle name="40% - 强调文字颜色 6 4 22" xfId="7876"/>
    <cellStyle name="40% - 强调文字颜色 6 4 23" xfId="7877"/>
    <cellStyle name="40% - 强调文字颜色 6 4 24" xfId="7878"/>
    <cellStyle name="40% - 强调文字颜色 6 4 25" xfId="7879"/>
    <cellStyle name="40% - 强调文字颜色 6 4 26" xfId="7880"/>
    <cellStyle name="40% - 强调文字颜色 6 4 27" xfId="7881"/>
    <cellStyle name="40% - 强调文字颜色 6 4 28" xfId="7882"/>
    <cellStyle name="40% - 强调文字颜色 6 4 3" xfId="7883"/>
    <cellStyle name="40% - 强调文字颜色 6 4 4" xfId="7884"/>
    <cellStyle name="40% - 强调文字颜色 6 4 5" xfId="7885"/>
    <cellStyle name="40% - 强调文字颜色 6 4 6" xfId="7886"/>
    <cellStyle name="40% - 强调文字颜色 6 4 7" xfId="7887"/>
    <cellStyle name="40% - 强调文字颜色 6 4 8" xfId="7888"/>
    <cellStyle name="40% - 强调文字颜色 6 4 9" xfId="7889"/>
    <cellStyle name="40% - 强调文字颜色 6 40" xfId="7890"/>
    <cellStyle name="40% - 强调文字颜色 6 5" xfId="7891"/>
    <cellStyle name="40% - 强调文字颜色 6 5 10" xfId="7892"/>
    <cellStyle name="40% - 强调文字颜色 6 5 11" xfId="7893"/>
    <cellStyle name="40% - 强调文字颜色 6 5 12" xfId="7894"/>
    <cellStyle name="40% - 强调文字颜色 6 5 13" xfId="7895"/>
    <cellStyle name="40% - 强调文字颜色 6 5 14" xfId="7896"/>
    <cellStyle name="40% - 强调文字颜色 6 5 15" xfId="7897"/>
    <cellStyle name="40% - 强调文字颜色 6 5 16" xfId="7898"/>
    <cellStyle name="40% - 强调文字颜色 6 5 17" xfId="7899"/>
    <cellStyle name="40% - 强调文字颜色 6 5 18" xfId="7900"/>
    <cellStyle name="40% - 强调文字颜色 6 5 19" xfId="7901"/>
    <cellStyle name="40% - 强调文字颜色 6 5 2" xfId="7902"/>
    <cellStyle name="40% - 强调文字颜色 6 5 2 10" xfId="7903"/>
    <cellStyle name="40% - 强调文字颜色 6 5 2 11" xfId="7904"/>
    <cellStyle name="40% - 强调文字颜色 6 5 2 12" xfId="7905"/>
    <cellStyle name="40% - 强调文字颜色 6 5 2 13" xfId="7906"/>
    <cellStyle name="40% - 强调文字颜色 6 5 2 14" xfId="7907"/>
    <cellStyle name="40% - 强调文字颜色 6 5 2 15" xfId="7908"/>
    <cellStyle name="40% - 强调文字颜色 6 5 2 16" xfId="7909"/>
    <cellStyle name="40% - 强调文字颜色 6 5 2 17" xfId="7910"/>
    <cellStyle name="40% - 强调文字颜色 6 5 2 18" xfId="7911"/>
    <cellStyle name="40% - 强调文字颜色 6 5 2 19" xfId="7912"/>
    <cellStyle name="40% - 强调文字颜色 6 5 2 2" xfId="7913"/>
    <cellStyle name="40% - 强调文字颜色 6 5 2 20" xfId="7914"/>
    <cellStyle name="40% - 强调文字颜色 6 5 2 21" xfId="7915"/>
    <cellStyle name="40% - 强调文字颜色 6 5 2 22" xfId="7916"/>
    <cellStyle name="40% - 强调文字颜色 6 5 2 23" xfId="7917"/>
    <cellStyle name="40% - 强调文字颜色 6 5 2 24" xfId="7918"/>
    <cellStyle name="40% - 强调文字颜色 6 5 2 25" xfId="7919"/>
    <cellStyle name="40% - 强调文字颜色 6 5 2 26" xfId="7920"/>
    <cellStyle name="40% - 强调文字颜色 6 5 2 27" xfId="7921"/>
    <cellStyle name="40% - 强调文字颜色 6 5 2 3" xfId="7922"/>
    <cellStyle name="40% - 强调文字颜色 6 5 2 4" xfId="7923"/>
    <cellStyle name="40% - 强调文字颜色 6 5 2 5" xfId="7924"/>
    <cellStyle name="40% - 强调文字颜色 6 5 2 6" xfId="7925"/>
    <cellStyle name="40% - 强调文字颜色 6 5 2 7" xfId="7926"/>
    <cellStyle name="40% - 强调文字颜色 6 5 2 8" xfId="7927"/>
    <cellStyle name="40% - 强调文字颜色 6 5 2 9" xfId="7928"/>
    <cellStyle name="40% - 强调文字颜色 6 5 20" xfId="7929"/>
    <cellStyle name="40% - 强调文字颜色 6 5 21" xfId="7930"/>
    <cellStyle name="40% - 强调文字颜色 6 5 22" xfId="7931"/>
    <cellStyle name="40% - 强调文字颜色 6 5 23" xfId="7932"/>
    <cellStyle name="40% - 强调文字颜色 6 5 24" xfId="7933"/>
    <cellStyle name="40% - 强调文字颜色 6 5 25" xfId="7934"/>
    <cellStyle name="40% - 强调文字颜色 6 5 26" xfId="7935"/>
    <cellStyle name="40% - 强调文字颜色 6 5 27" xfId="7936"/>
    <cellStyle name="40% - 强调文字颜色 6 5 28" xfId="7937"/>
    <cellStyle name="40% - 强调文字颜色 6 5 3" xfId="7938"/>
    <cellStyle name="40% - 强调文字颜色 6 5 4" xfId="7939"/>
    <cellStyle name="40% - 强调文字颜色 6 5 5" xfId="7940"/>
    <cellStyle name="40% - 强调文字颜色 6 5 6" xfId="7941"/>
    <cellStyle name="40% - 强调文字颜色 6 5 7" xfId="7942"/>
    <cellStyle name="40% - 强调文字颜色 6 5 8" xfId="7943"/>
    <cellStyle name="40% - 强调文字颜色 6 5 9" xfId="7944"/>
    <cellStyle name="40% - 强调文字颜色 6 6" xfId="7945"/>
    <cellStyle name="40% - 强调文字颜色 6 6 10" xfId="7946"/>
    <cellStyle name="40% - 强调文字颜色 6 6 11" xfId="7947"/>
    <cellStyle name="40% - 强调文字颜色 6 6 12" xfId="7948"/>
    <cellStyle name="40% - 强调文字颜色 6 6 13" xfId="7949"/>
    <cellStyle name="40% - 强调文字颜色 6 6 14" xfId="7950"/>
    <cellStyle name="40% - 强调文字颜色 6 6 15" xfId="7951"/>
    <cellStyle name="40% - 强调文字颜色 6 6 16" xfId="7952"/>
    <cellStyle name="40% - 强调文字颜色 6 6 17" xfId="7953"/>
    <cellStyle name="40% - 强调文字颜色 6 6 18" xfId="7954"/>
    <cellStyle name="40% - 强调文字颜色 6 6 19" xfId="7955"/>
    <cellStyle name="40% - 强调文字颜色 6 6 2" xfId="7956"/>
    <cellStyle name="40% - 强调文字颜色 6 6 2 10" xfId="7957"/>
    <cellStyle name="40% - 强调文字颜色 6 6 2 11" xfId="7958"/>
    <cellStyle name="40% - 强调文字颜色 6 6 2 12" xfId="7959"/>
    <cellStyle name="40% - 强调文字颜色 6 6 2 13" xfId="7960"/>
    <cellStyle name="40% - 强调文字颜色 6 6 2 14" xfId="7961"/>
    <cellStyle name="40% - 强调文字颜色 6 6 2 15" xfId="7962"/>
    <cellStyle name="40% - 强调文字颜色 6 6 2 16" xfId="7963"/>
    <cellStyle name="40% - 强调文字颜色 6 6 2 17" xfId="7964"/>
    <cellStyle name="40% - 强调文字颜色 6 6 2 18" xfId="7965"/>
    <cellStyle name="40% - 强调文字颜色 6 6 2 19" xfId="7966"/>
    <cellStyle name="40% - 强调文字颜色 6 6 2 2" xfId="7967"/>
    <cellStyle name="40% - 强调文字颜色 6 6 2 20" xfId="7968"/>
    <cellStyle name="40% - 强调文字颜色 6 6 2 21" xfId="7969"/>
    <cellStyle name="40% - 强调文字颜色 6 6 2 22" xfId="7970"/>
    <cellStyle name="40% - 强调文字颜色 6 6 2 23" xfId="7971"/>
    <cellStyle name="40% - 强调文字颜色 6 6 2 24" xfId="7972"/>
    <cellStyle name="40% - 强调文字颜色 6 6 2 25" xfId="7973"/>
    <cellStyle name="40% - 强调文字颜色 6 6 2 26" xfId="7974"/>
    <cellStyle name="40% - 强调文字颜色 6 6 2 27" xfId="7975"/>
    <cellStyle name="40% - 强调文字颜色 6 6 2 3" xfId="7976"/>
    <cellStyle name="40% - 强调文字颜色 6 6 2 4" xfId="7977"/>
    <cellStyle name="40% - 强调文字颜色 6 6 2 5" xfId="7978"/>
    <cellStyle name="40% - 强调文字颜色 6 6 2 6" xfId="7979"/>
    <cellStyle name="40% - 强调文字颜色 6 6 2 7" xfId="7980"/>
    <cellStyle name="40% - 强调文字颜色 6 6 2 8" xfId="7981"/>
    <cellStyle name="40% - 强调文字颜色 6 6 2 9" xfId="7982"/>
    <cellStyle name="40% - 强调文字颜色 6 6 20" xfId="7983"/>
    <cellStyle name="40% - 强调文字颜色 6 6 21" xfId="7984"/>
    <cellStyle name="40% - 强调文字颜色 6 6 22" xfId="7985"/>
    <cellStyle name="40% - 强调文字颜色 6 6 23" xfId="7986"/>
    <cellStyle name="40% - 强调文字颜色 6 6 24" xfId="7987"/>
    <cellStyle name="40% - 强调文字颜色 6 6 25" xfId="7988"/>
    <cellStyle name="40% - 强调文字颜色 6 6 26" xfId="7989"/>
    <cellStyle name="40% - 强调文字颜色 6 6 27" xfId="7990"/>
    <cellStyle name="40% - 强调文字颜色 6 6 28" xfId="7991"/>
    <cellStyle name="40% - 强调文字颜色 6 6 3" xfId="7992"/>
    <cellStyle name="40% - 强调文字颜色 6 6 4" xfId="7993"/>
    <cellStyle name="40% - 强调文字颜色 6 6 5" xfId="7994"/>
    <cellStyle name="40% - 强调文字颜色 6 6 6" xfId="7995"/>
    <cellStyle name="40% - 强调文字颜色 6 6 7" xfId="7996"/>
    <cellStyle name="40% - 强调文字颜色 6 6 8" xfId="7997"/>
    <cellStyle name="40% - 强调文字颜色 6 6 9" xfId="7998"/>
    <cellStyle name="40% - 强调文字颜色 6 7" xfId="7999"/>
    <cellStyle name="40% - 强调文字颜色 6 7 10" xfId="8000"/>
    <cellStyle name="40% - 强调文字颜色 6 7 11" xfId="8001"/>
    <cellStyle name="40% - 强调文字颜色 6 7 12" xfId="8002"/>
    <cellStyle name="40% - 强调文字颜色 6 7 13" xfId="8003"/>
    <cellStyle name="40% - 强调文字颜色 6 7 14" xfId="8004"/>
    <cellStyle name="40% - 强调文字颜色 6 7 15" xfId="8005"/>
    <cellStyle name="40% - 强调文字颜色 6 7 16" xfId="8006"/>
    <cellStyle name="40% - 强调文字颜色 6 7 17" xfId="8007"/>
    <cellStyle name="40% - 强调文字颜色 6 7 18" xfId="8008"/>
    <cellStyle name="40% - 强调文字颜色 6 7 19" xfId="8009"/>
    <cellStyle name="40% - 强调文字颜色 6 7 2" xfId="8010"/>
    <cellStyle name="40% - 强调文字颜色 6 7 2 10" xfId="8011"/>
    <cellStyle name="40% - 强调文字颜色 6 7 2 11" xfId="8012"/>
    <cellStyle name="40% - 强调文字颜色 6 7 2 12" xfId="8013"/>
    <cellStyle name="40% - 强调文字颜色 6 7 2 13" xfId="8014"/>
    <cellStyle name="40% - 强调文字颜色 6 7 2 14" xfId="8015"/>
    <cellStyle name="40% - 强调文字颜色 6 7 2 15" xfId="8016"/>
    <cellStyle name="40% - 强调文字颜色 6 7 2 16" xfId="8017"/>
    <cellStyle name="40% - 强调文字颜色 6 7 2 17" xfId="8018"/>
    <cellStyle name="40% - 强调文字颜色 6 7 2 18" xfId="8019"/>
    <cellStyle name="40% - 强调文字颜色 6 7 2 19" xfId="8020"/>
    <cellStyle name="40% - 强调文字颜色 6 7 2 2" xfId="8021"/>
    <cellStyle name="40% - 强调文字颜色 6 7 2 20" xfId="8022"/>
    <cellStyle name="40% - 强调文字颜色 6 7 2 21" xfId="8023"/>
    <cellStyle name="40% - 强调文字颜色 6 7 2 22" xfId="8024"/>
    <cellStyle name="40% - 强调文字颜色 6 7 2 23" xfId="8025"/>
    <cellStyle name="40% - 强调文字颜色 6 7 2 24" xfId="8026"/>
    <cellStyle name="40% - 强调文字颜色 6 7 2 25" xfId="8027"/>
    <cellStyle name="40% - 强调文字颜色 6 7 2 26" xfId="8028"/>
    <cellStyle name="40% - 强调文字颜色 6 7 2 27" xfId="8029"/>
    <cellStyle name="40% - 强调文字颜色 6 7 2 3" xfId="8030"/>
    <cellStyle name="40% - 强调文字颜色 6 7 2 4" xfId="8031"/>
    <cellStyle name="40% - 强调文字颜色 6 7 2 5" xfId="8032"/>
    <cellStyle name="40% - 强调文字颜色 6 7 2 6" xfId="8033"/>
    <cellStyle name="40% - 强调文字颜色 6 7 2 7" xfId="8034"/>
    <cellStyle name="40% - 强调文字颜色 6 7 2 8" xfId="8035"/>
    <cellStyle name="40% - 强调文字颜色 6 7 2 9" xfId="8036"/>
    <cellStyle name="40% - 强调文字颜色 6 7 20" xfId="8037"/>
    <cellStyle name="40% - 强调文字颜色 6 7 21" xfId="8038"/>
    <cellStyle name="40% - 强调文字颜色 6 7 22" xfId="8039"/>
    <cellStyle name="40% - 强调文字颜色 6 7 23" xfId="8040"/>
    <cellStyle name="40% - 强调文字颜色 6 7 24" xfId="8041"/>
    <cellStyle name="40% - 强调文字颜色 6 7 25" xfId="8042"/>
    <cellStyle name="40% - 强调文字颜色 6 7 26" xfId="8043"/>
    <cellStyle name="40% - 强调文字颜色 6 7 27" xfId="8044"/>
    <cellStyle name="40% - 强调文字颜色 6 7 28" xfId="8045"/>
    <cellStyle name="40% - 强调文字颜色 6 7 3" xfId="8046"/>
    <cellStyle name="40% - 强调文字颜色 6 7 4" xfId="8047"/>
    <cellStyle name="40% - 强调文字颜色 6 7 5" xfId="8048"/>
    <cellStyle name="40% - 强调文字颜色 6 7 6" xfId="8049"/>
    <cellStyle name="40% - 强调文字颜色 6 7 7" xfId="8050"/>
    <cellStyle name="40% - 强调文字颜色 6 7 8" xfId="8051"/>
    <cellStyle name="40% - 强调文字颜色 6 7 9" xfId="8052"/>
    <cellStyle name="40% - 强调文字颜色 6 8" xfId="8053"/>
    <cellStyle name="40% - 强调文字颜色 6 8 10" xfId="8054"/>
    <cellStyle name="40% - 强调文字颜色 6 8 11" xfId="8055"/>
    <cellStyle name="40% - 强调文字颜色 6 8 12" xfId="8056"/>
    <cellStyle name="40% - 强调文字颜色 6 8 13" xfId="8057"/>
    <cellStyle name="40% - 强调文字颜色 6 8 14" xfId="8058"/>
    <cellStyle name="40% - 强调文字颜色 6 8 15" xfId="8059"/>
    <cellStyle name="40% - 强调文字颜色 6 8 16" xfId="8060"/>
    <cellStyle name="40% - 强调文字颜色 6 8 17" xfId="8061"/>
    <cellStyle name="40% - 强调文字颜色 6 8 18" xfId="8062"/>
    <cellStyle name="40% - 强调文字颜色 6 8 19" xfId="8063"/>
    <cellStyle name="40% - 强调文字颜色 6 8 2" xfId="8064"/>
    <cellStyle name="40% - 强调文字颜色 6 8 2 10" xfId="8065"/>
    <cellStyle name="40% - 强调文字颜色 6 8 2 11" xfId="8066"/>
    <cellStyle name="40% - 强调文字颜色 6 8 2 12" xfId="8067"/>
    <cellStyle name="40% - 强调文字颜色 6 8 2 13" xfId="8068"/>
    <cellStyle name="40% - 强调文字颜色 6 8 2 14" xfId="8069"/>
    <cellStyle name="40% - 强调文字颜色 6 8 2 15" xfId="8070"/>
    <cellStyle name="40% - 强调文字颜色 6 8 2 16" xfId="8071"/>
    <cellStyle name="40% - 强调文字颜色 6 8 2 17" xfId="8072"/>
    <cellStyle name="40% - 强调文字颜色 6 8 2 18" xfId="8073"/>
    <cellStyle name="40% - 强调文字颜色 6 8 2 19" xfId="8074"/>
    <cellStyle name="40% - 强调文字颜色 6 8 2 2" xfId="8075"/>
    <cellStyle name="40% - 强调文字颜色 6 8 2 20" xfId="8076"/>
    <cellStyle name="40% - 强调文字颜色 6 8 2 21" xfId="8077"/>
    <cellStyle name="40% - 强调文字颜色 6 8 2 22" xfId="8078"/>
    <cellStyle name="40% - 强调文字颜色 6 8 2 23" xfId="8079"/>
    <cellStyle name="40% - 强调文字颜色 6 8 2 24" xfId="8080"/>
    <cellStyle name="40% - 强调文字颜色 6 8 2 25" xfId="8081"/>
    <cellStyle name="40% - 强调文字颜色 6 8 2 26" xfId="8082"/>
    <cellStyle name="40% - 强调文字颜色 6 8 2 27" xfId="8083"/>
    <cellStyle name="40% - 强调文字颜色 6 8 2 3" xfId="8084"/>
    <cellStyle name="40% - 强调文字颜色 6 8 2 4" xfId="8085"/>
    <cellStyle name="40% - 强调文字颜色 6 8 2 5" xfId="8086"/>
    <cellStyle name="40% - 强调文字颜色 6 8 2 6" xfId="8087"/>
    <cellStyle name="40% - 强调文字颜色 6 8 2 7" xfId="8088"/>
    <cellStyle name="40% - 强调文字颜色 6 8 2 8" xfId="8089"/>
    <cellStyle name="40% - 强调文字颜色 6 8 2 9" xfId="8090"/>
    <cellStyle name="40% - 强调文字颜色 6 8 20" xfId="8091"/>
    <cellStyle name="40% - 强调文字颜色 6 8 21" xfId="8092"/>
    <cellStyle name="40% - 强调文字颜色 6 8 22" xfId="8093"/>
    <cellStyle name="40% - 强调文字颜色 6 8 23" xfId="8094"/>
    <cellStyle name="40% - 强调文字颜色 6 8 24" xfId="8095"/>
    <cellStyle name="40% - 强调文字颜色 6 8 25" xfId="8096"/>
    <cellStyle name="40% - 强调文字颜色 6 8 26" xfId="8097"/>
    <cellStyle name="40% - 强调文字颜色 6 8 27" xfId="8098"/>
    <cellStyle name="40% - 强调文字颜色 6 8 28" xfId="8099"/>
    <cellStyle name="40% - 强调文字颜色 6 8 3" xfId="8100"/>
    <cellStyle name="40% - 强调文字颜色 6 8 4" xfId="8101"/>
    <cellStyle name="40% - 强调文字颜色 6 8 5" xfId="8102"/>
    <cellStyle name="40% - 强调文字颜色 6 8 6" xfId="8103"/>
    <cellStyle name="40% - 强调文字颜色 6 8 7" xfId="8104"/>
    <cellStyle name="40% - 强调文字颜色 6 8 8" xfId="8105"/>
    <cellStyle name="40% - 强调文字颜色 6 8 9" xfId="8106"/>
    <cellStyle name="40% - 强调文字颜色 6 9" xfId="8107"/>
    <cellStyle name="40% - 强调文字颜色 6 9 10" xfId="8108"/>
    <cellStyle name="40% - 强调文字颜色 6 9 11" xfId="8109"/>
    <cellStyle name="40% - 强调文字颜色 6 9 12" xfId="8110"/>
    <cellStyle name="40% - 强调文字颜色 6 9 13" xfId="8111"/>
    <cellStyle name="40% - 强调文字颜色 6 9 14" xfId="8112"/>
    <cellStyle name="40% - 强调文字颜色 6 9 15" xfId="8113"/>
    <cellStyle name="40% - 强调文字颜色 6 9 16" xfId="8114"/>
    <cellStyle name="40% - 强调文字颜色 6 9 17" xfId="8115"/>
    <cellStyle name="40% - 强调文字颜色 6 9 18" xfId="8116"/>
    <cellStyle name="40% - 强调文字颜色 6 9 19" xfId="8117"/>
    <cellStyle name="40% - 强调文字颜色 6 9 2" xfId="8118"/>
    <cellStyle name="40% - 强调文字颜色 6 9 2 10" xfId="8119"/>
    <cellStyle name="40% - 强调文字颜色 6 9 2 11" xfId="8120"/>
    <cellStyle name="40% - 强调文字颜色 6 9 2 12" xfId="8121"/>
    <cellStyle name="40% - 强调文字颜色 6 9 2 13" xfId="8122"/>
    <cellStyle name="40% - 强调文字颜色 6 9 2 14" xfId="8123"/>
    <cellStyle name="40% - 强调文字颜色 6 9 2 15" xfId="8124"/>
    <cellStyle name="40% - 强调文字颜色 6 9 2 16" xfId="8125"/>
    <cellStyle name="40% - 强调文字颜色 6 9 2 17" xfId="8126"/>
    <cellStyle name="40% - 强调文字颜色 6 9 2 18" xfId="8127"/>
    <cellStyle name="40% - 强调文字颜色 6 9 2 19" xfId="8128"/>
    <cellStyle name="40% - 强调文字颜色 6 9 2 2" xfId="8129"/>
    <cellStyle name="40% - 强调文字颜色 6 9 2 20" xfId="8130"/>
    <cellStyle name="40% - 强调文字颜色 6 9 2 21" xfId="8131"/>
    <cellStyle name="40% - 强调文字颜色 6 9 2 22" xfId="8132"/>
    <cellStyle name="40% - 强调文字颜色 6 9 2 23" xfId="8133"/>
    <cellStyle name="40% - 强调文字颜色 6 9 2 24" xfId="8134"/>
    <cellStyle name="40% - 强调文字颜色 6 9 2 25" xfId="8135"/>
    <cellStyle name="40% - 强调文字颜色 6 9 2 26" xfId="8136"/>
    <cellStyle name="40% - 强调文字颜色 6 9 2 27" xfId="8137"/>
    <cellStyle name="40% - 强调文字颜色 6 9 2 3" xfId="8138"/>
    <cellStyle name="40% - 强调文字颜色 6 9 2 4" xfId="8139"/>
    <cellStyle name="40% - 强调文字颜色 6 9 2 5" xfId="8140"/>
    <cellStyle name="40% - 强调文字颜色 6 9 2 6" xfId="8141"/>
    <cellStyle name="40% - 强调文字颜色 6 9 2 7" xfId="8142"/>
    <cellStyle name="40% - 强调文字颜色 6 9 2 8" xfId="8143"/>
    <cellStyle name="40% - 强调文字颜色 6 9 2 9" xfId="8144"/>
    <cellStyle name="40% - 强调文字颜色 6 9 20" xfId="8145"/>
    <cellStyle name="40% - 强调文字颜色 6 9 21" xfId="8146"/>
    <cellStyle name="40% - 强调文字颜色 6 9 22" xfId="8147"/>
    <cellStyle name="40% - 强调文字颜色 6 9 23" xfId="8148"/>
    <cellStyle name="40% - 强调文字颜色 6 9 24" xfId="8149"/>
    <cellStyle name="40% - 强调文字颜色 6 9 25" xfId="8150"/>
    <cellStyle name="40% - 强调文字颜色 6 9 26" xfId="8151"/>
    <cellStyle name="40% - 强调文字颜色 6 9 27" xfId="8152"/>
    <cellStyle name="40% - 强调文字颜色 6 9 28" xfId="8153"/>
    <cellStyle name="40% - 强调文字颜色 6 9 3" xfId="8154"/>
    <cellStyle name="40% - 强调文字颜色 6 9 4" xfId="8155"/>
    <cellStyle name="40% - 强调文字颜色 6 9 5" xfId="8156"/>
    <cellStyle name="40% - 强调文字颜色 6 9 6" xfId="8157"/>
    <cellStyle name="40% - 强调文字颜色 6 9 7" xfId="8158"/>
    <cellStyle name="40% - 强调文字颜色 6 9 8" xfId="8159"/>
    <cellStyle name="40% - 强调文字颜色 6 9 9" xfId="8160"/>
    <cellStyle name="60% - 强调文字颜色 1 10" xfId="8161"/>
    <cellStyle name="60% - 强调文字颜色 1 10 10" xfId="8162"/>
    <cellStyle name="60% - 强调文字颜色 1 10 11" xfId="8163"/>
    <cellStyle name="60% - 强调文字颜色 1 10 12" xfId="8164"/>
    <cellStyle name="60% - 强调文字颜色 1 10 13" xfId="8165"/>
    <cellStyle name="60% - 强调文字颜色 1 10 14" xfId="8166"/>
    <cellStyle name="60% - 强调文字颜色 1 10 15" xfId="8167"/>
    <cellStyle name="60% - 强调文字颜色 1 10 16" xfId="8168"/>
    <cellStyle name="60% - 强调文字颜色 1 10 17" xfId="8169"/>
    <cellStyle name="60% - 强调文字颜色 1 10 18" xfId="8170"/>
    <cellStyle name="60% - 强调文字颜色 1 10 19" xfId="8171"/>
    <cellStyle name="60% - 强调文字颜色 1 10 2" xfId="8172"/>
    <cellStyle name="60% - 强调文字颜色 1 10 2 10" xfId="8173"/>
    <cellStyle name="60% - 强调文字颜色 1 10 2 11" xfId="8174"/>
    <cellStyle name="60% - 强调文字颜色 1 10 2 12" xfId="8175"/>
    <cellStyle name="60% - 强调文字颜色 1 10 2 13" xfId="8176"/>
    <cellStyle name="60% - 强调文字颜色 1 10 2 14" xfId="8177"/>
    <cellStyle name="60% - 强调文字颜色 1 10 2 15" xfId="8178"/>
    <cellStyle name="60% - 强调文字颜色 1 10 2 16" xfId="8179"/>
    <cellStyle name="60% - 强调文字颜色 1 10 2 17" xfId="8180"/>
    <cellStyle name="60% - 强调文字颜色 1 10 2 18" xfId="8181"/>
    <cellStyle name="60% - 强调文字颜色 1 10 2 19" xfId="8182"/>
    <cellStyle name="60% - 强调文字颜色 1 10 2 2" xfId="8183"/>
    <cellStyle name="60% - 强调文字颜色 1 10 2 20" xfId="8184"/>
    <cellStyle name="60% - 强调文字颜色 1 10 2 21" xfId="8185"/>
    <cellStyle name="60% - 强调文字颜色 1 10 2 22" xfId="8186"/>
    <cellStyle name="60% - 强调文字颜色 1 10 2 23" xfId="8187"/>
    <cellStyle name="60% - 强调文字颜色 1 10 2 24" xfId="8188"/>
    <cellStyle name="60% - 强调文字颜色 1 10 2 25" xfId="8189"/>
    <cellStyle name="60% - 强调文字颜色 1 10 2 26" xfId="8190"/>
    <cellStyle name="60% - 强调文字颜色 1 10 2 27" xfId="8191"/>
    <cellStyle name="60% - 强调文字颜色 1 10 2 3" xfId="8192"/>
    <cellStyle name="60% - 强调文字颜色 1 10 2 4" xfId="8193"/>
    <cellStyle name="60% - 强调文字颜色 1 10 2 5" xfId="8194"/>
    <cellStyle name="60% - 强调文字颜色 1 10 2 6" xfId="8195"/>
    <cellStyle name="60% - 强调文字颜色 1 10 2 7" xfId="8196"/>
    <cellStyle name="60% - 强调文字颜色 1 10 2 8" xfId="8197"/>
    <cellStyle name="60% - 强调文字颜色 1 10 2 9" xfId="8198"/>
    <cellStyle name="60% - 强调文字颜色 1 10 20" xfId="8199"/>
    <cellStyle name="60% - 强调文字颜色 1 10 21" xfId="8200"/>
    <cellStyle name="60% - 强调文字颜色 1 10 22" xfId="8201"/>
    <cellStyle name="60% - 强调文字颜色 1 10 23" xfId="8202"/>
    <cellStyle name="60% - 强调文字颜色 1 10 24" xfId="8203"/>
    <cellStyle name="60% - 强调文字颜色 1 10 25" xfId="8204"/>
    <cellStyle name="60% - 强调文字颜色 1 10 26" xfId="8205"/>
    <cellStyle name="60% - 强调文字颜色 1 10 27" xfId="8206"/>
    <cellStyle name="60% - 强调文字颜色 1 10 28" xfId="8207"/>
    <cellStyle name="60% - 强调文字颜色 1 10 3" xfId="8208"/>
    <cellStyle name="60% - 强调文字颜色 1 10 4" xfId="8209"/>
    <cellStyle name="60% - 强调文字颜色 1 10 5" xfId="8210"/>
    <cellStyle name="60% - 强调文字颜色 1 10 6" xfId="8211"/>
    <cellStyle name="60% - 强调文字颜色 1 10 7" xfId="8212"/>
    <cellStyle name="60% - 强调文字颜色 1 10 8" xfId="8213"/>
    <cellStyle name="60% - 强调文字颜色 1 10 9" xfId="8214"/>
    <cellStyle name="60% - 强调文字颜色 1 11" xfId="8215"/>
    <cellStyle name="60% - 强调文字颜色 1 11 10" xfId="8216"/>
    <cellStyle name="60% - 强调文字颜色 1 11 11" xfId="8217"/>
    <cellStyle name="60% - 强调文字颜色 1 11 12" xfId="8218"/>
    <cellStyle name="60% - 强调文字颜色 1 11 13" xfId="8219"/>
    <cellStyle name="60% - 强调文字颜色 1 11 14" xfId="8220"/>
    <cellStyle name="60% - 强调文字颜色 1 11 15" xfId="8221"/>
    <cellStyle name="60% - 强调文字颜色 1 11 16" xfId="8222"/>
    <cellStyle name="60% - 强调文字颜色 1 11 17" xfId="8223"/>
    <cellStyle name="60% - 强调文字颜色 1 11 18" xfId="8224"/>
    <cellStyle name="60% - 强调文字颜色 1 11 19" xfId="8225"/>
    <cellStyle name="60% - 强调文字颜色 1 11 2" xfId="8226"/>
    <cellStyle name="60% - 强调文字颜色 1 11 2 10" xfId="8227"/>
    <cellStyle name="60% - 强调文字颜色 1 11 2 11" xfId="8228"/>
    <cellStyle name="60% - 强调文字颜色 1 11 2 12" xfId="8229"/>
    <cellStyle name="60% - 强调文字颜色 1 11 2 13" xfId="8230"/>
    <cellStyle name="60% - 强调文字颜色 1 11 2 14" xfId="8231"/>
    <cellStyle name="60% - 强调文字颜色 1 11 2 15" xfId="8232"/>
    <cellStyle name="60% - 强调文字颜色 1 11 2 16" xfId="8233"/>
    <cellStyle name="60% - 强调文字颜色 1 11 2 17" xfId="8234"/>
    <cellStyle name="60% - 强调文字颜色 1 11 2 18" xfId="8235"/>
    <cellStyle name="60% - 强调文字颜色 1 11 2 19" xfId="8236"/>
    <cellStyle name="60% - 强调文字颜色 1 11 2 2" xfId="8237"/>
    <cellStyle name="60% - 强调文字颜色 1 11 2 20" xfId="8238"/>
    <cellStyle name="60% - 强调文字颜色 1 11 2 21" xfId="8239"/>
    <cellStyle name="60% - 强调文字颜色 1 11 2 22" xfId="8240"/>
    <cellStyle name="60% - 强调文字颜色 1 11 2 23" xfId="8241"/>
    <cellStyle name="60% - 强调文字颜色 1 11 2 24" xfId="8242"/>
    <cellStyle name="60% - 强调文字颜色 1 11 2 25" xfId="8243"/>
    <cellStyle name="60% - 强调文字颜色 1 11 2 26" xfId="8244"/>
    <cellStyle name="60% - 强调文字颜色 1 11 2 27" xfId="8245"/>
    <cellStyle name="60% - 强调文字颜色 1 11 2 3" xfId="8246"/>
    <cellStyle name="60% - 强调文字颜色 1 11 2 4" xfId="8247"/>
    <cellStyle name="60% - 强调文字颜色 1 11 2 5" xfId="8248"/>
    <cellStyle name="60% - 强调文字颜色 1 11 2 6" xfId="8249"/>
    <cellStyle name="60% - 强调文字颜色 1 11 2 7" xfId="8250"/>
    <cellStyle name="60% - 强调文字颜色 1 11 2 8" xfId="8251"/>
    <cellStyle name="60% - 强调文字颜色 1 11 2 9" xfId="8252"/>
    <cellStyle name="60% - 强调文字颜色 1 11 20" xfId="8253"/>
    <cellStyle name="60% - 强调文字颜色 1 11 21" xfId="8254"/>
    <cellStyle name="60% - 强调文字颜色 1 11 22" xfId="8255"/>
    <cellStyle name="60% - 强调文字颜色 1 11 23" xfId="8256"/>
    <cellStyle name="60% - 强调文字颜色 1 11 24" xfId="8257"/>
    <cellStyle name="60% - 强调文字颜色 1 11 25" xfId="8258"/>
    <cellStyle name="60% - 强调文字颜色 1 11 26" xfId="8259"/>
    <cellStyle name="60% - 强调文字颜色 1 11 27" xfId="8260"/>
    <cellStyle name="60% - 强调文字颜色 1 11 28" xfId="8261"/>
    <cellStyle name="60% - 强调文字颜色 1 11 3" xfId="8262"/>
    <cellStyle name="60% - 强调文字颜色 1 11 4" xfId="8263"/>
    <cellStyle name="60% - 强调文字颜色 1 11 5" xfId="8264"/>
    <cellStyle name="60% - 强调文字颜色 1 11 6" xfId="8265"/>
    <cellStyle name="60% - 强调文字颜色 1 11 7" xfId="8266"/>
    <cellStyle name="60% - 强调文字颜色 1 11 8" xfId="8267"/>
    <cellStyle name="60% - 强调文字颜色 1 11 9" xfId="8268"/>
    <cellStyle name="60% - 强调文字颜色 1 12" xfId="8269"/>
    <cellStyle name="60% - 强调文字颜色 1 13" xfId="8270"/>
    <cellStyle name="60% - 强调文字颜色 1 14" xfId="8271"/>
    <cellStyle name="60% - 强调文字颜色 1 15" xfId="8272"/>
    <cellStyle name="60% - 强调文字颜色 1 16" xfId="8273"/>
    <cellStyle name="60% - 强调文字颜色 1 17" xfId="8274"/>
    <cellStyle name="60% - 强调文字颜色 1 18" xfId="8275"/>
    <cellStyle name="60% - 强调文字颜色 1 19" xfId="8276"/>
    <cellStyle name="60% - 强调文字颜色 1 2" xfId="8277"/>
    <cellStyle name="60% - 强调文字颜色 1 2 10" xfId="8278"/>
    <cellStyle name="60% - 强调文字颜色 1 2 11" xfId="8279"/>
    <cellStyle name="60% - 强调文字颜色 1 2 12" xfId="8280"/>
    <cellStyle name="60% - 强调文字颜色 1 2 13" xfId="8281"/>
    <cellStyle name="60% - 强调文字颜色 1 2 14" xfId="8282"/>
    <cellStyle name="60% - 强调文字颜色 1 2 15" xfId="8283"/>
    <cellStyle name="60% - 强调文字颜色 1 2 16" xfId="8284"/>
    <cellStyle name="60% - 强调文字颜色 1 2 17" xfId="8285"/>
    <cellStyle name="60% - 强调文字颜色 1 2 18" xfId="8286"/>
    <cellStyle name="60% - 强调文字颜色 1 2 19" xfId="8287"/>
    <cellStyle name="60% - 强调文字颜色 1 2 2" xfId="8288"/>
    <cellStyle name="60% - 强调文字颜色 1 2 2 10" xfId="8289"/>
    <cellStyle name="60% - 强调文字颜色 1 2 2 11" xfId="8290"/>
    <cellStyle name="60% - 强调文字颜色 1 2 2 12" xfId="8291"/>
    <cellStyle name="60% - 强调文字颜色 1 2 2 13" xfId="8292"/>
    <cellStyle name="60% - 强调文字颜色 1 2 2 14" xfId="8293"/>
    <cellStyle name="60% - 强调文字颜色 1 2 2 15" xfId="8294"/>
    <cellStyle name="60% - 强调文字颜色 1 2 2 16" xfId="8295"/>
    <cellStyle name="60% - 强调文字颜色 1 2 2 17" xfId="8296"/>
    <cellStyle name="60% - 强调文字颜色 1 2 2 18" xfId="8297"/>
    <cellStyle name="60% - 强调文字颜色 1 2 2 19" xfId="8298"/>
    <cellStyle name="60% - 强调文字颜色 1 2 2 2" xfId="8299"/>
    <cellStyle name="60% - 强调文字颜色 1 2 2 2 10" xfId="8300"/>
    <cellStyle name="60% - 强调文字颜色 1 2 2 2 11" xfId="8301"/>
    <cellStyle name="60% - 强调文字颜色 1 2 2 2 12" xfId="8302"/>
    <cellStyle name="60% - 强调文字颜色 1 2 2 2 13" xfId="8303"/>
    <cellStyle name="60% - 强调文字颜色 1 2 2 2 14" xfId="8304"/>
    <cellStyle name="60% - 强调文字颜色 1 2 2 2 15" xfId="8305"/>
    <cellStyle name="60% - 强调文字颜色 1 2 2 2 16" xfId="8306"/>
    <cellStyle name="60% - 强调文字颜色 1 2 2 2 17" xfId="8307"/>
    <cellStyle name="60% - 强调文字颜色 1 2 2 2 18" xfId="8308"/>
    <cellStyle name="60% - 强调文字颜色 1 2 2 2 19" xfId="8309"/>
    <cellStyle name="60% - 强调文字颜色 1 2 2 2 2" xfId="8310"/>
    <cellStyle name="60% - 强调文字颜色 1 2 2 2 20" xfId="8311"/>
    <cellStyle name="60% - 强调文字颜色 1 2 2 2 21" xfId="8312"/>
    <cellStyle name="60% - 强调文字颜色 1 2 2 2 22" xfId="8313"/>
    <cellStyle name="60% - 强调文字颜色 1 2 2 2 23" xfId="8314"/>
    <cellStyle name="60% - 强调文字颜色 1 2 2 2 24" xfId="8315"/>
    <cellStyle name="60% - 强调文字颜色 1 2 2 2 25" xfId="8316"/>
    <cellStyle name="60% - 强调文字颜色 1 2 2 2 26" xfId="8317"/>
    <cellStyle name="60% - 强调文字颜色 1 2 2 2 27" xfId="8318"/>
    <cellStyle name="60% - 强调文字颜色 1 2 2 2 3" xfId="8319"/>
    <cellStyle name="60% - 强调文字颜色 1 2 2 2 4" xfId="8320"/>
    <cellStyle name="60% - 强调文字颜色 1 2 2 2 5" xfId="8321"/>
    <cellStyle name="60% - 强调文字颜色 1 2 2 2 6" xfId="8322"/>
    <cellStyle name="60% - 强调文字颜色 1 2 2 2 7" xfId="8323"/>
    <cellStyle name="60% - 强调文字颜色 1 2 2 2 8" xfId="8324"/>
    <cellStyle name="60% - 强调文字颜色 1 2 2 2 9" xfId="8325"/>
    <cellStyle name="60% - 强调文字颜色 1 2 2 20" xfId="8326"/>
    <cellStyle name="60% - 强调文字颜色 1 2 2 21" xfId="8327"/>
    <cellStyle name="60% - 强调文字颜色 1 2 2 22" xfId="8328"/>
    <cellStyle name="60% - 强调文字颜色 1 2 2 23" xfId="8329"/>
    <cellStyle name="60% - 强调文字颜色 1 2 2 24" xfId="8330"/>
    <cellStyle name="60% - 强调文字颜色 1 2 2 25" xfId="8331"/>
    <cellStyle name="60% - 强调文字颜色 1 2 2 26" xfId="8332"/>
    <cellStyle name="60% - 强调文字颜色 1 2 2 27" xfId="8333"/>
    <cellStyle name="60% - 强调文字颜色 1 2 2 28" xfId="8334"/>
    <cellStyle name="60% - 强调文字颜色 1 2 2 3" xfId="8335"/>
    <cellStyle name="60% - 强调文字颜色 1 2 2 4" xfId="8336"/>
    <cellStyle name="60% - 强调文字颜色 1 2 2 5" xfId="8337"/>
    <cellStyle name="60% - 强调文字颜色 1 2 2 6" xfId="8338"/>
    <cellStyle name="60% - 强调文字颜色 1 2 2 7" xfId="8339"/>
    <cellStyle name="60% - 强调文字颜色 1 2 2 8" xfId="8340"/>
    <cellStyle name="60% - 强调文字颜色 1 2 2 9" xfId="8341"/>
    <cellStyle name="60% - 强调文字颜色 1 2 20" xfId="8342"/>
    <cellStyle name="60% - 强调文字颜色 1 2 21" xfId="8343"/>
    <cellStyle name="60% - 强调文字颜色 1 2 22" xfId="8344"/>
    <cellStyle name="60% - 强调文字颜色 1 2 23" xfId="8345"/>
    <cellStyle name="60% - 强调文字颜色 1 2 24" xfId="8346"/>
    <cellStyle name="60% - 强调文字颜色 1 2 25" xfId="8347"/>
    <cellStyle name="60% - 强调文字颜色 1 2 26" xfId="8348"/>
    <cellStyle name="60% - 强调文字颜色 1 2 27" xfId="8349"/>
    <cellStyle name="60% - 强调文字颜色 1 2 28" xfId="8350"/>
    <cellStyle name="60% - 强调文字颜色 1 2 29" xfId="8351"/>
    <cellStyle name="60% - 强调文字颜色 1 2 3" xfId="8352"/>
    <cellStyle name="60% - 强调文字颜色 1 2 3 10" xfId="8353"/>
    <cellStyle name="60% - 强调文字颜色 1 2 3 11" xfId="8354"/>
    <cellStyle name="60% - 强调文字颜色 1 2 3 12" xfId="8355"/>
    <cellStyle name="60% - 强调文字颜色 1 2 3 13" xfId="8356"/>
    <cellStyle name="60% - 强调文字颜色 1 2 3 14" xfId="8357"/>
    <cellStyle name="60% - 强调文字颜色 1 2 3 15" xfId="8358"/>
    <cellStyle name="60% - 强调文字颜色 1 2 3 16" xfId="8359"/>
    <cellStyle name="60% - 强调文字颜色 1 2 3 17" xfId="8360"/>
    <cellStyle name="60% - 强调文字颜色 1 2 3 18" xfId="8361"/>
    <cellStyle name="60% - 强调文字颜色 1 2 3 19" xfId="8362"/>
    <cellStyle name="60% - 强调文字颜色 1 2 3 2" xfId="8363"/>
    <cellStyle name="60% - 强调文字颜色 1 2 3 2 10" xfId="8364"/>
    <cellStyle name="60% - 强调文字颜色 1 2 3 2 11" xfId="8365"/>
    <cellStyle name="60% - 强调文字颜色 1 2 3 2 12" xfId="8366"/>
    <cellStyle name="60% - 强调文字颜色 1 2 3 2 13" xfId="8367"/>
    <cellStyle name="60% - 强调文字颜色 1 2 3 2 14" xfId="8368"/>
    <cellStyle name="60% - 强调文字颜色 1 2 3 2 15" xfId="8369"/>
    <cellStyle name="60% - 强调文字颜色 1 2 3 2 16" xfId="8370"/>
    <cellStyle name="60% - 强调文字颜色 1 2 3 2 17" xfId="8371"/>
    <cellStyle name="60% - 强调文字颜色 1 2 3 2 18" xfId="8372"/>
    <cellStyle name="60% - 强调文字颜色 1 2 3 2 19" xfId="8373"/>
    <cellStyle name="60% - 强调文字颜色 1 2 3 2 2" xfId="8374"/>
    <cellStyle name="60% - 强调文字颜色 1 2 3 2 20" xfId="8375"/>
    <cellStyle name="60% - 强调文字颜色 1 2 3 2 21" xfId="8376"/>
    <cellStyle name="60% - 强调文字颜色 1 2 3 2 22" xfId="8377"/>
    <cellStyle name="60% - 强调文字颜色 1 2 3 2 23" xfId="8378"/>
    <cellStyle name="60% - 强调文字颜色 1 2 3 2 24" xfId="8379"/>
    <cellStyle name="60% - 强调文字颜色 1 2 3 2 25" xfId="8380"/>
    <cellStyle name="60% - 强调文字颜色 1 2 3 2 26" xfId="8381"/>
    <cellStyle name="60% - 强调文字颜色 1 2 3 2 27" xfId="8382"/>
    <cellStyle name="60% - 强调文字颜色 1 2 3 2 3" xfId="8383"/>
    <cellStyle name="60% - 强调文字颜色 1 2 3 2 4" xfId="8384"/>
    <cellStyle name="60% - 强调文字颜色 1 2 3 2 5" xfId="8385"/>
    <cellStyle name="60% - 强调文字颜色 1 2 3 2 6" xfId="8386"/>
    <cellStyle name="60% - 强调文字颜色 1 2 3 2 7" xfId="8387"/>
    <cellStyle name="60% - 强调文字颜色 1 2 3 2 8" xfId="8388"/>
    <cellStyle name="60% - 强调文字颜色 1 2 3 2 9" xfId="8389"/>
    <cellStyle name="60% - 强调文字颜色 1 2 3 20" xfId="8390"/>
    <cellStyle name="60% - 强调文字颜色 1 2 3 21" xfId="8391"/>
    <cellStyle name="60% - 强调文字颜色 1 2 3 22" xfId="8392"/>
    <cellStyle name="60% - 强调文字颜色 1 2 3 23" xfId="8393"/>
    <cellStyle name="60% - 强调文字颜色 1 2 3 24" xfId="8394"/>
    <cellStyle name="60% - 强调文字颜色 1 2 3 25" xfId="8395"/>
    <cellStyle name="60% - 强调文字颜色 1 2 3 26" xfId="8396"/>
    <cellStyle name="60% - 强调文字颜色 1 2 3 27" xfId="8397"/>
    <cellStyle name="60% - 强调文字颜色 1 2 3 28" xfId="8398"/>
    <cellStyle name="60% - 强调文字颜色 1 2 3 3" xfId="8399"/>
    <cellStyle name="60% - 强调文字颜色 1 2 3 4" xfId="8400"/>
    <cellStyle name="60% - 强调文字颜色 1 2 3 5" xfId="8401"/>
    <cellStyle name="60% - 强调文字颜色 1 2 3 6" xfId="8402"/>
    <cellStyle name="60% - 强调文字颜色 1 2 3 7" xfId="8403"/>
    <cellStyle name="60% - 强调文字颜色 1 2 3 8" xfId="8404"/>
    <cellStyle name="60% - 强调文字颜色 1 2 3 9" xfId="8405"/>
    <cellStyle name="60% - 强调文字颜色 1 2 30" xfId="8406"/>
    <cellStyle name="60% - 强调文字颜色 1 2 31" xfId="8407"/>
    <cellStyle name="60% - 强调文字颜色 1 2 32" xfId="8408"/>
    <cellStyle name="60% - 强调文字颜色 1 2 33" xfId="8409"/>
    <cellStyle name="60% - 强调文字颜色 1 2 4" xfId="8410"/>
    <cellStyle name="60% - 强调文字颜色 1 2 4 10" xfId="8411"/>
    <cellStyle name="60% - 强调文字颜色 1 2 4 11" xfId="8412"/>
    <cellStyle name="60% - 强调文字颜色 1 2 4 12" xfId="8413"/>
    <cellStyle name="60% - 强调文字颜色 1 2 4 13" xfId="8414"/>
    <cellStyle name="60% - 强调文字颜色 1 2 4 14" xfId="8415"/>
    <cellStyle name="60% - 强调文字颜色 1 2 4 15" xfId="8416"/>
    <cellStyle name="60% - 强调文字颜色 1 2 4 16" xfId="8417"/>
    <cellStyle name="60% - 强调文字颜色 1 2 4 17" xfId="8418"/>
    <cellStyle name="60% - 强调文字颜色 1 2 4 18" xfId="8419"/>
    <cellStyle name="60% - 强调文字颜色 1 2 4 19" xfId="8420"/>
    <cellStyle name="60% - 强调文字颜色 1 2 4 2" xfId="8421"/>
    <cellStyle name="60% - 强调文字颜色 1 2 4 20" xfId="8422"/>
    <cellStyle name="60% - 强调文字颜色 1 2 4 21" xfId="8423"/>
    <cellStyle name="60% - 强调文字颜色 1 2 4 22" xfId="8424"/>
    <cellStyle name="60% - 强调文字颜色 1 2 4 23" xfId="8425"/>
    <cellStyle name="60% - 强调文字颜色 1 2 4 24" xfId="8426"/>
    <cellStyle name="60% - 强调文字颜色 1 2 4 25" xfId="8427"/>
    <cellStyle name="60% - 强调文字颜色 1 2 4 26" xfId="8428"/>
    <cellStyle name="60% - 强调文字颜色 1 2 4 27" xfId="8429"/>
    <cellStyle name="60% - 强调文字颜色 1 2 4 3" xfId="8430"/>
    <cellStyle name="60% - 强调文字颜色 1 2 4 4" xfId="8431"/>
    <cellStyle name="60% - 强调文字颜色 1 2 4 5" xfId="8432"/>
    <cellStyle name="60% - 强调文字颜色 1 2 4 6" xfId="8433"/>
    <cellStyle name="60% - 强调文字颜色 1 2 4 7" xfId="8434"/>
    <cellStyle name="60% - 强调文字颜色 1 2 4 8" xfId="8435"/>
    <cellStyle name="60% - 强调文字颜色 1 2 4 9" xfId="8436"/>
    <cellStyle name="60% - 强调文字颜色 1 2 5" xfId="8437"/>
    <cellStyle name="60% - 强调文字颜色 1 2 6" xfId="8438"/>
    <cellStyle name="60% - 强调文字颜色 1 2 7" xfId="8439"/>
    <cellStyle name="60% - 强调文字颜色 1 2 8" xfId="8440"/>
    <cellStyle name="60% - 强调文字颜色 1 2 9" xfId="8441"/>
    <cellStyle name="60% - 强调文字颜色 1 20" xfId="8442"/>
    <cellStyle name="60% - 强调文字颜色 1 21" xfId="8443"/>
    <cellStyle name="60% - 强调文字颜色 1 22" xfId="8444"/>
    <cellStyle name="60% - 强调文字颜色 1 23" xfId="8445"/>
    <cellStyle name="60% - 强调文字颜色 1 24" xfId="8446"/>
    <cellStyle name="60% - 强调文字颜色 1 25" xfId="8447"/>
    <cellStyle name="60% - 强调文字颜色 1 26" xfId="8448"/>
    <cellStyle name="60% - 强调文字颜色 1 27" xfId="8449"/>
    <cellStyle name="60% - 强调文字颜色 1 28" xfId="8450"/>
    <cellStyle name="60% - 强调文字颜色 1 29" xfId="8451"/>
    <cellStyle name="60% - 强调文字颜色 1 3" xfId="8452"/>
    <cellStyle name="60% - 强调文字颜色 1 3 10" xfId="8453"/>
    <cellStyle name="60% - 强调文字颜色 1 3 11" xfId="8454"/>
    <cellStyle name="60% - 强调文字颜色 1 3 12" xfId="8455"/>
    <cellStyle name="60% - 强调文字颜色 1 3 13" xfId="8456"/>
    <cellStyle name="60% - 强调文字颜色 1 3 14" xfId="8457"/>
    <cellStyle name="60% - 强调文字颜色 1 3 15" xfId="8458"/>
    <cellStyle name="60% - 强调文字颜色 1 3 16" xfId="8459"/>
    <cellStyle name="60% - 强调文字颜色 1 3 17" xfId="8460"/>
    <cellStyle name="60% - 强调文字颜色 1 3 18" xfId="8461"/>
    <cellStyle name="60% - 强调文字颜色 1 3 19" xfId="8462"/>
    <cellStyle name="60% - 强调文字颜色 1 3 2" xfId="8463"/>
    <cellStyle name="60% - 强调文字颜色 1 3 2 10" xfId="8464"/>
    <cellStyle name="60% - 强调文字颜色 1 3 2 11" xfId="8465"/>
    <cellStyle name="60% - 强调文字颜色 1 3 2 12" xfId="8466"/>
    <cellStyle name="60% - 强调文字颜色 1 3 2 13" xfId="8467"/>
    <cellStyle name="60% - 强调文字颜色 1 3 2 14" xfId="8468"/>
    <cellStyle name="60% - 强调文字颜色 1 3 2 15" xfId="8469"/>
    <cellStyle name="60% - 强调文字颜色 1 3 2 16" xfId="8470"/>
    <cellStyle name="60% - 强调文字颜色 1 3 2 17" xfId="8471"/>
    <cellStyle name="60% - 强调文字颜色 1 3 2 18" xfId="8472"/>
    <cellStyle name="60% - 强调文字颜色 1 3 2 19" xfId="8473"/>
    <cellStyle name="60% - 强调文字颜色 1 3 2 2" xfId="8474"/>
    <cellStyle name="60% - 强调文字颜色 1 3 2 20" xfId="8475"/>
    <cellStyle name="60% - 强调文字颜色 1 3 2 21" xfId="8476"/>
    <cellStyle name="60% - 强调文字颜色 1 3 2 22" xfId="8477"/>
    <cellStyle name="60% - 强调文字颜色 1 3 2 23" xfId="8478"/>
    <cellStyle name="60% - 强调文字颜色 1 3 2 24" xfId="8479"/>
    <cellStyle name="60% - 强调文字颜色 1 3 2 25" xfId="8480"/>
    <cellStyle name="60% - 强调文字颜色 1 3 2 26" xfId="8481"/>
    <cellStyle name="60% - 强调文字颜色 1 3 2 27" xfId="8482"/>
    <cellStyle name="60% - 强调文字颜色 1 3 2 3" xfId="8483"/>
    <cellStyle name="60% - 强调文字颜色 1 3 2 4" xfId="8484"/>
    <cellStyle name="60% - 强调文字颜色 1 3 2 5" xfId="8485"/>
    <cellStyle name="60% - 强调文字颜色 1 3 2 6" xfId="8486"/>
    <cellStyle name="60% - 强调文字颜色 1 3 2 7" xfId="8487"/>
    <cellStyle name="60% - 强调文字颜色 1 3 2 8" xfId="8488"/>
    <cellStyle name="60% - 强调文字颜色 1 3 2 9" xfId="8489"/>
    <cellStyle name="60% - 强调文字颜色 1 3 20" xfId="8490"/>
    <cellStyle name="60% - 强调文字颜色 1 3 21" xfId="8491"/>
    <cellStyle name="60% - 强调文字颜色 1 3 22" xfId="8492"/>
    <cellStyle name="60% - 强调文字颜色 1 3 23" xfId="8493"/>
    <cellStyle name="60% - 强调文字颜色 1 3 24" xfId="8494"/>
    <cellStyle name="60% - 强调文字颜色 1 3 25" xfId="8495"/>
    <cellStyle name="60% - 强调文字颜色 1 3 26" xfId="8496"/>
    <cellStyle name="60% - 强调文字颜色 1 3 27" xfId="8497"/>
    <cellStyle name="60% - 强调文字颜色 1 3 28" xfId="8498"/>
    <cellStyle name="60% - 强调文字颜色 1 3 3" xfId="8499"/>
    <cellStyle name="60% - 强调文字颜色 1 3 4" xfId="8500"/>
    <cellStyle name="60% - 强调文字颜色 1 3 5" xfId="8501"/>
    <cellStyle name="60% - 强调文字颜色 1 3 6" xfId="8502"/>
    <cellStyle name="60% - 强调文字颜色 1 3 7" xfId="8503"/>
    <cellStyle name="60% - 强调文字颜色 1 3 8" xfId="8504"/>
    <cellStyle name="60% - 强调文字颜色 1 3 9" xfId="8505"/>
    <cellStyle name="60% - 强调文字颜色 1 30" xfId="8506"/>
    <cellStyle name="60% - 强调文字颜色 1 31" xfId="8507"/>
    <cellStyle name="60% - 强调文字颜色 1 32" xfId="8508"/>
    <cellStyle name="60% - 强调文字颜色 1 33" xfId="8509"/>
    <cellStyle name="60% - 强调文字颜色 1 34" xfId="8510"/>
    <cellStyle name="60% - 强调文字颜色 1 35" xfId="8511"/>
    <cellStyle name="60% - 强调文字颜色 1 36" xfId="8512"/>
    <cellStyle name="60% - 强调文字颜色 1 37" xfId="8513"/>
    <cellStyle name="60% - 强调文字颜色 1 38" xfId="8514"/>
    <cellStyle name="60% - 强调文字颜色 1 39" xfId="8515"/>
    <cellStyle name="60% - 强调文字颜色 1 4" xfId="8516"/>
    <cellStyle name="60% - 强调文字颜色 1 4 10" xfId="8517"/>
    <cellStyle name="60% - 强调文字颜色 1 4 11" xfId="8518"/>
    <cellStyle name="60% - 强调文字颜色 1 4 12" xfId="8519"/>
    <cellStyle name="60% - 强调文字颜色 1 4 13" xfId="8520"/>
    <cellStyle name="60% - 强调文字颜色 1 4 14" xfId="8521"/>
    <cellStyle name="60% - 强调文字颜色 1 4 15" xfId="8522"/>
    <cellStyle name="60% - 强调文字颜色 1 4 16" xfId="8523"/>
    <cellStyle name="60% - 强调文字颜色 1 4 17" xfId="8524"/>
    <cellStyle name="60% - 强调文字颜色 1 4 18" xfId="8525"/>
    <cellStyle name="60% - 强调文字颜色 1 4 19" xfId="8526"/>
    <cellStyle name="60% - 强调文字颜色 1 4 2" xfId="8527"/>
    <cellStyle name="60% - 强调文字颜色 1 4 2 10" xfId="8528"/>
    <cellStyle name="60% - 强调文字颜色 1 4 2 11" xfId="8529"/>
    <cellStyle name="60% - 强调文字颜色 1 4 2 12" xfId="8530"/>
    <cellStyle name="60% - 强调文字颜色 1 4 2 13" xfId="8531"/>
    <cellStyle name="60% - 强调文字颜色 1 4 2 14" xfId="8532"/>
    <cellStyle name="60% - 强调文字颜色 1 4 2 15" xfId="8533"/>
    <cellStyle name="60% - 强调文字颜色 1 4 2 16" xfId="8534"/>
    <cellStyle name="60% - 强调文字颜色 1 4 2 17" xfId="8535"/>
    <cellStyle name="60% - 强调文字颜色 1 4 2 18" xfId="8536"/>
    <cellStyle name="60% - 强调文字颜色 1 4 2 19" xfId="8537"/>
    <cellStyle name="60% - 强调文字颜色 1 4 2 2" xfId="8538"/>
    <cellStyle name="60% - 强调文字颜色 1 4 2 20" xfId="8539"/>
    <cellStyle name="60% - 强调文字颜色 1 4 2 21" xfId="8540"/>
    <cellStyle name="60% - 强调文字颜色 1 4 2 22" xfId="8541"/>
    <cellStyle name="60% - 强调文字颜色 1 4 2 23" xfId="8542"/>
    <cellStyle name="60% - 强调文字颜色 1 4 2 24" xfId="8543"/>
    <cellStyle name="60% - 强调文字颜色 1 4 2 25" xfId="8544"/>
    <cellStyle name="60% - 强调文字颜色 1 4 2 26" xfId="8545"/>
    <cellStyle name="60% - 强调文字颜色 1 4 2 27" xfId="8546"/>
    <cellStyle name="60% - 强调文字颜色 1 4 2 3" xfId="8547"/>
    <cellStyle name="60% - 强调文字颜色 1 4 2 4" xfId="8548"/>
    <cellStyle name="60% - 强调文字颜色 1 4 2 5" xfId="8549"/>
    <cellStyle name="60% - 强调文字颜色 1 4 2 6" xfId="8550"/>
    <cellStyle name="60% - 强调文字颜色 1 4 2 7" xfId="8551"/>
    <cellStyle name="60% - 强调文字颜色 1 4 2 8" xfId="8552"/>
    <cellStyle name="60% - 强调文字颜色 1 4 2 9" xfId="8553"/>
    <cellStyle name="60% - 强调文字颜色 1 4 20" xfId="8554"/>
    <cellStyle name="60% - 强调文字颜色 1 4 21" xfId="8555"/>
    <cellStyle name="60% - 强调文字颜色 1 4 22" xfId="8556"/>
    <cellStyle name="60% - 强调文字颜色 1 4 23" xfId="8557"/>
    <cellStyle name="60% - 强调文字颜色 1 4 24" xfId="8558"/>
    <cellStyle name="60% - 强调文字颜色 1 4 25" xfId="8559"/>
    <cellStyle name="60% - 强调文字颜色 1 4 26" xfId="8560"/>
    <cellStyle name="60% - 强调文字颜色 1 4 27" xfId="8561"/>
    <cellStyle name="60% - 强调文字颜色 1 4 28" xfId="8562"/>
    <cellStyle name="60% - 强调文字颜色 1 4 3" xfId="8563"/>
    <cellStyle name="60% - 强调文字颜色 1 4 4" xfId="8564"/>
    <cellStyle name="60% - 强调文字颜色 1 4 5" xfId="8565"/>
    <cellStyle name="60% - 强调文字颜色 1 4 6" xfId="8566"/>
    <cellStyle name="60% - 强调文字颜色 1 4 7" xfId="8567"/>
    <cellStyle name="60% - 强调文字颜色 1 4 8" xfId="8568"/>
    <cellStyle name="60% - 强调文字颜色 1 4 9" xfId="8569"/>
    <cellStyle name="60% - 强调文字颜色 1 40" xfId="8570"/>
    <cellStyle name="60% - 强调文字颜色 1 5" xfId="8571"/>
    <cellStyle name="60% - 强调文字颜色 1 5 10" xfId="8572"/>
    <cellStyle name="60% - 强调文字颜色 1 5 11" xfId="8573"/>
    <cellStyle name="60% - 强调文字颜色 1 5 12" xfId="8574"/>
    <cellStyle name="60% - 强调文字颜色 1 5 13" xfId="8575"/>
    <cellStyle name="60% - 强调文字颜色 1 5 14" xfId="8576"/>
    <cellStyle name="60% - 强调文字颜色 1 5 15" xfId="8577"/>
    <cellStyle name="60% - 强调文字颜色 1 5 16" xfId="8578"/>
    <cellStyle name="60% - 强调文字颜色 1 5 17" xfId="8579"/>
    <cellStyle name="60% - 强调文字颜色 1 5 18" xfId="8580"/>
    <cellStyle name="60% - 强调文字颜色 1 5 19" xfId="8581"/>
    <cellStyle name="60% - 强调文字颜色 1 5 2" xfId="8582"/>
    <cellStyle name="60% - 强调文字颜色 1 5 2 10" xfId="8583"/>
    <cellStyle name="60% - 强调文字颜色 1 5 2 11" xfId="8584"/>
    <cellStyle name="60% - 强调文字颜色 1 5 2 12" xfId="8585"/>
    <cellStyle name="60% - 强调文字颜色 1 5 2 13" xfId="8586"/>
    <cellStyle name="60% - 强调文字颜色 1 5 2 14" xfId="8587"/>
    <cellStyle name="60% - 强调文字颜色 1 5 2 15" xfId="8588"/>
    <cellStyle name="60% - 强调文字颜色 1 5 2 16" xfId="8589"/>
    <cellStyle name="60% - 强调文字颜色 1 5 2 17" xfId="8590"/>
    <cellStyle name="60% - 强调文字颜色 1 5 2 18" xfId="8591"/>
    <cellStyle name="60% - 强调文字颜色 1 5 2 19" xfId="8592"/>
    <cellStyle name="60% - 强调文字颜色 1 5 2 2" xfId="8593"/>
    <cellStyle name="60% - 强调文字颜色 1 5 2 20" xfId="8594"/>
    <cellStyle name="60% - 强调文字颜色 1 5 2 21" xfId="8595"/>
    <cellStyle name="60% - 强调文字颜色 1 5 2 22" xfId="8596"/>
    <cellStyle name="60% - 强调文字颜色 1 5 2 23" xfId="8597"/>
    <cellStyle name="60% - 强调文字颜色 1 5 2 24" xfId="8598"/>
    <cellStyle name="60% - 强调文字颜色 1 5 2 25" xfId="8599"/>
    <cellStyle name="60% - 强调文字颜色 1 5 2 26" xfId="8600"/>
    <cellStyle name="60% - 强调文字颜色 1 5 2 27" xfId="8601"/>
    <cellStyle name="60% - 强调文字颜色 1 5 2 3" xfId="8602"/>
    <cellStyle name="60% - 强调文字颜色 1 5 2 4" xfId="8603"/>
    <cellStyle name="60% - 强调文字颜色 1 5 2 5" xfId="8604"/>
    <cellStyle name="60% - 强调文字颜色 1 5 2 6" xfId="8605"/>
    <cellStyle name="60% - 强调文字颜色 1 5 2 7" xfId="8606"/>
    <cellStyle name="60% - 强调文字颜色 1 5 2 8" xfId="8607"/>
    <cellStyle name="60% - 强调文字颜色 1 5 2 9" xfId="8608"/>
    <cellStyle name="60% - 强调文字颜色 1 5 20" xfId="8609"/>
    <cellStyle name="60% - 强调文字颜色 1 5 21" xfId="8610"/>
    <cellStyle name="60% - 强调文字颜色 1 5 22" xfId="8611"/>
    <cellStyle name="60% - 强调文字颜色 1 5 23" xfId="8612"/>
    <cellStyle name="60% - 强调文字颜色 1 5 24" xfId="8613"/>
    <cellStyle name="60% - 强调文字颜色 1 5 25" xfId="8614"/>
    <cellStyle name="60% - 强调文字颜色 1 5 26" xfId="8615"/>
    <cellStyle name="60% - 强调文字颜色 1 5 27" xfId="8616"/>
    <cellStyle name="60% - 强调文字颜色 1 5 28" xfId="8617"/>
    <cellStyle name="60% - 强调文字颜色 1 5 3" xfId="8618"/>
    <cellStyle name="60% - 强调文字颜色 1 5 4" xfId="8619"/>
    <cellStyle name="60% - 强调文字颜色 1 5 5" xfId="8620"/>
    <cellStyle name="60% - 强调文字颜色 1 5 6" xfId="8621"/>
    <cellStyle name="60% - 强调文字颜色 1 5 7" xfId="8622"/>
    <cellStyle name="60% - 强调文字颜色 1 5 8" xfId="8623"/>
    <cellStyle name="60% - 强调文字颜色 1 5 9" xfId="8624"/>
    <cellStyle name="60% - 强调文字颜色 1 6" xfId="8625"/>
    <cellStyle name="60% - 强调文字颜色 1 6 10" xfId="8626"/>
    <cellStyle name="60% - 强调文字颜色 1 6 11" xfId="8627"/>
    <cellStyle name="60% - 强调文字颜色 1 6 12" xfId="8628"/>
    <cellStyle name="60% - 强调文字颜色 1 6 13" xfId="8629"/>
    <cellStyle name="60% - 强调文字颜色 1 6 14" xfId="8630"/>
    <cellStyle name="60% - 强调文字颜色 1 6 15" xfId="8631"/>
    <cellStyle name="60% - 强调文字颜色 1 6 16" xfId="8632"/>
    <cellStyle name="60% - 强调文字颜色 1 6 17" xfId="8633"/>
    <cellStyle name="60% - 强调文字颜色 1 6 18" xfId="8634"/>
    <cellStyle name="60% - 强调文字颜色 1 6 19" xfId="8635"/>
    <cellStyle name="60% - 强调文字颜色 1 6 2" xfId="8636"/>
    <cellStyle name="60% - 强调文字颜色 1 6 2 10" xfId="8637"/>
    <cellStyle name="60% - 强调文字颜色 1 6 2 11" xfId="8638"/>
    <cellStyle name="60% - 强调文字颜色 1 6 2 12" xfId="8639"/>
    <cellStyle name="60% - 强调文字颜色 1 6 2 13" xfId="8640"/>
    <cellStyle name="60% - 强调文字颜色 1 6 2 14" xfId="8641"/>
    <cellStyle name="60% - 强调文字颜色 1 6 2 15" xfId="8642"/>
    <cellStyle name="60% - 强调文字颜色 1 6 2 16" xfId="8643"/>
    <cellStyle name="60% - 强调文字颜色 1 6 2 17" xfId="8644"/>
    <cellStyle name="60% - 强调文字颜色 1 6 2 18" xfId="8645"/>
    <cellStyle name="60% - 强调文字颜色 1 6 2 19" xfId="8646"/>
    <cellStyle name="60% - 强调文字颜色 1 6 2 2" xfId="8647"/>
    <cellStyle name="60% - 强调文字颜色 1 6 2 20" xfId="8648"/>
    <cellStyle name="60% - 强调文字颜色 1 6 2 21" xfId="8649"/>
    <cellStyle name="60% - 强调文字颜色 1 6 2 22" xfId="8650"/>
    <cellStyle name="60% - 强调文字颜色 1 6 2 23" xfId="8651"/>
    <cellStyle name="60% - 强调文字颜色 1 6 2 24" xfId="8652"/>
    <cellStyle name="60% - 强调文字颜色 1 6 2 25" xfId="8653"/>
    <cellStyle name="60% - 强调文字颜色 1 6 2 26" xfId="8654"/>
    <cellStyle name="60% - 强调文字颜色 1 6 2 27" xfId="8655"/>
    <cellStyle name="60% - 强调文字颜色 1 6 2 3" xfId="8656"/>
    <cellStyle name="60% - 强调文字颜色 1 6 2 4" xfId="8657"/>
    <cellStyle name="60% - 强调文字颜色 1 6 2 5" xfId="8658"/>
    <cellStyle name="60% - 强调文字颜色 1 6 2 6" xfId="8659"/>
    <cellStyle name="60% - 强调文字颜色 1 6 2 7" xfId="8660"/>
    <cellStyle name="60% - 强调文字颜色 1 6 2 8" xfId="8661"/>
    <cellStyle name="60% - 强调文字颜色 1 6 2 9" xfId="8662"/>
    <cellStyle name="60% - 强调文字颜色 1 6 20" xfId="8663"/>
    <cellStyle name="60% - 强调文字颜色 1 6 21" xfId="8664"/>
    <cellStyle name="60% - 强调文字颜色 1 6 22" xfId="8665"/>
    <cellStyle name="60% - 强调文字颜色 1 6 23" xfId="8666"/>
    <cellStyle name="60% - 强调文字颜色 1 6 24" xfId="8667"/>
    <cellStyle name="60% - 强调文字颜色 1 6 25" xfId="8668"/>
    <cellStyle name="60% - 强调文字颜色 1 6 26" xfId="8669"/>
    <cellStyle name="60% - 强调文字颜色 1 6 27" xfId="8670"/>
    <cellStyle name="60% - 强调文字颜色 1 6 28" xfId="8671"/>
    <cellStyle name="60% - 强调文字颜色 1 6 3" xfId="8672"/>
    <cellStyle name="60% - 强调文字颜色 1 6 4" xfId="8673"/>
    <cellStyle name="60% - 强调文字颜色 1 6 5" xfId="8674"/>
    <cellStyle name="60% - 强调文字颜色 1 6 6" xfId="8675"/>
    <cellStyle name="60% - 强调文字颜色 1 6 7" xfId="8676"/>
    <cellStyle name="60% - 强调文字颜色 1 6 8" xfId="8677"/>
    <cellStyle name="60% - 强调文字颜色 1 6 9" xfId="8678"/>
    <cellStyle name="60% - 强调文字颜色 1 7" xfId="8679"/>
    <cellStyle name="60% - 强调文字颜色 1 7 10" xfId="8680"/>
    <cellStyle name="60% - 强调文字颜色 1 7 11" xfId="8681"/>
    <cellStyle name="60% - 强调文字颜色 1 7 12" xfId="8682"/>
    <cellStyle name="60% - 强调文字颜色 1 7 13" xfId="8683"/>
    <cellStyle name="60% - 强调文字颜色 1 7 14" xfId="8684"/>
    <cellStyle name="60% - 强调文字颜色 1 7 15" xfId="8685"/>
    <cellStyle name="60% - 强调文字颜色 1 7 16" xfId="8686"/>
    <cellStyle name="60% - 强调文字颜色 1 7 17" xfId="8687"/>
    <cellStyle name="60% - 强调文字颜色 1 7 18" xfId="8688"/>
    <cellStyle name="60% - 强调文字颜色 1 7 19" xfId="8689"/>
    <cellStyle name="60% - 强调文字颜色 1 7 2" xfId="8690"/>
    <cellStyle name="60% - 强调文字颜色 1 7 2 10" xfId="8691"/>
    <cellStyle name="60% - 强调文字颜色 1 7 2 11" xfId="8692"/>
    <cellStyle name="60% - 强调文字颜色 1 7 2 12" xfId="8693"/>
    <cellStyle name="60% - 强调文字颜色 1 7 2 13" xfId="8694"/>
    <cellStyle name="60% - 强调文字颜色 1 7 2 14" xfId="8695"/>
    <cellStyle name="60% - 强调文字颜色 1 7 2 15" xfId="8696"/>
    <cellStyle name="60% - 强调文字颜色 1 7 2 16" xfId="8697"/>
    <cellStyle name="60% - 强调文字颜色 1 7 2 17" xfId="8698"/>
    <cellStyle name="60% - 强调文字颜色 1 7 2 18" xfId="8699"/>
    <cellStyle name="60% - 强调文字颜色 1 7 2 19" xfId="8700"/>
    <cellStyle name="60% - 强调文字颜色 1 7 2 2" xfId="8701"/>
    <cellStyle name="60% - 强调文字颜色 1 7 2 20" xfId="8702"/>
    <cellStyle name="60% - 强调文字颜色 1 7 2 21" xfId="8703"/>
    <cellStyle name="60% - 强调文字颜色 1 7 2 22" xfId="8704"/>
    <cellStyle name="60% - 强调文字颜色 1 7 2 23" xfId="8705"/>
    <cellStyle name="60% - 强调文字颜色 1 7 2 24" xfId="8706"/>
    <cellStyle name="60% - 强调文字颜色 1 7 2 25" xfId="8707"/>
    <cellStyle name="60% - 强调文字颜色 1 7 2 26" xfId="8708"/>
    <cellStyle name="60% - 强调文字颜色 1 7 2 27" xfId="8709"/>
    <cellStyle name="60% - 强调文字颜色 1 7 2 3" xfId="8710"/>
    <cellStyle name="60% - 强调文字颜色 1 7 2 4" xfId="8711"/>
    <cellStyle name="60% - 强调文字颜色 1 7 2 5" xfId="8712"/>
    <cellStyle name="60% - 强调文字颜色 1 7 2 6" xfId="8713"/>
    <cellStyle name="60% - 强调文字颜色 1 7 2 7" xfId="8714"/>
    <cellStyle name="60% - 强调文字颜色 1 7 2 8" xfId="8715"/>
    <cellStyle name="60% - 强调文字颜色 1 7 2 9" xfId="8716"/>
    <cellStyle name="60% - 强调文字颜色 1 7 20" xfId="8717"/>
    <cellStyle name="60% - 强调文字颜色 1 7 21" xfId="8718"/>
    <cellStyle name="60% - 强调文字颜色 1 7 22" xfId="8719"/>
    <cellStyle name="60% - 强调文字颜色 1 7 23" xfId="8720"/>
    <cellStyle name="60% - 强调文字颜色 1 7 24" xfId="8721"/>
    <cellStyle name="60% - 强调文字颜色 1 7 25" xfId="8722"/>
    <cellStyle name="60% - 强调文字颜色 1 7 26" xfId="8723"/>
    <cellStyle name="60% - 强调文字颜色 1 7 27" xfId="8724"/>
    <cellStyle name="60% - 强调文字颜色 1 7 28" xfId="8725"/>
    <cellStyle name="60% - 强调文字颜色 1 7 3" xfId="8726"/>
    <cellStyle name="60% - 强调文字颜色 1 7 4" xfId="8727"/>
    <cellStyle name="60% - 强调文字颜色 1 7 5" xfId="8728"/>
    <cellStyle name="60% - 强调文字颜色 1 7 6" xfId="8729"/>
    <cellStyle name="60% - 强调文字颜色 1 7 7" xfId="8730"/>
    <cellStyle name="60% - 强调文字颜色 1 7 8" xfId="8731"/>
    <cellStyle name="60% - 强调文字颜色 1 7 9" xfId="8732"/>
    <cellStyle name="60% - 强调文字颜色 1 8" xfId="8733"/>
    <cellStyle name="60% - 强调文字颜色 1 8 10" xfId="8734"/>
    <cellStyle name="60% - 强调文字颜色 1 8 11" xfId="8735"/>
    <cellStyle name="60% - 强调文字颜色 1 8 12" xfId="8736"/>
    <cellStyle name="60% - 强调文字颜色 1 8 13" xfId="8737"/>
    <cellStyle name="60% - 强调文字颜色 1 8 14" xfId="8738"/>
    <cellStyle name="60% - 强调文字颜色 1 8 15" xfId="8739"/>
    <cellStyle name="60% - 强调文字颜色 1 8 16" xfId="8740"/>
    <cellStyle name="60% - 强调文字颜色 1 8 17" xfId="8741"/>
    <cellStyle name="60% - 强调文字颜色 1 8 18" xfId="8742"/>
    <cellStyle name="60% - 强调文字颜色 1 8 19" xfId="8743"/>
    <cellStyle name="60% - 强调文字颜色 1 8 2" xfId="8744"/>
    <cellStyle name="60% - 强调文字颜色 1 8 2 10" xfId="8745"/>
    <cellStyle name="60% - 强调文字颜色 1 8 2 11" xfId="8746"/>
    <cellStyle name="60% - 强调文字颜色 1 8 2 12" xfId="8747"/>
    <cellStyle name="60% - 强调文字颜色 1 8 2 13" xfId="8748"/>
    <cellStyle name="60% - 强调文字颜色 1 8 2 14" xfId="8749"/>
    <cellStyle name="60% - 强调文字颜色 1 8 2 15" xfId="8750"/>
    <cellStyle name="60% - 强调文字颜色 1 8 2 16" xfId="8751"/>
    <cellStyle name="60% - 强调文字颜色 1 8 2 17" xfId="8752"/>
    <cellStyle name="60% - 强调文字颜色 1 8 2 18" xfId="8753"/>
    <cellStyle name="60% - 强调文字颜色 1 8 2 19" xfId="8754"/>
    <cellStyle name="60% - 强调文字颜色 1 8 2 2" xfId="8755"/>
    <cellStyle name="60% - 强调文字颜色 1 8 2 20" xfId="8756"/>
    <cellStyle name="60% - 强调文字颜色 1 8 2 21" xfId="8757"/>
    <cellStyle name="60% - 强调文字颜色 1 8 2 22" xfId="8758"/>
    <cellStyle name="60% - 强调文字颜色 1 8 2 23" xfId="8759"/>
    <cellStyle name="60% - 强调文字颜色 1 8 2 24" xfId="8760"/>
    <cellStyle name="60% - 强调文字颜色 1 8 2 25" xfId="8761"/>
    <cellStyle name="60% - 强调文字颜色 1 8 2 26" xfId="8762"/>
    <cellStyle name="60% - 强调文字颜色 1 8 2 27" xfId="8763"/>
    <cellStyle name="60% - 强调文字颜色 1 8 2 3" xfId="8764"/>
    <cellStyle name="60% - 强调文字颜色 1 8 2 4" xfId="8765"/>
    <cellStyle name="60% - 强调文字颜色 1 8 2 5" xfId="8766"/>
    <cellStyle name="60% - 强调文字颜色 1 8 2 6" xfId="8767"/>
    <cellStyle name="60% - 强调文字颜色 1 8 2 7" xfId="8768"/>
    <cellStyle name="60% - 强调文字颜色 1 8 2 8" xfId="8769"/>
    <cellStyle name="60% - 强调文字颜色 1 8 2 9" xfId="8770"/>
    <cellStyle name="60% - 强调文字颜色 1 8 20" xfId="8771"/>
    <cellStyle name="60% - 强调文字颜色 1 8 21" xfId="8772"/>
    <cellStyle name="60% - 强调文字颜色 1 8 22" xfId="8773"/>
    <cellStyle name="60% - 强调文字颜色 1 8 23" xfId="8774"/>
    <cellStyle name="60% - 强调文字颜色 1 8 24" xfId="8775"/>
    <cellStyle name="60% - 强调文字颜色 1 8 25" xfId="8776"/>
    <cellStyle name="60% - 强调文字颜色 1 8 26" xfId="8777"/>
    <cellStyle name="60% - 强调文字颜色 1 8 27" xfId="8778"/>
    <cellStyle name="60% - 强调文字颜色 1 8 28" xfId="8779"/>
    <cellStyle name="60% - 强调文字颜色 1 8 3" xfId="8780"/>
    <cellStyle name="60% - 强调文字颜色 1 8 4" xfId="8781"/>
    <cellStyle name="60% - 强调文字颜色 1 8 5" xfId="8782"/>
    <cellStyle name="60% - 强调文字颜色 1 8 6" xfId="8783"/>
    <cellStyle name="60% - 强调文字颜色 1 8 7" xfId="8784"/>
    <cellStyle name="60% - 强调文字颜色 1 8 8" xfId="8785"/>
    <cellStyle name="60% - 强调文字颜色 1 8 9" xfId="8786"/>
    <cellStyle name="60% - 强调文字颜色 1 9" xfId="8787"/>
    <cellStyle name="60% - 强调文字颜色 1 9 10" xfId="8788"/>
    <cellStyle name="60% - 强调文字颜色 1 9 11" xfId="8789"/>
    <cellStyle name="60% - 强调文字颜色 1 9 12" xfId="8790"/>
    <cellStyle name="60% - 强调文字颜色 1 9 13" xfId="8791"/>
    <cellStyle name="60% - 强调文字颜色 1 9 14" xfId="8792"/>
    <cellStyle name="60% - 强调文字颜色 1 9 15" xfId="8793"/>
    <cellStyle name="60% - 强调文字颜色 1 9 16" xfId="8794"/>
    <cellStyle name="60% - 强调文字颜色 1 9 17" xfId="8795"/>
    <cellStyle name="60% - 强调文字颜色 1 9 18" xfId="8796"/>
    <cellStyle name="60% - 强调文字颜色 1 9 19" xfId="8797"/>
    <cellStyle name="60% - 强调文字颜色 1 9 2" xfId="8798"/>
    <cellStyle name="60% - 强调文字颜色 1 9 2 10" xfId="8799"/>
    <cellStyle name="60% - 强调文字颜色 1 9 2 11" xfId="8800"/>
    <cellStyle name="60% - 强调文字颜色 1 9 2 12" xfId="8801"/>
    <cellStyle name="60% - 强调文字颜色 1 9 2 13" xfId="8802"/>
    <cellStyle name="60% - 强调文字颜色 1 9 2 14" xfId="8803"/>
    <cellStyle name="60% - 强调文字颜色 1 9 2 15" xfId="8804"/>
    <cellStyle name="60% - 强调文字颜色 1 9 2 16" xfId="8805"/>
    <cellStyle name="60% - 强调文字颜色 1 9 2 17" xfId="8806"/>
    <cellStyle name="60% - 强调文字颜色 1 9 2 18" xfId="8807"/>
    <cellStyle name="60% - 强调文字颜色 1 9 2 19" xfId="8808"/>
    <cellStyle name="60% - 强调文字颜色 1 9 2 2" xfId="8809"/>
    <cellStyle name="60% - 强调文字颜色 1 9 2 20" xfId="8810"/>
    <cellStyle name="60% - 强调文字颜色 1 9 2 21" xfId="8811"/>
    <cellStyle name="60% - 强调文字颜色 1 9 2 22" xfId="8812"/>
    <cellStyle name="60% - 强调文字颜色 1 9 2 23" xfId="8813"/>
    <cellStyle name="60% - 强调文字颜色 1 9 2 24" xfId="8814"/>
    <cellStyle name="60% - 强调文字颜色 1 9 2 25" xfId="8815"/>
    <cellStyle name="60% - 强调文字颜色 1 9 2 26" xfId="8816"/>
    <cellStyle name="60% - 强调文字颜色 1 9 2 27" xfId="8817"/>
    <cellStyle name="60% - 强调文字颜色 1 9 2 3" xfId="8818"/>
    <cellStyle name="60% - 强调文字颜色 1 9 2 4" xfId="8819"/>
    <cellStyle name="60% - 强调文字颜色 1 9 2 5" xfId="8820"/>
    <cellStyle name="60% - 强调文字颜色 1 9 2 6" xfId="8821"/>
    <cellStyle name="60% - 强调文字颜色 1 9 2 7" xfId="8822"/>
    <cellStyle name="60% - 强调文字颜色 1 9 2 8" xfId="8823"/>
    <cellStyle name="60% - 强调文字颜色 1 9 2 9" xfId="8824"/>
    <cellStyle name="60% - 强调文字颜色 1 9 20" xfId="8825"/>
    <cellStyle name="60% - 强调文字颜色 1 9 21" xfId="8826"/>
    <cellStyle name="60% - 强调文字颜色 1 9 22" xfId="8827"/>
    <cellStyle name="60% - 强调文字颜色 1 9 23" xfId="8828"/>
    <cellStyle name="60% - 强调文字颜色 1 9 24" xfId="8829"/>
    <cellStyle name="60% - 强调文字颜色 1 9 25" xfId="8830"/>
    <cellStyle name="60% - 强调文字颜色 1 9 26" xfId="8831"/>
    <cellStyle name="60% - 强调文字颜色 1 9 27" xfId="8832"/>
    <cellStyle name="60% - 强调文字颜色 1 9 28" xfId="8833"/>
    <cellStyle name="60% - 强调文字颜色 1 9 3" xfId="8834"/>
    <cellStyle name="60% - 强调文字颜色 1 9 4" xfId="8835"/>
    <cellStyle name="60% - 强调文字颜色 1 9 5" xfId="8836"/>
    <cellStyle name="60% - 强调文字颜色 1 9 6" xfId="8837"/>
    <cellStyle name="60% - 强调文字颜色 1 9 7" xfId="8838"/>
    <cellStyle name="60% - 强调文字颜色 1 9 8" xfId="8839"/>
    <cellStyle name="60% - 强调文字颜色 1 9 9" xfId="8840"/>
    <cellStyle name="60% - 强调文字颜色 2 10" xfId="8841"/>
    <cellStyle name="60% - 强调文字颜色 2 10 10" xfId="8842"/>
    <cellStyle name="60% - 强调文字颜色 2 10 11" xfId="8843"/>
    <cellStyle name="60% - 强调文字颜色 2 10 12" xfId="8844"/>
    <cellStyle name="60% - 强调文字颜色 2 10 13" xfId="8845"/>
    <cellStyle name="60% - 强调文字颜色 2 10 14" xfId="8846"/>
    <cellStyle name="60% - 强调文字颜色 2 10 15" xfId="8847"/>
    <cellStyle name="60% - 强调文字颜色 2 10 16" xfId="8848"/>
    <cellStyle name="60% - 强调文字颜色 2 10 17" xfId="8849"/>
    <cellStyle name="60% - 强调文字颜色 2 10 18" xfId="8850"/>
    <cellStyle name="60% - 强调文字颜色 2 10 19" xfId="8851"/>
    <cellStyle name="60% - 强调文字颜色 2 10 2" xfId="8852"/>
    <cellStyle name="60% - 强调文字颜色 2 10 2 10" xfId="8853"/>
    <cellStyle name="60% - 强调文字颜色 2 10 2 11" xfId="8854"/>
    <cellStyle name="60% - 强调文字颜色 2 10 2 12" xfId="8855"/>
    <cellStyle name="60% - 强调文字颜色 2 10 2 13" xfId="8856"/>
    <cellStyle name="60% - 强调文字颜色 2 10 2 14" xfId="8857"/>
    <cellStyle name="60% - 强调文字颜色 2 10 2 15" xfId="8858"/>
    <cellStyle name="60% - 强调文字颜色 2 10 2 16" xfId="8859"/>
    <cellStyle name="60% - 强调文字颜色 2 10 2 17" xfId="8860"/>
    <cellStyle name="60% - 强调文字颜色 2 10 2 18" xfId="8861"/>
    <cellStyle name="60% - 强调文字颜色 2 10 2 19" xfId="8862"/>
    <cellStyle name="60% - 强调文字颜色 2 10 2 2" xfId="8863"/>
    <cellStyle name="60% - 强调文字颜色 2 10 2 20" xfId="8864"/>
    <cellStyle name="60% - 强调文字颜色 2 10 2 21" xfId="8865"/>
    <cellStyle name="60% - 强调文字颜色 2 10 2 22" xfId="8866"/>
    <cellStyle name="60% - 强调文字颜色 2 10 2 23" xfId="8867"/>
    <cellStyle name="60% - 强调文字颜色 2 10 2 24" xfId="8868"/>
    <cellStyle name="60% - 强调文字颜色 2 10 2 25" xfId="8869"/>
    <cellStyle name="60% - 强调文字颜色 2 10 2 26" xfId="8870"/>
    <cellStyle name="60% - 强调文字颜色 2 10 2 27" xfId="8871"/>
    <cellStyle name="60% - 强调文字颜色 2 10 2 3" xfId="8872"/>
    <cellStyle name="60% - 强调文字颜色 2 10 2 4" xfId="8873"/>
    <cellStyle name="60% - 强调文字颜色 2 10 2 5" xfId="8874"/>
    <cellStyle name="60% - 强调文字颜色 2 10 2 6" xfId="8875"/>
    <cellStyle name="60% - 强调文字颜色 2 10 2 7" xfId="8876"/>
    <cellStyle name="60% - 强调文字颜色 2 10 2 8" xfId="8877"/>
    <cellStyle name="60% - 强调文字颜色 2 10 2 9" xfId="8878"/>
    <cellStyle name="60% - 强调文字颜色 2 10 20" xfId="8879"/>
    <cellStyle name="60% - 强调文字颜色 2 10 21" xfId="8880"/>
    <cellStyle name="60% - 强调文字颜色 2 10 22" xfId="8881"/>
    <cellStyle name="60% - 强调文字颜色 2 10 23" xfId="8882"/>
    <cellStyle name="60% - 强调文字颜色 2 10 24" xfId="8883"/>
    <cellStyle name="60% - 强调文字颜色 2 10 25" xfId="8884"/>
    <cellStyle name="60% - 强调文字颜色 2 10 26" xfId="8885"/>
    <cellStyle name="60% - 强调文字颜色 2 10 27" xfId="8886"/>
    <cellStyle name="60% - 强调文字颜色 2 10 28" xfId="8887"/>
    <cellStyle name="60% - 强调文字颜色 2 10 3" xfId="8888"/>
    <cellStyle name="60% - 强调文字颜色 2 10 4" xfId="8889"/>
    <cellStyle name="60% - 强调文字颜色 2 10 5" xfId="8890"/>
    <cellStyle name="60% - 强调文字颜色 2 10 6" xfId="8891"/>
    <cellStyle name="60% - 强调文字颜色 2 10 7" xfId="8892"/>
    <cellStyle name="60% - 强调文字颜色 2 10 8" xfId="8893"/>
    <cellStyle name="60% - 强调文字颜色 2 10 9" xfId="8894"/>
    <cellStyle name="60% - 强调文字颜色 2 11" xfId="8895"/>
    <cellStyle name="60% - 强调文字颜色 2 11 10" xfId="8896"/>
    <cellStyle name="60% - 强调文字颜色 2 11 11" xfId="8897"/>
    <cellStyle name="60% - 强调文字颜色 2 11 12" xfId="8898"/>
    <cellStyle name="60% - 强调文字颜色 2 11 13" xfId="8899"/>
    <cellStyle name="60% - 强调文字颜色 2 11 14" xfId="8900"/>
    <cellStyle name="60% - 强调文字颜色 2 11 15" xfId="8901"/>
    <cellStyle name="60% - 强调文字颜色 2 11 16" xfId="8902"/>
    <cellStyle name="60% - 强调文字颜色 2 11 17" xfId="8903"/>
    <cellStyle name="60% - 强调文字颜色 2 11 18" xfId="8904"/>
    <cellStyle name="60% - 强调文字颜色 2 11 19" xfId="8905"/>
    <cellStyle name="60% - 强调文字颜色 2 11 2" xfId="8906"/>
    <cellStyle name="60% - 强调文字颜色 2 11 2 10" xfId="8907"/>
    <cellStyle name="60% - 强调文字颜色 2 11 2 11" xfId="8908"/>
    <cellStyle name="60% - 强调文字颜色 2 11 2 12" xfId="8909"/>
    <cellStyle name="60% - 强调文字颜色 2 11 2 13" xfId="8910"/>
    <cellStyle name="60% - 强调文字颜色 2 11 2 14" xfId="8911"/>
    <cellStyle name="60% - 强调文字颜色 2 11 2 15" xfId="8912"/>
    <cellStyle name="60% - 强调文字颜色 2 11 2 16" xfId="8913"/>
    <cellStyle name="60% - 强调文字颜色 2 11 2 17" xfId="8914"/>
    <cellStyle name="60% - 强调文字颜色 2 11 2 18" xfId="8915"/>
    <cellStyle name="60% - 强调文字颜色 2 11 2 19" xfId="8916"/>
    <cellStyle name="60% - 强调文字颜色 2 11 2 2" xfId="8917"/>
    <cellStyle name="60% - 强调文字颜色 2 11 2 20" xfId="8918"/>
    <cellStyle name="60% - 强调文字颜色 2 11 2 21" xfId="8919"/>
    <cellStyle name="60% - 强调文字颜色 2 11 2 22" xfId="8920"/>
    <cellStyle name="60% - 强调文字颜色 2 11 2 23" xfId="8921"/>
    <cellStyle name="60% - 强调文字颜色 2 11 2 24" xfId="8922"/>
    <cellStyle name="60% - 强调文字颜色 2 11 2 25" xfId="8923"/>
    <cellStyle name="60% - 强调文字颜色 2 11 2 26" xfId="8924"/>
    <cellStyle name="60% - 强调文字颜色 2 11 2 27" xfId="8925"/>
    <cellStyle name="60% - 强调文字颜色 2 11 2 3" xfId="8926"/>
    <cellStyle name="60% - 强调文字颜色 2 11 2 4" xfId="8927"/>
    <cellStyle name="60% - 强调文字颜色 2 11 2 5" xfId="8928"/>
    <cellStyle name="60% - 强调文字颜色 2 11 2 6" xfId="8929"/>
    <cellStyle name="60% - 强调文字颜色 2 11 2 7" xfId="8930"/>
    <cellStyle name="60% - 强调文字颜色 2 11 2 8" xfId="8931"/>
    <cellStyle name="60% - 强调文字颜色 2 11 2 9" xfId="8932"/>
    <cellStyle name="60% - 强调文字颜色 2 11 20" xfId="8933"/>
    <cellStyle name="60% - 强调文字颜色 2 11 21" xfId="8934"/>
    <cellStyle name="60% - 强调文字颜色 2 11 22" xfId="8935"/>
    <cellStyle name="60% - 强调文字颜色 2 11 23" xfId="8936"/>
    <cellStyle name="60% - 强调文字颜色 2 11 24" xfId="8937"/>
    <cellStyle name="60% - 强调文字颜色 2 11 25" xfId="8938"/>
    <cellStyle name="60% - 强调文字颜色 2 11 26" xfId="8939"/>
    <cellStyle name="60% - 强调文字颜色 2 11 27" xfId="8940"/>
    <cellStyle name="60% - 强调文字颜色 2 11 28" xfId="8941"/>
    <cellStyle name="60% - 强调文字颜色 2 11 3" xfId="8942"/>
    <cellStyle name="60% - 强调文字颜色 2 11 4" xfId="8943"/>
    <cellStyle name="60% - 强调文字颜色 2 11 5" xfId="8944"/>
    <cellStyle name="60% - 强调文字颜色 2 11 6" xfId="8945"/>
    <cellStyle name="60% - 强调文字颜色 2 11 7" xfId="8946"/>
    <cellStyle name="60% - 强调文字颜色 2 11 8" xfId="8947"/>
    <cellStyle name="60% - 强调文字颜色 2 11 9" xfId="8948"/>
    <cellStyle name="60% - 强调文字颜色 2 12" xfId="8949"/>
    <cellStyle name="60% - 强调文字颜色 2 13" xfId="8950"/>
    <cellStyle name="60% - 强调文字颜色 2 14" xfId="8951"/>
    <cellStyle name="60% - 强调文字颜色 2 15" xfId="8952"/>
    <cellStyle name="60% - 强调文字颜色 2 16" xfId="8953"/>
    <cellStyle name="60% - 强调文字颜色 2 17" xfId="8954"/>
    <cellStyle name="60% - 强调文字颜色 2 18" xfId="8955"/>
    <cellStyle name="60% - 强调文字颜色 2 19" xfId="8956"/>
    <cellStyle name="60% - 强调文字颜色 2 2" xfId="8957"/>
    <cellStyle name="60% - 强调文字颜色 2 2 10" xfId="8958"/>
    <cellStyle name="60% - 强调文字颜色 2 2 11" xfId="8959"/>
    <cellStyle name="60% - 强调文字颜色 2 2 12" xfId="8960"/>
    <cellStyle name="60% - 强调文字颜色 2 2 13" xfId="8961"/>
    <cellStyle name="60% - 强调文字颜色 2 2 14" xfId="8962"/>
    <cellStyle name="60% - 强调文字颜色 2 2 15" xfId="8963"/>
    <cellStyle name="60% - 强调文字颜色 2 2 16" xfId="8964"/>
    <cellStyle name="60% - 强调文字颜色 2 2 17" xfId="8965"/>
    <cellStyle name="60% - 强调文字颜色 2 2 18" xfId="8966"/>
    <cellStyle name="60% - 强调文字颜色 2 2 19" xfId="8967"/>
    <cellStyle name="60% - 强调文字颜色 2 2 2" xfId="8968"/>
    <cellStyle name="60% - 强调文字颜色 2 2 2 10" xfId="8969"/>
    <cellStyle name="60% - 强调文字颜色 2 2 2 11" xfId="8970"/>
    <cellStyle name="60% - 强调文字颜色 2 2 2 12" xfId="8971"/>
    <cellStyle name="60% - 强调文字颜色 2 2 2 13" xfId="8972"/>
    <cellStyle name="60% - 强调文字颜色 2 2 2 14" xfId="8973"/>
    <cellStyle name="60% - 强调文字颜色 2 2 2 15" xfId="8974"/>
    <cellStyle name="60% - 强调文字颜色 2 2 2 16" xfId="8975"/>
    <cellStyle name="60% - 强调文字颜色 2 2 2 17" xfId="8976"/>
    <cellStyle name="60% - 强调文字颜色 2 2 2 18" xfId="8977"/>
    <cellStyle name="60% - 强调文字颜色 2 2 2 19" xfId="8978"/>
    <cellStyle name="60% - 强调文字颜色 2 2 2 2" xfId="8979"/>
    <cellStyle name="60% - 强调文字颜色 2 2 2 2 10" xfId="8980"/>
    <cellStyle name="60% - 强调文字颜色 2 2 2 2 11" xfId="8981"/>
    <cellStyle name="60% - 强调文字颜色 2 2 2 2 12" xfId="8982"/>
    <cellStyle name="60% - 强调文字颜色 2 2 2 2 13" xfId="8983"/>
    <cellStyle name="60% - 强调文字颜色 2 2 2 2 14" xfId="8984"/>
    <cellStyle name="60% - 强调文字颜色 2 2 2 2 15" xfId="8985"/>
    <cellStyle name="60% - 强调文字颜色 2 2 2 2 16" xfId="8986"/>
    <cellStyle name="60% - 强调文字颜色 2 2 2 2 17" xfId="8987"/>
    <cellStyle name="60% - 强调文字颜色 2 2 2 2 18" xfId="8988"/>
    <cellStyle name="60% - 强调文字颜色 2 2 2 2 19" xfId="8989"/>
    <cellStyle name="60% - 强调文字颜色 2 2 2 2 2" xfId="8990"/>
    <cellStyle name="60% - 强调文字颜色 2 2 2 2 20" xfId="8991"/>
    <cellStyle name="60% - 强调文字颜色 2 2 2 2 21" xfId="8992"/>
    <cellStyle name="60% - 强调文字颜色 2 2 2 2 22" xfId="8993"/>
    <cellStyle name="60% - 强调文字颜色 2 2 2 2 23" xfId="8994"/>
    <cellStyle name="60% - 强调文字颜色 2 2 2 2 24" xfId="8995"/>
    <cellStyle name="60% - 强调文字颜色 2 2 2 2 25" xfId="8996"/>
    <cellStyle name="60% - 强调文字颜色 2 2 2 2 26" xfId="8997"/>
    <cellStyle name="60% - 强调文字颜色 2 2 2 2 27" xfId="8998"/>
    <cellStyle name="60% - 强调文字颜色 2 2 2 2 3" xfId="8999"/>
    <cellStyle name="60% - 强调文字颜色 2 2 2 2 4" xfId="9000"/>
    <cellStyle name="60% - 强调文字颜色 2 2 2 2 5" xfId="9001"/>
    <cellStyle name="60% - 强调文字颜色 2 2 2 2 6" xfId="9002"/>
    <cellStyle name="60% - 强调文字颜色 2 2 2 2 7" xfId="9003"/>
    <cellStyle name="60% - 强调文字颜色 2 2 2 2 8" xfId="9004"/>
    <cellStyle name="60% - 强调文字颜色 2 2 2 2 9" xfId="9005"/>
    <cellStyle name="60% - 强调文字颜色 2 2 2 20" xfId="9006"/>
    <cellStyle name="60% - 强调文字颜色 2 2 2 21" xfId="9007"/>
    <cellStyle name="60% - 强调文字颜色 2 2 2 22" xfId="9008"/>
    <cellStyle name="60% - 强调文字颜色 2 2 2 23" xfId="9009"/>
    <cellStyle name="60% - 强调文字颜色 2 2 2 24" xfId="9010"/>
    <cellStyle name="60% - 强调文字颜色 2 2 2 25" xfId="9011"/>
    <cellStyle name="60% - 强调文字颜色 2 2 2 26" xfId="9012"/>
    <cellStyle name="60% - 强调文字颜色 2 2 2 27" xfId="9013"/>
    <cellStyle name="60% - 强调文字颜色 2 2 2 28" xfId="9014"/>
    <cellStyle name="60% - 强调文字颜色 2 2 2 3" xfId="9015"/>
    <cellStyle name="60% - 强调文字颜色 2 2 2 4" xfId="9016"/>
    <cellStyle name="60% - 强调文字颜色 2 2 2 5" xfId="9017"/>
    <cellStyle name="60% - 强调文字颜色 2 2 2 6" xfId="9018"/>
    <cellStyle name="60% - 强调文字颜色 2 2 2 7" xfId="9019"/>
    <cellStyle name="60% - 强调文字颜色 2 2 2 8" xfId="9020"/>
    <cellStyle name="60% - 强调文字颜色 2 2 2 9" xfId="9021"/>
    <cellStyle name="60% - 强调文字颜色 2 2 20" xfId="9022"/>
    <cellStyle name="60% - 强调文字颜色 2 2 21" xfId="9023"/>
    <cellStyle name="60% - 强调文字颜色 2 2 22" xfId="9024"/>
    <cellStyle name="60% - 强调文字颜色 2 2 23" xfId="9025"/>
    <cellStyle name="60% - 强调文字颜色 2 2 24" xfId="9026"/>
    <cellStyle name="60% - 强调文字颜色 2 2 25" xfId="9027"/>
    <cellStyle name="60% - 强调文字颜色 2 2 26" xfId="9028"/>
    <cellStyle name="60% - 强调文字颜色 2 2 27" xfId="9029"/>
    <cellStyle name="60% - 强调文字颜色 2 2 28" xfId="9030"/>
    <cellStyle name="60% - 强调文字颜色 2 2 29" xfId="9031"/>
    <cellStyle name="60% - 强调文字颜色 2 2 3" xfId="9032"/>
    <cellStyle name="60% - 强调文字颜色 2 2 3 10" xfId="9033"/>
    <cellStyle name="60% - 强调文字颜色 2 2 3 11" xfId="9034"/>
    <cellStyle name="60% - 强调文字颜色 2 2 3 12" xfId="9035"/>
    <cellStyle name="60% - 强调文字颜色 2 2 3 13" xfId="9036"/>
    <cellStyle name="60% - 强调文字颜色 2 2 3 14" xfId="9037"/>
    <cellStyle name="60% - 强调文字颜色 2 2 3 15" xfId="9038"/>
    <cellStyle name="60% - 强调文字颜色 2 2 3 16" xfId="9039"/>
    <cellStyle name="60% - 强调文字颜色 2 2 3 17" xfId="9040"/>
    <cellStyle name="60% - 强调文字颜色 2 2 3 18" xfId="9041"/>
    <cellStyle name="60% - 强调文字颜色 2 2 3 19" xfId="9042"/>
    <cellStyle name="60% - 强调文字颜色 2 2 3 2" xfId="9043"/>
    <cellStyle name="60% - 强调文字颜色 2 2 3 2 10" xfId="9044"/>
    <cellStyle name="60% - 强调文字颜色 2 2 3 2 11" xfId="9045"/>
    <cellStyle name="60% - 强调文字颜色 2 2 3 2 12" xfId="9046"/>
    <cellStyle name="60% - 强调文字颜色 2 2 3 2 13" xfId="9047"/>
    <cellStyle name="60% - 强调文字颜色 2 2 3 2 14" xfId="9048"/>
    <cellStyle name="60% - 强调文字颜色 2 2 3 2 15" xfId="9049"/>
    <cellStyle name="60% - 强调文字颜色 2 2 3 2 16" xfId="9050"/>
    <cellStyle name="60% - 强调文字颜色 2 2 3 2 17" xfId="9051"/>
    <cellStyle name="60% - 强调文字颜色 2 2 3 2 18" xfId="9052"/>
    <cellStyle name="60% - 强调文字颜色 2 2 3 2 19" xfId="9053"/>
    <cellStyle name="60% - 强调文字颜色 2 2 3 2 2" xfId="9054"/>
    <cellStyle name="60% - 强调文字颜色 2 2 3 2 20" xfId="9055"/>
    <cellStyle name="60% - 强调文字颜色 2 2 3 2 21" xfId="9056"/>
    <cellStyle name="60% - 强调文字颜色 2 2 3 2 22" xfId="9057"/>
    <cellStyle name="60% - 强调文字颜色 2 2 3 2 23" xfId="9058"/>
    <cellStyle name="60% - 强调文字颜色 2 2 3 2 24" xfId="9059"/>
    <cellStyle name="60% - 强调文字颜色 2 2 3 2 25" xfId="9060"/>
    <cellStyle name="60% - 强调文字颜色 2 2 3 2 26" xfId="9061"/>
    <cellStyle name="60% - 强调文字颜色 2 2 3 2 27" xfId="9062"/>
    <cellStyle name="60% - 强调文字颜色 2 2 3 2 3" xfId="9063"/>
    <cellStyle name="60% - 强调文字颜色 2 2 3 2 4" xfId="9064"/>
    <cellStyle name="60% - 强调文字颜色 2 2 3 2 5" xfId="9065"/>
    <cellStyle name="60% - 强调文字颜色 2 2 3 2 6" xfId="9066"/>
    <cellStyle name="60% - 强调文字颜色 2 2 3 2 7" xfId="9067"/>
    <cellStyle name="60% - 强调文字颜色 2 2 3 2 8" xfId="9068"/>
    <cellStyle name="60% - 强调文字颜色 2 2 3 2 9" xfId="9069"/>
    <cellStyle name="60% - 强调文字颜色 2 2 3 20" xfId="9070"/>
    <cellStyle name="60% - 强调文字颜色 2 2 3 21" xfId="9071"/>
    <cellStyle name="60% - 强调文字颜色 2 2 3 22" xfId="9072"/>
    <cellStyle name="60% - 强调文字颜色 2 2 3 23" xfId="9073"/>
    <cellStyle name="60% - 强调文字颜色 2 2 3 24" xfId="9074"/>
    <cellStyle name="60% - 强调文字颜色 2 2 3 25" xfId="9075"/>
    <cellStyle name="60% - 强调文字颜色 2 2 3 26" xfId="9076"/>
    <cellStyle name="60% - 强调文字颜色 2 2 3 27" xfId="9077"/>
    <cellStyle name="60% - 强调文字颜色 2 2 3 28" xfId="9078"/>
    <cellStyle name="60% - 强调文字颜色 2 2 3 3" xfId="9079"/>
    <cellStyle name="60% - 强调文字颜色 2 2 3 4" xfId="9080"/>
    <cellStyle name="60% - 强调文字颜色 2 2 3 5" xfId="9081"/>
    <cellStyle name="60% - 强调文字颜色 2 2 3 6" xfId="9082"/>
    <cellStyle name="60% - 强调文字颜色 2 2 3 7" xfId="9083"/>
    <cellStyle name="60% - 强调文字颜色 2 2 3 8" xfId="9084"/>
    <cellStyle name="60% - 强调文字颜色 2 2 3 9" xfId="9085"/>
    <cellStyle name="60% - 强调文字颜色 2 2 30" xfId="9086"/>
    <cellStyle name="60% - 强调文字颜色 2 2 31" xfId="9087"/>
    <cellStyle name="60% - 强调文字颜色 2 2 32" xfId="9088"/>
    <cellStyle name="60% - 强调文字颜色 2 2 33" xfId="9089"/>
    <cellStyle name="60% - 强调文字颜色 2 2 4" xfId="9090"/>
    <cellStyle name="60% - 强调文字颜色 2 2 4 10" xfId="9091"/>
    <cellStyle name="60% - 强调文字颜色 2 2 4 11" xfId="9092"/>
    <cellStyle name="60% - 强调文字颜色 2 2 4 12" xfId="9093"/>
    <cellStyle name="60% - 强调文字颜色 2 2 4 13" xfId="9094"/>
    <cellStyle name="60% - 强调文字颜色 2 2 4 14" xfId="9095"/>
    <cellStyle name="60% - 强调文字颜色 2 2 4 15" xfId="9096"/>
    <cellStyle name="60% - 强调文字颜色 2 2 4 16" xfId="9097"/>
    <cellStyle name="60% - 强调文字颜色 2 2 4 17" xfId="9098"/>
    <cellStyle name="60% - 强调文字颜色 2 2 4 18" xfId="9099"/>
    <cellStyle name="60% - 强调文字颜色 2 2 4 19" xfId="9100"/>
    <cellStyle name="60% - 强调文字颜色 2 2 4 2" xfId="9101"/>
    <cellStyle name="60% - 强调文字颜色 2 2 4 20" xfId="9102"/>
    <cellStyle name="60% - 强调文字颜色 2 2 4 21" xfId="9103"/>
    <cellStyle name="60% - 强调文字颜色 2 2 4 22" xfId="9104"/>
    <cellStyle name="60% - 强调文字颜色 2 2 4 23" xfId="9105"/>
    <cellStyle name="60% - 强调文字颜色 2 2 4 24" xfId="9106"/>
    <cellStyle name="60% - 强调文字颜色 2 2 4 25" xfId="9107"/>
    <cellStyle name="60% - 强调文字颜色 2 2 4 26" xfId="9108"/>
    <cellStyle name="60% - 强调文字颜色 2 2 4 27" xfId="9109"/>
    <cellStyle name="60% - 强调文字颜色 2 2 4 3" xfId="9110"/>
    <cellStyle name="60% - 强调文字颜色 2 2 4 4" xfId="9111"/>
    <cellStyle name="60% - 强调文字颜色 2 2 4 5" xfId="9112"/>
    <cellStyle name="60% - 强调文字颜色 2 2 4 6" xfId="9113"/>
    <cellStyle name="60% - 强调文字颜色 2 2 4 7" xfId="9114"/>
    <cellStyle name="60% - 强调文字颜色 2 2 4 8" xfId="9115"/>
    <cellStyle name="60% - 强调文字颜色 2 2 4 9" xfId="9116"/>
    <cellStyle name="60% - 强调文字颜色 2 2 5" xfId="9117"/>
    <cellStyle name="60% - 强调文字颜色 2 2 6" xfId="9118"/>
    <cellStyle name="60% - 强调文字颜色 2 2 7" xfId="9119"/>
    <cellStyle name="60% - 强调文字颜色 2 2 8" xfId="9120"/>
    <cellStyle name="60% - 强调文字颜色 2 2 9" xfId="9121"/>
    <cellStyle name="60% - 强调文字颜色 2 20" xfId="9122"/>
    <cellStyle name="60% - 强调文字颜色 2 21" xfId="9123"/>
    <cellStyle name="60% - 强调文字颜色 2 22" xfId="9124"/>
    <cellStyle name="60% - 强调文字颜色 2 23" xfId="9125"/>
    <cellStyle name="60% - 强调文字颜色 2 24" xfId="9126"/>
    <cellStyle name="60% - 强调文字颜色 2 25" xfId="9127"/>
    <cellStyle name="60% - 强调文字颜色 2 26" xfId="9128"/>
    <cellStyle name="60% - 强调文字颜色 2 27" xfId="9129"/>
    <cellStyle name="60% - 强调文字颜色 2 28" xfId="9130"/>
    <cellStyle name="60% - 强调文字颜色 2 29" xfId="9131"/>
    <cellStyle name="60% - 强调文字颜色 2 3" xfId="9132"/>
    <cellStyle name="60% - 强调文字颜色 2 3 10" xfId="9133"/>
    <cellStyle name="60% - 强调文字颜色 2 3 11" xfId="9134"/>
    <cellStyle name="60% - 强调文字颜色 2 3 12" xfId="9135"/>
    <cellStyle name="60% - 强调文字颜色 2 3 13" xfId="9136"/>
    <cellStyle name="60% - 强调文字颜色 2 3 14" xfId="9137"/>
    <cellStyle name="60% - 强调文字颜色 2 3 15" xfId="9138"/>
    <cellStyle name="60% - 强调文字颜色 2 3 16" xfId="9139"/>
    <cellStyle name="60% - 强调文字颜色 2 3 17" xfId="9140"/>
    <cellStyle name="60% - 强调文字颜色 2 3 18" xfId="9141"/>
    <cellStyle name="60% - 强调文字颜色 2 3 19" xfId="9142"/>
    <cellStyle name="60% - 强调文字颜色 2 3 2" xfId="9143"/>
    <cellStyle name="60% - 强调文字颜色 2 3 2 10" xfId="9144"/>
    <cellStyle name="60% - 强调文字颜色 2 3 2 11" xfId="9145"/>
    <cellStyle name="60% - 强调文字颜色 2 3 2 12" xfId="9146"/>
    <cellStyle name="60% - 强调文字颜色 2 3 2 13" xfId="9147"/>
    <cellStyle name="60% - 强调文字颜色 2 3 2 14" xfId="9148"/>
    <cellStyle name="60% - 强调文字颜色 2 3 2 15" xfId="9149"/>
    <cellStyle name="60% - 强调文字颜色 2 3 2 16" xfId="9150"/>
    <cellStyle name="60% - 强调文字颜色 2 3 2 17" xfId="9151"/>
    <cellStyle name="60% - 强调文字颜色 2 3 2 18" xfId="9152"/>
    <cellStyle name="60% - 强调文字颜色 2 3 2 19" xfId="9153"/>
    <cellStyle name="60% - 强调文字颜色 2 3 2 2" xfId="9154"/>
    <cellStyle name="60% - 强调文字颜色 2 3 2 20" xfId="9155"/>
    <cellStyle name="60% - 强调文字颜色 2 3 2 21" xfId="9156"/>
    <cellStyle name="60% - 强调文字颜色 2 3 2 22" xfId="9157"/>
    <cellStyle name="60% - 强调文字颜色 2 3 2 23" xfId="9158"/>
    <cellStyle name="60% - 强调文字颜色 2 3 2 24" xfId="9159"/>
    <cellStyle name="60% - 强调文字颜色 2 3 2 25" xfId="9160"/>
    <cellStyle name="60% - 强调文字颜色 2 3 2 26" xfId="9161"/>
    <cellStyle name="60% - 强调文字颜色 2 3 2 27" xfId="9162"/>
    <cellStyle name="60% - 强调文字颜色 2 3 2 3" xfId="9163"/>
    <cellStyle name="60% - 强调文字颜色 2 3 2 4" xfId="9164"/>
    <cellStyle name="60% - 强调文字颜色 2 3 2 5" xfId="9165"/>
    <cellStyle name="60% - 强调文字颜色 2 3 2 6" xfId="9166"/>
    <cellStyle name="60% - 强调文字颜色 2 3 2 7" xfId="9167"/>
    <cellStyle name="60% - 强调文字颜色 2 3 2 8" xfId="9168"/>
    <cellStyle name="60% - 强调文字颜色 2 3 2 9" xfId="9169"/>
    <cellStyle name="60% - 强调文字颜色 2 3 20" xfId="9170"/>
    <cellStyle name="60% - 强调文字颜色 2 3 21" xfId="9171"/>
    <cellStyle name="60% - 强调文字颜色 2 3 22" xfId="9172"/>
    <cellStyle name="60% - 强调文字颜色 2 3 23" xfId="9173"/>
    <cellStyle name="60% - 强调文字颜色 2 3 24" xfId="9174"/>
    <cellStyle name="60% - 强调文字颜色 2 3 25" xfId="9175"/>
    <cellStyle name="60% - 强调文字颜色 2 3 26" xfId="9176"/>
    <cellStyle name="60% - 强调文字颜色 2 3 27" xfId="9177"/>
    <cellStyle name="60% - 强调文字颜色 2 3 28" xfId="9178"/>
    <cellStyle name="60% - 强调文字颜色 2 3 3" xfId="9179"/>
    <cellStyle name="60% - 强调文字颜色 2 3 4" xfId="9180"/>
    <cellStyle name="60% - 强调文字颜色 2 3 5" xfId="9181"/>
    <cellStyle name="60% - 强调文字颜色 2 3 6" xfId="9182"/>
    <cellStyle name="60% - 强调文字颜色 2 3 7" xfId="9183"/>
    <cellStyle name="60% - 强调文字颜色 2 3 8" xfId="9184"/>
    <cellStyle name="60% - 强调文字颜色 2 3 9" xfId="9185"/>
    <cellStyle name="60% - 强调文字颜色 2 30" xfId="9186"/>
    <cellStyle name="60% - 强调文字颜色 2 31" xfId="9187"/>
    <cellStyle name="60% - 强调文字颜色 2 32" xfId="9188"/>
    <cellStyle name="60% - 强调文字颜色 2 33" xfId="9189"/>
    <cellStyle name="60% - 强调文字颜色 2 34" xfId="9190"/>
    <cellStyle name="60% - 强调文字颜色 2 35" xfId="9191"/>
    <cellStyle name="60% - 强调文字颜色 2 36" xfId="9192"/>
    <cellStyle name="60% - 强调文字颜色 2 37" xfId="9193"/>
    <cellStyle name="60% - 强调文字颜色 2 38" xfId="9194"/>
    <cellStyle name="60% - 强调文字颜色 2 39" xfId="9195"/>
    <cellStyle name="60% - 强调文字颜色 2 4" xfId="9196"/>
    <cellStyle name="60% - 强调文字颜色 2 4 10" xfId="9197"/>
    <cellStyle name="60% - 强调文字颜色 2 4 11" xfId="9198"/>
    <cellStyle name="60% - 强调文字颜色 2 4 12" xfId="9199"/>
    <cellStyle name="60% - 强调文字颜色 2 4 13" xfId="9200"/>
    <cellStyle name="60% - 强调文字颜色 2 4 14" xfId="9201"/>
    <cellStyle name="60% - 强调文字颜色 2 4 15" xfId="9202"/>
    <cellStyle name="60% - 强调文字颜色 2 4 16" xfId="9203"/>
    <cellStyle name="60% - 强调文字颜色 2 4 17" xfId="9204"/>
    <cellStyle name="60% - 强调文字颜色 2 4 18" xfId="9205"/>
    <cellStyle name="60% - 强调文字颜色 2 4 19" xfId="9206"/>
    <cellStyle name="60% - 强调文字颜色 2 4 2" xfId="9207"/>
    <cellStyle name="60% - 强调文字颜色 2 4 2 10" xfId="9208"/>
    <cellStyle name="60% - 强调文字颜色 2 4 2 11" xfId="9209"/>
    <cellStyle name="60% - 强调文字颜色 2 4 2 12" xfId="9210"/>
    <cellStyle name="60% - 强调文字颜色 2 4 2 13" xfId="9211"/>
    <cellStyle name="60% - 强调文字颜色 2 4 2 14" xfId="9212"/>
    <cellStyle name="60% - 强调文字颜色 2 4 2 15" xfId="9213"/>
    <cellStyle name="60% - 强调文字颜色 2 4 2 16" xfId="9214"/>
    <cellStyle name="60% - 强调文字颜色 2 4 2 17" xfId="9215"/>
    <cellStyle name="60% - 强调文字颜色 2 4 2 18" xfId="9216"/>
    <cellStyle name="60% - 强调文字颜色 2 4 2 19" xfId="9217"/>
    <cellStyle name="60% - 强调文字颜色 2 4 2 2" xfId="9218"/>
    <cellStyle name="60% - 强调文字颜色 2 4 2 20" xfId="9219"/>
    <cellStyle name="60% - 强调文字颜色 2 4 2 21" xfId="9220"/>
    <cellStyle name="60% - 强调文字颜色 2 4 2 22" xfId="9221"/>
    <cellStyle name="60% - 强调文字颜色 2 4 2 23" xfId="9222"/>
    <cellStyle name="60% - 强调文字颜色 2 4 2 24" xfId="9223"/>
    <cellStyle name="60% - 强调文字颜色 2 4 2 25" xfId="9224"/>
    <cellStyle name="60% - 强调文字颜色 2 4 2 26" xfId="9225"/>
    <cellStyle name="60% - 强调文字颜色 2 4 2 27" xfId="9226"/>
    <cellStyle name="60% - 强调文字颜色 2 4 2 3" xfId="9227"/>
    <cellStyle name="60% - 强调文字颜色 2 4 2 4" xfId="9228"/>
    <cellStyle name="60% - 强调文字颜色 2 4 2 5" xfId="9229"/>
    <cellStyle name="60% - 强调文字颜色 2 4 2 6" xfId="9230"/>
    <cellStyle name="60% - 强调文字颜色 2 4 2 7" xfId="9231"/>
    <cellStyle name="60% - 强调文字颜色 2 4 2 8" xfId="9232"/>
    <cellStyle name="60% - 强调文字颜色 2 4 2 9" xfId="9233"/>
    <cellStyle name="60% - 强调文字颜色 2 4 20" xfId="9234"/>
    <cellStyle name="60% - 强调文字颜色 2 4 21" xfId="9235"/>
    <cellStyle name="60% - 强调文字颜色 2 4 22" xfId="9236"/>
    <cellStyle name="60% - 强调文字颜色 2 4 23" xfId="9237"/>
    <cellStyle name="60% - 强调文字颜色 2 4 24" xfId="9238"/>
    <cellStyle name="60% - 强调文字颜色 2 4 25" xfId="9239"/>
    <cellStyle name="60% - 强调文字颜色 2 4 26" xfId="9240"/>
    <cellStyle name="60% - 强调文字颜色 2 4 27" xfId="9241"/>
    <cellStyle name="60% - 强调文字颜色 2 4 28" xfId="9242"/>
    <cellStyle name="60% - 强调文字颜色 2 4 3" xfId="9243"/>
    <cellStyle name="60% - 强调文字颜色 2 4 4" xfId="9244"/>
    <cellStyle name="60% - 强调文字颜色 2 4 5" xfId="9245"/>
    <cellStyle name="60% - 强调文字颜色 2 4 6" xfId="9246"/>
    <cellStyle name="60% - 强调文字颜色 2 4 7" xfId="9247"/>
    <cellStyle name="60% - 强调文字颜色 2 4 8" xfId="9248"/>
    <cellStyle name="60% - 强调文字颜色 2 4 9" xfId="9249"/>
    <cellStyle name="60% - 强调文字颜色 2 40" xfId="9250"/>
    <cellStyle name="60% - 强调文字颜色 2 5" xfId="9251"/>
    <cellStyle name="60% - 强调文字颜色 2 5 10" xfId="9252"/>
    <cellStyle name="60% - 强调文字颜色 2 5 11" xfId="9253"/>
    <cellStyle name="60% - 强调文字颜色 2 5 12" xfId="9254"/>
    <cellStyle name="60% - 强调文字颜色 2 5 13" xfId="9255"/>
    <cellStyle name="60% - 强调文字颜色 2 5 14" xfId="9256"/>
    <cellStyle name="60% - 强调文字颜色 2 5 15" xfId="9257"/>
    <cellStyle name="60% - 强调文字颜色 2 5 16" xfId="9258"/>
    <cellStyle name="60% - 强调文字颜色 2 5 17" xfId="9259"/>
    <cellStyle name="60% - 强调文字颜色 2 5 18" xfId="9260"/>
    <cellStyle name="60% - 强调文字颜色 2 5 19" xfId="9261"/>
    <cellStyle name="60% - 强调文字颜色 2 5 2" xfId="9262"/>
    <cellStyle name="60% - 强调文字颜色 2 5 2 10" xfId="9263"/>
    <cellStyle name="60% - 强调文字颜色 2 5 2 11" xfId="9264"/>
    <cellStyle name="60% - 强调文字颜色 2 5 2 12" xfId="9265"/>
    <cellStyle name="60% - 强调文字颜色 2 5 2 13" xfId="9266"/>
    <cellStyle name="60% - 强调文字颜色 2 5 2 14" xfId="9267"/>
    <cellStyle name="60% - 强调文字颜色 2 5 2 15" xfId="9268"/>
    <cellStyle name="60% - 强调文字颜色 2 5 2 16" xfId="9269"/>
    <cellStyle name="60% - 强调文字颜色 2 5 2 17" xfId="9270"/>
    <cellStyle name="60% - 强调文字颜色 2 5 2 18" xfId="9271"/>
    <cellStyle name="60% - 强调文字颜色 2 5 2 19" xfId="9272"/>
    <cellStyle name="60% - 强调文字颜色 2 5 2 2" xfId="9273"/>
    <cellStyle name="60% - 强调文字颜色 2 5 2 20" xfId="9274"/>
    <cellStyle name="60% - 强调文字颜色 2 5 2 21" xfId="9275"/>
    <cellStyle name="60% - 强调文字颜色 2 5 2 22" xfId="9276"/>
    <cellStyle name="60% - 强调文字颜色 2 5 2 23" xfId="9277"/>
    <cellStyle name="60% - 强调文字颜色 2 5 2 24" xfId="9278"/>
    <cellStyle name="60% - 强调文字颜色 2 5 2 25" xfId="9279"/>
    <cellStyle name="60% - 强调文字颜色 2 5 2 26" xfId="9280"/>
    <cellStyle name="60% - 强调文字颜色 2 5 2 27" xfId="9281"/>
    <cellStyle name="60% - 强调文字颜色 2 5 2 3" xfId="9282"/>
    <cellStyle name="60% - 强调文字颜色 2 5 2 4" xfId="9283"/>
    <cellStyle name="60% - 强调文字颜色 2 5 2 5" xfId="9284"/>
    <cellStyle name="60% - 强调文字颜色 2 5 2 6" xfId="9285"/>
    <cellStyle name="60% - 强调文字颜色 2 5 2 7" xfId="9286"/>
    <cellStyle name="60% - 强调文字颜色 2 5 2 8" xfId="9287"/>
    <cellStyle name="60% - 强调文字颜色 2 5 2 9" xfId="9288"/>
    <cellStyle name="60% - 强调文字颜色 2 5 20" xfId="9289"/>
    <cellStyle name="60% - 强调文字颜色 2 5 21" xfId="9290"/>
    <cellStyle name="60% - 强调文字颜色 2 5 22" xfId="9291"/>
    <cellStyle name="60% - 强调文字颜色 2 5 23" xfId="9292"/>
    <cellStyle name="60% - 强调文字颜色 2 5 24" xfId="9293"/>
    <cellStyle name="60% - 强调文字颜色 2 5 25" xfId="9294"/>
    <cellStyle name="60% - 强调文字颜色 2 5 26" xfId="9295"/>
    <cellStyle name="60% - 强调文字颜色 2 5 27" xfId="9296"/>
    <cellStyle name="60% - 强调文字颜色 2 5 28" xfId="9297"/>
    <cellStyle name="60% - 强调文字颜色 2 5 3" xfId="9298"/>
    <cellStyle name="60% - 强调文字颜色 2 5 4" xfId="9299"/>
    <cellStyle name="60% - 强调文字颜色 2 5 5" xfId="9300"/>
    <cellStyle name="60% - 强调文字颜色 2 5 6" xfId="9301"/>
    <cellStyle name="60% - 强调文字颜色 2 5 7" xfId="9302"/>
    <cellStyle name="60% - 强调文字颜色 2 5 8" xfId="9303"/>
    <cellStyle name="60% - 强调文字颜色 2 5 9" xfId="9304"/>
    <cellStyle name="60% - 强调文字颜色 2 6" xfId="9305"/>
    <cellStyle name="60% - 强调文字颜色 2 6 10" xfId="9306"/>
    <cellStyle name="60% - 强调文字颜色 2 6 11" xfId="9307"/>
    <cellStyle name="60% - 强调文字颜色 2 6 12" xfId="9308"/>
    <cellStyle name="60% - 强调文字颜色 2 6 13" xfId="9309"/>
    <cellStyle name="60% - 强调文字颜色 2 6 14" xfId="9310"/>
    <cellStyle name="60% - 强调文字颜色 2 6 15" xfId="9311"/>
    <cellStyle name="60% - 强调文字颜色 2 6 16" xfId="9312"/>
    <cellStyle name="60% - 强调文字颜色 2 6 17" xfId="9313"/>
    <cellStyle name="60% - 强调文字颜色 2 6 18" xfId="9314"/>
    <cellStyle name="60% - 强调文字颜色 2 6 19" xfId="9315"/>
    <cellStyle name="60% - 强调文字颜色 2 6 2" xfId="9316"/>
    <cellStyle name="60% - 强调文字颜色 2 6 2 10" xfId="9317"/>
    <cellStyle name="60% - 强调文字颜色 2 6 2 11" xfId="9318"/>
    <cellStyle name="60% - 强调文字颜色 2 6 2 12" xfId="9319"/>
    <cellStyle name="60% - 强调文字颜色 2 6 2 13" xfId="9320"/>
    <cellStyle name="60% - 强调文字颜色 2 6 2 14" xfId="9321"/>
    <cellStyle name="60% - 强调文字颜色 2 6 2 15" xfId="9322"/>
    <cellStyle name="60% - 强调文字颜色 2 6 2 16" xfId="9323"/>
    <cellStyle name="60% - 强调文字颜色 2 6 2 17" xfId="9324"/>
    <cellStyle name="60% - 强调文字颜色 2 6 2 18" xfId="9325"/>
    <cellStyle name="60% - 强调文字颜色 2 6 2 19" xfId="9326"/>
    <cellStyle name="60% - 强调文字颜色 2 6 2 2" xfId="9327"/>
    <cellStyle name="60% - 强调文字颜色 2 6 2 20" xfId="9328"/>
    <cellStyle name="60% - 强调文字颜色 2 6 2 21" xfId="9329"/>
    <cellStyle name="60% - 强调文字颜色 2 6 2 22" xfId="9330"/>
    <cellStyle name="60% - 强调文字颜色 2 6 2 23" xfId="9331"/>
    <cellStyle name="60% - 强调文字颜色 2 6 2 24" xfId="9332"/>
    <cellStyle name="60% - 强调文字颜色 2 6 2 25" xfId="9333"/>
    <cellStyle name="60% - 强调文字颜色 2 6 2 26" xfId="9334"/>
    <cellStyle name="60% - 强调文字颜色 2 6 2 27" xfId="9335"/>
    <cellStyle name="60% - 强调文字颜色 2 6 2 3" xfId="9336"/>
    <cellStyle name="60% - 强调文字颜色 2 6 2 4" xfId="9337"/>
    <cellStyle name="60% - 强调文字颜色 2 6 2 5" xfId="9338"/>
    <cellStyle name="60% - 强调文字颜色 2 6 2 6" xfId="9339"/>
    <cellStyle name="60% - 强调文字颜色 2 6 2 7" xfId="9340"/>
    <cellStyle name="60% - 强调文字颜色 2 6 2 8" xfId="9341"/>
    <cellStyle name="60% - 强调文字颜色 2 6 2 9" xfId="9342"/>
    <cellStyle name="60% - 强调文字颜色 2 6 20" xfId="9343"/>
    <cellStyle name="60% - 强调文字颜色 2 6 21" xfId="9344"/>
    <cellStyle name="60% - 强调文字颜色 2 6 22" xfId="9345"/>
    <cellStyle name="60% - 强调文字颜色 2 6 23" xfId="9346"/>
    <cellStyle name="60% - 强调文字颜色 2 6 24" xfId="9347"/>
    <cellStyle name="60% - 强调文字颜色 2 6 25" xfId="9348"/>
    <cellStyle name="60% - 强调文字颜色 2 6 26" xfId="9349"/>
    <cellStyle name="60% - 强调文字颜色 2 6 27" xfId="9350"/>
    <cellStyle name="60% - 强调文字颜色 2 6 28" xfId="9351"/>
    <cellStyle name="60% - 强调文字颜色 2 6 3" xfId="9352"/>
    <cellStyle name="60% - 强调文字颜色 2 6 4" xfId="9353"/>
    <cellStyle name="60% - 强调文字颜色 2 6 5" xfId="9354"/>
    <cellStyle name="60% - 强调文字颜色 2 6 6" xfId="9355"/>
    <cellStyle name="60% - 强调文字颜色 2 6 7" xfId="9356"/>
    <cellStyle name="60% - 强调文字颜色 2 6 8" xfId="9357"/>
    <cellStyle name="60% - 强调文字颜色 2 6 9" xfId="9358"/>
    <cellStyle name="60% - 强调文字颜色 2 7" xfId="9359"/>
    <cellStyle name="60% - 强调文字颜色 2 7 10" xfId="9360"/>
    <cellStyle name="60% - 强调文字颜色 2 7 11" xfId="9361"/>
    <cellStyle name="60% - 强调文字颜色 2 7 12" xfId="9362"/>
    <cellStyle name="60% - 强调文字颜色 2 7 13" xfId="9363"/>
    <cellStyle name="60% - 强调文字颜色 2 7 14" xfId="9364"/>
    <cellStyle name="60% - 强调文字颜色 2 7 15" xfId="9365"/>
    <cellStyle name="60% - 强调文字颜色 2 7 16" xfId="9366"/>
    <cellStyle name="60% - 强调文字颜色 2 7 17" xfId="9367"/>
    <cellStyle name="60% - 强调文字颜色 2 7 18" xfId="9368"/>
    <cellStyle name="60% - 强调文字颜色 2 7 19" xfId="9369"/>
    <cellStyle name="60% - 强调文字颜色 2 7 2" xfId="9370"/>
    <cellStyle name="60% - 强调文字颜色 2 7 2 10" xfId="9371"/>
    <cellStyle name="60% - 强调文字颜色 2 7 2 11" xfId="9372"/>
    <cellStyle name="60% - 强调文字颜色 2 7 2 12" xfId="9373"/>
    <cellStyle name="60% - 强调文字颜色 2 7 2 13" xfId="9374"/>
    <cellStyle name="60% - 强调文字颜色 2 7 2 14" xfId="9375"/>
    <cellStyle name="60% - 强调文字颜色 2 7 2 15" xfId="9376"/>
    <cellStyle name="60% - 强调文字颜色 2 7 2 16" xfId="9377"/>
    <cellStyle name="60% - 强调文字颜色 2 7 2 17" xfId="9378"/>
    <cellStyle name="60% - 强调文字颜色 2 7 2 18" xfId="9379"/>
    <cellStyle name="60% - 强调文字颜色 2 7 2 19" xfId="9380"/>
    <cellStyle name="60% - 强调文字颜色 2 7 2 2" xfId="9381"/>
    <cellStyle name="60% - 强调文字颜色 2 7 2 20" xfId="9382"/>
    <cellStyle name="60% - 强调文字颜色 2 7 2 21" xfId="9383"/>
    <cellStyle name="60% - 强调文字颜色 2 7 2 22" xfId="9384"/>
    <cellStyle name="60% - 强调文字颜色 2 7 2 23" xfId="9385"/>
    <cellStyle name="60% - 强调文字颜色 2 7 2 24" xfId="9386"/>
    <cellStyle name="60% - 强调文字颜色 2 7 2 25" xfId="9387"/>
    <cellStyle name="60% - 强调文字颜色 2 7 2 26" xfId="9388"/>
    <cellStyle name="60% - 强调文字颜色 2 7 2 27" xfId="9389"/>
    <cellStyle name="60% - 强调文字颜色 2 7 2 3" xfId="9390"/>
    <cellStyle name="60% - 强调文字颜色 2 7 2 4" xfId="9391"/>
    <cellStyle name="60% - 强调文字颜色 2 7 2 5" xfId="9392"/>
    <cellStyle name="60% - 强调文字颜色 2 7 2 6" xfId="9393"/>
    <cellStyle name="60% - 强调文字颜色 2 7 2 7" xfId="9394"/>
    <cellStyle name="60% - 强调文字颜色 2 7 2 8" xfId="9395"/>
    <cellStyle name="60% - 强调文字颜色 2 7 2 9" xfId="9396"/>
    <cellStyle name="60% - 强调文字颜色 2 7 20" xfId="9397"/>
    <cellStyle name="60% - 强调文字颜色 2 7 21" xfId="9398"/>
    <cellStyle name="60% - 强调文字颜色 2 7 22" xfId="9399"/>
    <cellStyle name="60% - 强调文字颜色 2 7 23" xfId="9400"/>
    <cellStyle name="60% - 强调文字颜色 2 7 24" xfId="9401"/>
    <cellStyle name="60% - 强调文字颜色 2 7 25" xfId="9402"/>
    <cellStyle name="60% - 强调文字颜色 2 7 26" xfId="9403"/>
    <cellStyle name="60% - 强调文字颜色 2 7 27" xfId="9404"/>
    <cellStyle name="60% - 强调文字颜色 2 7 28" xfId="9405"/>
    <cellStyle name="60% - 强调文字颜色 2 7 3" xfId="9406"/>
    <cellStyle name="60% - 强调文字颜色 2 7 4" xfId="9407"/>
    <cellStyle name="60% - 强调文字颜色 2 7 5" xfId="9408"/>
    <cellStyle name="60% - 强调文字颜色 2 7 6" xfId="9409"/>
    <cellStyle name="60% - 强调文字颜色 2 7 7" xfId="9410"/>
    <cellStyle name="60% - 强调文字颜色 2 7 8" xfId="9411"/>
    <cellStyle name="60% - 强调文字颜色 2 7 9" xfId="9412"/>
    <cellStyle name="60% - 强调文字颜色 2 8" xfId="9413"/>
    <cellStyle name="60% - 强调文字颜色 2 8 10" xfId="9414"/>
    <cellStyle name="60% - 强调文字颜色 2 8 11" xfId="9415"/>
    <cellStyle name="60% - 强调文字颜色 2 8 12" xfId="9416"/>
    <cellStyle name="60% - 强调文字颜色 2 8 13" xfId="9417"/>
    <cellStyle name="60% - 强调文字颜色 2 8 14" xfId="9418"/>
    <cellStyle name="60% - 强调文字颜色 2 8 15" xfId="9419"/>
    <cellStyle name="60% - 强调文字颜色 2 8 16" xfId="9420"/>
    <cellStyle name="60% - 强调文字颜色 2 8 17" xfId="9421"/>
    <cellStyle name="60% - 强调文字颜色 2 8 18" xfId="9422"/>
    <cellStyle name="60% - 强调文字颜色 2 8 19" xfId="9423"/>
    <cellStyle name="60% - 强调文字颜色 2 8 2" xfId="9424"/>
    <cellStyle name="60% - 强调文字颜色 2 8 2 10" xfId="9425"/>
    <cellStyle name="60% - 强调文字颜色 2 8 2 11" xfId="9426"/>
    <cellStyle name="60% - 强调文字颜色 2 8 2 12" xfId="9427"/>
    <cellStyle name="60% - 强调文字颜色 2 8 2 13" xfId="9428"/>
    <cellStyle name="60% - 强调文字颜色 2 8 2 14" xfId="9429"/>
    <cellStyle name="60% - 强调文字颜色 2 8 2 15" xfId="9430"/>
    <cellStyle name="60% - 强调文字颜色 2 8 2 16" xfId="9431"/>
    <cellStyle name="60% - 强调文字颜色 2 8 2 17" xfId="9432"/>
    <cellStyle name="60% - 强调文字颜色 2 8 2 18" xfId="9433"/>
    <cellStyle name="60% - 强调文字颜色 2 8 2 19" xfId="9434"/>
    <cellStyle name="60% - 强调文字颜色 2 8 2 2" xfId="9435"/>
    <cellStyle name="60% - 强调文字颜色 2 8 2 20" xfId="9436"/>
    <cellStyle name="60% - 强调文字颜色 2 8 2 21" xfId="9437"/>
    <cellStyle name="60% - 强调文字颜色 2 8 2 22" xfId="9438"/>
    <cellStyle name="60% - 强调文字颜色 2 8 2 23" xfId="9439"/>
    <cellStyle name="60% - 强调文字颜色 2 8 2 24" xfId="9440"/>
    <cellStyle name="60% - 强调文字颜色 2 8 2 25" xfId="9441"/>
    <cellStyle name="60% - 强调文字颜色 2 8 2 26" xfId="9442"/>
    <cellStyle name="60% - 强调文字颜色 2 8 2 27" xfId="9443"/>
    <cellStyle name="60% - 强调文字颜色 2 8 2 3" xfId="9444"/>
    <cellStyle name="60% - 强调文字颜色 2 8 2 4" xfId="9445"/>
    <cellStyle name="60% - 强调文字颜色 2 8 2 5" xfId="9446"/>
    <cellStyle name="60% - 强调文字颜色 2 8 2 6" xfId="9447"/>
    <cellStyle name="60% - 强调文字颜色 2 8 2 7" xfId="9448"/>
    <cellStyle name="60% - 强调文字颜色 2 8 2 8" xfId="9449"/>
    <cellStyle name="60% - 强调文字颜色 2 8 2 9" xfId="9450"/>
    <cellStyle name="60% - 强调文字颜色 2 8 20" xfId="9451"/>
    <cellStyle name="60% - 强调文字颜色 2 8 21" xfId="9452"/>
    <cellStyle name="60% - 强调文字颜色 2 8 22" xfId="9453"/>
    <cellStyle name="60% - 强调文字颜色 2 8 23" xfId="9454"/>
    <cellStyle name="60% - 强调文字颜色 2 8 24" xfId="9455"/>
    <cellStyle name="60% - 强调文字颜色 2 8 25" xfId="9456"/>
    <cellStyle name="60% - 强调文字颜色 2 8 26" xfId="9457"/>
    <cellStyle name="60% - 强调文字颜色 2 8 27" xfId="9458"/>
    <cellStyle name="60% - 强调文字颜色 2 8 28" xfId="9459"/>
    <cellStyle name="60% - 强调文字颜色 2 8 3" xfId="9460"/>
    <cellStyle name="60% - 强调文字颜色 2 8 4" xfId="9461"/>
    <cellStyle name="60% - 强调文字颜色 2 8 5" xfId="9462"/>
    <cellStyle name="60% - 强调文字颜色 2 8 6" xfId="9463"/>
    <cellStyle name="60% - 强调文字颜色 2 8 7" xfId="9464"/>
    <cellStyle name="60% - 强调文字颜色 2 8 8" xfId="9465"/>
    <cellStyle name="60% - 强调文字颜色 2 8 9" xfId="9466"/>
    <cellStyle name="60% - 强调文字颜色 2 9" xfId="9467"/>
    <cellStyle name="60% - 强调文字颜色 2 9 10" xfId="9468"/>
    <cellStyle name="60% - 强调文字颜色 2 9 11" xfId="9469"/>
    <cellStyle name="60% - 强调文字颜色 2 9 12" xfId="9470"/>
    <cellStyle name="60% - 强调文字颜色 2 9 13" xfId="9471"/>
    <cellStyle name="60% - 强调文字颜色 2 9 14" xfId="9472"/>
    <cellStyle name="60% - 强调文字颜色 2 9 15" xfId="9473"/>
    <cellStyle name="60% - 强调文字颜色 2 9 16" xfId="9474"/>
    <cellStyle name="60% - 强调文字颜色 2 9 17" xfId="9475"/>
    <cellStyle name="60% - 强调文字颜色 2 9 18" xfId="9476"/>
    <cellStyle name="60% - 强调文字颜色 2 9 19" xfId="9477"/>
    <cellStyle name="60% - 强调文字颜色 2 9 2" xfId="9478"/>
    <cellStyle name="60% - 强调文字颜色 2 9 2 10" xfId="9479"/>
    <cellStyle name="60% - 强调文字颜色 2 9 2 11" xfId="9480"/>
    <cellStyle name="60% - 强调文字颜色 2 9 2 12" xfId="9481"/>
    <cellStyle name="60% - 强调文字颜色 2 9 2 13" xfId="9482"/>
    <cellStyle name="60% - 强调文字颜色 2 9 2 14" xfId="9483"/>
    <cellStyle name="60% - 强调文字颜色 2 9 2 15" xfId="9484"/>
    <cellStyle name="60% - 强调文字颜色 2 9 2 16" xfId="9485"/>
    <cellStyle name="60% - 强调文字颜色 2 9 2 17" xfId="9486"/>
    <cellStyle name="60% - 强调文字颜色 2 9 2 18" xfId="9487"/>
    <cellStyle name="60% - 强调文字颜色 2 9 2 19" xfId="9488"/>
    <cellStyle name="60% - 强调文字颜色 2 9 2 2" xfId="9489"/>
    <cellStyle name="60% - 强调文字颜色 2 9 2 20" xfId="9490"/>
    <cellStyle name="60% - 强调文字颜色 2 9 2 21" xfId="9491"/>
    <cellStyle name="60% - 强调文字颜色 2 9 2 22" xfId="9492"/>
    <cellStyle name="60% - 强调文字颜色 2 9 2 23" xfId="9493"/>
    <cellStyle name="60% - 强调文字颜色 2 9 2 24" xfId="9494"/>
    <cellStyle name="60% - 强调文字颜色 2 9 2 25" xfId="9495"/>
    <cellStyle name="60% - 强调文字颜色 2 9 2 26" xfId="9496"/>
    <cellStyle name="60% - 强调文字颜色 2 9 2 27" xfId="9497"/>
    <cellStyle name="60% - 强调文字颜色 2 9 2 3" xfId="9498"/>
    <cellStyle name="60% - 强调文字颜色 2 9 2 4" xfId="9499"/>
    <cellStyle name="60% - 强调文字颜色 2 9 2 5" xfId="9500"/>
    <cellStyle name="60% - 强调文字颜色 2 9 2 6" xfId="9501"/>
    <cellStyle name="60% - 强调文字颜色 2 9 2 7" xfId="9502"/>
    <cellStyle name="60% - 强调文字颜色 2 9 2 8" xfId="9503"/>
    <cellStyle name="60% - 强调文字颜色 2 9 2 9" xfId="9504"/>
    <cellStyle name="60% - 强调文字颜色 2 9 20" xfId="9505"/>
    <cellStyle name="60% - 强调文字颜色 2 9 21" xfId="9506"/>
    <cellStyle name="60% - 强调文字颜色 2 9 22" xfId="9507"/>
    <cellStyle name="60% - 强调文字颜色 2 9 23" xfId="9508"/>
    <cellStyle name="60% - 强调文字颜色 2 9 24" xfId="9509"/>
    <cellStyle name="60% - 强调文字颜色 2 9 25" xfId="9510"/>
    <cellStyle name="60% - 强调文字颜色 2 9 26" xfId="9511"/>
    <cellStyle name="60% - 强调文字颜色 2 9 27" xfId="9512"/>
    <cellStyle name="60% - 强调文字颜色 2 9 28" xfId="9513"/>
    <cellStyle name="60% - 强调文字颜色 2 9 3" xfId="9514"/>
    <cellStyle name="60% - 强调文字颜色 2 9 4" xfId="9515"/>
    <cellStyle name="60% - 强调文字颜色 2 9 5" xfId="9516"/>
    <cellStyle name="60% - 强调文字颜色 2 9 6" xfId="9517"/>
    <cellStyle name="60% - 强调文字颜色 2 9 7" xfId="9518"/>
    <cellStyle name="60% - 强调文字颜色 2 9 8" xfId="9519"/>
    <cellStyle name="60% - 强调文字颜色 2 9 9" xfId="9520"/>
    <cellStyle name="60% - 强调文字颜色 3 10" xfId="9521"/>
    <cellStyle name="60% - 强调文字颜色 3 10 10" xfId="9522"/>
    <cellStyle name="60% - 强调文字颜色 3 10 11" xfId="9523"/>
    <cellStyle name="60% - 强调文字颜色 3 10 12" xfId="9524"/>
    <cellStyle name="60% - 强调文字颜色 3 10 13" xfId="9525"/>
    <cellStyle name="60% - 强调文字颜色 3 10 14" xfId="9526"/>
    <cellStyle name="60% - 强调文字颜色 3 10 15" xfId="9527"/>
    <cellStyle name="60% - 强调文字颜色 3 10 16" xfId="9528"/>
    <cellStyle name="60% - 强调文字颜色 3 10 17" xfId="9529"/>
    <cellStyle name="60% - 强调文字颜色 3 10 18" xfId="9530"/>
    <cellStyle name="60% - 强调文字颜色 3 10 19" xfId="9531"/>
    <cellStyle name="60% - 强调文字颜色 3 10 2" xfId="9532"/>
    <cellStyle name="60% - 强调文字颜色 3 10 2 10" xfId="9533"/>
    <cellStyle name="60% - 强调文字颜色 3 10 2 11" xfId="9534"/>
    <cellStyle name="60% - 强调文字颜色 3 10 2 12" xfId="9535"/>
    <cellStyle name="60% - 强调文字颜色 3 10 2 13" xfId="9536"/>
    <cellStyle name="60% - 强调文字颜色 3 10 2 14" xfId="9537"/>
    <cellStyle name="60% - 强调文字颜色 3 10 2 15" xfId="9538"/>
    <cellStyle name="60% - 强调文字颜色 3 10 2 16" xfId="9539"/>
    <cellStyle name="60% - 强调文字颜色 3 10 2 17" xfId="9540"/>
    <cellStyle name="60% - 强调文字颜色 3 10 2 18" xfId="9541"/>
    <cellStyle name="60% - 强调文字颜色 3 10 2 19" xfId="9542"/>
    <cellStyle name="60% - 强调文字颜色 3 10 2 2" xfId="9543"/>
    <cellStyle name="60% - 强调文字颜色 3 10 2 20" xfId="9544"/>
    <cellStyle name="60% - 强调文字颜色 3 10 2 21" xfId="9545"/>
    <cellStyle name="60% - 强调文字颜色 3 10 2 22" xfId="9546"/>
    <cellStyle name="60% - 强调文字颜色 3 10 2 23" xfId="9547"/>
    <cellStyle name="60% - 强调文字颜色 3 10 2 24" xfId="9548"/>
    <cellStyle name="60% - 强调文字颜色 3 10 2 25" xfId="9549"/>
    <cellStyle name="60% - 强调文字颜色 3 10 2 26" xfId="9550"/>
    <cellStyle name="60% - 强调文字颜色 3 10 2 27" xfId="9551"/>
    <cellStyle name="60% - 强调文字颜色 3 10 2 3" xfId="9552"/>
    <cellStyle name="60% - 强调文字颜色 3 10 2 4" xfId="9553"/>
    <cellStyle name="60% - 强调文字颜色 3 10 2 5" xfId="9554"/>
    <cellStyle name="60% - 强调文字颜色 3 10 2 6" xfId="9555"/>
    <cellStyle name="60% - 强调文字颜色 3 10 2 7" xfId="9556"/>
    <cellStyle name="60% - 强调文字颜色 3 10 2 8" xfId="9557"/>
    <cellStyle name="60% - 强调文字颜色 3 10 2 9" xfId="9558"/>
    <cellStyle name="60% - 强调文字颜色 3 10 20" xfId="9559"/>
    <cellStyle name="60% - 强调文字颜色 3 10 21" xfId="9560"/>
    <cellStyle name="60% - 强调文字颜色 3 10 22" xfId="9561"/>
    <cellStyle name="60% - 强调文字颜色 3 10 23" xfId="9562"/>
    <cellStyle name="60% - 强调文字颜色 3 10 24" xfId="9563"/>
    <cellStyle name="60% - 强调文字颜色 3 10 25" xfId="9564"/>
    <cellStyle name="60% - 强调文字颜色 3 10 26" xfId="9565"/>
    <cellStyle name="60% - 强调文字颜色 3 10 27" xfId="9566"/>
    <cellStyle name="60% - 强调文字颜色 3 10 28" xfId="9567"/>
    <cellStyle name="60% - 强调文字颜色 3 10 3" xfId="9568"/>
    <cellStyle name="60% - 强调文字颜色 3 10 4" xfId="9569"/>
    <cellStyle name="60% - 强调文字颜色 3 10 5" xfId="9570"/>
    <cellStyle name="60% - 强调文字颜色 3 10 6" xfId="9571"/>
    <cellStyle name="60% - 强调文字颜色 3 10 7" xfId="9572"/>
    <cellStyle name="60% - 强调文字颜色 3 10 8" xfId="9573"/>
    <cellStyle name="60% - 强调文字颜色 3 10 9" xfId="9574"/>
    <cellStyle name="60% - 强调文字颜色 3 11" xfId="9575"/>
    <cellStyle name="60% - 强调文字颜色 3 11 10" xfId="9576"/>
    <cellStyle name="60% - 强调文字颜色 3 11 11" xfId="9577"/>
    <cellStyle name="60% - 强调文字颜色 3 11 12" xfId="9578"/>
    <cellStyle name="60% - 强调文字颜色 3 11 13" xfId="9579"/>
    <cellStyle name="60% - 强调文字颜色 3 11 14" xfId="9580"/>
    <cellStyle name="60% - 强调文字颜色 3 11 15" xfId="9581"/>
    <cellStyle name="60% - 强调文字颜色 3 11 16" xfId="9582"/>
    <cellStyle name="60% - 强调文字颜色 3 11 17" xfId="9583"/>
    <cellStyle name="60% - 强调文字颜色 3 11 18" xfId="9584"/>
    <cellStyle name="60% - 强调文字颜色 3 11 19" xfId="9585"/>
    <cellStyle name="60% - 强调文字颜色 3 11 2" xfId="9586"/>
    <cellStyle name="60% - 强调文字颜色 3 11 2 10" xfId="9587"/>
    <cellStyle name="60% - 强调文字颜色 3 11 2 11" xfId="9588"/>
    <cellStyle name="60% - 强调文字颜色 3 11 2 12" xfId="9589"/>
    <cellStyle name="60% - 强调文字颜色 3 11 2 13" xfId="9590"/>
    <cellStyle name="60% - 强调文字颜色 3 11 2 14" xfId="9591"/>
    <cellStyle name="60% - 强调文字颜色 3 11 2 15" xfId="9592"/>
    <cellStyle name="60% - 强调文字颜色 3 11 2 16" xfId="9593"/>
    <cellStyle name="60% - 强调文字颜色 3 11 2 17" xfId="9594"/>
    <cellStyle name="60% - 强调文字颜色 3 11 2 18" xfId="9595"/>
    <cellStyle name="60% - 强调文字颜色 3 11 2 19" xfId="9596"/>
    <cellStyle name="60% - 强调文字颜色 3 11 2 2" xfId="9597"/>
    <cellStyle name="60% - 强调文字颜色 3 11 2 20" xfId="9598"/>
    <cellStyle name="60% - 强调文字颜色 3 11 2 21" xfId="9599"/>
    <cellStyle name="60% - 强调文字颜色 3 11 2 22" xfId="9600"/>
    <cellStyle name="60% - 强调文字颜色 3 11 2 23" xfId="9601"/>
    <cellStyle name="60% - 强调文字颜色 3 11 2 24" xfId="9602"/>
    <cellStyle name="60% - 强调文字颜色 3 11 2 25" xfId="9603"/>
    <cellStyle name="60% - 强调文字颜色 3 11 2 26" xfId="9604"/>
    <cellStyle name="60% - 强调文字颜色 3 11 2 27" xfId="9605"/>
    <cellStyle name="60% - 强调文字颜色 3 11 2 3" xfId="9606"/>
    <cellStyle name="60% - 强调文字颜色 3 11 2 4" xfId="9607"/>
    <cellStyle name="60% - 强调文字颜色 3 11 2 5" xfId="9608"/>
    <cellStyle name="60% - 强调文字颜色 3 11 2 6" xfId="9609"/>
    <cellStyle name="60% - 强调文字颜色 3 11 2 7" xfId="9610"/>
    <cellStyle name="60% - 强调文字颜色 3 11 2 8" xfId="9611"/>
    <cellStyle name="60% - 强调文字颜色 3 11 2 9" xfId="9612"/>
    <cellStyle name="60% - 强调文字颜色 3 11 20" xfId="9613"/>
    <cellStyle name="60% - 强调文字颜色 3 11 21" xfId="9614"/>
    <cellStyle name="60% - 强调文字颜色 3 11 22" xfId="9615"/>
    <cellStyle name="60% - 强调文字颜色 3 11 23" xfId="9616"/>
    <cellStyle name="60% - 强调文字颜色 3 11 24" xfId="9617"/>
    <cellStyle name="60% - 强调文字颜色 3 11 25" xfId="9618"/>
    <cellStyle name="60% - 强调文字颜色 3 11 26" xfId="9619"/>
    <cellStyle name="60% - 强调文字颜色 3 11 27" xfId="9620"/>
    <cellStyle name="60% - 强调文字颜色 3 11 28" xfId="9621"/>
    <cellStyle name="60% - 强调文字颜色 3 11 3" xfId="9622"/>
    <cellStyle name="60% - 强调文字颜色 3 11 4" xfId="9623"/>
    <cellStyle name="60% - 强调文字颜色 3 11 5" xfId="9624"/>
    <cellStyle name="60% - 强调文字颜色 3 11 6" xfId="9625"/>
    <cellStyle name="60% - 强调文字颜色 3 11 7" xfId="9626"/>
    <cellStyle name="60% - 强调文字颜色 3 11 8" xfId="9627"/>
    <cellStyle name="60% - 强调文字颜色 3 11 9" xfId="9628"/>
    <cellStyle name="60% - 强调文字颜色 3 12" xfId="9629"/>
    <cellStyle name="60% - 强调文字颜色 3 13" xfId="9630"/>
    <cellStyle name="60% - 强调文字颜色 3 14" xfId="9631"/>
    <cellStyle name="60% - 强调文字颜色 3 15" xfId="9632"/>
    <cellStyle name="60% - 强调文字颜色 3 16" xfId="9633"/>
    <cellStyle name="60% - 强调文字颜色 3 17" xfId="9634"/>
    <cellStyle name="60% - 强调文字颜色 3 18" xfId="9635"/>
    <cellStyle name="60% - 强调文字颜色 3 19" xfId="9636"/>
    <cellStyle name="60% - 强调文字颜色 3 2" xfId="9637"/>
    <cellStyle name="60% - 强调文字颜色 3 2 10" xfId="9638"/>
    <cellStyle name="60% - 强调文字颜色 3 2 11" xfId="9639"/>
    <cellStyle name="60% - 强调文字颜色 3 2 12" xfId="9640"/>
    <cellStyle name="60% - 强调文字颜色 3 2 13" xfId="9641"/>
    <cellStyle name="60% - 强调文字颜色 3 2 14" xfId="9642"/>
    <cellStyle name="60% - 强调文字颜色 3 2 15" xfId="9643"/>
    <cellStyle name="60% - 强调文字颜色 3 2 16" xfId="9644"/>
    <cellStyle name="60% - 强调文字颜色 3 2 17" xfId="9645"/>
    <cellStyle name="60% - 强调文字颜色 3 2 18" xfId="9646"/>
    <cellStyle name="60% - 强调文字颜色 3 2 19" xfId="9647"/>
    <cellStyle name="60% - 强调文字颜色 3 2 2" xfId="9648"/>
    <cellStyle name="60% - 强调文字颜色 3 2 2 10" xfId="9649"/>
    <cellStyle name="60% - 强调文字颜色 3 2 2 11" xfId="9650"/>
    <cellStyle name="60% - 强调文字颜色 3 2 2 12" xfId="9651"/>
    <cellStyle name="60% - 强调文字颜色 3 2 2 13" xfId="9652"/>
    <cellStyle name="60% - 强调文字颜色 3 2 2 14" xfId="9653"/>
    <cellStyle name="60% - 强调文字颜色 3 2 2 15" xfId="9654"/>
    <cellStyle name="60% - 强调文字颜色 3 2 2 16" xfId="9655"/>
    <cellStyle name="60% - 强调文字颜色 3 2 2 17" xfId="9656"/>
    <cellStyle name="60% - 强调文字颜色 3 2 2 18" xfId="9657"/>
    <cellStyle name="60% - 强调文字颜色 3 2 2 19" xfId="9658"/>
    <cellStyle name="60% - 强调文字颜色 3 2 2 2" xfId="9659"/>
    <cellStyle name="60% - 强调文字颜色 3 2 2 2 10" xfId="9660"/>
    <cellStyle name="60% - 强调文字颜色 3 2 2 2 11" xfId="9661"/>
    <cellStyle name="60% - 强调文字颜色 3 2 2 2 12" xfId="9662"/>
    <cellStyle name="60% - 强调文字颜色 3 2 2 2 13" xfId="9663"/>
    <cellStyle name="60% - 强调文字颜色 3 2 2 2 14" xfId="9664"/>
    <cellStyle name="60% - 强调文字颜色 3 2 2 2 15" xfId="9665"/>
    <cellStyle name="60% - 强调文字颜色 3 2 2 2 16" xfId="9666"/>
    <cellStyle name="60% - 强调文字颜色 3 2 2 2 17" xfId="9667"/>
    <cellStyle name="60% - 强调文字颜色 3 2 2 2 18" xfId="9668"/>
    <cellStyle name="60% - 强调文字颜色 3 2 2 2 19" xfId="9669"/>
    <cellStyle name="60% - 强调文字颜色 3 2 2 2 2" xfId="9670"/>
    <cellStyle name="60% - 强调文字颜色 3 2 2 2 20" xfId="9671"/>
    <cellStyle name="60% - 强调文字颜色 3 2 2 2 21" xfId="9672"/>
    <cellStyle name="60% - 强调文字颜色 3 2 2 2 22" xfId="9673"/>
    <cellStyle name="60% - 强调文字颜色 3 2 2 2 23" xfId="9674"/>
    <cellStyle name="60% - 强调文字颜色 3 2 2 2 24" xfId="9675"/>
    <cellStyle name="60% - 强调文字颜色 3 2 2 2 25" xfId="9676"/>
    <cellStyle name="60% - 强调文字颜色 3 2 2 2 26" xfId="9677"/>
    <cellStyle name="60% - 强调文字颜色 3 2 2 2 27" xfId="9678"/>
    <cellStyle name="60% - 强调文字颜色 3 2 2 2 3" xfId="9679"/>
    <cellStyle name="60% - 强调文字颜色 3 2 2 2 4" xfId="9680"/>
    <cellStyle name="60% - 强调文字颜色 3 2 2 2 5" xfId="9681"/>
    <cellStyle name="60% - 强调文字颜色 3 2 2 2 6" xfId="9682"/>
    <cellStyle name="60% - 强调文字颜色 3 2 2 2 7" xfId="9683"/>
    <cellStyle name="60% - 强调文字颜色 3 2 2 2 8" xfId="9684"/>
    <cellStyle name="60% - 强调文字颜色 3 2 2 2 9" xfId="9685"/>
    <cellStyle name="60% - 强调文字颜色 3 2 2 20" xfId="9686"/>
    <cellStyle name="60% - 强调文字颜色 3 2 2 21" xfId="9687"/>
    <cellStyle name="60% - 强调文字颜色 3 2 2 22" xfId="9688"/>
    <cellStyle name="60% - 强调文字颜色 3 2 2 23" xfId="9689"/>
    <cellStyle name="60% - 强调文字颜色 3 2 2 24" xfId="9690"/>
    <cellStyle name="60% - 强调文字颜色 3 2 2 25" xfId="9691"/>
    <cellStyle name="60% - 强调文字颜色 3 2 2 26" xfId="9692"/>
    <cellStyle name="60% - 强调文字颜色 3 2 2 27" xfId="9693"/>
    <cellStyle name="60% - 强调文字颜色 3 2 2 28" xfId="9694"/>
    <cellStyle name="60% - 强调文字颜色 3 2 2 3" xfId="9695"/>
    <cellStyle name="60% - 强调文字颜色 3 2 2 4" xfId="9696"/>
    <cellStyle name="60% - 强调文字颜色 3 2 2 5" xfId="9697"/>
    <cellStyle name="60% - 强调文字颜色 3 2 2 6" xfId="9698"/>
    <cellStyle name="60% - 强调文字颜色 3 2 2 7" xfId="9699"/>
    <cellStyle name="60% - 强调文字颜色 3 2 2 8" xfId="9700"/>
    <cellStyle name="60% - 强调文字颜色 3 2 2 9" xfId="9701"/>
    <cellStyle name="60% - 强调文字颜色 3 2 20" xfId="9702"/>
    <cellStyle name="60% - 强调文字颜色 3 2 21" xfId="9703"/>
    <cellStyle name="60% - 强调文字颜色 3 2 22" xfId="9704"/>
    <cellStyle name="60% - 强调文字颜色 3 2 23" xfId="9705"/>
    <cellStyle name="60% - 强调文字颜色 3 2 24" xfId="9706"/>
    <cellStyle name="60% - 强调文字颜色 3 2 25" xfId="9707"/>
    <cellStyle name="60% - 强调文字颜色 3 2 26" xfId="9708"/>
    <cellStyle name="60% - 强调文字颜色 3 2 27" xfId="9709"/>
    <cellStyle name="60% - 强调文字颜色 3 2 28" xfId="9710"/>
    <cellStyle name="60% - 强调文字颜色 3 2 29" xfId="9711"/>
    <cellStyle name="60% - 强调文字颜色 3 2 3" xfId="9712"/>
    <cellStyle name="60% - 强调文字颜色 3 2 3 10" xfId="9713"/>
    <cellStyle name="60% - 强调文字颜色 3 2 3 11" xfId="9714"/>
    <cellStyle name="60% - 强调文字颜色 3 2 3 12" xfId="9715"/>
    <cellStyle name="60% - 强调文字颜色 3 2 3 13" xfId="9716"/>
    <cellStyle name="60% - 强调文字颜色 3 2 3 14" xfId="9717"/>
    <cellStyle name="60% - 强调文字颜色 3 2 3 15" xfId="9718"/>
    <cellStyle name="60% - 强调文字颜色 3 2 3 16" xfId="9719"/>
    <cellStyle name="60% - 强调文字颜色 3 2 3 17" xfId="9720"/>
    <cellStyle name="60% - 强调文字颜色 3 2 3 18" xfId="9721"/>
    <cellStyle name="60% - 强调文字颜色 3 2 3 19" xfId="9722"/>
    <cellStyle name="60% - 强调文字颜色 3 2 3 2" xfId="9723"/>
    <cellStyle name="60% - 强调文字颜色 3 2 3 2 10" xfId="9724"/>
    <cellStyle name="60% - 强调文字颜色 3 2 3 2 11" xfId="9725"/>
    <cellStyle name="60% - 强调文字颜色 3 2 3 2 12" xfId="9726"/>
    <cellStyle name="60% - 强调文字颜色 3 2 3 2 13" xfId="9727"/>
    <cellStyle name="60% - 强调文字颜色 3 2 3 2 14" xfId="9728"/>
    <cellStyle name="60% - 强调文字颜色 3 2 3 2 15" xfId="9729"/>
    <cellStyle name="60% - 强调文字颜色 3 2 3 2 16" xfId="9730"/>
    <cellStyle name="60% - 强调文字颜色 3 2 3 2 17" xfId="9731"/>
    <cellStyle name="60% - 强调文字颜色 3 2 3 2 18" xfId="9732"/>
    <cellStyle name="60% - 强调文字颜色 3 2 3 2 19" xfId="9733"/>
    <cellStyle name="60% - 强调文字颜色 3 2 3 2 2" xfId="9734"/>
    <cellStyle name="60% - 强调文字颜色 3 2 3 2 20" xfId="9735"/>
    <cellStyle name="60% - 强调文字颜色 3 2 3 2 21" xfId="9736"/>
    <cellStyle name="60% - 强调文字颜色 3 2 3 2 22" xfId="9737"/>
    <cellStyle name="60% - 强调文字颜色 3 2 3 2 23" xfId="9738"/>
    <cellStyle name="60% - 强调文字颜色 3 2 3 2 24" xfId="9739"/>
    <cellStyle name="60% - 强调文字颜色 3 2 3 2 25" xfId="9740"/>
    <cellStyle name="60% - 强调文字颜色 3 2 3 2 26" xfId="9741"/>
    <cellStyle name="60% - 强调文字颜色 3 2 3 2 27" xfId="9742"/>
    <cellStyle name="60% - 强调文字颜色 3 2 3 2 3" xfId="9743"/>
    <cellStyle name="60% - 强调文字颜色 3 2 3 2 4" xfId="9744"/>
    <cellStyle name="60% - 强调文字颜色 3 2 3 2 5" xfId="9745"/>
    <cellStyle name="60% - 强调文字颜色 3 2 3 2 6" xfId="9746"/>
    <cellStyle name="60% - 强调文字颜色 3 2 3 2 7" xfId="9747"/>
    <cellStyle name="60% - 强调文字颜色 3 2 3 2 8" xfId="9748"/>
    <cellStyle name="60% - 强调文字颜色 3 2 3 2 9" xfId="9749"/>
    <cellStyle name="60% - 强调文字颜色 3 2 3 20" xfId="9750"/>
    <cellStyle name="60% - 强调文字颜色 3 2 3 21" xfId="9751"/>
    <cellStyle name="60% - 强调文字颜色 3 2 3 22" xfId="9752"/>
    <cellStyle name="60% - 强调文字颜色 3 2 3 23" xfId="9753"/>
    <cellStyle name="60% - 强调文字颜色 3 2 3 24" xfId="9754"/>
    <cellStyle name="60% - 强调文字颜色 3 2 3 25" xfId="9755"/>
    <cellStyle name="60% - 强调文字颜色 3 2 3 26" xfId="9756"/>
    <cellStyle name="60% - 强调文字颜色 3 2 3 27" xfId="9757"/>
    <cellStyle name="60% - 强调文字颜色 3 2 3 28" xfId="9758"/>
    <cellStyle name="60% - 强调文字颜色 3 2 3 3" xfId="9759"/>
    <cellStyle name="60% - 强调文字颜色 3 2 3 4" xfId="9760"/>
    <cellStyle name="60% - 强调文字颜色 3 2 3 5" xfId="9761"/>
    <cellStyle name="60% - 强调文字颜色 3 2 3 6" xfId="9762"/>
    <cellStyle name="60% - 强调文字颜色 3 2 3 7" xfId="9763"/>
    <cellStyle name="60% - 强调文字颜色 3 2 3 8" xfId="9764"/>
    <cellStyle name="60% - 强调文字颜色 3 2 3 9" xfId="9765"/>
    <cellStyle name="60% - 强调文字颜色 3 2 30" xfId="9766"/>
    <cellStyle name="60% - 强调文字颜色 3 2 31" xfId="9767"/>
    <cellStyle name="60% - 强调文字颜色 3 2 32" xfId="9768"/>
    <cellStyle name="60% - 强调文字颜色 3 2 33" xfId="9769"/>
    <cellStyle name="60% - 强调文字颜色 3 2 4" xfId="9770"/>
    <cellStyle name="60% - 强调文字颜色 3 2 4 10" xfId="9771"/>
    <cellStyle name="60% - 强调文字颜色 3 2 4 11" xfId="9772"/>
    <cellStyle name="60% - 强调文字颜色 3 2 4 12" xfId="9773"/>
    <cellStyle name="60% - 强调文字颜色 3 2 4 13" xfId="9774"/>
    <cellStyle name="60% - 强调文字颜色 3 2 4 14" xfId="9775"/>
    <cellStyle name="60% - 强调文字颜色 3 2 4 15" xfId="9776"/>
    <cellStyle name="60% - 强调文字颜色 3 2 4 16" xfId="9777"/>
    <cellStyle name="60% - 强调文字颜色 3 2 4 17" xfId="9778"/>
    <cellStyle name="60% - 强调文字颜色 3 2 4 18" xfId="9779"/>
    <cellStyle name="60% - 强调文字颜色 3 2 4 19" xfId="9780"/>
    <cellStyle name="60% - 强调文字颜色 3 2 4 2" xfId="9781"/>
    <cellStyle name="60% - 强调文字颜色 3 2 4 20" xfId="9782"/>
    <cellStyle name="60% - 强调文字颜色 3 2 4 21" xfId="9783"/>
    <cellStyle name="60% - 强调文字颜色 3 2 4 22" xfId="9784"/>
    <cellStyle name="60% - 强调文字颜色 3 2 4 23" xfId="9785"/>
    <cellStyle name="60% - 强调文字颜色 3 2 4 24" xfId="9786"/>
    <cellStyle name="60% - 强调文字颜色 3 2 4 25" xfId="9787"/>
    <cellStyle name="60% - 强调文字颜色 3 2 4 26" xfId="9788"/>
    <cellStyle name="60% - 强调文字颜色 3 2 4 27" xfId="9789"/>
    <cellStyle name="60% - 强调文字颜色 3 2 4 3" xfId="9790"/>
    <cellStyle name="60% - 强调文字颜色 3 2 4 4" xfId="9791"/>
    <cellStyle name="60% - 强调文字颜色 3 2 4 5" xfId="9792"/>
    <cellStyle name="60% - 强调文字颜色 3 2 4 6" xfId="9793"/>
    <cellStyle name="60% - 强调文字颜色 3 2 4 7" xfId="9794"/>
    <cellStyle name="60% - 强调文字颜色 3 2 4 8" xfId="9795"/>
    <cellStyle name="60% - 强调文字颜色 3 2 4 9" xfId="9796"/>
    <cellStyle name="60% - 强调文字颜色 3 2 5" xfId="9797"/>
    <cellStyle name="60% - 强调文字颜色 3 2 6" xfId="9798"/>
    <cellStyle name="60% - 强调文字颜色 3 2 7" xfId="9799"/>
    <cellStyle name="60% - 强调文字颜色 3 2 8" xfId="9800"/>
    <cellStyle name="60% - 强调文字颜色 3 2 9" xfId="9801"/>
    <cellStyle name="60% - 强调文字颜色 3 20" xfId="9802"/>
    <cellStyle name="60% - 强调文字颜色 3 21" xfId="9803"/>
    <cellStyle name="60% - 强调文字颜色 3 22" xfId="9804"/>
    <cellStyle name="60% - 强调文字颜色 3 23" xfId="9805"/>
    <cellStyle name="60% - 强调文字颜色 3 24" xfId="9806"/>
    <cellStyle name="60% - 强调文字颜色 3 25" xfId="9807"/>
    <cellStyle name="60% - 强调文字颜色 3 26" xfId="9808"/>
    <cellStyle name="60% - 强调文字颜色 3 27" xfId="9809"/>
    <cellStyle name="60% - 强调文字颜色 3 28" xfId="9810"/>
    <cellStyle name="60% - 强调文字颜色 3 29" xfId="9811"/>
    <cellStyle name="60% - 强调文字颜色 3 3" xfId="9812"/>
    <cellStyle name="60% - 强调文字颜色 3 3 10" xfId="9813"/>
    <cellStyle name="60% - 强调文字颜色 3 3 11" xfId="9814"/>
    <cellStyle name="60% - 强调文字颜色 3 3 12" xfId="9815"/>
    <cellStyle name="60% - 强调文字颜色 3 3 13" xfId="9816"/>
    <cellStyle name="60% - 强调文字颜色 3 3 14" xfId="9817"/>
    <cellStyle name="60% - 强调文字颜色 3 3 15" xfId="9818"/>
    <cellStyle name="60% - 强调文字颜色 3 3 16" xfId="9819"/>
    <cellStyle name="60% - 强调文字颜色 3 3 17" xfId="9820"/>
    <cellStyle name="60% - 强调文字颜色 3 3 18" xfId="9821"/>
    <cellStyle name="60% - 强调文字颜色 3 3 19" xfId="9822"/>
    <cellStyle name="60% - 强调文字颜色 3 3 2" xfId="9823"/>
    <cellStyle name="60% - 强调文字颜色 3 3 2 10" xfId="9824"/>
    <cellStyle name="60% - 强调文字颜色 3 3 2 11" xfId="9825"/>
    <cellStyle name="60% - 强调文字颜色 3 3 2 12" xfId="9826"/>
    <cellStyle name="60% - 强调文字颜色 3 3 2 13" xfId="9827"/>
    <cellStyle name="60% - 强调文字颜色 3 3 2 14" xfId="9828"/>
    <cellStyle name="60% - 强调文字颜色 3 3 2 15" xfId="9829"/>
    <cellStyle name="60% - 强调文字颜色 3 3 2 16" xfId="9830"/>
    <cellStyle name="60% - 强调文字颜色 3 3 2 17" xfId="9831"/>
    <cellStyle name="60% - 强调文字颜色 3 3 2 18" xfId="9832"/>
    <cellStyle name="60% - 强调文字颜色 3 3 2 19" xfId="9833"/>
    <cellStyle name="60% - 强调文字颜色 3 3 2 2" xfId="9834"/>
    <cellStyle name="60% - 强调文字颜色 3 3 2 20" xfId="9835"/>
    <cellStyle name="60% - 强调文字颜色 3 3 2 21" xfId="9836"/>
    <cellStyle name="60% - 强调文字颜色 3 3 2 22" xfId="9837"/>
    <cellStyle name="60% - 强调文字颜色 3 3 2 23" xfId="9838"/>
    <cellStyle name="60% - 强调文字颜色 3 3 2 24" xfId="9839"/>
    <cellStyle name="60% - 强调文字颜色 3 3 2 25" xfId="9840"/>
    <cellStyle name="60% - 强调文字颜色 3 3 2 26" xfId="9841"/>
    <cellStyle name="60% - 强调文字颜色 3 3 2 27" xfId="9842"/>
    <cellStyle name="60% - 强调文字颜色 3 3 2 3" xfId="9843"/>
    <cellStyle name="60% - 强调文字颜色 3 3 2 4" xfId="9844"/>
    <cellStyle name="60% - 强调文字颜色 3 3 2 5" xfId="9845"/>
    <cellStyle name="60% - 强调文字颜色 3 3 2 6" xfId="9846"/>
    <cellStyle name="60% - 强调文字颜色 3 3 2 7" xfId="9847"/>
    <cellStyle name="60% - 强调文字颜色 3 3 2 8" xfId="9848"/>
    <cellStyle name="60% - 强调文字颜色 3 3 2 9" xfId="9849"/>
    <cellStyle name="60% - 强调文字颜色 3 3 20" xfId="9850"/>
    <cellStyle name="60% - 强调文字颜色 3 3 21" xfId="9851"/>
    <cellStyle name="60% - 强调文字颜色 3 3 22" xfId="9852"/>
    <cellStyle name="60% - 强调文字颜色 3 3 23" xfId="9853"/>
    <cellStyle name="60% - 强调文字颜色 3 3 24" xfId="9854"/>
    <cellStyle name="60% - 强调文字颜色 3 3 25" xfId="9855"/>
    <cellStyle name="60% - 强调文字颜色 3 3 26" xfId="9856"/>
    <cellStyle name="60% - 强调文字颜色 3 3 27" xfId="9857"/>
    <cellStyle name="60% - 强调文字颜色 3 3 28" xfId="9858"/>
    <cellStyle name="60% - 强调文字颜色 3 3 3" xfId="9859"/>
    <cellStyle name="60% - 强调文字颜色 3 3 4" xfId="9860"/>
    <cellStyle name="60% - 强调文字颜色 3 3 5" xfId="9861"/>
    <cellStyle name="60% - 强调文字颜色 3 3 6" xfId="9862"/>
    <cellStyle name="60% - 强调文字颜色 3 3 7" xfId="9863"/>
    <cellStyle name="60% - 强调文字颜色 3 3 8" xfId="9864"/>
    <cellStyle name="60% - 强调文字颜色 3 3 9" xfId="9865"/>
    <cellStyle name="60% - 强调文字颜色 3 30" xfId="9866"/>
    <cellStyle name="60% - 强调文字颜色 3 31" xfId="9867"/>
    <cellStyle name="60% - 强调文字颜色 3 32" xfId="9868"/>
    <cellStyle name="60% - 强调文字颜色 3 33" xfId="9869"/>
    <cellStyle name="60% - 强调文字颜色 3 34" xfId="9870"/>
    <cellStyle name="60% - 强调文字颜色 3 35" xfId="9871"/>
    <cellStyle name="60% - 强调文字颜色 3 36" xfId="9872"/>
    <cellStyle name="60% - 强调文字颜色 3 37" xfId="9873"/>
    <cellStyle name="60% - 强调文字颜色 3 38" xfId="9874"/>
    <cellStyle name="60% - 强调文字颜色 3 39" xfId="9875"/>
    <cellStyle name="60% - 强调文字颜色 3 4" xfId="9876"/>
    <cellStyle name="60% - 强调文字颜色 3 4 10" xfId="9877"/>
    <cellStyle name="60% - 强调文字颜色 3 4 11" xfId="9878"/>
    <cellStyle name="60% - 强调文字颜色 3 4 12" xfId="9879"/>
    <cellStyle name="60% - 强调文字颜色 3 4 13" xfId="9880"/>
    <cellStyle name="60% - 强调文字颜色 3 4 14" xfId="9881"/>
    <cellStyle name="60% - 强调文字颜色 3 4 15" xfId="9882"/>
    <cellStyle name="60% - 强调文字颜色 3 4 16" xfId="9883"/>
    <cellStyle name="60% - 强调文字颜色 3 4 17" xfId="9884"/>
    <cellStyle name="60% - 强调文字颜色 3 4 18" xfId="9885"/>
    <cellStyle name="60% - 强调文字颜色 3 4 19" xfId="9886"/>
    <cellStyle name="60% - 强调文字颜色 3 4 2" xfId="9887"/>
    <cellStyle name="60% - 强调文字颜色 3 4 2 10" xfId="9888"/>
    <cellStyle name="60% - 强调文字颜色 3 4 2 11" xfId="9889"/>
    <cellStyle name="60% - 强调文字颜色 3 4 2 12" xfId="9890"/>
    <cellStyle name="60% - 强调文字颜色 3 4 2 13" xfId="9891"/>
    <cellStyle name="60% - 强调文字颜色 3 4 2 14" xfId="9892"/>
    <cellStyle name="60% - 强调文字颜色 3 4 2 15" xfId="9893"/>
    <cellStyle name="60% - 强调文字颜色 3 4 2 16" xfId="9894"/>
    <cellStyle name="60% - 强调文字颜色 3 4 2 17" xfId="9895"/>
    <cellStyle name="60% - 强调文字颜色 3 4 2 18" xfId="9896"/>
    <cellStyle name="60% - 强调文字颜色 3 4 2 19" xfId="9897"/>
    <cellStyle name="60% - 强调文字颜色 3 4 2 2" xfId="9898"/>
    <cellStyle name="60% - 强调文字颜色 3 4 2 20" xfId="9899"/>
    <cellStyle name="60% - 强调文字颜色 3 4 2 21" xfId="9900"/>
    <cellStyle name="60% - 强调文字颜色 3 4 2 22" xfId="9901"/>
    <cellStyle name="60% - 强调文字颜色 3 4 2 23" xfId="9902"/>
    <cellStyle name="60% - 强调文字颜色 3 4 2 24" xfId="9903"/>
    <cellStyle name="60% - 强调文字颜色 3 4 2 25" xfId="9904"/>
    <cellStyle name="60% - 强调文字颜色 3 4 2 26" xfId="9905"/>
    <cellStyle name="60% - 强调文字颜色 3 4 2 27" xfId="9906"/>
    <cellStyle name="60% - 强调文字颜色 3 4 2 3" xfId="9907"/>
    <cellStyle name="60% - 强调文字颜色 3 4 2 4" xfId="9908"/>
    <cellStyle name="60% - 强调文字颜色 3 4 2 5" xfId="9909"/>
    <cellStyle name="60% - 强调文字颜色 3 4 2 6" xfId="9910"/>
    <cellStyle name="60% - 强调文字颜色 3 4 2 7" xfId="9911"/>
    <cellStyle name="60% - 强调文字颜色 3 4 2 8" xfId="9912"/>
    <cellStyle name="60% - 强调文字颜色 3 4 2 9" xfId="9913"/>
    <cellStyle name="60% - 强调文字颜色 3 4 20" xfId="9914"/>
    <cellStyle name="60% - 强调文字颜色 3 4 21" xfId="9915"/>
    <cellStyle name="60% - 强调文字颜色 3 4 22" xfId="9916"/>
    <cellStyle name="60% - 强调文字颜色 3 4 23" xfId="9917"/>
    <cellStyle name="60% - 强调文字颜色 3 4 24" xfId="9918"/>
    <cellStyle name="60% - 强调文字颜色 3 4 25" xfId="9919"/>
    <cellStyle name="60% - 强调文字颜色 3 4 26" xfId="9920"/>
    <cellStyle name="60% - 强调文字颜色 3 4 27" xfId="9921"/>
    <cellStyle name="60% - 强调文字颜色 3 4 28" xfId="9922"/>
    <cellStyle name="60% - 强调文字颜色 3 4 3" xfId="9923"/>
    <cellStyle name="60% - 强调文字颜色 3 4 4" xfId="9924"/>
    <cellStyle name="60% - 强调文字颜色 3 4 5" xfId="9925"/>
    <cellStyle name="60% - 强调文字颜色 3 4 6" xfId="9926"/>
    <cellStyle name="60% - 强调文字颜色 3 4 7" xfId="9927"/>
    <cellStyle name="60% - 强调文字颜色 3 4 8" xfId="9928"/>
    <cellStyle name="60% - 强调文字颜色 3 4 9" xfId="9929"/>
    <cellStyle name="60% - 强调文字颜色 3 40" xfId="9930"/>
    <cellStyle name="60% - 强调文字颜色 3 5" xfId="9931"/>
    <cellStyle name="60% - 强调文字颜色 3 5 10" xfId="9932"/>
    <cellStyle name="60% - 强调文字颜色 3 5 11" xfId="9933"/>
    <cellStyle name="60% - 强调文字颜色 3 5 12" xfId="9934"/>
    <cellStyle name="60% - 强调文字颜色 3 5 13" xfId="9935"/>
    <cellStyle name="60% - 强调文字颜色 3 5 14" xfId="9936"/>
    <cellStyle name="60% - 强调文字颜色 3 5 15" xfId="9937"/>
    <cellStyle name="60% - 强调文字颜色 3 5 16" xfId="9938"/>
    <cellStyle name="60% - 强调文字颜色 3 5 17" xfId="9939"/>
    <cellStyle name="60% - 强调文字颜色 3 5 18" xfId="9940"/>
    <cellStyle name="60% - 强调文字颜色 3 5 19" xfId="9941"/>
    <cellStyle name="60% - 强调文字颜色 3 5 2" xfId="9942"/>
    <cellStyle name="60% - 强调文字颜色 3 5 2 10" xfId="9943"/>
    <cellStyle name="60% - 强调文字颜色 3 5 2 11" xfId="9944"/>
    <cellStyle name="60% - 强调文字颜色 3 5 2 12" xfId="9945"/>
    <cellStyle name="60% - 强调文字颜色 3 5 2 13" xfId="9946"/>
    <cellStyle name="60% - 强调文字颜色 3 5 2 14" xfId="9947"/>
    <cellStyle name="60% - 强调文字颜色 3 5 2 15" xfId="9948"/>
    <cellStyle name="60% - 强调文字颜色 3 5 2 16" xfId="9949"/>
    <cellStyle name="60% - 强调文字颜色 3 5 2 17" xfId="9950"/>
    <cellStyle name="60% - 强调文字颜色 3 5 2 18" xfId="9951"/>
    <cellStyle name="60% - 强调文字颜色 3 5 2 19" xfId="9952"/>
    <cellStyle name="60% - 强调文字颜色 3 5 2 2" xfId="9953"/>
    <cellStyle name="60% - 强调文字颜色 3 5 2 20" xfId="9954"/>
    <cellStyle name="60% - 强调文字颜色 3 5 2 21" xfId="9955"/>
    <cellStyle name="60% - 强调文字颜色 3 5 2 22" xfId="9956"/>
    <cellStyle name="60% - 强调文字颜色 3 5 2 23" xfId="9957"/>
    <cellStyle name="60% - 强调文字颜色 3 5 2 24" xfId="9958"/>
    <cellStyle name="60% - 强调文字颜色 3 5 2 25" xfId="9959"/>
    <cellStyle name="60% - 强调文字颜色 3 5 2 26" xfId="9960"/>
    <cellStyle name="60% - 强调文字颜色 3 5 2 27" xfId="9961"/>
    <cellStyle name="60% - 强调文字颜色 3 5 2 3" xfId="9962"/>
    <cellStyle name="60% - 强调文字颜色 3 5 2 4" xfId="9963"/>
    <cellStyle name="60% - 强调文字颜色 3 5 2 5" xfId="9964"/>
    <cellStyle name="60% - 强调文字颜色 3 5 2 6" xfId="9965"/>
    <cellStyle name="60% - 强调文字颜色 3 5 2 7" xfId="9966"/>
    <cellStyle name="60% - 强调文字颜色 3 5 2 8" xfId="9967"/>
    <cellStyle name="60% - 强调文字颜色 3 5 2 9" xfId="9968"/>
    <cellStyle name="60% - 强调文字颜色 3 5 20" xfId="9969"/>
    <cellStyle name="60% - 强调文字颜色 3 5 21" xfId="9970"/>
    <cellStyle name="60% - 强调文字颜色 3 5 22" xfId="9971"/>
    <cellStyle name="60% - 强调文字颜色 3 5 23" xfId="9972"/>
    <cellStyle name="60% - 强调文字颜色 3 5 24" xfId="9973"/>
    <cellStyle name="60% - 强调文字颜色 3 5 25" xfId="9974"/>
    <cellStyle name="60% - 强调文字颜色 3 5 26" xfId="9975"/>
    <cellStyle name="60% - 强调文字颜色 3 5 27" xfId="9976"/>
    <cellStyle name="60% - 强调文字颜色 3 5 28" xfId="9977"/>
    <cellStyle name="60% - 强调文字颜色 3 5 3" xfId="9978"/>
    <cellStyle name="60% - 强调文字颜色 3 5 4" xfId="9979"/>
    <cellStyle name="60% - 强调文字颜色 3 5 5" xfId="9980"/>
    <cellStyle name="60% - 强调文字颜色 3 5 6" xfId="9981"/>
    <cellStyle name="60% - 强调文字颜色 3 5 7" xfId="9982"/>
    <cellStyle name="60% - 强调文字颜色 3 5 8" xfId="9983"/>
    <cellStyle name="60% - 强调文字颜色 3 5 9" xfId="9984"/>
    <cellStyle name="60% - 强调文字颜色 3 6" xfId="9985"/>
    <cellStyle name="60% - 强调文字颜色 3 6 10" xfId="9986"/>
    <cellStyle name="60% - 强调文字颜色 3 6 11" xfId="9987"/>
    <cellStyle name="60% - 强调文字颜色 3 6 12" xfId="9988"/>
    <cellStyle name="60% - 强调文字颜色 3 6 13" xfId="9989"/>
    <cellStyle name="60% - 强调文字颜色 3 6 14" xfId="9990"/>
    <cellStyle name="60% - 强调文字颜色 3 6 15" xfId="9991"/>
    <cellStyle name="60% - 强调文字颜色 3 6 16" xfId="9992"/>
    <cellStyle name="60% - 强调文字颜色 3 6 17" xfId="9993"/>
    <cellStyle name="60% - 强调文字颜色 3 6 18" xfId="9994"/>
    <cellStyle name="60% - 强调文字颜色 3 6 19" xfId="9995"/>
    <cellStyle name="60% - 强调文字颜色 3 6 2" xfId="9996"/>
    <cellStyle name="60% - 强调文字颜色 3 6 2 10" xfId="9997"/>
    <cellStyle name="60% - 强调文字颜色 3 6 2 11" xfId="9998"/>
    <cellStyle name="60% - 强调文字颜色 3 6 2 12" xfId="9999"/>
    <cellStyle name="60% - 强调文字颜色 3 6 2 13" xfId="10000"/>
    <cellStyle name="60% - 强调文字颜色 3 6 2 14" xfId="10001"/>
    <cellStyle name="60% - 强调文字颜色 3 6 2 15" xfId="10002"/>
    <cellStyle name="60% - 强调文字颜色 3 6 2 16" xfId="10003"/>
    <cellStyle name="60% - 强调文字颜色 3 6 2 17" xfId="10004"/>
    <cellStyle name="60% - 强调文字颜色 3 6 2 18" xfId="10005"/>
    <cellStyle name="60% - 强调文字颜色 3 6 2 19" xfId="10006"/>
    <cellStyle name="60% - 强调文字颜色 3 6 2 2" xfId="10007"/>
    <cellStyle name="60% - 强调文字颜色 3 6 2 20" xfId="10008"/>
    <cellStyle name="60% - 强调文字颜色 3 6 2 21" xfId="10009"/>
    <cellStyle name="60% - 强调文字颜色 3 6 2 22" xfId="10010"/>
    <cellStyle name="60% - 强调文字颜色 3 6 2 23" xfId="10011"/>
    <cellStyle name="60% - 强调文字颜色 3 6 2 24" xfId="10012"/>
    <cellStyle name="60% - 强调文字颜色 3 6 2 25" xfId="10013"/>
    <cellStyle name="60% - 强调文字颜色 3 6 2 26" xfId="10014"/>
    <cellStyle name="60% - 强调文字颜色 3 6 2 27" xfId="10015"/>
    <cellStyle name="60% - 强调文字颜色 3 6 2 3" xfId="10016"/>
    <cellStyle name="60% - 强调文字颜色 3 6 2 4" xfId="10017"/>
    <cellStyle name="60% - 强调文字颜色 3 6 2 5" xfId="10018"/>
    <cellStyle name="60% - 强调文字颜色 3 6 2 6" xfId="10019"/>
    <cellStyle name="60% - 强调文字颜色 3 6 2 7" xfId="10020"/>
    <cellStyle name="60% - 强调文字颜色 3 6 2 8" xfId="10021"/>
    <cellStyle name="60% - 强调文字颜色 3 6 2 9" xfId="10022"/>
    <cellStyle name="60% - 强调文字颜色 3 6 20" xfId="10023"/>
    <cellStyle name="60% - 强调文字颜色 3 6 21" xfId="10024"/>
    <cellStyle name="60% - 强调文字颜色 3 6 22" xfId="10025"/>
    <cellStyle name="60% - 强调文字颜色 3 6 23" xfId="10026"/>
    <cellStyle name="60% - 强调文字颜色 3 6 24" xfId="10027"/>
    <cellStyle name="60% - 强调文字颜色 3 6 25" xfId="10028"/>
    <cellStyle name="60% - 强调文字颜色 3 6 26" xfId="10029"/>
    <cellStyle name="60% - 强调文字颜色 3 6 27" xfId="10030"/>
    <cellStyle name="60% - 强调文字颜色 3 6 28" xfId="10031"/>
    <cellStyle name="60% - 强调文字颜色 3 6 3" xfId="10032"/>
    <cellStyle name="60% - 强调文字颜色 3 6 4" xfId="10033"/>
    <cellStyle name="60% - 强调文字颜色 3 6 5" xfId="10034"/>
    <cellStyle name="60% - 强调文字颜色 3 6 6" xfId="10035"/>
    <cellStyle name="60% - 强调文字颜色 3 6 7" xfId="10036"/>
    <cellStyle name="60% - 强调文字颜色 3 6 8" xfId="10037"/>
    <cellStyle name="60% - 强调文字颜色 3 6 9" xfId="10038"/>
    <cellStyle name="60% - 强调文字颜色 3 7" xfId="10039"/>
    <cellStyle name="60% - 强调文字颜色 3 7 10" xfId="10040"/>
    <cellStyle name="60% - 强调文字颜色 3 7 11" xfId="10041"/>
    <cellStyle name="60% - 强调文字颜色 3 7 12" xfId="10042"/>
    <cellStyle name="60% - 强调文字颜色 3 7 13" xfId="10043"/>
    <cellStyle name="60% - 强调文字颜色 3 7 14" xfId="10044"/>
    <cellStyle name="60% - 强调文字颜色 3 7 15" xfId="10045"/>
    <cellStyle name="60% - 强调文字颜色 3 7 16" xfId="10046"/>
    <cellStyle name="60% - 强调文字颜色 3 7 17" xfId="10047"/>
    <cellStyle name="60% - 强调文字颜色 3 7 18" xfId="10048"/>
    <cellStyle name="60% - 强调文字颜色 3 7 19" xfId="10049"/>
    <cellStyle name="60% - 强调文字颜色 3 7 2" xfId="10050"/>
    <cellStyle name="60% - 强调文字颜色 3 7 2 10" xfId="10051"/>
    <cellStyle name="60% - 强调文字颜色 3 7 2 11" xfId="10052"/>
    <cellStyle name="60% - 强调文字颜色 3 7 2 12" xfId="10053"/>
    <cellStyle name="60% - 强调文字颜色 3 7 2 13" xfId="10054"/>
    <cellStyle name="60% - 强调文字颜色 3 7 2 14" xfId="10055"/>
    <cellStyle name="60% - 强调文字颜色 3 7 2 15" xfId="10056"/>
    <cellStyle name="60% - 强调文字颜色 3 7 2 16" xfId="10057"/>
    <cellStyle name="60% - 强调文字颜色 3 7 2 17" xfId="10058"/>
    <cellStyle name="60% - 强调文字颜色 3 7 2 18" xfId="10059"/>
    <cellStyle name="60% - 强调文字颜色 3 7 2 19" xfId="10060"/>
    <cellStyle name="60% - 强调文字颜色 3 7 2 2" xfId="10061"/>
    <cellStyle name="60% - 强调文字颜色 3 7 2 20" xfId="10062"/>
    <cellStyle name="60% - 强调文字颜色 3 7 2 21" xfId="10063"/>
    <cellStyle name="60% - 强调文字颜色 3 7 2 22" xfId="10064"/>
    <cellStyle name="60% - 强调文字颜色 3 7 2 23" xfId="10065"/>
    <cellStyle name="60% - 强调文字颜色 3 7 2 24" xfId="10066"/>
    <cellStyle name="60% - 强调文字颜色 3 7 2 25" xfId="10067"/>
    <cellStyle name="60% - 强调文字颜色 3 7 2 26" xfId="10068"/>
    <cellStyle name="60% - 强调文字颜色 3 7 2 27" xfId="10069"/>
    <cellStyle name="60% - 强调文字颜色 3 7 2 3" xfId="10070"/>
    <cellStyle name="60% - 强调文字颜色 3 7 2 4" xfId="10071"/>
    <cellStyle name="60% - 强调文字颜色 3 7 2 5" xfId="10072"/>
    <cellStyle name="60% - 强调文字颜色 3 7 2 6" xfId="10073"/>
    <cellStyle name="60% - 强调文字颜色 3 7 2 7" xfId="10074"/>
    <cellStyle name="60% - 强调文字颜色 3 7 2 8" xfId="10075"/>
    <cellStyle name="60% - 强调文字颜色 3 7 2 9" xfId="10076"/>
    <cellStyle name="60% - 强调文字颜色 3 7 20" xfId="10077"/>
    <cellStyle name="60% - 强调文字颜色 3 7 21" xfId="10078"/>
    <cellStyle name="60% - 强调文字颜色 3 7 22" xfId="10079"/>
    <cellStyle name="60% - 强调文字颜色 3 7 23" xfId="10080"/>
    <cellStyle name="60% - 强调文字颜色 3 7 24" xfId="10081"/>
    <cellStyle name="60% - 强调文字颜色 3 7 25" xfId="10082"/>
    <cellStyle name="60% - 强调文字颜色 3 7 26" xfId="10083"/>
    <cellStyle name="60% - 强调文字颜色 3 7 27" xfId="10084"/>
    <cellStyle name="60% - 强调文字颜色 3 7 28" xfId="10085"/>
    <cellStyle name="60% - 强调文字颜色 3 7 3" xfId="10086"/>
    <cellStyle name="60% - 强调文字颜色 3 7 4" xfId="10087"/>
    <cellStyle name="60% - 强调文字颜色 3 7 5" xfId="10088"/>
    <cellStyle name="60% - 强调文字颜色 3 7 6" xfId="10089"/>
    <cellStyle name="60% - 强调文字颜色 3 7 7" xfId="10090"/>
    <cellStyle name="60% - 强调文字颜色 3 7 8" xfId="10091"/>
    <cellStyle name="60% - 强调文字颜色 3 7 9" xfId="10092"/>
    <cellStyle name="60% - 强调文字颜色 3 8" xfId="10093"/>
    <cellStyle name="60% - 强调文字颜色 3 8 10" xfId="10094"/>
    <cellStyle name="60% - 强调文字颜色 3 8 11" xfId="10095"/>
    <cellStyle name="60% - 强调文字颜色 3 8 12" xfId="10096"/>
    <cellStyle name="60% - 强调文字颜色 3 8 13" xfId="10097"/>
    <cellStyle name="60% - 强调文字颜色 3 8 14" xfId="10098"/>
    <cellStyle name="60% - 强调文字颜色 3 8 15" xfId="10099"/>
    <cellStyle name="60% - 强调文字颜色 3 8 16" xfId="10100"/>
    <cellStyle name="60% - 强调文字颜色 3 8 17" xfId="10101"/>
    <cellStyle name="60% - 强调文字颜色 3 8 18" xfId="10102"/>
    <cellStyle name="60% - 强调文字颜色 3 8 19" xfId="10103"/>
    <cellStyle name="60% - 强调文字颜色 3 8 2" xfId="10104"/>
    <cellStyle name="60% - 强调文字颜色 3 8 2 10" xfId="10105"/>
    <cellStyle name="60% - 强调文字颜色 3 8 2 11" xfId="10106"/>
    <cellStyle name="60% - 强调文字颜色 3 8 2 12" xfId="10107"/>
    <cellStyle name="60% - 强调文字颜色 3 8 2 13" xfId="10108"/>
    <cellStyle name="60% - 强调文字颜色 3 8 2 14" xfId="10109"/>
    <cellStyle name="60% - 强调文字颜色 3 8 2 15" xfId="10110"/>
    <cellStyle name="60% - 强调文字颜色 3 8 2 16" xfId="10111"/>
    <cellStyle name="60% - 强调文字颜色 3 8 2 17" xfId="10112"/>
    <cellStyle name="60% - 强调文字颜色 3 8 2 18" xfId="10113"/>
    <cellStyle name="60% - 强调文字颜色 3 8 2 19" xfId="10114"/>
    <cellStyle name="60% - 强调文字颜色 3 8 2 2" xfId="10115"/>
    <cellStyle name="60% - 强调文字颜色 3 8 2 20" xfId="10116"/>
    <cellStyle name="60% - 强调文字颜色 3 8 2 21" xfId="10117"/>
    <cellStyle name="60% - 强调文字颜色 3 8 2 22" xfId="10118"/>
    <cellStyle name="60% - 强调文字颜色 3 8 2 23" xfId="10119"/>
    <cellStyle name="60% - 强调文字颜色 3 8 2 24" xfId="10120"/>
    <cellStyle name="60% - 强调文字颜色 3 8 2 25" xfId="10121"/>
    <cellStyle name="60% - 强调文字颜色 3 8 2 26" xfId="10122"/>
    <cellStyle name="60% - 强调文字颜色 3 8 2 27" xfId="10123"/>
    <cellStyle name="60% - 强调文字颜色 3 8 2 3" xfId="10124"/>
    <cellStyle name="60% - 强调文字颜色 3 8 2 4" xfId="10125"/>
    <cellStyle name="60% - 强调文字颜色 3 8 2 5" xfId="10126"/>
    <cellStyle name="60% - 强调文字颜色 3 8 2 6" xfId="10127"/>
    <cellStyle name="60% - 强调文字颜色 3 8 2 7" xfId="10128"/>
    <cellStyle name="60% - 强调文字颜色 3 8 2 8" xfId="10129"/>
    <cellStyle name="60% - 强调文字颜色 3 8 2 9" xfId="10130"/>
    <cellStyle name="60% - 强调文字颜色 3 8 20" xfId="10131"/>
    <cellStyle name="60% - 强调文字颜色 3 8 21" xfId="10132"/>
    <cellStyle name="60% - 强调文字颜色 3 8 22" xfId="10133"/>
    <cellStyle name="60% - 强调文字颜色 3 8 23" xfId="10134"/>
    <cellStyle name="60% - 强调文字颜色 3 8 24" xfId="10135"/>
    <cellStyle name="60% - 强调文字颜色 3 8 25" xfId="10136"/>
    <cellStyle name="60% - 强调文字颜色 3 8 26" xfId="10137"/>
    <cellStyle name="60% - 强调文字颜色 3 8 27" xfId="10138"/>
    <cellStyle name="60% - 强调文字颜色 3 8 28" xfId="10139"/>
    <cellStyle name="60% - 强调文字颜色 3 8 3" xfId="10140"/>
    <cellStyle name="60% - 强调文字颜色 3 8 4" xfId="10141"/>
    <cellStyle name="60% - 强调文字颜色 3 8 5" xfId="10142"/>
    <cellStyle name="60% - 强调文字颜色 3 8 6" xfId="10143"/>
    <cellStyle name="60% - 强调文字颜色 3 8 7" xfId="10144"/>
    <cellStyle name="60% - 强调文字颜色 3 8 8" xfId="10145"/>
    <cellStyle name="60% - 强调文字颜色 3 8 9" xfId="10146"/>
    <cellStyle name="60% - 强调文字颜色 3 9" xfId="10147"/>
    <cellStyle name="60% - 强调文字颜色 3 9 10" xfId="10148"/>
    <cellStyle name="60% - 强调文字颜色 3 9 11" xfId="10149"/>
    <cellStyle name="60% - 强调文字颜色 3 9 12" xfId="10150"/>
    <cellStyle name="60% - 强调文字颜色 3 9 13" xfId="10151"/>
    <cellStyle name="60% - 强调文字颜色 3 9 14" xfId="10152"/>
    <cellStyle name="60% - 强调文字颜色 3 9 15" xfId="10153"/>
    <cellStyle name="60% - 强调文字颜色 3 9 16" xfId="10154"/>
    <cellStyle name="60% - 强调文字颜色 3 9 17" xfId="10155"/>
    <cellStyle name="60% - 强调文字颜色 3 9 18" xfId="10156"/>
    <cellStyle name="60% - 强调文字颜色 3 9 19" xfId="10157"/>
    <cellStyle name="60% - 强调文字颜色 3 9 2" xfId="10158"/>
    <cellStyle name="60% - 强调文字颜色 3 9 2 10" xfId="10159"/>
    <cellStyle name="60% - 强调文字颜色 3 9 2 11" xfId="10160"/>
    <cellStyle name="60% - 强调文字颜色 3 9 2 12" xfId="10161"/>
    <cellStyle name="60% - 强调文字颜色 3 9 2 13" xfId="10162"/>
    <cellStyle name="60% - 强调文字颜色 3 9 2 14" xfId="10163"/>
    <cellStyle name="60% - 强调文字颜色 3 9 2 15" xfId="10164"/>
    <cellStyle name="60% - 强调文字颜色 3 9 2 16" xfId="10165"/>
    <cellStyle name="60% - 强调文字颜色 3 9 2 17" xfId="10166"/>
    <cellStyle name="60% - 强调文字颜色 3 9 2 18" xfId="10167"/>
    <cellStyle name="60% - 强调文字颜色 3 9 2 19" xfId="10168"/>
    <cellStyle name="60% - 强调文字颜色 3 9 2 2" xfId="10169"/>
    <cellStyle name="60% - 强调文字颜色 3 9 2 20" xfId="10170"/>
    <cellStyle name="60% - 强调文字颜色 3 9 2 21" xfId="10171"/>
    <cellStyle name="60% - 强调文字颜色 3 9 2 22" xfId="10172"/>
    <cellStyle name="60% - 强调文字颜色 3 9 2 23" xfId="10173"/>
    <cellStyle name="60% - 强调文字颜色 3 9 2 24" xfId="10174"/>
    <cellStyle name="60% - 强调文字颜色 3 9 2 25" xfId="10175"/>
    <cellStyle name="60% - 强调文字颜色 3 9 2 26" xfId="10176"/>
    <cellStyle name="60% - 强调文字颜色 3 9 2 27" xfId="10177"/>
    <cellStyle name="60% - 强调文字颜色 3 9 2 3" xfId="10178"/>
    <cellStyle name="60% - 强调文字颜色 3 9 2 4" xfId="10179"/>
    <cellStyle name="60% - 强调文字颜色 3 9 2 5" xfId="10180"/>
    <cellStyle name="60% - 强调文字颜色 3 9 2 6" xfId="10181"/>
    <cellStyle name="60% - 强调文字颜色 3 9 2 7" xfId="10182"/>
    <cellStyle name="60% - 强调文字颜色 3 9 2 8" xfId="10183"/>
    <cellStyle name="60% - 强调文字颜色 3 9 2 9" xfId="10184"/>
    <cellStyle name="60% - 强调文字颜色 3 9 20" xfId="10185"/>
    <cellStyle name="60% - 强调文字颜色 3 9 21" xfId="10186"/>
    <cellStyle name="60% - 强调文字颜色 3 9 22" xfId="10187"/>
    <cellStyle name="60% - 强调文字颜色 3 9 23" xfId="10188"/>
    <cellStyle name="60% - 强调文字颜色 3 9 24" xfId="10189"/>
    <cellStyle name="60% - 强调文字颜色 3 9 25" xfId="10190"/>
    <cellStyle name="60% - 强调文字颜色 3 9 26" xfId="10191"/>
    <cellStyle name="60% - 强调文字颜色 3 9 27" xfId="10192"/>
    <cellStyle name="60% - 强调文字颜色 3 9 28" xfId="10193"/>
    <cellStyle name="60% - 强调文字颜色 3 9 3" xfId="10194"/>
    <cellStyle name="60% - 强调文字颜色 3 9 4" xfId="10195"/>
    <cellStyle name="60% - 强调文字颜色 3 9 5" xfId="10196"/>
    <cellStyle name="60% - 强调文字颜色 3 9 6" xfId="10197"/>
    <cellStyle name="60% - 强调文字颜色 3 9 7" xfId="10198"/>
    <cellStyle name="60% - 强调文字颜色 3 9 8" xfId="10199"/>
    <cellStyle name="60% - 强调文字颜色 3 9 9" xfId="10200"/>
    <cellStyle name="60% - 强调文字颜色 4 10" xfId="10201"/>
    <cellStyle name="60% - 强调文字颜色 4 10 10" xfId="10202"/>
    <cellStyle name="60% - 强调文字颜色 4 10 11" xfId="10203"/>
    <cellStyle name="60% - 强调文字颜色 4 10 12" xfId="10204"/>
    <cellStyle name="60% - 强调文字颜色 4 10 13" xfId="10205"/>
    <cellStyle name="60% - 强调文字颜色 4 10 14" xfId="10206"/>
    <cellStyle name="60% - 强调文字颜色 4 10 15" xfId="10207"/>
    <cellStyle name="60% - 强调文字颜色 4 10 16" xfId="10208"/>
    <cellStyle name="60% - 强调文字颜色 4 10 17" xfId="10209"/>
    <cellStyle name="60% - 强调文字颜色 4 10 18" xfId="10210"/>
    <cellStyle name="60% - 强调文字颜色 4 10 19" xfId="10211"/>
    <cellStyle name="60% - 强调文字颜色 4 10 2" xfId="10212"/>
    <cellStyle name="60% - 强调文字颜色 4 10 2 10" xfId="10213"/>
    <cellStyle name="60% - 强调文字颜色 4 10 2 11" xfId="10214"/>
    <cellStyle name="60% - 强调文字颜色 4 10 2 12" xfId="10215"/>
    <cellStyle name="60% - 强调文字颜色 4 10 2 13" xfId="10216"/>
    <cellStyle name="60% - 强调文字颜色 4 10 2 14" xfId="10217"/>
    <cellStyle name="60% - 强调文字颜色 4 10 2 15" xfId="10218"/>
    <cellStyle name="60% - 强调文字颜色 4 10 2 16" xfId="10219"/>
    <cellStyle name="60% - 强调文字颜色 4 10 2 17" xfId="10220"/>
    <cellStyle name="60% - 强调文字颜色 4 10 2 18" xfId="10221"/>
    <cellStyle name="60% - 强调文字颜色 4 10 2 19" xfId="10222"/>
    <cellStyle name="60% - 强调文字颜色 4 10 2 2" xfId="10223"/>
    <cellStyle name="60% - 强调文字颜色 4 10 2 20" xfId="10224"/>
    <cellStyle name="60% - 强调文字颜色 4 10 2 21" xfId="10225"/>
    <cellStyle name="60% - 强调文字颜色 4 10 2 22" xfId="10226"/>
    <cellStyle name="60% - 强调文字颜色 4 10 2 23" xfId="10227"/>
    <cellStyle name="60% - 强调文字颜色 4 10 2 24" xfId="10228"/>
    <cellStyle name="60% - 强调文字颜色 4 10 2 25" xfId="10229"/>
    <cellStyle name="60% - 强调文字颜色 4 10 2 26" xfId="10230"/>
    <cellStyle name="60% - 强调文字颜色 4 10 2 27" xfId="10231"/>
    <cellStyle name="60% - 强调文字颜色 4 10 2 3" xfId="10232"/>
    <cellStyle name="60% - 强调文字颜色 4 10 2 4" xfId="10233"/>
    <cellStyle name="60% - 强调文字颜色 4 10 2 5" xfId="10234"/>
    <cellStyle name="60% - 强调文字颜色 4 10 2 6" xfId="10235"/>
    <cellStyle name="60% - 强调文字颜色 4 10 2 7" xfId="10236"/>
    <cellStyle name="60% - 强调文字颜色 4 10 2 8" xfId="10237"/>
    <cellStyle name="60% - 强调文字颜色 4 10 2 9" xfId="10238"/>
    <cellStyle name="60% - 强调文字颜色 4 10 20" xfId="10239"/>
    <cellStyle name="60% - 强调文字颜色 4 10 21" xfId="10240"/>
    <cellStyle name="60% - 强调文字颜色 4 10 22" xfId="10241"/>
    <cellStyle name="60% - 强调文字颜色 4 10 23" xfId="10242"/>
    <cellStyle name="60% - 强调文字颜色 4 10 24" xfId="10243"/>
    <cellStyle name="60% - 强调文字颜色 4 10 25" xfId="10244"/>
    <cellStyle name="60% - 强调文字颜色 4 10 26" xfId="10245"/>
    <cellStyle name="60% - 强调文字颜色 4 10 27" xfId="10246"/>
    <cellStyle name="60% - 强调文字颜色 4 10 28" xfId="10247"/>
    <cellStyle name="60% - 强调文字颜色 4 10 3" xfId="10248"/>
    <cellStyle name="60% - 强调文字颜色 4 10 4" xfId="10249"/>
    <cellStyle name="60% - 强调文字颜色 4 10 5" xfId="10250"/>
    <cellStyle name="60% - 强调文字颜色 4 10 6" xfId="10251"/>
    <cellStyle name="60% - 强调文字颜色 4 10 7" xfId="10252"/>
    <cellStyle name="60% - 强调文字颜色 4 10 8" xfId="10253"/>
    <cellStyle name="60% - 强调文字颜色 4 10 9" xfId="10254"/>
    <cellStyle name="60% - 强调文字颜色 4 11" xfId="10255"/>
    <cellStyle name="60% - 强调文字颜色 4 11 10" xfId="10256"/>
    <cellStyle name="60% - 强调文字颜色 4 11 11" xfId="10257"/>
    <cellStyle name="60% - 强调文字颜色 4 11 12" xfId="10258"/>
    <cellStyle name="60% - 强调文字颜色 4 11 13" xfId="10259"/>
    <cellStyle name="60% - 强调文字颜色 4 11 14" xfId="10260"/>
    <cellStyle name="60% - 强调文字颜色 4 11 15" xfId="10261"/>
    <cellStyle name="60% - 强调文字颜色 4 11 16" xfId="10262"/>
    <cellStyle name="60% - 强调文字颜色 4 11 17" xfId="10263"/>
    <cellStyle name="60% - 强调文字颜色 4 11 18" xfId="10264"/>
    <cellStyle name="60% - 强调文字颜色 4 11 19" xfId="10265"/>
    <cellStyle name="60% - 强调文字颜色 4 11 2" xfId="10266"/>
    <cellStyle name="60% - 强调文字颜色 4 11 2 10" xfId="10267"/>
    <cellStyle name="60% - 强调文字颜色 4 11 2 11" xfId="10268"/>
    <cellStyle name="60% - 强调文字颜色 4 11 2 12" xfId="10269"/>
    <cellStyle name="60% - 强调文字颜色 4 11 2 13" xfId="10270"/>
    <cellStyle name="60% - 强调文字颜色 4 11 2 14" xfId="10271"/>
    <cellStyle name="60% - 强调文字颜色 4 11 2 15" xfId="10272"/>
    <cellStyle name="60% - 强调文字颜色 4 11 2 16" xfId="10273"/>
    <cellStyle name="60% - 强调文字颜色 4 11 2 17" xfId="10274"/>
    <cellStyle name="60% - 强调文字颜色 4 11 2 18" xfId="10275"/>
    <cellStyle name="60% - 强调文字颜色 4 11 2 19" xfId="10276"/>
    <cellStyle name="60% - 强调文字颜色 4 11 2 2" xfId="10277"/>
    <cellStyle name="60% - 强调文字颜色 4 11 2 20" xfId="10278"/>
    <cellStyle name="60% - 强调文字颜色 4 11 2 21" xfId="10279"/>
    <cellStyle name="60% - 强调文字颜色 4 11 2 22" xfId="10280"/>
    <cellStyle name="60% - 强调文字颜色 4 11 2 23" xfId="10281"/>
    <cellStyle name="60% - 强调文字颜色 4 11 2 24" xfId="10282"/>
    <cellStyle name="60% - 强调文字颜色 4 11 2 25" xfId="10283"/>
    <cellStyle name="60% - 强调文字颜色 4 11 2 26" xfId="10284"/>
    <cellStyle name="60% - 强调文字颜色 4 11 2 27" xfId="10285"/>
    <cellStyle name="60% - 强调文字颜色 4 11 2 3" xfId="10286"/>
    <cellStyle name="60% - 强调文字颜色 4 11 2 4" xfId="10287"/>
    <cellStyle name="60% - 强调文字颜色 4 11 2 5" xfId="10288"/>
    <cellStyle name="60% - 强调文字颜色 4 11 2 6" xfId="10289"/>
    <cellStyle name="60% - 强调文字颜色 4 11 2 7" xfId="10290"/>
    <cellStyle name="60% - 强调文字颜色 4 11 2 8" xfId="10291"/>
    <cellStyle name="60% - 强调文字颜色 4 11 2 9" xfId="10292"/>
    <cellStyle name="60% - 强调文字颜色 4 11 20" xfId="10293"/>
    <cellStyle name="60% - 强调文字颜色 4 11 21" xfId="10294"/>
    <cellStyle name="60% - 强调文字颜色 4 11 22" xfId="10295"/>
    <cellStyle name="60% - 强调文字颜色 4 11 23" xfId="10296"/>
    <cellStyle name="60% - 强调文字颜色 4 11 24" xfId="10297"/>
    <cellStyle name="60% - 强调文字颜色 4 11 25" xfId="10298"/>
    <cellStyle name="60% - 强调文字颜色 4 11 26" xfId="10299"/>
    <cellStyle name="60% - 强调文字颜色 4 11 27" xfId="10300"/>
    <cellStyle name="60% - 强调文字颜色 4 11 28" xfId="10301"/>
    <cellStyle name="60% - 强调文字颜色 4 11 3" xfId="10302"/>
    <cellStyle name="60% - 强调文字颜色 4 11 4" xfId="10303"/>
    <cellStyle name="60% - 强调文字颜色 4 11 5" xfId="10304"/>
    <cellStyle name="60% - 强调文字颜色 4 11 6" xfId="10305"/>
    <cellStyle name="60% - 强调文字颜色 4 11 7" xfId="10306"/>
    <cellStyle name="60% - 强调文字颜色 4 11 8" xfId="10307"/>
    <cellStyle name="60% - 强调文字颜色 4 11 9" xfId="10308"/>
    <cellStyle name="60% - 强调文字颜色 4 12" xfId="10309"/>
    <cellStyle name="60% - 强调文字颜色 4 13" xfId="10310"/>
    <cellStyle name="60% - 强调文字颜色 4 14" xfId="10311"/>
    <cellStyle name="60% - 强调文字颜色 4 15" xfId="10312"/>
    <cellStyle name="60% - 强调文字颜色 4 16" xfId="10313"/>
    <cellStyle name="60% - 强调文字颜色 4 17" xfId="10314"/>
    <cellStyle name="60% - 强调文字颜色 4 18" xfId="10315"/>
    <cellStyle name="60% - 强调文字颜色 4 19" xfId="10316"/>
    <cellStyle name="60% - 强调文字颜色 4 2" xfId="10317"/>
    <cellStyle name="60% - 强调文字颜色 4 2 10" xfId="10318"/>
    <cellStyle name="60% - 强调文字颜色 4 2 11" xfId="10319"/>
    <cellStyle name="60% - 强调文字颜色 4 2 12" xfId="10320"/>
    <cellStyle name="60% - 强调文字颜色 4 2 13" xfId="10321"/>
    <cellStyle name="60% - 强调文字颜色 4 2 14" xfId="10322"/>
    <cellStyle name="60% - 强调文字颜色 4 2 15" xfId="10323"/>
    <cellStyle name="60% - 强调文字颜色 4 2 16" xfId="10324"/>
    <cellStyle name="60% - 强调文字颜色 4 2 17" xfId="10325"/>
    <cellStyle name="60% - 强调文字颜色 4 2 18" xfId="10326"/>
    <cellStyle name="60% - 强调文字颜色 4 2 19" xfId="10327"/>
    <cellStyle name="60% - 强调文字颜色 4 2 2" xfId="10328"/>
    <cellStyle name="60% - 强调文字颜色 4 2 2 10" xfId="10329"/>
    <cellStyle name="60% - 强调文字颜色 4 2 2 11" xfId="10330"/>
    <cellStyle name="60% - 强调文字颜色 4 2 2 12" xfId="10331"/>
    <cellStyle name="60% - 强调文字颜色 4 2 2 13" xfId="10332"/>
    <cellStyle name="60% - 强调文字颜色 4 2 2 14" xfId="10333"/>
    <cellStyle name="60% - 强调文字颜色 4 2 2 15" xfId="10334"/>
    <cellStyle name="60% - 强调文字颜色 4 2 2 16" xfId="10335"/>
    <cellStyle name="60% - 强调文字颜色 4 2 2 17" xfId="10336"/>
    <cellStyle name="60% - 强调文字颜色 4 2 2 18" xfId="10337"/>
    <cellStyle name="60% - 强调文字颜色 4 2 2 19" xfId="10338"/>
    <cellStyle name="60% - 强调文字颜色 4 2 2 2" xfId="10339"/>
    <cellStyle name="60% - 强调文字颜色 4 2 2 2 10" xfId="10340"/>
    <cellStyle name="60% - 强调文字颜色 4 2 2 2 11" xfId="10341"/>
    <cellStyle name="60% - 强调文字颜色 4 2 2 2 12" xfId="10342"/>
    <cellStyle name="60% - 强调文字颜色 4 2 2 2 13" xfId="10343"/>
    <cellStyle name="60% - 强调文字颜色 4 2 2 2 14" xfId="10344"/>
    <cellStyle name="60% - 强调文字颜色 4 2 2 2 15" xfId="10345"/>
    <cellStyle name="60% - 强调文字颜色 4 2 2 2 16" xfId="10346"/>
    <cellStyle name="60% - 强调文字颜色 4 2 2 2 17" xfId="10347"/>
    <cellStyle name="60% - 强调文字颜色 4 2 2 2 18" xfId="10348"/>
    <cellStyle name="60% - 强调文字颜色 4 2 2 2 19" xfId="10349"/>
    <cellStyle name="60% - 强调文字颜色 4 2 2 2 2" xfId="10350"/>
    <cellStyle name="60% - 强调文字颜色 4 2 2 2 20" xfId="10351"/>
    <cellStyle name="60% - 强调文字颜色 4 2 2 2 21" xfId="10352"/>
    <cellStyle name="60% - 强调文字颜色 4 2 2 2 22" xfId="10353"/>
    <cellStyle name="60% - 强调文字颜色 4 2 2 2 23" xfId="10354"/>
    <cellStyle name="60% - 强调文字颜色 4 2 2 2 24" xfId="10355"/>
    <cellStyle name="60% - 强调文字颜色 4 2 2 2 25" xfId="10356"/>
    <cellStyle name="60% - 强调文字颜色 4 2 2 2 26" xfId="10357"/>
    <cellStyle name="60% - 强调文字颜色 4 2 2 2 27" xfId="10358"/>
    <cellStyle name="60% - 强调文字颜色 4 2 2 2 3" xfId="10359"/>
    <cellStyle name="60% - 强调文字颜色 4 2 2 2 4" xfId="10360"/>
    <cellStyle name="60% - 强调文字颜色 4 2 2 2 5" xfId="10361"/>
    <cellStyle name="60% - 强调文字颜色 4 2 2 2 6" xfId="10362"/>
    <cellStyle name="60% - 强调文字颜色 4 2 2 2 7" xfId="10363"/>
    <cellStyle name="60% - 强调文字颜色 4 2 2 2 8" xfId="10364"/>
    <cellStyle name="60% - 强调文字颜色 4 2 2 2 9" xfId="10365"/>
    <cellStyle name="60% - 强调文字颜色 4 2 2 20" xfId="10366"/>
    <cellStyle name="60% - 强调文字颜色 4 2 2 21" xfId="10367"/>
    <cellStyle name="60% - 强调文字颜色 4 2 2 22" xfId="10368"/>
    <cellStyle name="60% - 强调文字颜色 4 2 2 23" xfId="10369"/>
    <cellStyle name="60% - 强调文字颜色 4 2 2 24" xfId="10370"/>
    <cellStyle name="60% - 强调文字颜色 4 2 2 25" xfId="10371"/>
    <cellStyle name="60% - 强调文字颜色 4 2 2 26" xfId="10372"/>
    <cellStyle name="60% - 强调文字颜色 4 2 2 27" xfId="10373"/>
    <cellStyle name="60% - 强调文字颜色 4 2 2 28" xfId="10374"/>
    <cellStyle name="60% - 强调文字颜色 4 2 2 3" xfId="10375"/>
    <cellStyle name="60% - 强调文字颜色 4 2 2 4" xfId="10376"/>
    <cellStyle name="60% - 强调文字颜色 4 2 2 5" xfId="10377"/>
    <cellStyle name="60% - 强调文字颜色 4 2 2 6" xfId="10378"/>
    <cellStyle name="60% - 强调文字颜色 4 2 2 7" xfId="10379"/>
    <cellStyle name="60% - 强调文字颜色 4 2 2 8" xfId="10380"/>
    <cellStyle name="60% - 强调文字颜色 4 2 2 9" xfId="10381"/>
    <cellStyle name="60% - 强调文字颜色 4 2 20" xfId="10382"/>
    <cellStyle name="60% - 强调文字颜色 4 2 21" xfId="10383"/>
    <cellStyle name="60% - 强调文字颜色 4 2 22" xfId="10384"/>
    <cellStyle name="60% - 强调文字颜色 4 2 23" xfId="10385"/>
    <cellStyle name="60% - 强调文字颜色 4 2 24" xfId="10386"/>
    <cellStyle name="60% - 强调文字颜色 4 2 25" xfId="10387"/>
    <cellStyle name="60% - 强调文字颜色 4 2 26" xfId="10388"/>
    <cellStyle name="60% - 强调文字颜色 4 2 27" xfId="10389"/>
    <cellStyle name="60% - 强调文字颜色 4 2 28" xfId="10390"/>
    <cellStyle name="60% - 强调文字颜色 4 2 29" xfId="10391"/>
    <cellStyle name="60% - 强调文字颜色 4 2 3" xfId="10392"/>
    <cellStyle name="60% - 强调文字颜色 4 2 3 10" xfId="10393"/>
    <cellStyle name="60% - 强调文字颜色 4 2 3 11" xfId="10394"/>
    <cellStyle name="60% - 强调文字颜色 4 2 3 12" xfId="10395"/>
    <cellStyle name="60% - 强调文字颜色 4 2 3 13" xfId="10396"/>
    <cellStyle name="60% - 强调文字颜色 4 2 3 14" xfId="10397"/>
    <cellStyle name="60% - 强调文字颜色 4 2 3 15" xfId="10398"/>
    <cellStyle name="60% - 强调文字颜色 4 2 3 16" xfId="10399"/>
    <cellStyle name="60% - 强调文字颜色 4 2 3 17" xfId="10400"/>
    <cellStyle name="60% - 强调文字颜色 4 2 3 18" xfId="10401"/>
    <cellStyle name="60% - 强调文字颜色 4 2 3 19" xfId="10402"/>
    <cellStyle name="60% - 强调文字颜色 4 2 3 2" xfId="10403"/>
    <cellStyle name="60% - 强调文字颜色 4 2 3 2 10" xfId="10404"/>
    <cellStyle name="60% - 强调文字颜色 4 2 3 2 11" xfId="10405"/>
    <cellStyle name="60% - 强调文字颜色 4 2 3 2 12" xfId="10406"/>
    <cellStyle name="60% - 强调文字颜色 4 2 3 2 13" xfId="10407"/>
    <cellStyle name="60% - 强调文字颜色 4 2 3 2 14" xfId="10408"/>
    <cellStyle name="60% - 强调文字颜色 4 2 3 2 15" xfId="10409"/>
    <cellStyle name="60% - 强调文字颜色 4 2 3 2 16" xfId="10410"/>
    <cellStyle name="60% - 强调文字颜色 4 2 3 2 17" xfId="10411"/>
    <cellStyle name="60% - 强调文字颜色 4 2 3 2 18" xfId="10412"/>
    <cellStyle name="60% - 强调文字颜色 4 2 3 2 19" xfId="10413"/>
    <cellStyle name="60% - 强调文字颜色 4 2 3 2 2" xfId="10414"/>
    <cellStyle name="60% - 强调文字颜色 4 2 3 2 20" xfId="10415"/>
    <cellStyle name="60% - 强调文字颜色 4 2 3 2 21" xfId="10416"/>
    <cellStyle name="60% - 强调文字颜色 4 2 3 2 22" xfId="10417"/>
    <cellStyle name="60% - 强调文字颜色 4 2 3 2 23" xfId="10418"/>
    <cellStyle name="60% - 强调文字颜色 4 2 3 2 24" xfId="10419"/>
    <cellStyle name="60% - 强调文字颜色 4 2 3 2 25" xfId="10420"/>
    <cellStyle name="60% - 强调文字颜色 4 2 3 2 26" xfId="10421"/>
    <cellStyle name="60% - 强调文字颜色 4 2 3 2 27" xfId="10422"/>
    <cellStyle name="60% - 强调文字颜色 4 2 3 2 3" xfId="10423"/>
    <cellStyle name="60% - 强调文字颜色 4 2 3 2 4" xfId="10424"/>
    <cellStyle name="60% - 强调文字颜色 4 2 3 2 5" xfId="10425"/>
    <cellStyle name="60% - 强调文字颜色 4 2 3 2 6" xfId="10426"/>
    <cellStyle name="60% - 强调文字颜色 4 2 3 2 7" xfId="10427"/>
    <cellStyle name="60% - 强调文字颜色 4 2 3 2 8" xfId="10428"/>
    <cellStyle name="60% - 强调文字颜色 4 2 3 2 9" xfId="10429"/>
    <cellStyle name="60% - 强调文字颜色 4 2 3 20" xfId="10430"/>
    <cellStyle name="60% - 强调文字颜色 4 2 3 21" xfId="10431"/>
    <cellStyle name="60% - 强调文字颜色 4 2 3 22" xfId="10432"/>
    <cellStyle name="60% - 强调文字颜色 4 2 3 23" xfId="10433"/>
    <cellStyle name="60% - 强调文字颜色 4 2 3 24" xfId="10434"/>
    <cellStyle name="60% - 强调文字颜色 4 2 3 25" xfId="10435"/>
    <cellStyle name="60% - 强调文字颜色 4 2 3 26" xfId="10436"/>
    <cellStyle name="60% - 强调文字颜色 4 2 3 27" xfId="10437"/>
    <cellStyle name="60% - 强调文字颜色 4 2 3 28" xfId="10438"/>
    <cellStyle name="60% - 强调文字颜色 4 2 3 3" xfId="10439"/>
    <cellStyle name="60% - 强调文字颜色 4 2 3 4" xfId="10440"/>
    <cellStyle name="60% - 强调文字颜色 4 2 3 5" xfId="10441"/>
    <cellStyle name="60% - 强调文字颜色 4 2 3 6" xfId="10442"/>
    <cellStyle name="60% - 强调文字颜色 4 2 3 7" xfId="10443"/>
    <cellStyle name="60% - 强调文字颜色 4 2 3 8" xfId="10444"/>
    <cellStyle name="60% - 强调文字颜色 4 2 3 9" xfId="10445"/>
    <cellStyle name="60% - 强调文字颜色 4 2 30" xfId="10446"/>
    <cellStyle name="60% - 强调文字颜色 4 2 31" xfId="10447"/>
    <cellStyle name="60% - 强调文字颜色 4 2 32" xfId="10448"/>
    <cellStyle name="60% - 强调文字颜色 4 2 33" xfId="10449"/>
    <cellStyle name="60% - 强调文字颜色 4 2 4" xfId="10450"/>
    <cellStyle name="60% - 强调文字颜色 4 2 4 10" xfId="10451"/>
    <cellStyle name="60% - 强调文字颜色 4 2 4 11" xfId="10452"/>
    <cellStyle name="60% - 强调文字颜色 4 2 4 12" xfId="10453"/>
    <cellStyle name="60% - 强调文字颜色 4 2 4 13" xfId="10454"/>
    <cellStyle name="60% - 强调文字颜色 4 2 4 14" xfId="10455"/>
    <cellStyle name="60% - 强调文字颜色 4 2 4 15" xfId="10456"/>
    <cellStyle name="60% - 强调文字颜色 4 2 4 16" xfId="10457"/>
    <cellStyle name="60% - 强调文字颜色 4 2 4 17" xfId="10458"/>
    <cellStyle name="60% - 强调文字颜色 4 2 4 18" xfId="10459"/>
    <cellStyle name="60% - 强调文字颜色 4 2 4 19" xfId="10460"/>
    <cellStyle name="60% - 强调文字颜色 4 2 4 2" xfId="10461"/>
    <cellStyle name="60% - 强调文字颜色 4 2 4 20" xfId="10462"/>
    <cellStyle name="60% - 强调文字颜色 4 2 4 21" xfId="10463"/>
    <cellStyle name="60% - 强调文字颜色 4 2 4 22" xfId="10464"/>
    <cellStyle name="60% - 强调文字颜色 4 2 4 23" xfId="10465"/>
    <cellStyle name="60% - 强调文字颜色 4 2 4 24" xfId="10466"/>
    <cellStyle name="60% - 强调文字颜色 4 2 4 25" xfId="10467"/>
    <cellStyle name="60% - 强调文字颜色 4 2 4 26" xfId="10468"/>
    <cellStyle name="60% - 强调文字颜色 4 2 4 27" xfId="10469"/>
    <cellStyle name="60% - 强调文字颜色 4 2 4 3" xfId="10470"/>
    <cellStyle name="60% - 强调文字颜色 4 2 4 4" xfId="10471"/>
    <cellStyle name="60% - 强调文字颜色 4 2 4 5" xfId="10472"/>
    <cellStyle name="60% - 强调文字颜色 4 2 4 6" xfId="10473"/>
    <cellStyle name="60% - 强调文字颜色 4 2 4 7" xfId="10474"/>
    <cellStyle name="60% - 强调文字颜色 4 2 4 8" xfId="10475"/>
    <cellStyle name="60% - 强调文字颜色 4 2 4 9" xfId="10476"/>
    <cellStyle name="60% - 强调文字颜色 4 2 5" xfId="10477"/>
    <cellStyle name="60% - 强调文字颜色 4 2 6" xfId="10478"/>
    <cellStyle name="60% - 强调文字颜色 4 2 7" xfId="10479"/>
    <cellStyle name="60% - 强调文字颜色 4 2 8" xfId="10480"/>
    <cellStyle name="60% - 强调文字颜色 4 2 9" xfId="10481"/>
    <cellStyle name="60% - 强调文字颜色 4 20" xfId="10482"/>
    <cellStyle name="60% - 强调文字颜色 4 21" xfId="10483"/>
    <cellStyle name="60% - 强调文字颜色 4 22" xfId="10484"/>
    <cellStyle name="60% - 强调文字颜色 4 23" xfId="10485"/>
    <cellStyle name="60% - 强调文字颜色 4 24" xfId="10486"/>
    <cellStyle name="60% - 强调文字颜色 4 25" xfId="10487"/>
    <cellStyle name="60% - 强调文字颜色 4 26" xfId="10488"/>
    <cellStyle name="60% - 强调文字颜色 4 27" xfId="10489"/>
    <cellStyle name="60% - 强调文字颜色 4 28" xfId="10490"/>
    <cellStyle name="60% - 强调文字颜色 4 29" xfId="10491"/>
    <cellStyle name="60% - 强调文字颜色 4 3" xfId="10492"/>
    <cellStyle name="60% - 强调文字颜色 4 3 10" xfId="10493"/>
    <cellStyle name="60% - 强调文字颜色 4 3 11" xfId="10494"/>
    <cellStyle name="60% - 强调文字颜色 4 3 12" xfId="10495"/>
    <cellStyle name="60% - 强调文字颜色 4 3 13" xfId="10496"/>
    <cellStyle name="60% - 强调文字颜色 4 3 14" xfId="10497"/>
    <cellStyle name="60% - 强调文字颜色 4 3 15" xfId="10498"/>
    <cellStyle name="60% - 强调文字颜色 4 3 16" xfId="10499"/>
    <cellStyle name="60% - 强调文字颜色 4 3 17" xfId="10500"/>
    <cellStyle name="60% - 强调文字颜色 4 3 18" xfId="10501"/>
    <cellStyle name="60% - 强调文字颜色 4 3 19" xfId="10502"/>
    <cellStyle name="60% - 强调文字颜色 4 3 2" xfId="10503"/>
    <cellStyle name="60% - 强调文字颜色 4 3 2 10" xfId="10504"/>
    <cellStyle name="60% - 强调文字颜色 4 3 2 11" xfId="10505"/>
    <cellStyle name="60% - 强调文字颜色 4 3 2 12" xfId="10506"/>
    <cellStyle name="60% - 强调文字颜色 4 3 2 13" xfId="10507"/>
    <cellStyle name="60% - 强调文字颜色 4 3 2 14" xfId="10508"/>
    <cellStyle name="60% - 强调文字颜色 4 3 2 15" xfId="10509"/>
    <cellStyle name="60% - 强调文字颜色 4 3 2 16" xfId="10510"/>
    <cellStyle name="60% - 强调文字颜色 4 3 2 17" xfId="10511"/>
    <cellStyle name="60% - 强调文字颜色 4 3 2 18" xfId="10512"/>
    <cellStyle name="60% - 强调文字颜色 4 3 2 19" xfId="10513"/>
    <cellStyle name="60% - 强调文字颜色 4 3 2 2" xfId="10514"/>
    <cellStyle name="60% - 强调文字颜色 4 3 2 20" xfId="10515"/>
    <cellStyle name="60% - 强调文字颜色 4 3 2 21" xfId="10516"/>
    <cellStyle name="60% - 强调文字颜色 4 3 2 22" xfId="10517"/>
    <cellStyle name="60% - 强调文字颜色 4 3 2 23" xfId="10518"/>
    <cellStyle name="60% - 强调文字颜色 4 3 2 24" xfId="10519"/>
    <cellStyle name="60% - 强调文字颜色 4 3 2 25" xfId="10520"/>
    <cellStyle name="60% - 强调文字颜色 4 3 2 26" xfId="10521"/>
    <cellStyle name="60% - 强调文字颜色 4 3 2 27" xfId="10522"/>
    <cellStyle name="60% - 强调文字颜色 4 3 2 3" xfId="10523"/>
    <cellStyle name="60% - 强调文字颜色 4 3 2 4" xfId="10524"/>
    <cellStyle name="60% - 强调文字颜色 4 3 2 5" xfId="10525"/>
    <cellStyle name="60% - 强调文字颜色 4 3 2 6" xfId="10526"/>
    <cellStyle name="60% - 强调文字颜色 4 3 2 7" xfId="10527"/>
    <cellStyle name="60% - 强调文字颜色 4 3 2 8" xfId="10528"/>
    <cellStyle name="60% - 强调文字颜色 4 3 2 9" xfId="10529"/>
    <cellStyle name="60% - 强调文字颜色 4 3 20" xfId="10530"/>
    <cellStyle name="60% - 强调文字颜色 4 3 21" xfId="10531"/>
    <cellStyle name="60% - 强调文字颜色 4 3 22" xfId="10532"/>
    <cellStyle name="60% - 强调文字颜色 4 3 23" xfId="10533"/>
    <cellStyle name="60% - 强调文字颜色 4 3 24" xfId="10534"/>
    <cellStyle name="60% - 强调文字颜色 4 3 25" xfId="10535"/>
    <cellStyle name="60% - 强调文字颜色 4 3 26" xfId="10536"/>
    <cellStyle name="60% - 强调文字颜色 4 3 27" xfId="10537"/>
    <cellStyle name="60% - 强调文字颜色 4 3 28" xfId="10538"/>
    <cellStyle name="60% - 强调文字颜色 4 3 3" xfId="10539"/>
    <cellStyle name="60% - 强调文字颜色 4 3 4" xfId="10540"/>
    <cellStyle name="60% - 强调文字颜色 4 3 5" xfId="10541"/>
    <cellStyle name="60% - 强调文字颜色 4 3 6" xfId="10542"/>
    <cellStyle name="60% - 强调文字颜色 4 3 7" xfId="10543"/>
    <cellStyle name="60% - 强调文字颜色 4 3 8" xfId="10544"/>
    <cellStyle name="60% - 强调文字颜色 4 3 9" xfId="10545"/>
    <cellStyle name="60% - 强调文字颜色 4 30" xfId="10546"/>
    <cellStyle name="60% - 强调文字颜色 4 31" xfId="10547"/>
    <cellStyle name="60% - 强调文字颜色 4 32" xfId="10548"/>
    <cellStyle name="60% - 强调文字颜色 4 33" xfId="10549"/>
    <cellStyle name="60% - 强调文字颜色 4 34" xfId="10550"/>
    <cellStyle name="60% - 强调文字颜色 4 35" xfId="10551"/>
    <cellStyle name="60% - 强调文字颜色 4 36" xfId="10552"/>
    <cellStyle name="60% - 强调文字颜色 4 37" xfId="10553"/>
    <cellStyle name="60% - 强调文字颜色 4 38" xfId="10554"/>
    <cellStyle name="60% - 强调文字颜色 4 39" xfId="10555"/>
    <cellStyle name="60% - 强调文字颜色 4 4" xfId="10556"/>
    <cellStyle name="60% - 强调文字颜色 4 4 10" xfId="10557"/>
    <cellStyle name="60% - 强调文字颜色 4 4 11" xfId="10558"/>
    <cellStyle name="60% - 强调文字颜色 4 4 12" xfId="10559"/>
    <cellStyle name="60% - 强调文字颜色 4 4 13" xfId="10560"/>
    <cellStyle name="60% - 强调文字颜色 4 4 14" xfId="10561"/>
    <cellStyle name="60% - 强调文字颜色 4 4 15" xfId="10562"/>
    <cellStyle name="60% - 强调文字颜色 4 4 16" xfId="10563"/>
    <cellStyle name="60% - 强调文字颜色 4 4 17" xfId="10564"/>
    <cellStyle name="60% - 强调文字颜色 4 4 18" xfId="10565"/>
    <cellStyle name="60% - 强调文字颜色 4 4 19" xfId="10566"/>
    <cellStyle name="60% - 强调文字颜色 4 4 2" xfId="10567"/>
    <cellStyle name="60% - 强调文字颜色 4 4 2 10" xfId="10568"/>
    <cellStyle name="60% - 强调文字颜色 4 4 2 11" xfId="10569"/>
    <cellStyle name="60% - 强调文字颜色 4 4 2 12" xfId="10570"/>
    <cellStyle name="60% - 强调文字颜色 4 4 2 13" xfId="10571"/>
    <cellStyle name="60% - 强调文字颜色 4 4 2 14" xfId="10572"/>
    <cellStyle name="60% - 强调文字颜色 4 4 2 15" xfId="10573"/>
    <cellStyle name="60% - 强调文字颜色 4 4 2 16" xfId="10574"/>
    <cellStyle name="60% - 强调文字颜色 4 4 2 17" xfId="10575"/>
    <cellStyle name="60% - 强调文字颜色 4 4 2 18" xfId="10576"/>
    <cellStyle name="60% - 强调文字颜色 4 4 2 19" xfId="10577"/>
    <cellStyle name="60% - 强调文字颜色 4 4 2 2" xfId="10578"/>
    <cellStyle name="60% - 强调文字颜色 4 4 2 20" xfId="10579"/>
    <cellStyle name="60% - 强调文字颜色 4 4 2 21" xfId="10580"/>
    <cellStyle name="60% - 强调文字颜色 4 4 2 22" xfId="10581"/>
    <cellStyle name="60% - 强调文字颜色 4 4 2 23" xfId="10582"/>
    <cellStyle name="60% - 强调文字颜色 4 4 2 24" xfId="10583"/>
    <cellStyle name="60% - 强调文字颜色 4 4 2 25" xfId="10584"/>
    <cellStyle name="60% - 强调文字颜色 4 4 2 26" xfId="10585"/>
    <cellStyle name="60% - 强调文字颜色 4 4 2 27" xfId="10586"/>
    <cellStyle name="60% - 强调文字颜色 4 4 2 3" xfId="10587"/>
    <cellStyle name="60% - 强调文字颜色 4 4 2 4" xfId="10588"/>
    <cellStyle name="60% - 强调文字颜色 4 4 2 5" xfId="10589"/>
    <cellStyle name="60% - 强调文字颜色 4 4 2 6" xfId="10590"/>
    <cellStyle name="60% - 强调文字颜色 4 4 2 7" xfId="10591"/>
    <cellStyle name="60% - 强调文字颜色 4 4 2 8" xfId="10592"/>
    <cellStyle name="60% - 强调文字颜色 4 4 2 9" xfId="10593"/>
    <cellStyle name="60% - 强调文字颜色 4 4 20" xfId="10594"/>
    <cellStyle name="60% - 强调文字颜色 4 4 21" xfId="10595"/>
    <cellStyle name="60% - 强调文字颜色 4 4 22" xfId="10596"/>
    <cellStyle name="60% - 强调文字颜色 4 4 23" xfId="10597"/>
    <cellStyle name="60% - 强调文字颜色 4 4 24" xfId="10598"/>
    <cellStyle name="60% - 强调文字颜色 4 4 25" xfId="10599"/>
    <cellStyle name="60% - 强调文字颜色 4 4 26" xfId="10600"/>
    <cellStyle name="60% - 强调文字颜色 4 4 27" xfId="10601"/>
    <cellStyle name="60% - 强调文字颜色 4 4 28" xfId="10602"/>
    <cellStyle name="60% - 强调文字颜色 4 4 3" xfId="10603"/>
    <cellStyle name="60% - 强调文字颜色 4 4 4" xfId="10604"/>
    <cellStyle name="60% - 强调文字颜色 4 4 5" xfId="10605"/>
    <cellStyle name="60% - 强调文字颜色 4 4 6" xfId="10606"/>
    <cellStyle name="60% - 强调文字颜色 4 4 7" xfId="10607"/>
    <cellStyle name="60% - 强调文字颜色 4 4 8" xfId="10608"/>
    <cellStyle name="60% - 强调文字颜色 4 4 9" xfId="10609"/>
    <cellStyle name="60% - 强调文字颜色 4 40" xfId="10610"/>
    <cellStyle name="60% - 强调文字颜色 4 5" xfId="10611"/>
    <cellStyle name="60% - 强调文字颜色 4 5 10" xfId="10612"/>
    <cellStyle name="60% - 强调文字颜色 4 5 11" xfId="10613"/>
    <cellStyle name="60% - 强调文字颜色 4 5 12" xfId="10614"/>
    <cellStyle name="60% - 强调文字颜色 4 5 13" xfId="10615"/>
    <cellStyle name="60% - 强调文字颜色 4 5 14" xfId="10616"/>
    <cellStyle name="60% - 强调文字颜色 4 5 15" xfId="10617"/>
    <cellStyle name="60% - 强调文字颜色 4 5 16" xfId="10618"/>
    <cellStyle name="60% - 强调文字颜色 4 5 17" xfId="10619"/>
    <cellStyle name="60% - 强调文字颜色 4 5 18" xfId="10620"/>
    <cellStyle name="60% - 强调文字颜色 4 5 19" xfId="10621"/>
    <cellStyle name="60% - 强调文字颜色 4 5 2" xfId="10622"/>
    <cellStyle name="60% - 强调文字颜色 4 5 2 10" xfId="10623"/>
    <cellStyle name="60% - 强调文字颜色 4 5 2 11" xfId="10624"/>
    <cellStyle name="60% - 强调文字颜色 4 5 2 12" xfId="10625"/>
    <cellStyle name="60% - 强调文字颜色 4 5 2 13" xfId="10626"/>
    <cellStyle name="60% - 强调文字颜色 4 5 2 14" xfId="10627"/>
    <cellStyle name="60% - 强调文字颜色 4 5 2 15" xfId="10628"/>
    <cellStyle name="60% - 强调文字颜色 4 5 2 16" xfId="10629"/>
    <cellStyle name="60% - 强调文字颜色 4 5 2 17" xfId="10630"/>
    <cellStyle name="60% - 强调文字颜色 4 5 2 18" xfId="10631"/>
    <cellStyle name="60% - 强调文字颜色 4 5 2 19" xfId="10632"/>
    <cellStyle name="60% - 强调文字颜色 4 5 2 2" xfId="10633"/>
    <cellStyle name="60% - 强调文字颜色 4 5 2 20" xfId="10634"/>
    <cellStyle name="60% - 强调文字颜色 4 5 2 21" xfId="10635"/>
    <cellStyle name="60% - 强调文字颜色 4 5 2 22" xfId="10636"/>
    <cellStyle name="60% - 强调文字颜色 4 5 2 23" xfId="10637"/>
    <cellStyle name="60% - 强调文字颜色 4 5 2 24" xfId="10638"/>
    <cellStyle name="60% - 强调文字颜色 4 5 2 25" xfId="10639"/>
    <cellStyle name="60% - 强调文字颜色 4 5 2 26" xfId="10640"/>
    <cellStyle name="60% - 强调文字颜色 4 5 2 27" xfId="10641"/>
    <cellStyle name="60% - 强调文字颜色 4 5 2 3" xfId="10642"/>
    <cellStyle name="60% - 强调文字颜色 4 5 2 4" xfId="10643"/>
    <cellStyle name="60% - 强调文字颜色 4 5 2 5" xfId="10644"/>
    <cellStyle name="60% - 强调文字颜色 4 5 2 6" xfId="10645"/>
    <cellStyle name="60% - 强调文字颜色 4 5 2 7" xfId="10646"/>
    <cellStyle name="60% - 强调文字颜色 4 5 2 8" xfId="10647"/>
    <cellStyle name="60% - 强调文字颜色 4 5 2 9" xfId="10648"/>
    <cellStyle name="60% - 强调文字颜色 4 5 20" xfId="10649"/>
    <cellStyle name="60% - 强调文字颜色 4 5 21" xfId="10650"/>
    <cellStyle name="60% - 强调文字颜色 4 5 22" xfId="10651"/>
    <cellStyle name="60% - 强调文字颜色 4 5 23" xfId="10652"/>
    <cellStyle name="60% - 强调文字颜色 4 5 24" xfId="10653"/>
    <cellStyle name="60% - 强调文字颜色 4 5 25" xfId="10654"/>
    <cellStyle name="60% - 强调文字颜色 4 5 26" xfId="10655"/>
    <cellStyle name="60% - 强调文字颜色 4 5 27" xfId="10656"/>
    <cellStyle name="60% - 强调文字颜色 4 5 28" xfId="10657"/>
    <cellStyle name="60% - 强调文字颜色 4 5 3" xfId="10658"/>
    <cellStyle name="60% - 强调文字颜色 4 5 4" xfId="10659"/>
    <cellStyle name="60% - 强调文字颜色 4 5 5" xfId="10660"/>
    <cellStyle name="60% - 强调文字颜色 4 5 6" xfId="10661"/>
    <cellStyle name="60% - 强调文字颜色 4 5 7" xfId="10662"/>
    <cellStyle name="60% - 强调文字颜色 4 5 8" xfId="10663"/>
    <cellStyle name="60% - 强调文字颜色 4 5 9" xfId="10664"/>
    <cellStyle name="60% - 强调文字颜色 4 6" xfId="10665"/>
    <cellStyle name="60% - 强调文字颜色 4 6 10" xfId="10666"/>
    <cellStyle name="60% - 强调文字颜色 4 6 11" xfId="10667"/>
    <cellStyle name="60% - 强调文字颜色 4 6 12" xfId="10668"/>
    <cellStyle name="60% - 强调文字颜色 4 6 13" xfId="10669"/>
    <cellStyle name="60% - 强调文字颜色 4 6 14" xfId="10670"/>
    <cellStyle name="60% - 强调文字颜色 4 6 15" xfId="10671"/>
    <cellStyle name="60% - 强调文字颜色 4 6 16" xfId="10672"/>
    <cellStyle name="60% - 强调文字颜色 4 6 17" xfId="10673"/>
    <cellStyle name="60% - 强调文字颜色 4 6 18" xfId="10674"/>
    <cellStyle name="60% - 强调文字颜色 4 6 19" xfId="10675"/>
    <cellStyle name="60% - 强调文字颜色 4 6 2" xfId="10676"/>
    <cellStyle name="60% - 强调文字颜色 4 6 2 10" xfId="10677"/>
    <cellStyle name="60% - 强调文字颜色 4 6 2 11" xfId="10678"/>
    <cellStyle name="60% - 强调文字颜色 4 6 2 12" xfId="10679"/>
    <cellStyle name="60% - 强调文字颜色 4 6 2 13" xfId="10680"/>
    <cellStyle name="60% - 强调文字颜色 4 6 2 14" xfId="10681"/>
    <cellStyle name="60% - 强调文字颜色 4 6 2 15" xfId="10682"/>
    <cellStyle name="60% - 强调文字颜色 4 6 2 16" xfId="10683"/>
    <cellStyle name="60% - 强调文字颜色 4 6 2 17" xfId="10684"/>
    <cellStyle name="60% - 强调文字颜色 4 6 2 18" xfId="10685"/>
    <cellStyle name="60% - 强调文字颜色 4 6 2 19" xfId="10686"/>
    <cellStyle name="60% - 强调文字颜色 4 6 2 2" xfId="10687"/>
    <cellStyle name="60% - 强调文字颜色 4 6 2 20" xfId="10688"/>
    <cellStyle name="60% - 强调文字颜色 4 6 2 21" xfId="10689"/>
    <cellStyle name="60% - 强调文字颜色 4 6 2 22" xfId="10690"/>
    <cellStyle name="60% - 强调文字颜色 4 6 2 23" xfId="10691"/>
    <cellStyle name="60% - 强调文字颜色 4 6 2 24" xfId="10692"/>
    <cellStyle name="60% - 强调文字颜色 4 6 2 25" xfId="10693"/>
    <cellStyle name="60% - 强调文字颜色 4 6 2 26" xfId="10694"/>
    <cellStyle name="60% - 强调文字颜色 4 6 2 27" xfId="10695"/>
    <cellStyle name="60% - 强调文字颜色 4 6 2 3" xfId="10696"/>
    <cellStyle name="60% - 强调文字颜色 4 6 2 4" xfId="10697"/>
    <cellStyle name="60% - 强调文字颜色 4 6 2 5" xfId="10698"/>
    <cellStyle name="60% - 强调文字颜色 4 6 2 6" xfId="10699"/>
    <cellStyle name="60% - 强调文字颜色 4 6 2 7" xfId="10700"/>
    <cellStyle name="60% - 强调文字颜色 4 6 2 8" xfId="10701"/>
    <cellStyle name="60% - 强调文字颜色 4 6 2 9" xfId="10702"/>
    <cellStyle name="60% - 强调文字颜色 4 6 20" xfId="10703"/>
    <cellStyle name="60% - 强调文字颜色 4 6 21" xfId="10704"/>
    <cellStyle name="60% - 强调文字颜色 4 6 22" xfId="10705"/>
    <cellStyle name="60% - 强调文字颜色 4 6 23" xfId="10706"/>
    <cellStyle name="60% - 强调文字颜色 4 6 24" xfId="10707"/>
    <cellStyle name="60% - 强调文字颜色 4 6 25" xfId="10708"/>
    <cellStyle name="60% - 强调文字颜色 4 6 26" xfId="10709"/>
    <cellStyle name="60% - 强调文字颜色 4 6 27" xfId="10710"/>
    <cellStyle name="60% - 强调文字颜色 4 6 28" xfId="10711"/>
    <cellStyle name="60% - 强调文字颜色 4 6 3" xfId="10712"/>
    <cellStyle name="60% - 强调文字颜色 4 6 4" xfId="10713"/>
    <cellStyle name="60% - 强调文字颜色 4 6 5" xfId="10714"/>
    <cellStyle name="60% - 强调文字颜色 4 6 6" xfId="10715"/>
    <cellStyle name="60% - 强调文字颜色 4 6 7" xfId="10716"/>
    <cellStyle name="60% - 强调文字颜色 4 6 8" xfId="10717"/>
    <cellStyle name="60% - 强调文字颜色 4 6 9" xfId="10718"/>
    <cellStyle name="60% - 强调文字颜色 4 7" xfId="10719"/>
    <cellStyle name="60% - 强调文字颜色 4 7 10" xfId="10720"/>
    <cellStyle name="60% - 强调文字颜色 4 7 11" xfId="10721"/>
    <cellStyle name="60% - 强调文字颜色 4 7 12" xfId="10722"/>
    <cellStyle name="60% - 强调文字颜色 4 7 13" xfId="10723"/>
    <cellStyle name="60% - 强调文字颜色 4 7 14" xfId="10724"/>
    <cellStyle name="60% - 强调文字颜色 4 7 15" xfId="10725"/>
    <cellStyle name="60% - 强调文字颜色 4 7 16" xfId="10726"/>
    <cellStyle name="60% - 强调文字颜色 4 7 17" xfId="10727"/>
    <cellStyle name="60% - 强调文字颜色 4 7 18" xfId="10728"/>
    <cellStyle name="60% - 强调文字颜色 4 7 19" xfId="10729"/>
    <cellStyle name="60% - 强调文字颜色 4 7 2" xfId="10730"/>
    <cellStyle name="60% - 强调文字颜色 4 7 2 10" xfId="10731"/>
    <cellStyle name="60% - 强调文字颜色 4 7 2 11" xfId="10732"/>
    <cellStyle name="60% - 强调文字颜色 4 7 2 12" xfId="10733"/>
    <cellStyle name="60% - 强调文字颜色 4 7 2 13" xfId="10734"/>
    <cellStyle name="60% - 强调文字颜色 4 7 2 14" xfId="10735"/>
    <cellStyle name="60% - 强调文字颜色 4 7 2 15" xfId="10736"/>
    <cellStyle name="60% - 强调文字颜色 4 7 2 16" xfId="10737"/>
    <cellStyle name="60% - 强调文字颜色 4 7 2 17" xfId="10738"/>
    <cellStyle name="60% - 强调文字颜色 4 7 2 18" xfId="10739"/>
    <cellStyle name="60% - 强调文字颜色 4 7 2 19" xfId="10740"/>
    <cellStyle name="60% - 强调文字颜色 4 7 2 2" xfId="10741"/>
    <cellStyle name="60% - 强调文字颜色 4 7 2 20" xfId="10742"/>
    <cellStyle name="60% - 强调文字颜色 4 7 2 21" xfId="10743"/>
    <cellStyle name="60% - 强调文字颜色 4 7 2 22" xfId="10744"/>
    <cellStyle name="60% - 强调文字颜色 4 7 2 23" xfId="10745"/>
    <cellStyle name="60% - 强调文字颜色 4 7 2 24" xfId="10746"/>
    <cellStyle name="60% - 强调文字颜色 4 7 2 25" xfId="10747"/>
    <cellStyle name="60% - 强调文字颜色 4 7 2 26" xfId="10748"/>
    <cellStyle name="60% - 强调文字颜色 4 7 2 27" xfId="10749"/>
    <cellStyle name="60% - 强调文字颜色 4 7 2 3" xfId="10750"/>
    <cellStyle name="60% - 强调文字颜色 4 7 2 4" xfId="10751"/>
    <cellStyle name="60% - 强调文字颜色 4 7 2 5" xfId="10752"/>
    <cellStyle name="60% - 强调文字颜色 4 7 2 6" xfId="10753"/>
    <cellStyle name="60% - 强调文字颜色 4 7 2 7" xfId="10754"/>
    <cellStyle name="60% - 强调文字颜色 4 7 2 8" xfId="10755"/>
    <cellStyle name="60% - 强调文字颜色 4 7 2 9" xfId="10756"/>
    <cellStyle name="60% - 强调文字颜色 4 7 20" xfId="10757"/>
    <cellStyle name="60% - 强调文字颜色 4 7 21" xfId="10758"/>
    <cellStyle name="60% - 强调文字颜色 4 7 22" xfId="10759"/>
    <cellStyle name="60% - 强调文字颜色 4 7 23" xfId="10760"/>
    <cellStyle name="60% - 强调文字颜色 4 7 24" xfId="10761"/>
    <cellStyle name="60% - 强调文字颜色 4 7 25" xfId="10762"/>
    <cellStyle name="60% - 强调文字颜色 4 7 26" xfId="10763"/>
    <cellStyle name="60% - 强调文字颜色 4 7 27" xfId="10764"/>
    <cellStyle name="60% - 强调文字颜色 4 7 28" xfId="10765"/>
    <cellStyle name="60% - 强调文字颜色 4 7 3" xfId="10766"/>
    <cellStyle name="60% - 强调文字颜色 4 7 4" xfId="10767"/>
    <cellStyle name="60% - 强调文字颜色 4 7 5" xfId="10768"/>
    <cellStyle name="60% - 强调文字颜色 4 7 6" xfId="10769"/>
    <cellStyle name="60% - 强调文字颜色 4 7 7" xfId="10770"/>
    <cellStyle name="60% - 强调文字颜色 4 7 8" xfId="10771"/>
    <cellStyle name="60% - 强调文字颜色 4 7 9" xfId="10772"/>
    <cellStyle name="60% - 强调文字颜色 4 8" xfId="10773"/>
    <cellStyle name="60% - 强调文字颜色 4 8 10" xfId="10774"/>
    <cellStyle name="60% - 强调文字颜色 4 8 11" xfId="10775"/>
    <cellStyle name="60% - 强调文字颜色 4 8 12" xfId="10776"/>
    <cellStyle name="60% - 强调文字颜色 4 8 13" xfId="10777"/>
    <cellStyle name="60% - 强调文字颜色 4 8 14" xfId="10778"/>
    <cellStyle name="60% - 强调文字颜色 4 8 15" xfId="10779"/>
    <cellStyle name="60% - 强调文字颜色 4 8 16" xfId="10780"/>
    <cellStyle name="60% - 强调文字颜色 4 8 17" xfId="10781"/>
    <cellStyle name="60% - 强调文字颜色 4 8 18" xfId="10782"/>
    <cellStyle name="60% - 强调文字颜色 4 8 19" xfId="10783"/>
    <cellStyle name="60% - 强调文字颜色 4 8 2" xfId="10784"/>
    <cellStyle name="60% - 强调文字颜色 4 8 2 10" xfId="10785"/>
    <cellStyle name="60% - 强调文字颜色 4 8 2 11" xfId="10786"/>
    <cellStyle name="60% - 强调文字颜色 4 8 2 12" xfId="10787"/>
    <cellStyle name="60% - 强调文字颜色 4 8 2 13" xfId="10788"/>
    <cellStyle name="60% - 强调文字颜色 4 8 2 14" xfId="10789"/>
    <cellStyle name="60% - 强调文字颜色 4 8 2 15" xfId="10790"/>
    <cellStyle name="60% - 强调文字颜色 4 8 2 16" xfId="10791"/>
    <cellStyle name="60% - 强调文字颜色 4 8 2 17" xfId="10792"/>
    <cellStyle name="60% - 强调文字颜色 4 8 2 18" xfId="10793"/>
    <cellStyle name="60% - 强调文字颜色 4 8 2 19" xfId="10794"/>
    <cellStyle name="60% - 强调文字颜色 4 8 2 2" xfId="10795"/>
    <cellStyle name="60% - 强调文字颜色 4 8 2 20" xfId="10796"/>
    <cellStyle name="60% - 强调文字颜色 4 8 2 21" xfId="10797"/>
    <cellStyle name="60% - 强调文字颜色 4 8 2 22" xfId="10798"/>
    <cellStyle name="60% - 强调文字颜色 4 8 2 23" xfId="10799"/>
    <cellStyle name="60% - 强调文字颜色 4 8 2 24" xfId="10800"/>
    <cellStyle name="60% - 强调文字颜色 4 8 2 25" xfId="10801"/>
    <cellStyle name="60% - 强调文字颜色 4 8 2 26" xfId="10802"/>
    <cellStyle name="60% - 强调文字颜色 4 8 2 27" xfId="10803"/>
    <cellStyle name="60% - 强调文字颜色 4 8 2 3" xfId="10804"/>
    <cellStyle name="60% - 强调文字颜色 4 8 2 4" xfId="10805"/>
    <cellStyle name="60% - 强调文字颜色 4 8 2 5" xfId="10806"/>
    <cellStyle name="60% - 强调文字颜色 4 8 2 6" xfId="10807"/>
    <cellStyle name="60% - 强调文字颜色 4 8 2 7" xfId="10808"/>
    <cellStyle name="60% - 强调文字颜色 4 8 2 8" xfId="10809"/>
    <cellStyle name="60% - 强调文字颜色 4 8 2 9" xfId="10810"/>
    <cellStyle name="60% - 强调文字颜色 4 8 20" xfId="10811"/>
    <cellStyle name="60% - 强调文字颜色 4 8 21" xfId="10812"/>
    <cellStyle name="60% - 强调文字颜色 4 8 22" xfId="10813"/>
    <cellStyle name="60% - 强调文字颜色 4 8 23" xfId="10814"/>
    <cellStyle name="60% - 强调文字颜色 4 8 24" xfId="10815"/>
    <cellStyle name="60% - 强调文字颜色 4 8 25" xfId="10816"/>
    <cellStyle name="60% - 强调文字颜色 4 8 26" xfId="10817"/>
    <cellStyle name="60% - 强调文字颜色 4 8 27" xfId="10818"/>
    <cellStyle name="60% - 强调文字颜色 4 8 28" xfId="10819"/>
    <cellStyle name="60% - 强调文字颜色 4 8 3" xfId="10820"/>
    <cellStyle name="60% - 强调文字颜色 4 8 4" xfId="10821"/>
    <cellStyle name="60% - 强调文字颜色 4 8 5" xfId="10822"/>
    <cellStyle name="60% - 强调文字颜色 4 8 6" xfId="10823"/>
    <cellStyle name="60% - 强调文字颜色 4 8 7" xfId="10824"/>
    <cellStyle name="60% - 强调文字颜色 4 8 8" xfId="10825"/>
    <cellStyle name="60% - 强调文字颜色 4 8 9" xfId="10826"/>
    <cellStyle name="60% - 强调文字颜色 4 9" xfId="10827"/>
    <cellStyle name="60% - 强调文字颜色 4 9 10" xfId="10828"/>
    <cellStyle name="60% - 强调文字颜色 4 9 11" xfId="10829"/>
    <cellStyle name="60% - 强调文字颜色 4 9 12" xfId="10830"/>
    <cellStyle name="60% - 强调文字颜色 4 9 13" xfId="10831"/>
    <cellStyle name="60% - 强调文字颜色 4 9 14" xfId="10832"/>
    <cellStyle name="60% - 强调文字颜色 4 9 15" xfId="10833"/>
    <cellStyle name="60% - 强调文字颜色 4 9 16" xfId="10834"/>
    <cellStyle name="60% - 强调文字颜色 4 9 17" xfId="10835"/>
    <cellStyle name="60% - 强调文字颜色 4 9 18" xfId="10836"/>
    <cellStyle name="60% - 强调文字颜色 4 9 19" xfId="10837"/>
    <cellStyle name="60% - 强调文字颜色 4 9 2" xfId="10838"/>
    <cellStyle name="60% - 强调文字颜色 4 9 2 10" xfId="10839"/>
    <cellStyle name="60% - 强调文字颜色 4 9 2 11" xfId="10840"/>
    <cellStyle name="60% - 强调文字颜色 4 9 2 12" xfId="10841"/>
    <cellStyle name="60% - 强调文字颜色 4 9 2 13" xfId="10842"/>
    <cellStyle name="60% - 强调文字颜色 4 9 2 14" xfId="10843"/>
    <cellStyle name="60% - 强调文字颜色 4 9 2 15" xfId="10844"/>
    <cellStyle name="60% - 强调文字颜色 4 9 2 16" xfId="10845"/>
    <cellStyle name="60% - 强调文字颜色 4 9 2 17" xfId="10846"/>
    <cellStyle name="60% - 强调文字颜色 4 9 2 18" xfId="10847"/>
    <cellStyle name="60% - 强调文字颜色 4 9 2 19" xfId="10848"/>
    <cellStyle name="60% - 强调文字颜色 4 9 2 2" xfId="10849"/>
    <cellStyle name="60% - 强调文字颜色 4 9 2 20" xfId="10850"/>
    <cellStyle name="60% - 强调文字颜色 4 9 2 21" xfId="10851"/>
    <cellStyle name="60% - 强调文字颜色 4 9 2 22" xfId="10852"/>
    <cellStyle name="60% - 强调文字颜色 4 9 2 23" xfId="10853"/>
    <cellStyle name="60% - 强调文字颜色 4 9 2 24" xfId="10854"/>
    <cellStyle name="60% - 强调文字颜色 4 9 2 25" xfId="10855"/>
    <cellStyle name="60% - 强调文字颜色 4 9 2 26" xfId="10856"/>
    <cellStyle name="60% - 强调文字颜色 4 9 2 27" xfId="10857"/>
    <cellStyle name="60% - 强调文字颜色 4 9 2 3" xfId="10858"/>
    <cellStyle name="60% - 强调文字颜色 4 9 2 4" xfId="10859"/>
    <cellStyle name="60% - 强调文字颜色 4 9 2 5" xfId="10860"/>
    <cellStyle name="60% - 强调文字颜色 4 9 2 6" xfId="10861"/>
    <cellStyle name="60% - 强调文字颜色 4 9 2 7" xfId="10862"/>
    <cellStyle name="60% - 强调文字颜色 4 9 2 8" xfId="10863"/>
    <cellStyle name="60% - 强调文字颜色 4 9 2 9" xfId="10864"/>
    <cellStyle name="60% - 强调文字颜色 4 9 20" xfId="10865"/>
    <cellStyle name="60% - 强调文字颜色 4 9 21" xfId="10866"/>
    <cellStyle name="60% - 强调文字颜色 4 9 22" xfId="10867"/>
    <cellStyle name="60% - 强调文字颜色 4 9 23" xfId="10868"/>
    <cellStyle name="60% - 强调文字颜色 4 9 24" xfId="10869"/>
    <cellStyle name="60% - 强调文字颜色 4 9 25" xfId="10870"/>
    <cellStyle name="60% - 强调文字颜色 4 9 26" xfId="10871"/>
    <cellStyle name="60% - 强调文字颜色 4 9 27" xfId="10872"/>
    <cellStyle name="60% - 强调文字颜色 4 9 28" xfId="10873"/>
    <cellStyle name="60% - 强调文字颜色 4 9 3" xfId="10874"/>
    <cellStyle name="60% - 强调文字颜色 4 9 4" xfId="10875"/>
    <cellStyle name="60% - 强调文字颜色 4 9 5" xfId="10876"/>
    <cellStyle name="60% - 强调文字颜色 4 9 6" xfId="10877"/>
    <cellStyle name="60% - 强调文字颜色 4 9 7" xfId="10878"/>
    <cellStyle name="60% - 强调文字颜色 4 9 8" xfId="10879"/>
    <cellStyle name="60% - 强调文字颜色 4 9 9" xfId="10880"/>
    <cellStyle name="60% - 强调文字颜色 5 10" xfId="10881"/>
    <cellStyle name="60% - 强调文字颜色 5 10 10" xfId="10882"/>
    <cellStyle name="60% - 强调文字颜色 5 10 11" xfId="10883"/>
    <cellStyle name="60% - 强调文字颜色 5 10 12" xfId="10884"/>
    <cellStyle name="60% - 强调文字颜色 5 10 13" xfId="10885"/>
    <cellStyle name="60% - 强调文字颜色 5 10 14" xfId="10886"/>
    <cellStyle name="60% - 强调文字颜色 5 10 15" xfId="10887"/>
    <cellStyle name="60% - 强调文字颜色 5 10 16" xfId="10888"/>
    <cellStyle name="60% - 强调文字颜色 5 10 17" xfId="10889"/>
    <cellStyle name="60% - 强调文字颜色 5 10 18" xfId="10890"/>
    <cellStyle name="60% - 强调文字颜色 5 10 19" xfId="10891"/>
    <cellStyle name="60% - 强调文字颜色 5 10 2" xfId="10892"/>
    <cellStyle name="60% - 强调文字颜色 5 10 2 10" xfId="10893"/>
    <cellStyle name="60% - 强调文字颜色 5 10 2 11" xfId="10894"/>
    <cellStyle name="60% - 强调文字颜色 5 10 2 12" xfId="10895"/>
    <cellStyle name="60% - 强调文字颜色 5 10 2 13" xfId="10896"/>
    <cellStyle name="60% - 强调文字颜色 5 10 2 14" xfId="10897"/>
    <cellStyle name="60% - 强调文字颜色 5 10 2 15" xfId="10898"/>
    <cellStyle name="60% - 强调文字颜色 5 10 2 16" xfId="10899"/>
    <cellStyle name="60% - 强调文字颜色 5 10 2 17" xfId="10900"/>
    <cellStyle name="60% - 强调文字颜色 5 10 2 18" xfId="10901"/>
    <cellStyle name="60% - 强调文字颜色 5 10 2 19" xfId="10902"/>
    <cellStyle name="60% - 强调文字颜色 5 10 2 2" xfId="10903"/>
    <cellStyle name="60% - 强调文字颜色 5 10 2 20" xfId="10904"/>
    <cellStyle name="60% - 强调文字颜色 5 10 2 21" xfId="10905"/>
    <cellStyle name="60% - 强调文字颜色 5 10 2 22" xfId="10906"/>
    <cellStyle name="60% - 强调文字颜色 5 10 2 23" xfId="10907"/>
    <cellStyle name="60% - 强调文字颜色 5 10 2 24" xfId="10908"/>
    <cellStyle name="60% - 强调文字颜色 5 10 2 25" xfId="10909"/>
    <cellStyle name="60% - 强调文字颜色 5 10 2 26" xfId="10910"/>
    <cellStyle name="60% - 强调文字颜色 5 10 2 27" xfId="10911"/>
    <cellStyle name="60% - 强调文字颜色 5 10 2 3" xfId="10912"/>
    <cellStyle name="60% - 强调文字颜色 5 10 2 4" xfId="10913"/>
    <cellStyle name="60% - 强调文字颜色 5 10 2 5" xfId="10914"/>
    <cellStyle name="60% - 强调文字颜色 5 10 2 6" xfId="10915"/>
    <cellStyle name="60% - 强调文字颜色 5 10 2 7" xfId="10916"/>
    <cellStyle name="60% - 强调文字颜色 5 10 2 8" xfId="10917"/>
    <cellStyle name="60% - 强调文字颜色 5 10 2 9" xfId="10918"/>
    <cellStyle name="60% - 强调文字颜色 5 10 20" xfId="10919"/>
    <cellStyle name="60% - 强调文字颜色 5 10 21" xfId="10920"/>
    <cellStyle name="60% - 强调文字颜色 5 10 22" xfId="10921"/>
    <cellStyle name="60% - 强调文字颜色 5 10 23" xfId="10922"/>
    <cellStyle name="60% - 强调文字颜色 5 10 24" xfId="10923"/>
    <cellStyle name="60% - 强调文字颜色 5 10 25" xfId="10924"/>
    <cellStyle name="60% - 强调文字颜色 5 10 26" xfId="10925"/>
    <cellStyle name="60% - 强调文字颜色 5 10 27" xfId="10926"/>
    <cellStyle name="60% - 强调文字颜色 5 10 28" xfId="10927"/>
    <cellStyle name="60% - 强调文字颜色 5 10 3" xfId="10928"/>
    <cellStyle name="60% - 强调文字颜色 5 10 4" xfId="10929"/>
    <cellStyle name="60% - 强调文字颜色 5 10 5" xfId="10930"/>
    <cellStyle name="60% - 强调文字颜色 5 10 6" xfId="10931"/>
    <cellStyle name="60% - 强调文字颜色 5 10 7" xfId="10932"/>
    <cellStyle name="60% - 强调文字颜色 5 10 8" xfId="10933"/>
    <cellStyle name="60% - 强调文字颜色 5 10 9" xfId="10934"/>
    <cellStyle name="60% - 强调文字颜色 5 11" xfId="10935"/>
    <cellStyle name="60% - 强调文字颜色 5 11 10" xfId="10936"/>
    <cellStyle name="60% - 强调文字颜色 5 11 11" xfId="10937"/>
    <cellStyle name="60% - 强调文字颜色 5 11 12" xfId="10938"/>
    <cellStyle name="60% - 强调文字颜色 5 11 13" xfId="10939"/>
    <cellStyle name="60% - 强调文字颜色 5 11 14" xfId="10940"/>
    <cellStyle name="60% - 强调文字颜色 5 11 15" xfId="10941"/>
    <cellStyle name="60% - 强调文字颜色 5 11 16" xfId="10942"/>
    <cellStyle name="60% - 强调文字颜色 5 11 17" xfId="10943"/>
    <cellStyle name="60% - 强调文字颜色 5 11 18" xfId="10944"/>
    <cellStyle name="60% - 强调文字颜色 5 11 19" xfId="10945"/>
    <cellStyle name="60% - 强调文字颜色 5 11 2" xfId="10946"/>
    <cellStyle name="60% - 强调文字颜色 5 11 2 10" xfId="10947"/>
    <cellStyle name="60% - 强调文字颜色 5 11 2 11" xfId="10948"/>
    <cellStyle name="60% - 强调文字颜色 5 11 2 12" xfId="10949"/>
    <cellStyle name="60% - 强调文字颜色 5 11 2 13" xfId="10950"/>
    <cellStyle name="60% - 强调文字颜色 5 11 2 14" xfId="10951"/>
    <cellStyle name="60% - 强调文字颜色 5 11 2 15" xfId="10952"/>
    <cellStyle name="60% - 强调文字颜色 5 11 2 16" xfId="10953"/>
    <cellStyle name="60% - 强调文字颜色 5 11 2 17" xfId="10954"/>
    <cellStyle name="60% - 强调文字颜色 5 11 2 18" xfId="10955"/>
    <cellStyle name="60% - 强调文字颜色 5 11 2 19" xfId="10956"/>
    <cellStyle name="60% - 强调文字颜色 5 11 2 2" xfId="10957"/>
    <cellStyle name="60% - 强调文字颜色 5 11 2 20" xfId="10958"/>
    <cellStyle name="60% - 强调文字颜色 5 11 2 21" xfId="10959"/>
    <cellStyle name="60% - 强调文字颜色 5 11 2 22" xfId="10960"/>
    <cellStyle name="60% - 强调文字颜色 5 11 2 23" xfId="10961"/>
    <cellStyle name="60% - 强调文字颜色 5 11 2 24" xfId="10962"/>
    <cellStyle name="60% - 强调文字颜色 5 11 2 25" xfId="10963"/>
    <cellStyle name="60% - 强调文字颜色 5 11 2 26" xfId="10964"/>
    <cellStyle name="60% - 强调文字颜色 5 11 2 27" xfId="10965"/>
    <cellStyle name="60% - 强调文字颜色 5 11 2 3" xfId="10966"/>
    <cellStyle name="60% - 强调文字颜色 5 11 2 4" xfId="10967"/>
    <cellStyle name="60% - 强调文字颜色 5 11 2 5" xfId="10968"/>
    <cellStyle name="60% - 强调文字颜色 5 11 2 6" xfId="10969"/>
    <cellStyle name="60% - 强调文字颜色 5 11 2 7" xfId="10970"/>
    <cellStyle name="60% - 强调文字颜色 5 11 2 8" xfId="10971"/>
    <cellStyle name="60% - 强调文字颜色 5 11 2 9" xfId="10972"/>
    <cellStyle name="60% - 强调文字颜色 5 11 20" xfId="10973"/>
    <cellStyle name="60% - 强调文字颜色 5 11 21" xfId="10974"/>
    <cellStyle name="60% - 强调文字颜色 5 11 22" xfId="10975"/>
    <cellStyle name="60% - 强调文字颜色 5 11 23" xfId="10976"/>
    <cellStyle name="60% - 强调文字颜色 5 11 24" xfId="10977"/>
    <cellStyle name="60% - 强调文字颜色 5 11 25" xfId="10978"/>
    <cellStyle name="60% - 强调文字颜色 5 11 26" xfId="10979"/>
    <cellStyle name="60% - 强调文字颜色 5 11 27" xfId="10980"/>
    <cellStyle name="60% - 强调文字颜色 5 11 28" xfId="10981"/>
    <cellStyle name="60% - 强调文字颜色 5 11 3" xfId="10982"/>
    <cellStyle name="60% - 强调文字颜色 5 11 4" xfId="10983"/>
    <cellStyle name="60% - 强调文字颜色 5 11 5" xfId="10984"/>
    <cellStyle name="60% - 强调文字颜色 5 11 6" xfId="10985"/>
    <cellStyle name="60% - 强调文字颜色 5 11 7" xfId="10986"/>
    <cellStyle name="60% - 强调文字颜色 5 11 8" xfId="10987"/>
    <cellStyle name="60% - 强调文字颜色 5 11 9" xfId="10988"/>
    <cellStyle name="60% - 强调文字颜色 5 12" xfId="10989"/>
    <cellStyle name="60% - 强调文字颜色 5 13" xfId="10990"/>
    <cellStyle name="60% - 强调文字颜色 5 14" xfId="10991"/>
    <cellStyle name="60% - 强调文字颜色 5 15" xfId="10992"/>
    <cellStyle name="60% - 强调文字颜色 5 16" xfId="10993"/>
    <cellStyle name="60% - 强调文字颜色 5 17" xfId="10994"/>
    <cellStyle name="60% - 强调文字颜色 5 18" xfId="10995"/>
    <cellStyle name="60% - 强调文字颜色 5 19" xfId="10996"/>
    <cellStyle name="60% - 强调文字颜色 5 2" xfId="10997"/>
    <cellStyle name="60% - 强调文字颜色 5 2 10" xfId="10998"/>
    <cellStyle name="60% - 强调文字颜色 5 2 11" xfId="10999"/>
    <cellStyle name="60% - 强调文字颜色 5 2 12" xfId="11000"/>
    <cellStyle name="60% - 强调文字颜色 5 2 13" xfId="11001"/>
    <cellStyle name="60% - 强调文字颜色 5 2 14" xfId="11002"/>
    <cellStyle name="60% - 强调文字颜色 5 2 15" xfId="11003"/>
    <cellStyle name="60% - 强调文字颜色 5 2 16" xfId="11004"/>
    <cellStyle name="60% - 强调文字颜色 5 2 17" xfId="11005"/>
    <cellStyle name="60% - 强调文字颜色 5 2 18" xfId="11006"/>
    <cellStyle name="60% - 强调文字颜色 5 2 19" xfId="11007"/>
    <cellStyle name="60% - 强调文字颜色 5 2 2" xfId="11008"/>
    <cellStyle name="60% - 强调文字颜色 5 2 2 10" xfId="11009"/>
    <cellStyle name="60% - 强调文字颜色 5 2 2 11" xfId="11010"/>
    <cellStyle name="60% - 强调文字颜色 5 2 2 12" xfId="11011"/>
    <cellStyle name="60% - 强调文字颜色 5 2 2 13" xfId="11012"/>
    <cellStyle name="60% - 强调文字颜色 5 2 2 14" xfId="11013"/>
    <cellStyle name="60% - 强调文字颜色 5 2 2 15" xfId="11014"/>
    <cellStyle name="60% - 强调文字颜色 5 2 2 16" xfId="11015"/>
    <cellStyle name="60% - 强调文字颜色 5 2 2 17" xfId="11016"/>
    <cellStyle name="60% - 强调文字颜色 5 2 2 18" xfId="11017"/>
    <cellStyle name="60% - 强调文字颜色 5 2 2 19" xfId="11018"/>
    <cellStyle name="60% - 强调文字颜色 5 2 2 2" xfId="11019"/>
    <cellStyle name="60% - 强调文字颜色 5 2 2 2 10" xfId="11020"/>
    <cellStyle name="60% - 强调文字颜色 5 2 2 2 11" xfId="11021"/>
    <cellStyle name="60% - 强调文字颜色 5 2 2 2 12" xfId="11022"/>
    <cellStyle name="60% - 强调文字颜色 5 2 2 2 13" xfId="11023"/>
    <cellStyle name="60% - 强调文字颜色 5 2 2 2 14" xfId="11024"/>
    <cellStyle name="60% - 强调文字颜色 5 2 2 2 15" xfId="11025"/>
    <cellStyle name="60% - 强调文字颜色 5 2 2 2 16" xfId="11026"/>
    <cellStyle name="60% - 强调文字颜色 5 2 2 2 17" xfId="11027"/>
    <cellStyle name="60% - 强调文字颜色 5 2 2 2 18" xfId="11028"/>
    <cellStyle name="60% - 强调文字颜色 5 2 2 2 19" xfId="11029"/>
    <cellStyle name="60% - 强调文字颜色 5 2 2 2 2" xfId="11030"/>
    <cellStyle name="60% - 强调文字颜色 5 2 2 2 20" xfId="11031"/>
    <cellStyle name="60% - 强调文字颜色 5 2 2 2 21" xfId="11032"/>
    <cellStyle name="60% - 强调文字颜色 5 2 2 2 22" xfId="11033"/>
    <cellStyle name="60% - 强调文字颜色 5 2 2 2 23" xfId="11034"/>
    <cellStyle name="60% - 强调文字颜色 5 2 2 2 24" xfId="11035"/>
    <cellStyle name="60% - 强调文字颜色 5 2 2 2 25" xfId="11036"/>
    <cellStyle name="60% - 强调文字颜色 5 2 2 2 26" xfId="11037"/>
    <cellStyle name="60% - 强调文字颜色 5 2 2 2 27" xfId="11038"/>
    <cellStyle name="60% - 强调文字颜色 5 2 2 2 3" xfId="11039"/>
    <cellStyle name="60% - 强调文字颜色 5 2 2 2 4" xfId="11040"/>
    <cellStyle name="60% - 强调文字颜色 5 2 2 2 5" xfId="11041"/>
    <cellStyle name="60% - 强调文字颜色 5 2 2 2 6" xfId="11042"/>
    <cellStyle name="60% - 强调文字颜色 5 2 2 2 7" xfId="11043"/>
    <cellStyle name="60% - 强调文字颜色 5 2 2 2 8" xfId="11044"/>
    <cellStyle name="60% - 强调文字颜色 5 2 2 2 9" xfId="11045"/>
    <cellStyle name="60% - 强调文字颜色 5 2 2 20" xfId="11046"/>
    <cellStyle name="60% - 强调文字颜色 5 2 2 21" xfId="11047"/>
    <cellStyle name="60% - 强调文字颜色 5 2 2 22" xfId="11048"/>
    <cellStyle name="60% - 强调文字颜色 5 2 2 23" xfId="11049"/>
    <cellStyle name="60% - 强调文字颜色 5 2 2 24" xfId="11050"/>
    <cellStyle name="60% - 强调文字颜色 5 2 2 25" xfId="11051"/>
    <cellStyle name="60% - 强调文字颜色 5 2 2 26" xfId="11052"/>
    <cellStyle name="60% - 强调文字颜色 5 2 2 27" xfId="11053"/>
    <cellStyle name="60% - 强调文字颜色 5 2 2 28" xfId="11054"/>
    <cellStyle name="60% - 强调文字颜色 5 2 2 3" xfId="11055"/>
    <cellStyle name="60% - 强调文字颜色 5 2 2 4" xfId="11056"/>
    <cellStyle name="60% - 强调文字颜色 5 2 2 5" xfId="11057"/>
    <cellStyle name="60% - 强调文字颜色 5 2 2 6" xfId="11058"/>
    <cellStyle name="60% - 强调文字颜色 5 2 2 7" xfId="11059"/>
    <cellStyle name="60% - 强调文字颜色 5 2 2 8" xfId="11060"/>
    <cellStyle name="60% - 强调文字颜色 5 2 2 9" xfId="11061"/>
    <cellStyle name="60% - 强调文字颜色 5 2 20" xfId="11062"/>
    <cellStyle name="60% - 强调文字颜色 5 2 21" xfId="11063"/>
    <cellStyle name="60% - 强调文字颜色 5 2 22" xfId="11064"/>
    <cellStyle name="60% - 强调文字颜色 5 2 23" xfId="11065"/>
    <cellStyle name="60% - 强调文字颜色 5 2 24" xfId="11066"/>
    <cellStyle name="60% - 强调文字颜色 5 2 25" xfId="11067"/>
    <cellStyle name="60% - 强调文字颜色 5 2 26" xfId="11068"/>
    <cellStyle name="60% - 强调文字颜色 5 2 27" xfId="11069"/>
    <cellStyle name="60% - 强调文字颜色 5 2 28" xfId="11070"/>
    <cellStyle name="60% - 强调文字颜色 5 2 29" xfId="11071"/>
    <cellStyle name="60% - 强调文字颜色 5 2 3" xfId="11072"/>
    <cellStyle name="60% - 强调文字颜色 5 2 3 10" xfId="11073"/>
    <cellStyle name="60% - 强调文字颜色 5 2 3 11" xfId="11074"/>
    <cellStyle name="60% - 强调文字颜色 5 2 3 12" xfId="11075"/>
    <cellStyle name="60% - 强调文字颜色 5 2 3 13" xfId="11076"/>
    <cellStyle name="60% - 强调文字颜色 5 2 3 14" xfId="11077"/>
    <cellStyle name="60% - 强调文字颜色 5 2 3 15" xfId="11078"/>
    <cellStyle name="60% - 强调文字颜色 5 2 3 16" xfId="11079"/>
    <cellStyle name="60% - 强调文字颜色 5 2 3 17" xfId="11080"/>
    <cellStyle name="60% - 强调文字颜色 5 2 3 18" xfId="11081"/>
    <cellStyle name="60% - 强调文字颜色 5 2 3 19" xfId="11082"/>
    <cellStyle name="60% - 强调文字颜色 5 2 3 2" xfId="11083"/>
    <cellStyle name="60% - 强调文字颜色 5 2 3 2 10" xfId="11084"/>
    <cellStyle name="60% - 强调文字颜色 5 2 3 2 11" xfId="11085"/>
    <cellStyle name="60% - 强调文字颜色 5 2 3 2 12" xfId="11086"/>
    <cellStyle name="60% - 强调文字颜色 5 2 3 2 13" xfId="11087"/>
    <cellStyle name="60% - 强调文字颜色 5 2 3 2 14" xfId="11088"/>
    <cellStyle name="60% - 强调文字颜色 5 2 3 2 15" xfId="11089"/>
    <cellStyle name="60% - 强调文字颜色 5 2 3 2 16" xfId="11090"/>
    <cellStyle name="60% - 强调文字颜色 5 2 3 2 17" xfId="11091"/>
    <cellStyle name="60% - 强调文字颜色 5 2 3 2 18" xfId="11092"/>
    <cellStyle name="60% - 强调文字颜色 5 2 3 2 19" xfId="11093"/>
    <cellStyle name="60% - 强调文字颜色 5 2 3 2 2" xfId="11094"/>
    <cellStyle name="60% - 强调文字颜色 5 2 3 2 20" xfId="11095"/>
    <cellStyle name="60% - 强调文字颜色 5 2 3 2 21" xfId="11096"/>
    <cellStyle name="60% - 强调文字颜色 5 2 3 2 22" xfId="11097"/>
    <cellStyle name="60% - 强调文字颜色 5 2 3 2 23" xfId="11098"/>
    <cellStyle name="60% - 强调文字颜色 5 2 3 2 24" xfId="11099"/>
    <cellStyle name="60% - 强调文字颜色 5 2 3 2 25" xfId="11100"/>
    <cellStyle name="60% - 强调文字颜色 5 2 3 2 26" xfId="11101"/>
    <cellStyle name="60% - 强调文字颜色 5 2 3 2 27" xfId="11102"/>
    <cellStyle name="60% - 强调文字颜色 5 2 3 2 3" xfId="11103"/>
    <cellStyle name="60% - 强调文字颜色 5 2 3 2 4" xfId="11104"/>
    <cellStyle name="60% - 强调文字颜色 5 2 3 2 5" xfId="11105"/>
    <cellStyle name="60% - 强调文字颜色 5 2 3 2 6" xfId="11106"/>
    <cellStyle name="60% - 强调文字颜色 5 2 3 2 7" xfId="11107"/>
    <cellStyle name="60% - 强调文字颜色 5 2 3 2 8" xfId="11108"/>
    <cellStyle name="60% - 强调文字颜色 5 2 3 2 9" xfId="11109"/>
    <cellStyle name="60% - 强调文字颜色 5 2 3 20" xfId="11110"/>
    <cellStyle name="60% - 强调文字颜色 5 2 3 21" xfId="11111"/>
    <cellStyle name="60% - 强调文字颜色 5 2 3 22" xfId="11112"/>
    <cellStyle name="60% - 强调文字颜色 5 2 3 23" xfId="11113"/>
    <cellStyle name="60% - 强调文字颜色 5 2 3 24" xfId="11114"/>
    <cellStyle name="60% - 强调文字颜色 5 2 3 25" xfId="11115"/>
    <cellStyle name="60% - 强调文字颜色 5 2 3 26" xfId="11116"/>
    <cellStyle name="60% - 强调文字颜色 5 2 3 27" xfId="11117"/>
    <cellStyle name="60% - 强调文字颜色 5 2 3 28" xfId="11118"/>
    <cellStyle name="60% - 强调文字颜色 5 2 3 3" xfId="11119"/>
    <cellStyle name="60% - 强调文字颜色 5 2 3 4" xfId="11120"/>
    <cellStyle name="60% - 强调文字颜色 5 2 3 5" xfId="11121"/>
    <cellStyle name="60% - 强调文字颜色 5 2 3 6" xfId="11122"/>
    <cellStyle name="60% - 强调文字颜色 5 2 3 7" xfId="11123"/>
    <cellStyle name="60% - 强调文字颜色 5 2 3 8" xfId="11124"/>
    <cellStyle name="60% - 强调文字颜色 5 2 3 9" xfId="11125"/>
    <cellStyle name="60% - 强调文字颜色 5 2 30" xfId="11126"/>
    <cellStyle name="60% - 强调文字颜色 5 2 31" xfId="11127"/>
    <cellStyle name="60% - 强调文字颜色 5 2 32" xfId="11128"/>
    <cellStyle name="60% - 强调文字颜色 5 2 33" xfId="11129"/>
    <cellStyle name="60% - 强调文字颜色 5 2 4" xfId="11130"/>
    <cellStyle name="60% - 强调文字颜色 5 2 4 10" xfId="11131"/>
    <cellStyle name="60% - 强调文字颜色 5 2 4 11" xfId="11132"/>
    <cellStyle name="60% - 强调文字颜色 5 2 4 12" xfId="11133"/>
    <cellStyle name="60% - 强调文字颜色 5 2 4 13" xfId="11134"/>
    <cellStyle name="60% - 强调文字颜色 5 2 4 14" xfId="11135"/>
    <cellStyle name="60% - 强调文字颜色 5 2 4 15" xfId="11136"/>
    <cellStyle name="60% - 强调文字颜色 5 2 4 16" xfId="11137"/>
    <cellStyle name="60% - 强调文字颜色 5 2 4 17" xfId="11138"/>
    <cellStyle name="60% - 强调文字颜色 5 2 4 18" xfId="11139"/>
    <cellStyle name="60% - 强调文字颜色 5 2 4 19" xfId="11140"/>
    <cellStyle name="60% - 强调文字颜色 5 2 4 2" xfId="11141"/>
    <cellStyle name="60% - 强调文字颜色 5 2 4 20" xfId="11142"/>
    <cellStyle name="60% - 强调文字颜色 5 2 4 21" xfId="11143"/>
    <cellStyle name="60% - 强调文字颜色 5 2 4 22" xfId="11144"/>
    <cellStyle name="60% - 强调文字颜色 5 2 4 23" xfId="11145"/>
    <cellStyle name="60% - 强调文字颜色 5 2 4 24" xfId="11146"/>
    <cellStyle name="60% - 强调文字颜色 5 2 4 25" xfId="11147"/>
    <cellStyle name="60% - 强调文字颜色 5 2 4 26" xfId="11148"/>
    <cellStyle name="60% - 强调文字颜色 5 2 4 27" xfId="11149"/>
    <cellStyle name="60% - 强调文字颜色 5 2 4 3" xfId="11150"/>
    <cellStyle name="60% - 强调文字颜色 5 2 4 4" xfId="11151"/>
    <cellStyle name="60% - 强调文字颜色 5 2 4 5" xfId="11152"/>
    <cellStyle name="60% - 强调文字颜色 5 2 4 6" xfId="11153"/>
    <cellStyle name="60% - 强调文字颜色 5 2 4 7" xfId="11154"/>
    <cellStyle name="60% - 强调文字颜色 5 2 4 8" xfId="11155"/>
    <cellStyle name="60% - 强调文字颜色 5 2 4 9" xfId="11156"/>
    <cellStyle name="60% - 强调文字颜色 5 2 5" xfId="11157"/>
    <cellStyle name="60% - 强调文字颜色 5 2 6" xfId="11158"/>
    <cellStyle name="60% - 强调文字颜色 5 2 7" xfId="11159"/>
    <cellStyle name="60% - 强调文字颜色 5 2 8" xfId="11160"/>
    <cellStyle name="60% - 强调文字颜色 5 2 9" xfId="11161"/>
    <cellStyle name="60% - 强调文字颜色 5 20" xfId="11162"/>
    <cellStyle name="60% - 强调文字颜色 5 21" xfId="11163"/>
    <cellStyle name="60% - 强调文字颜色 5 22" xfId="11164"/>
    <cellStyle name="60% - 强调文字颜色 5 23" xfId="11165"/>
    <cellStyle name="60% - 强调文字颜色 5 24" xfId="11166"/>
    <cellStyle name="60% - 强调文字颜色 5 25" xfId="11167"/>
    <cellStyle name="60% - 强调文字颜色 5 26" xfId="11168"/>
    <cellStyle name="60% - 强调文字颜色 5 27" xfId="11169"/>
    <cellStyle name="60% - 强调文字颜色 5 28" xfId="11170"/>
    <cellStyle name="60% - 强调文字颜色 5 29" xfId="11171"/>
    <cellStyle name="60% - 强调文字颜色 5 3" xfId="11172"/>
    <cellStyle name="60% - 强调文字颜色 5 3 10" xfId="11173"/>
    <cellStyle name="60% - 强调文字颜色 5 3 11" xfId="11174"/>
    <cellStyle name="60% - 强调文字颜色 5 3 12" xfId="11175"/>
    <cellStyle name="60% - 强调文字颜色 5 3 13" xfId="11176"/>
    <cellStyle name="60% - 强调文字颜色 5 3 14" xfId="11177"/>
    <cellStyle name="60% - 强调文字颜色 5 3 15" xfId="11178"/>
    <cellStyle name="60% - 强调文字颜色 5 3 16" xfId="11179"/>
    <cellStyle name="60% - 强调文字颜色 5 3 17" xfId="11180"/>
    <cellStyle name="60% - 强调文字颜色 5 3 18" xfId="11181"/>
    <cellStyle name="60% - 强调文字颜色 5 3 19" xfId="11182"/>
    <cellStyle name="60% - 强调文字颜色 5 3 2" xfId="11183"/>
    <cellStyle name="60% - 强调文字颜色 5 3 2 10" xfId="11184"/>
    <cellStyle name="60% - 强调文字颜色 5 3 2 11" xfId="11185"/>
    <cellStyle name="60% - 强调文字颜色 5 3 2 12" xfId="11186"/>
    <cellStyle name="60% - 强调文字颜色 5 3 2 13" xfId="11187"/>
    <cellStyle name="60% - 强调文字颜色 5 3 2 14" xfId="11188"/>
    <cellStyle name="60% - 强调文字颜色 5 3 2 15" xfId="11189"/>
    <cellStyle name="60% - 强调文字颜色 5 3 2 16" xfId="11190"/>
    <cellStyle name="60% - 强调文字颜色 5 3 2 17" xfId="11191"/>
    <cellStyle name="60% - 强调文字颜色 5 3 2 18" xfId="11192"/>
    <cellStyle name="60% - 强调文字颜色 5 3 2 19" xfId="11193"/>
    <cellStyle name="60% - 强调文字颜色 5 3 2 2" xfId="11194"/>
    <cellStyle name="60% - 强调文字颜色 5 3 2 20" xfId="11195"/>
    <cellStyle name="60% - 强调文字颜色 5 3 2 21" xfId="11196"/>
    <cellStyle name="60% - 强调文字颜色 5 3 2 22" xfId="11197"/>
    <cellStyle name="60% - 强调文字颜色 5 3 2 23" xfId="11198"/>
    <cellStyle name="60% - 强调文字颜色 5 3 2 24" xfId="11199"/>
    <cellStyle name="60% - 强调文字颜色 5 3 2 25" xfId="11200"/>
    <cellStyle name="60% - 强调文字颜色 5 3 2 26" xfId="11201"/>
    <cellStyle name="60% - 强调文字颜色 5 3 2 27" xfId="11202"/>
    <cellStyle name="60% - 强调文字颜色 5 3 2 3" xfId="11203"/>
    <cellStyle name="60% - 强调文字颜色 5 3 2 4" xfId="11204"/>
    <cellStyle name="60% - 强调文字颜色 5 3 2 5" xfId="11205"/>
    <cellStyle name="60% - 强调文字颜色 5 3 2 6" xfId="11206"/>
    <cellStyle name="60% - 强调文字颜色 5 3 2 7" xfId="11207"/>
    <cellStyle name="60% - 强调文字颜色 5 3 2 8" xfId="11208"/>
    <cellStyle name="60% - 强调文字颜色 5 3 2 9" xfId="11209"/>
    <cellStyle name="60% - 强调文字颜色 5 3 20" xfId="11210"/>
    <cellStyle name="60% - 强调文字颜色 5 3 21" xfId="11211"/>
    <cellStyle name="60% - 强调文字颜色 5 3 22" xfId="11212"/>
    <cellStyle name="60% - 强调文字颜色 5 3 23" xfId="11213"/>
    <cellStyle name="60% - 强调文字颜色 5 3 24" xfId="11214"/>
    <cellStyle name="60% - 强调文字颜色 5 3 25" xfId="11215"/>
    <cellStyle name="60% - 强调文字颜色 5 3 26" xfId="11216"/>
    <cellStyle name="60% - 强调文字颜色 5 3 27" xfId="11217"/>
    <cellStyle name="60% - 强调文字颜色 5 3 28" xfId="11218"/>
    <cellStyle name="60% - 强调文字颜色 5 3 3" xfId="11219"/>
    <cellStyle name="60% - 强调文字颜色 5 3 4" xfId="11220"/>
    <cellStyle name="60% - 强调文字颜色 5 3 5" xfId="11221"/>
    <cellStyle name="60% - 强调文字颜色 5 3 6" xfId="11222"/>
    <cellStyle name="60% - 强调文字颜色 5 3 7" xfId="11223"/>
    <cellStyle name="60% - 强调文字颜色 5 3 8" xfId="11224"/>
    <cellStyle name="60% - 强调文字颜色 5 3 9" xfId="11225"/>
    <cellStyle name="60% - 强调文字颜色 5 30" xfId="11226"/>
    <cellStyle name="60% - 强调文字颜色 5 31" xfId="11227"/>
    <cellStyle name="60% - 强调文字颜色 5 32" xfId="11228"/>
    <cellStyle name="60% - 强调文字颜色 5 33" xfId="11229"/>
    <cellStyle name="60% - 强调文字颜色 5 34" xfId="11230"/>
    <cellStyle name="60% - 强调文字颜色 5 35" xfId="11231"/>
    <cellStyle name="60% - 强调文字颜色 5 36" xfId="11232"/>
    <cellStyle name="60% - 强调文字颜色 5 37" xfId="11233"/>
    <cellStyle name="60% - 强调文字颜色 5 38" xfId="11234"/>
    <cellStyle name="60% - 强调文字颜色 5 39" xfId="11235"/>
    <cellStyle name="60% - 强调文字颜色 5 4" xfId="11236"/>
    <cellStyle name="60% - 强调文字颜色 5 4 10" xfId="11237"/>
    <cellStyle name="60% - 强调文字颜色 5 4 11" xfId="11238"/>
    <cellStyle name="60% - 强调文字颜色 5 4 12" xfId="11239"/>
    <cellStyle name="60% - 强调文字颜色 5 4 13" xfId="11240"/>
    <cellStyle name="60% - 强调文字颜色 5 4 14" xfId="11241"/>
    <cellStyle name="60% - 强调文字颜色 5 4 15" xfId="11242"/>
    <cellStyle name="60% - 强调文字颜色 5 4 16" xfId="11243"/>
    <cellStyle name="60% - 强调文字颜色 5 4 17" xfId="11244"/>
    <cellStyle name="60% - 强调文字颜色 5 4 18" xfId="11245"/>
    <cellStyle name="60% - 强调文字颜色 5 4 19" xfId="11246"/>
    <cellStyle name="60% - 强调文字颜色 5 4 2" xfId="11247"/>
    <cellStyle name="60% - 强调文字颜色 5 4 2 10" xfId="11248"/>
    <cellStyle name="60% - 强调文字颜色 5 4 2 11" xfId="11249"/>
    <cellStyle name="60% - 强调文字颜色 5 4 2 12" xfId="11250"/>
    <cellStyle name="60% - 强调文字颜色 5 4 2 13" xfId="11251"/>
    <cellStyle name="60% - 强调文字颜色 5 4 2 14" xfId="11252"/>
    <cellStyle name="60% - 强调文字颜色 5 4 2 15" xfId="11253"/>
    <cellStyle name="60% - 强调文字颜色 5 4 2 16" xfId="11254"/>
    <cellStyle name="60% - 强调文字颜色 5 4 2 17" xfId="11255"/>
    <cellStyle name="60% - 强调文字颜色 5 4 2 18" xfId="11256"/>
    <cellStyle name="60% - 强调文字颜色 5 4 2 19" xfId="11257"/>
    <cellStyle name="60% - 强调文字颜色 5 4 2 2" xfId="11258"/>
    <cellStyle name="60% - 强调文字颜色 5 4 2 20" xfId="11259"/>
    <cellStyle name="60% - 强调文字颜色 5 4 2 21" xfId="11260"/>
    <cellStyle name="60% - 强调文字颜色 5 4 2 22" xfId="11261"/>
    <cellStyle name="60% - 强调文字颜色 5 4 2 23" xfId="11262"/>
    <cellStyle name="60% - 强调文字颜色 5 4 2 24" xfId="11263"/>
    <cellStyle name="60% - 强调文字颜色 5 4 2 25" xfId="11264"/>
    <cellStyle name="60% - 强调文字颜色 5 4 2 26" xfId="11265"/>
    <cellStyle name="60% - 强调文字颜色 5 4 2 27" xfId="11266"/>
    <cellStyle name="60% - 强调文字颜色 5 4 2 3" xfId="11267"/>
    <cellStyle name="60% - 强调文字颜色 5 4 2 4" xfId="11268"/>
    <cellStyle name="60% - 强调文字颜色 5 4 2 5" xfId="11269"/>
    <cellStyle name="60% - 强调文字颜色 5 4 2 6" xfId="11270"/>
    <cellStyle name="60% - 强调文字颜色 5 4 2 7" xfId="11271"/>
    <cellStyle name="60% - 强调文字颜色 5 4 2 8" xfId="11272"/>
    <cellStyle name="60% - 强调文字颜色 5 4 2 9" xfId="11273"/>
    <cellStyle name="60% - 强调文字颜色 5 4 20" xfId="11274"/>
    <cellStyle name="60% - 强调文字颜色 5 4 21" xfId="11275"/>
    <cellStyle name="60% - 强调文字颜色 5 4 22" xfId="11276"/>
    <cellStyle name="60% - 强调文字颜色 5 4 23" xfId="11277"/>
    <cellStyle name="60% - 强调文字颜色 5 4 24" xfId="11278"/>
    <cellStyle name="60% - 强调文字颜色 5 4 25" xfId="11279"/>
    <cellStyle name="60% - 强调文字颜色 5 4 26" xfId="11280"/>
    <cellStyle name="60% - 强调文字颜色 5 4 27" xfId="11281"/>
    <cellStyle name="60% - 强调文字颜色 5 4 28" xfId="11282"/>
    <cellStyle name="60% - 强调文字颜色 5 4 3" xfId="11283"/>
    <cellStyle name="60% - 强调文字颜色 5 4 4" xfId="11284"/>
    <cellStyle name="60% - 强调文字颜色 5 4 5" xfId="11285"/>
    <cellStyle name="60% - 强调文字颜色 5 4 6" xfId="11286"/>
    <cellStyle name="60% - 强调文字颜色 5 4 7" xfId="11287"/>
    <cellStyle name="60% - 强调文字颜色 5 4 8" xfId="11288"/>
    <cellStyle name="60% - 强调文字颜色 5 4 9" xfId="11289"/>
    <cellStyle name="60% - 强调文字颜色 5 40" xfId="11290"/>
    <cellStyle name="60% - 强调文字颜色 5 5" xfId="11291"/>
    <cellStyle name="60% - 强调文字颜色 5 5 10" xfId="11292"/>
    <cellStyle name="60% - 强调文字颜色 5 5 11" xfId="11293"/>
    <cellStyle name="60% - 强调文字颜色 5 5 12" xfId="11294"/>
    <cellStyle name="60% - 强调文字颜色 5 5 13" xfId="11295"/>
    <cellStyle name="60% - 强调文字颜色 5 5 14" xfId="11296"/>
    <cellStyle name="60% - 强调文字颜色 5 5 15" xfId="11297"/>
    <cellStyle name="60% - 强调文字颜色 5 5 16" xfId="11298"/>
    <cellStyle name="60% - 强调文字颜色 5 5 17" xfId="11299"/>
    <cellStyle name="60% - 强调文字颜色 5 5 18" xfId="11300"/>
    <cellStyle name="60% - 强调文字颜色 5 5 19" xfId="11301"/>
    <cellStyle name="60% - 强调文字颜色 5 5 2" xfId="11302"/>
    <cellStyle name="60% - 强调文字颜色 5 5 2 10" xfId="11303"/>
    <cellStyle name="60% - 强调文字颜色 5 5 2 11" xfId="11304"/>
    <cellStyle name="60% - 强调文字颜色 5 5 2 12" xfId="11305"/>
    <cellStyle name="60% - 强调文字颜色 5 5 2 13" xfId="11306"/>
    <cellStyle name="60% - 强调文字颜色 5 5 2 14" xfId="11307"/>
    <cellStyle name="60% - 强调文字颜色 5 5 2 15" xfId="11308"/>
    <cellStyle name="60% - 强调文字颜色 5 5 2 16" xfId="11309"/>
    <cellStyle name="60% - 强调文字颜色 5 5 2 17" xfId="11310"/>
    <cellStyle name="60% - 强调文字颜色 5 5 2 18" xfId="11311"/>
    <cellStyle name="60% - 强调文字颜色 5 5 2 19" xfId="11312"/>
    <cellStyle name="60% - 强调文字颜色 5 5 2 2" xfId="11313"/>
    <cellStyle name="60% - 强调文字颜色 5 5 2 20" xfId="11314"/>
    <cellStyle name="60% - 强调文字颜色 5 5 2 21" xfId="11315"/>
    <cellStyle name="60% - 强调文字颜色 5 5 2 22" xfId="11316"/>
    <cellStyle name="60% - 强调文字颜色 5 5 2 23" xfId="11317"/>
    <cellStyle name="60% - 强调文字颜色 5 5 2 24" xfId="11318"/>
    <cellStyle name="60% - 强调文字颜色 5 5 2 25" xfId="11319"/>
    <cellStyle name="60% - 强调文字颜色 5 5 2 26" xfId="11320"/>
    <cellStyle name="60% - 强调文字颜色 5 5 2 27" xfId="11321"/>
    <cellStyle name="60% - 强调文字颜色 5 5 2 3" xfId="11322"/>
    <cellStyle name="60% - 强调文字颜色 5 5 2 4" xfId="11323"/>
    <cellStyle name="60% - 强调文字颜色 5 5 2 5" xfId="11324"/>
    <cellStyle name="60% - 强调文字颜色 5 5 2 6" xfId="11325"/>
    <cellStyle name="60% - 强调文字颜色 5 5 2 7" xfId="11326"/>
    <cellStyle name="60% - 强调文字颜色 5 5 2 8" xfId="11327"/>
    <cellStyle name="60% - 强调文字颜色 5 5 2 9" xfId="11328"/>
    <cellStyle name="60% - 强调文字颜色 5 5 20" xfId="11329"/>
    <cellStyle name="60% - 强调文字颜色 5 5 21" xfId="11330"/>
    <cellStyle name="60% - 强调文字颜色 5 5 22" xfId="11331"/>
    <cellStyle name="60% - 强调文字颜色 5 5 23" xfId="11332"/>
    <cellStyle name="60% - 强调文字颜色 5 5 24" xfId="11333"/>
    <cellStyle name="60% - 强调文字颜色 5 5 25" xfId="11334"/>
    <cellStyle name="60% - 强调文字颜色 5 5 26" xfId="11335"/>
    <cellStyle name="60% - 强调文字颜色 5 5 27" xfId="11336"/>
    <cellStyle name="60% - 强调文字颜色 5 5 28" xfId="11337"/>
    <cellStyle name="60% - 强调文字颜色 5 5 3" xfId="11338"/>
    <cellStyle name="60% - 强调文字颜色 5 5 4" xfId="11339"/>
    <cellStyle name="60% - 强调文字颜色 5 5 5" xfId="11340"/>
    <cellStyle name="60% - 强调文字颜色 5 5 6" xfId="11341"/>
    <cellStyle name="60% - 强调文字颜色 5 5 7" xfId="11342"/>
    <cellStyle name="60% - 强调文字颜色 5 5 8" xfId="11343"/>
    <cellStyle name="60% - 强调文字颜色 5 5 9" xfId="11344"/>
    <cellStyle name="60% - 强调文字颜色 5 6" xfId="11345"/>
    <cellStyle name="60% - 强调文字颜色 5 6 10" xfId="11346"/>
    <cellStyle name="60% - 强调文字颜色 5 6 11" xfId="11347"/>
    <cellStyle name="60% - 强调文字颜色 5 6 12" xfId="11348"/>
    <cellStyle name="60% - 强调文字颜色 5 6 13" xfId="11349"/>
    <cellStyle name="60% - 强调文字颜色 5 6 14" xfId="11350"/>
    <cellStyle name="60% - 强调文字颜色 5 6 15" xfId="11351"/>
    <cellStyle name="60% - 强调文字颜色 5 6 16" xfId="11352"/>
    <cellStyle name="60% - 强调文字颜色 5 6 17" xfId="11353"/>
    <cellStyle name="60% - 强调文字颜色 5 6 18" xfId="11354"/>
    <cellStyle name="60% - 强调文字颜色 5 6 19" xfId="11355"/>
    <cellStyle name="60% - 强调文字颜色 5 6 2" xfId="11356"/>
    <cellStyle name="60% - 强调文字颜色 5 6 2 10" xfId="11357"/>
    <cellStyle name="60% - 强调文字颜色 5 6 2 11" xfId="11358"/>
    <cellStyle name="60% - 强调文字颜色 5 6 2 12" xfId="11359"/>
    <cellStyle name="60% - 强调文字颜色 5 6 2 13" xfId="11360"/>
    <cellStyle name="60% - 强调文字颜色 5 6 2 14" xfId="11361"/>
    <cellStyle name="60% - 强调文字颜色 5 6 2 15" xfId="11362"/>
    <cellStyle name="60% - 强调文字颜色 5 6 2 16" xfId="11363"/>
    <cellStyle name="60% - 强调文字颜色 5 6 2 17" xfId="11364"/>
    <cellStyle name="60% - 强调文字颜色 5 6 2 18" xfId="11365"/>
    <cellStyle name="60% - 强调文字颜色 5 6 2 19" xfId="11366"/>
    <cellStyle name="60% - 强调文字颜色 5 6 2 2" xfId="11367"/>
    <cellStyle name="60% - 强调文字颜色 5 6 2 20" xfId="11368"/>
    <cellStyle name="60% - 强调文字颜色 5 6 2 21" xfId="11369"/>
    <cellStyle name="60% - 强调文字颜色 5 6 2 22" xfId="11370"/>
    <cellStyle name="60% - 强调文字颜色 5 6 2 23" xfId="11371"/>
    <cellStyle name="60% - 强调文字颜色 5 6 2 24" xfId="11372"/>
    <cellStyle name="60% - 强调文字颜色 5 6 2 25" xfId="11373"/>
    <cellStyle name="60% - 强调文字颜色 5 6 2 26" xfId="11374"/>
    <cellStyle name="60% - 强调文字颜色 5 6 2 27" xfId="11375"/>
    <cellStyle name="60% - 强调文字颜色 5 6 2 3" xfId="11376"/>
    <cellStyle name="60% - 强调文字颜色 5 6 2 4" xfId="11377"/>
    <cellStyle name="60% - 强调文字颜色 5 6 2 5" xfId="11378"/>
    <cellStyle name="60% - 强调文字颜色 5 6 2 6" xfId="11379"/>
    <cellStyle name="60% - 强调文字颜色 5 6 2 7" xfId="11380"/>
    <cellStyle name="60% - 强调文字颜色 5 6 2 8" xfId="11381"/>
    <cellStyle name="60% - 强调文字颜色 5 6 2 9" xfId="11382"/>
    <cellStyle name="60% - 强调文字颜色 5 6 20" xfId="11383"/>
    <cellStyle name="60% - 强调文字颜色 5 6 21" xfId="11384"/>
    <cellStyle name="60% - 强调文字颜色 5 6 22" xfId="11385"/>
    <cellStyle name="60% - 强调文字颜色 5 6 23" xfId="11386"/>
    <cellStyle name="60% - 强调文字颜色 5 6 24" xfId="11387"/>
    <cellStyle name="60% - 强调文字颜色 5 6 25" xfId="11388"/>
    <cellStyle name="60% - 强调文字颜色 5 6 26" xfId="11389"/>
    <cellStyle name="60% - 强调文字颜色 5 6 27" xfId="11390"/>
    <cellStyle name="60% - 强调文字颜色 5 6 28" xfId="11391"/>
    <cellStyle name="60% - 强调文字颜色 5 6 3" xfId="11392"/>
    <cellStyle name="60% - 强调文字颜色 5 6 4" xfId="11393"/>
    <cellStyle name="60% - 强调文字颜色 5 6 5" xfId="11394"/>
    <cellStyle name="60% - 强调文字颜色 5 6 6" xfId="11395"/>
    <cellStyle name="60% - 强调文字颜色 5 6 7" xfId="11396"/>
    <cellStyle name="60% - 强调文字颜色 5 6 8" xfId="11397"/>
    <cellStyle name="60% - 强调文字颜色 5 6 9" xfId="11398"/>
    <cellStyle name="60% - 强调文字颜色 5 7" xfId="11399"/>
    <cellStyle name="60% - 强调文字颜色 5 7 10" xfId="11400"/>
    <cellStyle name="60% - 强调文字颜色 5 7 11" xfId="11401"/>
    <cellStyle name="60% - 强调文字颜色 5 7 12" xfId="11402"/>
    <cellStyle name="60% - 强调文字颜色 5 7 13" xfId="11403"/>
    <cellStyle name="60% - 强调文字颜色 5 7 14" xfId="11404"/>
    <cellStyle name="60% - 强调文字颜色 5 7 15" xfId="11405"/>
    <cellStyle name="60% - 强调文字颜色 5 7 16" xfId="11406"/>
    <cellStyle name="60% - 强调文字颜色 5 7 17" xfId="11407"/>
    <cellStyle name="60% - 强调文字颜色 5 7 18" xfId="11408"/>
    <cellStyle name="60% - 强调文字颜色 5 7 19" xfId="11409"/>
    <cellStyle name="60% - 强调文字颜色 5 7 2" xfId="11410"/>
    <cellStyle name="60% - 强调文字颜色 5 7 2 10" xfId="11411"/>
    <cellStyle name="60% - 强调文字颜色 5 7 2 11" xfId="11412"/>
    <cellStyle name="60% - 强调文字颜色 5 7 2 12" xfId="11413"/>
    <cellStyle name="60% - 强调文字颜色 5 7 2 13" xfId="11414"/>
    <cellStyle name="60% - 强调文字颜色 5 7 2 14" xfId="11415"/>
    <cellStyle name="60% - 强调文字颜色 5 7 2 15" xfId="11416"/>
    <cellStyle name="60% - 强调文字颜色 5 7 2 16" xfId="11417"/>
    <cellStyle name="60% - 强调文字颜色 5 7 2 17" xfId="11418"/>
    <cellStyle name="60% - 强调文字颜色 5 7 2 18" xfId="11419"/>
    <cellStyle name="60% - 强调文字颜色 5 7 2 19" xfId="11420"/>
    <cellStyle name="60% - 强调文字颜色 5 7 2 2" xfId="11421"/>
    <cellStyle name="60% - 强调文字颜色 5 7 2 20" xfId="11422"/>
    <cellStyle name="60% - 强调文字颜色 5 7 2 21" xfId="11423"/>
    <cellStyle name="60% - 强调文字颜色 5 7 2 22" xfId="11424"/>
    <cellStyle name="60% - 强调文字颜色 5 7 2 23" xfId="11425"/>
    <cellStyle name="60% - 强调文字颜色 5 7 2 24" xfId="11426"/>
    <cellStyle name="60% - 强调文字颜色 5 7 2 25" xfId="11427"/>
    <cellStyle name="60% - 强调文字颜色 5 7 2 26" xfId="11428"/>
    <cellStyle name="60% - 强调文字颜色 5 7 2 27" xfId="11429"/>
    <cellStyle name="60% - 强调文字颜色 5 7 2 3" xfId="11430"/>
    <cellStyle name="60% - 强调文字颜色 5 7 2 4" xfId="11431"/>
    <cellStyle name="60% - 强调文字颜色 5 7 2 5" xfId="11432"/>
    <cellStyle name="60% - 强调文字颜色 5 7 2 6" xfId="11433"/>
    <cellStyle name="60% - 强调文字颜色 5 7 2 7" xfId="11434"/>
    <cellStyle name="60% - 强调文字颜色 5 7 2 8" xfId="11435"/>
    <cellStyle name="60% - 强调文字颜色 5 7 2 9" xfId="11436"/>
    <cellStyle name="60% - 强调文字颜色 5 7 20" xfId="11437"/>
    <cellStyle name="60% - 强调文字颜色 5 7 21" xfId="11438"/>
    <cellStyle name="60% - 强调文字颜色 5 7 22" xfId="11439"/>
    <cellStyle name="60% - 强调文字颜色 5 7 23" xfId="11440"/>
    <cellStyle name="60% - 强调文字颜色 5 7 24" xfId="11441"/>
    <cellStyle name="60% - 强调文字颜色 5 7 25" xfId="11442"/>
    <cellStyle name="60% - 强调文字颜色 5 7 26" xfId="11443"/>
    <cellStyle name="60% - 强调文字颜色 5 7 27" xfId="11444"/>
    <cellStyle name="60% - 强调文字颜色 5 7 28" xfId="11445"/>
    <cellStyle name="60% - 强调文字颜色 5 7 3" xfId="11446"/>
    <cellStyle name="60% - 强调文字颜色 5 7 4" xfId="11447"/>
    <cellStyle name="60% - 强调文字颜色 5 7 5" xfId="11448"/>
    <cellStyle name="60% - 强调文字颜色 5 7 6" xfId="11449"/>
    <cellStyle name="60% - 强调文字颜色 5 7 7" xfId="11450"/>
    <cellStyle name="60% - 强调文字颜色 5 7 8" xfId="11451"/>
    <cellStyle name="60% - 强调文字颜色 5 7 9" xfId="11452"/>
    <cellStyle name="60% - 强调文字颜色 5 8" xfId="11453"/>
    <cellStyle name="60% - 强调文字颜色 5 8 10" xfId="11454"/>
    <cellStyle name="60% - 强调文字颜色 5 8 11" xfId="11455"/>
    <cellStyle name="60% - 强调文字颜色 5 8 12" xfId="11456"/>
    <cellStyle name="60% - 强调文字颜色 5 8 13" xfId="11457"/>
    <cellStyle name="60% - 强调文字颜色 5 8 14" xfId="11458"/>
    <cellStyle name="60% - 强调文字颜色 5 8 15" xfId="11459"/>
    <cellStyle name="60% - 强调文字颜色 5 8 16" xfId="11460"/>
    <cellStyle name="60% - 强调文字颜色 5 8 17" xfId="11461"/>
    <cellStyle name="60% - 强调文字颜色 5 8 18" xfId="11462"/>
    <cellStyle name="60% - 强调文字颜色 5 8 19" xfId="11463"/>
    <cellStyle name="60% - 强调文字颜色 5 8 2" xfId="11464"/>
    <cellStyle name="60% - 强调文字颜色 5 8 2 10" xfId="11465"/>
    <cellStyle name="60% - 强调文字颜色 5 8 2 11" xfId="11466"/>
    <cellStyle name="60% - 强调文字颜色 5 8 2 12" xfId="11467"/>
    <cellStyle name="60% - 强调文字颜色 5 8 2 13" xfId="11468"/>
    <cellStyle name="60% - 强调文字颜色 5 8 2 14" xfId="11469"/>
    <cellStyle name="60% - 强调文字颜色 5 8 2 15" xfId="11470"/>
    <cellStyle name="60% - 强调文字颜色 5 8 2 16" xfId="11471"/>
    <cellStyle name="60% - 强调文字颜色 5 8 2 17" xfId="11472"/>
    <cellStyle name="60% - 强调文字颜色 5 8 2 18" xfId="11473"/>
    <cellStyle name="60% - 强调文字颜色 5 8 2 19" xfId="11474"/>
    <cellStyle name="60% - 强调文字颜色 5 8 2 2" xfId="11475"/>
    <cellStyle name="60% - 强调文字颜色 5 8 2 20" xfId="11476"/>
    <cellStyle name="60% - 强调文字颜色 5 8 2 21" xfId="11477"/>
    <cellStyle name="60% - 强调文字颜色 5 8 2 22" xfId="11478"/>
    <cellStyle name="60% - 强调文字颜色 5 8 2 23" xfId="11479"/>
    <cellStyle name="60% - 强调文字颜色 5 8 2 24" xfId="11480"/>
    <cellStyle name="60% - 强调文字颜色 5 8 2 25" xfId="11481"/>
    <cellStyle name="60% - 强调文字颜色 5 8 2 26" xfId="11482"/>
    <cellStyle name="60% - 强调文字颜色 5 8 2 27" xfId="11483"/>
    <cellStyle name="60% - 强调文字颜色 5 8 2 3" xfId="11484"/>
    <cellStyle name="60% - 强调文字颜色 5 8 2 4" xfId="11485"/>
    <cellStyle name="60% - 强调文字颜色 5 8 2 5" xfId="11486"/>
    <cellStyle name="60% - 强调文字颜色 5 8 2 6" xfId="11487"/>
    <cellStyle name="60% - 强调文字颜色 5 8 2 7" xfId="11488"/>
    <cellStyle name="60% - 强调文字颜色 5 8 2 8" xfId="11489"/>
    <cellStyle name="60% - 强调文字颜色 5 8 2 9" xfId="11490"/>
    <cellStyle name="60% - 强调文字颜色 5 8 20" xfId="11491"/>
    <cellStyle name="60% - 强调文字颜色 5 8 21" xfId="11492"/>
    <cellStyle name="60% - 强调文字颜色 5 8 22" xfId="11493"/>
    <cellStyle name="60% - 强调文字颜色 5 8 23" xfId="11494"/>
    <cellStyle name="60% - 强调文字颜色 5 8 24" xfId="11495"/>
    <cellStyle name="60% - 强调文字颜色 5 8 25" xfId="11496"/>
    <cellStyle name="60% - 强调文字颜色 5 8 26" xfId="11497"/>
    <cellStyle name="60% - 强调文字颜色 5 8 27" xfId="11498"/>
    <cellStyle name="60% - 强调文字颜色 5 8 28" xfId="11499"/>
    <cellStyle name="60% - 强调文字颜色 5 8 3" xfId="11500"/>
    <cellStyle name="60% - 强调文字颜色 5 8 4" xfId="11501"/>
    <cellStyle name="60% - 强调文字颜色 5 8 5" xfId="11502"/>
    <cellStyle name="60% - 强调文字颜色 5 8 6" xfId="11503"/>
    <cellStyle name="60% - 强调文字颜色 5 8 7" xfId="11504"/>
    <cellStyle name="60% - 强调文字颜色 5 8 8" xfId="11505"/>
    <cellStyle name="60% - 强调文字颜色 5 8 9" xfId="11506"/>
    <cellStyle name="60% - 强调文字颜色 5 9" xfId="11507"/>
    <cellStyle name="60% - 强调文字颜色 5 9 10" xfId="11508"/>
    <cellStyle name="60% - 强调文字颜色 5 9 11" xfId="11509"/>
    <cellStyle name="60% - 强调文字颜色 5 9 12" xfId="11510"/>
    <cellStyle name="60% - 强调文字颜色 5 9 13" xfId="11511"/>
    <cellStyle name="60% - 强调文字颜色 5 9 14" xfId="11512"/>
    <cellStyle name="60% - 强调文字颜色 5 9 15" xfId="11513"/>
    <cellStyle name="60% - 强调文字颜色 5 9 16" xfId="11514"/>
    <cellStyle name="60% - 强调文字颜色 5 9 17" xfId="11515"/>
    <cellStyle name="60% - 强调文字颜色 5 9 18" xfId="11516"/>
    <cellStyle name="60% - 强调文字颜色 5 9 19" xfId="11517"/>
    <cellStyle name="60% - 强调文字颜色 5 9 2" xfId="11518"/>
    <cellStyle name="60% - 强调文字颜色 5 9 2 10" xfId="11519"/>
    <cellStyle name="60% - 强调文字颜色 5 9 2 11" xfId="11520"/>
    <cellStyle name="60% - 强调文字颜色 5 9 2 12" xfId="11521"/>
    <cellStyle name="60% - 强调文字颜色 5 9 2 13" xfId="11522"/>
    <cellStyle name="60% - 强调文字颜色 5 9 2 14" xfId="11523"/>
    <cellStyle name="60% - 强调文字颜色 5 9 2 15" xfId="11524"/>
    <cellStyle name="60% - 强调文字颜色 5 9 2 16" xfId="11525"/>
    <cellStyle name="60% - 强调文字颜色 5 9 2 17" xfId="11526"/>
    <cellStyle name="60% - 强调文字颜色 5 9 2 18" xfId="11527"/>
    <cellStyle name="60% - 强调文字颜色 5 9 2 19" xfId="11528"/>
    <cellStyle name="60% - 强调文字颜色 5 9 2 2" xfId="11529"/>
    <cellStyle name="60% - 强调文字颜色 5 9 2 20" xfId="11530"/>
    <cellStyle name="60% - 强调文字颜色 5 9 2 21" xfId="11531"/>
    <cellStyle name="60% - 强调文字颜色 5 9 2 22" xfId="11532"/>
    <cellStyle name="60% - 强调文字颜色 5 9 2 23" xfId="11533"/>
    <cellStyle name="60% - 强调文字颜色 5 9 2 24" xfId="11534"/>
    <cellStyle name="60% - 强调文字颜色 5 9 2 25" xfId="11535"/>
    <cellStyle name="60% - 强调文字颜色 5 9 2 26" xfId="11536"/>
    <cellStyle name="60% - 强调文字颜色 5 9 2 27" xfId="11537"/>
    <cellStyle name="60% - 强调文字颜色 5 9 2 3" xfId="11538"/>
    <cellStyle name="60% - 强调文字颜色 5 9 2 4" xfId="11539"/>
    <cellStyle name="60% - 强调文字颜色 5 9 2 5" xfId="11540"/>
    <cellStyle name="60% - 强调文字颜色 5 9 2 6" xfId="11541"/>
    <cellStyle name="60% - 强调文字颜色 5 9 2 7" xfId="11542"/>
    <cellStyle name="60% - 强调文字颜色 5 9 2 8" xfId="11543"/>
    <cellStyle name="60% - 强调文字颜色 5 9 2 9" xfId="11544"/>
    <cellStyle name="60% - 强调文字颜色 5 9 20" xfId="11545"/>
    <cellStyle name="60% - 强调文字颜色 5 9 21" xfId="11546"/>
    <cellStyle name="60% - 强调文字颜色 5 9 22" xfId="11547"/>
    <cellStyle name="60% - 强调文字颜色 5 9 23" xfId="11548"/>
    <cellStyle name="60% - 强调文字颜色 5 9 24" xfId="11549"/>
    <cellStyle name="60% - 强调文字颜色 5 9 25" xfId="11550"/>
    <cellStyle name="60% - 强调文字颜色 5 9 26" xfId="11551"/>
    <cellStyle name="60% - 强调文字颜色 5 9 27" xfId="11552"/>
    <cellStyle name="60% - 强调文字颜色 5 9 28" xfId="11553"/>
    <cellStyle name="60% - 强调文字颜色 5 9 3" xfId="11554"/>
    <cellStyle name="60% - 强调文字颜色 5 9 4" xfId="11555"/>
    <cellStyle name="60% - 强调文字颜色 5 9 5" xfId="11556"/>
    <cellStyle name="60% - 强调文字颜色 5 9 6" xfId="11557"/>
    <cellStyle name="60% - 强调文字颜色 5 9 7" xfId="11558"/>
    <cellStyle name="60% - 强调文字颜色 5 9 8" xfId="11559"/>
    <cellStyle name="60% - 强调文字颜色 5 9 9" xfId="11560"/>
    <cellStyle name="60% - 强调文字颜色 6 10" xfId="11561"/>
    <cellStyle name="60% - 强调文字颜色 6 10 10" xfId="11562"/>
    <cellStyle name="60% - 强调文字颜色 6 10 11" xfId="11563"/>
    <cellStyle name="60% - 强调文字颜色 6 10 12" xfId="11564"/>
    <cellStyle name="60% - 强调文字颜色 6 10 13" xfId="11565"/>
    <cellStyle name="60% - 强调文字颜色 6 10 14" xfId="11566"/>
    <cellStyle name="60% - 强调文字颜色 6 10 15" xfId="11567"/>
    <cellStyle name="60% - 强调文字颜色 6 10 16" xfId="11568"/>
    <cellStyle name="60% - 强调文字颜色 6 10 17" xfId="11569"/>
    <cellStyle name="60% - 强调文字颜色 6 10 18" xfId="11570"/>
    <cellStyle name="60% - 强调文字颜色 6 10 19" xfId="11571"/>
    <cellStyle name="60% - 强调文字颜色 6 10 2" xfId="11572"/>
    <cellStyle name="60% - 强调文字颜色 6 10 2 10" xfId="11573"/>
    <cellStyle name="60% - 强调文字颜色 6 10 2 11" xfId="11574"/>
    <cellStyle name="60% - 强调文字颜色 6 10 2 12" xfId="11575"/>
    <cellStyle name="60% - 强调文字颜色 6 10 2 13" xfId="11576"/>
    <cellStyle name="60% - 强调文字颜色 6 10 2 14" xfId="11577"/>
    <cellStyle name="60% - 强调文字颜色 6 10 2 15" xfId="11578"/>
    <cellStyle name="60% - 强调文字颜色 6 10 2 16" xfId="11579"/>
    <cellStyle name="60% - 强调文字颜色 6 10 2 17" xfId="11580"/>
    <cellStyle name="60% - 强调文字颜色 6 10 2 18" xfId="11581"/>
    <cellStyle name="60% - 强调文字颜色 6 10 2 19" xfId="11582"/>
    <cellStyle name="60% - 强调文字颜色 6 10 2 2" xfId="11583"/>
    <cellStyle name="60% - 强调文字颜色 6 10 2 20" xfId="11584"/>
    <cellStyle name="60% - 强调文字颜色 6 10 2 21" xfId="11585"/>
    <cellStyle name="60% - 强调文字颜色 6 10 2 22" xfId="11586"/>
    <cellStyle name="60% - 强调文字颜色 6 10 2 23" xfId="11587"/>
    <cellStyle name="60% - 强调文字颜色 6 10 2 24" xfId="11588"/>
    <cellStyle name="60% - 强调文字颜色 6 10 2 25" xfId="11589"/>
    <cellStyle name="60% - 强调文字颜色 6 10 2 26" xfId="11590"/>
    <cellStyle name="60% - 强调文字颜色 6 10 2 27" xfId="11591"/>
    <cellStyle name="60% - 强调文字颜色 6 10 2 3" xfId="11592"/>
    <cellStyle name="60% - 强调文字颜色 6 10 2 4" xfId="11593"/>
    <cellStyle name="60% - 强调文字颜色 6 10 2 5" xfId="11594"/>
    <cellStyle name="60% - 强调文字颜色 6 10 2 6" xfId="11595"/>
    <cellStyle name="60% - 强调文字颜色 6 10 2 7" xfId="11596"/>
    <cellStyle name="60% - 强调文字颜色 6 10 2 8" xfId="11597"/>
    <cellStyle name="60% - 强调文字颜色 6 10 2 9" xfId="11598"/>
    <cellStyle name="60% - 强调文字颜色 6 10 20" xfId="11599"/>
    <cellStyle name="60% - 强调文字颜色 6 10 21" xfId="11600"/>
    <cellStyle name="60% - 强调文字颜色 6 10 22" xfId="11601"/>
    <cellStyle name="60% - 强调文字颜色 6 10 23" xfId="11602"/>
    <cellStyle name="60% - 强调文字颜色 6 10 24" xfId="11603"/>
    <cellStyle name="60% - 强调文字颜色 6 10 25" xfId="11604"/>
    <cellStyle name="60% - 强调文字颜色 6 10 26" xfId="11605"/>
    <cellStyle name="60% - 强调文字颜色 6 10 27" xfId="11606"/>
    <cellStyle name="60% - 强调文字颜色 6 10 28" xfId="11607"/>
    <cellStyle name="60% - 强调文字颜色 6 10 3" xfId="11608"/>
    <cellStyle name="60% - 强调文字颜色 6 10 4" xfId="11609"/>
    <cellStyle name="60% - 强调文字颜色 6 10 5" xfId="11610"/>
    <cellStyle name="60% - 强调文字颜色 6 10 6" xfId="11611"/>
    <cellStyle name="60% - 强调文字颜色 6 10 7" xfId="11612"/>
    <cellStyle name="60% - 强调文字颜色 6 10 8" xfId="11613"/>
    <cellStyle name="60% - 强调文字颜色 6 10 9" xfId="11614"/>
    <cellStyle name="60% - 强调文字颜色 6 11" xfId="11615"/>
    <cellStyle name="60% - 强调文字颜色 6 11 10" xfId="11616"/>
    <cellStyle name="60% - 强调文字颜色 6 11 11" xfId="11617"/>
    <cellStyle name="60% - 强调文字颜色 6 11 12" xfId="11618"/>
    <cellStyle name="60% - 强调文字颜色 6 11 13" xfId="11619"/>
    <cellStyle name="60% - 强调文字颜色 6 11 14" xfId="11620"/>
    <cellStyle name="60% - 强调文字颜色 6 11 15" xfId="11621"/>
    <cellStyle name="60% - 强调文字颜色 6 11 16" xfId="11622"/>
    <cellStyle name="60% - 强调文字颜色 6 11 17" xfId="11623"/>
    <cellStyle name="60% - 强调文字颜色 6 11 18" xfId="11624"/>
    <cellStyle name="60% - 强调文字颜色 6 11 19" xfId="11625"/>
    <cellStyle name="60% - 强调文字颜色 6 11 2" xfId="11626"/>
    <cellStyle name="60% - 强调文字颜色 6 11 2 10" xfId="11627"/>
    <cellStyle name="60% - 强调文字颜色 6 11 2 11" xfId="11628"/>
    <cellStyle name="60% - 强调文字颜色 6 11 2 12" xfId="11629"/>
    <cellStyle name="60% - 强调文字颜色 6 11 2 13" xfId="11630"/>
    <cellStyle name="60% - 强调文字颜色 6 11 2 14" xfId="11631"/>
    <cellStyle name="60% - 强调文字颜色 6 11 2 15" xfId="11632"/>
    <cellStyle name="60% - 强调文字颜色 6 11 2 16" xfId="11633"/>
    <cellStyle name="60% - 强调文字颜色 6 11 2 17" xfId="11634"/>
    <cellStyle name="60% - 强调文字颜色 6 11 2 18" xfId="11635"/>
    <cellStyle name="60% - 强调文字颜色 6 11 2 19" xfId="11636"/>
    <cellStyle name="60% - 强调文字颜色 6 11 2 2" xfId="11637"/>
    <cellStyle name="60% - 强调文字颜色 6 11 2 20" xfId="11638"/>
    <cellStyle name="60% - 强调文字颜色 6 11 2 21" xfId="11639"/>
    <cellStyle name="60% - 强调文字颜色 6 11 2 22" xfId="11640"/>
    <cellStyle name="60% - 强调文字颜色 6 11 2 23" xfId="11641"/>
    <cellStyle name="60% - 强调文字颜色 6 11 2 24" xfId="11642"/>
    <cellStyle name="60% - 强调文字颜色 6 11 2 25" xfId="11643"/>
    <cellStyle name="60% - 强调文字颜色 6 11 2 26" xfId="11644"/>
    <cellStyle name="60% - 强调文字颜色 6 11 2 27" xfId="11645"/>
    <cellStyle name="60% - 强调文字颜色 6 11 2 3" xfId="11646"/>
    <cellStyle name="60% - 强调文字颜色 6 11 2 4" xfId="11647"/>
    <cellStyle name="60% - 强调文字颜色 6 11 2 5" xfId="11648"/>
    <cellStyle name="60% - 强调文字颜色 6 11 2 6" xfId="11649"/>
    <cellStyle name="60% - 强调文字颜色 6 11 2 7" xfId="11650"/>
    <cellStyle name="60% - 强调文字颜色 6 11 2 8" xfId="11651"/>
    <cellStyle name="60% - 强调文字颜色 6 11 2 9" xfId="11652"/>
    <cellStyle name="60% - 强调文字颜色 6 11 20" xfId="11653"/>
    <cellStyle name="60% - 强调文字颜色 6 11 21" xfId="11654"/>
    <cellStyle name="60% - 强调文字颜色 6 11 22" xfId="11655"/>
    <cellStyle name="60% - 强调文字颜色 6 11 23" xfId="11656"/>
    <cellStyle name="60% - 强调文字颜色 6 11 24" xfId="11657"/>
    <cellStyle name="60% - 强调文字颜色 6 11 25" xfId="11658"/>
    <cellStyle name="60% - 强调文字颜色 6 11 26" xfId="11659"/>
    <cellStyle name="60% - 强调文字颜色 6 11 27" xfId="11660"/>
    <cellStyle name="60% - 强调文字颜色 6 11 28" xfId="11661"/>
    <cellStyle name="60% - 强调文字颜色 6 11 3" xfId="11662"/>
    <cellStyle name="60% - 强调文字颜色 6 11 4" xfId="11663"/>
    <cellStyle name="60% - 强调文字颜色 6 11 5" xfId="11664"/>
    <cellStyle name="60% - 强调文字颜色 6 11 6" xfId="11665"/>
    <cellStyle name="60% - 强调文字颜色 6 11 7" xfId="11666"/>
    <cellStyle name="60% - 强调文字颜色 6 11 8" xfId="11667"/>
    <cellStyle name="60% - 强调文字颜色 6 11 9" xfId="11668"/>
    <cellStyle name="60% - 强调文字颜色 6 12" xfId="11669"/>
    <cellStyle name="60% - 强调文字颜色 6 13" xfId="11670"/>
    <cellStyle name="60% - 强调文字颜色 6 14" xfId="11671"/>
    <cellStyle name="60% - 强调文字颜色 6 15" xfId="11672"/>
    <cellStyle name="60% - 强调文字颜色 6 16" xfId="11673"/>
    <cellStyle name="60% - 强调文字颜色 6 17" xfId="11674"/>
    <cellStyle name="60% - 强调文字颜色 6 18" xfId="11675"/>
    <cellStyle name="60% - 强调文字颜色 6 19" xfId="11676"/>
    <cellStyle name="60% - 强调文字颜色 6 2" xfId="11677"/>
    <cellStyle name="60% - 强调文字颜色 6 2 10" xfId="11678"/>
    <cellStyle name="60% - 强调文字颜色 6 2 11" xfId="11679"/>
    <cellStyle name="60% - 强调文字颜色 6 2 12" xfId="11680"/>
    <cellStyle name="60% - 强调文字颜色 6 2 13" xfId="11681"/>
    <cellStyle name="60% - 强调文字颜色 6 2 14" xfId="11682"/>
    <cellStyle name="60% - 强调文字颜色 6 2 15" xfId="11683"/>
    <cellStyle name="60% - 强调文字颜色 6 2 16" xfId="11684"/>
    <cellStyle name="60% - 强调文字颜色 6 2 17" xfId="11685"/>
    <cellStyle name="60% - 强调文字颜色 6 2 18" xfId="11686"/>
    <cellStyle name="60% - 强调文字颜色 6 2 19" xfId="11687"/>
    <cellStyle name="60% - 强调文字颜色 6 2 2" xfId="11688"/>
    <cellStyle name="60% - 强调文字颜色 6 2 2 10" xfId="11689"/>
    <cellStyle name="60% - 强调文字颜色 6 2 2 11" xfId="11690"/>
    <cellStyle name="60% - 强调文字颜色 6 2 2 12" xfId="11691"/>
    <cellStyle name="60% - 强调文字颜色 6 2 2 13" xfId="11692"/>
    <cellStyle name="60% - 强调文字颜色 6 2 2 14" xfId="11693"/>
    <cellStyle name="60% - 强调文字颜色 6 2 2 15" xfId="11694"/>
    <cellStyle name="60% - 强调文字颜色 6 2 2 16" xfId="11695"/>
    <cellStyle name="60% - 强调文字颜色 6 2 2 17" xfId="11696"/>
    <cellStyle name="60% - 强调文字颜色 6 2 2 18" xfId="11697"/>
    <cellStyle name="60% - 强调文字颜色 6 2 2 19" xfId="11698"/>
    <cellStyle name="60% - 强调文字颜色 6 2 2 2" xfId="11699"/>
    <cellStyle name="60% - 强调文字颜色 6 2 2 2 10" xfId="11700"/>
    <cellStyle name="60% - 强调文字颜色 6 2 2 2 11" xfId="11701"/>
    <cellStyle name="60% - 强调文字颜色 6 2 2 2 12" xfId="11702"/>
    <cellStyle name="60% - 强调文字颜色 6 2 2 2 13" xfId="11703"/>
    <cellStyle name="60% - 强调文字颜色 6 2 2 2 14" xfId="11704"/>
    <cellStyle name="60% - 强调文字颜色 6 2 2 2 15" xfId="11705"/>
    <cellStyle name="60% - 强调文字颜色 6 2 2 2 16" xfId="11706"/>
    <cellStyle name="60% - 强调文字颜色 6 2 2 2 17" xfId="11707"/>
    <cellStyle name="60% - 强调文字颜色 6 2 2 2 18" xfId="11708"/>
    <cellStyle name="60% - 强调文字颜色 6 2 2 2 19" xfId="11709"/>
    <cellStyle name="60% - 强调文字颜色 6 2 2 2 2" xfId="11710"/>
    <cellStyle name="60% - 强调文字颜色 6 2 2 2 20" xfId="11711"/>
    <cellStyle name="60% - 强调文字颜色 6 2 2 2 21" xfId="11712"/>
    <cellStyle name="60% - 强调文字颜色 6 2 2 2 22" xfId="11713"/>
    <cellStyle name="60% - 强调文字颜色 6 2 2 2 23" xfId="11714"/>
    <cellStyle name="60% - 强调文字颜色 6 2 2 2 24" xfId="11715"/>
    <cellStyle name="60% - 强调文字颜色 6 2 2 2 25" xfId="11716"/>
    <cellStyle name="60% - 强调文字颜色 6 2 2 2 26" xfId="11717"/>
    <cellStyle name="60% - 强调文字颜色 6 2 2 2 27" xfId="11718"/>
    <cellStyle name="60% - 强调文字颜色 6 2 2 2 3" xfId="11719"/>
    <cellStyle name="60% - 强调文字颜色 6 2 2 2 4" xfId="11720"/>
    <cellStyle name="60% - 强调文字颜色 6 2 2 2 5" xfId="11721"/>
    <cellStyle name="60% - 强调文字颜色 6 2 2 2 6" xfId="11722"/>
    <cellStyle name="60% - 强调文字颜色 6 2 2 2 7" xfId="11723"/>
    <cellStyle name="60% - 强调文字颜色 6 2 2 2 8" xfId="11724"/>
    <cellStyle name="60% - 强调文字颜色 6 2 2 2 9" xfId="11725"/>
    <cellStyle name="60% - 强调文字颜色 6 2 2 20" xfId="11726"/>
    <cellStyle name="60% - 强调文字颜色 6 2 2 21" xfId="11727"/>
    <cellStyle name="60% - 强调文字颜色 6 2 2 22" xfId="11728"/>
    <cellStyle name="60% - 强调文字颜色 6 2 2 23" xfId="11729"/>
    <cellStyle name="60% - 强调文字颜色 6 2 2 24" xfId="11730"/>
    <cellStyle name="60% - 强调文字颜色 6 2 2 25" xfId="11731"/>
    <cellStyle name="60% - 强调文字颜色 6 2 2 26" xfId="11732"/>
    <cellStyle name="60% - 强调文字颜色 6 2 2 27" xfId="11733"/>
    <cellStyle name="60% - 强调文字颜色 6 2 2 28" xfId="11734"/>
    <cellStyle name="60% - 强调文字颜色 6 2 2 3" xfId="11735"/>
    <cellStyle name="60% - 强调文字颜色 6 2 2 4" xfId="11736"/>
    <cellStyle name="60% - 强调文字颜色 6 2 2 5" xfId="11737"/>
    <cellStyle name="60% - 强调文字颜色 6 2 2 6" xfId="11738"/>
    <cellStyle name="60% - 强调文字颜色 6 2 2 7" xfId="11739"/>
    <cellStyle name="60% - 强调文字颜色 6 2 2 8" xfId="11740"/>
    <cellStyle name="60% - 强调文字颜色 6 2 2 9" xfId="11741"/>
    <cellStyle name="60% - 强调文字颜色 6 2 20" xfId="11742"/>
    <cellStyle name="60% - 强调文字颜色 6 2 21" xfId="11743"/>
    <cellStyle name="60% - 强调文字颜色 6 2 22" xfId="11744"/>
    <cellStyle name="60% - 强调文字颜色 6 2 23" xfId="11745"/>
    <cellStyle name="60% - 强调文字颜色 6 2 24" xfId="11746"/>
    <cellStyle name="60% - 强调文字颜色 6 2 25" xfId="11747"/>
    <cellStyle name="60% - 强调文字颜色 6 2 26" xfId="11748"/>
    <cellStyle name="60% - 强调文字颜色 6 2 27" xfId="11749"/>
    <cellStyle name="60% - 强调文字颜色 6 2 28" xfId="11750"/>
    <cellStyle name="60% - 强调文字颜色 6 2 29" xfId="11751"/>
    <cellStyle name="60% - 强调文字颜色 6 2 3" xfId="11752"/>
    <cellStyle name="60% - 强调文字颜色 6 2 3 10" xfId="11753"/>
    <cellStyle name="60% - 强调文字颜色 6 2 3 11" xfId="11754"/>
    <cellStyle name="60% - 强调文字颜色 6 2 3 12" xfId="11755"/>
    <cellStyle name="60% - 强调文字颜色 6 2 3 13" xfId="11756"/>
    <cellStyle name="60% - 强调文字颜色 6 2 3 14" xfId="11757"/>
    <cellStyle name="60% - 强调文字颜色 6 2 3 15" xfId="11758"/>
    <cellStyle name="60% - 强调文字颜色 6 2 3 16" xfId="11759"/>
    <cellStyle name="60% - 强调文字颜色 6 2 3 17" xfId="11760"/>
    <cellStyle name="60% - 强调文字颜色 6 2 3 18" xfId="11761"/>
    <cellStyle name="60% - 强调文字颜色 6 2 3 19" xfId="11762"/>
    <cellStyle name="60% - 强调文字颜色 6 2 3 2" xfId="11763"/>
    <cellStyle name="60% - 强调文字颜色 6 2 3 2 10" xfId="11764"/>
    <cellStyle name="60% - 强调文字颜色 6 2 3 2 11" xfId="11765"/>
    <cellStyle name="60% - 强调文字颜色 6 2 3 2 12" xfId="11766"/>
    <cellStyle name="60% - 强调文字颜色 6 2 3 2 13" xfId="11767"/>
    <cellStyle name="60% - 强调文字颜色 6 2 3 2 14" xfId="11768"/>
    <cellStyle name="60% - 强调文字颜色 6 2 3 2 15" xfId="11769"/>
    <cellStyle name="60% - 强调文字颜色 6 2 3 2 16" xfId="11770"/>
    <cellStyle name="60% - 强调文字颜色 6 2 3 2 17" xfId="11771"/>
    <cellStyle name="60% - 强调文字颜色 6 2 3 2 18" xfId="11772"/>
    <cellStyle name="60% - 强调文字颜色 6 2 3 2 19" xfId="11773"/>
    <cellStyle name="60% - 强调文字颜色 6 2 3 2 2" xfId="11774"/>
    <cellStyle name="60% - 强调文字颜色 6 2 3 2 20" xfId="11775"/>
    <cellStyle name="60% - 强调文字颜色 6 2 3 2 21" xfId="11776"/>
    <cellStyle name="60% - 强调文字颜色 6 2 3 2 22" xfId="11777"/>
    <cellStyle name="60% - 强调文字颜色 6 2 3 2 23" xfId="11778"/>
    <cellStyle name="60% - 强调文字颜色 6 2 3 2 24" xfId="11779"/>
    <cellStyle name="60% - 强调文字颜色 6 2 3 2 25" xfId="11780"/>
    <cellStyle name="60% - 强调文字颜色 6 2 3 2 26" xfId="11781"/>
    <cellStyle name="60% - 强调文字颜色 6 2 3 2 27" xfId="11782"/>
    <cellStyle name="60% - 强调文字颜色 6 2 3 2 3" xfId="11783"/>
    <cellStyle name="60% - 强调文字颜色 6 2 3 2 4" xfId="11784"/>
    <cellStyle name="60% - 强调文字颜色 6 2 3 2 5" xfId="11785"/>
    <cellStyle name="60% - 强调文字颜色 6 2 3 2 6" xfId="11786"/>
    <cellStyle name="60% - 强调文字颜色 6 2 3 2 7" xfId="11787"/>
    <cellStyle name="60% - 强调文字颜色 6 2 3 2 8" xfId="11788"/>
    <cellStyle name="60% - 强调文字颜色 6 2 3 2 9" xfId="11789"/>
    <cellStyle name="60% - 强调文字颜色 6 2 3 20" xfId="11790"/>
    <cellStyle name="60% - 强调文字颜色 6 2 3 21" xfId="11791"/>
    <cellStyle name="60% - 强调文字颜色 6 2 3 22" xfId="11792"/>
    <cellStyle name="60% - 强调文字颜色 6 2 3 23" xfId="11793"/>
    <cellStyle name="60% - 强调文字颜色 6 2 3 24" xfId="11794"/>
    <cellStyle name="60% - 强调文字颜色 6 2 3 25" xfId="11795"/>
    <cellStyle name="60% - 强调文字颜色 6 2 3 26" xfId="11796"/>
    <cellStyle name="60% - 强调文字颜色 6 2 3 27" xfId="11797"/>
    <cellStyle name="60% - 强调文字颜色 6 2 3 28" xfId="11798"/>
    <cellStyle name="60% - 强调文字颜色 6 2 3 3" xfId="11799"/>
    <cellStyle name="60% - 强调文字颜色 6 2 3 4" xfId="11800"/>
    <cellStyle name="60% - 强调文字颜色 6 2 3 5" xfId="11801"/>
    <cellStyle name="60% - 强调文字颜色 6 2 3 6" xfId="11802"/>
    <cellStyle name="60% - 强调文字颜色 6 2 3 7" xfId="11803"/>
    <cellStyle name="60% - 强调文字颜色 6 2 3 8" xfId="11804"/>
    <cellStyle name="60% - 强调文字颜色 6 2 3 9" xfId="11805"/>
    <cellStyle name="60% - 强调文字颜色 6 2 30" xfId="11806"/>
    <cellStyle name="60% - 强调文字颜色 6 2 31" xfId="11807"/>
    <cellStyle name="60% - 强调文字颜色 6 2 32" xfId="11808"/>
    <cellStyle name="60% - 强调文字颜色 6 2 33" xfId="11809"/>
    <cellStyle name="60% - 强调文字颜色 6 2 4" xfId="11810"/>
    <cellStyle name="60% - 强调文字颜色 6 2 4 10" xfId="11811"/>
    <cellStyle name="60% - 强调文字颜色 6 2 4 11" xfId="11812"/>
    <cellStyle name="60% - 强调文字颜色 6 2 4 12" xfId="11813"/>
    <cellStyle name="60% - 强调文字颜色 6 2 4 13" xfId="11814"/>
    <cellStyle name="60% - 强调文字颜色 6 2 4 14" xfId="11815"/>
    <cellStyle name="60% - 强调文字颜色 6 2 4 15" xfId="11816"/>
    <cellStyle name="60% - 强调文字颜色 6 2 4 16" xfId="11817"/>
    <cellStyle name="60% - 强调文字颜色 6 2 4 17" xfId="11818"/>
    <cellStyle name="60% - 强调文字颜色 6 2 4 18" xfId="11819"/>
    <cellStyle name="60% - 强调文字颜色 6 2 4 19" xfId="11820"/>
    <cellStyle name="60% - 强调文字颜色 6 2 4 2" xfId="11821"/>
    <cellStyle name="60% - 强调文字颜色 6 2 4 20" xfId="11822"/>
    <cellStyle name="60% - 强调文字颜色 6 2 4 21" xfId="11823"/>
    <cellStyle name="60% - 强调文字颜色 6 2 4 22" xfId="11824"/>
    <cellStyle name="60% - 强调文字颜色 6 2 4 23" xfId="11825"/>
    <cellStyle name="60% - 强调文字颜色 6 2 4 24" xfId="11826"/>
    <cellStyle name="60% - 强调文字颜色 6 2 4 25" xfId="11827"/>
    <cellStyle name="60% - 强调文字颜色 6 2 4 26" xfId="11828"/>
    <cellStyle name="60% - 强调文字颜色 6 2 4 27" xfId="11829"/>
    <cellStyle name="60% - 强调文字颜色 6 2 4 3" xfId="11830"/>
    <cellStyle name="60% - 强调文字颜色 6 2 4 4" xfId="11831"/>
    <cellStyle name="60% - 强调文字颜色 6 2 4 5" xfId="11832"/>
    <cellStyle name="60% - 强调文字颜色 6 2 4 6" xfId="11833"/>
    <cellStyle name="60% - 强调文字颜色 6 2 4 7" xfId="11834"/>
    <cellStyle name="60% - 强调文字颜色 6 2 4 8" xfId="11835"/>
    <cellStyle name="60% - 强调文字颜色 6 2 4 9" xfId="11836"/>
    <cellStyle name="60% - 强调文字颜色 6 2 5" xfId="11837"/>
    <cellStyle name="60% - 强调文字颜色 6 2 6" xfId="11838"/>
    <cellStyle name="60% - 强调文字颜色 6 2 7" xfId="11839"/>
    <cellStyle name="60% - 强调文字颜色 6 2 8" xfId="11840"/>
    <cellStyle name="60% - 强调文字颜色 6 2 9" xfId="11841"/>
    <cellStyle name="60% - 强调文字颜色 6 20" xfId="11842"/>
    <cellStyle name="60% - 强调文字颜色 6 21" xfId="11843"/>
    <cellStyle name="60% - 强调文字颜色 6 22" xfId="11844"/>
    <cellStyle name="60% - 强调文字颜色 6 23" xfId="11845"/>
    <cellStyle name="60% - 强调文字颜色 6 24" xfId="11846"/>
    <cellStyle name="60% - 强调文字颜色 6 25" xfId="11847"/>
    <cellStyle name="60% - 强调文字颜色 6 26" xfId="11848"/>
    <cellStyle name="60% - 强调文字颜色 6 27" xfId="11849"/>
    <cellStyle name="60% - 强调文字颜色 6 28" xfId="11850"/>
    <cellStyle name="60% - 强调文字颜色 6 29" xfId="11851"/>
    <cellStyle name="60% - 强调文字颜色 6 3" xfId="11852"/>
    <cellStyle name="60% - 强调文字颜色 6 3 10" xfId="11853"/>
    <cellStyle name="60% - 强调文字颜色 6 3 11" xfId="11854"/>
    <cellStyle name="60% - 强调文字颜色 6 3 12" xfId="11855"/>
    <cellStyle name="60% - 强调文字颜色 6 3 13" xfId="11856"/>
    <cellStyle name="60% - 强调文字颜色 6 3 14" xfId="11857"/>
    <cellStyle name="60% - 强调文字颜色 6 3 15" xfId="11858"/>
    <cellStyle name="60% - 强调文字颜色 6 3 16" xfId="11859"/>
    <cellStyle name="60% - 强调文字颜色 6 3 17" xfId="11860"/>
    <cellStyle name="60% - 强调文字颜色 6 3 18" xfId="11861"/>
    <cellStyle name="60% - 强调文字颜色 6 3 19" xfId="11862"/>
    <cellStyle name="60% - 强调文字颜色 6 3 2" xfId="11863"/>
    <cellStyle name="60% - 强调文字颜色 6 3 2 10" xfId="11864"/>
    <cellStyle name="60% - 强调文字颜色 6 3 2 11" xfId="11865"/>
    <cellStyle name="60% - 强调文字颜色 6 3 2 12" xfId="11866"/>
    <cellStyle name="60% - 强调文字颜色 6 3 2 13" xfId="11867"/>
    <cellStyle name="60% - 强调文字颜色 6 3 2 14" xfId="11868"/>
    <cellStyle name="60% - 强调文字颜色 6 3 2 15" xfId="11869"/>
    <cellStyle name="60% - 强调文字颜色 6 3 2 16" xfId="11870"/>
    <cellStyle name="60% - 强调文字颜色 6 3 2 17" xfId="11871"/>
    <cellStyle name="60% - 强调文字颜色 6 3 2 18" xfId="11872"/>
    <cellStyle name="60% - 强调文字颜色 6 3 2 19" xfId="11873"/>
    <cellStyle name="60% - 强调文字颜色 6 3 2 2" xfId="11874"/>
    <cellStyle name="60% - 强调文字颜色 6 3 2 20" xfId="11875"/>
    <cellStyle name="60% - 强调文字颜色 6 3 2 21" xfId="11876"/>
    <cellStyle name="60% - 强调文字颜色 6 3 2 22" xfId="11877"/>
    <cellStyle name="60% - 强调文字颜色 6 3 2 23" xfId="11878"/>
    <cellStyle name="60% - 强调文字颜色 6 3 2 24" xfId="11879"/>
    <cellStyle name="60% - 强调文字颜色 6 3 2 25" xfId="11880"/>
    <cellStyle name="60% - 强调文字颜色 6 3 2 26" xfId="11881"/>
    <cellStyle name="60% - 强调文字颜色 6 3 2 27" xfId="11882"/>
    <cellStyle name="60% - 强调文字颜色 6 3 2 3" xfId="11883"/>
    <cellStyle name="60% - 强调文字颜色 6 3 2 4" xfId="11884"/>
    <cellStyle name="60% - 强调文字颜色 6 3 2 5" xfId="11885"/>
    <cellStyle name="60% - 强调文字颜色 6 3 2 6" xfId="11886"/>
    <cellStyle name="60% - 强调文字颜色 6 3 2 7" xfId="11887"/>
    <cellStyle name="60% - 强调文字颜色 6 3 2 8" xfId="11888"/>
    <cellStyle name="60% - 强调文字颜色 6 3 2 9" xfId="11889"/>
    <cellStyle name="60% - 强调文字颜色 6 3 20" xfId="11890"/>
    <cellStyle name="60% - 强调文字颜色 6 3 21" xfId="11891"/>
    <cellStyle name="60% - 强调文字颜色 6 3 22" xfId="11892"/>
    <cellStyle name="60% - 强调文字颜色 6 3 23" xfId="11893"/>
    <cellStyle name="60% - 强调文字颜色 6 3 24" xfId="11894"/>
    <cellStyle name="60% - 强调文字颜色 6 3 25" xfId="11895"/>
    <cellStyle name="60% - 强调文字颜色 6 3 26" xfId="11896"/>
    <cellStyle name="60% - 强调文字颜色 6 3 27" xfId="11897"/>
    <cellStyle name="60% - 强调文字颜色 6 3 28" xfId="11898"/>
    <cellStyle name="60% - 强调文字颜色 6 3 3" xfId="11899"/>
    <cellStyle name="60% - 强调文字颜色 6 3 4" xfId="11900"/>
    <cellStyle name="60% - 强调文字颜色 6 3 5" xfId="11901"/>
    <cellStyle name="60% - 强调文字颜色 6 3 6" xfId="11902"/>
    <cellStyle name="60% - 强调文字颜色 6 3 7" xfId="11903"/>
    <cellStyle name="60% - 强调文字颜色 6 3 8" xfId="11904"/>
    <cellStyle name="60% - 强调文字颜色 6 3 9" xfId="11905"/>
    <cellStyle name="60% - 强调文字颜色 6 30" xfId="11906"/>
    <cellStyle name="60% - 强调文字颜色 6 31" xfId="11907"/>
    <cellStyle name="60% - 强调文字颜色 6 32" xfId="11908"/>
    <cellStyle name="60% - 强调文字颜色 6 33" xfId="11909"/>
    <cellStyle name="60% - 强调文字颜色 6 34" xfId="11910"/>
    <cellStyle name="60% - 强调文字颜色 6 35" xfId="11911"/>
    <cellStyle name="60% - 强调文字颜色 6 36" xfId="11912"/>
    <cellStyle name="60% - 强调文字颜色 6 37" xfId="11913"/>
    <cellStyle name="60% - 强调文字颜色 6 38" xfId="11914"/>
    <cellStyle name="60% - 强调文字颜色 6 39" xfId="11915"/>
    <cellStyle name="60% - 强调文字颜色 6 4" xfId="11916"/>
    <cellStyle name="60% - 强调文字颜色 6 4 10" xfId="11917"/>
    <cellStyle name="60% - 强调文字颜色 6 4 11" xfId="11918"/>
    <cellStyle name="60% - 强调文字颜色 6 4 12" xfId="11919"/>
    <cellStyle name="60% - 强调文字颜色 6 4 13" xfId="11920"/>
    <cellStyle name="60% - 强调文字颜色 6 4 14" xfId="11921"/>
    <cellStyle name="60% - 强调文字颜色 6 4 15" xfId="11922"/>
    <cellStyle name="60% - 强调文字颜色 6 4 16" xfId="11923"/>
    <cellStyle name="60% - 强调文字颜色 6 4 17" xfId="11924"/>
    <cellStyle name="60% - 强调文字颜色 6 4 18" xfId="11925"/>
    <cellStyle name="60% - 强调文字颜色 6 4 19" xfId="11926"/>
    <cellStyle name="60% - 强调文字颜色 6 4 2" xfId="11927"/>
    <cellStyle name="60% - 强调文字颜色 6 4 2 10" xfId="11928"/>
    <cellStyle name="60% - 强调文字颜色 6 4 2 11" xfId="11929"/>
    <cellStyle name="60% - 强调文字颜色 6 4 2 12" xfId="11930"/>
    <cellStyle name="60% - 强调文字颜色 6 4 2 13" xfId="11931"/>
    <cellStyle name="60% - 强调文字颜色 6 4 2 14" xfId="11932"/>
    <cellStyle name="60% - 强调文字颜色 6 4 2 15" xfId="11933"/>
    <cellStyle name="60% - 强调文字颜色 6 4 2 16" xfId="11934"/>
    <cellStyle name="60% - 强调文字颜色 6 4 2 17" xfId="11935"/>
    <cellStyle name="60% - 强调文字颜色 6 4 2 18" xfId="11936"/>
    <cellStyle name="60% - 强调文字颜色 6 4 2 19" xfId="11937"/>
    <cellStyle name="60% - 强调文字颜色 6 4 2 2" xfId="11938"/>
    <cellStyle name="60% - 强调文字颜色 6 4 2 20" xfId="11939"/>
    <cellStyle name="60% - 强调文字颜色 6 4 2 21" xfId="11940"/>
    <cellStyle name="60% - 强调文字颜色 6 4 2 22" xfId="11941"/>
    <cellStyle name="60% - 强调文字颜色 6 4 2 23" xfId="11942"/>
    <cellStyle name="60% - 强调文字颜色 6 4 2 24" xfId="11943"/>
    <cellStyle name="60% - 强调文字颜色 6 4 2 25" xfId="11944"/>
    <cellStyle name="60% - 强调文字颜色 6 4 2 26" xfId="11945"/>
    <cellStyle name="60% - 强调文字颜色 6 4 2 27" xfId="11946"/>
    <cellStyle name="60% - 强调文字颜色 6 4 2 3" xfId="11947"/>
    <cellStyle name="60% - 强调文字颜色 6 4 2 4" xfId="11948"/>
    <cellStyle name="60% - 强调文字颜色 6 4 2 5" xfId="11949"/>
    <cellStyle name="60% - 强调文字颜色 6 4 2 6" xfId="11950"/>
    <cellStyle name="60% - 强调文字颜色 6 4 2 7" xfId="11951"/>
    <cellStyle name="60% - 强调文字颜色 6 4 2 8" xfId="11952"/>
    <cellStyle name="60% - 强调文字颜色 6 4 2 9" xfId="11953"/>
    <cellStyle name="60% - 强调文字颜色 6 4 20" xfId="11954"/>
    <cellStyle name="60% - 强调文字颜色 6 4 21" xfId="11955"/>
    <cellStyle name="60% - 强调文字颜色 6 4 22" xfId="11956"/>
    <cellStyle name="60% - 强调文字颜色 6 4 23" xfId="11957"/>
    <cellStyle name="60% - 强调文字颜色 6 4 24" xfId="11958"/>
    <cellStyle name="60% - 强调文字颜色 6 4 25" xfId="11959"/>
    <cellStyle name="60% - 强调文字颜色 6 4 26" xfId="11960"/>
    <cellStyle name="60% - 强调文字颜色 6 4 27" xfId="11961"/>
    <cellStyle name="60% - 强调文字颜色 6 4 28" xfId="11962"/>
    <cellStyle name="60% - 强调文字颜色 6 4 3" xfId="11963"/>
    <cellStyle name="60% - 强调文字颜色 6 4 4" xfId="11964"/>
    <cellStyle name="60% - 强调文字颜色 6 4 5" xfId="11965"/>
    <cellStyle name="60% - 强调文字颜色 6 4 6" xfId="11966"/>
    <cellStyle name="60% - 强调文字颜色 6 4 7" xfId="11967"/>
    <cellStyle name="60% - 强调文字颜色 6 4 8" xfId="11968"/>
    <cellStyle name="60% - 强调文字颜色 6 4 9" xfId="11969"/>
    <cellStyle name="60% - 强调文字颜色 6 40" xfId="11970"/>
    <cellStyle name="60% - 强调文字颜色 6 5" xfId="11971"/>
    <cellStyle name="60% - 强调文字颜色 6 5 10" xfId="11972"/>
    <cellStyle name="60% - 强调文字颜色 6 5 11" xfId="11973"/>
    <cellStyle name="60% - 强调文字颜色 6 5 12" xfId="11974"/>
    <cellStyle name="60% - 强调文字颜色 6 5 13" xfId="11975"/>
    <cellStyle name="60% - 强调文字颜色 6 5 14" xfId="11976"/>
    <cellStyle name="60% - 强调文字颜色 6 5 15" xfId="11977"/>
    <cellStyle name="60% - 强调文字颜色 6 5 16" xfId="11978"/>
    <cellStyle name="60% - 强调文字颜色 6 5 17" xfId="11979"/>
    <cellStyle name="60% - 强调文字颜色 6 5 18" xfId="11980"/>
    <cellStyle name="60% - 强调文字颜色 6 5 19" xfId="11981"/>
    <cellStyle name="60% - 强调文字颜色 6 5 2" xfId="11982"/>
    <cellStyle name="60% - 强调文字颜色 6 5 2 10" xfId="11983"/>
    <cellStyle name="60% - 强调文字颜色 6 5 2 11" xfId="11984"/>
    <cellStyle name="60% - 强调文字颜色 6 5 2 12" xfId="11985"/>
    <cellStyle name="60% - 强调文字颜色 6 5 2 13" xfId="11986"/>
    <cellStyle name="60% - 强调文字颜色 6 5 2 14" xfId="11987"/>
    <cellStyle name="60% - 强调文字颜色 6 5 2 15" xfId="11988"/>
    <cellStyle name="60% - 强调文字颜色 6 5 2 16" xfId="11989"/>
    <cellStyle name="60% - 强调文字颜色 6 5 2 17" xfId="11990"/>
    <cellStyle name="60% - 强调文字颜色 6 5 2 18" xfId="11991"/>
    <cellStyle name="60% - 强调文字颜色 6 5 2 19" xfId="11992"/>
    <cellStyle name="60% - 强调文字颜色 6 5 2 2" xfId="11993"/>
    <cellStyle name="60% - 强调文字颜色 6 5 2 20" xfId="11994"/>
    <cellStyle name="60% - 强调文字颜色 6 5 2 21" xfId="11995"/>
    <cellStyle name="60% - 强调文字颜色 6 5 2 22" xfId="11996"/>
    <cellStyle name="60% - 强调文字颜色 6 5 2 23" xfId="11997"/>
    <cellStyle name="60% - 强调文字颜色 6 5 2 24" xfId="11998"/>
    <cellStyle name="60% - 强调文字颜色 6 5 2 25" xfId="11999"/>
    <cellStyle name="60% - 强调文字颜色 6 5 2 26" xfId="12000"/>
    <cellStyle name="60% - 强调文字颜色 6 5 2 27" xfId="12001"/>
    <cellStyle name="60% - 强调文字颜色 6 5 2 3" xfId="12002"/>
    <cellStyle name="60% - 强调文字颜色 6 5 2 4" xfId="12003"/>
    <cellStyle name="60% - 强调文字颜色 6 5 2 5" xfId="12004"/>
    <cellStyle name="60% - 强调文字颜色 6 5 2 6" xfId="12005"/>
    <cellStyle name="60% - 强调文字颜色 6 5 2 7" xfId="12006"/>
    <cellStyle name="60% - 强调文字颜色 6 5 2 8" xfId="12007"/>
    <cellStyle name="60% - 强调文字颜色 6 5 2 9" xfId="12008"/>
    <cellStyle name="60% - 强调文字颜色 6 5 20" xfId="12009"/>
    <cellStyle name="60% - 强调文字颜色 6 5 21" xfId="12010"/>
    <cellStyle name="60% - 强调文字颜色 6 5 22" xfId="12011"/>
    <cellStyle name="60% - 强调文字颜色 6 5 23" xfId="12012"/>
    <cellStyle name="60% - 强调文字颜色 6 5 24" xfId="12013"/>
    <cellStyle name="60% - 强调文字颜色 6 5 25" xfId="12014"/>
    <cellStyle name="60% - 强调文字颜色 6 5 26" xfId="12015"/>
    <cellStyle name="60% - 强调文字颜色 6 5 27" xfId="12016"/>
    <cellStyle name="60% - 强调文字颜色 6 5 28" xfId="12017"/>
    <cellStyle name="60% - 强调文字颜色 6 5 3" xfId="12018"/>
    <cellStyle name="60% - 强调文字颜色 6 5 4" xfId="12019"/>
    <cellStyle name="60% - 强调文字颜色 6 5 5" xfId="12020"/>
    <cellStyle name="60% - 强调文字颜色 6 5 6" xfId="12021"/>
    <cellStyle name="60% - 强调文字颜色 6 5 7" xfId="12022"/>
    <cellStyle name="60% - 强调文字颜色 6 5 8" xfId="12023"/>
    <cellStyle name="60% - 强调文字颜色 6 5 9" xfId="12024"/>
    <cellStyle name="60% - 强调文字颜色 6 6" xfId="12025"/>
    <cellStyle name="60% - 强调文字颜色 6 6 10" xfId="12026"/>
    <cellStyle name="60% - 强调文字颜色 6 6 11" xfId="12027"/>
    <cellStyle name="60% - 强调文字颜色 6 6 12" xfId="12028"/>
    <cellStyle name="60% - 强调文字颜色 6 6 13" xfId="12029"/>
    <cellStyle name="60% - 强调文字颜色 6 6 14" xfId="12030"/>
    <cellStyle name="60% - 强调文字颜色 6 6 15" xfId="12031"/>
    <cellStyle name="60% - 强调文字颜色 6 6 16" xfId="12032"/>
    <cellStyle name="60% - 强调文字颜色 6 6 17" xfId="12033"/>
    <cellStyle name="60% - 强调文字颜色 6 6 18" xfId="12034"/>
    <cellStyle name="60% - 强调文字颜色 6 6 19" xfId="12035"/>
    <cellStyle name="60% - 强调文字颜色 6 6 2" xfId="12036"/>
    <cellStyle name="60% - 强调文字颜色 6 6 2 10" xfId="12037"/>
    <cellStyle name="60% - 强调文字颜色 6 6 2 11" xfId="12038"/>
    <cellStyle name="60% - 强调文字颜色 6 6 2 12" xfId="12039"/>
    <cellStyle name="60% - 强调文字颜色 6 6 2 13" xfId="12040"/>
    <cellStyle name="60% - 强调文字颜色 6 6 2 14" xfId="12041"/>
    <cellStyle name="60% - 强调文字颜色 6 6 2 15" xfId="12042"/>
    <cellStyle name="60% - 强调文字颜色 6 6 2 16" xfId="12043"/>
    <cellStyle name="60% - 强调文字颜色 6 6 2 17" xfId="12044"/>
    <cellStyle name="60% - 强调文字颜色 6 6 2 18" xfId="12045"/>
    <cellStyle name="60% - 强调文字颜色 6 6 2 19" xfId="12046"/>
    <cellStyle name="60% - 强调文字颜色 6 6 2 2" xfId="12047"/>
    <cellStyle name="60% - 强调文字颜色 6 6 2 20" xfId="12048"/>
    <cellStyle name="60% - 强调文字颜色 6 6 2 21" xfId="12049"/>
    <cellStyle name="60% - 强调文字颜色 6 6 2 22" xfId="12050"/>
    <cellStyle name="60% - 强调文字颜色 6 6 2 23" xfId="12051"/>
    <cellStyle name="60% - 强调文字颜色 6 6 2 24" xfId="12052"/>
    <cellStyle name="60% - 强调文字颜色 6 6 2 25" xfId="12053"/>
    <cellStyle name="60% - 强调文字颜色 6 6 2 26" xfId="12054"/>
    <cellStyle name="60% - 强调文字颜色 6 6 2 27" xfId="12055"/>
    <cellStyle name="60% - 强调文字颜色 6 6 2 3" xfId="12056"/>
    <cellStyle name="60% - 强调文字颜色 6 6 2 4" xfId="12057"/>
    <cellStyle name="60% - 强调文字颜色 6 6 2 5" xfId="12058"/>
    <cellStyle name="60% - 强调文字颜色 6 6 2 6" xfId="12059"/>
    <cellStyle name="60% - 强调文字颜色 6 6 2 7" xfId="12060"/>
    <cellStyle name="60% - 强调文字颜色 6 6 2 8" xfId="12061"/>
    <cellStyle name="60% - 强调文字颜色 6 6 2 9" xfId="12062"/>
    <cellStyle name="60% - 强调文字颜色 6 6 20" xfId="12063"/>
    <cellStyle name="60% - 强调文字颜色 6 6 21" xfId="12064"/>
    <cellStyle name="60% - 强调文字颜色 6 6 22" xfId="12065"/>
    <cellStyle name="60% - 强调文字颜色 6 6 23" xfId="12066"/>
    <cellStyle name="60% - 强调文字颜色 6 6 24" xfId="12067"/>
    <cellStyle name="60% - 强调文字颜色 6 6 25" xfId="12068"/>
    <cellStyle name="60% - 强调文字颜色 6 6 26" xfId="12069"/>
    <cellStyle name="60% - 强调文字颜色 6 6 27" xfId="12070"/>
    <cellStyle name="60% - 强调文字颜色 6 6 28" xfId="12071"/>
    <cellStyle name="60% - 强调文字颜色 6 6 3" xfId="12072"/>
    <cellStyle name="60% - 强调文字颜色 6 6 4" xfId="12073"/>
    <cellStyle name="60% - 强调文字颜色 6 6 5" xfId="12074"/>
    <cellStyle name="60% - 强调文字颜色 6 6 6" xfId="12075"/>
    <cellStyle name="60% - 强调文字颜色 6 6 7" xfId="12076"/>
    <cellStyle name="60% - 强调文字颜色 6 6 8" xfId="12077"/>
    <cellStyle name="60% - 强调文字颜色 6 6 9" xfId="12078"/>
    <cellStyle name="60% - 强调文字颜色 6 7" xfId="12079"/>
    <cellStyle name="60% - 强调文字颜色 6 7 10" xfId="12080"/>
    <cellStyle name="60% - 强调文字颜色 6 7 11" xfId="12081"/>
    <cellStyle name="60% - 强调文字颜色 6 7 12" xfId="12082"/>
    <cellStyle name="60% - 强调文字颜色 6 7 13" xfId="12083"/>
    <cellStyle name="60% - 强调文字颜色 6 7 14" xfId="12084"/>
    <cellStyle name="60% - 强调文字颜色 6 7 15" xfId="12085"/>
    <cellStyle name="60% - 强调文字颜色 6 7 16" xfId="12086"/>
    <cellStyle name="60% - 强调文字颜色 6 7 17" xfId="12087"/>
    <cellStyle name="60% - 强调文字颜色 6 7 18" xfId="12088"/>
    <cellStyle name="60% - 强调文字颜色 6 7 19" xfId="12089"/>
    <cellStyle name="60% - 强调文字颜色 6 7 2" xfId="12090"/>
    <cellStyle name="60% - 强调文字颜色 6 7 2 10" xfId="12091"/>
    <cellStyle name="60% - 强调文字颜色 6 7 2 11" xfId="12092"/>
    <cellStyle name="60% - 强调文字颜色 6 7 2 12" xfId="12093"/>
    <cellStyle name="60% - 强调文字颜色 6 7 2 13" xfId="12094"/>
    <cellStyle name="60% - 强调文字颜色 6 7 2 14" xfId="12095"/>
    <cellStyle name="60% - 强调文字颜色 6 7 2 15" xfId="12096"/>
    <cellStyle name="60% - 强调文字颜色 6 7 2 16" xfId="12097"/>
    <cellStyle name="60% - 强调文字颜色 6 7 2 17" xfId="12098"/>
    <cellStyle name="60% - 强调文字颜色 6 7 2 18" xfId="12099"/>
    <cellStyle name="60% - 强调文字颜色 6 7 2 19" xfId="12100"/>
    <cellStyle name="60% - 强调文字颜色 6 7 2 2" xfId="12101"/>
    <cellStyle name="60% - 强调文字颜色 6 7 2 20" xfId="12102"/>
    <cellStyle name="60% - 强调文字颜色 6 7 2 21" xfId="12103"/>
    <cellStyle name="60% - 强调文字颜色 6 7 2 22" xfId="12104"/>
    <cellStyle name="60% - 强调文字颜色 6 7 2 23" xfId="12105"/>
    <cellStyle name="60% - 强调文字颜色 6 7 2 24" xfId="12106"/>
    <cellStyle name="60% - 强调文字颜色 6 7 2 25" xfId="12107"/>
    <cellStyle name="60% - 强调文字颜色 6 7 2 26" xfId="12108"/>
    <cellStyle name="60% - 强调文字颜色 6 7 2 27" xfId="12109"/>
    <cellStyle name="60% - 强调文字颜色 6 7 2 3" xfId="12110"/>
    <cellStyle name="60% - 强调文字颜色 6 7 2 4" xfId="12111"/>
    <cellStyle name="60% - 强调文字颜色 6 7 2 5" xfId="12112"/>
    <cellStyle name="60% - 强调文字颜色 6 7 2 6" xfId="12113"/>
    <cellStyle name="60% - 强调文字颜色 6 7 2 7" xfId="12114"/>
    <cellStyle name="60% - 强调文字颜色 6 7 2 8" xfId="12115"/>
    <cellStyle name="60% - 强调文字颜色 6 7 2 9" xfId="12116"/>
    <cellStyle name="60% - 强调文字颜色 6 7 20" xfId="12117"/>
    <cellStyle name="60% - 强调文字颜色 6 7 21" xfId="12118"/>
    <cellStyle name="60% - 强调文字颜色 6 7 22" xfId="12119"/>
    <cellStyle name="60% - 强调文字颜色 6 7 23" xfId="12120"/>
    <cellStyle name="60% - 强调文字颜色 6 7 24" xfId="12121"/>
    <cellStyle name="60% - 强调文字颜色 6 7 25" xfId="12122"/>
    <cellStyle name="60% - 强调文字颜色 6 7 26" xfId="12123"/>
    <cellStyle name="60% - 强调文字颜色 6 7 27" xfId="12124"/>
    <cellStyle name="60% - 强调文字颜色 6 7 28" xfId="12125"/>
    <cellStyle name="60% - 强调文字颜色 6 7 3" xfId="12126"/>
    <cellStyle name="60% - 强调文字颜色 6 7 4" xfId="12127"/>
    <cellStyle name="60% - 强调文字颜色 6 7 5" xfId="12128"/>
    <cellStyle name="60% - 强调文字颜色 6 7 6" xfId="12129"/>
    <cellStyle name="60% - 强调文字颜色 6 7 7" xfId="12130"/>
    <cellStyle name="60% - 强调文字颜色 6 7 8" xfId="12131"/>
    <cellStyle name="60% - 强调文字颜色 6 7 9" xfId="12132"/>
    <cellStyle name="60% - 强调文字颜色 6 8" xfId="12133"/>
    <cellStyle name="60% - 强调文字颜色 6 8 10" xfId="12134"/>
    <cellStyle name="60% - 强调文字颜色 6 8 11" xfId="12135"/>
    <cellStyle name="60% - 强调文字颜色 6 8 12" xfId="12136"/>
    <cellStyle name="60% - 强调文字颜色 6 8 13" xfId="12137"/>
    <cellStyle name="60% - 强调文字颜色 6 8 14" xfId="12138"/>
    <cellStyle name="60% - 强调文字颜色 6 8 15" xfId="12139"/>
    <cellStyle name="60% - 强调文字颜色 6 8 16" xfId="12140"/>
    <cellStyle name="60% - 强调文字颜色 6 8 17" xfId="12141"/>
    <cellStyle name="60% - 强调文字颜色 6 8 18" xfId="12142"/>
    <cellStyle name="60% - 强调文字颜色 6 8 19" xfId="12143"/>
    <cellStyle name="60% - 强调文字颜色 6 8 2" xfId="12144"/>
    <cellStyle name="60% - 强调文字颜色 6 8 2 10" xfId="12145"/>
    <cellStyle name="60% - 强调文字颜色 6 8 2 11" xfId="12146"/>
    <cellStyle name="60% - 强调文字颜色 6 8 2 12" xfId="12147"/>
    <cellStyle name="60% - 强调文字颜色 6 8 2 13" xfId="12148"/>
    <cellStyle name="60% - 强调文字颜色 6 8 2 14" xfId="12149"/>
    <cellStyle name="60% - 强调文字颜色 6 8 2 15" xfId="12150"/>
    <cellStyle name="60% - 强调文字颜色 6 8 2 16" xfId="12151"/>
    <cellStyle name="60% - 强调文字颜色 6 8 2 17" xfId="12152"/>
    <cellStyle name="60% - 强调文字颜色 6 8 2 18" xfId="12153"/>
    <cellStyle name="60% - 强调文字颜色 6 8 2 19" xfId="12154"/>
    <cellStyle name="60% - 强调文字颜色 6 8 2 2" xfId="12155"/>
    <cellStyle name="60% - 强调文字颜色 6 8 2 20" xfId="12156"/>
    <cellStyle name="60% - 强调文字颜色 6 8 2 21" xfId="12157"/>
    <cellStyle name="60% - 强调文字颜色 6 8 2 22" xfId="12158"/>
    <cellStyle name="60% - 强调文字颜色 6 8 2 23" xfId="12159"/>
    <cellStyle name="60% - 强调文字颜色 6 8 2 24" xfId="12160"/>
    <cellStyle name="60% - 强调文字颜色 6 8 2 25" xfId="12161"/>
    <cellStyle name="60% - 强调文字颜色 6 8 2 26" xfId="12162"/>
    <cellStyle name="60% - 强调文字颜色 6 8 2 27" xfId="12163"/>
    <cellStyle name="60% - 强调文字颜色 6 8 2 3" xfId="12164"/>
    <cellStyle name="60% - 强调文字颜色 6 8 2 4" xfId="12165"/>
    <cellStyle name="60% - 强调文字颜色 6 8 2 5" xfId="12166"/>
    <cellStyle name="60% - 强调文字颜色 6 8 2 6" xfId="12167"/>
    <cellStyle name="60% - 强调文字颜色 6 8 2 7" xfId="12168"/>
    <cellStyle name="60% - 强调文字颜色 6 8 2 8" xfId="12169"/>
    <cellStyle name="60% - 强调文字颜色 6 8 2 9" xfId="12170"/>
    <cellStyle name="60% - 强调文字颜色 6 8 20" xfId="12171"/>
    <cellStyle name="60% - 强调文字颜色 6 8 21" xfId="12172"/>
    <cellStyle name="60% - 强调文字颜色 6 8 22" xfId="12173"/>
    <cellStyle name="60% - 强调文字颜色 6 8 23" xfId="12174"/>
    <cellStyle name="60% - 强调文字颜色 6 8 24" xfId="12175"/>
    <cellStyle name="60% - 强调文字颜色 6 8 25" xfId="12176"/>
    <cellStyle name="60% - 强调文字颜色 6 8 26" xfId="12177"/>
    <cellStyle name="60% - 强调文字颜色 6 8 27" xfId="12178"/>
    <cellStyle name="60% - 强调文字颜色 6 8 28" xfId="12179"/>
    <cellStyle name="60% - 强调文字颜色 6 8 3" xfId="12180"/>
    <cellStyle name="60% - 强调文字颜色 6 8 4" xfId="12181"/>
    <cellStyle name="60% - 强调文字颜色 6 8 5" xfId="12182"/>
    <cellStyle name="60% - 强调文字颜色 6 8 6" xfId="12183"/>
    <cellStyle name="60% - 强调文字颜色 6 8 7" xfId="12184"/>
    <cellStyle name="60% - 强调文字颜色 6 8 8" xfId="12185"/>
    <cellStyle name="60% - 强调文字颜色 6 8 9" xfId="12186"/>
    <cellStyle name="60% - 强调文字颜色 6 9" xfId="12187"/>
    <cellStyle name="60% - 强调文字颜色 6 9 10" xfId="12188"/>
    <cellStyle name="60% - 强调文字颜色 6 9 11" xfId="12189"/>
    <cellStyle name="60% - 强调文字颜色 6 9 12" xfId="12190"/>
    <cellStyle name="60% - 强调文字颜色 6 9 13" xfId="12191"/>
    <cellStyle name="60% - 强调文字颜色 6 9 14" xfId="12192"/>
    <cellStyle name="60% - 强调文字颜色 6 9 15" xfId="12193"/>
    <cellStyle name="60% - 强调文字颜色 6 9 16" xfId="12194"/>
    <cellStyle name="60% - 强调文字颜色 6 9 17" xfId="12195"/>
    <cellStyle name="60% - 强调文字颜色 6 9 18" xfId="12196"/>
    <cellStyle name="60% - 强调文字颜色 6 9 19" xfId="12197"/>
    <cellStyle name="60% - 强调文字颜色 6 9 2" xfId="12198"/>
    <cellStyle name="60% - 强调文字颜色 6 9 2 10" xfId="12199"/>
    <cellStyle name="60% - 强调文字颜色 6 9 2 11" xfId="12200"/>
    <cellStyle name="60% - 强调文字颜色 6 9 2 12" xfId="12201"/>
    <cellStyle name="60% - 强调文字颜色 6 9 2 13" xfId="12202"/>
    <cellStyle name="60% - 强调文字颜色 6 9 2 14" xfId="12203"/>
    <cellStyle name="60% - 强调文字颜色 6 9 2 15" xfId="12204"/>
    <cellStyle name="60% - 强调文字颜色 6 9 2 16" xfId="12205"/>
    <cellStyle name="60% - 强调文字颜色 6 9 2 17" xfId="12206"/>
    <cellStyle name="60% - 强调文字颜色 6 9 2 18" xfId="12207"/>
    <cellStyle name="60% - 强调文字颜色 6 9 2 19" xfId="12208"/>
    <cellStyle name="60% - 强调文字颜色 6 9 2 2" xfId="12209"/>
    <cellStyle name="60% - 强调文字颜色 6 9 2 20" xfId="12210"/>
    <cellStyle name="60% - 强调文字颜色 6 9 2 21" xfId="12211"/>
    <cellStyle name="60% - 强调文字颜色 6 9 2 22" xfId="12212"/>
    <cellStyle name="60% - 强调文字颜色 6 9 2 23" xfId="12213"/>
    <cellStyle name="60% - 强调文字颜色 6 9 2 24" xfId="12214"/>
    <cellStyle name="60% - 强调文字颜色 6 9 2 25" xfId="12215"/>
    <cellStyle name="60% - 强调文字颜色 6 9 2 26" xfId="12216"/>
    <cellStyle name="60% - 强调文字颜色 6 9 2 27" xfId="12217"/>
    <cellStyle name="60% - 强调文字颜色 6 9 2 3" xfId="12218"/>
    <cellStyle name="60% - 强调文字颜色 6 9 2 4" xfId="12219"/>
    <cellStyle name="60% - 强调文字颜色 6 9 2 5" xfId="12220"/>
    <cellStyle name="60% - 强调文字颜色 6 9 2 6" xfId="12221"/>
    <cellStyle name="60% - 强调文字颜色 6 9 2 7" xfId="12222"/>
    <cellStyle name="60% - 强调文字颜色 6 9 2 8" xfId="12223"/>
    <cellStyle name="60% - 强调文字颜色 6 9 2 9" xfId="12224"/>
    <cellStyle name="60% - 强调文字颜色 6 9 20" xfId="12225"/>
    <cellStyle name="60% - 强调文字颜色 6 9 21" xfId="12226"/>
    <cellStyle name="60% - 强调文字颜色 6 9 22" xfId="12227"/>
    <cellStyle name="60% - 强调文字颜色 6 9 23" xfId="12228"/>
    <cellStyle name="60% - 强调文字颜色 6 9 24" xfId="12229"/>
    <cellStyle name="60% - 强调文字颜色 6 9 25" xfId="12230"/>
    <cellStyle name="60% - 强调文字颜色 6 9 26" xfId="12231"/>
    <cellStyle name="60% - 强调文字颜色 6 9 27" xfId="12232"/>
    <cellStyle name="60% - 强调文字颜色 6 9 28" xfId="12233"/>
    <cellStyle name="60% - 强调文字颜色 6 9 3" xfId="12234"/>
    <cellStyle name="60% - 强调文字颜色 6 9 4" xfId="12235"/>
    <cellStyle name="60% - 强调文字颜色 6 9 5" xfId="12236"/>
    <cellStyle name="60% - 强调文字颜色 6 9 6" xfId="12237"/>
    <cellStyle name="60% - 强调文字颜色 6 9 7" xfId="12238"/>
    <cellStyle name="60% - 强调文字颜色 6 9 8" xfId="12239"/>
    <cellStyle name="60% - 强调文字颜色 6 9 9" xfId="12240"/>
    <cellStyle name="百分比 2" xfId="12241"/>
    <cellStyle name="百分比 2 10" xfId="12242"/>
    <cellStyle name="百分比 2 11" xfId="12243"/>
    <cellStyle name="百分比 2 12" xfId="12244"/>
    <cellStyle name="百分比 2 13" xfId="12245"/>
    <cellStyle name="百分比 2 14" xfId="12246"/>
    <cellStyle name="百分比 2 15" xfId="12247"/>
    <cellStyle name="百分比 2 16" xfId="12248"/>
    <cellStyle name="百分比 2 17" xfId="12249"/>
    <cellStyle name="百分比 2 18" xfId="12250"/>
    <cellStyle name="百分比 2 19" xfId="12251"/>
    <cellStyle name="百分比 2 2" xfId="12252"/>
    <cellStyle name="百分比 2 2 10" xfId="12253"/>
    <cellStyle name="百分比 2 2 11" xfId="12254"/>
    <cellStyle name="百分比 2 2 12" xfId="12255"/>
    <cellStyle name="百分比 2 2 13" xfId="12256"/>
    <cellStyle name="百分比 2 2 14" xfId="12257"/>
    <cellStyle name="百分比 2 2 15" xfId="12258"/>
    <cellStyle name="百分比 2 2 16" xfId="12259"/>
    <cellStyle name="百分比 2 2 17" xfId="12260"/>
    <cellStyle name="百分比 2 2 18" xfId="12261"/>
    <cellStyle name="百分比 2 2 19" xfId="12262"/>
    <cellStyle name="百分比 2 2 2" xfId="12263"/>
    <cellStyle name="百分比 2 2 20" xfId="12264"/>
    <cellStyle name="百分比 2 2 21" xfId="12265"/>
    <cellStyle name="百分比 2 2 22" xfId="12266"/>
    <cellStyle name="百分比 2 2 23" xfId="12267"/>
    <cellStyle name="百分比 2 2 24" xfId="12268"/>
    <cellStyle name="百分比 2 2 25" xfId="12269"/>
    <cellStyle name="百分比 2 2 26" xfId="12270"/>
    <cellStyle name="百分比 2 2 27" xfId="12271"/>
    <cellStyle name="百分比 2 2 3" xfId="12272"/>
    <cellStyle name="百分比 2 2 4" xfId="12273"/>
    <cellStyle name="百分比 2 2 5" xfId="12274"/>
    <cellStyle name="百分比 2 2 6" xfId="12275"/>
    <cellStyle name="百分比 2 2 7" xfId="12276"/>
    <cellStyle name="百分比 2 2 8" xfId="12277"/>
    <cellStyle name="百分比 2 2 9" xfId="12278"/>
    <cellStyle name="百分比 2 20" xfId="12279"/>
    <cellStyle name="百分比 2 21" xfId="12280"/>
    <cellStyle name="百分比 2 22" xfId="12281"/>
    <cellStyle name="百分比 2 23" xfId="12282"/>
    <cellStyle name="百分比 2 24" xfId="12283"/>
    <cellStyle name="百分比 2 25" xfId="12284"/>
    <cellStyle name="百分比 2 26" xfId="12285"/>
    <cellStyle name="百分比 2 27" xfId="12286"/>
    <cellStyle name="百分比 2 28" xfId="12287"/>
    <cellStyle name="百分比 2 3" xfId="12288"/>
    <cellStyle name="百分比 2 4" xfId="12289"/>
    <cellStyle name="百分比 2 5" xfId="12290"/>
    <cellStyle name="百分比 2 6" xfId="12291"/>
    <cellStyle name="百分比 2 7" xfId="12292"/>
    <cellStyle name="百分比 2 8" xfId="12293"/>
    <cellStyle name="百分比 2 9" xfId="12294"/>
    <cellStyle name="百分比 3" xfId="12295"/>
    <cellStyle name="百分比 3 10" xfId="12296"/>
    <cellStyle name="百分比 3 11" xfId="12297"/>
    <cellStyle name="百分比 3 12" xfId="12298"/>
    <cellStyle name="百分比 3 13" xfId="12299"/>
    <cellStyle name="百分比 3 14" xfId="12300"/>
    <cellStyle name="百分比 3 15" xfId="12301"/>
    <cellStyle name="百分比 3 16" xfId="12302"/>
    <cellStyle name="百分比 3 17" xfId="12303"/>
    <cellStyle name="百分比 3 18" xfId="12304"/>
    <cellStyle name="百分比 3 19" xfId="12305"/>
    <cellStyle name="百分比 3 2" xfId="12306"/>
    <cellStyle name="百分比 3 2 10" xfId="12307"/>
    <cellStyle name="百分比 3 2 11" xfId="12308"/>
    <cellStyle name="百分比 3 2 12" xfId="12309"/>
    <cellStyle name="百分比 3 2 13" xfId="12310"/>
    <cellStyle name="百分比 3 2 14" xfId="12311"/>
    <cellStyle name="百分比 3 2 15" xfId="12312"/>
    <cellStyle name="百分比 3 2 16" xfId="12313"/>
    <cellStyle name="百分比 3 2 17" xfId="12314"/>
    <cellStyle name="百分比 3 2 18" xfId="12315"/>
    <cellStyle name="百分比 3 2 19" xfId="12316"/>
    <cellStyle name="百分比 3 2 2" xfId="12317"/>
    <cellStyle name="百分比 3 2 20" xfId="12318"/>
    <cellStyle name="百分比 3 2 21" xfId="12319"/>
    <cellStyle name="百分比 3 2 22" xfId="12320"/>
    <cellStyle name="百分比 3 2 23" xfId="12321"/>
    <cellStyle name="百分比 3 2 24" xfId="12322"/>
    <cellStyle name="百分比 3 2 25" xfId="12323"/>
    <cellStyle name="百分比 3 2 26" xfId="12324"/>
    <cellStyle name="百分比 3 2 27" xfId="12325"/>
    <cellStyle name="百分比 3 2 3" xfId="12326"/>
    <cellStyle name="百分比 3 2 4" xfId="12327"/>
    <cellStyle name="百分比 3 2 5" xfId="12328"/>
    <cellStyle name="百分比 3 2 6" xfId="12329"/>
    <cellStyle name="百分比 3 2 7" xfId="12330"/>
    <cellStyle name="百分比 3 2 8" xfId="12331"/>
    <cellStyle name="百分比 3 2 9" xfId="12332"/>
    <cellStyle name="百分比 3 20" xfId="12333"/>
    <cellStyle name="百分比 3 21" xfId="12334"/>
    <cellStyle name="百分比 3 22" xfId="12335"/>
    <cellStyle name="百分比 3 23" xfId="12336"/>
    <cellStyle name="百分比 3 24" xfId="12337"/>
    <cellStyle name="百分比 3 25" xfId="12338"/>
    <cellStyle name="百分比 3 26" xfId="12339"/>
    <cellStyle name="百分比 3 27" xfId="12340"/>
    <cellStyle name="百分比 3 28" xfId="12341"/>
    <cellStyle name="百分比 3 3" xfId="12342"/>
    <cellStyle name="百分比 3 4" xfId="12343"/>
    <cellStyle name="百分比 3 5" xfId="12344"/>
    <cellStyle name="百分比 3 6" xfId="12345"/>
    <cellStyle name="百分比 3 7" xfId="12346"/>
    <cellStyle name="百分比 3 8" xfId="12347"/>
    <cellStyle name="百分比 3 9" xfId="12348"/>
    <cellStyle name="百分比 4" xfId="12349"/>
    <cellStyle name="百分比 4 10" xfId="12350"/>
    <cellStyle name="百分比 4 11" xfId="12351"/>
    <cellStyle name="百分比 4 12" xfId="12352"/>
    <cellStyle name="百分比 4 13" xfId="12353"/>
    <cellStyle name="百分比 4 14" xfId="12354"/>
    <cellStyle name="百分比 4 15" xfId="12355"/>
    <cellStyle name="百分比 4 16" xfId="12356"/>
    <cellStyle name="百分比 4 17" xfId="12357"/>
    <cellStyle name="百分比 4 18" xfId="12358"/>
    <cellStyle name="百分比 4 19" xfId="12359"/>
    <cellStyle name="百分比 4 2" xfId="12360"/>
    <cellStyle name="百分比 4 2 10" xfId="12361"/>
    <cellStyle name="百分比 4 2 11" xfId="12362"/>
    <cellStyle name="百分比 4 2 12" xfId="12363"/>
    <cellStyle name="百分比 4 2 13" xfId="12364"/>
    <cellStyle name="百分比 4 2 14" xfId="12365"/>
    <cellStyle name="百分比 4 2 15" xfId="12366"/>
    <cellStyle name="百分比 4 2 16" xfId="12367"/>
    <cellStyle name="百分比 4 2 17" xfId="12368"/>
    <cellStyle name="百分比 4 2 18" xfId="12369"/>
    <cellStyle name="百分比 4 2 19" xfId="12370"/>
    <cellStyle name="百分比 4 2 2" xfId="12371"/>
    <cellStyle name="百分比 4 2 20" xfId="12372"/>
    <cellStyle name="百分比 4 2 21" xfId="12373"/>
    <cellStyle name="百分比 4 2 22" xfId="12374"/>
    <cellStyle name="百分比 4 2 23" xfId="12375"/>
    <cellStyle name="百分比 4 2 24" xfId="12376"/>
    <cellStyle name="百分比 4 2 25" xfId="12377"/>
    <cellStyle name="百分比 4 2 26" xfId="12378"/>
    <cellStyle name="百分比 4 2 27" xfId="12379"/>
    <cellStyle name="百分比 4 2 3" xfId="12380"/>
    <cellStyle name="百分比 4 2 4" xfId="12381"/>
    <cellStyle name="百分比 4 2 5" xfId="12382"/>
    <cellStyle name="百分比 4 2 6" xfId="12383"/>
    <cellStyle name="百分比 4 2 7" xfId="12384"/>
    <cellStyle name="百分比 4 2 8" xfId="12385"/>
    <cellStyle name="百分比 4 2 9" xfId="12386"/>
    <cellStyle name="百分比 4 20" xfId="12387"/>
    <cellStyle name="百分比 4 21" xfId="12388"/>
    <cellStyle name="百分比 4 22" xfId="12389"/>
    <cellStyle name="百分比 4 23" xfId="12390"/>
    <cellStyle name="百分比 4 24" xfId="12391"/>
    <cellStyle name="百分比 4 25" xfId="12392"/>
    <cellStyle name="百分比 4 26" xfId="12393"/>
    <cellStyle name="百分比 4 27" xfId="12394"/>
    <cellStyle name="百分比 4 28" xfId="12395"/>
    <cellStyle name="百分比 4 3" xfId="12396"/>
    <cellStyle name="百分比 4 4" xfId="12397"/>
    <cellStyle name="百分比 4 5" xfId="12398"/>
    <cellStyle name="百分比 4 6" xfId="12399"/>
    <cellStyle name="百分比 4 7" xfId="12400"/>
    <cellStyle name="百分比 4 8" xfId="12401"/>
    <cellStyle name="百分比 4 9" xfId="12402"/>
    <cellStyle name="百分比 5" xfId="12403"/>
    <cellStyle name="百分比 5 10" xfId="12404"/>
    <cellStyle name="百分比 5 11" xfId="12405"/>
    <cellStyle name="百分比 5 12" xfId="12406"/>
    <cellStyle name="百分比 5 13" xfId="12407"/>
    <cellStyle name="百分比 5 14" xfId="12408"/>
    <cellStyle name="百分比 5 15" xfId="12409"/>
    <cellStyle name="百分比 5 16" xfId="12410"/>
    <cellStyle name="百分比 5 17" xfId="12411"/>
    <cellStyle name="百分比 5 18" xfId="12412"/>
    <cellStyle name="百分比 5 19" xfId="12413"/>
    <cellStyle name="百分比 5 2" xfId="12414"/>
    <cellStyle name="百分比 5 2 10" xfId="12415"/>
    <cellStyle name="百分比 5 2 11" xfId="12416"/>
    <cellStyle name="百分比 5 2 12" xfId="12417"/>
    <cellStyle name="百分比 5 2 13" xfId="12418"/>
    <cellStyle name="百分比 5 2 14" xfId="12419"/>
    <cellStyle name="百分比 5 2 15" xfId="12420"/>
    <cellStyle name="百分比 5 2 16" xfId="12421"/>
    <cellStyle name="百分比 5 2 17" xfId="12422"/>
    <cellStyle name="百分比 5 2 18" xfId="12423"/>
    <cellStyle name="百分比 5 2 19" xfId="12424"/>
    <cellStyle name="百分比 5 2 2" xfId="12425"/>
    <cellStyle name="百分比 5 2 20" xfId="12426"/>
    <cellStyle name="百分比 5 2 21" xfId="12427"/>
    <cellStyle name="百分比 5 2 22" xfId="12428"/>
    <cellStyle name="百分比 5 2 23" xfId="12429"/>
    <cellStyle name="百分比 5 2 24" xfId="12430"/>
    <cellStyle name="百分比 5 2 25" xfId="12431"/>
    <cellStyle name="百分比 5 2 26" xfId="12432"/>
    <cellStyle name="百分比 5 2 27" xfId="12433"/>
    <cellStyle name="百分比 5 2 3" xfId="12434"/>
    <cellStyle name="百分比 5 2 4" xfId="12435"/>
    <cellStyle name="百分比 5 2 5" xfId="12436"/>
    <cellStyle name="百分比 5 2 6" xfId="12437"/>
    <cellStyle name="百分比 5 2 7" xfId="12438"/>
    <cellStyle name="百分比 5 2 8" xfId="12439"/>
    <cellStyle name="百分比 5 2 9" xfId="12440"/>
    <cellStyle name="百分比 5 20" xfId="12441"/>
    <cellStyle name="百分比 5 21" xfId="12442"/>
    <cellStyle name="百分比 5 22" xfId="12443"/>
    <cellStyle name="百分比 5 23" xfId="12444"/>
    <cellStyle name="百分比 5 24" xfId="12445"/>
    <cellStyle name="百分比 5 25" xfId="12446"/>
    <cellStyle name="百分比 5 26" xfId="12447"/>
    <cellStyle name="百分比 5 27" xfId="12448"/>
    <cellStyle name="百分比 5 28" xfId="12449"/>
    <cellStyle name="百分比 5 3" xfId="12450"/>
    <cellStyle name="百分比 5 4" xfId="12451"/>
    <cellStyle name="百分比 5 5" xfId="12452"/>
    <cellStyle name="百分比 5 6" xfId="12453"/>
    <cellStyle name="百分比 5 7" xfId="12454"/>
    <cellStyle name="百分比 5 8" xfId="12455"/>
    <cellStyle name="百分比 5 9" xfId="12456"/>
    <cellStyle name="百分比 6" xfId="12457"/>
    <cellStyle name="百分比 6 10" xfId="12458"/>
    <cellStyle name="百分比 6 11" xfId="12459"/>
    <cellStyle name="百分比 6 12" xfId="12460"/>
    <cellStyle name="百分比 6 13" xfId="12461"/>
    <cellStyle name="百分比 6 14" xfId="12462"/>
    <cellStyle name="百分比 6 15" xfId="12463"/>
    <cellStyle name="百分比 6 16" xfId="12464"/>
    <cellStyle name="百分比 6 17" xfId="12465"/>
    <cellStyle name="百分比 6 18" xfId="12466"/>
    <cellStyle name="百分比 6 19" xfId="12467"/>
    <cellStyle name="百分比 6 2" xfId="12468"/>
    <cellStyle name="百分比 6 2 10" xfId="12469"/>
    <cellStyle name="百分比 6 2 11" xfId="12470"/>
    <cellStyle name="百分比 6 2 12" xfId="12471"/>
    <cellStyle name="百分比 6 2 13" xfId="12472"/>
    <cellStyle name="百分比 6 2 14" xfId="12473"/>
    <cellStyle name="百分比 6 2 15" xfId="12474"/>
    <cellStyle name="百分比 6 2 16" xfId="12475"/>
    <cellStyle name="百分比 6 2 17" xfId="12476"/>
    <cellStyle name="百分比 6 2 18" xfId="12477"/>
    <cellStyle name="百分比 6 2 19" xfId="12478"/>
    <cellStyle name="百分比 6 2 2" xfId="12479"/>
    <cellStyle name="百分比 6 2 20" xfId="12480"/>
    <cellStyle name="百分比 6 2 21" xfId="12481"/>
    <cellStyle name="百分比 6 2 22" xfId="12482"/>
    <cellStyle name="百分比 6 2 23" xfId="12483"/>
    <cellStyle name="百分比 6 2 24" xfId="12484"/>
    <cellStyle name="百分比 6 2 25" xfId="12485"/>
    <cellStyle name="百分比 6 2 26" xfId="12486"/>
    <cellStyle name="百分比 6 2 27" xfId="12487"/>
    <cellStyle name="百分比 6 2 3" xfId="12488"/>
    <cellStyle name="百分比 6 2 4" xfId="12489"/>
    <cellStyle name="百分比 6 2 5" xfId="12490"/>
    <cellStyle name="百分比 6 2 6" xfId="12491"/>
    <cellStyle name="百分比 6 2 7" xfId="12492"/>
    <cellStyle name="百分比 6 2 8" xfId="12493"/>
    <cellStyle name="百分比 6 2 9" xfId="12494"/>
    <cellStyle name="百分比 6 20" xfId="12495"/>
    <cellStyle name="百分比 6 21" xfId="12496"/>
    <cellStyle name="百分比 6 22" xfId="12497"/>
    <cellStyle name="百分比 6 23" xfId="12498"/>
    <cellStyle name="百分比 6 24" xfId="12499"/>
    <cellStyle name="百分比 6 25" xfId="12500"/>
    <cellStyle name="百分比 6 26" xfId="12501"/>
    <cellStyle name="百分比 6 27" xfId="12502"/>
    <cellStyle name="百分比 6 28" xfId="12503"/>
    <cellStyle name="百分比 6 3" xfId="12504"/>
    <cellStyle name="百分比 6 4" xfId="12505"/>
    <cellStyle name="百分比 6 5" xfId="12506"/>
    <cellStyle name="百分比 6 6" xfId="12507"/>
    <cellStyle name="百分比 6 7" xfId="12508"/>
    <cellStyle name="百分比 6 8" xfId="12509"/>
    <cellStyle name="百分比 6 9" xfId="12510"/>
    <cellStyle name="标题" xfId="12511" builtinId="15" customBuiltin="1"/>
    <cellStyle name="标题 1" xfId="12512" builtinId="16" customBuiltin="1"/>
    <cellStyle name="标题 1 10" xfId="12513"/>
    <cellStyle name="标题 1 10 10" xfId="12514"/>
    <cellStyle name="标题 1 10 11" xfId="12515"/>
    <cellStyle name="标题 1 10 12" xfId="12516"/>
    <cellStyle name="标题 1 10 13" xfId="12517"/>
    <cellStyle name="标题 1 10 14" xfId="12518"/>
    <cellStyle name="标题 1 10 15" xfId="12519"/>
    <cellStyle name="标题 1 10 16" xfId="12520"/>
    <cellStyle name="标题 1 10 17" xfId="12521"/>
    <cellStyle name="标题 1 10 18" xfId="12522"/>
    <cellStyle name="标题 1 10 19" xfId="12523"/>
    <cellStyle name="标题 1 10 2" xfId="12524"/>
    <cellStyle name="标题 1 10 2 10" xfId="12525"/>
    <cellStyle name="标题 1 10 2 11" xfId="12526"/>
    <cellStyle name="标题 1 10 2 12" xfId="12527"/>
    <cellStyle name="标题 1 10 2 13" xfId="12528"/>
    <cellStyle name="标题 1 10 2 14" xfId="12529"/>
    <cellStyle name="标题 1 10 2 15" xfId="12530"/>
    <cellStyle name="标题 1 10 2 16" xfId="12531"/>
    <cellStyle name="标题 1 10 2 17" xfId="12532"/>
    <cellStyle name="标题 1 10 2 18" xfId="12533"/>
    <cellStyle name="标题 1 10 2 19" xfId="12534"/>
    <cellStyle name="标题 1 10 2 2" xfId="12535"/>
    <cellStyle name="标题 1 10 2 20" xfId="12536"/>
    <cellStyle name="标题 1 10 2 21" xfId="12537"/>
    <cellStyle name="标题 1 10 2 22" xfId="12538"/>
    <cellStyle name="标题 1 10 2 23" xfId="12539"/>
    <cellStyle name="标题 1 10 2 24" xfId="12540"/>
    <cellStyle name="标题 1 10 2 25" xfId="12541"/>
    <cellStyle name="标题 1 10 2 26" xfId="12542"/>
    <cellStyle name="标题 1 10 2 27" xfId="12543"/>
    <cellStyle name="标题 1 10 2 3" xfId="12544"/>
    <cellStyle name="标题 1 10 2 4" xfId="12545"/>
    <cellStyle name="标题 1 10 2 5" xfId="12546"/>
    <cellStyle name="标题 1 10 2 6" xfId="12547"/>
    <cellStyle name="标题 1 10 2 7" xfId="12548"/>
    <cellStyle name="标题 1 10 2 8" xfId="12549"/>
    <cellStyle name="标题 1 10 2 9" xfId="12550"/>
    <cellStyle name="标题 1 10 20" xfId="12551"/>
    <cellStyle name="标题 1 10 21" xfId="12552"/>
    <cellStyle name="标题 1 10 22" xfId="12553"/>
    <cellStyle name="标题 1 10 23" xfId="12554"/>
    <cellStyle name="标题 1 10 24" xfId="12555"/>
    <cellStyle name="标题 1 10 25" xfId="12556"/>
    <cellStyle name="标题 1 10 26" xfId="12557"/>
    <cellStyle name="标题 1 10 27" xfId="12558"/>
    <cellStyle name="标题 1 10 28" xfId="12559"/>
    <cellStyle name="标题 1 10 3" xfId="12560"/>
    <cellStyle name="标题 1 10 4" xfId="12561"/>
    <cellStyle name="标题 1 10 5" xfId="12562"/>
    <cellStyle name="标题 1 10 6" xfId="12563"/>
    <cellStyle name="标题 1 10 7" xfId="12564"/>
    <cellStyle name="标题 1 10 8" xfId="12565"/>
    <cellStyle name="标题 1 10 9" xfId="12566"/>
    <cellStyle name="标题 1 11" xfId="12567"/>
    <cellStyle name="标题 1 11 10" xfId="12568"/>
    <cellStyle name="标题 1 11 11" xfId="12569"/>
    <cellStyle name="标题 1 11 12" xfId="12570"/>
    <cellStyle name="标题 1 11 13" xfId="12571"/>
    <cellStyle name="标题 1 11 14" xfId="12572"/>
    <cellStyle name="标题 1 11 15" xfId="12573"/>
    <cellStyle name="标题 1 11 16" xfId="12574"/>
    <cellStyle name="标题 1 11 17" xfId="12575"/>
    <cellStyle name="标题 1 11 18" xfId="12576"/>
    <cellStyle name="标题 1 11 19" xfId="12577"/>
    <cellStyle name="标题 1 11 2" xfId="12578"/>
    <cellStyle name="标题 1 11 2 10" xfId="12579"/>
    <cellStyle name="标题 1 11 2 11" xfId="12580"/>
    <cellStyle name="标题 1 11 2 12" xfId="12581"/>
    <cellStyle name="标题 1 11 2 13" xfId="12582"/>
    <cellStyle name="标题 1 11 2 14" xfId="12583"/>
    <cellStyle name="标题 1 11 2 15" xfId="12584"/>
    <cellStyle name="标题 1 11 2 16" xfId="12585"/>
    <cellStyle name="标题 1 11 2 17" xfId="12586"/>
    <cellStyle name="标题 1 11 2 18" xfId="12587"/>
    <cellStyle name="标题 1 11 2 19" xfId="12588"/>
    <cellStyle name="标题 1 11 2 2" xfId="12589"/>
    <cellStyle name="标题 1 11 2 20" xfId="12590"/>
    <cellStyle name="标题 1 11 2 21" xfId="12591"/>
    <cellStyle name="标题 1 11 2 22" xfId="12592"/>
    <cellStyle name="标题 1 11 2 23" xfId="12593"/>
    <cellStyle name="标题 1 11 2 24" xfId="12594"/>
    <cellStyle name="标题 1 11 2 25" xfId="12595"/>
    <cellStyle name="标题 1 11 2 26" xfId="12596"/>
    <cellStyle name="标题 1 11 2 27" xfId="12597"/>
    <cellStyle name="标题 1 11 2 3" xfId="12598"/>
    <cellStyle name="标题 1 11 2 4" xfId="12599"/>
    <cellStyle name="标题 1 11 2 5" xfId="12600"/>
    <cellStyle name="标题 1 11 2 6" xfId="12601"/>
    <cellStyle name="标题 1 11 2 7" xfId="12602"/>
    <cellStyle name="标题 1 11 2 8" xfId="12603"/>
    <cellStyle name="标题 1 11 2 9" xfId="12604"/>
    <cellStyle name="标题 1 11 20" xfId="12605"/>
    <cellStyle name="标题 1 11 21" xfId="12606"/>
    <cellStyle name="标题 1 11 22" xfId="12607"/>
    <cellStyle name="标题 1 11 23" xfId="12608"/>
    <cellStyle name="标题 1 11 24" xfId="12609"/>
    <cellStyle name="标题 1 11 25" xfId="12610"/>
    <cellStyle name="标题 1 11 26" xfId="12611"/>
    <cellStyle name="标题 1 11 27" xfId="12612"/>
    <cellStyle name="标题 1 11 28" xfId="12613"/>
    <cellStyle name="标题 1 11 3" xfId="12614"/>
    <cellStyle name="标题 1 11 4" xfId="12615"/>
    <cellStyle name="标题 1 11 5" xfId="12616"/>
    <cellStyle name="标题 1 11 6" xfId="12617"/>
    <cellStyle name="标题 1 11 7" xfId="12618"/>
    <cellStyle name="标题 1 11 8" xfId="12619"/>
    <cellStyle name="标题 1 11 9" xfId="12620"/>
    <cellStyle name="标题 1 12" xfId="12621"/>
    <cellStyle name="标题 1 13" xfId="12622"/>
    <cellStyle name="标题 1 14" xfId="12623"/>
    <cellStyle name="标题 1 15" xfId="12624"/>
    <cellStyle name="标题 1 16" xfId="12625"/>
    <cellStyle name="标题 1 17" xfId="12626"/>
    <cellStyle name="标题 1 18" xfId="12627"/>
    <cellStyle name="标题 1 19" xfId="12628"/>
    <cellStyle name="标题 1 2" xfId="12629"/>
    <cellStyle name="标题 1 2 10" xfId="12630"/>
    <cellStyle name="标题 1 2 11" xfId="12631"/>
    <cellStyle name="标题 1 2 12" xfId="12632"/>
    <cellStyle name="标题 1 2 13" xfId="12633"/>
    <cellStyle name="标题 1 2 14" xfId="12634"/>
    <cellStyle name="标题 1 2 15" xfId="12635"/>
    <cellStyle name="标题 1 2 16" xfId="12636"/>
    <cellStyle name="标题 1 2 17" xfId="12637"/>
    <cellStyle name="标题 1 2 18" xfId="12638"/>
    <cellStyle name="标题 1 2 19" xfId="12639"/>
    <cellStyle name="标题 1 2 2" xfId="12640"/>
    <cellStyle name="标题 1 2 2 10" xfId="12641"/>
    <cellStyle name="标题 1 2 2 11" xfId="12642"/>
    <cellStyle name="标题 1 2 2 12" xfId="12643"/>
    <cellStyle name="标题 1 2 2 13" xfId="12644"/>
    <cellStyle name="标题 1 2 2 14" xfId="12645"/>
    <cellStyle name="标题 1 2 2 15" xfId="12646"/>
    <cellStyle name="标题 1 2 2 16" xfId="12647"/>
    <cellStyle name="标题 1 2 2 17" xfId="12648"/>
    <cellStyle name="标题 1 2 2 18" xfId="12649"/>
    <cellStyle name="标题 1 2 2 19" xfId="12650"/>
    <cellStyle name="标题 1 2 2 2" xfId="12651"/>
    <cellStyle name="标题 1 2 2 2 10" xfId="12652"/>
    <cellStyle name="标题 1 2 2 2 11" xfId="12653"/>
    <cellStyle name="标题 1 2 2 2 12" xfId="12654"/>
    <cellStyle name="标题 1 2 2 2 13" xfId="12655"/>
    <cellStyle name="标题 1 2 2 2 14" xfId="12656"/>
    <cellStyle name="标题 1 2 2 2 15" xfId="12657"/>
    <cellStyle name="标题 1 2 2 2 16" xfId="12658"/>
    <cellStyle name="标题 1 2 2 2 17" xfId="12659"/>
    <cellStyle name="标题 1 2 2 2 18" xfId="12660"/>
    <cellStyle name="标题 1 2 2 2 19" xfId="12661"/>
    <cellStyle name="标题 1 2 2 2 2" xfId="12662"/>
    <cellStyle name="标题 1 2 2 2 20" xfId="12663"/>
    <cellStyle name="标题 1 2 2 2 21" xfId="12664"/>
    <cellStyle name="标题 1 2 2 2 22" xfId="12665"/>
    <cellStyle name="标题 1 2 2 2 23" xfId="12666"/>
    <cellStyle name="标题 1 2 2 2 24" xfId="12667"/>
    <cellStyle name="标题 1 2 2 2 25" xfId="12668"/>
    <cellStyle name="标题 1 2 2 2 26" xfId="12669"/>
    <cellStyle name="标题 1 2 2 2 27" xfId="12670"/>
    <cellStyle name="标题 1 2 2 2 3" xfId="12671"/>
    <cellStyle name="标题 1 2 2 2 4" xfId="12672"/>
    <cellStyle name="标题 1 2 2 2 5" xfId="12673"/>
    <cellStyle name="标题 1 2 2 2 6" xfId="12674"/>
    <cellStyle name="标题 1 2 2 2 7" xfId="12675"/>
    <cellStyle name="标题 1 2 2 2 8" xfId="12676"/>
    <cellStyle name="标题 1 2 2 2 9" xfId="12677"/>
    <cellStyle name="标题 1 2 2 20" xfId="12678"/>
    <cellStyle name="标题 1 2 2 21" xfId="12679"/>
    <cellStyle name="标题 1 2 2 22" xfId="12680"/>
    <cellStyle name="标题 1 2 2 23" xfId="12681"/>
    <cellStyle name="标题 1 2 2 24" xfId="12682"/>
    <cellStyle name="标题 1 2 2 25" xfId="12683"/>
    <cellStyle name="标题 1 2 2 26" xfId="12684"/>
    <cellStyle name="标题 1 2 2 27" xfId="12685"/>
    <cellStyle name="标题 1 2 2 28" xfId="12686"/>
    <cellStyle name="标题 1 2 2 3" xfId="12687"/>
    <cellStyle name="标题 1 2 2 4" xfId="12688"/>
    <cellStyle name="标题 1 2 2 5" xfId="12689"/>
    <cellStyle name="标题 1 2 2 6" xfId="12690"/>
    <cellStyle name="标题 1 2 2 7" xfId="12691"/>
    <cellStyle name="标题 1 2 2 8" xfId="12692"/>
    <cellStyle name="标题 1 2 2 9" xfId="12693"/>
    <cellStyle name="标题 1 2 20" xfId="12694"/>
    <cellStyle name="标题 1 2 21" xfId="12695"/>
    <cellStyle name="标题 1 2 22" xfId="12696"/>
    <cellStyle name="标题 1 2 23" xfId="12697"/>
    <cellStyle name="标题 1 2 24" xfId="12698"/>
    <cellStyle name="标题 1 2 25" xfId="12699"/>
    <cellStyle name="标题 1 2 26" xfId="12700"/>
    <cellStyle name="标题 1 2 27" xfId="12701"/>
    <cellStyle name="标题 1 2 28" xfId="12702"/>
    <cellStyle name="标题 1 2 29" xfId="12703"/>
    <cellStyle name="标题 1 2 3" xfId="12704"/>
    <cellStyle name="标题 1 2 3 10" xfId="12705"/>
    <cellStyle name="标题 1 2 3 11" xfId="12706"/>
    <cellStyle name="标题 1 2 3 12" xfId="12707"/>
    <cellStyle name="标题 1 2 3 13" xfId="12708"/>
    <cellStyle name="标题 1 2 3 14" xfId="12709"/>
    <cellStyle name="标题 1 2 3 15" xfId="12710"/>
    <cellStyle name="标题 1 2 3 16" xfId="12711"/>
    <cellStyle name="标题 1 2 3 17" xfId="12712"/>
    <cellStyle name="标题 1 2 3 18" xfId="12713"/>
    <cellStyle name="标题 1 2 3 19" xfId="12714"/>
    <cellStyle name="标题 1 2 3 2" xfId="12715"/>
    <cellStyle name="标题 1 2 3 2 10" xfId="12716"/>
    <cellStyle name="标题 1 2 3 2 11" xfId="12717"/>
    <cellStyle name="标题 1 2 3 2 12" xfId="12718"/>
    <cellStyle name="标题 1 2 3 2 13" xfId="12719"/>
    <cellStyle name="标题 1 2 3 2 14" xfId="12720"/>
    <cellStyle name="标题 1 2 3 2 15" xfId="12721"/>
    <cellStyle name="标题 1 2 3 2 16" xfId="12722"/>
    <cellStyle name="标题 1 2 3 2 17" xfId="12723"/>
    <cellStyle name="标题 1 2 3 2 18" xfId="12724"/>
    <cellStyle name="标题 1 2 3 2 19" xfId="12725"/>
    <cellStyle name="标题 1 2 3 2 2" xfId="12726"/>
    <cellStyle name="标题 1 2 3 2 20" xfId="12727"/>
    <cellStyle name="标题 1 2 3 2 21" xfId="12728"/>
    <cellStyle name="标题 1 2 3 2 22" xfId="12729"/>
    <cellStyle name="标题 1 2 3 2 23" xfId="12730"/>
    <cellStyle name="标题 1 2 3 2 24" xfId="12731"/>
    <cellStyle name="标题 1 2 3 2 25" xfId="12732"/>
    <cellStyle name="标题 1 2 3 2 26" xfId="12733"/>
    <cellStyle name="标题 1 2 3 2 27" xfId="12734"/>
    <cellStyle name="标题 1 2 3 2 3" xfId="12735"/>
    <cellStyle name="标题 1 2 3 2 4" xfId="12736"/>
    <cellStyle name="标题 1 2 3 2 5" xfId="12737"/>
    <cellStyle name="标题 1 2 3 2 6" xfId="12738"/>
    <cellStyle name="标题 1 2 3 2 7" xfId="12739"/>
    <cellStyle name="标题 1 2 3 2 8" xfId="12740"/>
    <cellStyle name="标题 1 2 3 2 9" xfId="12741"/>
    <cellStyle name="标题 1 2 3 20" xfId="12742"/>
    <cellStyle name="标题 1 2 3 21" xfId="12743"/>
    <cellStyle name="标题 1 2 3 22" xfId="12744"/>
    <cellStyle name="标题 1 2 3 23" xfId="12745"/>
    <cellStyle name="标题 1 2 3 24" xfId="12746"/>
    <cellStyle name="标题 1 2 3 25" xfId="12747"/>
    <cellStyle name="标题 1 2 3 26" xfId="12748"/>
    <cellStyle name="标题 1 2 3 27" xfId="12749"/>
    <cellStyle name="标题 1 2 3 28" xfId="12750"/>
    <cellStyle name="标题 1 2 3 3" xfId="12751"/>
    <cellStyle name="标题 1 2 3 4" xfId="12752"/>
    <cellStyle name="标题 1 2 3 5" xfId="12753"/>
    <cellStyle name="标题 1 2 3 6" xfId="12754"/>
    <cellStyle name="标题 1 2 3 7" xfId="12755"/>
    <cellStyle name="标题 1 2 3 8" xfId="12756"/>
    <cellStyle name="标题 1 2 3 9" xfId="12757"/>
    <cellStyle name="标题 1 2 30" xfId="12758"/>
    <cellStyle name="标题 1 2 31" xfId="12759"/>
    <cellStyle name="标题 1 2 32" xfId="12760"/>
    <cellStyle name="标题 1 2 33" xfId="12761"/>
    <cellStyle name="标题 1 2 4" xfId="12762"/>
    <cellStyle name="标题 1 2 4 10" xfId="12763"/>
    <cellStyle name="标题 1 2 4 11" xfId="12764"/>
    <cellStyle name="标题 1 2 4 12" xfId="12765"/>
    <cellStyle name="标题 1 2 4 13" xfId="12766"/>
    <cellStyle name="标题 1 2 4 14" xfId="12767"/>
    <cellStyle name="标题 1 2 4 15" xfId="12768"/>
    <cellStyle name="标题 1 2 4 16" xfId="12769"/>
    <cellStyle name="标题 1 2 4 17" xfId="12770"/>
    <cellStyle name="标题 1 2 4 18" xfId="12771"/>
    <cellStyle name="标题 1 2 4 19" xfId="12772"/>
    <cellStyle name="标题 1 2 4 2" xfId="12773"/>
    <cellStyle name="标题 1 2 4 20" xfId="12774"/>
    <cellStyle name="标题 1 2 4 21" xfId="12775"/>
    <cellStyle name="标题 1 2 4 22" xfId="12776"/>
    <cellStyle name="标题 1 2 4 23" xfId="12777"/>
    <cellStyle name="标题 1 2 4 24" xfId="12778"/>
    <cellStyle name="标题 1 2 4 25" xfId="12779"/>
    <cellStyle name="标题 1 2 4 26" xfId="12780"/>
    <cellStyle name="标题 1 2 4 27" xfId="12781"/>
    <cellStyle name="标题 1 2 4 3" xfId="12782"/>
    <cellStyle name="标题 1 2 4 4" xfId="12783"/>
    <cellStyle name="标题 1 2 4 5" xfId="12784"/>
    <cellStyle name="标题 1 2 4 6" xfId="12785"/>
    <cellStyle name="标题 1 2 4 7" xfId="12786"/>
    <cellStyle name="标题 1 2 4 8" xfId="12787"/>
    <cellStyle name="标题 1 2 4 9" xfId="12788"/>
    <cellStyle name="标题 1 2 5" xfId="12789"/>
    <cellStyle name="标题 1 2 6" xfId="12790"/>
    <cellStyle name="标题 1 2 7" xfId="12791"/>
    <cellStyle name="标题 1 2 8" xfId="12792"/>
    <cellStyle name="标题 1 2 9" xfId="12793"/>
    <cellStyle name="标题 1 20" xfId="12794"/>
    <cellStyle name="标题 1 21" xfId="12795"/>
    <cellStyle name="标题 1 22" xfId="12796"/>
    <cellStyle name="标题 1 23" xfId="12797"/>
    <cellStyle name="标题 1 24" xfId="12798"/>
    <cellStyle name="标题 1 25" xfId="12799"/>
    <cellStyle name="标题 1 26" xfId="12800"/>
    <cellStyle name="标题 1 27" xfId="12801"/>
    <cellStyle name="标题 1 28" xfId="12802"/>
    <cellStyle name="标题 1 29" xfId="12803"/>
    <cellStyle name="标题 1 3" xfId="12804"/>
    <cellStyle name="标题 1 3 10" xfId="12805"/>
    <cellStyle name="标题 1 3 11" xfId="12806"/>
    <cellStyle name="标题 1 3 12" xfId="12807"/>
    <cellStyle name="标题 1 3 13" xfId="12808"/>
    <cellStyle name="标题 1 3 14" xfId="12809"/>
    <cellStyle name="标题 1 3 15" xfId="12810"/>
    <cellStyle name="标题 1 3 16" xfId="12811"/>
    <cellStyle name="标题 1 3 17" xfId="12812"/>
    <cellStyle name="标题 1 3 18" xfId="12813"/>
    <cellStyle name="标题 1 3 19" xfId="12814"/>
    <cellStyle name="标题 1 3 2" xfId="12815"/>
    <cellStyle name="标题 1 3 2 10" xfId="12816"/>
    <cellStyle name="标题 1 3 2 11" xfId="12817"/>
    <cellStyle name="标题 1 3 2 12" xfId="12818"/>
    <cellStyle name="标题 1 3 2 13" xfId="12819"/>
    <cellStyle name="标题 1 3 2 14" xfId="12820"/>
    <cellStyle name="标题 1 3 2 15" xfId="12821"/>
    <cellStyle name="标题 1 3 2 16" xfId="12822"/>
    <cellStyle name="标题 1 3 2 17" xfId="12823"/>
    <cellStyle name="标题 1 3 2 18" xfId="12824"/>
    <cellStyle name="标题 1 3 2 19" xfId="12825"/>
    <cellStyle name="标题 1 3 2 2" xfId="12826"/>
    <cellStyle name="标题 1 3 2 20" xfId="12827"/>
    <cellStyle name="标题 1 3 2 21" xfId="12828"/>
    <cellStyle name="标题 1 3 2 22" xfId="12829"/>
    <cellStyle name="标题 1 3 2 23" xfId="12830"/>
    <cellStyle name="标题 1 3 2 24" xfId="12831"/>
    <cellStyle name="标题 1 3 2 25" xfId="12832"/>
    <cellStyle name="标题 1 3 2 26" xfId="12833"/>
    <cellStyle name="标题 1 3 2 27" xfId="12834"/>
    <cellStyle name="标题 1 3 2 3" xfId="12835"/>
    <cellStyle name="标题 1 3 2 4" xfId="12836"/>
    <cellStyle name="标题 1 3 2 5" xfId="12837"/>
    <cellStyle name="标题 1 3 2 6" xfId="12838"/>
    <cellStyle name="标题 1 3 2 7" xfId="12839"/>
    <cellStyle name="标题 1 3 2 8" xfId="12840"/>
    <cellStyle name="标题 1 3 2 9" xfId="12841"/>
    <cellStyle name="标题 1 3 20" xfId="12842"/>
    <cellStyle name="标题 1 3 21" xfId="12843"/>
    <cellStyle name="标题 1 3 22" xfId="12844"/>
    <cellStyle name="标题 1 3 23" xfId="12845"/>
    <cellStyle name="标题 1 3 24" xfId="12846"/>
    <cellStyle name="标题 1 3 25" xfId="12847"/>
    <cellStyle name="标题 1 3 26" xfId="12848"/>
    <cellStyle name="标题 1 3 27" xfId="12849"/>
    <cellStyle name="标题 1 3 28" xfId="12850"/>
    <cellStyle name="标题 1 3 3" xfId="12851"/>
    <cellStyle name="标题 1 3 4" xfId="12852"/>
    <cellStyle name="标题 1 3 5" xfId="12853"/>
    <cellStyle name="标题 1 3 6" xfId="12854"/>
    <cellStyle name="标题 1 3 7" xfId="12855"/>
    <cellStyle name="标题 1 3 8" xfId="12856"/>
    <cellStyle name="标题 1 3 9" xfId="12857"/>
    <cellStyle name="标题 1 30" xfId="12858"/>
    <cellStyle name="标题 1 31" xfId="12859"/>
    <cellStyle name="标题 1 32" xfId="12860"/>
    <cellStyle name="标题 1 33" xfId="12861"/>
    <cellStyle name="标题 1 34" xfId="12862"/>
    <cellStyle name="标题 1 35" xfId="12863"/>
    <cellStyle name="标题 1 36" xfId="12864"/>
    <cellStyle name="标题 1 37" xfId="12865"/>
    <cellStyle name="标题 1 38" xfId="12866"/>
    <cellStyle name="标题 1 39" xfId="12867"/>
    <cellStyle name="标题 1 4" xfId="12868"/>
    <cellStyle name="标题 1 4 10" xfId="12869"/>
    <cellStyle name="标题 1 4 11" xfId="12870"/>
    <cellStyle name="标题 1 4 12" xfId="12871"/>
    <cellStyle name="标题 1 4 13" xfId="12872"/>
    <cellStyle name="标题 1 4 14" xfId="12873"/>
    <cellStyle name="标题 1 4 15" xfId="12874"/>
    <cellStyle name="标题 1 4 16" xfId="12875"/>
    <cellStyle name="标题 1 4 17" xfId="12876"/>
    <cellStyle name="标题 1 4 18" xfId="12877"/>
    <cellStyle name="标题 1 4 19" xfId="12878"/>
    <cellStyle name="标题 1 4 2" xfId="12879"/>
    <cellStyle name="标题 1 4 2 10" xfId="12880"/>
    <cellStyle name="标题 1 4 2 11" xfId="12881"/>
    <cellStyle name="标题 1 4 2 12" xfId="12882"/>
    <cellStyle name="标题 1 4 2 13" xfId="12883"/>
    <cellStyle name="标题 1 4 2 14" xfId="12884"/>
    <cellStyle name="标题 1 4 2 15" xfId="12885"/>
    <cellStyle name="标题 1 4 2 16" xfId="12886"/>
    <cellStyle name="标题 1 4 2 17" xfId="12887"/>
    <cellStyle name="标题 1 4 2 18" xfId="12888"/>
    <cellStyle name="标题 1 4 2 19" xfId="12889"/>
    <cellStyle name="标题 1 4 2 2" xfId="12890"/>
    <cellStyle name="标题 1 4 2 20" xfId="12891"/>
    <cellStyle name="标题 1 4 2 21" xfId="12892"/>
    <cellStyle name="标题 1 4 2 22" xfId="12893"/>
    <cellStyle name="标题 1 4 2 23" xfId="12894"/>
    <cellStyle name="标题 1 4 2 24" xfId="12895"/>
    <cellStyle name="标题 1 4 2 25" xfId="12896"/>
    <cellStyle name="标题 1 4 2 26" xfId="12897"/>
    <cellStyle name="标题 1 4 2 27" xfId="12898"/>
    <cellStyle name="标题 1 4 2 3" xfId="12899"/>
    <cellStyle name="标题 1 4 2 4" xfId="12900"/>
    <cellStyle name="标题 1 4 2 5" xfId="12901"/>
    <cellStyle name="标题 1 4 2 6" xfId="12902"/>
    <cellStyle name="标题 1 4 2 7" xfId="12903"/>
    <cellStyle name="标题 1 4 2 8" xfId="12904"/>
    <cellStyle name="标题 1 4 2 9" xfId="12905"/>
    <cellStyle name="标题 1 4 20" xfId="12906"/>
    <cellStyle name="标题 1 4 21" xfId="12907"/>
    <cellStyle name="标题 1 4 22" xfId="12908"/>
    <cellStyle name="标题 1 4 23" xfId="12909"/>
    <cellStyle name="标题 1 4 24" xfId="12910"/>
    <cellStyle name="标题 1 4 25" xfId="12911"/>
    <cellStyle name="标题 1 4 26" xfId="12912"/>
    <cellStyle name="标题 1 4 27" xfId="12913"/>
    <cellStyle name="标题 1 4 28" xfId="12914"/>
    <cellStyle name="标题 1 4 3" xfId="12915"/>
    <cellStyle name="标题 1 4 4" xfId="12916"/>
    <cellStyle name="标题 1 4 5" xfId="12917"/>
    <cellStyle name="标题 1 4 6" xfId="12918"/>
    <cellStyle name="标题 1 4 7" xfId="12919"/>
    <cellStyle name="标题 1 4 8" xfId="12920"/>
    <cellStyle name="标题 1 4 9" xfId="12921"/>
    <cellStyle name="标题 1 40" xfId="12922"/>
    <cellStyle name="标题 1 5" xfId="12923"/>
    <cellStyle name="标题 1 5 10" xfId="12924"/>
    <cellStyle name="标题 1 5 11" xfId="12925"/>
    <cellStyle name="标题 1 5 12" xfId="12926"/>
    <cellStyle name="标题 1 5 13" xfId="12927"/>
    <cellStyle name="标题 1 5 14" xfId="12928"/>
    <cellStyle name="标题 1 5 15" xfId="12929"/>
    <cellStyle name="标题 1 5 16" xfId="12930"/>
    <cellStyle name="标题 1 5 17" xfId="12931"/>
    <cellStyle name="标题 1 5 18" xfId="12932"/>
    <cellStyle name="标题 1 5 19" xfId="12933"/>
    <cellStyle name="标题 1 5 2" xfId="12934"/>
    <cellStyle name="标题 1 5 2 10" xfId="12935"/>
    <cellStyle name="标题 1 5 2 11" xfId="12936"/>
    <cellStyle name="标题 1 5 2 12" xfId="12937"/>
    <cellStyle name="标题 1 5 2 13" xfId="12938"/>
    <cellStyle name="标题 1 5 2 14" xfId="12939"/>
    <cellStyle name="标题 1 5 2 15" xfId="12940"/>
    <cellStyle name="标题 1 5 2 16" xfId="12941"/>
    <cellStyle name="标题 1 5 2 17" xfId="12942"/>
    <cellStyle name="标题 1 5 2 18" xfId="12943"/>
    <cellStyle name="标题 1 5 2 19" xfId="12944"/>
    <cellStyle name="标题 1 5 2 2" xfId="12945"/>
    <cellStyle name="标题 1 5 2 20" xfId="12946"/>
    <cellStyle name="标题 1 5 2 21" xfId="12947"/>
    <cellStyle name="标题 1 5 2 22" xfId="12948"/>
    <cellStyle name="标题 1 5 2 23" xfId="12949"/>
    <cellStyle name="标题 1 5 2 24" xfId="12950"/>
    <cellStyle name="标题 1 5 2 25" xfId="12951"/>
    <cellStyle name="标题 1 5 2 26" xfId="12952"/>
    <cellStyle name="标题 1 5 2 27" xfId="12953"/>
    <cellStyle name="标题 1 5 2 3" xfId="12954"/>
    <cellStyle name="标题 1 5 2 4" xfId="12955"/>
    <cellStyle name="标题 1 5 2 5" xfId="12956"/>
    <cellStyle name="标题 1 5 2 6" xfId="12957"/>
    <cellStyle name="标题 1 5 2 7" xfId="12958"/>
    <cellStyle name="标题 1 5 2 8" xfId="12959"/>
    <cellStyle name="标题 1 5 2 9" xfId="12960"/>
    <cellStyle name="标题 1 5 20" xfId="12961"/>
    <cellStyle name="标题 1 5 21" xfId="12962"/>
    <cellStyle name="标题 1 5 22" xfId="12963"/>
    <cellStyle name="标题 1 5 23" xfId="12964"/>
    <cellStyle name="标题 1 5 24" xfId="12965"/>
    <cellStyle name="标题 1 5 25" xfId="12966"/>
    <cellStyle name="标题 1 5 26" xfId="12967"/>
    <cellStyle name="标题 1 5 27" xfId="12968"/>
    <cellStyle name="标题 1 5 28" xfId="12969"/>
    <cellStyle name="标题 1 5 3" xfId="12970"/>
    <cellStyle name="标题 1 5 4" xfId="12971"/>
    <cellStyle name="标题 1 5 5" xfId="12972"/>
    <cellStyle name="标题 1 5 6" xfId="12973"/>
    <cellStyle name="标题 1 5 7" xfId="12974"/>
    <cellStyle name="标题 1 5 8" xfId="12975"/>
    <cellStyle name="标题 1 5 9" xfId="12976"/>
    <cellStyle name="标题 1 6" xfId="12977"/>
    <cellStyle name="标题 1 6 10" xfId="12978"/>
    <cellStyle name="标题 1 6 11" xfId="12979"/>
    <cellStyle name="标题 1 6 12" xfId="12980"/>
    <cellStyle name="标题 1 6 13" xfId="12981"/>
    <cellStyle name="标题 1 6 14" xfId="12982"/>
    <cellStyle name="标题 1 6 15" xfId="12983"/>
    <cellStyle name="标题 1 6 16" xfId="12984"/>
    <cellStyle name="标题 1 6 17" xfId="12985"/>
    <cellStyle name="标题 1 6 18" xfId="12986"/>
    <cellStyle name="标题 1 6 19" xfId="12987"/>
    <cellStyle name="标题 1 6 2" xfId="12988"/>
    <cellStyle name="标题 1 6 2 10" xfId="12989"/>
    <cellStyle name="标题 1 6 2 11" xfId="12990"/>
    <cellStyle name="标题 1 6 2 12" xfId="12991"/>
    <cellStyle name="标题 1 6 2 13" xfId="12992"/>
    <cellStyle name="标题 1 6 2 14" xfId="12993"/>
    <cellStyle name="标题 1 6 2 15" xfId="12994"/>
    <cellStyle name="标题 1 6 2 16" xfId="12995"/>
    <cellStyle name="标题 1 6 2 17" xfId="12996"/>
    <cellStyle name="标题 1 6 2 18" xfId="12997"/>
    <cellStyle name="标题 1 6 2 19" xfId="12998"/>
    <cellStyle name="标题 1 6 2 2" xfId="12999"/>
    <cellStyle name="标题 1 6 2 20" xfId="13000"/>
    <cellStyle name="标题 1 6 2 21" xfId="13001"/>
    <cellStyle name="标题 1 6 2 22" xfId="13002"/>
    <cellStyle name="标题 1 6 2 23" xfId="13003"/>
    <cellStyle name="标题 1 6 2 24" xfId="13004"/>
    <cellStyle name="标题 1 6 2 25" xfId="13005"/>
    <cellStyle name="标题 1 6 2 26" xfId="13006"/>
    <cellStyle name="标题 1 6 2 27" xfId="13007"/>
    <cellStyle name="标题 1 6 2 3" xfId="13008"/>
    <cellStyle name="标题 1 6 2 4" xfId="13009"/>
    <cellStyle name="标题 1 6 2 5" xfId="13010"/>
    <cellStyle name="标题 1 6 2 6" xfId="13011"/>
    <cellStyle name="标题 1 6 2 7" xfId="13012"/>
    <cellStyle name="标题 1 6 2 8" xfId="13013"/>
    <cellStyle name="标题 1 6 2 9" xfId="13014"/>
    <cellStyle name="标题 1 6 20" xfId="13015"/>
    <cellStyle name="标题 1 6 21" xfId="13016"/>
    <cellStyle name="标题 1 6 22" xfId="13017"/>
    <cellStyle name="标题 1 6 23" xfId="13018"/>
    <cellStyle name="标题 1 6 24" xfId="13019"/>
    <cellStyle name="标题 1 6 25" xfId="13020"/>
    <cellStyle name="标题 1 6 26" xfId="13021"/>
    <cellStyle name="标题 1 6 27" xfId="13022"/>
    <cellStyle name="标题 1 6 28" xfId="13023"/>
    <cellStyle name="标题 1 6 3" xfId="13024"/>
    <cellStyle name="标题 1 6 4" xfId="13025"/>
    <cellStyle name="标题 1 6 5" xfId="13026"/>
    <cellStyle name="标题 1 6 6" xfId="13027"/>
    <cellStyle name="标题 1 6 7" xfId="13028"/>
    <cellStyle name="标题 1 6 8" xfId="13029"/>
    <cellStyle name="标题 1 6 9" xfId="13030"/>
    <cellStyle name="标题 1 7" xfId="13031"/>
    <cellStyle name="标题 1 7 10" xfId="13032"/>
    <cellStyle name="标题 1 7 11" xfId="13033"/>
    <cellStyle name="标题 1 7 12" xfId="13034"/>
    <cellStyle name="标题 1 7 13" xfId="13035"/>
    <cellStyle name="标题 1 7 14" xfId="13036"/>
    <cellStyle name="标题 1 7 15" xfId="13037"/>
    <cellStyle name="标题 1 7 16" xfId="13038"/>
    <cellStyle name="标题 1 7 17" xfId="13039"/>
    <cellStyle name="标题 1 7 18" xfId="13040"/>
    <cellStyle name="标题 1 7 19" xfId="13041"/>
    <cellStyle name="标题 1 7 2" xfId="13042"/>
    <cellStyle name="标题 1 7 2 10" xfId="13043"/>
    <cellStyle name="标题 1 7 2 11" xfId="13044"/>
    <cellStyle name="标题 1 7 2 12" xfId="13045"/>
    <cellStyle name="标题 1 7 2 13" xfId="13046"/>
    <cellStyle name="标题 1 7 2 14" xfId="13047"/>
    <cellStyle name="标题 1 7 2 15" xfId="13048"/>
    <cellStyle name="标题 1 7 2 16" xfId="13049"/>
    <cellStyle name="标题 1 7 2 17" xfId="13050"/>
    <cellStyle name="标题 1 7 2 18" xfId="13051"/>
    <cellStyle name="标题 1 7 2 19" xfId="13052"/>
    <cellStyle name="标题 1 7 2 2" xfId="13053"/>
    <cellStyle name="标题 1 7 2 20" xfId="13054"/>
    <cellStyle name="标题 1 7 2 21" xfId="13055"/>
    <cellStyle name="标题 1 7 2 22" xfId="13056"/>
    <cellStyle name="标题 1 7 2 23" xfId="13057"/>
    <cellStyle name="标题 1 7 2 24" xfId="13058"/>
    <cellStyle name="标题 1 7 2 25" xfId="13059"/>
    <cellStyle name="标题 1 7 2 26" xfId="13060"/>
    <cellStyle name="标题 1 7 2 27" xfId="13061"/>
    <cellStyle name="标题 1 7 2 3" xfId="13062"/>
    <cellStyle name="标题 1 7 2 4" xfId="13063"/>
    <cellStyle name="标题 1 7 2 5" xfId="13064"/>
    <cellStyle name="标题 1 7 2 6" xfId="13065"/>
    <cellStyle name="标题 1 7 2 7" xfId="13066"/>
    <cellStyle name="标题 1 7 2 8" xfId="13067"/>
    <cellStyle name="标题 1 7 2 9" xfId="13068"/>
    <cellStyle name="标题 1 7 20" xfId="13069"/>
    <cellStyle name="标题 1 7 21" xfId="13070"/>
    <cellStyle name="标题 1 7 22" xfId="13071"/>
    <cellStyle name="标题 1 7 23" xfId="13072"/>
    <cellStyle name="标题 1 7 24" xfId="13073"/>
    <cellStyle name="标题 1 7 25" xfId="13074"/>
    <cellStyle name="标题 1 7 26" xfId="13075"/>
    <cellStyle name="标题 1 7 27" xfId="13076"/>
    <cellStyle name="标题 1 7 28" xfId="13077"/>
    <cellStyle name="标题 1 7 3" xfId="13078"/>
    <cellStyle name="标题 1 7 4" xfId="13079"/>
    <cellStyle name="标题 1 7 5" xfId="13080"/>
    <cellStyle name="标题 1 7 6" xfId="13081"/>
    <cellStyle name="标题 1 7 7" xfId="13082"/>
    <cellStyle name="标题 1 7 8" xfId="13083"/>
    <cellStyle name="标题 1 7 9" xfId="13084"/>
    <cellStyle name="标题 1 8" xfId="13085"/>
    <cellStyle name="标题 1 8 10" xfId="13086"/>
    <cellStyle name="标题 1 8 11" xfId="13087"/>
    <cellStyle name="标题 1 8 12" xfId="13088"/>
    <cellStyle name="标题 1 8 13" xfId="13089"/>
    <cellStyle name="标题 1 8 14" xfId="13090"/>
    <cellStyle name="标题 1 8 15" xfId="13091"/>
    <cellStyle name="标题 1 8 16" xfId="13092"/>
    <cellStyle name="标题 1 8 17" xfId="13093"/>
    <cellStyle name="标题 1 8 18" xfId="13094"/>
    <cellStyle name="标题 1 8 19" xfId="13095"/>
    <cellStyle name="标题 1 8 2" xfId="13096"/>
    <cellStyle name="标题 1 8 2 10" xfId="13097"/>
    <cellStyle name="标题 1 8 2 11" xfId="13098"/>
    <cellStyle name="标题 1 8 2 12" xfId="13099"/>
    <cellStyle name="标题 1 8 2 13" xfId="13100"/>
    <cellStyle name="标题 1 8 2 14" xfId="13101"/>
    <cellStyle name="标题 1 8 2 15" xfId="13102"/>
    <cellStyle name="标题 1 8 2 16" xfId="13103"/>
    <cellStyle name="标题 1 8 2 17" xfId="13104"/>
    <cellStyle name="标题 1 8 2 18" xfId="13105"/>
    <cellStyle name="标题 1 8 2 19" xfId="13106"/>
    <cellStyle name="标题 1 8 2 2" xfId="13107"/>
    <cellStyle name="标题 1 8 2 20" xfId="13108"/>
    <cellStyle name="标题 1 8 2 21" xfId="13109"/>
    <cellStyle name="标题 1 8 2 22" xfId="13110"/>
    <cellStyle name="标题 1 8 2 23" xfId="13111"/>
    <cellStyle name="标题 1 8 2 24" xfId="13112"/>
    <cellStyle name="标题 1 8 2 25" xfId="13113"/>
    <cellStyle name="标题 1 8 2 26" xfId="13114"/>
    <cellStyle name="标题 1 8 2 27" xfId="13115"/>
    <cellStyle name="标题 1 8 2 3" xfId="13116"/>
    <cellStyle name="标题 1 8 2 4" xfId="13117"/>
    <cellStyle name="标题 1 8 2 5" xfId="13118"/>
    <cellStyle name="标题 1 8 2 6" xfId="13119"/>
    <cellStyle name="标题 1 8 2 7" xfId="13120"/>
    <cellStyle name="标题 1 8 2 8" xfId="13121"/>
    <cellStyle name="标题 1 8 2 9" xfId="13122"/>
    <cellStyle name="标题 1 8 20" xfId="13123"/>
    <cellStyle name="标题 1 8 21" xfId="13124"/>
    <cellStyle name="标题 1 8 22" xfId="13125"/>
    <cellStyle name="标题 1 8 23" xfId="13126"/>
    <cellStyle name="标题 1 8 24" xfId="13127"/>
    <cellStyle name="标题 1 8 25" xfId="13128"/>
    <cellStyle name="标题 1 8 26" xfId="13129"/>
    <cellStyle name="标题 1 8 27" xfId="13130"/>
    <cellStyle name="标题 1 8 28" xfId="13131"/>
    <cellStyle name="标题 1 8 3" xfId="13132"/>
    <cellStyle name="标题 1 8 4" xfId="13133"/>
    <cellStyle name="标题 1 8 5" xfId="13134"/>
    <cellStyle name="标题 1 8 6" xfId="13135"/>
    <cellStyle name="标题 1 8 7" xfId="13136"/>
    <cellStyle name="标题 1 8 8" xfId="13137"/>
    <cellStyle name="标题 1 8 9" xfId="13138"/>
    <cellStyle name="标题 1 9" xfId="13139"/>
    <cellStyle name="标题 1 9 10" xfId="13140"/>
    <cellStyle name="标题 1 9 11" xfId="13141"/>
    <cellStyle name="标题 1 9 12" xfId="13142"/>
    <cellStyle name="标题 1 9 13" xfId="13143"/>
    <cellStyle name="标题 1 9 14" xfId="13144"/>
    <cellStyle name="标题 1 9 15" xfId="13145"/>
    <cellStyle name="标题 1 9 16" xfId="13146"/>
    <cellStyle name="标题 1 9 17" xfId="13147"/>
    <cellStyle name="标题 1 9 18" xfId="13148"/>
    <cellStyle name="标题 1 9 19" xfId="13149"/>
    <cellStyle name="标题 1 9 2" xfId="13150"/>
    <cellStyle name="标题 1 9 2 10" xfId="13151"/>
    <cellStyle name="标题 1 9 2 11" xfId="13152"/>
    <cellStyle name="标题 1 9 2 12" xfId="13153"/>
    <cellStyle name="标题 1 9 2 13" xfId="13154"/>
    <cellStyle name="标题 1 9 2 14" xfId="13155"/>
    <cellStyle name="标题 1 9 2 15" xfId="13156"/>
    <cellStyle name="标题 1 9 2 16" xfId="13157"/>
    <cellStyle name="标题 1 9 2 17" xfId="13158"/>
    <cellStyle name="标题 1 9 2 18" xfId="13159"/>
    <cellStyle name="标题 1 9 2 19" xfId="13160"/>
    <cellStyle name="标题 1 9 2 2" xfId="13161"/>
    <cellStyle name="标题 1 9 2 20" xfId="13162"/>
    <cellStyle name="标题 1 9 2 21" xfId="13163"/>
    <cellStyle name="标题 1 9 2 22" xfId="13164"/>
    <cellStyle name="标题 1 9 2 23" xfId="13165"/>
    <cellStyle name="标题 1 9 2 24" xfId="13166"/>
    <cellStyle name="标题 1 9 2 25" xfId="13167"/>
    <cellStyle name="标题 1 9 2 26" xfId="13168"/>
    <cellStyle name="标题 1 9 2 27" xfId="13169"/>
    <cellStyle name="标题 1 9 2 3" xfId="13170"/>
    <cellStyle name="标题 1 9 2 4" xfId="13171"/>
    <cellStyle name="标题 1 9 2 5" xfId="13172"/>
    <cellStyle name="标题 1 9 2 6" xfId="13173"/>
    <cellStyle name="标题 1 9 2 7" xfId="13174"/>
    <cellStyle name="标题 1 9 2 8" xfId="13175"/>
    <cellStyle name="标题 1 9 2 9" xfId="13176"/>
    <cellStyle name="标题 1 9 20" xfId="13177"/>
    <cellStyle name="标题 1 9 21" xfId="13178"/>
    <cellStyle name="标题 1 9 22" xfId="13179"/>
    <cellStyle name="标题 1 9 23" xfId="13180"/>
    <cellStyle name="标题 1 9 24" xfId="13181"/>
    <cellStyle name="标题 1 9 25" xfId="13182"/>
    <cellStyle name="标题 1 9 26" xfId="13183"/>
    <cellStyle name="标题 1 9 27" xfId="13184"/>
    <cellStyle name="标题 1 9 28" xfId="13185"/>
    <cellStyle name="标题 1 9 3" xfId="13186"/>
    <cellStyle name="标题 1 9 4" xfId="13187"/>
    <cellStyle name="标题 1 9 5" xfId="13188"/>
    <cellStyle name="标题 1 9 6" xfId="13189"/>
    <cellStyle name="标题 1 9 7" xfId="13190"/>
    <cellStyle name="标题 1 9 8" xfId="13191"/>
    <cellStyle name="标题 1 9 9" xfId="13192"/>
    <cellStyle name="标题 10" xfId="13193"/>
    <cellStyle name="标题 10 10" xfId="13194"/>
    <cellStyle name="标题 10 11" xfId="13195"/>
    <cellStyle name="标题 10 12" xfId="13196"/>
    <cellStyle name="标题 10 13" xfId="13197"/>
    <cellStyle name="标题 10 14" xfId="13198"/>
    <cellStyle name="标题 10 15" xfId="13199"/>
    <cellStyle name="标题 10 16" xfId="13200"/>
    <cellStyle name="标题 10 17" xfId="13201"/>
    <cellStyle name="标题 10 18" xfId="13202"/>
    <cellStyle name="标题 10 19" xfId="13203"/>
    <cellStyle name="标题 10 2" xfId="13204"/>
    <cellStyle name="标题 10 2 10" xfId="13205"/>
    <cellStyle name="标题 10 2 11" xfId="13206"/>
    <cellStyle name="标题 10 2 12" xfId="13207"/>
    <cellStyle name="标题 10 2 13" xfId="13208"/>
    <cellStyle name="标题 10 2 14" xfId="13209"/>
    <cellStyle name="标题 10 2 15" xfId="13210"/>
    <cellStyle name="标题 10 2 16" xfId="13211"/>
    <cellStyle name="标题 10 2 17" xfId="13212"/>
    <cellStyle name="标题 10 2 18" xfId="13213"/>
    <cellStyle name="标题 10 2 19" xfId="13214"/>
    <cellStyle name="标题 10 2 2" xfId="13215"/>
    <cellStyle name="标题 10 2 20" xfId="13216"/>
    <cellStyle name="标题 10 2 21" xfId="13217"/>
    <cellStyle name="标题 10 2 22" xfId="13218"/>
    <cellStyle name="标题 10 2 23" xfId="13219"/>
    <cellStyle name="标题 10 2 24" xfId="13220"/>
    <cellStyle name="标题 10 2 25" xfId="13221"/>
    <cellStyle name="标题 10 2 26" xfId="13222"/>
    <cellStyle name="标题 10 2 27" xfId="13223"/>
    <cellStyle name="标题 10 2 3" xfId="13224"/>
    <cellStyle name="标题 10 2 4" xfId="13225"/>
    <cellStyle name="标题 10 2 5" xfId="13226"/>
    <cellStyle name="标题 10 2 6" xfId="13227"/>
    <cellStyle name="标题 10 2 7" xfId="13228"/>
    <cellStyle name="标题 10 2 8" xfId="13229"/>
    <cellStyle name="标题 10 2 9" xfId="13230"/>
    <cellStyle name="标题 10 20" xfId="13231"/>
    <cellStyle name="标题 10 21" xfId="13232"/>
    <cellStyle name="标题 10 22" xfId="13233"/>
    <cellStyle name="标题 10 23" xfId="13234"/>
    <cellStyle name="标题 10 24" xfId="13235"/>
    <cellStyle name="标题 10 25" xfId="13236"/>
    <cellStyle name="标题 10 26" xfId="13237"/>
    <cellStyle name="标题 10 27" xfId="13238"/>
    <cellStyle name="标题 10 28" xfId="13239"/>
    <cellStyle name="标题 10 3" xfId="13240"/>
    <cellStyle name="标题 10 4" xfId="13241"/>
    <cellStyle name="标题 10 5" xfId="13242"/>
    <cellStyle name="标题 10 6" xfId="13243"/>
    <cellStyle name="标题 10 7" xfId="13244"/>
    <cellStyle name="标题 10 8" xfId="13245"/>
    <cellStyle name="标题 10 9" xfId="13246"/>
    <cellStyle name="标题 11" xfId="13247"/>
    <cellStyle name="标题 11 10" xfId="13248"/>
    <cellStyle name="标题 11 11" xfId="13249"/>
    <cellStyle name="标题 11 12" xfId="13250"/>
    <cellStyle name="标题 11 13" xfId="13251"/>
    <cellStyle name="标题 11 14" xfId="13252"/>
    <cellStyle name="标题 11 15" xfId="13253"/>
    <cellStyle name="标题 11 16" xfId="13254"/>
    <cellStyle name="标题 11 17" xfId="13255"/>
    <cellStyle name="标题 11 18" xfId="13256"/>
    <cellStyle name="标题 11 19" xfId="13257"/>
    <cellStyle name="标题 11 2" xfId="13258"/>
    <cellStyle name="标题 11 2 10" xfId="13259"/>
    <cellStyle name="标题 11 2 11" xfId="13260"/>
    <cellStyle name="标题 11 2 12" xfId="13261"/>
    <cellStyle name="标题 11 2 13" xfId="13262"/>
    <cellStyle name="标题 11 2 14" xfId="13263"/>
    <cellStyle name="标题 11 2 15" xfId="13264"/>
    <cellStyle name="标题 11 2 16" xfId="13265"/>
    <cellStyle name="标题 11 2 17" xfId="13266"/>
    <cellStyle name="标题 11 2 18" xfId="13267"/>
    <cellStyle name="标题 11 2 19" xfId="13268"/>
    <cellStyle name="标题 11 2 2" xfId="13269"/>
    <cellStyle name="标题 11 2 20" xfId="13270"/>
    <cellStyle name="标题 11 2 21" xfId="13271"/>
    <cellStyle name="标题 11 2 22" xfId="13272"/>
    <cellStyle name="标题 11 2 23" xfId="13273"/>
    <cellStyle name="标题 11 2 24" xfId="13274"/>
    <cellStyle name="标题 11 2 25" xfId="13275"/>
    <cellStyle name="标题 11 2 26" xfId="13276"/>
    <cellStyle name="标题 11 2 27" xfId="13277"/>
    <cellStyle name="标题 11 2 3" xfId="13278"/>
    <cellStyle name="标题 11 2 4" xfId="13279"/>
    <cellStyle name="标题 11 2 5" xfId="13280"/>
    <cellStyle name="标题 11 2 6" xfId="13281"/>
    <cellStyle name="标题 11 2 7" xfId="13282"/>
    <cellStyle name="标题 11 2 8" xfId="13283"/>
    <cellStyle name="标题 11 2 9" xfId="13284"/>
    <cellStyle name="标题 11 20" xfId="13285"/>
    <cellStyle name="标题 11 21" xfId="13286"/>
    <cellStyle name="标题 11 22" xfId="13287"/>
    <cellStyle name="标题 11 23" xfId="13288"/>
    <cellStyle name="标题 11 24" xfId="13289"/>
    <cellStyle name="标题 11 25" xfId="13290"/>
    <cellStyle name="标题 11 26" xfId="13291"/>
    <cellStyle name="标题 11 27" xfId="13292"/>
    <cellStyle name="标题 11 28" xfId="13293"/>
    <cellStyle name="标题 11 3" xfId="13294"/>
    <cellStyle name="标题 11 4" xfId="13295"/>
    <cellStyle name="标题 11 5" xfId="13296"/>
    <cellStyle name="标题 11 6" xfId="13297"/>
    <cellStyle name="标题 11 7" xfId="13298"/>
    <cellStyle name="标题 11 8" xfId="13299"/>
    <cellStyle name="标题 11 9" xfId="13300"/>
    <cellStyle name="标题 12" xfId="13301"/>
    <cellStyle name="标题 12 10" xfId="13302"/>
    <cellStyle name="标题 12 11" xfId="13303"/>
    <cellStyle name="标题 12 12" xfId="13304"/>
    <cellStyle name="标题 12 13" xfId="13305"/>
    <cellStyle name="标题 12 14" xfId="13306"/>
    <cellStyle name="标题 12 15" xfId="13307"/>
    <cellStyle name="标题 12 16" xfId="13308"/>
    <cellStyle name="标题 12 17" xfId="13309"/>
    <cellStyle name="标题 12 18" xfId="13310"/>
    <cellStyle name="标题 12 19" xfId="13311"/>
    <cellStyle name="标题 12 2" xfId="13312"/>
    <cellStyle name="标题 12 2 10" xfId="13313"/>
    <cellStyle name="标题 12 2 11" xfId="13314"/>
    <cellStyle name="标题 12 2 12" xfId="13315"/>
    <cellStyle name="标题 12 2 13" xfId="13316"/>
    <cellStyle name="标题 12 2 14" xfId="13317"/>
    <cellStyle name="标题 12 2 15" xfId="13318"/>
    <cellStyle name="标题 12 2 16" xfId="13319"/>
    <cellStyle name="标题 12 2 17" xfId="13320"/>
    <cellStyle name="标题 12 2 18" xfId="13321"/>
    <cellStyle name="标题 12 2 19" xfId="13322"/>
    <cellStyle name="标题 12 2 2" xfId="13323"/>
    <cellStyle name="标题 12 2 20" xfId="13324"/>
    <cellStyle name="标题 12 2 21" xfId="13325"/>
    <cellStyle name="标题 12 2 22" xfId="13326"/>
    <cellStyle name="标题 12 2 23" xfId="13327"/>
    <cellStyle name="标题 12 2 24" xfId="13328"/>
    <cellStyle name="标题 12 2 25" xfId="13329"/>
    <cellStyle name="标题 12 2 26" xfId="13330"/>
    <cellStyle name="标题 12 2 27" xfId="13331"/>
    <cellStyle name="标题 12 2 3" xfId="13332"/>
    <cellStyle name="标题 12 2 4" xfId="13333"/>
    <cellStyle name="标题 12 2 5" xfId="13334"/>
    <cellStyle name="标题 12 2 6" xfId="13335"/>
    <cellStyle name="标题 12 2 7" xfId="13336"/>
    <cellStyle name="标题 12 2 8" xfId="13337"/>
    <cellStyle name="标题 12 2 9" xfId="13338"/>
    <cellStyle name="标题 12 20" xfId="13339"/>
    <cellStyle name="标题 12 21" xfId="13340"/>
    <cellStyle name="标题 12 22" xfId="13341"/>
    <cellStyle name="标题 12 23" xfId="13342"/>
    <cellStyle name="标题 12 24" xfId="13343"/>
    <cellStyle name="标题 12 25" xfId="13344"/>
    <cellStyle name="标题 12 26" xfId="13345"/>
    <cellStyle name="标题 12 27" xfId="13346"/>
    <cellStyle name="标题 12 28" xfId="13347"/>
    <cellStyle name="标题 12 3" xfId="13348"/>
    <cellStyle name="标题 12 4" xfId="13349"/>
    <cellStyle name="标题 12 5" xfId="13350"/>
    <cellStyle name="标题 12 6" xfId="13351"/>
    <cellStyle name="标题 12 7" xfId="13352"/>
    <cellStyle name="标题 12 8" xfId="13353"/>
    <cellStyle name="标题 12 9" xfId="13354"/>
    <cellStyle name="标题 13" xfId="13355"/>
    <cellStyle name="标题 13 10" xfId="13356"/>
    <cellStyle name="标题 13 11" xfId="13357"/>
    <cellStyle name="标题 13 12" xfId="13358"/>
    <cellStyle name="标题 13 13" xfId="13359"/>
    <cellStyle name="标题 13 14" xfId="13360"/>
    <cellStyle name="标题 13 15" xfId="13361"/>
    <cellStyle name="标题 13 16" xfId="13362"/>
    <cellStyle name="标题 13 17" xfId="13363"/>
    <cellStyle name="标题 13 18" xfId="13364"/>
    <cellStyle name="标题 13 19" xfId="13365"/>
    <cellStyle name="标题 13 2" xfId="13366"/>
    <cellStyle name="标题 13 2 10" xfId="13367"/>
    <cellStyle name="标题 13 2 11" xfId="13368"/>
    <cellStyle name="标题 13 2 12" xfId="13369"/>
    <cellStyle name="标题 13 2 13" xfId="13370"/>
    <cellStyle name="标题 13 2 14" xfId="13371"/>
    <cellStyle name="标题 13 2 15" xfId="13372"/>
    <cellStyle name="标题 13 2 16" xfId="13373"/>
    <cellStyle name="标题 13 2 17" xfId="13374"/>
    <cellStyle name="标题 13 2 18" xfId="13375"/>
    <cellStyle name="标题 13 2 19" xfId="13376"/>
    <cellStyle name="标题 13 2 2" xfId="13377"/>
    <cellStyle name="标题 13 2 20" xfId="13378"/>
    <cellStyle name="标题 13 2 21" xfId="13379"/>
    <cellStyle name="标题 13 2 22" xfId="13380"/>
    <cellStyle name="标题 13 2 23" xfId="13381"/>
    <cellStyle name="标题 13 2 24" xfId="13382"/>
    <cellStyle name="标题 13 2 25" xfId="13383"/>
    <cellStyle name="标题 13 2 26" xfId="13384"/>
    <cellStyle name="标题 13 2 27" xfId="13385"/>
    <cellStyle name="标题 13 2 3" xfId="13386"/>
    <cellStyle name="标题 13 2 4" xfId="13387"/>
    <cellStyle name="标题 13 2 5" xfId="13388"/>
    <cellStyle name="标题 13 2 6" xfId="13389"/>
    <cellStyle name="标题 13 2 7" xfId="13390"/>
    <cellStyle name="标题 13 2 8" xfId="13391"/>
    <cellStyle name="标题 13 2 9" xfId="13392"/>
    <cellStyle name="标题 13 20" xfId="13393"/>
    <cellStyle name="标题 13 21" xfId="13394"/>
    <cellStyle name="标题 13 22" xfId="13395"/>
    <cellStyle name="标题 13 23" xfId="13396"/>
    <cellStyle name="标题 13 24" xfId="13397"/>
    <cellStyle name="标题 13 25" xfId="13398"/>
    <cellStyle name="标题 13 26" xfId="13399"/>
    <cellStyle name="标题 13 27" xfId="13400"/>
    <cellStyle name="标题 13 28" xfId="13401"/>
    <cellStyle name="标题 13 3" xfId="13402"/>
    <cellStyle name="标题 13 4" xfId="13403"/>
    <cellStyle name="标题 13 5" xfId="13404"/>
    <cellStyle name="标题 13 6" xfId="13405"/>
    <cellStyle name="标题 13 7" xfId="13406"/>
    <cellStyle name="标题 13 8" xfId="13407"/>
    <cellStyle name="标题 13 9" xfId="13408"/>
    <cellStyle name="标题 14" xfId="13409"/>
    <cellStyle name="标题 14 10" xfId="13410"/>
    <cellStyle name="标题 14 11" xfId="13411"/>
    <cellStyle name="标题 14 12" xfId="13412"/>
    <cellStyle name="标题 14 13" xfId="13413"/>
    <cellStyle name="标题 14 14" xfId="13414"/>
    <cellStyle name="标题 14 15" xfId="13415"/>
    <cellStyle name="标题 14 16" xfId="13416"/>
    <cellStyle name="标题 14 17" xfId="13417"/>
    <cellStyle name="标题 14 18" xfId="13418"/>
    <cellStyle name="标题 14 19" xfId="13419"/>
    <cellStyle name="标题 14 2" xfId="13420"/>
    <cellStyle name="标题 14 2 10" xfId="13421"/>
    <cellStyle name="标题 14 2 11" xfId="13422"/>
    <cellStyle name="标题 14 2 12" xfId="13423"/>
    <cellStyle name="标题 14 2 13" xfId="13424"/>
    <cellStyle name="标题 14 2 14" xfId="13425"/>
    <cellStyle name="标题 14 2 15" xfId="13426"/>
    <cellStyle name="标题 14 2 16" xfId="13427"/>
    <cellStyle name="标题 14 2 17" xfId="13428"/>
    <cellStyle name="标题 14 2 18" xfId="13429"/>
    <cellStyle name="标题 14 2 19" xfId="13430"/>
    <cellStyle name="标题 14 2 2" xfId="13431"/>
    <cellStyle name="标题 14 2 20" xfId="13432"/>
    <cellStyle name="标题 14 2 21" xfId="13433"/>
    <cellStyle name="标题 14 2 22" xfId="13434"/>
    <cellStyle name="标题 14 2 23" xfId="13435"/>
    <cellStyle name="标题 14 2 24" xfId="13436"/>
    <cellStyle name="标题 14 2 25" xfId="13437"/>
    <cellStyle name="标题 14 2 26" xfId="13438"/>
    <cellStyle name="标题 14 2 27" xfId="13439"/>
    <cellStyle name="标题 14 2 3" xfId="13440"/>
    <cellStyle name="标题 14 2 4" xfId="13441"/>
    <cellStyle name="标题 14 2 5" xfId="13442"/>
    <cellStyle name="标题 14 2 6" xfId="13443"/>
    <cellStyle name="标题 14 2 7" xfId="13444"/>
    <cellStyle name="标题 14 2 8" xfId="13445"/>
    <cellStyle name="标题 14 2 9" xfId="13446"/>
    <cellStyle name="标题 14 20" xfId="13447"/>
    <cellStyle name="标题 14 21" xfId="13448"/>
    <cellStyle name="标题 14 22" xfId="13449"/>
    <cellStyle name="标题 14 23" xfId="13450"/>
    <cellStyle name="标题 14 24" xfId="13451"/>
    <cellStyle name="标题 14 25" xfId="13452"/>
    <cellStyle name="标题 14 26" xfId="13453"/>
    <cellStyle name="标题 14 27" xfId="13454"/>
    <cellStyle name="标题 14 28" xfId="13455"/>
    <cellStyle name="标题 14 3" xfId="13456"/>
    <cellStyle name="标题 14 4" xfId="13457"/>
    <cellStyle name="标题 14 5" xfId="13458"/>
    <cellStyle name="标题 14 6" xfId="13459"/>
    <cellStyle name="标题 14 7" xfId="13460"/>
    <cellStyle name="标题 14 8" xfId="13461"/>
    <cellStyle name="标题 14 9" xfId="13462"/>
    <cellStyle name="标题 15" xfId="13463"/>
    <cellStyle name="标题 16" xfId="13464"/>
    <cellStyle name="标题 17" xfId="13465"/>
    <cellStyle name="标题 18" xfId="13466"/>
    <cellStyle name="标题 19" xfId="13467"/>
    <cellStyle name="标题 2" xfId="13468" builtinId="17" customBuiltin="1"/>
    <cellStyle name="标题 2 10" xfId="13469"/>
    <cellStyle name="标题 2 10 10" xfId="13470"/>
    <cellStyle name="标题 2 10 11" xfId="13471"/>
    <cellStyle name="标题 2 10 12" xfId="13472"/>
    <cellStyle name="标题 2 10 13" xfId="13473"/>
    <cellStyle name="标题 2 10 14" xfId="13474"/>
    <cellStyle name="标题 2 10 15" xfId="13475"/>
    <cellStyle name="标题 2 10 16" xfId="13476"/>
    <cellStyle name="标题 2 10 17" xfId="13477"/>
    <cellStyle name="标题 2 10 18" xfId="13478"/>
    <cellStyle name="标题 2 10 19" xfId="13479"/>
    <cellStyle name="标题 2 10 2" xfId="13480"/>
    <cellStyle name="标题 2 10 2 10" xfId="13481"/>
    <cellStyle name="标题 2 10 2 11" xfId="13482"/>
    <cellStyle name="标题 2 10 2 12" xfId="13483"/>
    <cellStyle name="标题 2 10 2 13" xfId="13484"/>
    <cellStyle name="标题 2 10 2 14" xfId="13485"/>
    <cellStyle name="标题 2 10 2 15" xfId="13486"/>
    <cellStyle name="标题 2 10 2 16" xfId="13487"/>
    <cellStyle name="标题 2 10 2 17" xfId="13488"/>
    <cellStyle name="标题 2 10 2 18" xfId="13489"/>
    <cellStyle name="标题 2 10 2 19" xfId="13490"/>
    <cellStyle name="标题 2 10 2 2" xfId="13491"/>
    <cellStyle name="标题 2 10 2 20" xfId="13492"/>
    <cellStyle name="标题 2 10 2 21" xfId="13493"/>
    <cellStyle name="标题 2 10 2 22" xfId="13494"/>
    <cellStyle name="标题 2 10 2 23" xfId="13495"/>
    <cellStyle name="标题 2 10 2 24" xfId="13496"/>
    <cellStyle name="标题 2 10 2 25" xfId="13497"/>
    <cellStyle name="标题 2 10 2 26" xfId="13498"/>
    <cellStyle name="标题 2 10 2 27" xfId="13499"/>
    <cellStyle name="标题 2 10 2 3" xfId="13500"/>
    <cellStyle name="标题 2 10 2 4" xfId="13501"/>
    <cellStyle name="标题 2 10 2 5" xfId="13502"/>
    <cellStyle name="标题 2 10 2 6" xfId="13503"/>
    <cellStyle name="标题 2 10 2 7" xfId="13504"/>
    <cellStyle name="标题 2 10 2 8" xfId="13505"/>
    <cellStyle name="标题 2 10 2 9" xfId="13506"/>
    <cellStyle name="标题 2 10 20" xfId="13507"/>
    <cellStyle name="标题 2 10 21" xfId="13508"/>
    <cellStyle name="标题 2 10 22" xfId="13509"/>
    <cellStyle name="标题 2 10 23" xfId="13510"/>
    <cellStyle name="标题 2 10 24" xfId="13511"/>
    <cellStyle name="标题 2 10 25" xfId="13512"/>
    <cellStyle name="标题 2 10 26" xfId="13513"/>
    <cellStyle name="标题 2 10 27" xfId="13514"/>
    <cellStyle name="标题 2 10 28" xfId="13515"/>
    <cellStyle name="标题 2 10 3" xfId="13516"/>
    <cellStyle name="标题 2 10 4" xfId="13517"/>
    <cellStyle name="标题 2 10 5" xfId="13518"/>
    <cellStyle name="标题 2 10 6" xfId="13519"/>
    <cellStyle name="标题 2 10 7" xfId="13520"/>
    <cellStyle name="标题 2 10 8" xfId="13521"/>
    <cellStyle name="标题 2 10 9" xfId="13522"/>
    <cellStyle name="标题 2 11" xfId="13523"/>
    <cellStyle name="标题 2 11 10" xfId="13524"/>
    <cellStyle name="标题 2 11 11" xfId="13525"/>
    <cellStyle name="标题 2 11 12" xfId="13526"/>
    <cellStyle name="标题 2 11 13" xfId="13527"/>
    <cellStyle name="标题 2 11 14" xfId="13528"/>
    <cellStyle name="标题 2 11 15" xfId="13529"/>
    <cellStyle name="标题 2 11 16" xfId="13530"/>
    <cellStyle name="标题 2 11 17" xfId="13531"/>
    <cellStyle name="标题 2 11 18" xfId="13532"/>
    <cellStyle name="标题 2 11 19" xfId="13533"/>
    <cellStyle name="标题 2 11 2" xfId="13534"/>
    <cellStyle name="标题 2 11 2 10" xfId="13535"/>
    <cellStyle name="标题 2 11 2 11" xfId="13536"/>
    <cellStyle name="标题 2 11 2 12" xfId="13537"/>
    <cellStyle name="标题 2 11 2 13" xfId="13538"/>
    <cellStyle name="标题 2 11 2 14" xfId="13539"/>
    <cellStyle name="标题 2 11 2 15" xfId="13540"/>
    <cellStyle name="标题 2 11 2 16" xfId="13541"/>
    <cellStyle name="标题 2 11 2 17" xfId="13542"/>
    <cellStyle name="标题 2 11 2 18" xfId="13543"/>
    <cellStyle name="标题 2 11 2 19" xfId="13544"/>
    <cellStyle name="标题 2 11 2 2" xfId="13545"/>
    <cellStyle name="标题 2 11 2 20" xfId="13546"/>
    <cellStyle name="标题 2 11 2 21" xfId="13547"/>
    <cellStyle name="标题 2 11 2 22" xfId="13548"/>
    <cellStyle name="标题 2 11 2 23" xfId="13549"/>
    <cellStyle name="标题 2 11 2 24" xfId="13550"/>
    <cellStyle name="标题 2 11 2 25" xfId="13551"/>
    <cellStyle name="标题 2 11 2 26" xfId="13552"/>
    <cellStyle name="标题 2 11 2 27" xfId="13553"/>
    <cellStyle name="标题 2 11 2 3" xfId="13554"/>
    <cellStyle name="标题 2 11 2 4" xfId="13555"/>
    <cellStyle name="标题 2 11 2 5" xfId="13556"/>
    <cellStyle name="标题 2 11 2 6" xfId="13557"/>
    <cellStyle name="标题 2 11 2 7" xfId="13558"/>
    <cellStyle name="标题 2 11 2 8" xfId="13559"/>
    <cellStyle name="标题 2 11 2 9" xfId="13560"/>
    <cellStyle name="标题 2 11 20" xfId="13561"/>
    <cellStyle name="标题 2 11 21" xfId="13562"/>
    <cellStyle name="标题 2 11 22" xfId="13563"/>
    <cellStyle name="标题 2 11 23" xfId="13564"/>
    <cellStyle name="标题 2 11 24" xfId="13565"/>
    <cellStyle name="标题 2 11 25" xfId="13566"/>
    <cellStyle name="标题 2 11 26" xfId="13567"/>
    <cellStyle name="标题 2 11 27" xfId="13568"/>
    <cellStyle name="标题 2 11 28" xfId="13569"/>
    <cellStyle name="标题 2 11 3" xfId="13570"/>
    <cellStyle name="标题 2 11 4" xfId="13571"/>
    <cellStyle name="标题 2 11 5" xfId="13572"/>
    <cellStyle name="标题 2 11 6" xfId="13573"/>
    <cellStyle name="标题 2 11 7" xfId="13574"/>
    <cellStyle name="标题 2 11 8" xfId="13575"/>
    <cellStyle name="标题 2 11 9" xfId="13576"/>
    <cellStyle name="标题 2 12" xfId="13577"/>
    <cellStyle name="标题 2 13" xfId="13578"/>
    <cellStyle name="标题 2 14" xfId="13579"/>
    <cellStyle name="标题 2 15" xfId="13580"/>
    <cellStyle name="标题 2 16" xfId="13581"/>
    <cellStyle name="标题 2 17" xfId="13582"/>
    <cellStyle name="标题 2 18" xfId="13583"/>
    <cellStyle name="标题 2 19" xfId="13584"/>
    <cellStyle name="标题 2 2" xfId="13585"/>
    <cellStyle name="标题 2 2 10" xfId="13586"/>
    <cellStyle name="标题 2 2 11" xfId="13587"/>
    <cellStyle name="标题 2 2 12" xfId="13588"/>
    <cellStyle name="标题 2 2 13" xfId="13589"/>
    <cellStyle name="标题 2 2 14" xfId="13590"/>
    <cellStyle name="标题 2 2 15" xfId="13591"/>
    <cellStyle name="标题 2 2 16" xfId="13592"/>
    <cellStyle name="标题 2 2 17" xfId="13593"/>
    <cellStyle name="标题 2 2 18" xfId="13594"/>
    <cellStyle name="标题 2 2 19" xfId="13595"/>
    <cellStyle name="标题 2 2 2" xfId="13596"/>
    <cellStyle name="标题 2 2 2 10" xfId="13597"/>
    <cellStyle name="标题 2 2 2 11" xfId="13598"/>
    <cellStyle name="标题 2 2 2 12" xfId="13599"/>
    <cellStyle name="标题 2 2 2 13" xfId="13600"/>
    <cellStyle name="标题 2 2 2 14" xfId="13601"/>
    <cellStyle name="标题 2 2 2 15" xfId="13602"/>
    <cellStyle name="标题 2 2 2 16" xfId="13603"/>
    <cellStyle name="标题 2 2 2 17" xfId="13604"/>
    <cellStyle name="标题 2 2 2 18" xfId="13605"/>
    <cellStyle name="标题 2 2 2 19" xfId="13606"/>
    <cellStyle name="标题 2 2 2 2" xfId="13607"/>
    <cellStyle name="标题 2 2 2 2 10" xfId="13608"/>
    <cellStyle name="标题 2 2 2 2 11" xfId="13609"/>
    <cellStyle name="标题 2 2 2 2 12" xfId="13610"/>
    <cellStyle name="标题 2 2 2 2 13" xfId="13611"/>
    <cellStyle name="标题 2 2 2 2 14" xfId="13612"/>
    <cellStyle name="标题 2 2 2 2 15" xfId="13613"/>
    <cellStyle name="标题 2 2 2 2 16" xfId="13614"/>
    <cellStyle name="标题 2 2 2 2 17" xfId="13615"/>
    <cellStyle name="标题 2 2 2 2 18" xfId="13616"/>
    <cellStyle name="标题 2 2 2 2 19" xfId="13617"/>
    <cellStyle name="标题 2 2 2 2 2" xfId="13618"/>
    <cellStyle name="标题 2 2 2 2 20" xfId="13619"/>
    <cellStyle name="标题 2 2 2 2 21" xfId="13620"/>
    <cellStyle name="标题 2 2 2 2 22" xfId="13621"/>
    <cellStyle name="标题 2 2 2 2 23" xfId="13622"/>
    <cellStyle name="标题 2 2 2 2 24" xfId="13623"/>
    <cellStyle name="标题 2 2 2 2 25" xfId="13624"/>
    <cellStyle name="标题 2 2 2 2 26" xfId="13625"/>
    <cellStyle name="标题 2 2 2 2 27" xfId="13626"/>
    <cellStyle name="标题 2 2 2 2 3" xfId="13627"/>
    <cellStyle name="标题 2 2 2 2 4" xfId="13628"/>
    <cellStyle name="标题 2 2 2 2 5" xfId="13629"/>
    <cellStyle name="标题 2 2 2 2 6" xfId="13630"/>
    <cellStyle name="标题 2 2 2 2 7" xfId="13631"/>
    <cellStyle name="标题 2 2 2 2 8" xfId="13632"/>
    <cellStyle name="标题 2 2 2 2 9" xfId="13633"/>
    <cellStyle name="标题 2 2 2 20" xfId="13634"/>
    <cellStyle name="标题 2 2 2 21" xfId="13635"/>
    <cellStyle name="标题 2 2 2 22" xfId="13636"/>
    <cellStyle name="标题 2 2 2 23" xfId="13637"/>
    <cellStyle name="标题 2 2 2 24" xfId="13638"/>
    <cellStyle name="标题 2 2 2 25" xfId="13639"/>
    <cellStyle name="标题 2 2 2 26" xfId="13640"/>
    <cellStyle name="标题 2 2 2 27" xfId="13641"/>
    <cellStyle name="标题 2 2 2 28" xfId="13642"/>
    <cellStyle name="标题 2 2 2 3" xfId="13643"/>
    <cellStyle name="标题 2 2 2 4" xfId="13644"/>
    <cellStyle name="标题 2 2 2 5" xfId="13645"/>
    <cellStyle name="标题 2 2 2 6" xfId="13646"/>
    <cellStyle name="标题 2 2 2 7" xfId="13647"/>
    <cellStyle name="标题 2 2 2 8" xfId="13648"/>
    <cellStyle name="标题 2 2 2 9" xfId="13649"/>
    <cellStyle name="标题 2 2 20" xfId="13650"/>
    <cellStyle name="标题 2 2 21" xfId="13651"/>
    <cellStyle name="标题 2 2 22" xfId="13652"/>
    <cellStyle name="标题 2 2 23" xfId="13653"/>
    <cellStyle name="标题 2 2 24" xfId="13654"/>
    <cellStyle name="标题 2 2 25" xfId="13655"/>
    <cellStyle name="标题 2 2 26" xfId="13656"/>
    <cellStyle name="标题 2 2 27" xfId="13657"/>
    <cellStyle name="标题 2 2 28" xfId="13658"/>
    <cellStyle name="标题 2 2 29" xfId="13659"/>
    <cellStyle name="标题 2 2 3" xfId="13660"/>
    <cellStyle name="标题 2 2 3 10" xfId="13661"/>
    <cellStyle name="标题 2 2 3 11" xfId="13662"/>
    <cellStyle name="标题 2 2 3 12" xfId="13663"/>
    <cellStyle name="标题 2 2 3 13" xfId="13664"/>
    <cellStyle name="标题 2 2 3 14" xfId="13665"/>
    <cellStyle name="标题 2 2 3 15" xfId="13666"/>
    <cellStyle name="标题 2 2 3 16" xfId="13667"/>
    <cellStyle name="标题 2 2 3 17" xfId="13668"/>
    <cellStyle name="标题 2 2 3 18" xfId="13669"/>
    <cellStyle name="标题 2 2 3 19" xfId="13670"/>
    <cellStyle name="标题 2 2 3 2" xfId="13671"/>
    <cellStyle name="标题 2 2 3 2 10" xfId="13672"/>
    <cellStyle name="标题 2 2 3 2 11" xfId="13673"/>
    <cellStyle name="标题 2 2 3 2 12" xfId="13674"/>
    <cellStyle name="标题 2 2 3 2 13" xfId="13675"/>
    <cellStyle name="标题 2 2 3 2 14" xfId="13676"/>
    <cellStyle name="标题 2 2 3 2 15" xfId="13677"/>
    <cellStyle name="标题 2 2 3 2 16" xfId="13678"/>
    <cellStyle name="标题 2 2 3 2 17" xfId="13679"/>
    <cellStyle name="标题 2 2 3 2 18" xfId="13680"/>
    <cellStyle name="标题 2 2 3 2 19" xfId="13681"/>
    <cellStyle name="标题 2 2 3 2 2" xfId="13682"/>
    <cellStyle name="标题 2 2 3 2 20" xfId="13683"/>
    <cellStyle name="标题 2 2 3 2 21" xfId="13684"/>
    <cellStyle name="标题 2 2 3 2 22" xfId="13685"/>
    <cellStyle name="标题 2 2 3 2 23" xfId="13686"/>
    <cellStyle name="标题 2 2 3 2 24" xfId="13687"/>
    <cellStyle name="标题 2 2 3 2 25" xfId="13688"/>
    <cellStyle name="标题 2 2 3 2 26" xfId="13689"/>
    <cellStyle name="标题 2 2 3 2 27" xfId="13690"/>
    <cellStyle name="标题 2 2 3 2 3" xfId="13691"/>
    <cellStyle name="标题 2 2 3 2 4" xfId="13692"/>
    <cellStyle name="标题 2 2 3 2 5" xfId="13693"/>
    <cellStyle name="标题 2 2 3 2 6" xfId="13694"/>
    <cellStyle name="标题 2 2 3 2 7" xfId="13695"/>
    <cellStyle name="标题 2 2 3 2 8" xfId="13696"/>
    <cellStyle name="标题 2 2 3 2 9" xfId="13697"/>
    <cellStyle name="标题 2 2 3 20" xfId="13698"/>
    <cellStyle name="标题 2 2 3 21" xfId="13699"/>
    <cellStyle name="标题 2 2 3 22" xfId="13700"/>
    <cellStyle name="标题 2 2 3 23" xfId="13701"/>
    <cellStyle name="标题 2 2 3 24" xfId="13702"/>
    <cellStyle name="标题 2 2 3 25" xfId="13703"/>
    <cellStyle name="标题 2 2 3 26" xfId="13704"/>
    <cellStyle name="标题 2 2 3 27" xfId="13705"/>
    <cellStyle name="标题 2 2 3 28" xfId="13706"/>
    <cellStyle name="标题 2 2 3 3" xfId="13707"/>
    <cellStyle name="标题 2 2 3 4" xfId="13708"/>
    <cellStyle name="标题 2 2 3 5" xfId="13709"/>
    <cellStyle name="标题 2 2 3 6" xfId="13710"/>
    <cellStyle name="标题 2 2 3 7" xfId="13711"/>
    <cellStyle name="标题 2 2 3 8" xfId="13712"/>
    <cellStyle name="标题 2 2 3 9" xfId="13713"/>
    <cellStyle name="标题 2 2 30" xfId="13714"/>
    <cellStyle name="标题 2 2 31" xfId="13715"/>
    <cellStyle name="标题 2 2 32" xfId="13716"/>
    <cellStyle name="标题 2 2 33" xfId="13717"/>
    <cellStyle name="标题 2 2 4" xfId="13718"/>
    <cellStyle name="标题 2 2 4 10" xfId="13719"/>
    <cellStyle name="标题 2 2 4 11" xfId="13720"/>
    <cellStyle name="标题 2 2 4 12" xfId="13721"/>
    <cellStyle name="标题 2 2 4 13" xfId="13722"/>
    <cellStyle name="标题 2 2 4 14" xfId="13723"/>
    <cellStyle name="标题 2 2 4 15" xfId="13724"/>
    <cellStyle name="标题 2 2 4 16" xfId="13725"/>
    <cellStyle name="标题 2 2 4 17" xfId="13726"/>
    <cellStyle name="标题 2 2 4 18" xfId="13727"/>
    <cellStyle name="标题 2 2 4 19" xfId="13728"/>
    <cellStyle name="标题 2 2 4 2" xfId="13729"/>
    <cellStyle name="标题 2 2 4 20" xfId="13730"/>
    <cellStyle name="标题 2 2 4 21" xfId="13731"/>
    <cellStyle name="标题 2 2 4 22" xfId="13732"/>
    <cellStyle name="标题 2 2 4 23" xfId="13733"/>
    <cellStyle name="标题 2 2 4 24" xfId="13734"/>
    <cellStyle name="标题 2 2 4 25" xfId="13735"/>
    <cellStyle name="标题 2 2 4 26" xfId="13736"/>
    <cellStyle name="标题 2 2 4 27" xfId="13737"/>
    <cellStyle name="标题 2 2 4 3" xfId="13738"/>
    <cellStyle name="标题 2 2 4 4" xfId="13739"/>
    <cellStyle name="标题 2 2 4 5" xfId="13740"/>
    <cellStyle name="标题 2 2 4 6" xfId="13741"/>
    <cellStyle name="标题 2 2 4 7" xfId="13742"/>
    <cellStyle name="标题 2 2 4 8" xfId="13743"/>
    <cellStyle name="标题 2 2 4 9" xfId="13744"/>
    <cellStyle name="标题 2 2 5" xfId="13745"/>
    <cellStyle name="标题 2 2 6" xfId="13746"/>
    <cellStyle name="标题 2 2 7" xfId="13747"/>
    <cellStyle name="标题 2 2 8" xfId="13748"/>
    <cellStyle name="标题 2 2 9" xfId="13749"/>
    <cellStyle name="标题 2 20" xfId="13750"/>
    <cellStyle name="标题 2 21" xfId="13751"/>
    <cellStyle name="标题 2 22" xfId="13752"/>
    <cellStyle name="标题 2 23" xfId="13753"/>
    <cellStyle name="标题 2 24" xfId="13754"/>
    <cellStyle name="标题 2 25" xfId="13755"/>
    <cellStyle name="标题 2 26" xfId="13756"/>
    <cellStyle name="标题 2 27" xfId="13757"/>
    <cellStyle name="标题 2 28" xfId="13758"/>
    <cellStyle name="标题 2 29" xfId="13759"/>
    <cellStyle name="标题 2 3" xfId="13760"/>
    <cellStyle name="标题 2 3 10" xfId="13761"/>
    <cellStyle name="标题 2 3 11" xfId="13762"/>
    <cellStyle name="标题 2 3 12" xfId="13763"/>
    <cellStyle name="标题 2 3 13" xfId="13764"/>
    <cellStyle name="标题 2 3 14" xfId="13765"/>
    <cellStyle name="标题 2 3 15" xfId="13766"/>
    <cellStyle name="标题 2 3 16" xfId="13767"/>
    <cellStyle name="标题 2 3 17" xfId="13768"/>
    <cellStyle name="标题 2 3 18" xfId="13769"/>
    <cellStyle name="标题 2 3 19" xfId="13770"/>
    <cellStyle name="标题 2 3 2" xfId="13771"/>
    <cellStyle name="标题 2 3 2 10" xfId="13772"/>
    <cellStyle name="标题 2 3 2 11" xfId="13773"/>
    <cellStyle name="标题 2 3 2 12" xfId="13774"/>
    <cellStyle name="标题 2 3 2 13" xfId="13775"/>
    <cellStyle name="标题 2 3 2 14" xfId="13776"/>
    <cellStyle name="标题 2 3 2 15" xfId="13777"/>
    <cellStyle name="标题 2 3 2 16" xfId="13778"/>
    <cellStyle name="标题 2 3 2 17" xfId="13779"/>
    <cellStyle name="标题 2 3 2 18" xfId="13780"/>
    <cellStyle name="标题 2 3 2 19" xfId="13781"/>
    <cellStyle name="标题 2 3 2 2" xfId="13782"/>
    <cellStyle name="标题 2 3 2 20" xfId="13783"/>
    <cellStyle name="标题 2 3 2 21" xfId="13784"/>
    <cellStyle name="标题 2 3 2 22" xfId="13785"/>
    <cellStyle name="标题 2 3 2 23" xfId="13786"/>
    <cellStyle name="标题 2 3 2 24" xfId="13787"/>
    <cellStyle name="标题 2 3 2 25" xfId="13788"/>
    <cellStyle name="标题 2 3 2 26" xfId="13789"/>
    <cellStyle name="标题 2 3 2 27" xfId="13790"/>
    <cellStyle name="标题 2 3 2 3" xfId="13791"/>
    <cellStyle name="标题 2 3 2 4" xfId="13792"/>
    <cellStyle name="标题 2 3 2 5" xfId="13793"/>
    <cellStyle name="标题 2 3 2 6" xfId="13794"/>
    <cellStyle name="标题 2 3 2 7" xfId="13795"/>
    <cellStyle name="标题 2 3 2 8" xfId="13796"/>
    <cellStyle name="标题 2 3 2 9" xfId="13797"/>
    <cellStyle name="标题 2 3 20" xfId="13798"/>
    <cellStyle name="标题 2 3 21" xfId="13799"/>
    <cellStyle name="标题 2 3 22" xfId="13800"/>
    <cellStyle name="标题 2 3 23" xfId="13801"/>
    <cellStyle name="标题 2 3 24" xfId="13802"/>
    <cellStyle name="标题 2 3 25" xfId="13803"/>
    <cellStyle name="标题 2 3 26" xfId="13804"/>
    <cellStyle name="标题 2 3 27" xfId="13805"/>
    <cellStyle name="标题 2 3 28" xfId="13806"/>
    <cellStyle name="标题 2 3 3" xfId="13807"/>
    <cellStyle name="标题 2 3 4" xfId="13808"/>
    <cellStyle name="标题 2 3 5" xfId="13809"/>
    <cellStyle name="标题 2 3 6" xfId="13810"/>
    <cellStyle name="标题 2 3 7" xfId="13811"/>
    <cellStyle name="标题 2 3 8" xfId="13812"/>
    <cellStyle name="标题 2 3 9" xfId="13813"/>
    <cellStyle name="标题 2 30" xfId="13814"/>
    <cellStyle name="标题 2 31" xfId="13815"/>
    <cellStyle name="标题 2 32" xfId="13816"/>
    <cellStyle name="标题 2 33" xfId="13817"/>
    <cellStyle name="标题 2 34" xfId="13818"/>
    <cellStyle name="标题 2 35" xfId="13819"/>
    <cellStyle name="标题 2 36" xfId="13820"/>
    <cellStyle name="标题 2 37" xfId="13821"/>
    <cellStyle name="标题 2 38" xfId="13822"/>
    <cellStyle name="标题 2 39" xfId="13823"/>
    <cellStyle name="标题 2 4" xfId="13824"/>
    <cellStyle name="标题 2 4 10" xfId="13825"/>
    <cellStyle name="标题 2 4 11" xfId="13826"/>
    <cellStyle name="标题 2 4 12" xfId="13827"/>
    <cellStyle name="标题 2 4 13" xfId="13828"/>
    <cellStyle name="标题 2 4 14" xfId="13829"/>
    <cellStyle name="标题 2 4 15" xfId="13830"/>
    <cellStyle name="标题 2 4 16" xfId="13831"/>
    <cellStyle name="标题 2 4 17" xfId="13832"/>
    <cellStyle name="标题 2 4 18" xfId="13833"/>
    <cellStyle name="标题 2 4 19" xfId="13834"/>
    <cellStyle name="标题 2 4 2" xfId="13835"/>
    <cellStyle name="标题 2 4 2 10" xfId="13836"/>
    <cellStyle name="标题 2 4 2 11" xfId="13837"/>
    <cellStyle name="标题 2 4 2 12" xfId="13838"/>
    <cellStyle name="标题 2 4 2 13" xfId="13839"/>
    <cellStyle name="标题 2 4 2 14" xfId="13840"/>
    <cellStyle name="标题 2 4 2 15" xfId="13841"/>
    <cellStyle name="标题 2 4 2 16" xfId="13842"/>
    <cellStyle name="标题 2 4 2 17" xfId="13843"/>
    <cellStyle name="标题 2 4 2 18" xfId="13844"/>
    <cellStyle name="标题 2 4 2 19" xfId="13845"/>
    <cellStyle name="标题 2 4 2 2" xfId="13846"/>
    <cellStyle name="标题 2 4 2 20" xfId="13847"/>
    <cellStyle name="标题 2 4 2 21" xfId="13848"/>
    <cellStyle name="标题 2 4 2 22" xfId="13849"/>
    <cellStyle name="标题 2 4 2 23" xfId="13850"/>
    <cellStyle name="标题 2 4 2 24" xfId="13851"/>
    <cellStyle name="标题 2 4 2 25" xfId="13852"/>
    <cellStyle name="标题 2 4 2 26" xfId="13853"/>
    <cellStyle name="标题 2 4 2 27" xfId="13854"/>
    <cellStyle name="标题 2 4 2 3" xfId="13855"/>
    <cellStyle name="标题 2 4 2 4" xfId="13856"/>
    <cellStyle name="标题 2 4 2 5" xfId="13857"/>
    <cellStyle name="标题 2 4 2 6" xfId="13858"/>
    <cellStyle name="标题 2 4 2 7" xfId="13859"/>
    <cellStyle name="标题 2 4 2 8" xfId="13860"/>
    <cellStyle name="标题 2 4 2 9" xfId="13861"/>
    <cellStyle name="标题 2 4 20" xfId="13862"/>
    <cellStyle name="标题 2 4 21" xfId="13863"/>
    <cellStyle name="标题 2 4 22" xfId="13864"/>
    <cellStyle name="标题 2 4 23" xfId="13865"/>
    <cellStyle name="标题 2 4 24" xfId="13866"/>
    <cellStyle name="标题 2 4 25" xfId="13867"/>
    <cellStyle name="标题 2 4 26" xfId="13868"/>
    <cellStyle name="标题 2 4 27" xfId="13869"/>
    <cellStyle name="标题 2 4 28" xfId="13870"/>
    <cellStyle name="标题 2 4 3" xfId="13871"/>
    <cellStyle name="标题 2 4 4" xfId="13872"/>
    <cellStyle name="标题 2 4 5" xfId="13873"/>
    <cellStyle name="标题 2 4 6" xfId="13874"/>
    <cellStyle name="标题 2 4 7" xfId="13875"/>
    <cellStyle name="标题 2 4 8" xfId="13876"/>
    <cellStyle name="标题 2 4 9" xfId="13877"/>
    <cellStyle name="标题 2 40" xfId="13878"/>
    <cellStyle name="标题 2 5" xfId="13879"/>
    <cellStyle name="标题 2 5 10" xfId="13880"/>
    <cellStyle name="标题 2 5 11" xfId="13881"/>
    <cellStyle name="标题 2 5 12" xfId="13882"/>
    <cellStyle name="标题 2 5 13" xfId="13883"/>
    <cellStyle name="标题 2 5 14" xfId="13884"/>
    <cellStyle name="标题 2 5 15" xfId="13885"/>
    <cellStyle name="标题 2 5 16" xfId="13886"/>
    <cellStyle name="标题 2 5 17" xfId="13887"/>
    <cellStyle name="标题 2 5 18" xfId="13888"/>
    <cellStyle name="标题 2 5 19" xfId="13889"/>
    <cellStyle name="标题 2 5 2" xfId="13890"/>
    <cellStyle name="标题 2 5 2 10" xfId="13891"/>
    <cellStyle name="标题 2 5 2 11" xfId="13892"/>
    <cellStyle name="标题 2 5 2 12" xfId="13893"/>
    <cellStyle name="标题 2 5 2 13" xfId="13894"/>
    <cellStyle name="标题 2 5 2 14" xfId="13895"/>
    <cellStyle name="标题 2 5 2 15" xfId="13896"/>
    <cellStyle name="标题 2 5 2 16" xfId="13897"/>
    <cellStyle name="标题 2 5 2 17" xfId="13898"/>
    <cellStyle name="标题 2 5 2 18" xfId="13899"/>
    <cellStyle name="标题 2 5 2 19" xfId="13900"/>
    <cellStyle name="标题 2 5 2 2" xfId="13901"/>
    <cellStyle name="标题 2 5 2 20" xfId="13902"/>
    <cellStyle name="标题 2 5 2 21" xfId="13903"/>
    <cellStyle name="标题 2 5 2 22" xfId="13904"/>
    <cellStyle name="标题 2 5 2 23" xfId="13905"/>
    <cellStyle name="标题 2 5 2 24" xfId="13906"/>
    <cellStyle name="标题 2 5 2 25" xfId="13907"/>
    <cellStyle name="标题 2 5 2 26" xfId="13908"/>
    <cellStyle name="标题 2 5 2 27" xfId="13909"/>
    <cellStyle name="标题 2 5 2 3" xfId="13910"/>
    <cellStyle name="标题 2 5 2 4" xfId="13911"/>
    <cellStyle name="标题 2 5 2 5" xfId="13912"/>
    <cellStyle name="标题 2 5 2 6" xfId="13913"/>
    <cellStyle name="标题 2 5 2 7" xfId="13914"/>
    <cellStyle name="标题 2 5 2 8" xfId="13915"/>
    <cellStyle name="标题 2 5 2 9" xfId="13916"/>
    <cellStyle name="标题 2 5 20" xfId="13917"/>
    <cellStyle name="标题 2 5 21" xfId="13918"/>
    <cellStyle name="标题 2 5 22" xfId="13919"/>
    <cellStyle name="标题 2 5 23" xfId="13920"/>
    <cellStyle name="标题 2 5 24" xfId="13921"/>
    <cellStyle name="标题 2 5 25" xfId="13922"/>
    <cellStyle name="标题 2 5 26" xfId="13923"/>
    <cellStyle name="标题 2 5 27" xfId="13924"/>
    <cellStyle name="标题 2 5 28" xfId="13925"/>
    <cellStyle name="标题 2 5 3" xfId="13926"/>
    <cellStyle name="标题 2 5 4" xfId="13927"/>
    <cellStyle name="标题 2 5 5" xfId="13928"/>
    <cellStyle name="标题 2 5 6" xfId="13929"/>
    <cellStyle name="标题 2 5 7" xfId="13930"/>
    <cellStyle name="标题 2 5 8" xfId="13931"/>
    <cellStyle name="标题 2 5 9" xfId="13932"/>
    <cellStyle name="标题 2 6" xfId="13933"/>
    <cellStyle name="标题 2 6 10" xfId="13934"/>
    <cellStyle name="标题 2 6 11" xfId="13935"/>
    <cellStyle name="标题 2 6 12" xfId="13936"/>
    <cellStyle name="标题 2 6 13" xfId="13937"/>
    <cellStyle name="标题 2 6 14" xfId="13938"/>
    <cellStyle name="标题 2 6 15" xfId="13939"/>
    <cellStyle name="标题 2 6 16" xfId="13940"/>
    <cellStyle name="标题 2 6 17" xfId="13941"/>
    <cellStyle name="标题 2 6 18" xfId="13942"/>
    <cellStyle name="标题 2 6 19" xfId="13943"/>
    <cellStyle name="标题 2 6 2" xfId="13944"/>
    <cellStyle name="标题 2 6 2 10" xfId="13945"/>
    <cellStyle name="标题 2 6 2 11" xfId="13946"/>
    <cellStyle name="标题 2 6 2 12" xfId="13947"/>
    <cellStyle name="标题 2 6 2 13" xfId="13948"/>
    <cellStyle name="标题 2 6 2 14" xfId="13949"/>
    <cellStyle name="标题 2 6 2 15" xfId="13950"/>
    <cellStyle name="标题 2 6 2 16" xfId="13951"/>
    <cellStyle name="标题 2 6 2 17" xfId="13952"/>
    <cellStyle name="标题 2 6 2 18" xfId="13953"/>
    <cellStyle name="标题 2 6 2 19" xfId="13954"/>
    <cellStyle name="标题 2 6 2 2" xfId="13955"/>
    <cellStyle name="标题 2 6 2 20" xfId="13956"/>
    <cellStyle name="标题 2 6 2 21" xfId="13957"/>
    <cellStyle name="标题 2 6 2 22" xfId="13958"/>
    <cellStyle name="标题 2 6 2 23" xfId="13959"/>
    <cellStyle name="标题 2 6 2 24" xfId="13960"/>
    <cellStyle name="标题 2 6 2 25" xfId="13961"/>
    <cellStyle name="标题 2 6 2 26" xfId="13962"/>
    <cellStyle name="标题 2 6 2 27" xfId="13963"/>
    <cellStyle name="标题 2 6 2 3" xfId="13964"/>
    <cellStyle name="标题 2 6 2 4" xfId="13965"/>
    <cellStyle name="标题 2 6 2 5" xfId="13966"/>
    <cellStyle name="标题 2 6 2 6" xfId="13967"/>
    <cellStyle name="标题 2 6 2 7" xfId="13968"/>
    <cellStyle name="标题 2 6 2 8" xfId="13969"/>
    <cellStyle name="标题 2 6 2 9" xfId="13970"/>
    <cellStyle name="标题 2 6 20" xfId="13971"/>
    <cellStyle name="标题 2 6 21" xfId="13972"/>
    <cellStyle name="标题 2 6 22" xfId="13973"/>
    <cellStyle name="标题 2 6 23" xfId="13974"/>
    <cellStyle name="标题 2 6 24" xfId="13975"/>
    <cellStyle name="标题 2 6 25" xfId="13976"/>
    <cellStyle name="标题 2 6 26" xfId="13977"/>
    <cellStyle name="标题 2 6 27" xfId="13978"/>
    <cellStyle name="标题 2 6 28" xfId="13979"/>
    <cellStyle name="标题 2 6 3" xfId="13980"/>
    <cellStyle name="标题 2 6 4" xfId="13981"/>
    <cellStyle name="标题 2 6 5" xfId="13982"/>
    <cellStyle name="标题 2 6 6" xfId="13983"/>
    <cellStyle name="标题 2 6 7" xfId="13984"/>
    <cellStyle name="标题 2 6 8" xfId="13985"/>
    <cellStyle name="标题 2 6 9" xfId="13986"/>
    <cellStyle name="标题 2 7" xfId="13987"/>
    <cellStyle name="标题 2 7 10" xfId="13988"/>
    <cellStyle name="标题 2 7 11" xfId="13989"/>
    <cellStyle name="标题 2 7 12" xfId="13990"/>
    <cellStyle name="标题 2 7 13" xfId="13991"/>
    <cellStyle name="标题 2 7 14" xfId="13992"/>
    <cellStyle name="标题 2 7 15" xfId="13993"/>
    <cellStyle name="标题 2 7 16" xfId="13994"/>
    <cellStyle name="标题 2 7 17" xfId="13995"/>
    <cellStyle name="标题 2 7 18" xfId="13996"/>
    <cellStyle name="标题 2 7 19" xfId="13997"/>
    <cellStyle name="标题 2 7 2" xfId="13998"/>
    <cellStyle name="标题 2 7 2 10" xfId="13999"/>
    <cellStyle name="标题 2 7 2 11" xfId="14000"/>
    <cellStyle name="标题 2 7 2 12" xfId="14001"/>
    <cellStyle name="标题 2 7 2 13" xfId="14002"/>
    <cellStyle name="标题 2 7 2 14" xfId="14003"/>
    <cellStyle name="标题 2 7 2 15" xfId="14004"/>
    <cellStyle name="标题 2 7 2 16" xfId="14005"/>
    <cellStyle name="标题 2 7 2 17" xfId="14006"/>
    <cellStyle name="标题 2 7 2 18" xfId="14007"/>
    <cellStyle name="标题 2 7 2 19" xfId="14008"/>
    <cellStyle name="标题 2 7 2 2" xfId="14009"/>
    <cellStyle name="标题 2 7 2 20" xfId="14010"/>
    <cellStyle name="标题 2 7 2 21" xfId="14011"/>
    <cellStyle name="标题 2 7 2 22" xfId="14012"/>
    <cellStyle name="标题 2 7 2 23" xfId="14013"/>
    <cellStyle name="标题 2 7 2 24" xfId="14014"/>
    <cellStyle name="标题 2 7 2 25" xfId="14015"/>
    <cellStyle name="标题 2 7 2 26" xfId="14016"/>
    <cellStyle name="标题 2 7 2 27" xfId="14017"/>
    <cellStyle name="标题 2 7 2 3" xfId="14018"/>
    <cellStyle name="标题 2 7 2 4" xfId="14019"/>
    <cellStyle name="标题 2 7 2 5" xfId="14020"/>
    <cellStyle name="标题 2 7 2 6" xfId="14021"/>
    <cellStyle name="标题 2 7 2 7" xfId="14022"/>
    <cellStyle name="标题 2 7 2 8" xfId="14023"/>
    <cellStyle name="标题 2 7 2 9" xfId="14024"/>
    <cellStyle name="标题 2 7 20" xfId="14025"/>
    <cellStyle name="标题 2 7 21" xfId="14026"/>
    <cellStyle name="标题 2 7 22" xfId="14027"/>
    <cellStyle name="标题 2 7 23" xfId="14028"/>
    <cellStyle name="标题 2 7 24" xfId="14029"/>
    <cellStyle name="标题 2 7 25" xfId="14030"/>
    <cellStyle name="标题 2 7 26" xfId="14031"/>
    <cellStyle name="标题 2 7 27" xfId="14032"/>
    <cellStyle name="标题 2 7 28" xfId="14033"/>
    <cellStyle name="标题 2 7 3" xfId="14034"/>
    <cellStyle name="标题 2 7 4" xfId="14035"/>
    <cellStyle name="标题 2 7 5" xfId="14036"/>
    <cellStyle name="标题 2 7 6" xfId="14037"/>
    <cellStyle name="标题 2 7 7" xfId="14038"/>
    <cellStyle name="标题 2 7 8" xfId="14039"/>
    <cellStyle name="标题 2 7 9" xfId="14040"/>
    <cellStyle name="标题 2 8" xfId="14041"/>
    <cellStyle name="标题 2 8 10" xfId="14042"/>
    <cellStyle name="标题 2 8 11" xfId="14043"/>
    <cellStyle name="标题 2 8 12" xfId="14044"/>
    <cellStyle name="标题 2 8 13" xfId="14045"/>
    <cellStyle name="标题 2 8 14" xfId="14046"/>
    <cellStyle name="标题 2 8 15" xfId="14047"/>
    <cellStyle name="标题 2 8 16" xfId="14048"/>
    <cellStyle name="标题 2 8 17" xfId="14049"/>
    <cellStyle name="标题 2 8 18" xfId="14050"/>
    <cellStyle name="标题 2 8 19" xfId="14051"/>
    <cellStyle name="标题 2 8 2" xfId="14052"/>
    <cellStyle name="标题 2 8 2 10" xfId="14053"/>
    <cellStyle name="标题 2 8 2 11" xfId="14054"/>
    <cellStyle name="标题 2 8 2 12" xfId="14055"/>
    <cellStyle name="标题 2 8 2 13" xfId="14056"/>
    <cellStyle name="标题 2 8 2 14" xfId="14057"/>
    <cellStyle name="标题 2 8 2 15" xfId="14058"/>
    <cellStyle name="标题 2 8 2 16" xfId="14059"/>
    <cellStyle name="标题 2 8 2 17" xfId="14060"/>
    <cellStyle name="标题 2 8 2 18" xfId="14061"/>
    <cellStyle name="标题 2 8 2 19" xfId="14062"/>
    <cellStyle name="标题 2 8 2 2" xfId="14063"/>
    <cellStyle name="标题 2 8 2 20" xfId="14064"/>
    <cellStyle name="标题 2 8 2 21" xfId="14065"/>
    <cellStyle name="标题 2 8 2 22" xfId="14066"/>
    <cellStyle name="标题 2 8 2 23" xfId="14067"/>
    <cellStyle name="标题 2 8 2 24" xfId="14068"/>
    <cellStyle name="标题 2 8 2 25" xfId="14069"/>
    <cellStyle name="标题 2 8 2 26" xfId="14070"/>
    <cellStyle name="标题 2 8 2 27" xfId="14071"/>
    <cellStyle name="标题 2 8 2 3" xfId="14072"/>
    <cellStyle name="标题 2 8 2 4" xfId="14073"/>
    <cellStyle name="标题 2 8 2 5" xfId="14074"/>
    <cellStyle name="标题 2 8 2 6" xfId="14075"/>
    <cellStyle name="标题 2 8 2 7" xfId="14076"/>
    <cellStyle name="标题 2 8 2 8" xfId="14077"/>
    <cellStyle name="标题 2 8 2 9" xfId="14078"/>
    <cellStyle name="标题 2 8 20" xfId="14079"/>
    <cellStyle name="标题 2 8 21" xfId="14080"/>
    <cellStyle name="标题 2 8 22" xfId="14081"/>
    <cellStyle name="标题 2 8 23" xfId="14082"/>
    <cellStyle name="标题 2 8 24" xfId="14083"/>
    <cellStyle name="标题 2 8 25" xfId="14084"/>
    <cellStyle name="标题 2 8 26" xfId="14085"/>
    <cellStyle name="标题 2 8 27" xfId="14086"/>
    <cellStyle name="标题 2 8 28" xfId="14087"/>
    <cellStyle name="标题 2 8 3" xfId="14088"/>
    <cellStyle name="标题 2 8 4" xfId="14089"/>
    <cellStyle name="标题 2 8 5" xfId="14090"/>
    <cellStyle name="标题 2 8 6" xfId="14091"/>
    <cellStyle name="标题 2 8 7" xfId="14092"/>
    <cellStyle name="标题 2 8 8" xfId="14093"/>
    <cellStyle name="标题 2 8 9" xfId="14094"/>
    <cellStyle name="标题 2 9" xfId="14095"/>
    <cellStyle name="标题 2 9 10" xfId="14096"/>
    <cellStyle name="标题 2 9 11" xfId="14097"/>
    <cellStyle name="标题 2 9 12" xfId="14098"/>
    <cellStyle name="标题 2 9 13" xfId="14099"/>
    <cellStyle name="标题 2 9 14" xfId="14100"/>
    <cellStyle name="标题 2 9 15" xfId="14101"/>
    <cellStyle name="标题 2 9 16" xfId="14102"/>
    <cellStyle name="标题 2 9 17" xfId="14103"/>
    <cellStyle name="标题 2 9 18" xfId="14104"/>
    <cellStyle name="标题 2 9 19" xfId="14105"/>
    <cellStyle name="标题 2 9 2" xfId="14106"/>
    <cellStyle name="标题 2 9 2 10" xfId="14107"/>
    <cellStyle name="标题 2 9 2 11" xfId="14108"/>
    <cellStyle name="标题 2 9 2 12" xfId="14109"/>
    <cellStyle name="标题 2 9 2 13" xfId="14110"/>
    <cellStyle name="标题 2 9 2 14" xfId="14111"/>
    <cellStyle name="标题 2 9 2 15" xfId="14112"/>
    <cellStyle name="标题 2 9 2 16" xfId="14113"/>
    <cellStyle name="标题 2 9 2 17" xfId="14114"/>
    <cellStyle name="标题 2 9 2 18" xfId="14115"/>
    <cellStyle name="标题 2 9 2 19" xfId="14116"/>
    <cellStyle name="标题 2 9 2 2" xfId="14117"/>
    <cellStyle name="标题 2 9 2 20" xfId="14118"/>
    <cellStyle name="标题 2 9 2 21" xfId="14119"/>
    <cellStyle name="标题 2 9 2 22" xfId="14120"/>
    <cellStyle name="标题 2 9 2 23" xfId="14121"/>
    <cellStyle name="标题 2 9 2 24" xfId="14122"/>
    <cellStyle name="标题 2 9 2 25" xfId="14123"/>
    <cellStyle name="标题 2 9 2 26" xfId="14124"/>
    <cellStyle name="标题 2 9 2 27" xfId="14125"/>
    <cellStyle name="标题 2 9 2 3" xfId="14126"/>
    <cellStyle name="标题 2 9 2 4" xfId="14127"/>
    <cellStyle name="标题 2 9 2 5" xfId="14128"/>
    <cellStyle name="标题 2 9 2 6" xfId="14129"/>
    <cellStyle name="标题 2 9 2 7" xfId="14130"/>
    <cellStyle name="标题 2 9 2 8" xfId="14131"/>
    <cellStyle name="标题 2 9 2 9" xfId="14132"/>
    <cellStyle name="标题 2 9 20" xfId="14133"/>
    <cellStyle name="标题 2 9 21" xfId="14134"/>
    <cellStyle name="标题 2 9 22" xfId="14135"/>
    <cellStyle name="标题 2 9 23" xfId="14136"/>
    <cellStyle name="标题 2 9 24" xfId="14137"/>
    <cellStyle name="标题 2 9 25" xfId="14138"/>
    <cellStyle name="标题 2 9 26" xfId="14139"/>
    <cellStyle name="标题 2 9 27" xfId="14140"/>
    <cellStyle name="标题 2 9 28" xfId="14141"/>
    <cellStyle name="标题 2 9 3" xfId="14142"/>
    <cellStyle name="标题 2 9 4" xfId="14143"/>
    <cellStyle name="标题 2 9 5" xfId="14144"/>
    <cellStyle name="标题 2 9 6" xfId="14145"/>
    <cellStyle name="标题 2 9 7" xfId="14146"/>
    <cellStyle name="标题 2 9 8" xfId="14147"/>
    <cellStyle name="标题 2 9 9" xfId="14148"/>
    <cellStyle name="标题 20" xfId="14149"/>
    <cellStyle name="标题 21" xfId="14150"/>
    <cellStyle name="标题 22" xfId="14151"/>
    <cellStyle name="标题 23" xfId="14152"/>
    <cellStyle name="标题 24" xfId="14153"/>
    <cellStyle name="标题 25" xfId="14154"/>
    <cellStyle name="标题 26" xfId="14155"/>
    <cellStyle name="标题 27" xfId="14156"/>
    <cellStyle name="标题 28" xfId="14157"/>
    <cellStyle name="标题 29" xfId="14158"/>
    <cellStyle name="标题 3" xfId="14159" builtinId="18" customBuiltin="1"/>
    <cellStyle name="标题 3 10" xfId="14160"/>
    <cellStyle name="标题 3 10 10" xfId="14161"/>
    <cellStyle name="标题 3 10 11" xfId="14162"/>
    <cellStyle name="标题 3 10 12" xfId="14163"/>
    <cellStyle name="标题 3 10 13" xfId="14164"/>
    <cellStyle name="标题 3 10 14" xfId="14165"/>
    <cellStyle name="标题 3 10 15" xfId="14166"/>
    <cellStyle name="标题 3 10 16" xfId="14167"/>
    <cellStyle name="标题 3 10 17" xfId="14168"/>
    <cellStyle name="标题 3 10 18" xfId="14169"/>
    <cellStyle name="标题 3 10 19" xfId="14170"/>
    <cellStyle name="标题 3 10 2" xfId="14171"/>
    <cellStyle name="标题 3 10 2 10" xfId="14172"/>
    <cellStyle name="标题 3 10 2 11" xfId="14173"/>
    <cellStyle name="标题 3 10 2 12" xfId="14174"/>
    <cellStyle name="标题 3 10 2 13" xfId="14175"/>
    <cellStyle name="标题 3 10 2 14" xfId="14176"/>
    <cellStyle name="标题 3 10 2 15" xfId="14177"/>
    <cellStyle name="标题 3 10 2 16" xfId="14178"/>
    <cellStyle name="标题 3 10 2 17" xfId="14179"/>
    <cellStyle name="标题 3 10 2 18" xfId="14180"/>
    <cellStyle name="标题 3 10 2 19" xfId="14181"/>
    <cellStyle name="标题 3 10 2 2" xfId="14182"/>
    <cellStyle name="标题 3 10 2 20" xfId="14183"/>
    <cellStyle name="标题 3 10 2 21" xfId="14184"/>
    <cellStyle name="标题 3 10 2 22" xfId="14185"/>
    <cellStyle name="标题 3 10 2 23" xfId="14186"/>
    <cellStyle name="标题 3 10 2 24" xfId="14187"/>
    <cellStyle name="标题 3 10 2 25" xfId="14188"/>
    <cellStyle name="标题 3 10 2 26" xfId="14189"/>
    <cellStyle name="标题 3 10 2 27" xfId="14190"/>
    <cellStyle name="标题 3 10 2 3" xfId="14191"/>
    <cellStyle name="标题 3 10 2 4" xfId="14192"/>
    <cellStyle name="标题 3 10 2 5" xfId="14193"/>
    <cellStyle name="标题 3 10 2 6" xfId="14194"/>
    <cellStyle name="标题 3 10 2 7" xfId="14195"/>
    <cellStyle name="标题 3 10 2 8" xfId="14196"/>
    <cellStyle name="标题 3 10 2 9" xfId="14197"/>
    <cellStyle name="标题 3 10 20" xfId="14198"/>
    <cellStyle name="标题 3 10 21" xfId="14199"/>
    <cellStyle name="标题 3 10 22" xfId="14200"/>
    <cellStyle name="标题 3 10 23" xfId="14201"/>
    <cellStyle name="标题 3 10 24" xfId="14202"/>
    <cellStyle name="标题 3 10 25" xfId="14203"/>
    <cellStyle name="标题 3 10 26" xfId="14204"/>
    <cellStyle name="标题 3 10 27" xfId="14205"/>
    <cellStyle name="标题 3 10 28" xfId="14206"/>
    <cellStyle name="标题 3 10 3" xfId="14207"/>
    <cellStyle name="标题 3 10 4" xfId="14208"/>
    <cellStyle name="标题 3 10 5" xfId="14209"/>
    <cellStyle name="标题 3 10 6" xfId="14210"/>
    <cellStyle name="标题 3 10 7" xfId="14211"/>
    <cellStyle name="标题 3 10 8" xfId="14212"/>
    <cellStyle name="标题 3 10 9" xfId="14213"/>
    <cellStyle name="标题 3 11" xfId="14214"/>
    <cellStyle name="标题 3 11 10" xfId="14215"/>
    <cellStyle name="标题 3 11 11" xfId="14216"/>
    <cellStyle name="标题 3 11 12" xfId="14217"/>
    <cellStyle name="标题 3 11 13" xfId="14218"/>
    <cellStyle name="标题 3 11 14" xfId="14219"/>
    <cellStyle name="标题 3 11 15" xfId="14220"/>
    <cellStyle name="标题 3 11 16" xfId="14221"/>
    <cellStyle name="标题 3 11 17" xfId="14222"/>
    <cellStyle name="标题 3 11 18" xfId="14223"/>
    <cellStyle name="标题 3 11 19" xfId="14224"/>
    <cellStyle name="标题 3 11 2" xfId="14225"/>
    <cellStyle name="标题 3 11 2 10" xfId="14226"/>
    <cellStyle name="标题 3 11 2 11" xfId="14227"/>
    <cellStyle name="标题 3 11 2 12" xfId="14228"/>
    <cellStyle name="标题 3 11 2 13" xfId="14229"/>
    <cellStyle name="标题 3 11 2 14" xfId="14230"/>
    <cellStyle name="标题 3 11 2 15" xfId="14231"/>
    <cellStyle name="标题 3 11 2 16" xfId="14232"/>
    <cellStyle name="标题 3 11 2 17" xfId="14233"/>
    <cellStyle name="标题 3 11 2 18" xfId="14234"/>
    <cellStyle name="标题 3 11 2 19" xfId="14235"/>
    <cellStyle name="标题 3 11 2 2" xfId="14236"/>
    <cellStyle name="标题 3 11 2 20" xfId="14237"/>
    <cellStyle name="标题 3 11 2 21" xfId="14238"/>
    <cellStyle name="标题 3 11 2 22" xfId="14239"/>
    <cellStyle name="标题 3 11 2 23" xfId="14240"/>
    <cellStyle name="标题 3 11 2 24" xfId="14241"/>
    <cellStyle name="标题 3 11 2 25" xfId="14242"/>
    <cellStyle name="标题 3 11 2 26" xfId="14243"/>
    <cellStyle name="标题 3 11 2 27" xfId="14244"/>
    <cellStyle name="标题 3 11 2 3" xfId="14245"/>
    <cellStyle name="标题 3 11 2 4" xfId="14246"/>
    <cellStyle name="标题 3 11 2 5" xfId="14247"/>
    <cellStyle name="标题 3 11 2 6" xfId="14248"/>
    <cellStyle name="标题 3 11 2 7" xfId="14249"/>
    <cellStyle name="标题 3 11 2 8" xfId="14250"/>
    <cellStyle name="标题 3 11 2 9" xfId="14251"/>
    <cellStyle name="标题 3 11 20" xfId="14252"/>
    <cellStyle name="标题 3 11 21" xfId="14253"/>
    <cellStyle name="标题 3 11 22" xfId="14254"/>
    <cellStyle name="标题 3 11 23" xfId="14255"/>
    <cellStyle name="标题 3 11 24" xfId="14256"/>
    <cellStyle name="标题 3 11 25" xfId="14257"/>
    <cellStyle name="标题 3 11 26" xfId="14258"/>
    <cellStyle name="标题 3 11 27" xfId="14259"/>
    <cellStyle name="标题 3 11 28" xfId="14260"/>
    <cellStyle name="标题 3 11 3" xfId="14261"/>
    <cellStyle name="标题 3 11 4" xfId="14262"/>
    <cellStyle name="标题 3 11 5" xfId="14263"/>
    <cellStyle name="标题 3 11 6" xfId="14264"/>
    <cellStyle name="标题 3 11 7" xfId="14265"/>
    <cellStyle name="标题 3 11 8" xfId="14266"/>
    <cellStyle name="标题 3 11 9" xfId="14267"/>
    <cellStyle name="标题 3 12" xfId="14268"/>
    <cellStyle name="标题 3 13" xfId="14269"/>
    <cellStyle name="标题 3 14" xfId="14270"/>
    <cellStyle name="标题 3 15" xfId="14271"/>
    <cellStyle name="标题 3 16" xfId="14272"/>
    <cellStyle name="标题 3 17" xfId="14273"/>
    <cellStyle name="标题 3 18" xfId="14274"/>
    <cellStyle name="标题 3 19" xfId="14275"/>
    <cellStyle name="标题 3 2" xfId="14276"/>
    <cellStyle name="标题 3 2 10" xfId="14277"/>
    <cellStyle name="标题 3 2 11" xfId="14278"/>
    <cellStyle name="标题 3 2 12" xfId="14279"/>
    <cellStyle name="标题 3 2 13" xfId="14280"/>
    <cellStyle name="标题 3 2 14" xfId="14281"/>
    <cellStyle name="标题 3 2 15" xfId="14282"/>
    <cellStyle name="标题 3 2 16" xfId="14283"/>
    <cellStyle name="标题 3 2 17" xfId="14284"/>
    <cellStyle name="标题 3 2 18" xfId="14285"/>
    <cellStyle name="标题 3 2 19" xfId="14286"/>
    <cellStyle name="标题 3 2 2" xfId="14287"/>
    <cellStyle name="标题 3 2 2 10" xfId="14288"/>
    <cellStyle name="标题 3 2 2 11" xfId="14289"/>
    <cellStyle name="标题 3 2 2 12" xfId="14290"/>
    <cellStyle name="标题 3 2 2 13" xfId="14291"/>
    <cellStyle name="标题 3 2 2 14" xfId="14292"/>
    <cellStyle name="标题 3 2 2 15" xfId="14293"/>
    <cellStyle name="标题 3 2 2 16" xfId="14294"/>
    <cellStyle name="标题 3 2 2 17" xfId="14295"/>
    <cellStyle name="标题 3 2 2 18" xfId="14296"/>
    <cellStyle name="标题 3 2 2 19" xfId="14297"/>
    <cellStyle name="标题 3 2 2 2" xfId="14298"/>
    <cellStyle name="标题 3 2 2 2 10" xfId="14299"/>
    <cellStyle name="标题 3 2 2 2 11" xfId="14300"/>
    <cellStyle name="标题 3 2 2 2 12" xfId="14301"/>
    <cellStyle name="标题 3 2 2 2 13" xfId="14302"/>
    <cellStyle name="标题 3 2 2 2 14" xfId="14303"/>
    <cellStyle name="标题 3 2 2 2 15" xfId="14304"/>
    <cellStyle name="标题 3 2 2 2 16" xfId="14305"/>
    <cellStyle name="标题 3 2 2 2 17" xfId="14306"/>
    <cellStyle name="标题 3 2 2 2 18" xfId="14307"/>
    <cellStyle name="标题 3 2 2 2 19" xfId="14308"/>
    <cellStyle name="标题 3 2 2 2 2" xfId="14309"/>
    <cellStyle name="标题 3 2 2 2 20" xfId="14310"/>
    <cellStyle name="标题 3 2 2 2 21" xfId="14311"/>
    <cellStyle name="标题 3 2 2 2 22" xfId="14312"/>
    <cellStyle name="标题 3 2 2 2 23" xfId="14313"/>
    <cellStyle name="标题 3 2 2 2 24" xfId="14314"/>
    <cellStyle name="标题 3 2 2 2 25" xfId="14315"/>
    <cellStyle name="标题 3 2 2 2 26" xfId="14316"/>
    <cellStyle name="标题 3 2 2 2 27" xfId="14317"/>
    <cellStyle name="标题 3 2 2 2 3" xfId="14318"/>
    <cellStyle name="标题 3 2 2 2 4" xfId="14319"/>
    <cellStyle name="标题 3 2 2 2 5" xfId="14320"/>
    <cellStyle name="标题 3 2 2 2 6" xfId="14321"/>
    <cellStyle name="标题 3 2 2 2 7" xfId="14322"/>
    <cellStyle name="标题 3 2 2 2 8" xfId="14323"/>
    <cellStyle name="标题 3 2 2 2 9" xfId="14324"/>
    <cellStyle name="标题 3 2 2 20" xfId="14325"/>
    <cellStyle name="标题 3 2 2 21" xfId="14326"/>
    <cellStyle name="标题 3 2 2 22" xfId="14327"/>
    <cellStyle name="标题 3 2 2 23" xfId="14328"/>
    <cellStyle name="标题 3 2 2 24" xfId="14329"/>
    <cellStyle name="标题 3 2 2 25" xfId="14330"/>
    <cellStyle name="标题 3 2 2 26" xfId="14331"/>
    <cellStyle name="标题 3 2 2 27" xfId="14332"/>
    <cellStyle name="标题 3 2 2 28" xfId="14333"/>
    <cellStyle name="标题 3 2 2 3" xfId="14334"/>
    <cellStyle name="标题 3 2 2 4" xfId="14335"/>
    <cellStyle name="标题 3 2 2 5" xfId="14336"/>
    <cellStyle name="标题 3 2 2 6" xfId="14337"/>
    <cellStyle name="标题 3 2 2 7" xfId="14338"/>
    <cellStyle name="标题 3 2 2 8" xfId="14339"/>
    <cellStyle name="标题 3 2 2 9" xfId="14340"/>
    <cellStyle name="标题 3 2 20" xfId="14341"/>
    <cellStyle name="标题 3 2 21" xfId="14342"/>
    <cellStyle name="标题 3 2 22" xfId="14343"/>
    <cellStyle name="标题 3 2 23" xfId="14344"/>
    <cellStyle name="标题 3 2 24" xfId="14345"/>
    <cellStyle name="标题 3 2 25" xfId="14346"/>
    <cellStyle name="标题 3 2 26" xfId="14347"/>
    <cellStyle name="标题 3 2 27" xfId="14348"/>
    <cellStyle name="标题 3 2 28" xfId="14349"/>
    <cellStyle name="标题 3 2 29" xfId="14350"/>
    <cellStyle name="标题 3 2 3" xfId="14351"/>
    <cellStyle name="标题 3 2 3 10" xfId="14352"/>
    <cellStyle name="标题 3 2 3 11" xfId="14353"/>
    <cellStyle name="标题 3 2 3 12" xfId="14354"/>
    <cellStyle name="标题 3 2 3 13" xfId="14355"/>
    <cellStyle name="标题 3 2 3 14" xfId="14356"/>
    <cellStyle name="标题 3 2 3 15" xfId="14357"/>
    <cellStyle name="标题 3 2 3 16" xfId="14358"/>
    <cellStyle name="标题 3 2 3 17" xfId="14359"/>
    <cellStyle name="标题 3 2 3 18" xfId="14360"/>
    <cellStyle name="标题 3 2 3 19" xfId="14361"/>
    <cellStyle name="标题 3 2 3 2" xfId="14362"/>
    <cellStyle name="标题 3 2 3 2 10" xfId="14363"/>
    <cellStyle name="标题 3 2 3 2 11" xfId="14364"/>
    <cellStyle name="标题 3 2 3 2 12" xfId="14365"/>
    <cellStyle name="标题 3 2 3 2 13" xfId="14366"/>
    <cellStyle name="标题 3 2 3 2 14" xfId="14367"/>
    <cellStyle name="标题 3 2 3 2 15" xfId="14368"/>
    <cellStyle name="标题 3 2 3 2 16" xfId="14369"/>
    <cellStyle name="标题 3 2 3 2 17" xfId="14370"/>
    <cellStyle name="标题 3 2 3 2 18" xfId="14371"/>
    <cellStyle name="标题 3 2 3 2 19" xfId="14372"/>
    <cellStyle name="标题 3 2 3 2 2" xfId="14373"/>
    <cellStyle name="标题 3 2 3 2 20" xfId="14374"/>
    <cellStyle name="标题 3 2 3 2 21" xfId="14375"/>
    <cellStyle name="标题 3 2 3 2 22" xfId="14376"/>
    <cellStyle name="标题 3 2 3 2 23" xfId="14377"/>
    <cellStyle name="标题 3 2 3 2 24" xfId="14378"/>
    <cellStyle name="标题 3 2 3 2 25" xfId="14379"/>
    <cellStyle name="标题 3 2 3 2 26" xfId="14380"/>
    <cellStyle name="标题 3 2 3 2 27" xfId="14381"/>
    <cellStyle name="标题 3 2 3 2 3" xfId="14382"/>
    <cellStyle name="标题 3 2 3 2 4" xfId="14383"/>
    <cellStyle name="标题 3 2 3 2 5" xfId="14384"/>
    <cellStyle name="标题 3 2 3 2 6" xfId="14385"/>
    <cellStyle name="标题 3 2 3 2 7" xfId="14386"/>
    <cellStyle name="标题 3 2 3 2 8" xfId="14387"/>
    <cellStyle name="标题 3 2 3 2 9" xfId="14388"/>
    <cellStyle name="标题 3 2 3 20" xfId="14389"/>
    <cellStyle name="标题 3 2 3 21" xfId="14390"/>
    <cellStyle name="标题 3 2 3 22" xfId="14391"/>
    <cellStyle name="标题 3 2 3 23" xfId="14392"/>
    <cellStyle name="标题 3 2 3 24" xfId="14393"/>
    <cellStyle name="标题 3 2 3 25" xfId="14394"/>
    <cellStyle name="标题 3 2 3 26" xfId="14395"/>
    <cellStyle name="标题 3 2 3 27" xfId="14396"/>
    <cellStyle name="标题 3 2 3 28" xfId="14397"/>
    <cellStyle name="标题 3 2 3 3" xfId="14398"/>
    <cellStyle name="标题 3 2 3 4" xfId="14399"/>
    <cellStyle name="标题 3 2 3 5" xfId="14400"/>
    <cellStyle name="标题 3 2 3 6" xfId="14401"/>
    <cellStyle name="标题 3 2 3 7" xfId="14402"/>
    <cellStyle name="标题 3 2 3 8" xfId="14403"/>
    <cellStyle name="标题 3 2 3 9" xfId="14404"/>
    <cellStyle name="标题 3 2 30" xfId="14405"/>
    <cellStyle name="标题 3 2 31" xfId="14406"/>
    <cellStyle name="标题 3 2 32" xfId="14407"/>
    <cellStyle name="标题 3 2 33" xfId="14408"/>
    <cellStyle name="标题 3 2 4" xfId="14409"/>
    <cellStyle name="标题 3 2 4 10" xfId="14410"/>
    <cellStyle name="标题 3 2 4 11" xfId="14411"/>
    <cellStyle name="标题 3 2 4 12" xfId="14412"/>
    <cellStyle name="标题 3 2 4 13" xfId="14413"/>
    <cellStyle name="标题 3 2 4 14" xfId="14414"/>
    <cellStyle name="标题 3 2 4 15" xfId="14415"/>
    <cellStyle name="标题 3 2 4 16" xfId="14416"/>
    <cellStyle name="标题 3 2 4 17" xfId="14417"/>
    <cellStyle name="标题 3 2 4 18" xfId="14418"/>
    <cellStyle name="标题 3 2 4 19" xfId="14419"/>
    <cellStyle name="标题 3 2 4 2" xfId="14420"/>
    <cellStyle name="标题 3 2 4 20" xfId="14421"/>
    <cellStyle name="标题 3 2 4 21" xfId="14422"/>
    <cellStyle name="标题 3 2 4 22" xfId="14423"/>
    <cellStyle name="标题 3 2 4 23" xfId="14424"/>
    <cellStyle name="标题 3 2 4 24" xfId="14425"/>
    <cellStyle name="标题 3 2 4 25" xfId="14426"/>
    <cellStyle name="标题 3 2 4 26" xfId="14427"/>
    <cellStyle name="标题 3 2 4 27" xfId="14428"/>
    <cellStyle name="标题 3 2 4 3" xfId="14429"/>
    <cellStyle name="标题 3 2 4 4" xfId="14430"/>
    <cellStyle name="标题 3 2 4 5" xfId="14431"/>
    <cellStyle name="标题 3 2 4 6" xfId="14432"/>
    <cellStyle name="标题 3 2 4 7" xfId="14433"/>
    <cellStyle name="标题 3 2 4 8" xfId="14434"/>
    <cellStyle name="标题 3 2 4 9" xfId="14435"/>
    <cellStyle name="标题 3 2 5" xfId="14436"/>
    <cellStyle name="标题 3 2 6" xfId="14437"/>
    <cellStyle name="标题 3 2 7" xfId="14438"/>
    <cellStyle name="标题 3 2 8" xfId="14439"/>
    <cellStyle name="标题 3 2 9" xfId="14440"/>
    <cellStyle name="标题 3 20" xfId="14441"/>
    <cellStyle name="标题 3 21" xfId="14442"/>
    <cellStyle name="标题 3 22" xfId="14443"/>
    <cellStyle name="标题 3 23" xfId="14444"/>
    <cellStyle name="标题 3 24" xfId="14445"/>
    <cellStyle name="标题 3 25" xfId="14446"/>
    <cellStyle name="标题 3 26" xfId="14447"/>
    <cellStyle name="标题 3 27" xfId="14448"/>
    <cellStyle name="标题 3 28" xfId="14449"/>
    <cellStyle name="标题 3 29" xfId="14450"/>
    <cellStyle name="标题 3 3" xfId="14451"/>
    <cellStyle name="标题 3 3 10" xfId="14452"/>
    <cellStyle name="标题 3 3 11" xfId="14453"/>
    <cellStyle name="标题 3 3 12" xfId="14454"/>
    <cellStyle name="标题 3 3 13" xfId="14455"/>
    <cellStyle name="标题 3 3 14" xfId="14456"/>
    <cellStyle name="标题 3 3 15" xfId="14457"/>
    <cellStyle name="标题 3 3 16" xfId="14458"/>
    <cellStyle name="标题 3 3 17" xfId="14459"/>
    <cellStyle name="标题 3 3 18" xfId="14460"/>
    <cellStyle name="标题 3 3 19" xfId="14461"/>
    <cellStyle name="标题 3 3 2" xfId="14462"/>
    <cellStyle name="标题 3 3 2 10" xfId="14463"/>
    <cellStyle name="标题 3 3 2 11" xfId="14464"/>
    <cellStyle name="标题 3 3 2 12" xfId="14465"/>
    <cellStyle name="标题 3 3 2 13" xfId="14466"/>
    <cellStyle name="标题 3 3 2 14" xfId="14467"/>
    <cellStyle name="标题 3 3 2 15" xfId="14468"/>
    <cellStyle name="标题 3 3 2 16" xfId="14469"/>
    <cellStyle name="标题 3 3 2 17" xfId="14470"/>
    <cellStyle name="标题 3 3 2 18" xfId="14471"/>
    <cellStyle name="标题 3 3 2 19" xfId="14472"/>
    <cellStyle name="标题 3 3 2 2" xfId="14473"/>
    <cellStyle name="标题 3 3 2 20" xfId="14474"/>
    <cellStyle name="标题 3 3 2 21" xfId="14475"/>
    <cellStyle name="标题 3 3 2 22" xfId="14476"/>
    <cellStyle name="标题 3 3 2 23" xfId="14477"/>
    <cellStyle name="标题 3 3 2 24" xfId="14478"/>
    <cellStyle name="标题 3 3 2 25" xfId="14479"/>
    <cellStyle name="标题 3 3 2 26" xfId="14480"/>
    <cellStyle name="标题 3 3 2 27" xfId="14481"/>
    <cellStyle name="标题 3 3 2 3" xfId="14482"/>
    <cellStyle name="标题 3 3 2 4" xfId="14483"/>
    <cellStyle name="标题 3 3 2 5" xfId="14484"/>
    <cellStyle name="标题 3 3 2 6" xfId="14485"/>
    <cellStyle name="标题 3 3 2 7" xfId="14486"/>
    <cellStyle name="标题 3 3 2 8" xfId="14487"/>
    <cellStyle name="标题 3 3 2 9" xfId="14488"/>
    <cellStyle name="标题 3 3 20" xfId="14489"/>
    <cellStyle name="标题 3 3 21" xfId="14490"/>
    <cellStyle name="标题 3 3 22" xfId="14491"/>
    <cellStyle name="标题 3 3 23" xfId="14492"/>
    <cellStyle name="标题 3 3 24" xfId="14493"/>
    <cellStyle name="标题 3 3 25" xfId="14494"/>
    <cellStyle name="标题 3 3 26" xfId="14495"/>
    <cellStyle name="标题 3 3 27" xfId="14496"/>
    <cellStyle name="标题 3 3 28" xfId="14497"/>
    <cellStyle name="标题 3 3 3" xfId="14498"/>
    <cellStyle name="标题 3 3 4" xfId="14499"/>
    <cellStyle name="标题 3 3 5" xfId="14500"/>
    <cellStyle name="标题 3 3 6" xfId="14501"/>
    <cellStyle name="标题 3 3 7" xfId="14502"/>
    <cellStyle name="标题 3 3 8" xfId="14503"/>
    <cellStyle name="标题 3 3 9" xfId="14504"/>
    <cellStyle name="标题 3 30" xfId="14505"/>
    <cellStyle name="标题 3 31" xfId="14506"/>
    <cellStyle name="标题 3 32" xfId="14507"/>
    <cellStyle name="标题 3 33" xfId="14508"/>
    <cellStyle name="标题 3 34" xfId="14509"/>
    <cellStyle name="标题 3 35" xfId="14510"/>
    <cellStyle name="标题 3 36" xfId="14511"/>
    <cellStyle name="标题 3 37" xfId="14512"/>
    <cellStyle name="标题 3 38" xfId="14513"/>
    <cellStyle name="标题 3 39" xfId="14514"/>
    <cellStyle name="标题 3 4" xfId="14515"/>
    <cellStyle name="标题 3 4 10" xfId="14516"/>
    <cellStyle name="标题 3 4 11" xfId="14517"/>
    <cellStyle name="标题 3 4 12" xfId="14518"/>
    <cellStyle name="标题 3 4 13" xfId="14519"/>
    <cellStyle name="标题 3 4 14" xfId="14520"/>
    <cellStyle name="标题 3 4 15" xfId="14521"/>
    <cellStyle name="标题 3 4 16" xfId="14522"/>
    <cellStyle name="标题 3 4 17" xfId="14523"/>
    <cellStyle name="标题 3 4 18" xfId="14524"/>
    <cellStyle name="标题 3 4 19" xfId="14525"/>
    <cellStyle name="标题 3 4 2" xfId="14526"/>
    <cellStyle name="标题 3 4 2 10" xfId="14527"/>
    <cellStyle name="标题 3 4 2 11" xfId="14528"/>
    <cellStyle name="标题 3 4 2 12" xfId="14529"/>
    <cellStyle name="标题 3 4 2 13" xfId="14530"/>
    <cellStyle name="标题 3 4 2 14" xfId="14531"/>
    <cellStyle name="标题 3 4 2 15" xfId="14532"/>
    <cellStyle name="标题 3 4 2 16" xfId="14533"/>
    <cellStyle name="标题 3 4 2 17" xfId="14534"/>
    <cellStyle name="标题 3 4 2 18" xfId="14535"/>
    <cellStyle name="标题 3 4 2 19" xfId="14536"/>
    <cellStyle name="标题 3 4 2 2" xfId="14537"/>
    <cellStyle name="标题 3 4 2 20" xfId="14538"/>
    <cellStyle name="标题 3 4 2 21" xfId="14539"/>
    <cellStyle name="标题 3 4 2 22" xfId="14540"/>
    <cellStyle name="标题 3 4 2 23" xfId="14541"/>
    <cellStyle name="标题 3 4 2 24" xfId="14542"/>
    <cellStyle name="标题 3 4 2 25" xfId="14543"/>
    <cellStyle name="标题 3 4 2 26" xfId="14544"/>
    <cellStyle name="标题 3 4 2 27" xfId="14545"/>
    <cellStyle name="标题 3 4 2 3" xfId="14546"/>
    <cellStyle name="标题 3 4 2 4" xfId="14547"/>
    <cellStyle name="标题 3 4 2 5" xfId="14548"/>
    <cellStyle name="标题 3 4 2 6" xfId="14549"/>
    <cellStyle name="标题 3 4 2 7" xfId="14550"/>
    <cellStyle name="标题 3 4 2 8" xfId="14551"/>
    <cellStyle name="标题 3 4 2 9" xfId="14552"/>
    <cellStyle name="标题 3 4 20" xfId="14553"/>
    <cellStyle name="标题 3 4 21" xfId="14554"/>
    <cellStyle name="标题 3 4 22" xfId="14555"/>
    <cellStyle name="标题 3 4 23" xfId="14556"/>
    <cellStyle name="标题 3 4 24" xfId="14557"/>
    <cellStyle name="标题 3 4 25" xfId="14558"/>
    <cellStyle name="标题 3 4 26" xfId="14559"/>
    <cellStyle name="标题 3 4 27" xfId="14560"/>
    <cellStyle name="标题 3 4 28" xfId="14561"/>
    <cellStyle name="标题 3 4 3" xfId="14562"/>
    <cellStyle name="标题 3 4 4" xfId="14563"/>
    <cellStyle name="标题 3 4 5" xfId="14564"/>
    <cellStyle name="标题 3 4 6" xfId="14565"/>
    <cellStyle name="标题 3 4 7" xfId="14566"/>
    <cellStyle name="标题 3 4 8" xfId="14567"/>
    <cellStyle name="标题 3 4 9" xfId="14568"/>
    <cellStyle name="标题 3 40" xfId="14569"/>
    <cellStyle name="标题 3 5" xfId="14570"/>
    <cellStyle name="标题 3 5 10" xfId="14571"/>
    <cellStyle name="标题 3 5 11" xfId="14572"/>
    <cellStyle name="标题 3 5 12" xfId="14573"/>
    <cellStyle name="标题 3 5 13" xfId="14574"/>
    <cellStyle name="标题 3 5 14" xfId="14575"/>
    <cellStyle name="标题 3 5 15" xfId="14576"/>
    <cellStyle name="标题 3 5 16" xfId="14577"/>
    <cellStyle name="标题 3 5 17" xfId="14578"/>
    <cellStyle name="标题 3 5 18" xfId="14579"/>
    <cellStyle name="标题 3 5 19" xfId="14580"/>
    <cellStyle name="标题 3 5 2" xfId="14581"/>
    <cellStyle name="标题 3 5 2 10" xfId="14582"/>
    <cellStyle name="标题 3 5 2 11" xfId="14583"/>
    <cellStyle name="标题 3 5 2 12" xfId="14584"/>
    <cellStyle name="标题 3 5 2 13" xfId="14585"/>
    <cellStyle name="标题 3 5 2 14" xfId="14586"/>
    <cellStyle name="标题 3 5 2 15" xfId="14587"/>
    <cellStyle name="标题 3 5 2 16" xfId="14588"/>
    <cellStyle name="标题 3 5 2 17" xfId="14589"/>
    <cellStyle name="标题 3 5 2 18" xfId="14590"/>
    <cellStyle name="标题 3 5 2 19" xfId="14591"/>
    <cellStyle name="标题 3 5 2 2" xfId="14592"/>
    <cellStyle name="标题 3 5 2 20" xfId="14593"/>
    <cellStyle name="标题 3 5 2 21" xfId="14594"/>
    <cellStyle name="标题 3 5 2 22" xfId="14595"/>
    <cellStyle name="标题 3 5 2 23" xfId="14596"/>
    <cellStyle name="标题 3 5 2 24" xfId="14597"/>
    <cellStyle name="标题 3 5 2 25" xfId="14598"/>
    <cellStyle name="标题 3 5 2 26" xfId="14599"/>
    <cellStyle name="标题 3 5 2 27" xfId="14600"/>
    <cellStyle name="标题 3 5 2 3" xfId="14601"/>
    <cellStyle name="标题 3 5 2 4" xfId="14602"/>
    <cellStyle name="标题 3 5 2 5" xfId="14603"/>
    <cellStyle name="标题 3 5 2 6" xfId="14604"/>
    <cellStyle name="标题 3 5 2 7" xfId="14605"/>
    <cellStyle name="标题 3 5 2 8" xfId="14606"/>
    <cellStyle name="标题 3 5 2 9" xfId="14607"/>
    <cellStyle name="标题 3 5 20" xfId="14608"/>
    <cellStyle name="标题 3 5 21" xfId="14609"/>
    <cellStyle name="标题 3 5 22" xfId="14610"/>
    <cellStyle name="标题 3 5 23" xfId="14611"/>
    <cellStyle name="标题 3 5 24" xfId="14612"/>
    <cellStyle name="标题 3 5 25" xfId="14613"/>
    <cellStyle name="标题 3 5 26" xfId="14614"/>
    <cellStyle name="标题 3 5 27" xfId="14615"/>
    <cellStyle name="标题 3 5 28" xfId="14616"/>
    <cellStyle name="标题 3 5 3" xfId="14617"/>
    <cellStyle name="标题 3 5 4" xfId="14618"/>
    <cellStyle name="标题 3 5 5" xfId="14619"/>
    <cellStyle name="标题 3 5 6" xfId="14620"/>
    <cellStyle name="标题 3 5 7" xfId="14621"/>
    <cellStyle name="标题 3 5 8" xfId="14622"/>
    <cellStyle name="标题 3 5 9" xfId="14623"/>
    <cellStyle name="标题 3 6" xfId="14624"/>
    <cellStyle name="标题 3 6 10" xfId="14625"/>
    <cellStyle name="标题 3 6 11" xfId="14626"/>
    <cellStyle name="标题 3 6 12" xfId="14627"/>
    <cellStyle name="标题 3 6 13" xfId="14628"/>
    <cellStyle name="标题 3 6 14" xfId="14629"/>
    <cellStyle name="标题 3 6 15" xfId="14630"/>
    <cellStyle name="标题 3 6 16" xfId="14631"/>
    <cellStyle name="标题 3 6 17" xfId="14632"/>
    <cellStyle name="标题 3 6 18" xfId="14633"/>
    <cellStyle name="标题 3 6 19" xfId="14634"/>
    <cellStyle name="标题 3 6 2" xfId="14635"/>
    <cellStyle name="标题 3 6 2 10" xfId="14636"/>
    <cellStyle name="标题 3 6 2 11" xfId="14637"/>
    <cellStyle name="标题 3 6 2 12" xfId="14638"/>
    <cellStyle name="标题 3 6 2 13" xfId="14639"/>
    <cellStyle name="标题 3 6 2 14" xfId="14640"/>
    <cellStyle name="标题 3 6 2 15" xfId="14641"/>
    <cellStyle name="标题 3 6 2 16" xfId="14642"/>
    <cellStyle name="标题 3 6 2 17" xfId="14643"/>
    <cellStyle name="标题 3 6 2 18" xfId="14644"/>
    <cellStyle name="标题 3 6 2 19" xfId="14645"/>
    <cellStyle name="标题 3 6 2 2" xfId="14646"/>
    <cellStyle name="标题 3 6 2 20" xfId="14647"/>
    <cellStyle name="标题 3 6 2 21" xfId="14648"/>
    <cellStyle name="标题 3 6 2 22" xfId="14649"/>
    <cellStyle name="标题 3 6 2 23" xfId="14650"/>
    <cellStyle name="标题 3 6 2 24" xfId="14651"/>
    <cellStyle name="标题 3 6 2 25" xfId="14652"/>
    <cellStyle name="标题 3 6 2 26" xfId="14653"/>
    <cellStyle name="标题 3 6 2 27" xfId="14654"/>
    <cellStyle name="标题 3 6 2 3" xfId="14655"/>
    <cellStyle name="标题 3 6 2 4" xfId="14656"/>
    <cellStyle name="标题 3 6 2 5" xfId="14657"/>
    <cellStyle name="标题 3 6 2 6" xfId="14658"/>
    <cellStyle name="标题 3 6 2 7" xfId="14659"/>
    <cellStyle name="标题 3 6 2 8" xfId="14660"/>
    <cellStyle name="标题 3 6 2 9" xfId="14661"/>
    <cellStyle name="标题 3 6 20" xfId="14662"/>
    <cellStyle name="标题 3 6 21" xfId="14663"/>
    <cellStyle name="标题 3 6 22" xfId="14664"/>
    <cellStyle name="标题 3 6 23" xfId="14665"/>
    <cellStyle name="标题 3 6 24" xfId="14666"/>
    <cellStyle name="标题 3 6 25" xfId="14667"/>
    <cellStyle name="标题 3 6 26" xfId="14668"/>
    <cellStyle name="标题 3 6 27" xfId="14669"/>
    <cellStyle name="标题 3 6 28" xfId="14670"/>
    <cellStyle name="标题 3 6 3" xfId="14671"/>
    <cellStyle name="标题 3 6 4" xfId="14672"/>
    <cellStyle name="标题 3 6 5" xfId="14673"/>
    <cellStyle name="标题 3 6 6" xfId="14674"/>
    <cellStyle name="标题 3 6 7" xfId="14675"/>
    <cellStyle name="标题 3 6 8" xfId="14676"/>
    <cellStyle name="标题 3 6 9" xfId="14677"/>
    <cellStyle name="标题 3 7" xfId="14678"/>
    <cellStyle name="标题 3 7 10" xfId="14679"/>
    <cellStyle name="标题 3 7 11" xfId="14680"/>
    <cellStyle name="标题 3 7 12" xfId="14681"/>
    <cellStyle name="标题 3 7 13" xfId="14682"/>
    <cellStyle name="标题 3 7 14" xfId="14683"/>
    <cellStyle name="标题 3 7 15" xfId="14684"/>
    <cellStyle name="标题 3 7 16" xfId="14685"/>
    <cellStyle name="标题 3 7 17" xfId="14686"/>
    <cellStyle name="标题 3 7 18" xfId="14687"/>
    <cellStyle name="标题 3 7 19" xfId="14688"/>
    <cellStyle name="标题 3 7 2" xfId="14689"/>
    <cellStyle name="标题 3 7 2 10" xfId="14690"/>
    <cellStyle name="标题 3 7 2 11" xfId="14691"/>
    <cellStyle name="标题 3 7 2 12" xfId="14692"/>
    <cellStyle name="标题 3 7 2 13" xfId="14693"/>
    <cellStyle name="标题 3 7 2 14" xfId="14694"/>
    <cellStyle name="标题 3 7 2 15" xfId="14695"/>
    <cellStyle name="标题 3 7 2 16" xfId="14696"/>
    <cellStyle name="标题 3 7 2 17" xfId="14697"/>
    <cellStyle name="标题 3 7 2 18" xfId="14698"/>
    <cellStyle name="标题 3 7 2 19" xfId="14699"/>
    <cellStyle name="标题 3 7 2 2" xfId="14700"/>
    <cellStyle name="标题 3 7 2 20" xfId="14701"/>
    <cellStyle name="标题 3 7 2 21" xfId="14702"/>
    <cellStyle name="标题 3 7 2 22" xfId="14703"/>
    <cellStyle name="标题 3 7 2 23" xfId="14704"/>
    <cellStyle name="标题 3 7 2 24" xfId="14705"/>
    <cellStyle name="标题 3 7 2 25" xfId="14706"/>
    <cellStyle name="标题 3 7 2 26" xfId="14707"/>
    <cellStyle name="标题 3 7 2 27" xfId="14708"/>
    <cellStyle name="标题 3 7 2 3" xfId="14709"/>
    <cellStyle name="标题 3 7 2 4" xfId="14710"/>
    <cellStyle name="标题 3 7 2 5" xfId="14711"/>
    <cellStyle name="标题 3 7 2 6" xfId="14712"/>
    <cellStyle name="标题 3 7 2 7" xfId="14713"/>
    <cellStyle name="标题 3 7 2 8" xfId="14714"/>
    <cellStyle name="标题 3 7 2 9" xfId="14715"/>
    <cellStyle name="标题 3 7 20" xfId="14716"/>
    <cellStyle name="标题 3 7 21" xfId="14717"/>
    <cellStyle name="标题 3 7 22" xfId="14718"/>
    <cellStyle name="标题 3 7 23" xfId="14719"/>
    <cellStyle name="标题 3 7 24" xfId="14720"/>
    <cellStyle name="标题 3 7 25" xfId="14721"/>
    <cellStyle name="标题 3 7 26" xfId="14722"/>
    <cellStyle name="标题 3 7 27" xfId="14723"/>
    <cellStyle name="标题 3 7 28" xfId="14724"/>
    <cellStyle name="标题 3 7 3" xfId="14725"/>
    <cellStyle name="标题 3 7 4" xfId="14726"/>
    <cellStyle name="标题 3 7 5" xfId="14727"/>
    <cellStyle name="标题 3 7 6" xfId="14728"/>
    <cellStyle name="标题 3 7 7" xfId="14729"/>
    <cellStyle name="标题 3 7 8" xfId="14730"/>
    <cellStyle name="标题 3 7 9" xfId="14731"/>
    <cellStyle name="标题 3 8" xfId="14732"/>
    <cellStyle name="标题 3 8 10" xfId="14733"/>
    <cellStyle name="标题 3 8 11" xfId="14734"/>
    <cellStyle name="标题 3 8 12" xfId="14735"/>
    <cellStyle name="标题 3 8 13" xfId="14736"/>
    <cellStyle name="标题 3 8 14" xfId="14737"/>
    <cellStyle name="标题 3 8 15" xfId="14738"/>
    <cellStyle name="标题 3 8 16" xfId="14739"/>
    <cellStyle name="标题 3 8 17" xfId="14740"/>
    <cellStyle name="标题 3 8 18" xfId="14741"/>
    <cellStyle name="标题 3 8 19" xfId="14742"/>
    <cellStyle name="标题 3 8 2" xfId="14743"/>
    <cellStyle name="标题 3 8 2 10" xfId="14744"/>
    <cellStyle name="标题 3 8 2 11" xfId="14745"/>
    <cellStyle name="标题 3 8 2 12" xfId="14746"/>
    <cellStyle name="标题 3 8 2 13" xfId="14747"/>
    <cellStyle name="标题 3 8 2 14" xfId="14748"/>
    <cellStyle name="标题 3 8 2 15" xfId="14749"/>
    <cellStyle name="标题 3 8 2 16" xfId="14750"/>
    <cellStyle name="标题 3 8 2 17" xfId="14751"/>
    <cellStyle name="标题 3 8 2 18" xfId="14752"/>
    <cellStyle name="标题 3 8 2 19" xfId="14753"/>
    <cellStyle name="标题 3 8 2 2" xfId="14754"/>
    <cellStyle name="标题 3 8 2 20" xfId="14755"/>
    <cellStyle name="标题 3 8 2 21" xfId="14756"/>
    <cellStyle name="标题 3 8 2 22" xfId="14757"/>
    <cellStyle name="标题 3 8 2 23" xfId="14758"/>
    <cellStyle name="标题 3 8 2 24" xfId="14759"/>
    <cellStyle name="标题 3 8 2 25" xfId="14760"/>
    <cellStyle name="标题 3 8 2 26" xfId="14761"/>
    <cellStyle name="标题 3 8 2 27" xfId="14762"/>
    <cellStyle name="标题 3 8 2 3" xfId="14763"/>
    <cellStyle name="标题 3 8 2 4" xfId="14764"/>
    <cellStyle name="标题 3 8 2 5" xfId="14765"/>
    <cellStyle name="标题 3 8 2 6" xfId="14766"/>
    <cellStyle name="标题 3 8 2 7" xfId="14767"/>
    <cellStyle name="标题 3 8 2 8" xfId="14768"/>
    <cellStyle name="标题 3 8 2 9" xfId="14769"/>
    <cellStyle name="标题 3 8 20" xfId="14770"/>
    <cellStyle name="标题 3 8 21" xfId="14771"/>
    <cellStyle name="标题 3 8 22" xfId="14772"/>
    <cellStyle name="标题 3 8 23" xfId="14773"/>
    <cellStyle name="标题 3 8 24" xfId="14774"/>
    <cellStyle name="标题 3 8 25" xfId="14775"/>
    <cellStyle name="标题 3 8 26" xfId="14776"/>
    <cellStyle name="标题 3 8 27" xfId="14777"/>
    <cellStyle name="标题 3 8 28" xfId="14778"/>
    <cellStyle name="标题 3 8 3" xfId="14779"/>
    <cellStyle name="标题 3 8 4" xfId="14780"/>
    <cellStyle name="标题 3 8 5" xfId="14781"/>
    <cellStyle name="标题 3 8 6" xfId="14782"/>
    <cellStyle name="标题 3 8 7" xfId="14783"/>
    <cellStyle name="标题 3 8 8" xfId="14784"/>
    <cellStyle name="标题 3 8 9" xfId="14785"/>
    <cellStyle name="标题 3 9" xfId="14786"/>
    <cellStyle name="标题 3 9 10" xfId="14787"/>
    <cellStyle name="标题 3 9 11" xfId="14788"/>
    <cellStyle name="标题 3 9 12" xfId="14789"/>
    <cellStyle name="标题 3 9 13" xfId="14790"/>
    <cellStyle name="标题 3 9 14" xfId="14791"/>
    <cellStyle name="标题 3 9 15" xfId="14792"/>
    <cellStyle name="标题 3 9 16" xfId="14793"/>
    <cellStyle name="标题 3 9 17" xfId="14794"/>
    <cellStyle name="标题 3 9 18" xfId="14795"/>
    <cellStyle name="标题 3 9 19" xfId="14796"/>
    <cellStyle name="标题 3 9 2" xfId="14797"/>
    <cellStyle name="标题 3 9 2 10" xfId="14798"/>
    <cellStyle name="标题 3 9 2 11" xfId="14799"/>
    <cellStyle name="标题 3 9 2 12" xfId="14800"/>
    <cellStyle name="标题 3 9 2 13" xfId="14801"/>
    <cellStyle name="标题 3 9 2 14" xfId="14802"/>
    <cellStyle name="标题 3 9 2 15" xfId="14803"/>
    <cellStyle name="标题 3 9 2 16" xfId="14804"/>
    <cellStyle name="标题 3 9 2 17" xfId="14805"/>
    <cellStyle name="标题 3 9 2 18" xfId="14806"/>
    <cellStyle name="标题 3 9 2 19" xfId="14807"/>
    <cellStyle name="标题 3 9 2 2" xfId="14808"/>
    <cellStyle name="标题 3 9 2 20" xfId="14809"/>
    <cellStyle name="标题 3 9 2 21" xfId="14810"/>
    <cellStyle name="标题 3 9 2 22" xfId="14811"/>
    <cellStyle name="标题 3 9 2 23" xfId="14812"/>
    <cellStyle name="标题 3 9 2 24" xfId="14813"/>
    <cellStyle name="标题 3 9 2 25" xfId="14814"/>
    <cellStyle name="标题 3 9 2 26" xfId="14815"/>
    <cellStyle name="标题 3 9 2 27" xfId="14816"/>
    <cellStyle name="标题 3 9 2 3" xfId="14817"/>
    <cellStyle name="标题 3 9 2 4" xfId="14818"/>
    <cellStyle name="标题 3 9 2 5" xfId="14819"/>
    <cellStyle name="标题 3 9 2 6" xfId="14820"/>
    <cellStyle name="标题 3 9 2 7" xfId="14821"/>
    <cellStyle name="标题 3 9 2 8" xfId="14822"/>
    <cellStyle name="标题 3 9 2 9" xfId="14823"/>
    <cellStyle name="标题 3 9 20" xfId="14824"/>
    <cellStyle name="标题 3 9 21" xfId="14825"/>
    <cellStyle name="标题 3 9 22" xfId="14826"/>
    <cellStyle name="标题 3 9 23" xfId="14827"/>
    <cellStyle name="标题 3 9 24" xfId="14828"/>
    <cellStyle name="标题 3 9 25" xfId="14829"/>
    <cellStyle name="标题 3 9 26" xfId="14830"/>
    <cellStyle name="标题 3 9 27" xfId="14831"/>
    <cellStyle name="标题 3 9 28" xfId="14832"/>
    <cellStyle name="标题 3 9 3" xfId="14833"/>
    <cellStyle name="标题 3 9 4" xfId="14834"/>
    <cellStyle name="标题 3 9 5" xfId="14835"/>
    <cellStyle name="标题 3 9 6" xfId="14836"/>
    <cellStyle name="标题 3 9 7" xfId="14837"/>
    <cellStyle name="标题 3 9 8" xfId="14838"/>
    <cellStyle name="标题 3 9 9" xfId="14839"/>
    <cellStyle name="标题 30" xfId="14840"/>
    <cellStyle name="标题 31" xfId="14841"/>
    <cellStyle name="标题 32" xfId="14842"/>
    <cellStyle name="标题 33" xfId="14843"/>
    <cellStyle name="标题 34" xfId="14844"/>
    <cellStyle name="标题 35" xfId="14845"/>
    <cellStyle name="标题 36" xfId="14846"/>
    <cellStyle name="标题 37" xfId="14847"/>
    <cellStyle name="标题 38" xfId="14848"/>
    <cellStyle name="标题 39" xfId="14849"/>
    <cellStyle name="标题 4" xfId="14850" builtinId="19" customBuiltin="1"/>
    <cellStyle name="标题 4 10" xfId="14851"/>
    <cellStyle name="标题 4 10 10" xfId="14852"/>
    <cellStyle name="标题 4 10 11" xfId="14853"/>
    <cellStyle name="标题 4 10 12" xfId="14854"/>
    <cellStyle name="标题 4 10 13" xfId="14855"/>
    <cellStyle name="标题 4 10 14" xfId="14856"/>
    <cellStyle name="标题 4 10 15" xfId="14857"/>
    <cellStyle name="标题 4 10 16" xfId="14858"/>
    <cellStyle name="标题 4 10 17" xfId="14859"/>
    <cellStyle name="标题 4 10 18" xfId="14860"/>
    <cellStyle name="标题 4 10 19" xfId="14861"/>
    <cellStyle name="标题 4 10 2" xfId="14862"/>
    <cellStyle name="标题 4 10 2 10" xfId="14863"/>
    <cellStyle name="标题 4 10 2 11" xfId="14864"/>
    <cellStyle name="标题 4 10 2 12" xfId="14865"/>
    <cellStyle name="标题 4 10 2 13" xfId="14866"/>
    <cellStyle name="标题 4 10 2 14" xfId="14867"/>
    <cellStyle name="标题 4 10 2 15" xfId="14868"/>
    <cellStyle name="标题 4 10 2 16" xfId="14869"/>
    <cellStyle name="标题 4 10 2 17" xfId="14870"/>
    <cellStyle name="标题 4 10 2 18" xfId="14871"/>
    <cellStyle name="标题 4 10 2 19" xfId="14872"/>
    <cellStyle name="标题 4 10 2 2" xfId="14873"/>
    <cellStyle name="标题 4 10 2 20" xfId="14874"/>
    <cellStyle name="标题 4 10 2 21" xfId="14875"/>
    <cellStyle name="标题 4 10 2 22" xfId="14876"/>
    <cellStyle name="标题 4 10 2 23" xfId="14877"/>
    <cellStyle name="标题 4 10 2 24" xfId="14878"/>
    <cellStyle name="标题 4 10 2 25" xfId="14879"/>
    <cellStyle name="标题 4 10 2 26" xfId="14880"/>
    <cellStyle name="标题 4 10 2 27" xfId="14881"/>
    <cellStyle name="标题 4 10 2 3" xfId="14882"/>
    <cellStyle name="标题 4 10 2 4" xfId="14883"/>
    <cellStyle name="标题 4 10 2 5" xfId="14884"/>
    <cellStyle name="标题 4 10 2 6" xfId="14885"/>
    <cellStyle name="标题 4 10 2 7" xfId="14886"/>
    <cellStyle name="标题 4 10 2 8" xfId="14887"/>
    <cellStyle name="标题 4 10 2 9" xfId="14888"/>
    <cellStyle name="标题 4 10 20" xfId="14889"/>
    <cellStyle name="标题 4 10 21" xfId="14890"/>
    <cellStyle name="标题 4 10 22" xfId="14891"/>
    <cellStyle name="标题 4 10 23" xfId="14892"/>
    <cellStyle name="标题 4 10 24" xfId="14893"/>
    <cellStyle name="标题 4 10 25" xfId="14894"/>
    <cellStyle name="标题 4 10 26" xfId="14895"/>
    <cellStyle name="标题 4 10 27" xfId="14896"/>
    <cellStyle name="标题 4 10 28" xfId="14897"/>
    <cellStyle name="标题 4 10 3" xfId="14898"/>
    <cellStyle name="标题 4 10 4" xfId="14899"/>
    <cellStyle name="标题 4 10 5" xfId="14900"/>
    <cellStyle name="标题 4 10 6" xfId="14901"/>
    <cellStyle name="标题 4 10 7" xfId="14902"/>
    <cellStyle name="标题 4 10 8" xfId="14903"/>
    <cellStyle name="标题 4 10 9" xfId="14904"/>
    <cellStyle name="标题 4 11" xfId="14905"/>
    <cellStyle name="标题 4 11 10" xfId="14906"/>
    <cellStyle name="标题 4 11 11" xfId="14907"/>
    <cellStyle name="标题 4 11 12" xfId="14908"/>
    <cellStyle name="标题 4 11 13" xfId="14909"/>
    <cellStyle name="标题 4 11 14" xfId="14910"/>
    <cellStyle name="标题 4 11 15" xfId="14911"/>
    <cellStyle name="标题 4 11 16" xfId="14912"/>
    <cellStyle name="标题 4 11 17" xfId="14913"/>
    <cellStyle name="标题 4 11 18" xfId="14914"/>
    <cellStyle name="标题 4 11 19" xfId="14915"/>
    <cellStyle name="标题 4 11 2" xfId="14916"/>
    <cellStyle name="标题 4 11 2 10" xfId="14917"/>
    <cellStyle name="标题 4 11 2 11" xfId="14918"/>
    <cellStyle name="标题 4 11 2 12" xfId="14919"/>
    <cellStyle name="标题 4 11 2 13" xfId="14920"/>
    <cellStyle name="标题 4 11 2 14" xfId="14921"/>
    <cellStyle name="标题 4 11 2 15" xfId="14922"/>
    <cellStyle name="标题 4 11 2 16" xfId="14923"/>
    <cellStyle name="标题 4 11 2 17" xfId="14924"/>
    <cellStyle name="标题 4 11 2 18" xfId="14925"/>
    <cellStyle name="标题 4 11 2 19" xfId="14926"/>
    <cellStyle name="标题 4 11 2 2" xfId="14927"/>
    <cellStyle name="标题 4 11 2 20" xfId="14928"/>
    <cellStyle name="标题 4 11 2 21" xfId="14929"/>
    <cellStyle name="标题 4 11 2 22" xfId="14930"/>
    <cellStyle name="标题 4 11 2 23" xfId="14931"/>
    <cellStyle name="标题 4 11 2 24" xfId="14932"/>
    <cellStyle name="标题 4 11 2 25" xfId="14933"/>
    <cellStyle name="标题 4 11 2 26" xfId="14934"/>
    <cellStyle name="标题 4 11 2 27" xfId="14935"/>
    <cellStyle name="标题 4 11 2 3" xfId="14936"/>
    <cellStyle name="标题 4 11 2 4" xfId="14937"/>
    <cellStyle name="标题 4 11 2 5" xfId="14938"/>
    <cellStyle name="标题 4 11 2 6" xfId="14939"/>
    <cellStyle name="标题 4 11 2 7" xfId="14940"/>
    <cellStyle name="标题 4 11 2 8" xfId="14941"/>
    <cellStyle name="标题 4 11 2 9" xfId="14942"/>
    <cellStyle name="标题 4 11 20" xfId="14943"/>
    <cellStyle name="标题 4 11 21" xfId="14944"/>
    <cellStyle name="标题 4 11 22" xfId="14945"/>
    <cellStyle name="标题 4 11 23" xfId="14946"/>
    <cellStyle name="标题 4 11 24" xfId="14947"/>
    <cellStyle name="标题 4 11 25" xfId="14948"/>
    <cellStyle name="标题 4 11 26" xfId="14949"/>
    <cellStyle name="标题 4 11 27" xfId="14950"/>
    <cellStyle name="标题 4 11 28" xfId="14951"/>
    <cellStyle name="标题 4 11 3" xfId="14952"/>
    <cellStyle name="标题 4 11 4" xfId="14953"/>
    <cellStyle name="标题 4 11 5" xfId="14954"/>
    <cellStyle name="标题 4 11 6" xfId="14955"/>
    <cellStyle name="标题 4 11 7" xfId="14956"/>
    <cellStyle name="标题 4 11 8" xfId="14957"/>
    <cellStyle name="标题 4 11 9" xfId="14958"/>
    <cellStyle name="标题 4 12" xfId="14959"/>
    <cellStyle name="标题 4 13" xfId="14960"/>
    <cellStyle name="标题 4 14" xfId="14961"/>
    <cellStyle name="标题 4 15" xfId="14962"/>
    <cellStyle name="标题 4 16" xfId="14963"/>
    <cellStyle name="标题 4 17" xfId="14964"/>
    <cellStyle name="标题 4 18" xfId="14965"/>
    <cellStyle name="标题 4 19" xfId="14966"/>
    <cellStyle name="标题 4 2" xfId="14967"/>
    <cellStyle name="标题 4 2 10" xfId="14968"/>
    <cellStyle name="标题 4 2 11" xfId="14969"/>
    <cellStyle name="标题 4 2 12" xfId="14970"/>
    <cellStyle name="标题 4 2 13" xfId="14971"/>
    <cellStyle name="标题 4 2 14" xfId="14972"/>
    <cellStyle name="标题 4 2 15" xfId="14973"/>
    <cellStyle name="标题 4 2 16" xfId="14974"/>
    <cellStyle name="标题 4 2 17" xfId="14975"/>
    <cellStyle name="标题 4 2 18" xfId="14976"/>
    <cellStyle name="标题 4 2 19" xfId="14977"/>
    <cellStyle name="标题 4 2 2" xfId="14978"/>
    <cellStyle name="标题 4 2 2 10" xfId="14979"/>
    <cellStyle name="标题 4 2 2 11" xfId="14980"/>
    <cellStyle name="标题 4 2 2 12" xfId="14981"/>
    <cellStyle name="标题 4 2 2 13" xfId="14982"/>
    <cellStyle name="标题 4 2 2 14" xfId="14983"/>
    <cellStyle name="标题 4 2 2 15" xfId="14984"/>
    <cellStyle name="标题 4 2 2 16" xfId="14985"/>
    <cellStyle name="标题 4 2 2 17" xfId="14986"/>
    <cellStyle name="标题 4 2 2 18" xfId="14987"/>
    <cellStyle name="标题 4 2 2 19" xfId="14988"/>
    <cellStyle name="标题 4 2 2 2" xfId="14989"/>
    <cellStyle name="标题 4 2 2 2 10" xfId="14990"/>
    <cellStyle name="标题 4 2 2 2 11" xfId="14991"/>
    <cellStyle name="标题 4 2 2 2 12" xfId="14992"/>
    <cellStyle name="标题 4 2 2 2 13" xfId="14993"/>
    <cellStyle name="标题 4 2 2 2 14" xfId="14994"/>
    <cellStyle name="标题 4 2 2 2 15" xfId="14995"/>
    <cellStyle name="标题 4 2 2 2 16" xfId="14996"/>
    <cellStyle name="标题 4 2 2 2 17" xfId="14997"/>
    <cellStyle name="标题 4 2 2 2 18" xfId="14998"/>
    <cellStyle name="标题 4 2 2 2 19" xfId="14999"/>
    <cellStyle name="标题 4 2 2 2 2" xfId="15000"/>
    <cellStyle name="标题 4 2 2 2 20" xfId="15001"/>
    <cellStyle name="标题 4 2 2 2 21" xfId="15002"/>
    <cellStyle name="标题 4 2 2 2 22" xfId="15003"/>
    <cellStyle name="标题 4 2 2 2 23" xfId="15004"/>
    <cellStyle name="标题 4 2 2 2 24" xfId="15005"/>
    <cellStyle name="标题 4 2 2 2 25" xfId="15006"/>
    <cellStyle name="标题 4 2 2 2 26" xfId="15007"/>
    <cellStyle name="标题 4 2 2 2 27" xfId="15008"/>
    <cellStyle name="标题 4 2 2 2 3" xfId="15009"/>
    <cellStyle name="标题 4 2 2 2 4" xfId="15010"/>
    <cellStyle name="标题 4 2 2 2 5" xfId="15011"/>
    <cellStyle name="标题 4 2 2 2 6" xfId="15012"/>
    <cellStyle name="标题 4 2 2 2 7" xfId="15013"/>
    <cellStyle name="标题 4 2 2 2 8" xfId="15014"/>
    <cellStyle name="标题 4 2 2 2 9" xfId="15015"/>
    <cellStyle name="标题 4 2 2 20" xfId="15016"/>
    <cellStyle name="标题 4 2 2 21" xfId="15017"/>
    <cellStyle name="标题 4 2 2 22" xfId="15018"/>
    <cellStyle name="标题 4 2 2 23" xfId="15019"/>
    <cellStyle name="标题 4 2 2 24" xfId="15020"/>
    <cellStyle name="标题 4 2 2 25" xfId="15021"/>
    <cellStyle name="标题 4 2 2 26" xfId="15022"/>
    <cellStyle name="标题 4 2 2 27" xfId="15023"/>
    <cellStyle name="标题 4 2 2 28" xfId="15024"/>
    <cellStyle name="标题 4 2 2 3" xfId="15025"/>
    <cellStyle name="标题 4 2 2 4" xfId="15026"/>
    <cellStyle name="标题 4 2 2 5" xfId="15027"/>
    <cellStyle name="标题 4 2 2 6" xfId="15028"/>
    <cellStyle name="标题 4 2 2 7" xfId="15029"/>
    <cellStyle name="标题 4 2 2 8" xfId="15030"/>
    <cellStyle name="标题 4 2 2 9" xfId="15031"/>
    <cellStyle name="标题 4 2 20" xfId="15032"/>
    <cellStyle name="标题 4 2 21" xfId="15033"/>
    <cellStyle name="标题 4 2 22" xfId="15034"/>
    <cellStyle name="标题 4 2 23" xfId="15035"/>
    <cellStyle name="标题 4 2 24" xfId="15036"/>
    <cellStyle name="标题 4 2 25" xfId="15037"/>
    <cellStyle name="标题 4 2 26" xfId="15038"/>
    <cellStyle name="标题 4 2 27" xfId="15039"/>
    <cellStyle name="标题 4 2 28" xfId="15040"/>
    <cellStyle name="标题 4 2 29" xfId="15041"/>
    <cellStyle name="标题 4 2 3" xfId="15042"/>
    <cellStyle name="标题 4 2 3 10" xfId="15043"/>
    <cellStyle name="标题 4 2 3 11" xfId="15044"/>
    <cellStyle name="标题 4 2 3 12" xfId="15045"/>
    <cellStyle name="标题 4 2 3 13" xfId="15046"/>
    <cellStyle name="标题 4 2 3 14" xfId="15047"/>
    <cellStyle name="标题 4 2 3 15" xfId="15048"/>
    <cellStyle name="标题 4 2 3 16" xfId="15049"/>
    <cellStyle name="标题 4 2 3 17" xfId="15050"/>
    <cellStyle name="标题 4 2 3 18" xfId="15051"/>
    <cellStyle name="标题 4 2 3 19" xfId="15052"/>
    <cellStyle name="标题 4 2 3 2" xfId="15053"/>
    <cellStyle name="标题 4 2 3 2 10" xfId="15054"/>
    <cellStyle name="标题 4 2 3 2 11" xfId="15055"/>
    <cellStyle name="标题 4 2 3 2 12" xfId="15056"/>
    <cellStyle name="标题 4 2 3 2 13" xfId="15057"/>
    <cellStyle name="标题 4 2 3 2 14" xfId="15058"/>
    <cellStyle name="标题 4 2 3 2 15" xfId="15059"/>
    <cellStyle name="标题 4 2 3 2 16" xfId="15060"/>
    <cellStyle name="标题 4 2 3 2 17" xfId="15061"/>
    <cellStyle name="标题 4 2 3 2 18" xfId="15062"/>
    <cellStyle name="标题 4 2 3 2 19" xfId="15063"/>
    <cellStyle name="标题 4 2 3 2 2" xfId="15064"/>
    <cellStyle name="标题 4 2 3 2 20" xfId="15065"/>
    <cellStyle name="标题 4 2 3 2 21" xfId="15066"/>
    <cellStyle name="标题 4 2 3 2 22" xfId="15067"/>
    <cellStyle name="标题 4 2 3 2 23" xfId="15068"/>
    <cellStyle name="标题 4 2 3 2 24" xfId="15069"/>
    <cellStyle name="标题 4 2 3 2 25" xfId="15070"/>
    <cellStyle name="标题 4 2 3 2 26" xfId="15071"/>
    <cellStyle name="标题 4 2 3 2 27" xfId="15072"/>
    <cellStyle name="标题 4 2 3 2 3" xfId="15073"/>
    <cellStyle name="标题 4 2 3 2 4" xfId="15074"/>
    <cellStyle name="标题 4 2 3 2 5" xfId="15075"/>
    <cellStyle name="标题 4 2 3 2 6" xfId="15076"/>
    <cellStyle name="标题 4 2 3 2 7" xfId="15077"/>
    <cellStyle name="标题 4 2 3 2 8" xfId="15078"/>
    <cellStyle name="标题 4 2 3 2 9" xfId="15079"/>
    <cellStyle name="标题 4 2 3 20" xfId="15080"/>
    <cellStyle name="标题 4 2 3 21" xfId="15081"/>
    <cellStyle name="标题 4 2 3 22" xfId="15082"/>
    <cellStyle name="标题 4 2 3 23" xfId="15083"/>
    <cellStyle name="标题 4 2 3 24" xfId="15084"/>
    <cellStyle name="标题 4 2 3 25" xfId="15085"/>
    <cellStyle name="标题 4 2 3 26" xfId="15086"/>
    <cellStyle name="标题 4 2 3 27" xfId="15087"/>
    <cellStyle name="标题 4 2 3 28" xfId="15088"/>
    <cellStyle name="标题 4 2 3 3" xfId="15089"/>
    <cellStyle name="标题 4 2 3 4" xfId="15090"/>
    <cellStyle name="标题 4 2 3 5" xfId="15091"/>
    <cellStyle name="标题 4 2 3 6" xfId="15092"/>
    <cellStyle name="标题 4 2 3 7" xfId="15093"/>
    <cellStyle name="标题 4 2 3 8" xfId="15094"/>
    <cellStyle name="标题 4 2 3 9" xfId="15095"/>
    <cellStyle name="标题 4 2 30" xfId="15096"/>
    <cellStyle name="标题 4 2 31" xfId="15097"/>
    <cellStyle name="标题 4 2 32" xfId="15098"/>
    <cellStyle name="标题 4 2 33" xfId="15099"/>
    <cellStyle name="标题 4 2 4" xfId="15100"/>
    <cellStyle name="标题 4 2 4 10" xfId="15101"/>
    <cellStyle name="标题 4 2 4 11" xfId="15102"/>
    <cellStyle name="标题 4 2 4 12" xfId="15103"/>
    <cellStyle name="标题 4 2 4 13" xfId="15104"/>
    <cellStyle name="标题 4 2 4 14" xfId="15105"/>
    <cellStyle name="标题 4 2 4 15" xfId="15106"/>
    <cellStyle name="标题 4 2 4 16" xfId="15107"/>
    <cellStyle name="标题 4 2 4 17" xfId="15108"/>
    <cellStyle name="标题 4 2 4 18" xfId="15109"/>
    <cellStyle name="标题 4 2 4 19" xfId="15110"/>
    <cellStyle name="标题 4 2 4 2" xfId="15111"/>
    <cellStyle name="标题 4 2 4 20" xfId="15112"/>
    <cellStyle name="标题 4 2 4 21" xfId="15113"/>
    <cellStyle name="标题 4 2 4 22" xfId="15114"/>
    <cellStyle name="标题 4 2 4 23" xfId="15115"/>
    <cellStyle name="标题 4 2 4 24" xfId="15116"/>
    <cellStyle name="标题 4 2 4 25" xfId="15117"/>
    <cellStyle name="标题 4 2 4 26" xfId="15118"/>
    <cellStyle name="标题 4 2 4 27" xfId="15119"/>
    <cellStyle name="标题 4 2 4 3" xfId="15120"/>
    <cellStyle name="标题 4 2 4 4" xfId="15121"/>
    <cellStyle name="标题 4 2 4 5" xfId="15122"/>
    <cellStyle name="标题 4 2 4 6" xfId="15123"/>
    <cellStyle name="标题 4 2 4 7" xfId="15124"/>
    <cellStyle name="标题 4 2 4 8" xfId="15125"/>
    <cellStyle name="标题 4 2 4 9" xfId="15126"/>
    <cellStyle name="标题 4 2 5" xfId="15127"/>
    <cellStyle name="标题 4 2 6" xfId="15128"/>
    <cellStyle name="标题 4 2 7" xfId="15129"/>
    <cellStyle name="标题 4 2 8" xfId="15130"/>
    <cellStyle name="标题 4 2 9" xfId="15131"/>
    <cellStyle name="标题 4 20" xfId="15132"/>
    <cellStyle name="标题 4 21" xfId="15133"/>
    <cellStyle name="标题 4 22" xfId="15134"/>
    <cellStyle name="标题 4 23" xfId="15135"/>
    <cellStyle name="标题 4 24" xfId="15136"/>
    <cellStyle name="标题 4 25" xfId="15137"/>
    <cellStyle name="标题 4 26" xfId="15138"/>
    <cellStyle name="标题 4 27" xfId="15139"/>
    <cellStyle name="标题 4 28" xfId="15140"/>
    <cellStyle name="标题 4 29" xfId="15141"/>
    <cellStyle name="标题 4 3" xfId="15142"/>
    <cellStyle name="标题 4 3 10" xfId="15143"/>
    <cellStyle name="标题 4 3 11" xfId="15144"/>
    <cellStyle name="标题 4 3 12" xfId="15145"/>
    <cellStyle name="标题 4 3 13" xfId="15146"/>
    <cellStyle name="标题 4 3 14" xfId="15147"/>
    <cellStyle name="标题 4 3 15" xfId="15148"/>
    <cellStyle name="标题 4 3 16" xfId="15149"/>
    <cellStyle name="标题 4 3 17" xfId="15150"/>
    <cellStyle name="标题 4 3 18" xfId="15151"/>
    <cellStyle name="标题 4 3 19" xfId="15152"/>
    <cellStyle name="标题 4 3 2" xfId="15153"/>
    <cellStyle name="标题 4 3 2 10" xfId="15154"/>
    <cellStyle name="标题 4 3 2 11" xfId="15155"/>
    <cellStyle name="标题 4 3 2 12" xfId="15156"/>
    <cellStyle name="标题 4 3 2 13" xfId="15157"/>
    <cellStyle name="标题 4 3 2 14" xfId="15158"/>
    <cellStyle name="标题 4 3 2 15" xfId="15159"/>
    <cellStyle name="标题 4 3 2 16" xfId="15160"/>
    <cellStyle name="标题 4 3 2 17" xfId="15161"/>
    <cellStyle name="标题 4 3 2 18" xfId="15162"/>
    <cellStyle name="标题 4 3 2 19" xfId="15163"/>
    <cellStyle name="标题 4 3 2 2" xfId="15164"/>
    <cellStyle name="标题 4 3 2 20" xfId="15165"/>
    <cellStyle name="标题 4 3 2 21" xfId="15166"/>
    <cellStyle name="标题 4 3 2 22" xfId="15167"/>
    <cellStyle name="标题 4 3 2 23" xfId="15168"/>
    <cellStyle name="标题 4 3 2 24" xfId="15169"/>
    <cellStyle name="标题 4 3 2 25" xfId="15170"/>
    <cellStyle name="标题 4 3 2 26" xfId="15171"/>
    <cellStyle name="标题 4 3 2 27" xfId="15172"/>
    <cellStyle name="标题 4 3 2 3" xfId="15173"/>
    <cellStyle name="标题 4 3 2 4" xfId="15174"/>
    <cellStyle name="标题 4 3 2 5" xfId="15175"/>
    <cellStyle name="标题 4 3 2 6" xfId="15176"/>
    <cellStyle name="标题 4 3 2 7" xfId="15177"/>
    <cellStyle name="标题 4 3 2 8" xfId="15178"/>
    <cellStyle name="标题 4 3 2 9" xfId="15179"/>
    <cellStyle name="标题 4 3 20" xfId="15180"/>
    <cellStyle name="标题 4 3 21" xfId="15181"/>
    <cellStyle name="标题 4 3 22" xfId="15182"/>
    <cellStyle name="标题 4 3 23" xfId="15183"/>
    <cellStyle name="标题 4 3 24" xfId="15184"/>
    <cellStyle name="标题 4 3 25" xfId="15185"/>
    <cellStyle name="标题 4 3 26" xfId="15186"/>
    <cellStyle name="标题 4 3 27" xfId="15187"/>
    <cellStyle name="标题 4 3 28" xfId="15188"/>
    <cellStyle name="标题 4 3 3" xfId="15189"/>
    <cellStyle name="标题 4 3 4" xfId="15190"/>
    <cellStyle name="标题 4 3 5" xfId="15191"/>
    <cellStyle name="标题 4 3 6" xfId="15192"/>
    <cellStyle name="标题 4 3 7" xfId="15193"/>
    <cellStyle name="标题 4 3 8" xfId="15194"/>
    <cellStyle name="标题 4 3 9" xfId="15195"/>
    <cellStyle name="标题 4 30" xfId="15196"/>
    <cellStyle name="标题 4 31" xfId="15197"/>
    <cellStyle name="标题 4 32" xfId="15198"/>
    <cellStyle name="标题 4 33" xfId="15199"/>
    <cellStyle name="标题 4 34" xfId="15200"/>
    <cellStyle name="标题 4 35" xfId="15201"/>
    <cellStyle name="标题 4 36" xfId="15202"/>
    <cellStyle name="标题 4 37" xfId="15203"/>
    <cellStyle name="标题 4 38" xfId="15204"/>
    <cellStyle name="标题 4 39" xfId="15205"/>
    <cellStyle name="标题 4 4" xfId="15206"/>
    <cellStyle name="标题 4 4 10" xfId="15207"/>
    <cellStyle name="标题 4 4 11" xfId="15208"/>
    <cellStyle name="标题 4 4 12" xfId="15209"/>
    <cellStyle name="标题 4 4 13" xfId="15210"/>
    <cellStyle name="标题 4 4 14" xfId="15211"/>
    <cellStyle name="标题 4 4 15" xfId="15212"/>
    <cellStyle name="标题 4 4 16" xfId="15213"/>
    <cellStyle name="标题 4 4 17" xfId="15214"/>
    <cellStyle name="标题 4 4 18" xfId="15215"/>
    <cellStyle name="标题 4 4 19" xfId="15216"/>
    <cellStyle name="标题 4 4 2" xfId="15217"/>
    <cellStyle name="标题 4 4 2 10" xfId="15218"/>
    <cellStyle name="标题 4 4 2 11" xfId="15219"/>
    <cellStyle name="标题 4 4 2 12" xfId="15220"/>
    <cellStyle name="标题 4 4 2 13" xfId="15221"/>
    <cellStyle name="标题 4 4 2 14" xfId="15222"/>
    <cellStyle name="标题 4 4 2 15" xfId="15223"/>
    <cellStyle name="标题 4 4 2 16" xfId="15224"/>
    <cellStyle name="标题 4 4 2 17" xfId="15225"/>
    <cellStyle name="标题 4 4 2 18" xfId="15226"/>
    <cellStyle name="标题 4 4 2 19" xfId="15227"/>
    <cellStyle name="标题 4 4 2 2" xfId="15228"/>
    <cellStyle name="标题 4 4 2 20" xfId="15229"/>
    <cellStyle name="标题 4 4 2 21" xfId="15230"/>
    <cellStyle name="标题 4 4 2 22" xfId="15231"/>
    <cellStyle name="标题 4 4 2 23" xfId="15232"/>
    <cellStyle name="标题 4 4 2 24" xfId="15233"/>
    <cellStyle name="标题 4 4 2 25" xfId="15234"/>
    <cellStyle name="标题 4 4 2 26" xfId="15235"/>
    <cellStyle name="标题 4 4 2 27" xfId="15236"/>
    <cellStyle name="标题 4 4 2 3" xfId="15237"/>
    <cellStyle name="标题 4 4 2 4" xfId="15238"/>
    <cellStyle name="标题 4 4 2 5" xfId="15239"/>
    <cellStyle name="标题 4 4 2 6" xfId="15240"/>
    <cellStyle name="标题 4 4 2 7" xfId="15241"/>
    <cellStyle name="标题 4 4 2 8" xfId="15242"/>
    <cellStyle name="标题 4 4 2 9" xfId="15243"/>
    <cellStyle name="标题 4 4 20" xfId="15244"/>
    <cellStyle name="标题 4 4 21" xfId="15245"/>
    <cellStyle name="标题 4 4 22" xfId="15246"/>
    <cellStyle name="标题 4 4 23" xfId="15247"/>
    <cellStyle name="标题 4 4 24" xfId="15248"/>
    <cellStyle name="标题 4 4 25" xfId="15249"/>
    <cellStyle name="标题 4 4 26" xfId="15250"/>
    <cellStyle name="标题 4 4 27" xfId="15251"/>
    <cellStyle name="标题 4 4 28" xfId="15252"/>
    <cellStyle name="标题 4 4 3" xfId="15253"/>
    <cellStyle name="标题 4 4 4" xfId="15254"/>
    <cellStyle name="标题 4 4 5" xfId="15255"/>
    <cellStyle name="标题 4 4 6" xfId="15256"/>
    <cellStyle name="标题 4 4 7" xfId="15257"/>
    <cellStyle name="标题 4 4 8" xfId="15258"/>
    <cellStyle name="标题 4 4 9" xfId="15259"/>
    <cellStyle name="标题 4 40" xfId="15260"/>
    <cellStyle name="标题 4 5" xfId="15261"/>
    <cellStyle name="标题 4 5 10" xfId="15262"/>
    <cellStyle name="标题 4 5 11" xfId="15263"/>
    <cellStyle name="标题 4 5 12" xfId="15264"/>
    <cellStyle name="标题 4 5 13" xfId="15265"/>
    <cellStyle name="标题 4 5 14" xfId="15266"/>
    <cellStyle name="标题 4 5 15" xfId="15267"/>
    <cellStyle name="标题 4 5 16" xfId="15268"/>
    <cellStyle name="标题 4 5 17" xfId="15269"/>
    <cellStyle name="标题 4 5 18" xfId="15270"/>
    <cellStyle name="标题 4 5 19" xfId="15271"/>
    <cellStyle name="标题 4 5 2" xfId="15272"/>
    <cellStyle name="标题 4 5 2 10" xfId="15273"/>
    <cellStyle name="标题 4 5 2 11" xfId="15274"/>
    <cellStyle name="标题 4 5 2 12" xfId="15275"/>
    <cellStyle name="标题 4 5 2 13" xfId="15276"/>
    <cellStyle name="标题 4 5 2 14" xfId="15277"/>
    <cellStyle name="标题 4 5 2 15" xfId="15278"/>
    <cellStyle name="标题 4 5 2 16" xfId="15279"/>
    <cellStyle name="标题 4 5 2 17" xfId="15280"/>
    <cellStyle name="标题 4 5 2 18" xfId="15281"/>
    <cellStyle name="标题 4 5 2 19" xfId="15282"/>
    <cellStyle name="标题 4 5 2 2" xfId="15283"/>
    <cellStyle name="标题 4 5 2 20" xfId="15284"/>
    <cellStyle name="标题 4 5 2 21" xfId="15285"/>
    <cellStyle name="标题 4 5 2 22" xfId="15286"/>
    <cellStyle name="标题 4 5 2 23" xfId="15287"/>
    <cellStyle name="标题 4 5 2 24" xfId="15288"/>
    <cellStyle name="标题 4 5 2 25" xfId="15289"/>
    <cellStyle name="标题 4 5 2 26" xfId="15290"/>
    <cellStyle name="标题 4 5 2 27" xfId="15291"/>
    <cellStyle name="标题 4 5 2 3" xfId="15292"/>
    <cellStyle name="标题 4 5 2 4" xfId="15293"/>
    <cellStyle name="标题 4 5 2 5" xfId="15294"/>
    <cellStyle name="标题 4 5 2 6" xfId="15295"/>
    <cellStyle name="标题 4 5 2 7" xfId="15296"/>
    <cellStyle name="标题 4 5 2 8" xfId="15297"/>
    <cellStyle name="标题 4 5 2 9" xfId="15298"/>
    <cellStyle name="标题 4 5 20" xfId="15299"/>
    <cellStyle name="标题 4 5 21" xfId="15300"/>
    <cellStyle name="标题 4 5 22" xfId="15301"/>
    <cellStyle name="标题 4 5 23" xfId="15302"/>
    <cellStyle name="标题 4 5 24" xfId="15303"/>
    <cellStyle name="标题 4 5 25" xfId="15304"/>
    <cellStyle name="标题 4 5 26" xfId="15305"/>
    <cellStyle name="标题 4 5 27" xfId="15306"/>
    <cellStyle name="标题 4 5 28" xfId="15307"/>
    <cellStyle name="标题 4 5 3" xfId="15308"/>
    <cellStyle name="标题 4 5 4" xfId="15309"/>
    <cellStyle name="标题 4 5 5" xfId="15310"/>
    <cellStyle name="标题 4 5 6" xfId="15311"/>
    <cellStyle name="标题 4 5 7" xfId="15312"/>
    <cellStyle name="标题 4 5 8" xfId="15313"/>
    <cellStyle name="标题 4 5 9" xfId="15314"/>
    <cellStyle name="标题 4 6" xfId="15315"/>
    <cellStyle name="标题 4 6 10" xfId="15316"/>
    <cellStyle name="标题 4 6 11" xfId="15317"/>
    <cellStyle name="标题 4 6 12" xfId="15318"/>
    <cellStyle name="标题 4 6 13" xfId="15319"/>
    <cellStyle name="标题 4 6 14" xfId="15320"/>
    <cellStyle name="标题 4 6 15" xfId="15321"/>
    <cellStyle name="标题 4 6 16" xfId="15322"/>
    <cellStyle name="标题 4 6 17" xfId="15323"/>
    <cellStyle name="标题 4 6 18" xfId="15324"/>
    <cellStyle name="标题 4 6 19" xfId="15325"/>
    <cellStyle name="标题 4 6 2" xfId="15326"/>
    <cellStyle name="标题 4 6 2 10" xfId="15327"/>
    <cellStyle name="标题 4 6 2 11" xfId="15328"/>
    <cellStyle name="标题 4 6 2 12" xfId="15329"/>
    <cellStyle name="标题 4 6 2 13" xfId="15330"/>
    <cellStyle name="标题 4 6 2 14" xfId="15331"/>
    <cellStyle name="标题 4 6 2 15" xfId="15332"/>
    <cellStyle name="标题 4 6 2 16" xfId="15333"/>
    <cellStyle name="标题 4 6 2 17" xfId="15334"/>
    <cellStyle name="标题 4 6 2 18" xfId="15335"/>
    <cellStyle name="标题 4 6 2 19" xfId="15336"/>
    <cellStyle name="标题 4 6 2 2" xfId="15337"/>
    <cellStyle name="标题 4 6 2 20" xfId="15338"/>
    <cellStyle name="标题 4 6 2 21" xfId="15339"/>
    <cellStyle name="标题 4 6 2 22" xfId="15340"/>
    <cellStyle name="标题 4 6 2 23" xfId="15341"/>
    <cellStyle name="标题 4 6 2 24" xfId="15342"/>
    <cellStyle name="标题 4 6 2 25" xfId="15343"/>
    <cellStyle name="标题 4 6 2 26" xfId="15344"/>
    <cellStyle name="标题 4 6 2 27" xfId="15345"/>
    <cellStyle name="标题 4 6 2 3" xfId="15346"/>
    <cellStyle name="标题 4 6 2 4" xfId="15347"/>
    <cellStyle name="标题 4 6 2 5" xfId="15348"/>
    <cellStyle name="标题 4 6 2 6" xfId="15349"/>
    <cellStyle name="标题 4 6 2 7" xfId="15350"/>
    <cellStyle name="标题 4 6 2 8" xfId="15351"/>
    <cellStyle name="标题 4 6 2 9" xfId="15352"/>
    <cellStyle name="标题 4 6 20" xfId="15353"/>
    <cellStyle name="标题 4 6 21" xfId="15354"/>
    <cellStyle name="标题 4 6 22" xfId="15355"/>
    <cellStyle name="标题 4 6 23" xfId="15356"/>
    <cellStyle name="标题 4 6 24" xfId="15357"/>
    <cellStyle name="标题 4 6 25" xfId="15358"/>
    <cellStyle name="标题 4 6 26" xfId="15359"/>
    <cellStyle name="标题 4 6 27" xfId="15360"/>
    <cellStyle name="标题 4 6 28" xfId="15361"/>
    <cellStyle name="标题 4 6 3" xfId="15362"/>
    <cellStyle name="标题 4 6 4" xfId="15363"/>
    <cellStyle name="标题 4 6 5" xfId="15364"/>
    <cellStyle name="标题 4 6 6" xfId="15365"/>
    <cellStyle name="标题 4 6 7" xfId="15366"/>
    <cellStyle name="标题 4 6 8" xfId="15367"/>
    <cellStyle name="标题 4 6 9" xfId="15368"/>
    <cellStyle name="标题 4 7" xfId="15369"/>
    <cellStyle name="标题 4 7 10" xfId="15370"/>
    <cellStyle name="标题 4 7 11" xfId="15371"/>
    <cellStyle name="标题 4 7 12" xfId="15372"/>
    <cellStyle name="标题 4 7 13" xfId="15373"/>
    <cellStyle name="标题 4 7 14" xfId="15374"/>
    <cellStyle name="标题 4 7 15" xfId="15375"/>
    <cellStyle name="标题 4 7 16" xfId="15376"/>
    <cellStyle name="标题 4 7 17" xfId="15377"/>
    <cellStyle name="标题 4 7 18" xfId="15378"/>
    <cellStyle name="标题 4 7 19" xfId="15379"/>
    <cellStyle name="标题 4 7 2" xfId="15380"/>
    <cellStyle name="标题 4 7 2 10" xfId="15381"/>
    <cellStyle name="标题 4 7 2 11" xfId="15382"/>
    <cellStyle name="标题 4 7 2 12" xfId="15383"/>
    <cellStyle name="标题 4 7 2 13" xfId="15384"/>
    <cellStyle name="标题 4 7 2 14" xfId="15385"/>
    <cellStyle name="标题 4 7 2 15" xfId="15386"/>
    <cellStyle name="标题 4 7 2 16" xfId="15387"/>
    <cellStyle name="标题 4 7 2 17" xfId="15388"/>
    <cellStyle name="标题 4 7 2 18" xfId="15389"/>
    <cellStyle name="标题 4 7 2 19" xfId="15390"/>
    <cellStyle name="标题 4 7 2 2" xfId="15391"/>
    <cellStyle name="标题 4 7 2 20" xfId="15392"/>
    <cellStyle name="标题 4 7 2 21" xfId="15393"/>
    <cellStyle name="标题 4 7 2 22" xfId="15394"/>
    <cellStyle name="标题 4 7 2 23" xfId="15395"/>
    <cellStyle name="标题 4 7 2 24" xfId="15396"/>
    <cellStyle name="标题 4 7 2 25" xfId="15397"/>
    <cellStyle name="标题 4 7 2 26" xfId="15398"/>
    <cellStyle name="标题 4 7 2 27" xfId="15399"/>
    <cellStyle name="标题 4 7 2 3" xfId="15400"/>
    <cellStyle name="标题 4 7 2 4" xfId="15401"/>
    <cellStyle name="标题 4 7 2 5" xfId="15402"/>
    <cellStyle name="标题 4 7 2 6" xfId="15403"/>
    <cellStyle name="标题 4 7 2 7" xfId="15404"/>
    <cellStyle name="标题 4 7 2 8" xfId="15405"/>
    <cellStyle name="标题 4 7 2 9" xfId="15406"/>
    <cellStyle name="标题 4 7 20" xfId="15407"/>
    <cellStyle name="标题 4 7 21" xfId="15408"/>
    <cellStyle name="标题 4 7 22" xfId="15409"/>
    <cellStyle name="标题 4 7 23" xfId="15410"/>
    <cellStyle name="标题 4 7 24" xfId="15411"/>
    <cellStyle name="标题 4 7 25" xfId="15412"/>
    <cellStyle name="标题 4 7 26" xfId="15413"/>
    <cellStyle name="标题 4 7 27" xfId="15414"/>
    <cellStyle name="标题 4 7 28" xfId="15415"/>
    <cellStyle name="标题 4 7 3" xfId="15416"/>
    <cellStyle name="标题 4 7 4" xfId="15417"/>
    <cellStyle name="标题 4 7 5" xfId="15418"/>
    <cellStyle name="标题 4 7 6" xfId="15419"/>
    <cellStyle name="标题 4 7 7" xfId="15420"/>
    <cellStyle name="标题 4 7 8" xfId="15421"/>
    <cellStyle name="标题 4 7 9" xfId="15422"/>
    <cellStyle name="标题 4 8" xfId="15423"/>
    <cellStyle name="标题 4 8 10" xfId="15424"/>
    <cellStyle name="标题 4 8 11" xfId="15425"/>
    <cellStyle name="标题 4 8 12" xfId="15426"/>
    <cellStyle name="标题 4 8 13" xfId="15427"/>
    <cellStyle name="标题 4 8 14" xfId="15428"/>
    <cellStyle name="标题 4 8 15" xfId="15429"/>
    <cellStyle name="标题 4 8 16" xfId="15430"/>
    <cellStyle name="标题 4 8 17" xfId="15431"/>
    <cellStyle name="标题 4 8 18" xfId="15432"/>
    <cellStyle name="标题 4 8 19" xfId="15433"/>
    <cellStyle name="标题 4 8 2" xfId="15434"/>
    <cellStyle name="标题 4 8 2 10" xfId="15435"/>
    <cellStyle name="标题 4 8 2 11" xfId="15436"/>
    <cellStyle name="标题 4 8 2 12" xfId="15437"/>
    <cellStyle name="标题 4 8 2 13" xfId="15438"/>
    <cellStyle name="标题 4 8 2 14" xfId="15439"/>
    <cellStyle name="标题 4 8 2 15" xfId="15440"/>
    <cellStyle name="标题 4 8 2 16" xfId="15441"/>
    <cellStyle name="标题 4 8 2 17" xfId="15442"/>
    <cellStyle name="标题 4 8 2 18" xfId="15443"/>
    <cellStyle name="标题 4 8 2 19" xfId="15444"/>
    <cellStyle name="标题 4 8 2 2" xfId="15445"/>
    <cellStyle name="标题 4 8 2 20" xfId="15446"/>
    <cellStyle name="标题 4 8 2 21" xfId="15447"/>
    <cellStyle name="标题 4 8 2 22" xfId="15448"/>
    <cellStyle name="标题 4 8 2 23" xfId="15449"/>
    <cellStyle name="标题 4 8 2 24" xfId="15450"/>
    <cellStyle name="标题 4 8 2 25" xfId="15451"/>
    <cellStyle name="标题 4 8 2 26" xfId="15452"/>
    <cellStyle name="标题 4 8 2 27" xfId="15453"/>
    <cellStyle name="标题 4 8 2 3" xfId="15454"/>
    <cellStyle name="标题 4 8 2 4" xfId="15455"/>
    <cellStyle name="标题 4 8 2 5" xfId="15456"/>
    <cellStyle name="标题 4 8 2 6" xfId="15457"/>
    <cellStyle name="标题 4 8 2 7" xfId="15458"/>
    <cellStyle name="标题 4 8 2 8" xfId="15459"/>
    <cellStyle name="标题 4 8 2 9" xfId="15460"/>
    <cellStyle name="标题 4 8 20" xfId="15461"/>
    <cellStyle name="标题 4 8 21" xfId="15462"/>
    <cellStyle name="标题 4 8 22" xfId="15463"/>
    <cellStyle name="标题 4 8 23" xfId="15464"/>
    <cellStyle name="标题 4 8 24" xfId="15465"/>
    <cellStyle name="标题 4 8 25" xfId="15466"/>
    <cellStyle name="标题 4 8 26" xfId="15467"/>
    <cellStyle name="标题 4 8 27" xfId="15468"/>
    <cellStyle name="标题 4 8 28" xfId="15469"/>
    <cellStyle name="标题 4 8 3" xfId="15470"/>
    <cellStyle name="标题 4 8 4" xfId="15471"/>
    <cellStyle name="标题 4 8 5" xfId="15472"/>
    <cellStyle name="标题 4 8 6" xfId="15473"/>
    <cellStyle name="标题 4 8 7" xfId="15474"/>
    <cellStyle name="标题 4 8 8" xfId="15475"/>
    <cellStyle name="标题 4 8 9" xfId="15476"/>
    <cellStyle name="标题 4 9" xfId="15477"/>
    <cellStyle name="标题 4 9 10" xfId="15478"/>
    <cellStyle name="标题 4 9 11" xfId="15479"/>
    <cellStyle name="标题 4 9 12" xfId="15480"/>
    <cellStyle name="标题 4 9 13" xfId="15481"/>
    <cellStyle name="标题 4 9 14" xfId="15482"/>
    <cellStyle name="标题 4 9 15" xfId="15483"/>
    <cellStyle name="标题 4 9 16" xfId="15484"/>
    <cellStyle name="标题 4 9 17" xfId="15485"/>
    <cellStyle name="标题 4 9 18" xfId="15486"/>
    <cellStyle name="标题 4 9 19" xfId="15487"/>
    <cellStyle name="标题 4 9 2" xfId="15488"/>
    <cellStyle name="标题 4 9 2 10" xfId="15489"/>
    <cellStyle name="标题 4 9 2 11" xfId="15490"/>
    <cellStyle name="标题 4 9 2 12" xfId="15491"/>
    <cellStyle name="标题 4 9 2 13" xfId="15492"/>
    <cellStyle name="标题 4 9 2 14" xfId="15493"/>
    <cellStyle name="标题 4 9 2 15" xfId="15494"/>
    <cellStyle name="标题 4 9 2 16" xfId="15495"/>
    <cellStyle name="标题 4 9 2 17" xfId="15496"/>
    <cellStyle name="标题 4 9 2 18" xfId="15497"/>
    <cellStyle name="标题 4 9 2 19" xfId="15498"/>
    <cellStyle name="标题 4 9 2 2" xfId="15499"/>
    <cellStyle name="标题 4 9 2 20" xfId="15500"/>
    <cellStyle name="标题 4 9 2 21" xfId="15501"/>
    <cellStyle name="标题 4 9 2 22" xfId="15502"/>
    <cellStyle name="标题 4 9 2 23" xfId="15503"/>
    <cellStyle name="标题 4 9 2 24" xfId="15504"/>
    <cellStyle name="标题 4 9 2 25" xfId="15505"/>
    <cellStyle name="标题 4 9 2 26" xfId="15506"/>
    <cellStyle name="标题 4 9 2 27" xfId="15507"/>
    <cellStyle name="标题 4 9 2 3" xfId="15508"/>
    <cellStyle name="标题 4 9 2 4" xfId="15509"/>
    <cellStyle name="标题 4 9 2 5" xfId="15510"/>
    <cellStyle name="标题 4 9 2 6" xfId="15511"/>
    <cellStyle name="标题 4 9 2 7" xfId="15512"/>
    <cellStyle name="标题 4 9 2 8" xfId="15513"/>
    <cellStyle name="标题 4 9 2 9" xfId="15514"/>
    <cellStyle name="标题 4 9 20" xfId="15515"/>
    <cellStyle name="标题 4 9 21" xfId="15516"/>
    <cellStyle name="标题 4 9 22" xfId="15517"/>
    <cellStyle name="标题 4 9 23" xfId="15518"/>
    <cellStyle name="标题 4 9 24" xfId="15519"/>
    <cellStyle name="标题 4 9 25" xfId="15520"/>
    <cellStyle name="标题 4 9 26" xfId="15521"/>
    <cellStyle name="标题 4 9 27" xfId="15522"/>
    <cellStyle name="标题 4 9 28" xfId="15523"/>
    <cellStyle name="标题 4 9 3" xfId="15524"/>
    <cellStyle name="标题 4 9 4" xfId="15525"/>
    <cellStyle name="标题 4 9 5" xfId="15526"/>
    <cellStyle name="标题 4 9 6" xfId="15527"/>
    <cellStyle name="标题 4 9 7" xfId="15528"/>
    <cellStyle name="标题 4 9 8" xfId="15529"/>
    <cellStyle name="标题 4 9 9" xfId="15530"/>
    <cellStyle name="标题 40" xfId="15531"/>
    <cellStyle name="标题 41" xfId="15532"/>
    <cellStyle name="标题 42" xfId="15533"/>
    <cellStyle name="标题 43" xfId="15534"/>
    <cellStyle name="标题 5" xfId="15535"/>
    <cellStyle name="标题 5 10" xfId="15536"/>
    <cellStyle name="标题 5 11" xfId="15537"/>
    <cellStyle name="标题 5 12" xfId="15538"/>
    <cellStyle name="标题 5 13" xfId="15539"/>
    <cellStyle name="标题 5 14" xfId="15540"/>
    <cellStyle name="标题 5 15" xfId="15541"/>
    <cellStyle name="标题 5 16" xfId="15542"/>
    <cellStyle name="标题 5 17" xfId="15543"/>
    <cellStyle name="标题 5 18" xfId="15544"/>
    <cellStyle name="标题 5 19" xfId="15545"/>
    <cellStyle name="标题 5 2" xfId="15546"/>
    <cellStyle name="标题 5 2 10" xfId="15547"/>
    <cellStyle name="标题 5 2 11" xfId="15548"/>
    <cellStyle name="标题 5 2 12" xfId="15549"/>
    <cellStyle name="标题 5 2 13" xfId="15550"/>
    <cellStyle name="标题 5 2 14" xfId="15551"/>
    <cellStyle name="标题 5 2 15" xfId="15552"/>
    <cellStyle name="标题 5 2 16" xfId="15553"/>
    <cellStyle name="标题 5 2 17" xfId="15554"/>
    <cellStyle name="标题 5 2 18" xfId="15555"/>
    <cellStyle name="标题 5 2 19" xfId="15556"/>
    <cellStyle name="标题 5 2 2" xfId="15557"/>
    <cellStyle name="标题 5 2 2 10" xfId="15558"/>
    <cellStyle name="标题 5 2 2 11" xfId="15559"/>
    <cellStyle name="标题 5 2 2 12" xfId="15560"/>
    <cellStyle name="标题 5 2 2 13" xfId="15561"/>
    <cellStyle name="标题 5 2 2 14" xfId="15562"/>
    <cellStyle name="标题 5 2 2 15" xfId="15563"/>
    <cellStyle name="标题 5 2 2 16" xfId="15564"/>
    <cellStyle name="标题 5 2 2 17" xfId="15565"/>
    <cellStyle name="标题 5 2 2 18" xfId="15566"/>
    <cellStyle name="标题 5 2 2 19" xfId="15567"/>
    <cellStyle name="标题 5 2 2 2" xfId="15568"/>
    <cellStyle name="标题 5 2 2 20" xfId="15569"/>
    <cellStyle name="标题 5 2 2 21" xfId="15570"/>
    <cellStyle name="标题 5 2 2 22" xfId="15571"/>
    <cellStyle name="标题 5 2 2 23" xfId="15572"/>
    <cellStyle name="标题 5 2 2 24" xfId="15573"/>
    <cellStyle name="标题 5 2 2 25" xfId="15574"/>
    <cellStyle name="标题 5 2 2 26" xfId="15575"/>
    <cellStyle name="标题 5 2 2 27" xfId="15576"/>
    <cellStyle name="标题 5 2 2 3" xfId="15577"/>
    <cellStyle name="标题 5 2 2 4" xfId="15578"/>
    <cellStyle name="标题 5 2 2 5" xfId="15579"/>
    <cellStyle name="标题 5 2 2 6" xfId="15580"/>
    <cellStyle name="标题 5 2 2 7" xfId="15581"/>
    <cellStyle name="标题 5 2 2 8" xfId="15582"/>
    <cellStyle name="标题 5 2 2 9" xfId="15583"/>
    <cellStyle name="标题 5 2 20" xfId="15584"/>
    <cellStyle name="标题 5 2 21" xfId="15585"/>
    <cellStyle name="标题 5 2 22" xfId="15586"/>
    <cellStyle name="标题 5 2 23" xfId="15587"/>
    <cellStyle name="标题 5 2 24" xfId="15588"/>
    <cellStyle name="标题 5 2 25" xfId="15589"/>
    <cellStyle name="标题 5 2 26" xfId="15590"/>
    <cellStyle name="标题 5 2 27" xfId="15591"/>
    <cellStyle name="标题 5 2 28" xfId="15592"/>
    <cellStyle name="标题 5 2 3" xfId="15593"/>
    <cellStyle name="标题 5 2 4" xfId="15594"/>
    <cellStyle name="标题 5 2 5" xfId="15595"/>
    <cellStyle name="标题 5 2 6" xfId="15596"/>
    <cellStyle name="标题 5 2 7" xfId="15597"/>
    <cellStyle name="标题 5 2 8" xfId="15598"/>
    <cellStyle name="标题 5 2 9" xfId="15599"/>
    <cellStyle name="标题 5 20" xfId="15600"/>
    <cellStyle name="标题 5 21" xfId="15601"/>
    <cellStyle name="标题 5 22" xfId="15602"/>
    <cellStyle name="标题 5 23" xfId="15603"/>
    <cellStyle name="标题 5 24" xfId="15604"/>
    <cellStyle name="标题 5 25" xfId="15605"/>
    <cellStyle name="标题 5 26" xfId="15606"/>
    <cellStyle name="标题 5 27" xfId="15607"/>
    <cellStyle name="标题 5 28" xfId="15608"/>
    <cellStyle name="标题 5 29" xfId="15609"/>
    <cellStyle name="标题 5 3" xfId="15610"/>
    <cellStyle name="标题 5 3 10" xfId="15611"/>
    <cellStyle name="标题 5 3 11" xfId="15612"/>
    <cellStyle name="标题 5 3 12" xfId="15613"/>
    <cellStyle name="标题 5 3 13" xfId="15614"/>
    <cellStyle name="标题 5 3 14" xfId="15615"/>
    <cellStyle name="标题 5 3 15" xfId="15616"/>
    <cellStyle name="标题 5 3 16" xfId="15617"/>
    <cellStyle name="标题 5 3 17" xfId="15618"/>
    <cellStyle name="标题 5 3 18" xfId="15619"/>
    <cellStyle name="标题 5 3 19" xfId="15620"/>
    <cellStyle name="标题 5 3 2" xfId="15621"/>
    <cellStyle name="标题 5 3 2 10" xfId="15622"/>
    <cellStyle name="标题 5 3 2 11" xfId="15623"/>
    <cellStyle name="标题 5 3 2 12" xfId="15624"/>
    <cellStyle name="标题 5 3 2 13" xfId="15625"/>
    <cellStyle name="标题 5 3 2 14" xfId="15626"/>
    <cellStyle name="标题 5 3 2 15" xfId="15627"/>
    <cellStyle name="标题 5 3 2 16" xfId="15628"/>
    <cellStyle name="标题 5 3 2 17" xfId="15629"/>
    <cellStyle name="标题 5 3 2 18" xfId="15630"/>
    <cellStyle name="标题 5 3 2 19" xfId="15631"/>
    <cellStyle name="标题 5 3 2 2" xfId="15632"/>
    <cellStyle name="标题 5 3 2 20" xfId="15633"/>
    <cellStyle name="标题 5 3 2 21" xfId="15634"/>
    <cellStyle name="标题 5 3 2 22" xfId="15635"/>
    <cellStyle name="标题 5 3 2 23" xfId="15636"/>
    <cellStyle name="标题 5 3 2 24" xfId="15637"/>
    <cellStyle name="标题 5 3 2 25" xfId="15638"/>
    <cellStyle name="标题 5 3 2 26" xfId="15639"/>
    <cellStyle name="标题 5 3 2 27" xfId="15640"/>
    <cellStyle name="标题 5 3 2 3" xfId="15641"/>
    <cellStyle name="标题 5 3 2 4" xfId="15642"/>
    <cellStyle name="标题 5 3 2 5" xfId="15643"/>
    <cellStyle name="标题 5 3 2 6" xfId="15644"/>
    <cellStyle name="标题 5 3 2 7" xfId="15645"/>
    <cellStyle name="标题 5 3 2 8" xfId="15646"/>
    <cellStyle name="标题 5 3 2 9" xfId="15647"/>
    <cellStyle name="标题 5 3 20" xfId="15648"/>
    <cellStyle name="标题 5 3 21" xfId="15649"/>
    <cellStyle name="标题 5 3 22" xfId="15650"/>
    <cellStyle name="标题 5 3 23" xfId="15651"/>
    <cellStyle name="标题 5 3 24" xfId="15652"/>
    <cellStyle name="标题 5 3 25" xfId="15653"/>
    <cellStyle name="标题 5 3 26" xfId="15654"/>
    <cellStyle name="标题 5 3 27" xfId="15655"/>
    <cellStyle name="标题 5 3 28" xfId="15656"/>
    <cellStyle name="标题 5 3 3" xfId="15657"/>
    <cellStyle name="标题 5 3 4" xfId="15658"/>
    <cellStyle name="标题 5 3 5" xfId="15659"/>
    <cellStyle name="标题 5 3 6" xfId="15660"/>
    <cellStyle name="标题 5 3 7" xfId="15661"/>
    <cellStyle name="标题 5 3 8" xfId="15662"/>
    <cellStyle name="标题 5 3 9" xfId="15663"/>
    <cellStyle name="标题 5 30" xfId="15664"/>
    <cellStyle name="标题 5 31" xfId="15665"/>
    <cellStyle name="标题 5 32" xfId="15666"/>
    <cellStyle name="标题 5 33" xfId="15667"/>
    <cellStyle name="标题 5 4" xfId="15668"/>
    <cellStyle name="标题 5 4 10" xfId="15669"/>
    <cellStyle name="标题 5 4 11" xfId="15670"/>
    <cellStyle name="标题 5 4 12" xfId="15671"/>
    <cellStyle name="标题 5 4 13" xfId="15672"/>
    <cellStyle name="标题 5 4 14" xfId="15673"/>
    <cellStyle name="标题 5 4 15" xfId="15674"/>
    <cellStyle name="标题 5 4 16" xfId="15675"/>
    <cellStyle name="标题 5 4 17" xfId="15676"/>
    <cellStyle name="标题 5 4 18" xfId="15677"/>
    <cellStyle name="标题 5 4 19" xfId="15678"/>
    <cellStyle name="标题 5 4 2" xfId="15679"/>
    <cellStyle name="标题 5 4 20" xfId="15680"/>
    <cellStyle name="标题 5 4 21" xfId="15681"/>
    <cellStyle name="标题 5 4 22" xfId="15682"/>
    <cellStyle name="标题 5 4 23" xfId="15683"/>
    <cellStyle name="标题 5 4 24" xfId="15684"/>
    <cellStyle name="标题 5 4 25" xfId="15685"/>
    <cellStyle name="标题 5 4 26" xfId="15686"/>
    <cellStyle name="标题 5 4 27" xfId="15687"/>
    <cellStyle name="标题 5 4 3" xfId="15688"/>
    <cellStyle name="标题 5 4 4" xfId="15689"/>
    <cellStyle name="标题 5 4 5" xfId="15690"/>
    <cellStyle name="标题 5 4 6" xfId="15691"/>
    <cellStyle name="标题 5 4 7" xfId="15692"/>
    <cellStyle name="标题 5 4 8" xfId="15693"/>
    <cellStyle name="标题 5 4 9" xfId="15694"/>
    <cellStyle name="标题 5 5" xfId="15695"/>
    <cellStyle name="标题 5 6" xfId="15696"/>
    <cellStyle name="标题 5 7" xfId="15697"/>
    <cellStyle name="标题 5 8" xfId="15698"/>
    <cellStyle name="标题 5 9" xfId="15699"/>
    <cellStyle name="标题 6" xfId="15700"/>
    <cellStyle name="标题 6 10" xfId="15701"/>
    <cellStyle name="标题 6 11" xfId="15702"/>
    <cellStyle name="标题 6 12" xfId="15703"/>
    <cellStyle name="标题 6 13" xfId="15704"/>
    <cellStyle name="标题 6 14" xfId="15705"/>
    <cellStyle name="标题 6 15" xfId="15706"/>
    <cellStyle name="标题 6 16" xfId="15707"/>
    <cellStyle name="标题 6 17" xfId="15708"/>
    <cellStyle name="标题 6 18" xfId="15709"/>
    <cellStyle name="标题 6 19" xfId="15710"/>
    <cellStyle name="标题 6 2" xfId="15711"/>
    <cellStyle name="标题 6 2 10" xfId="15712"/>
    <cellStyle name="标题 6 2 11" xfId="15713"/>
    <cellStyle name="标题 6 2 12" xfId="15714"/>
    <cellStyle name="标题 6 2 13" xfId="15715"/>
    <cellStyle name="标题 6 2 14" xfId="15716"/>
    <cellStyle name="标题 6 2 15" xfId="15717"/>
    <cellStyle name="标题 6 2 16" xfId="15718"/>
    <cellStyle name="标题 6 2 17" xfId="15719"/>
    <cellStyle name="标题 6 2 18" xfId="15720"/>
    <cellStyle name="标题 6 2 19" xfId="15721"/>
    <cellStyle name="标题 6 2 2" xfId="15722"/>
    <cellStyle name="标题 6 2 20" xfId="15723"/>
    <cellStyle name="标题 6 2 21" xfId="15724"/>
    <cellStyle name="标题 6 2 22" xfId="15725"/>
    <cellStyle name="标题 6 2 23" xfId="15726"/>
    <cellStyle name="标题 6 2 24" xfId="15727"/>
    <cellStyle name="标题 6 2 25" xfId="15728"/>
    <cellStyle name="标题 6 2 26" xfId="15729"/>
    <cellStyle name="标题 6 2 27" xfId="15730"/>
    <cellStyle name="标题 6 2 3" xfId="15731"/>
    <cellStyle name="标题 6 2 4" xfId="15732"/>
    <cellStyle name="标题 6 2 5" xfId="15733"/>
    <cellStyle name="标题 6 2 6" xfId="15734"/>
    <cellStyle name="标题 6 2 7" xfId="15735"/>
    <cellStyle name="标题 6 2 8" xfId="15736"/>
    <cellStyle name="标题 6 2 9" xfId="15737"/>
    <cellStyle name="标题 6 20" xfId="15738"/>
    <cellStyle name="标题 6 21" xfId="15739"/>
    <cellStyle name="标题 6 22" xfId="15740"/>
    <cellStyle name="标题 6 23" xfId="15741"/>
    <cellStyle name="标题 6 24" xfId="15742"/>
    <cellStyle name="标题 6 25" xfId="15743"/>
    <cellStyle name="标题 6 26" xfId="15744"/>
    <cellStyle name="标题 6 27" xfId="15745"/>
    <cellStyle name="标题 6 28" xfId="15746"/>
    <cellStyle name="标题 6 3" xfId="15747"/>
    <cellStyle name="标题 6 4" xfId="15748"/>
    <cellStyle name="标题 6 5" xfId="15749"/>
    <cellStyle name="标题 6 6" xfId="15750"/>
    <cellStyle name="标题 6 7" xfId="15751"/>
    <cellStyle name="标题 6 8" xfId="15752"/>
    <cellStyle name="标题 6 9" xfId="15753"/>
    <cellStyle name="标题 7" xfId="15754"/>
    <cellStyle name="标题 7 10" xfId="15755"/>
    <cellStyle name="标题 7 11" xfId="15756"/>
    <cellStyle name="标题 7 12" xfId="15757"/>
    <cellStyle name="标题 7 13" xfId="15758"/>
    <cellStyle name="标题 7 14" xfId="15759"/>
    <cellStyle name="标题 7 15" xfId="15760"/>
    <cellStyle name="标题 7 16" xfId="15761"/>
    <cellStyle name="标题 7 17" xfId="15762"/>
    <cellStyle name="标题 7 18" xfId="15763"/>
    <cellStyle name="标题 7 19" xfId="15764"/>
    <cellStyle name="标题 7 2" xfId="15765"/>
    <cellStyle name="标题 7 2 10" xfId="15766"/>
    <cellStyle name="标题 7 2 11" xfId="15767"/>
    <cellStyle name="标题 7 2 12" xfId="15768"/>
    <cellStyle name="标题 7 2 13" xfId="15769"/>
    <cellStyle name="标题 7 2 14" xfId="15770"/>
    <cellStyle name="标题 7 2 15" xfId="15771"/>
    <cellStyle name="标题 7 2 16" xfId="15772"/>
    <cellStyle name="标题 7 2 17" xfId="15773"/>
    <cellStyle name="标题 7 2 18" xfId="15774"/>
    <cellStyle name="标题 7 2 19" xfId="15775"/>
    <cellStyle name="标题 7 2 2" xfId="15776"/>
    <cellStyle name="标题 7 2 20" xfId="15777"/>
    <cellStyle name="标题 7 2 21" xfId="15778"/>
    <cellStyle name="标题 7 2 22" xfId="15779"/>
    <cellStyle name="标题 7 2 23" xfId="15780"/>
    <cellStyle name="标题 7 2 24" xfId="15781"/>
    <cellStyle name="标题 7 2 25" xfId="15782"/>
    <cellStyle name="标题 7 2 26" xfId="15783"/>
    <cellStyle name="标题 7 2 27" xfId="15784"/>
    <cellStyle name="标题 7 2 3" xfId="15785"/>
    <cellStyle name="标题 7 2 4" xfId="15786"/>
    <cellStyle name="标题 7 2 5" xfId="15787"/>
    <cellStyle name="标题 7 2 6" xfId="15788"/>
    <cellStyle name="标题 7 2 7" xfId="15789"/>
    <cellStyle name="标题 7 2 8" xfId="15790"/>
    <cellStyle name="标题 7 2 9" xfId="15791"/>
    <cellStyle name="标题 7 20" xfId="15792"/>
    <cellStyle name="标题 7 21" xfId="15793"/>
    <cellStyle name="标题 7 22" xfId="15794"/>
    <cellStyle name="标题 7 23" xfId="15795"/>
    <cellStyle name="标题 7 24" xfId="15796"/>
    <cellStyle name="标题 7 25" xfId="15797"/>
    <cellStyle name="标题 7 26" xfId="15798"/>
    <cellStyle name="标题 7 27" xfId="15799"/>
    <cellStyle name="标题 7 28" xfId="15800"/>
    <cellStyle name="标题 7 3" xfId="15801"/>
    <cellStyle name="标题 7 4" xfId="15802"/>
    <cellStyle name="标题 7 5" xfId="15803"/>
    <cellStyle name="标题 7 6" xfId="15804"/>
    <cellStyle name="标题 7 7" xfId="15805"/>
    <cellStyle name="标题 7 8" xfId="15806"/>
    <cellStyle name="标题 7 9" xfId="15807"/>
    <cellStyle name="标题 8" xfId="15808"/>
    <cellStyle name="标题 8 10" xfId="15809"/>
    <cellStyle name="标题 8 11" xfId="15810"/>
    <cellStyle name="标题 8 12" xfId="15811"/>
    <cellStyle name="标题 8 13" xfId="15812"/>
    <cellStyle name="标题 8 14" xfId="15813"/>
    <cellStyle name="标题 8 15" xfId="15814"/>
    <cellStyle name="标题 8 16" xfId="15815"/>
    <cellStyle name="标题 8 17" xfId="15816"/>
    <cellStyle name="标题 8 18" xfId="15817"/>
    <cellStyle name="标题 8 19" xfId="15818"/>
    <cellStyle name="标题 8 2" xfId="15819"/>
    <cellStyle name="标题 8 2 10" xfId="15820"/>
    <cellStyle name="标题 8 2 11" xfId="15821"/>
    <cellStyle name="标题 8 2 12" xfId="15822"/>
    <cellStyle name="标题 8 2 13" xfId="15823"/>
    <cellStyle name="标题 8 2 14" xfId="15824"/>
    <cellStyle name="标题 8 2 15" xfId="15825"/>
    <cellStyle name="标题 8 2 16" xfId="15826"/>
    <cellStyle name="标题 8 2 17" xfId="15827"/>
    <cellStyle name="标题 8 2 18" xfId="15828"/>
    <cellStyle name="标题 8 2 19" xfId="15829"/>
    <cellStyle name="标题 8 2 2" xfId="15830"/>
    <cellStyle name="标题 8 2 20" xfId="15831"/>
    <cellStyle name="标题 8 2 21" xfId="15832"/>
    <cellStyle name="标题 8 2 22" xfId="15833"/>
    <cellStyle name="标题 8 2 23" xfId="15834"/>
    <cellStyle name="标题 8 2 24" xfId="15835"/>
    <cellStyle name="标题 8 2 25" xfId="15836"/>
    <cellStyle name="标题 8 2 26" xfId="15837"/>
    <cellStyle name="标题 8 2 27" xfId="15838"/>
    <cellStyle name="标题 8 2 3" xfId="15839"/>
    <cellStyle name="标题 8 2 4" xfId="15840"/>
    <cellStyle name="标题 8 2 5" xfId="15841"/>
    <cellStyle name="标题 8 2 6" xfId="15842"/>
    <cellStyle name="标题 8 2 7" xfId="15843"/>
    <cellStyle name="标题 8 2 8" xfId="15844"/>
    <cellStyle name="标题 8 2 9" xfId="15845"/>
    <cellStyle name="标题 8 20" xfId="15846"/>
    <cellStyle name="标题 8 21" xfId="15847"/>
    <cellStyle name="标题 8 22" xfId="15848"/>
    <cellStyle name="标题 8 23" xfId="15849"/>
    <cellStyle name="标题 8 24" xfId="15850"/>
    <cellStyle name="标题 8 25" xfId="15851"/>
    <cellStyle name="标题 8 26" xfId="15852"/>
    <cellStyle name="标题 8 27" xfId="15853"/>
    <cellStyle name="标题 8 28" xfId="15854"/>
    <cellStyle name="标题 8 3" xfId="15855"/>
    <cellStyle name="标题 8 4" xfId="15856"/>
    <cellStyle name="标题 8 5" xfId="15857"/>
    <cellStyle name="标题 8 6" xfId="15858"/>
    <cellStyle name="标题 8 7" xfId="15859"/>
    <cellStyle name="标题 8 8" xfId="15860"/>
    <cellStyle name="标题 8 9" xfId="15861"/>
    <cellStyle name="标题 9" xfId="15862"/>
    <cellStyle name="标题 9 10" xfId="15863"/>
    <cellStyle name="标题 9 11" xfId="15864"/>
    <cellStyle name="标题 9 12" xfId="15865"/>
    <cellStyle name="标题 9 13" xfId="15866"/>
    <cellStyle name="标题 9 14" xfId="15867"/>
    <cellStyle name="标题 9 15" xfId="15868"/>
    <cellStyle name="标题 9 16" xfId="15869"/>
    <cellStyle name="标题 9 17" xfId="15870"/>
    <cellStyle name="标题 9 18" xfId="15871"/>
    <cellStyle name="标题 9 19" xfId="15872"/>
    <cellStyle name="标题 9 2" xfId="15873"/>
    <cellStyle name="标题 9 2 10" xfId="15874"/>
    <cellStyle name="标题 9 2 11" xfId="15875"/>
    <cellStyle name="标题 9 2 12" xfId="15876"/>
    <cellStyle name="标题 9 2 13" xfId="15877"/>
    <cellStyle name="标题 9 2 14" xfId="15878"/>
    <cellStyle name="标题 9 2 15" xfId="15879"/>
    <cellStyle name="标题 9 2 16" xfId="15880"/>
    <cellStyle name="标题 9 2 17" xfId="15881"/>
    <cellStyle name="标题 9 2 18" xfId="15882"/>
    <cellStyle name="标题 9 2 19" xfId="15883"/>
    <cellStyle name="标题 9 2 2" xfId="15884"/>
    <cellStyle name="标题 9 2 20" xfId="15885"/>
    <cellStyle name="标题 9 2 21" xfId="15886"/>
    <cellStyle name="标题 9 2 22" xfId="15887"/>
    <cellStyle name="标题 9 2 23" xfId="15888"/>
    <cellStyle name="标题 9 2 24" xfId="15889"/>
    <cellStyle name="标题 9 2 25" xfId="15890"/>
    <cellStyle name="标题 9 2 26" xfId="15891"/>
    <cellStyle name="标题 9 2 27" xfId="15892"/>
    <cellStyle name="标题 9 2 3" xfId="15893"/>
    <cellStyle name="标题 9 2 4" xfId="15894"/>
    <cellStyle name="标题 9 2 5" xfId="15895"/>
    <cellStyle name="标题 9 2 6" xfId="15896"/>
    <cellStyle name="标题 9 2 7" xfId="15897"/>
    <cellStyle name="标题 9 2 8" xfId="15898"/>
    <cellStyle name="标题 9 2 9" xfId="15899"/>
    <cellStyle name="标题 9 20" xfId="15900"/>
    <cellStyle name="标题 9 21" xfId="15901"/>
    <cellStyle name="标题 9 22" xfId="15902"/>
    <cellStyle name="标题 9 23" xfId="15903"/>
    <cellStyle name="标题 9 24" xfId="15904"/>
    <cellStyle name="标题 9 25" xfId="15905"/>
    <cellStyle name="标题 9 26" xfId="15906"/>
    <cellStyle name="标题 9 27" xfId="15907"/>
    <cellStyle name="标题 9 28" xfId="15908"/>
    <cellStyle name="标题 9 3" xfId="15909"/>
    <cellStyle name="标题 9 4" xfId="15910"/>
    <cellStyle name="标题 9 5" xfId="15911"/>
    <cellStyle name="标题 9 6" xfId="15912"/>
    <cellStyle name="标题 9 7" xfId="15913"/>
    <cellStyle name="标题 9 8" xfId="15914"/>
    <cellStyle name="标题 9 9" xfId="15915"/>
    <cellStyle name="差" xfId="15916" builtinId="27" customBuiltin="1"/>
    <cellStyle name="差 10" xfId="15917"/>
    <cellStyle name="差 10 10" xfId="15918"/>
    <cellStyle name="差 10 11" xfId="15919"/>
    <cellStyle name="差 10 12" xfId="15920"/>
    <cellStyle name="差 10 13" xfId="15921"/>
    <cellStyle name="差 10 14" xfId="15922"/>
    <cellStyle name="差 10 15" xfId="15923"/>
    <cellStyle name="差 10 16" xfId="15924"/>
    <cellStyle name="差 10 17" xfId="15925"/>
    <cellStyle name="差 10 18" xfId="15926"/>
    <cellStyle name="差 10 19" xfId="15927"/>
    <cellStyle name="差 10 2" xfId="15928"/>
    <cellStyle name="差 10 2 10" xfId="15929"/>
    <cellStyle name="差 10 2 11" xfId="15930"/>
    <cellStyle name="差 10 2 12" xfId="15931"/>
    <cellStyle name="差 10 2 13" xfId="15932"/>
    <cellStyle name="差 10 2 14" xfId="15933"/>
    <cellStyle name="差 10 2 15" xfId="15934"/>
    <cellStyle name="差 10 2 16" xfId="15935"/>
    <cellStyle name="差 10 2 17" xfId="15936"/>
    <cellStyle name="差 10 2 18" xfId="15937"/>
    <cellStyle name="差 10 2 19" xfId="15938"/>
    <cellStyle name="差 10 2 2" xfId="15939"/>
    <cellStyle name="差 10 2 20" xfId="15940"/>
    <cellStyle name="差 10 2 21" xfId="15941"/>
    <cellStyle name="差 10 2 22" xfId="15942"/>
    <cellStyle name="差 10 2 23" xfId="15943"/>
    <cellStyle name="差 10 2 24" xfId="15944"/>
    <cellStyle name="差 10 2 25" xfId="15945"/>
    <cellStyle name="差 10 2 26" xfId="15946"/>
    <cellStyle name="差 10 2 27" xfId="15947"/>
    <cellStyle name="差 10 2 3" xfId="15948"/>
    <cellStyle name="差 10 2 4" xfId="15949"/>
    <cellStyle name="差 10 2 5" xfId="15950"/>
    <cellStyle name="差 10 2 6" xfId="15951"/>
    <cellStyle name="差 10 2 7" xfId="15952"/>
    <cellStyle name="差 10 2 8" xfId="15953"/>
    <cellStyle name="差 10 2 9" xfId="15954"/>
    <cellStyle name="差 10 20" xfId="15955"/>
    <cellStyle name="差 10 21" xfId="15956"/>
    <cellStyle name="差 10 22" xfId="15957"/>
    <cellStyle name="差 10 23" xfId="15958"/>
    <cellStyle name="差 10 24" xfId="15959"/>
    <cellStyle name="差 10 25" xfId="15960"/>
    <cellStyle name="差 10 26" xfId="15961"/>
    <cellStyle name="差 10 27" xfId="15962"/>
    <cellStyle name="差 10 28" xfId="15963"/>
    <cellStyle name="差 10 3" xfId="15964"/>
    <cellStyle name="差 10 4" xfId="15965"/>
    <cellStyle name="差 10 5" xfId="15966"/>
    <cellStyle name="差 10 6" xfId="15967"/>
    <cellStyle name="差 10 7" xfId="15968"/>
    <cellStyle name="差 10 8" xfId="15969"/>
    <cellStyle name="差 10 9" xfId="15970"/>
    <cellStyle name="差 11" xfId="15971"/>
    <cellStyle name="差 11 10" xfId="15972"/>
    <cellStyle name="差 11 11" xfId="15973"/>
    <cellStyle name="差 11 12" xfId="15974"/>
    <cellStyle name="差 11 13" xfId="15975"/>
    <cellStyle name="差 11 14" xfId="15976"/>
    <cellStyle name="差 11 15" xfId="15977"/>
    <cellStyle name="差 11 16" xfId="15978"/>
    <cellStyle name="差 11 17" xfId="15979"/>
    <cellStyle name="差 11 18" xfId="15980"/>
    <cellStyle name="差 11 19" xfId="15981"/>
    <cellStyle name="差 11 2" xfId="15982"/>
    <cellStyle name="差 11 2 10" xfId="15983"/>
    <cellStyle name="差 11 2 11" xfId="15984"/>
    <cellStyle name="差 11 2 12" xfId="15985"/>
    <cellStyle name="差 11 2 13" xfId="15986"/>
    <cellStyle name="差 11 2 14" xfId="15987"/>
    <cellStyle name="差 11 2 15" xfId="15988"/>
    <cellStyle name="差 11 2 16" xfId="15989"/>
    <cellStyle name="差 11 2 17" xfId="15990"/>
    <cellStyle name="差 11 2 18" xfId="15991"/>
    <cellStyle name="差 11 2 19" xfId="15992"/>
    <cellStyle name="差 11 2 2" xfId="15993"/>
    <cellStyle name="差 11 2 20" xfId="15994"/>
    <cellStyle name="差 11 2 21" xfId="15995"/>
    <cellStyle name="差 11 2 22" xfId="15996"/>
    <cellStyle name="差 11 2 23" xfId="15997"/>
    <cellStyle name="差 11 2 24" xfId="15998"/>
    <cellStyle name="差 11 2 25" xfId="15999"/>
    <cellStyle name="差 11 2 26" xfId="16000"/>
    <cellStyle name="差 11 2 27" xfId="16001"/>
    <cellStyle name="差 11 2 3" xfId="16002"/>
    <cellStyle name="差 11 2 4" xfId="16003"/>
    <cellStyle name="差 11 2 5" xfId="16004"/>
    <cellStyle name="差 11 2 6" xfId="16005"/>
    <cellStyle name="差 11 2 7" xfId="16006"/>
    <cellStyle name="差 11 2 8" xfId="16007"/>
    <cellStyle name="差 11 2 9" xfId="16008"/>
    <cellStyle name="差 11 20" xfId="16009"/>
    <cellStyle name="差 11 21" xfId="16010"/>
    <cellStyle name="差 11 22" xfId="16011"/>
    <cellStyle name="差 11 23" xfId="16012"/>
    <cellStyle name="差 11 24" xfId="16013"/>
    <cellStyle name="差 11 25" xfId="16014"/>
    <cellStyle name="差 11 26" xfId="16015"/>
    <cellStyle name="差 11 27" xfId="16016"/>
    <cellStyle name="差 11 28" xfId="16017"/>
    <cellStyle name="差 11 3" xfId="16018"/>
    <cellStyle name="差 11 4" xfId="16019"/>
    <cellStyle name="差 11 5" xfId="16020"/>
    <cellStyle name="差 11 6" xfId="16021"/>
    <cellStyle name="差 11 7" xfId="16022"/>
    <cellStyle name="差 11 8" xfId="16023"/>
    <cellStyle name="差 11 9" xfId="16024"/>
    <cellStyle name="差 12" xfId="16025"/>
    <cellStyle name="差 13" xfId="16026"/>
    <cellStyle name="差 14" xfId="16027"/>
    <cellStyle name="差 15" xfId="16028"/>
    <cellStyle name="差 16" xfId="16029"/>
    <cellStyle name="差 17" xfId="16030"/>
    <cellStyle name="差 18" xfId="16031"/>
    <cellStyle name="差 19" xfId="16032"/>
    <cellStyle name="差 2" xfId="16033"/>
    <cellStyle name="差 2 10" xfId="16034"/>
    <cellStyle name="差 2 11" xfId="16035"/>
    <cellStyle name="差 2 12" xfId="16036"/>
    <cellStyle name="差 2 13" xfId="16037"/>
    <cellStyle name="差 2 14" xfId="16038"/>
    <cellStyle name="差 2 15" xfId="16039"/>
    <cellStyle name="差 2 16" xfId="16040"/>
    <cellStyle name="差 2 17" xfId="16041"/>
    <cellStyle name="差 2 18" xfId="16042"/>
    <cellStyle name="差 2 19" xfId="16043"/>
    <cellStyle name="差 2 2" xfId="16044"/>
    <cellStyle name="差 2 2 10" xfId="16045"/>
    <cellStyle name="差 2 2 11" xfId="16046"/>
    <cellStyle name="差 2 2 12" xfId="16047"/>
    <cellStyle name="差 2 2 13" xfId="16048"/>
    <cellStyle name="差 2 2 14" xfId="16049"/>
    <cellStyle name="差 2 2 15" xfId="16050"/>
    <cellStyle name="差 2 2 16" xfId="16051"/>
    <cellStyle name="差 2 2 17" xfId="16052"/>
    <cellStyle name="差 2 2 18" xfId="16053"/>
    <cellStyle name="差 2 2 19" xfId="16054"/>
    <cellStyle name="差 2 2 2" xfId="16055"/>
    <cellStyle name="差 2 2 2 10" xfId="16056"/>
    <cellStyle name="差 2 2 2 11" xfId="16057"/>
    <cellStyle name="差 2 2 2 12" xfId="16058"/>
    <cellStyle name="差 2 2 2 13" xfId="16059"/>
    <cellStyle name="差 2 2 2 14" xfId="16060"/>
    <cellStyle name="差 2 2 2 15" xfId="16061"/>
    <cellStyle name="差 2 2 2 16" xfId="16062"/>
    <cellStyle name="差 2 2 2 17" xfId="16063"/>
    <cellStyle name="差 2 2 2 18" xfId="16064"/>
    <cellStyle name="差 2 2 2 19" xfId="16065"/>
    <cellStyle name="差 2 2 2 2" xfId="16066"/>
    <cellStyle name="差 2 2 2 20" xfId="16067"/>
    <cellStyle name="差 2 2 2 21" xfId="16068"/>
    <cellStyle name="差 2 2 2 22" xfId="16069"/>
    <cellStyle name="差 2 2 2 23" xfId="16070"/>
    <cellStyle name="差 2 2 2 24" xfId="16071"/>
    <cellStyle name="差 2 2 2 25" xfId="16072"/>
    <cellStyle name="差 2 2 2 26" xfId="16073"/>
    <cellStyle name="差 2 2 2 27" xfId="16074"/>
    <cellStyle name="差 2 2 2 3" xfId="16075"/>
    <cellStyle name="差 2 2 2 4" xfId="16076"/>
    <cellStyle name="差 2 2 2 5" xfId="16077"/>
    <cellStyle name="差 2 2 2 6" xfId="16078"/>
    <cellStyle name="差 2 2 2 7" xfId="16079"/>
    <cellStyle name="差 2 2 2 8" xfId="16080"/>
    <cellStyle name="差 2 2 2 9" xfId="16081"/>
    <cellStyle name="差 2 2 20" xfId="16082"/>
    <cellStyle name="差 2 2 21" xfId="16083"/>
    <cellStyle name="差 2 2 22" xfId="16084"/>
    <cellStyle name="差 2 2 23" xfId="16085"/>
    <cellStyle name="差 2 2 24" xfId="16086"/>
    <cellStyle name="差 2 2 25" xfId="16087"/>
    <cellStyle name="差 2 2 26" xfId="16088"/>
    <cellStyle name="差 2 2 27" xfId="16089"/>
    <cellStyle name="差 2 2 28" xfId="16090"/>
    <cellStyle name="差 2 2 3" xfId="16091"/>
    <cellStyle name="差 2 2 4" xfId="16092"/>
    <cellStyle name="差 2 2 5" xfId="16093"/>
    <cellStyle name="差 2 2 6" xfId="16094"/>
    <cellStyle name="差 2 2 7" xfId="16095"/>
    <cellStyle name="差 2 2 8" xfId="16096"/>
    <cellStyle name="差 2 2 9" xfId="16097"/>
    <cellStyle name="差 2 20" xfId="16098"/>
    <cellStyle name="差 2 21" xfId="16099"/>
    <cellStyle name="差 2 22" xfId="16100"/>
    <cellStyle name="差 2 23" xfId="16101"/>
    <cellStyle name="差 2 24" xfId="16102"/>
    <cellStyle name="差 2 25" xfId="16103"/>
    <cellStyle name="差 2 26" xfId="16104"/>
    <cellStyle name="差 2 27" xfId="16105"/>
    <cellStyle name="差 2 28" xfId="16106"/>
    <cellStyle name="差 2 29" xfId="16107"/>
    <cellStyle name="差 2 3" xfId="16108"/>
    <cellStyle name="差 2 3 10" xfId="16109"/>
    <cellStyle name="差 2 3 11" xfId="16110"/>
    <cellStyle name="差 2 3 12" xfId="16111"/>
    <cellStyle name="差 2 3 13" xfId="16112"/>
    <cellStyle name="差 2 3 14" xfId="16113"/>
    <cellStyle name="差 2 3 15" xfId="16114"/>
    <cellStyle name="差 2 3 16" xfId="16115"/>
    <cellStyle name="差 2 3 17" xfId="16116"/>
    <cellStyle name="差 2 3 18" xfId="16117"/>
    <cellStyle name="差 2 3 19" xfId="16118"/>
    <cellStyle name="差 2 3 2" xfId="16119"/>
    <cellStyle name="差 2 3 2 10" xfId="16120"/>
    <cellStyle name="差 2 3 2 11" xfId="16121"/>
    <cellStyle name="差 2 3 2 12" xfId="16122"/>
    <cellStyle name="差 2 3 2 13" xfId="16123"/>
    <cellStyle name="差 2 3 2 14" xfId="16124"/>
    <cellStyle name="差 2 3 2 15" xfId="16125"/>
    <cellStyle name="差 2 3 2 16" xfId="16126"/>
    <cellStyle name="差 2 3 2 17" xfId="16127"/>
    <cellStyle name="差 2 3 2 18" xfId="16128"/>
    <cellStyle name="差 2 3 2 19" xfId="16129"/>
    <cellStyle name="差 2 3 2 2" xfId="16130"/>
    <cellStyle name="差 2 3 2 20" xfId="16131"/>
    <cellStyle name="差 2 3 2 21" xfId="16132"/>
    <cellStyle name="差 2 3 2 22" xfId="16133"/>
    <cellStyle name="差 2 3 2 23" xfId="16134"/>
    <cellStyle name="差 2 3 2 24" xfId="16135"/>
    <cellStyle name="差 2 3 2 25" xfId="16136"/>
    <cellStyle name="差 2 3 2 26" xfId="16137"/>
    <cellStyle name="差 2 3 2 27" xfId="16138"/>
    <cellStyle name="差 2 3 2 3" xfId="16139"/>
    <cellStyle name="差 2 3 2 4" xfId="16140"/>
    <cellStyle name="差 2 3 2 5" xfId="16141"/>
    <cellStyle name="差 2 3 2 6" xfId="16142"/>
    <cellStyle name="差 2 3 2 7" xfId="16143"/>
    <cellStyle name="差 2 3 2 8" xfId="16144"/>
    <cellStyle name="差 2 3 2 9" xfId="16145"/>
    <cellStyle name="差 2 3 20" xfId="16146"/>
    <cellStyle name="差 2 3 21" xfId="16147"/>
    <cellStyle name="差 2 3 22" xfId="16148"/>
    <cellStyle name="差 2 3 23" xfId="16149"/>
    <cellStyle name="差 2 3 24" xfId="16150"/>
    <cellStyle name="差 2 3 25" xfId="16151"/>
    <cellStyle name="差 2 3 26" xfId="16152"/>
    <cellStyle name="差 2 3 27" xfId="16153"/>
    <cellStyle name="差 2 3 28" xfId="16154"/>
    <cellStyle name="差 2 3 3" xfId="16155"/>
    <cellStyle name="差 2 3 4" xfId="16156"/>
    <cellStyle name="差 2 3 5" xfId="16157"/>
    <cellStyle name="差 2 3 6" xfId="16158"/>
    <cellStyle name="差 2 3 7" xfId="16159"/>
    <cellStyle name="差 2 3 8" xfId="16160"/>
    <cellStyle name="差 2 3 9" xfId="16161"/>
    <cellStyle name="差 2 30" xfId="16162"/>
    <cellStyle name="差 2 31" xfId="16163"/>
    <cellStyle name="差 2 32" xfId="16164"/>
    <cellStyle name="差 2 33" xfId="16165"/>
    <cellStyle name="差 2 4" xfId="16166"/>
    <cellStyle name="差 2 4 10" xfId="16167"/>
    <cellStyle name="差 2 4 11" xfId="16168"/>
    <cellStyle name="差 2 4 12" xfId="16169"/>
    <cellStyle name="差 2 4 13" xfId="16170"/>
    <cellStyle name="差 2 4 14" xfId="16171"/>
    <cellStyle name="差 2 4 15" xfId="16172"/>
    <cellStyle name="差 2 4 16" xfId="16173"/>
    <cellStyle name="差 2 4 17" xfId="16174"/>
    <cellStyle name="差 2 4 18" xfId="16175"/>
    <cellStyle name="差 2 4 19" xfId="16176"/>
    <cellStyle name="差 2 4 2" xfId="16177"/>
    <cellStyle name="差 2 4 20" xfId="16178"/>
    <cellStyle name="差 2 4 21" xfId="16179"/>
    <cellStyle name="差 2 4 22" xfId="16180"/>
    <cellStyle name="差 2 4 23" xfId="16181"/>
    <cellStyle name="差 2 4 24" xfId="16182"/>
    <cellStyle name="差 2 4 25" xfId="16183"/>
    <cellStyle name="差 2 4 26" xfId="16184"/>
    <cellStyle name="差 2 4 27" xfId="16185"/>
    <cellStyle name="差 2 4 3" xfId="16186"/>
    <cellStyle name="差 2 4 4" xfId="16187"/>
    <cellStyle name="差 2 4 5" xfId="16188"/>
    <cellStyle name="差 2 4 6" xfId="16189"/>
    <cellStyle name="差 2 4 7" xfId="16190"/>
    <cellStyle name="差 2 4 8" xfId="16191"/>
    <cellStyle name="差 2 4 9" xfId="16192"/>
    <cellStyle name="差 2 5" xfId="16193"/>
    <cellStyle name="差 2 6" xfId="16194"/>
    <cellStyle name="差 2 7" xfId="16195"/>
    <cellStyle name="差 2 8" xfId="16196"/>
    <cellStyle name="差 2 9" xfId="16197"/>
    <cellStyle name="差 20" xfId="16198"/>
    <cellStyle name="差 21" xfId="16199"/>
    <cellStyle name="差 22" xfId="16200"/>
    <cellStyle name="差 23" xfId="16201"/>
    <cellStyle name="差 24" xfId="16202"/>
    <cellStyle name="差 25" xfId="16203"/>
    <cellStyle name="差 26" xfId="16204"/>
    <cellStyle name="差 27" xfId="16205"/>
    <cellStyle name="差 28" xfId="16206"/>
    <cellStyle name="差 29" xfId="16207"/>
    <cellStyle name="差 3" xfId="16208"/>
    <cellStyle name="差 3 10" xfId="16209"/>
    <cellStyle name="差 3 11" xfId="16210"/>
    <cellStyle name="差 3 12" xfId="16211"/>
    <cellStyle name="差 3 13" xfId="16212"/>
    <cellStyle name="差 3 14" xfId="16213"/>
    <cellStyle name="差 3 15" xfId="16214"/>
    <cellStyle name="差 3 16" xfId="16215"/>
    <cellStyle name="差 3 17" xfId="16216"/>
    <cellStyle name="差 3 18" xfId="16217"/>
    <cellStyle name="差 3 19" xfId="16218"/>
    <cellStyle name="差 3 2" xfId="16219"/>
    <cellStyle name="差 3 2 10" xfId="16220"/>
    <cellStyle name="差 3 2 11" xfId="16221"/>
    <cellStyle name="差 3 2 12" xfId="16222"/>
    <cellStyle name="差 3 2 13" xfId="16223"/>
    <cellStyle name="差 3 2 14" xfId="16224"/>
    <cellStyle name="差 3 2 15" xfId="16225"/>
    <cellStyle name="差 3 2 16" xfId="16226"/>
    <cellStyle name="差 3 2 17" xfId="16227"/>
    <cellStyle name="差 3 2 18" xfId="16228"/>
    <cellStyle name="差 3 2 19" xfId="16229"/>
    <cellStyle name="差 3 2 2" xfId="16230"/>
    <cellStyle name="差 3 2 20" xfId="16231"/>
    <cellStyle name="差 3 2 21" xfId="16232"/>
    <cellStyle name="差 3 2 22" xfId="16233"/>
    <cellStyle name="差 3 2 23" xfId="16234"/>
    <cellStyle name="差 3 2 24" xfId="16235"/>
    <cellStyle name="差 3 2 25" xfId="16236"/>
    <cellStyle name="差 3 2 26" xfId="16237"/>
    <cellStyle name="差 3 2 27" xfId="16238"/>
    <cellStyle name="差 3 2 3" xfId="16239"/>
    <cellStyle name="差 3 2 4" xfId="16240"/>
    <cellStyle name="差 3 2 5" xfId="16241"/>
    <cellStyle name="差 3 2 6" xfId="16242"/>
    <cellStyle name="差 3 2 7" xfId="16243"/>
    <cellStyle name="差 3 2 8" xfId="16244"/>
    <cellStyle name="差 3 2 9" xfId="16245"/>
    <cellStyle name="差 3 20" xfId="16246"/>
    <cellStyle name="差 3 21" xfId="16247"/>
    <cellStyle name="差 3 22" xfId="16248"/>
    <cellStyle name="差 3 23" xfId="16249"/>
    <cellStyle name="差 3 24" xfId="16250"/>
    <cellStyle name="差 3 25" xfId="16251"/>
    <cellStyle name="差 3 26" xfId="16252"/>
    <cellStyle name="差 3 27" xfId="16253"/>
    <cellStyle name="差 3 28" xfId="16254"/>
    <cellStyle name="差 3 3" xfId="16255"/>
    <cellStyle name="差 3 4" xfId="16256"/>
    <cellStyle name="差 3 5" xfId="16257"/>
    <cellStyle name="差 3 6" xfId="16258"/>
    <cellStyle name="差 3 7" xfId="16259"/>
    <cellStyle name="差 3 8" xfId="16260"/>
    <cellStyle name="差 3 9" xfId="16261"/>
    <cellStyle name="差 30" xfId="16262"/>
    <cellStyle name="差 31" xfId="16263"/>
    <cellStyle name="差 32" xfId="16264"/>
    <cellStyle name="差 33" xfId="16265"/>
    <cellStyle name="差 34" xfId="16266"/>
    <cellStyle name="差 35" xfId="16267"/>
    <cellStyle name="差 36" xfId="16268"/>
    <cellStyle name="差 37" xfId="16269"/>
    <cellStyle name="差 38" xfId="16270"/>
    <cellStyle name="差 39" xfId="16271"/>
    <cellStyle name="差 4" xfId="16272"/>
    <cellStyle name="差 4 10" xfId="16273"/>
    <cellStyle name="差 4 11" xfId="16274"/>
    <cellStyle name="差 4 12" xfId="16275"/>
    <cellStyle name="差 4 13" xfId="16276"/>
    <cellStyle name="差 4 14" xfId="16277"/>
    <cellStyle name="差 4 15" xfId="16278"/>
    <cellStyle name="差 4 16" xfId="16279"/>
    <cellStyle name="差 4 17" xfId="16280"/>
    <cellStyle name="差 4 18" xfId="16281"/>
    <cellStyle name="差 4 19" xfId="16282"/>
    <cellStyle name="差 4 2" xfId="16283"/>
    <cellStyle name="差 4 2 10" xfId="16284"/>
    <cellStyle name="差 4 2 11" xfId="16285"/>
    <cellStyle name="差 4 2 12" xfId="16286"/>
    <cellStyle name="差 4 2 13" xfId="16287"/>
    <cellStyle name="差 4 2 14" xfId="16288"/>
    <cellStyle name="差 4 2 15" xfId="16289"/>
    <cellStyle name="差 4 2 16" xfId="16290"/>
    <cellStyle name="差 4 2 17" xfId="16291"/>
    <cellStyle name="差 4 2 18" xfId="16292"/>
    <cellStyle name="差 4 2 19" xfId="16293"/>
    <cellStyle name="差 4 2 2" xfId="16294"/>
    <cellStyle name="差 4 2 20" xfId="16295"/>
    <cellStyle name="差 4 2 21" xfId="16296"/>
    <cellStyle name="差 4 2 22" xfId="16297"/>
    <cellStyle name="差 4 2 23" xfId="16298"/>
    <cellStyle name="差 4 2 24" xfId="16299"/>
    <cellStyle name="差 4 2 25" xfId="16300"/>
    <cellStyle name="差 4 2 26" xfId="16301"/>
    <cellStyle name="差 4 2 27" xfId="16302"/>
    <cellStyle name="差 4 2 3" xfId="16303"/>
    <cellStyle name="差 4 2 4" xfId="16304"/>
    <cellStyle name="差 4 2 5" xfId="16305"/>
    <cellStyle name="差 4 2 6" xfId="16306"/>
    <cellStyle name="差 4 2 7" xfId="16307"/>
    <cellStyle name="差 4 2 8" xfId="16308"/>
    <cellStyle name="差 4 2 9" xfId="16309"/>
    <cellStyle name="差 4 20" xfId="16310"/>
    <cellStyle name="差 4 21" xfId="16311"/>
    <cellStyle name="差 4 22" xfId="16312"/>
    <cellStyle name="差 4 23" xfId="16313"/>
    <cellStyle name="差 4 24" xfId="16314"/>
    <cellStyle name="差 4 25" xfId="16315"/>
    <cellStyle name="差 4 26" xfId="16316"/>
    <cellStyle name="差 4 27" xfId="16317"/>
    <cellStyle name="差 4 28" xfId="16318"/>
    <cellStyle name="差 4 3" xfId="16319"/>
    <cellStyle name="差 4 4" xfId="16320"/>
    <cellStyle name="差 4 5" xfId="16321"/>
    <cellStyle name="差 4 6" xfId="16322"/>
    <cellStyle name="差 4 7" xfId="16323"/>
    <cellStyle name="差 4 8" xfId="16324"/>
    <cellStyle name="差 4 9" xfId="16325"/>
    <cellStyle name="差 40" xfId="16326"/>
    <cellStyle name="差 5" xfId="16327"/>
    <cellStyle name="差 5 10" xfId="16328"/>
    <cellStyle name="差 5 11" xfId="16329"/>
    <cellStyle name="差 5 12" xfId="16330"/>
    <cellStyle name="差 5 13" xfId="16331"/>
    <cellStyle name="差 5 14" xfId="16332"/>
    <cellStyle name="差 5 15" xfId="16333"/>
    <cellStyle name="差 5 16" xfId="16334"/>
    <cellStyle name="差 5 17" xfId="16335"/>
    <cellStyle name="差 5 18" xfId="16336"/>
    <cellStyle name="差 5 19" xfId="16337"/>
    <cellStyle name="差 5 2" xfId="16338"/>
    <cellStyle name="差 5 2 10" xfId="16339"/>
    <cellStyle name="差 5 2 11" xfId="16340"/>
    <cellStyle name="差 5 2 12" xfId="16341"/>
    <cellStyle name="差 5 2 13" xfId="16342"/>
    <cellStyle name="差 5 2 14" xfId="16343"/>
    <cellStyle name="差 5 2 15" xfId="16344"/>
    <cellStyle name="差 5 2 16" xfId="16345"/>
    <cellStyle name="差 5 2 17" xfId="16346"/>
    <cellStyle name="差 5 2 18" xfId="16347"/>
    <cellStyle name="差 5 2 19" xfId="16348"/>
    <cellStyle name="差 5 2 2" xfId="16349"/>
    <cellStyle name="差 5 2 20" xfId="16350"/>
    <cellStyle name="差 5 2 21" xfId="16351"/>
    <cellStyle name="差 5 2 22" xfId="16352"/>
    <cellStyle name="差 5 2 23" xfId="16353"/>
    <cellStyle name="差 5 2 24" xfId="16354"/>
    <cellStyle name="差 5 2 25" xfId="16355"/>
    <cellStyle name="差 5 2 26" xfId="16356"/>
    <cellStyle name="差 5 2 27" xfId="16357"/>
    <cellStyle name="差 5 2 3" xfId="16358"/>
    <cellStyle name="差 5 2 4" xfId="16359"/>
    <cellStyle name="差 5 2 5" xfId="16360"/>
    <cellStyle name="差 5 2 6" xfId="16361"/>
    <cellStyle name="差 5 2 7" xfId="16362"/>
    <cellStyle name="差 5 2 8" xfId="16363"/>
    <cellStyle name="差 5 2 9" xfId="16364"/>
    <cellStyle name="差 5 20" xfId="16365"/>
    <cellStyle name="差 5 21" xfId="16366"/>
    <cellStyle name="差 5 22" xfId="16367"/>
    <cellStyle name="差 5 23" xfId="16368"/>
    <cellStyle name="差 5 24" xfId="16369"/>
    <cellStyle name="差 5 25" xfId="16370"/>
    <cellStyle name="差 5 26" xfId="16371"/>
    <cellStyle name="差 5 27" xfId="16372"/>
    <cellStyle name="差 5 28" xfId="16373"/>
    <cellStyle name="差 5 3" xfId="16374"/>
    <cellStyle name="差 5 4" xfId="16375"/>
    <cellStyle name="差 5 5" xfId="16376"/>
    <cellStyle name="差 5 6" xfId="16377"/>
    <cellStyle name="差 5 7" xfId="16378"/>
    <cellStyle name="差 5 8" xfId="16379"/>
    <cellStyle name="差 5 9" xfId="16380"/>
    <cellStyle name="差 6" xfId="16381"/>
    <cellStyle name="差 6 10" xfId="16382"/>
    <cellStyle name="差 6 11" xfId="16383"/>
    <cellStyle name="差 6 12" xfId="16384"/>
    <cellStyle name="差 6 13" xfId="16385"/>
    <cellStyle name="差 6 14" xfId="16386"/>
    <cellStyle name="差 6 15" xfId="16387"/>
    <cellStyle name="差 6 16" xfId="16388"/>
    <cellStyle name="差 6 17" xfId="16389"/>
    <cellStyle name="差 6 18" xfId="16390"/>
    <cellStyle name="差 6 19" xfId="16391"/>
    <cellStyle name="差 6 2" xfId="16392"/>
    <cellStyle name="差 6 2 10" xfId="16393"/>
    <cellStyle name="差 6 2 11" xfId="16394"/>
    <cellStyle name="差 6 2 12" xfId="16395"/>
    <cellStyle name="差 6 2 13" xfId="16396"/>
    <cellStyle name="差 6 2 14" xfId="16397"/>
    <cellStyle name="差 6 2 15" xfId="16398"/>
    <cellStyle name="差 6 2 16" xfId="16399"/>
    <cellStyle name="差 6 2 17" xfId="16400"/>
    <cellStyle name="差 6 2 18" xfId="16401"/>
    <cellStyle name="差 6 2 19" xfId="16402"/>
    <cellStyle name="差 6 2 2" xfId="16403"/>
    <cellStyle name="差 6 2 20" xfId="16404"/>
    <cellStyle name="差 6 2 21" xfId="16405"/>
    <cellStyle name="差 6 2 22" xfId="16406"/>
    <cellStyle name="差 6 2 23" xfId="16407"/>
    <cellStyle name="差 6 2 24" xfId="16408"/>
    <cellStyle name="差 6 2 25" xfId="16409"/>
    <cellStyle name="差 6 2 26" xfId="16410"/>
    <cellStyle name="差 6 2 27" xfId="16411"/>
    <cellStyle name="差 6 2 3" xfId="16412"/>
    <cellStyle name="差 6 2 4" xfId="16413"/>
    <cellStyle name="差 6 2 5" xfId="16414"/>
    <cellStyle name="差 6 2 6" xfId="16415"/>
    <cellStyle name="差 6 2 7" xfId="16416"/>
    <cellStyle name="差 6 2 8" xfId="16417"/>
    <cellStyle name="差 6 2 9" xfId="16418"/>
    <cellStyle name="差 6 20" xfId="16419"/>
    <cellStyle name="差 6 21" xfId="16420"/>
    <cellStyle name="差 6 22" xfId="16421"/>
    <cellStyle name="差 6 23" xfId="16422"/>
    <cellStyle name="差 6 24" xfId="16423"/>
    <cellStyle name="差 6 25" xfId="16424"/>
    <cellStyle name="差 6 26" xfId="16425"/>
    <cellStyle name="差 6 27" xfId="16426"/>
    <cellStyle name="差 6 28" xfId="16427"/>
    <cellStyle name="差 6 3" xfId="16428"/>
    <cellStyle name="差 6 4" xfId="16429"/>
    <cellStyle name="差 6 5" xfId="16430"/>
    <cellStyle name="差 6 6" xfId="16431"/>
    <cellStyle name="差 6 7" xfId="16432"/>
    <cellStyle name="差 6 8" xfId="16433"/>
    <cellStyle name="差 6 9" xfId="16434"/>
    <cellStyle name="差 7" xfId="16435"/>
    <cellStyle name="差 7 10" xfId="16436"/>
    <cellStyle name="差 7 11" xfId="16437"/>
    <cellStyle name="差 7 12" xfId="16438"/>
    <cellStyle name="差 7 13" xfId="16439"/>
    <cellStyle name="差 7 14" xfId="16440"/>
    <cellStyle name="差 7 15" xfId="16441"/>
    <cellStyle name="差 7 16" xfId="16442"/>
    <cellStyle name="差 7 17" xfId="16443"/>
    <cellStyle name="差 7 18" xfId="16444"/>
    <cellStyle name="差 7 19" xfId="16445"/>
    <cellStyle name="差 7 2" xfId="16446"/>
    <cellStyle name="差 7 2 10" xfId="16447"/>
    <cellStyle name="差 7 2 11" xfId="16448"/>
    <cellStyle name="差 7 2 12" xfId="16449"/>
    <cellStyle name="差 7 2 13" xfId="16450"/>
    <cellStyle name="差 7 2 14" xfId="16451"/>
    <cellStyle name="差 7 2 15" xfId="16452"/>
    <cellStyle name="差 7 2 16" xfId="16453"/>
    <cellStyle name="差 7 2 17" xfId="16454"/>
    <cellStyle name="差 7 2 18" xfId="16455"/>
    <cellStyle name="差 7 2 19" xfId="16456"/>
    <cellStyle name="差 7 2 2" xfId="16457"/>
    <cellStyle name="差 7 2 20" xfId="16458"/>
    <cellStyle name="差 7 2 21" xfId="16459"/>
    <cellStyle name="差 7 2 22" xfId="16460"/>
    <cellStyle name="差 7 2 23" xfId="16461"/>
    <cellStyle name="差 7 2 24" xfId="16462"/>
    <cellStyle name="差 7 2 25" xfId="16463"/>
    <cellStyle name="差 7 2 26" xfId="16464"/>
    <cellStyle name="差 7 2 27" xfId="16465"/>
    <cellStyle name="差 7 2 3" xfId="16466"/>
    <cellStyle name="差 7 2 4" xfId="16467"/>
    <cellStyle name="差 7 2 5" xfId="16468"/>
    <cellStyle name="差 7 2 6" xfId="16469"/>
    <cellStyle name="差 7 2 7" xfId="16470"/>
    <cellStyle name="差 7 2 8" xfId="16471"/>
    <cellStyle name="差 7 2 9" xfId="16472"/>
    <cellStyle name="差 7 20" xfId="16473"/>
    <cellStyle name="差 7 21" xfId="16474"/>
    <cellStyle name="差 7 22" xfId="16475"/>
    <cellStyle name="差 7 23" xfId="16476"/>
    <cellStyle name="差 7 24" xfId="16477"/>
    <cellStyle name="差 7 25" xfId="16478"/>
    <cellStyle name="差 7 26" xfId="16479"/>
    <cellStyle name="差 7 27" xfId="16480"/>
    <cellStyle name="差 7 28" xfId="16481"/>
    <cellStyle name="差 7 3" xfId="16482"/>
    <cellStyle name="差 7 4" xfId="16483"/>
    <cellStyle name="差 7 5" xfId="16484"/>
    <cellStyle name="差 7 6" xfId="16485"/>
    <cellStyle name="差 7 7" xfId="16486"/>
    <cellStyle name="差 7 8" xfId="16487"/>
    <cellStyle name="差 7 9" xfId="16488"/>
    <cellStyle name="差 8" xfId="16489"/>
    <cellStyle name="差 8 10" xfId="16490"/>
    <cellStyle name="差 8 11" xfId="16491"/>
    <cellStyle name="差 8 12" xfId="16492"/>
    <cellStyle name="差 8 13" xfId="16493"/>
    <cellStyle name="差 8 14" xfId="16494"/>
    <cellStyle name="差 8 15" xfId="16495"/>
    <cellStyle name="差 8 16" xfId="16496"/>
    <cellStyle name="差 8 17" xfId="16497"/>
    <cellStyle name="差 8 18" xfId="16498"/>
    <cellStyle name="差 8 19" xfId="16499"/>
    <cellStyle name="差 8 2" xfId="16500"/>
    <cellStyle name="差 8 2 10" xfId="16501"/>
    <cellStyle name="差 8 2 11" xfId="16502"/>
    <cellStyle name="差 8 2 12" xfId="16503"/>
    <cellStyle name="差 8 2 13" xfId="16504"/>
    <cellStyle name="差 8 2 14" xfId="16505"/>
    <cellStyle name="差 8 2 15" xfId="16506"/>
    <cellStyle name="差 8 2 16" xfId="16507"/>
    <cellStyle name="差 8 2 17" xfId="16508"/>
    <cellStyle name="差 8 2 18" xfId="16509"/>
    <cellStyle name="差 8 2 19" xfId="16510"/>
    <cellStyle name="差 8 2 2" xfId="16511"/>
    <cellStyle name="差 8 2 20" xfId="16512"/>
    <cellStyle name="差 8 2 21" xfId="16513"/>
    <cellStyle name="差 8 2 22" xfId="16514"/>
    <cellStyle name="差 8 2 23" xfId="16515"/>
    <cellStyle name="差 8 2 24" xfId="16516"/>
    <cellStyle name="差 8 2 25" xfId="16517"/>
    <cellStyle name="差 8 2 26" xfId="16518"/>
    <cellStyle name="差 8 2 27" xfId="16519"/>
    <cellStyle name="差 8 2 3" xfId="16520"/>
    <cellStyle name="差 8 2 4" xfId="16521"/>
    <cellStyle name="差 8 2 5" xfId="16522"/>
    <cellStyle name="差 8 2 6" xfId="16523"/>
    <cellStyle name="差 8 2 7" xfId="16524"/>
    <cellStyle name="差 8 2 8" xfId="16525"/>
    <cellStyle name="差 8 2 9" xfId="16526"/>
    <cellStyle name="差 8 20" xfId="16527"/>
    <cellStyle name="差 8 21" xfId="16528"/>
    <cellStyle name="差 8 22" xfId="16529"/>
    <cellStyle name="差 8 23" xfId="16530"/>
    <cellStyle name="差 8 24" xfId="16531"/>
    <cellStyle name="差 8 25" xfId="16532"/>
    <cellStyle name="差 8 26" xfId="16533"/>
    <cellStyle name="差 8 27" xfId="16534"/>
    <cellStyle name="差 8 28" xfId="16535"/>
    <cellStyle name="差 8 3" xfId="16536"/>
    <cellStyle name="差 8 4" xfId="16537"/>
    <cellStyle name="差 8 5" xfId="16538"/>
    <cellStyle name="差 8 6" xfId="16539"/>
    <cellStyle name="差 8 7" xfId="16540"/>
    <cellStyle name="差 8 8" xfId="16541"/>
    <cellStyle name="差 8 9" xfId="16542"/>
    <cellStyle name="差 9" xfId="16543"/>
    <cellStyle name="差 9 10" xfId="16544"/>
    <cellStyle name="差 9 11" xfId="16545"/>
    <cellStyle name="差 9 12" xfId="16546"/>
    <cellStyle name="差 9 13" xfId="16547"/>
    <cellStyle name="差 9 14" xfId="16548"/>
    <cellStyle name="差 9 15" xfId="16549"/>
    <cellStyle name="差 9 16" xfId="16550"/>
    <cellStyle name="差 9 17" xfId="16551"/>
    <cellStyle name="差 9 18" xfId="16552"/>
    <cellStyle name="差 9 19" xfId="16553"/>
    <cellStyle name="差 9 2" xfId="16554"/>
    <cellStyle name="差 9 2 10" xfId="16555"/>
    <cellStyle name="差 9 2 11" xfId="16556"/>
    <cellStyle name="差 9 2 12" xfId="16557"/>
    <cellStyle name="差 9 2 13" xfId="16558"/>
    <cellStyle name="差 9 2 14" xfId="16559"/>
    <cellStyle name="差 9 2 15" xfId="16560"/>
    <cellStyle name="差 9 2 16" xfId="16561"/>
    <cellStyle name="差 9 2 17" xfId="16562"/>
    <cellStyle name="差 9 2 18" xfId="16563"/>
    <cellStyle name="差 9 2 19" xfId="16564"/>
    <cellStyle name="差 9 2 2" xfId="16565"/>
    <cellStyle name="差 9 2 20" xfId="16566"/>
    <cellStyle name="差 9 2 21" xfId="16567"/>
    <cellStyle name="差 9 2 22" xfId="16568"/>
    <cellStyle name="差 9 2 23" xfId="16569"/>
    <cellStyle name="差 9 2 24" xfId="16570"/>
    <cellStyle name="差 9 2 25" xfId="16571"/>
    <cellStyle name="差 9 2 26" xfId="16572"/>
    <cellStyle name="差 9 2 27" xfId="16573"/>
    <cellStyle name="差 9 2 3" xfId="16574"/>
    <cellStyle name="差 9 2 4" xfId="16575"/>
    <cellStyle name="差 9 2 5" xfId="16576"/>
    <cellStyle name="差 9 2 6" xfId="16577"/>
    <cellStyle name="差 9 2 7" xfId="16578"/>
    <cellStyle name="差 9 2 8" xfId="16579"/>
    <cellStyle name="差 9 2 9" xfId="16580"/>
    <cellStyle name="差 9 20" xfId="16581"/>
    <cellStyle name="差 9 21" xfId="16582"/>
    <cellStyle name="差 9 22" xfId="16583"/>
    <cellStyle name="差 9 23" xfId="16584"/>
    <cellStyle name="差 9 24" xfId="16585"/>
    <cellStyle name="差 9 25" xfId="16586"/>
    <cellStyle name="差 9 26" xfId="16587"/>
    <cellStyle name="差 9 27" xfId="16588"/>
    <cellStyle name="差 9 28" xfId="16589"/>
    <cellStyle name="差 9 3" xfId="16590"/>
    <cellStyle name="差 9 4" xfId="16591"/>
    <cellStyle name="差 9 5" xfId="16592"/>
    <cellStyle name="差 9 6" xfId="16593"/>
    <cellStyle name="差 9 7" xfId="16594"/>
    <cellStyle name="差 9 8" xfId="16595"/>
    <cellStyle name="差 9 9" xfId="16596"/>
    <cellStyle name="常规" xfId="0" builtinId="0"/>
    <cellStyle name="常规 10" xfId="16597"/>
    <cellStyle name="常规 10 2" xfId="16598"/>
    <cellStyle name="常规 100" xfId="16599"/>
    <cellStyle name="常规 100 2" xfId="16600"/>
    <cellStyle name="常规 101" xfId="16601"/>
    <cellStyle name="常规 101 2" xfId="16602"/>
    <cellStyle name="常规 102" xfId="16603"/>
    <cellStyle name="常规 102 2" xfId="16604"/>
    <cellStyle name="常规 103" xfId="16605"/>
    <cellStyle name="常规 103 2" xfId="16606"/>
    <cellStyle name="常规 104" xfId="16607"/>
    <cellStyle name="常规 104 2" xfId="16608"/>
    <cellStyle name="常规 105" xfId="16609"/>
    <cellStyle name="常规 106" xfId="16610"/>
    <cellStyle name="常规 106 2" xfId="16611"/>
    <cellStyle name="常规 107" xfId="16612"/>
    <cellStyle name="常规 108" xfId="16613"/>
    <cellStyle name="常规 109" xfId="16614"/>
    <cellStyle name="常规 11" xfId="16615"/>
    <cellStyle name="常规 11 2" xfId="16616"/>
    <cellStyle name="常规 110" xfId="16617"/>
    <cellStyle name="常规 111" xfId="16618"/>
    <cellStyle name="常规 112" xfId="16619"/>
    <cellStyle name="常规 113" xfId="16620"/>
    <cellStyle name="常规 114" xfId="16621"/>
    <cellStyle name="常规 115" xfId="16622"/>
    <cellStyle name="常规 116" xfId="16623"/>
    <cellStyle name="常规 117" xfId="16624"/>
    <cellStyle name="常规 118" xfId="16625"/>
    <cellStyle name="常规 119" xfId="16626"/>
    <cellStyle name="常规 119 2" xfId="16627"/>
    <cellStyle name="常规 12" xfId="16628"/>
    <cellStyle name="常规 12 2" xfId="16629"/>
    <cellStyle name="常规 120" xfId="16630"/>
    <cellStyle name="常规 120 2" xfId="16631"/>
    <cellStyle name="常规 121" xfId="16632"/>
    <cellStyle name="常规 121 2" xfId="16633"/>
    <cellStyle name="常规 122" xfId="16634"/>
    <cellStyle name="常规 123" xfId="16635"/>
    <cellStyle name="常规 123 2" xfId="16636"/>
    <cellStyle name="常规 124" xfId="16637"/>
    <cellStyle name="常规 124 2" xfId="16638"/>
    <cellStyle name="常规 125" xfId="16639"/>
    <cellStyle name="常规 125 2" xfId="16640"/>
    <cellStyle name="常规 126" xfId="16641"/>
    <cellStyle name="常规 126 2" xfId="16642"/>
    <cellStyle name="常规 127" xfId="16643"/>
    <cellStyle name="常规 128" xfId="16644"/>
    <cellStyle name="常规 128 2" xfId="16645"/>
    <cellStyle name="常规 129" xfId="16646"/>
    <cellStyle name="常规 13" xfId="16647"/>
    <cellStyle name="常规 13 2" xfId="16648"/>
    <cellStyle name="常规 130" xfId="16649"/>
    <cellStyle name="常规 131" xfId="16650"/>
    <cellStyle name="常规 131 2" xfId="16651"/>
    <cellStyle name="常规 132" xfId="16652"/>
    <cellStyle name="常规 132 2" xfId="16653"/>
    <cellStyle name="常规 133" xfId="16654"/>
    <cellStyle name="常规 133 2" xfId="16655"/>
    <cellStyle name="常规 134" xfId="16656"/>
    <cellStyle name="常规 134 2" xfId="16657"/>
    <cellStyle name="常规 135" xfId="16658"/>
    <cellStyle name="常规 135 2" xfId="16659"/>
    <cellStyle name="常规 136" xfId="16660"/>
    <cellStyle name="常规 136 2" xfId="16661"/>
    <cellStyle name="常规 137" xfId="16662"/>
    <cellStyle name="常规 137 2" xfId="16663"/>
    <cellStyle name="常规 138" xfId="16664"/>
    <cellStyle name="常规 138 2" xfId="16665"/>
    <cellStyle name="常规 139" xfId="16666"/>
    <cellStyle name="常规 139 2" xfId="16667"/>
    <cellStyle name="常规 14" xfId="16668"/>
    <cellStyle name="常规 14 2" xfId="16669"/>
    <cellStyle name="常规 140" xfId="16670"/>
    <cellStyle name="常规 141" xfId="17063"/>
    <cellStyle name="常规 141 2" xfId="16671"/>
    <cellStyle name="常规 141 3" xfId="16672"/>
    <cellStyle name="常规 142 2" xfId="16673"/>
    <cellStyle name="常规 142 3" xfId="16674"/>
    <cellStyle name="常规 15" xfId="16675"/>
    <cellStyle name="常规 15 2" xfId="16676"/>
    <cellStyle name="常规 16" xfId="16677"/>
    <cellStyle name="常规 16 2" xfId="16678"/>
    <cellStyle name="常规 17" xfId="16679"/>
    <cellStyle name="常规 17 2" xfId="16680"/>
    <cellStyle name="常规 18" xfId="16681"/>
    <cellStyle name="常规 18 2" xfId="16682"/>
    <cellStyle name="常规 184 2" xfId="16683"/>
    <cellStyle name="常规 19" xfId="16684"/>
    <cellStyle name="常规 19 2" xfId="16685"/>
    <cellStyle name="常规 2" xfId="16686"/>
    <cellStyle name="常规 2 10" xfId="16687"/>
    <cellStyle name="常规 2 11" xfId="16688"/>
    <cellStyle name="常规 2 11 2" xfId="16689"/>
    <cellStyle name="常规 2 2" xfId="16690"/>
    <cellStyle name="常规 2 3" xfId="16691"/>
    <cellStyle name="常规 2 4" xfId="16692"/>
    <cellStyle name="常规 2 5" xfId="16693"/>
    <cellStyle name="常规 2 6" xfId="16694"/>
    <cellStyle name="常规 2 7" xfId="16695"/>
    <cellStyle name="常规 2 8" xfId="16696"/>
    <cellStyle name="常规 2 9" xfId="16697"/>
    <cellStyle name="常规 20" xfId="16698"/>
    <cellStyle name="常规 20 2" xfId="16699"/>
    <cellStyle name="常规 21" xfId="16700"/>
    <cellStyle name="常规 21 2" xfId="16701"/>
    <cellStyle name="常规 22" xfId="16702"/>
    <cellStyle name="常规 22 2" xfId="16703"/>
    <cellStyle name="常规 23" xfId="16704"/>
    <cellStyle name="常规 23 2" xfId="16705"/>
    <cellStyle name="常规 24" xfId="16706"/>
    <cellStyle name="常规 24 2" xfId="16707"/>
    <cellStyle name="常规 25" xfId="16708"/>
    <cellStyle name="常规 25 2" xfId="16709"/>
    <cellStyle name="常规 26" xfId="16710"/>
    <cellStyle name="常规 26 2" xfId="16711"/>
    <cellStyle name="常规 27" xfId="16712"/>
    <cellStyle name="常规 27 2" xfId="16713"/>
    <cellStyle name="常规 28" xfId="16714"/>
    <cellStyle name="常规 28 2" xfId="16715"/>
    <cellStyle name="常规 29" xfId="16716"/>
    <cellStyle name="常规 29 2" xfId="16717"/>
    <cellStyle name="常规 3" xfId="16718"/>
    <cellStyle name="常规 3 2" xfId="16719"/>
    <cellStyle name="常规 30" xfId="16720"/>
    <cellStyle name="常规 30 2" xfId="16721"/>
    <cellStyle name="常规 31" xfId="16722"/>
    <cellStyle name="常规 31 2" xfId="16723"/>
    <cellStyle name="常规 32" xfId="16724"/>
    <cellStyle name="常规 32 2" xfId="16725"/>
    <cellStyle name="常规 33" xfId="16726"/>
    <cellStyle name="常规 33 2" xfId="16727"/>
    <cellStyle name="常规 34" xfId="16728"/>
    <cellStyle name="常规 34 2" xfId="16729"/>
    <cellStyle name="常规 35" xfId="16730"/>
    <cellStyle name="常规 35 2" xfId="16731"/>
    <cellStyle name="常规 36" xfId="16732"/>
    <cellStyle name="常规 36 2" xfId="16733"/>
    <cellStyle name="常规 37" xfId="16734"/>
    <cellStyle name="常规 37 2" xfId="16735"/>
    <cellStyle name="常规 38" xfId="16736"/>
    <cellStyle name="常规 38 2" xfId="16737"/>
    <cellStyle name="常规 39" xfId="16738"/>
    <cellStyle name="常规 39 2" xfId="16739"/>
    <cellStyle name="常规 4" xfId="16740"/>
    <cellStyle name="常规 4 2" xfId="16741"/>
    <cellStyle name="常规 40" xfId="16742"/>
    <cellStyle name="常规 40 2" xfId="16743"/>
    <cellStyle name="常规 41" xfId="16744"/>
    <cellStyle name="常规 41 2" xfId="16745"/>
    <cellStyle name="常规 42" xfId="16746"/>
    <cellStyle name="常规 42 2" xfId="16747"/>
    <cellStyle name="常规 43" xfId="16748"/>
    <cellStyle name="常规 43 2" xfId="16749"/>
    <cellStyle name="常规 44" xfId="16750"/>
    <cellStyle name="常规 44 2" xfId="16751"/>
    <cellStyle name="常规 45" xfId="16752"/>
    <cellStyle name="常规 45 2" xfId="16753"/>
    <cellStyle name="常规 46" xfId="16754"/>
    <cellStyle name="常规 46 2" xfId="16755"/>
    <cellStyle name="常规 47" xfId="16756"/>
    <cellStyle name="常规 47 2" xfId="16757"/>
    <cellStyle name="常规 48" xfId="16758"/>
    <cellStyle name="常规 48 2" xfId="16759"/>
    <cellStyle name="常规 49" xfId="16760"/>
    <cellStyle name="常规 49 2" xfId="16761"/>
    <cellStyle name="常规 5" xfId="16762"/>
    <cellStyle name="常规 5 2" xfId="16763"/>
    <cellStyle name="常规 50" xfId="16764"/>
    <cellStyle name="常规 50 2" xfId="16765"/>
    <cellStyle name="常规 51" xfId="16766"/>
    <cellStyle name="常规 51 2" xfId="16767"/>
    <cellStyle name="常规 52" xfId="16768"/>
    <cellStyle name="常规 52 2" xfId="16769"/>
    <cellStyle name="常规 53" xfId="16770"/>
    <cellStyle name="常规 53 2" xfId="16771"/>
    <cellStyle name="常规 54" xfId="16772"/>
    <cellStyle name="常规 54 2" xfId="16773"/>
    <cellStyle name="常规 55" xfId="16774"/>
    <cellStyle name="常规 55 2" xfId="16775"/>
    <cellStyle name="常规 56" xfId="16776"/>
    <cellStyle name="常规 56 2" xfId="16777"/>
    <cellStyle name="常规 57" xfId="16778"/>
    <cellStyle name="常规 57 2" xfId="16779"/>
    <cellStyle name="常规 58" xfId="16780"/>
    <cellStyle name="常规 58 2" xfId="16781"/>
    <cellStyle name="常规 59" xfId="16782"/>
    <cellStyle name="常规 59 2" xfId="16783"/>
    <cellStyle name="常规 6" xfId="16784"/>
    <cellStyle name="常规 6 2" xfId="16785"/>
    <cellStyle name="常规 60" xfId="16786"/>
    <cellStyle name="常规 60 2" xfId="16787"/>
    <cellStyle name="常规 61" xfId="16788"/>
    <cellStyle name="常规 61 2" xfId="16789"/>
    <cellStyle name="常规 62" xfId="16790"/>
    <cellStyle name="常规 62 2" xfId="16791"/>
    <cellStyle name="常规 63" xfId="16792"/>
    <cellStyle name="常规 63 2" xfId="16793"/>
    <cellStyle name="常规 64" xfId="16794"/>
    <cellStyle name="常规 64 2" xfId="16795"/>
    <cellStyle name="常规 65" xfId="16796"/>
    <cellStyle name="常规 65 2" xfId="16797"/>
    <cellStyle name="常规 66" xfId="16798"/>
    <cellStyle name="常规 66 2" xfId="16799"/>
    <cellStyle name="常规 67" xfId="16800"/>
    <cellStyle name="常规 67 2" xfId="16801"/>
    <cellStyle name="常规 68" xfId="16802"/>
    <cellStyle name="常规 68 2" xfId="16803"/>
    <cellStyle name="常规 69" xfId="16804"/>
    <cellStyle name="常规 69 2" xfId="16805"/>
    <cellStyle name="常规 7" xfId="16806"/>
    <cellStyle name="常规 7 2" xfId="16807"/>
    <cellStyle name="常规 70" xfId="16808"/>
    <cellStyle name="常规 70 2" xfId="16809"/>
    <cellStyle name="常规 71" xfId="16810"/>
    <cellStyle name="常规 71 2" xfId="16811"/>
    <cellStyle name="常规 72" xfId="16812"/>
    <cellStyle name="常规 72 2" xfId="16813"/>
    <cellStyle name="常规 73" xfId="16814"/>
    <cellStyle name="常规 73 2" xfId="16815"/>
    <cellStyle name="常规 74" xfId="16816"/>
    <cellStyle name="常规 74 2" xfId="16817"/>
    <cellStyle name="常规 75" xfId="16818"/>
    <cellStyle name="常规 75 2" xfId="16819"/>
    <cellStyle name="常规 76" xfId="16820"/>
    <cellStyle name="常规 76 2" xfId="16821"/>
    <cellStyle name="常规 77" xfId="16822"/>
    <cellStyle name="常规 77 2" xfId="16823"/>
    <cellStyle name="常规 78" xfId="16824"/>
    <cellStyle name="常规 78 2" xfId="16825"/>
    <cellStyle name="常规 79" xfId="16826"/>
    <cellStyle name="常规 79 2" xfId="16827"/>
    <cellStyle name="常规 8" xfId="16828"/>
    <cellStyle name="常规 8 2" xfId="16829"/>
    <cellStyle name="常规 80" xfId="16830"/>
    <cellStyle name="常规 80 2" xfId="16831"/>
    <cellStyle name="常规 81" xfId="16832"/>
    <cellStyle name="常规 81 2" xfId="16833"/>
    <cellStyle name="常规 82" xfId="16834"/>
    <cellStyle name="常规 82 2" xfId="16835"/>
    <cellStyle name="常规 83" xfId="16836"/>
    <cellStyle name="常规 83 2" xfId="16837"/>
    <cellStyle name="常规 84" xfId="16838"/>
    <cellStyle name="常规 84 2" xfId="16839"/>
    <cellStyle name="常规 85" xfId="16840"/>
    <cellStyle name="常规 85 2" xfId="16841"/>
    <cellStyle name="常规 86" xfId="16842"/>
    <cellStyle name="常规 86 2" xfId="16843"/>
    <cellStyle name="常规 87" xfId="16844"/>
    <cellStyle name="常规 87 2" xfId="16845"/>
    <cellStyle name="常规 88" xfId="16846"/>
    <cellStyle name="常规 88 2" xfId="16847"/>
    <cellStyle name="常规 89" xfId="16848"/>
    <cellStyle name="常规 89 2" xfId="16849"/>
    <cellStyle name="常规 9" xfId="16850"/>
    <cellStyle name="常规 9 2" xfId="16851"/>
    <cellStyle name="常规 90" xfId="16852"/>
    <cellStyle name="常规 91" xfId="16853"/>
    <cellStyle name="常规 91 2" xfId="16854"/>
    <cellStyle name="常规 92" xfId="16855"/>
    <cellStyle name="常规 92 2" xfId="16856"/>
    <cellStyle name="常规 93" xfId="16857"/>
    <cellStyle name="常规 93 2" xfId="16858"/>
    <cellStyle name="常规 94" xfId="16859"/>
    <cellStyle name="常规 94 2" xfId="16860"/>
    <cellStyle name="常规 95" xfId="16861"/>
    <cellStyle name="常规 95 2" xfId="16862"/>
    <cellStyle name="常规 96" xfId="16863"/>
    <cellStyle name="常规 96 2" xfId="16864"/>
    <cellStyle name="常规 97" xfId="16865"/>
    <cellStyle name="常规 97 2" xfId="16866"/>
    <cellStyle name="常规 98" xfId="16867"/>
    <cellStyle name="常规 98 2" xfId="16868"/>
    <cellStyle name="常规 99" xfId="16869"/>
    <cellStyle name="常规 99 2" xfId="16870"/>
    <cellStyle name="好" xfId="16871" builtinId="26" customBuiltin="1"/>
    <cellStyle name="好 10" xfId="16872"/>
    <cellStyle name="好 11" xfId="16873"/>
    <cellStyle name="好 2" xfId="16874"/>
    <cellStyle name="好 2 2" xfId="16875"/>
    <cellStyle name="好 2 3" xfId="16876"/>
    <cellStyle name="好 3" xfId="16877"/>
    <cellStyle name="好 4" xfId="16878"/>
    <cellStyle name="好 5" xfId="16879"/>
    <cellStyle name="好 6" xfId="16880"/>
    <cellStyle name="好 7" xfId="16881"/>
    <cellStyle name="好 8" xfId="16882"/>
    <cellStyle name="好 9" xfId="16883"/>
    <cellStyle name="汇总" xfId="16884" builtinId="25" customBuiltin="1"/>
    <cellStyle name="汇总 10" xfId="16885"/>
    <cellStyle name="汇总 11" xfId="16886"/>
    <cellStyle name="汇总 2" xfId="16887"/>
    <cellStyle name="汇总 2 2" xfId="16888"/>
    <cellStyle name="汇总 2 3" xfId="16889"/>
    <cellStyle name="汇总 3" xfId="16890"/>
    <cellStyle name="汇总 4" xfId="16891"/>
    <cellStyle name="汇总 5" xfId="16892"/>
    <cellStyle name="汇总 6" xfId="16893"/>
    <cellStyle name="汇总 7" xfId="16894"/>
    <cellStyle name="汇总 8" xfId="16895"/>
    <cellStyle name="汇总 9" xfId="16896"/>
    <cellStyle name="计算" xfId="16897" builtinId="22" customBuiltin="1"/>
    <cellStyle name="计算 10" xfId="16898"/>
    <cellStyle name="计算 11" xfId="16899"/>
    <cellStyle name="计算 2" xfId="16900"/>
    <cellStyle name="计算 2 2" xfId="16901"/>
    <cellStyle name="计算 2 3" xfId="16902"/>
    <cellStyle name="计算 3" xfId="16903"/>
    <cellStyle name="计算 4" xfId="16904"/>
    <cellStyle name="计算 5" xfId="16905"/>
    <cellStyle name="计算 6" xfId="16906"/>
    <cellStyle name="计算 7" xfId="16907"/>
    <cellStyle name="计算 8" xfId="16908"/>
    <cellStyle name="计算 9" xfId="16909"/>
    <cellStyle name="检查单元格" xfId="16910" builtinId="23" customBuiltin="1"/>
    <cellStyle name="检查单元格 10" xfId="16911"/>
    <cellStyle name="检查单元格 11" xfId="16912"/>
    <cellStyle name="检查单元格 2" xfId="16913"/>
    <cellStyle name="检查单元格 2 2" xfId="16914"/>
    <cellStyle name="检查单元格 2 3" xfId="16915"/>
    <cellStyle name="检查单元格 3" xfId="16916"/>
    <cellStyle name="检查单元格 4" xfId="16917"/>
    <cellStyle name="检查单元格 5" xfId="16918"/>
    <cellStyle name="检查单元格 6" xfId="16919"/>
    <cellStyle name="检查单元格 7" xfId="16920"/>
    <cellStyle name="检查单元格 8" xfId="16921"/>
    <cellStyle name="检查单元格 9" xfId="16922"/>
    <cellStyle name="警告文本" xfId="16923" builtinId="11" customBuiltin="1"/>
    <cellStyle name="警告文本 10" xfId="16924"/>
    <cellStyle name="警告文本 11" xfId="16925"/>
    <cellStyle name="警告文本 2" xfId="16926"/>
    <cellStyle name="警告文本 2 2" xfId="16927"/>
    <cellStyle name="警告文本 2 3" xfId="16928"/>
    <cellStyle name="警告文本 3" xfId="16929"/>
    <cellStyle name="警告文本 4" xfId="16930"/>
    <cellStyle name="警告文本 5" xfId="16931"/>
    <cellStyle name="警告文本 6" xfId="16932"/>
    <cellStyle name="警告文本 7" xfId="16933"/>
    <cellStyle name="警告文本 8" xfId="16934"/>
    <cellStyle name="警告文本 9" xfId="16935"/>
    <cellStyle name="链接单元格" xfId="16936" builtinId="24" customBuiltin="1"/>
    <cellStyle name="链接单元格 10" xfId="16937"/>
    <cellStyle name="链接单元格 11" xfId="16938"/>
    <cellStyle name="链接单元格 2" xfId="16939"/>
    <cellStyle name="链接单元格 2 2" xfId="16940"/>
    <cellStyle name="链接单元格 2 3" xfId="16941"/>
    <cellStyle name="链接单元格 3" xfId="16942"/>
    <cellStyle name="链接单元格 4" xfId="16943"/>
    <cellStyle name="链接单元格 5" xfId="16944"/>
    <cellStyle name="链接单元格 6" xfId="16945"/>
    <cellStyle name="链接单元格 7" xfId="16946"/>
    <cellStyle name="链接单元格 8" xfId="16947"/>
    <cellStyle name="链接单元格 9" xfId="16948"/>
    <cellStyle name="强调文字颜色 1 10" xfId="16949"/>
    <cellStyle name="强调文字颜色 1 11" xfId="16950"/>
    <cellStyle name="强调文字颜色 1 2" xfId="16951"/>
    <cellStyle name="强调文字颜色 1 2 2" xfId="16952"/>
    <cellStyle name="强调文字颜色 1 2 3" xfId="16953"/>
    <cellStyle name="强调文字颜色 1 3" xfId="16954"/>
    <cellStyle name="强调文字颜色 1 4" xfId="16955"/>
    <cellStyle name="强调文字颜色 1 5" xfId="16956"/>
    <cellStyle name="强调文字颜色 1 6" xfId="16957"/>
    <cellStyle name="强调文字颜色 1 7" xfId="16958"/>
    <cellStyle name="强调文字颜色 1 8" xfId="16959"/>
    <cellStyle name="强调文字颜色 1 9" xfId="16960"/>
    <cellStyle name="强调文字颜色 2 10" xfId="16961"/>
    <cellStyle name="强调文字颜色 2 11" xfId="16962"/>
    <cellStyle name="强调文字颜色 2 2" xfId="16963"/>
    <cellStyle name="强调文字颜色 2 2 2" xfId="16964"/>
    <cellStyle name="强调文字颜色 2 2 3" xfId="16965"/>
    <cellStyle name="强调文字颜色 2 3" xfId="16966"/>
    <cellStyle name="强调文字颜色 2 4" xfId="16967"/>
    <cellStyle name="强调文字颜色 2 5" xfId="16968"/>
    <cellStyle name="强调文字颜色 2 6" xfId="16969"/>
    <cellStyle name="强调文字颜色 2 7" xfId="16970"/>
    <cellStyle name="强调文字颜色 2 8" xfId="16971"/>
    <cellStyle name="强调文字颜色 2 9" xfId="16972"/>
    <cellStyle name="强调文字颜色 3 10" xfId="16973"/>
    <cellStyle name="强调文字颜色 3 11" xfId="16974"/>
    <cellStyle name="强调文字颜色 3 2" xfId="16975"/>
    <cellStyle name="强调文字颜色 3 2 2" xfId="16976"/>
    <cellStyle name="强调文字颜色 3 2 3" xfId="16977"/>
    <cellStyle name="强调文字颜色 3 3" xfId="16978"/>
    <cellStyle name="强调文字颜色 3 4" xfId="16979"/>
    <cellStyle name="强调文字颜色 3 5" xfId="16980"/>
    <cellStyle name="强调文字颜色 3 6" xfId="16981"/>
    <cellStyle name="强调文字颜色 3 7" xfId="16982"/>
    <cellStyle name="强调文字颜色 3 8" xfId="16983"/>
    <cellStyle name="强调文字颜色 3 9" xfId="16984"/>
    <cellStyle name="强调文字颜色 4 10" xfId="16985"/>
    <cellStyle name="强调文字颜色 4 11" xfId="16986"/>
    <cellStyle name="强调文字颜色 4 2" xfId="16987"/>
    <cellStyle name="强调文字颜色 4 2 2" xfId="16988"/>
    <cellStyle name="强调文字颜色 4 2 3" xfId="16989"/>
    <cellStyle name="强调文字颜色 4 3" xfId="16990"/>
    <cellStyle name="强调文字颜色 4 4" xfId="16991"/>
    <cellStyle name="强调文字颜色 4 5" xfId="16992"/>
    <cellStyle name="强调文字颜色 4 6" xfId="16993"/>
    <cellStyle name="强调文字颜色 4 7" xfId="16994"/>
    <cellStyle name="强调文字颜色 4 8" xfId="16995"/>
    <cellStyle name="强调文字颜色 4 9" xfId="16996"/>
    <cellStyle name="强调文字颜色 5 10" xfId="16997"/>
    <cellStyle name="强调文字颜色 5 11" xfId="16998"/>
    <cellStyle name="强调文字颜色 5 2" xfId="16999"/>
    <cellStyle name="强调文字颜色 5 2 2" xfId="17000"/>
    <cellStyle name="强调文字颜色 5 2 3" xfId="17001"/>
    <cellStyle name="强调文字颜色 5 3" xfId="17002"/>
    <cellStyle name="强调文字颜色 5 4" xfId="17003"/>
    <cellStyle name="强调文字颜色 5 5" xfId="17004"/>
    <cellStyle name="强调文字颜色 5 6" xfId="17005"/>
    <cellStyle name="强调文字颜色 5 7" xfId="17006"/>
    <cellStyle name="强调文字颜色 5 8" xfId="17007"/>
    <cellStyle name="强调文字颜色 5 9" xfId="17008"/>
    <cellStyle name="强调文字颜色 6 10" xfId="17009"/>
    <cellStyle name="强调文字颜色 6 11" xfId="17010"/>
    <cellStyle name="强调文字颜色 6 2" xfId="17011"/>
    <cellStyle name="强调文字颜色 6 2 2" xfId="17012"/>
    <cellStyle name="强调文字颜色 6 2 3" xfId="17013"/>
    <cellStyle name="强调文字颜色 6 3" xfId="17014"/>
    <cellStyle name="强调文字颜色 6 4" xfId="17015"/>
    <cellStyle name="强调文字颜色 6 5" xfId="17016"/>
    <cellStyle name="强调文字颜色 6 6" xfId="17017"/>
    <cellStyle name="强调文字颜色 6 7" xfId="17018"/>
    <cellStyle name="强调文字颜色 6 8" xfId="17019"/>
    <cellStyle name="强调文字颜色 6 9" xfId="17020"/>
    <cellStyle name="输出" xfId="17021" builtinId="21" customBuiltin="1"/>
    <cellStyle name="输出 10" xfId="17022"/>
    <cellStyle name="输出 11" xfId="17023"/>
    <cellStyle name="输出 2" xfId="17024"/>
    <cellStyle name="输出 2 2" xfId="17025"/>
    <cellStyle name="输出 2 3" xfId="17026"/>
    <cellStyle name="输出 3" xfId="17027"/>
    <cellStyle name="输出 4" xfId="17028"/>
    <cellStyle name="输出 5" xfId="17029"/>
    <cellStyle name="输出 6" xfId="17030"/>
    <cellStyle name="输出 7" xfId="17031"/>
    <cellStyle name="输出 8" xfId="17032"/>
    <cellStyle name="输出 9" xfId="17033"/>
    <cellStyle name="输入" xfId="17034" builtinId="20" customBuiltin="1"/>
    <cellStyle name="输入 10" xfId="17035"/>
    <cellStyle name="输入 11" xfId="17036"/>
    <cellStyle name="输入 2" xfId="17037"/>
    <cellStyle name="输入 2 2" xfId="17038"/>
    <cellStyle name="输入 2 3" xfId="17039"/>
    <cellStyle name="输入 3" xfId="17040"/>
    <cellStyle name="输入 4" xfId="17041"/>
    <cellStyle name="输入 5" xfId="17042"/>
    <cellStyle name="输入 6" xfId="17043"/>
    <cellStyle name="输入 7" xfId="17044"/>
    <cellStyle name="输入 8" xfId="17045"/>
    <cellStyle name="输入 9" xfId="17046"/>
    <cellStyle name="说明文本 2" xfId="17047"/>
    <cellStyle name="无色 2" xfId="17048"/>
    <cellStyle name="一般__關卡設計範本" xfId="17049"/>
    <cellStyle name="注释" xfId="17050" builtinId="10" customBuiltin="1"/>
    <cellStyle name="注释 10" xfId="17051"/>
    <cellStyle name="注释 11" xfId="17052"/>
    <cellStyle name="注释 2" xfId="17053"/>
    <cellStyle name="注释 2 2" xfId="17054"/>
    <cellStyle name="注释 2 3" xfId="17055"/>
    <cellStyle name="注释 3" xfId="17056"/>
    <cellStyle name="注释 4" xfId="17057"/>
    <cellStyle name="注释 5" xfId="17058"/>
    <cellStyle name="注释 6" xfId="17059"/>
    <cellStyle name="注释 7" xfId="17060"/>
    <cellStyle name="注释 8" xfId="17061"/>
    <cellStyle name="注释 9" xfId="1706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DD0806"/>
      <rgbColor rgb="00333333"/>
      <rgbColor rgb="00FCF305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esign_&#21333;&#26426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系数表"/>
      <sheetName val="战斗公式"/>
      <sheetName val="森美拉"/>
      <sheetName val="吉亚多"/>
      <sheetName val="索里"/>
      <sheetName val="卡维力"/>
      <sheetName val="加比纳"/>
      <sheetName val="雷古曼"/>
      <sheetName val="伙伴成长"/>
      <sheetName val="技能"/>
      <sheetName val="关卡数据"/>
    </sheetNames>
    <sheetDataSet>
      <sheetData sheetId="0"/>
      <sheetData sheetId="1"/>
      <sheetData sheetId="2">
        <row r="2">
          <cell r="E2">
            <v>30</v>
          </cell>
          <cell r="F2">
            <v>2</v>
          </cell>
          <cell r="G2">
            <v>600</v>
          </cell>
          <cell r="H2">
            <v>800</v>
          </cell>
          <cell r="I2">
            <v>5</v>
          </cell>
          <cell r="J2">
            <v>295</v>
          </cell>
          <cell r="N2">
            <v>144</v>
          </cell>
          <cell r="O2">
            <v>5</v>
          </cell>
          <cell r="P2">
            <v>2112</v>
          </cell>
          <cell r="Q2">
            <v>1568</v>
          </cell>
          <cell r="R2">
            <v>10</v>
          </cell>
          <cell r="S2">
            <v>1194</v>
          </cell>
          <cell r="W2">
            <v>192</v>
          </cell>
          <cell r="X2">
            <v>6</v>
          </cell>
          <cell r="Y2">
            <v>2880</v>
          </cell>
          <cell r="Z2">
            <v>1792</v>
          </cell>
          <cell r="AA2">
            <v>11</v>
          </cell>
          <cell r="AB2">
            <v>1595</v>
          </cell>
        </row>
        <row r="3">
          <cell r="E3">
            <v>34</v>
          </cell>
          <cell r="F3">
            <v>3</v>
          </cell>
          <cell r="G3">
            <v>624</v>
          </cell>
          <cell r="H3">
            <v>805</v>
          </cell>
          <cell r="I3">
            <v>6</v>
          </cell>
          <cell r="J3">
            <v>323</v>
          </cell>
          <cell r="N3">
            <v>150</v>
          </cell>
          <cell r="O3">
            <v>6</v>
          </cell>
          <cell r="P3">
            <v>2158</v>
          </cell>
          <cell r="Q3">
            <v>1573</v>
          </cell>
          <cell r="R3">
            <v>11</v>
          </cell>
          <cell r="S3">
            <v>1236</v>
          </cell>
          <cell r="W3">
            <v>200</v>
          </cell>
          <cell r="X3">
            <v>7</v>
          </cell>
          <cell r="Y3">
            <v>2944</v>
          </cell>
          <cell r="Z3">
            <v>1797</v>
          </cell>
          <cell r="AA3">
            <v>12</v>
          </cell>
          <cell r="AB3">
            <v>1651</v>
          </cell>
        </row>
        <row r="4">
          <cell r="E4">
            <v>38</v>
          </cell>
          <cell r="F4">
            <v>4</v>
          </cell>
          <cell r="G4">
            <v>648</v>
          </cell>
          <cell r="H4">
            <v>810</v>
          </cell>
          <cell r="I4">
            <v>7</v>
          </cell>
          <cell r="J4">
            <v>351</v>
          </cell>
          <cell r="N4">
            <v>156</v>
          </cell>
          <cell r="O4">
            <v>7</v>
          </cell>
          <cell r="P4">
            <v>2204</v>
          </cell>
          <cell r="Q4">
            <v>1578</v>
          </cell>
          <cell r="R4">
            <v>12</v>
          </cell>
          <cell r="S4">
            <v>1278</v>
          </cell>
          <cell r="W4">
            <v>208</v>
          </cell>
          <cell r="X4">
            <v>8</v>
          </cell>
          <cell r="Y4">
            <v>3008</v>
          </cell>
          <cell r="Z4">
            <v>1802</v>
          </cell>
          <cell r="AA4">
            <v>13</v>
          </cell>
          <cell r="AB4">
            <v>1707</v>
          </cell>
        </row>
        <row r="5">
          <cell r="E5">
            <v>42</v>
          </cell>
          <cell r="F5">
            <v>5</v>
          </cell>
          <cell r="G5">
            <v>672</v>
          </cell>
          <cell r="H5">
            <v>815</v>
          </cell>
          <cell r="I5">
            <v>8</v>
          </cell>
          <cell r="J5">
            <v>379</v>
          </cell>
          <cell r="N5">
            <v>162</v>
          </cell>
          <cell r="O5">
            <v>8</v>
          </cell>
          <cell r="P5">
            <v>2250</v>
          </cell>
          <cell r="Q5">
            <v>1583</v>
          </cell>
          <cell r="R5">
            <v>13</v>
          </cell>
          <cell r="S5">
            <v>1321</v>
          </cell>
          <cell r="W5">
            <v>216</v>
          </cell>
          <cell r="X5">
            <v>9</v>
          </cell>
          <cell r="Y5">
            <v>3072</v>
          </cell>
          <cell r="Z5">
            <v>1807</v>
          </cell>
          <cell r="AA5">
            <v>14</v>
          </cell>
          <cell r="AB5">
            <v>1763</v>
          </cell>
        </row>
        <row r="6">
          <cell r="E6">
            <v>46</v>
          </cell>
          <cell r="F6">
            <v>6</v>
          </cell>
          <cell r="G6">
            <v>696</v>
          </cell>
          <cell r="H6">
            <v>820</v>
          </cell>
          <cell r="I6">
            <v>9</v>
          </cell>
          <cell r="J6">
            <v>407</v>
          </cell>
          <cell r="N6">
            <v>168</v>
          </cell>
          <cell r="O6">
            <v>9</v>
          </cell>
          <cell r="P6">
            <v>2296</v>
          </cell>
          <cell r="Q6">
            <v>1588</v>
          </cell>
          <cell r="R6">
            <v>14</v>
          </cell>
          <cell r="S6">
            <v>1363</v>
          </cell>
          <cell r="W6">
            <v>224</v>
          </cell>
          <cell r="X6">
            <v>10</v>
          </cell>
          <cell r="Y6">
            <v>3136</v>
          </cell>
          <cell r="Z6">
            <v>1812</v>
          </cell>
          <cell r="AA6">
            <v>15</v>
          </cell>
          <cell r="AB6">
            <v>1818</v>
          </cell>
        </row>
        <row r="7">
          <cell r="E7">
            <v>50</v>
          </cell>
          <cell r="F7">
            <v>7</v>
          </cell>
          <cell r="G7">
            <v>720</v>
          </cell>
          <cell r="H7">
            <v>825</v>
          </cell>
          <cell r="I7">
            <v>10</v>
          </cell>
          <cell r="J7">
            <v>435</v>
          </cell>
          <cell r="N7">
            <v>174</v>
          </cell>
          <cell r="O7">
            <v>10</v>
          </cell>
          <cell r="P7">
            <v>2342</v>
          </cell>
          <cell r="Q7">
            <v>1593</v>
          </cell>
          <cell r="R7">
            <v>15</v>
          </cell>
          <cell r="S7">
            <v>1405</v>
          </cell>
          <cell r="W7">
            <v>232</v>
          </cell>
          <cell r="X7">
            <v>11</v>
          </cell>
          <cell r="Y7">
            <v>3200</v>
          </cell>
          <cell r="Z7">
            <v>1817</v>
          </cell>
          <cell r="AA7">
            <v>16</v>
          </cell>
          <cell r="AB7">
            <v>1874</v>
          </cell>
        </row>
        <row r="8">
          <cell r="E8">
            <v>54</v>
          </cell>
          <cell r="F8">
            <v>8</v>
          </cell>
          <cell r="G8">
            <v>744</v>
          </cell>
          <cell r="H8">
            <v>830</v>
          </cell>
          <cell r="I8">
            <v>11</v>
          </cell>
          <cell r="J8">
            <v>462</v>
          </cell>
          <cell r="N8">
            <v>180</v>
          </cell>
          <cell r="O8">
            <v>11</v>
          </cell>
          <cell r="P8">
            <v>2388</v>
          </cell>
          <cell r="Q8">
            <v>1598</v>
          </cell>
          <cell r="R8">
            <v>16</v>
          </cell>
          <cell r="S8">
            <v>1448</v>
          </cell>
          <cell r="W8">
            <v>240</v>
          </cell>
          <cell r="X8">
            <v>12</v>
          </cell>
          <cell r="Y8">
            <v>3264</v>
          </cell>
          <cell r="Z8">
            <v>1822</v>
          </cell>
          <cell r="AA8">
            <v>17</v>
          </cell>
          <cell r="AB8">
            <v>1930</v>
          </cell>
        </row>
        <row r="9">
          <cell r="E9">
            <v>58</v>
          </cell>
          <cell r="F9">
            <v>9</v>
          </cell>
          <cell r="G9">
            <v>768</v>
          </cell>
          <cell r="H9">
            <v>835</v>
          </cell>
          <cell r="I9">
            <v>12</v>
          </cell>
          <cell r="J9">
            <v>490</v>
          </cell>
          <cell r="N9">
            <v>186</v>
          </cell>
          <cell r="O9">
            <v>12</v>
          </cell>
          <cell r="P9">
            <v>2434</v>
          </cell>
          <cell r="Q9">
            <v>1603</v>
          </cell>
          <cell r="R9">
            <v>17</v>
          </cell>
          <cell r="S9">
            <v>1490</v>
          </cell>
          <cell r="W9">
            <v>248</v>
          </cell>
          <cell r="X9">
            <v>13</v>
          </cell>
          <cell r="Y9">
            <v>3328</v>
          </cell>
          <cell r="Z9">
            <v>1827</v>
          </cell>
          <cell r="AA9">
            <v>18</v>
          </cell>
          <cell r="AB9">
            <v>1986</v>
          </cell>
        </row>
        <row r="10">
          <cell r="E10">
            <v>62</v>
          </cell>
          <cell r="F10">
            <v>10</v>
          </cell>
          <cell r="G10">
            <v>792</v>
          </cell>
          <cell r="H10">
            <v>840</v>
          </cell>
          <cell r="I10">
            <v>13</v>
          </cell>
          <cell r="J10">
            <v>518</v>
          </cell>
          <cell r="N10">
            <v>192</v>
          </cell>
          <cell r="O10">
            <v>13</v>
          </cell>
          <cell r="P10">
            <v>2480</v>
          </cell>
          <cell r="Q10">
            <v>1608</v>
          </cell>
          <cell r="R10">
            <v>18</v>
          </cell>
          <cell r="S10">
            <v>1532</v>
          </cell>
          <cell r="W10">
            <v>256</v>
          </cell>
          <cell r="X10">
            <v>14</v>
          </cell>
          <cell r="Y10">
            <v>3392</v>
          </cell>
          <cell r="Z10">
            <v>1832</v>
          </cell>
          <cell r="AA10">
            <v>19</v>
          </cell>
          <cell r="AB10">
            <v>2042</v>
          </cell>
        </row>
        <row r="11">
          <cell r="E11">
            <v>66</v>
          </cell>
          <cell r="F11">
            <v>11</v>
          </cell>
          <cell r="G11">
            <v>816</v>
          </cell>
          <cell r="H11">
            <v>845</v>
          </cell>
          <cell r="I11">
            <v>14</v>
          </cell>
          <cell r="J11">
            <v>546</v>
          </cell>
          <cell r="N11">
            <v>198</v>
          </cell>
          <cell r="O11">
            <v>14</v>
          </cell>
          <cell r="P11">
            <v>2526</v>
          </cell>
          <cell r="Q11">
            <v>1613</v>
          </cell>
          <cell r="R11">
            <v>19</v>
          </cell>
          <cell r="S11">
            <v>1574</v>
          </cell>
          <cell r="W11">
            <v>264</v>
          </cell>
          <cell r="X11">
            <v>15</v>
          </cell>
          <cell r="Y11">
            <v>3456</v>
          </cell>
          <cell r="Z11">
            <v>1837</v>
          </cell>
          <cell r="AA11">
            <v>20</v>
          </cell>
          <cell r="AB11">
            <v>2098</v>
          </cell>
        </row>
        <row r="12">
          <cell r="E12">
            <v>70</v>
          </cell>
          <cell r="F12">
            <v>12</v>
          </cell>
          <cell r="G12">
            <v>840</v>
          </cell>
          <cell r="H12">
            <v>850</v>
          </cell>
          <cell r="I12">
            <v>15</v>
          </cell>
          <cell r="J12">
            <v>574</v>
          </cell>
          <cell r="N12">
            <v>204</v>
          </cell>
          <cell r="O12">
            <v>15</v>
          </cell>
          <cell r="P12">
            <v>2572</v>
          </cell>
          <cell r="Q12">
            <v>1618</v>
          </cell>
          <cell r="R12">
            <v>20</v>
          </cell>
          <cell r="S12">
            <v>1617</v>
          </cell>
          <cell r="W12">
            <v>272</v>
          </cell>
          <cell r="X12">
            <v>16</v>
          </cell>
          <cell r="Y12">
            <v>3520</v>
          </cell>
          <cell r="Z12">
            <v>1842</v>
          </cell>
          <cell r="AA12">
            <v>21</v>
          </cell>
          <cell r="AB12">
            <v>2154</v>
          </cell>
        </row>
        <row r="13">
          <cell r="E13">
            <v>74</v>
          </cell>
          <cell r="F13">
            <v>13</v>
          </cell>
          <cell r="G13">
            <v>864</v>
          </cell>
          <cell r="H13">
            <v>855</v>
          </cell>
          <cell r="I13">
            <v>16</v>
          </cell>
          <cell r="J13">
            <v>602</v>
          </cell>
          <cell r="N13">
            <v>210</v>
          </cell>
          <cell r="O13">
            <v>16</v>
          </cell>
          <cell r="P13">
            <v>2618</v>
          </cell>
          <cell r="Q13">
            <v>1623</v>
          </cell>
          <cell r="R13">
            <v>21</v>
          </cell>
          <cell r="S13">
            <v>1659</v>
          </cell>
          <cell r="W13">
            <v>280</v>
          </cell>
          <cell r="X13">
            <v>17</v>
          </cell>
          <cell r="Y13">
            <v>3584</v>
          </cell>
          <cell r="Z13">
            <v>1847</v>
          </cell>
          <cell r="AA13">
            <v>22</v>
          </cell>
          <cell r="AB13">
            <v>2210</v>
          </cell>
        </row>
        <row r="14">
          <cell r="E14">
            <v>78</v>
          </cell>
          <cell r="F14">
            <v>14</v>
          </cell>
          <cell r="G14">
            <v>888</v>
          </cell>
          <cell r="H14">
            <v>860</v>
          </cell>
          <cell r="I14">
            <v>17</v>
          </cell>
          <cell r="J14">
            <v>630</v>
          </cell>
          <cell r="N14">
            <v>216</v>
          </cell>
          <cell r="O14">
            <v>17</v>
          </cell>
          <cell r="P14">
            <v>2664</v>
          </cell>
          <cell r="Q14">
            <v>1628</v>
          </cell>
          <cell r="R14">
            <v>22</v>
          </cell>
          <cell r="S14">
            <v>1701</v>
          </cell>
          <cell r="W14">
            <v>288</v>
          </cell>
          <cell r="X14">
            <v>18</v>
          </cell>
          <cell r="Y14">
            <v>3648</v>
          </cell>
          <cell r="Z14">
            <v>1852</v>
          </cell>
          <cell r="AA14">
            <v>23</v>
          </cell>
          <cell r="AB14">
            <v>2266</v>
          </cell>
        </row>
        <row r="15">
          <cell r="E15">
            <v>82</v>
          </cell>
          <cell r="F15">
            <v>15</v>
          </cell>
          <cell r="G15">
            <v>912</v>
          </cell>
          <cell r="H15">
            <v>865</v>
          </cell>
          <cell r="I15">
            <v>18</v>
          </cell>
          <cell r="J15">
            <v>658</v>
          </cell>
          <cell r="N15">
            <v>222</v>
          </cell>
          <cell r="O15">
            <v>18</v>
          </cell>
          <cell r="P15">
            <v>2710</v>
          </cell>
          <cell r="Q15">
            <v>1633</v>
          </cell>
          <cell r="R15">
            <v>23</v>
          </cell>
          <cell r="S15">
            <v>1744</v>
          </cell>
          <cell r="W15">
            <v>296</v>
          </cell>
          <cell r="X15">
            <v>19</v>
          </cell>
          <cell r="Y15">
            <v>3712</v>
          </cell>
          <cell r="Z15">
            <v>1857</v>
          </cell>
          <cell r="AA15">
            <v>24</v>
          </cell>
          <cell r="AB15">
            <v>2322</v>
          </cell>
        </row>
        <row r="16">
          <cell r="E16">
            <v>86</v>
          </cell>
          <cell r="F16">
            <v>16</v>
          </cell>
          <cell r="G16">
            <v>936</v>
          </cell>
          <cell r="H16">
            <v>870</v>
          </cell>
          <cell r="I16">
            <v>19</v>
          </cell>
          <cell r="J16">
            <v>686</v>
          </cell>
          <cell r="N16">
            <v>228</v>
          </cell>
          <cell r="O16">
            <v>19</v>
          </cell>
          <cell r="P16">
            <v>2756</v>
          </cell>
          <cell r="Q16">
            <v>1638</v>
          </cell>
          <cell r="R16">
            <v>24</v>
          </cell>
          <cell r="S16">
            <v>1786</v>
          </cell>
          <cell r="W16">
            <v>304</v>
          </cell>
          <cell r="X16">
            <v>20</v>
          </cell>
          <cell r="Y16">
            <v>3776</v>
          </cell>
          <cell r="Z16">
            <v>1862</v>
          </cell>
          <cell r="AA16">
            <v>25</v>
          </cell>
          <cell r="AB16">
            <v>2377</v>
          </cell>
        </row>
        <row r="17">
          <cell r="E17">
            <v>90</v>
          </cell>
          <cell r="F17">
            <v>17</v>
          </cell>
          <cell r="G17">
            <v>960</v>
          </cell>
          <cell r="H17">
            <v>875</v>
          </cell>
          <cell r="I17">
            <v>20</v>
          </cell>
          <cell r="J17">
            <v>714</v>
          </cell>
          <cell r="N17">
            <v>234</v>
          </cell>
          <cell r="O17">
            <v>20</v>
          </cell>
          <cell r="P17">
            <v>2802</v>
          </cell>
          <cell r="Q17">
            <v>1643</v>
          </cell>
          <cell r="R17">
            <v>25</v>
          </cell>
          <cell r="S17">
            <v>1828</v>
          </cell>
          <cell r="W17">
            <v>312</v>
          </cell>
          <cell r="X17">
            <v>21</v>
          </cell>
          <cell r="Y17">
            <v>3840</v>
          </cell>
          <cell r="Z17">
            <v>1867</v>
          </cell>
          <cell r="AA17">
            <v>26</v>
          </cell>
          <cell r="AB17">
            <v>2433</v>
          </cell>
        </row>
        <row r="18">
          <cell r="E18">
            <v>94</v>
          </cell>
          <cell r="F18">
            <v>18</v>
          </cell>
          <cell r="G18">
            <v>984</v>
          </cell>
          <cell r="H18">
            <v>880</v>
          </cell>
          <cell r="I18">
            <v>21</v>
          </cell>
          <cell r="J18">
            <v>741</v>
          </cell>
          <cell r="N18">
            <v>240</v>
          </cell>
          <cell r="O18">
            <v>21</v>
          </cell>
          <cell r="P18">
            <v>2848</v>
          </cell>
          <cell r="Q18">
            <v>1648</v>
          </cell>
          <cell r="R18">
            <v>26</v>
          </cell>
          <cell r="S18">
            <v>1871</v>
          </cell>
          <cell r="W18">
            <v>320</v>
          </cell>
          <cell r="X18">
            <v>22</v>
          </cell>
          <cell r="Y18">
            <v>3904</v>
          </cell>
          <cell r="Z18">
            <v>1872</v>
          </cell>
          <cell r="AA18">
            <v>27</v>
          </cell>
          <cell r="AB18">
            <v>2489</v>
          </cell>
        </row>
        <row r="19">
          <cell r="E19">
            <v>98</v>
          </cell>
          <cell r="F19">
            <v>19</v>
          </cell>
          <cell r="G19">
            <v>1008</v>
          </cell>
          <cell r="H19">
            <v>885</v>
          </cell>
          <cell r="I19">
            <v>22</v>
          </cell>
          <cell r="J19">
            <v>769</v>
          </cell>
          <cell r="N19">
            <v>246</v>
          </cell>
          <cell r="O19">
            <v>22</v>
          </cell>
          <cell r="P19">
            <v>2894</v>
          </cell>
          <cell r="Q19">
            <v>1653</v>
          </cell>
          <cell r="R19">
            <v>27</v>
          </cell>
          <cell r="S19">
            <v>1913</v>
          </cell>
          <cell r="W19">
            <v>328</v>
          </cell>
          <cell r="X19">
            <v>23</v>
          </cell>
          <cell r="Y19">
            <v>3968</v>
          </cell>
          <cell r="Z19">
            <v>1877</v>
          </cell>
          <cell r="AA19">
            <v>28</v>
          </cell>
          <cell r="AB19">
            <v>2545</v>
          </cell>
        </row>
        <row r="20">
          <cell r="E20">
            <v>102</v>
          </cell>
          <cell r="F20">
            <v>20</v>
          </cell>
          <cell r="G20">
            <v>1032</v>
          </cell>
          <cell r="H20">
            <v>890</v>
          </cell>
          <cell r="I20">
            <v>23</v>
          </cell>
          <cell r="J20">
            <v>797</v>
          </cell>
          <cell r="N20">
            <v>252</v>
          </cell>
          <cell r="O20">
            <v>23</v>
          </cell>
          <cell r="P20">
            <v>2940</v>
          </cell>
          <cell r="Q20">
            <v>1658</v>
          </cell>
          <cell r="R20">
            <v>28</v>
          </cell>
          <cell r="S20">
            <v>1955</v>
          </cell>
          <cell r="W20">
            <v>336</v>
          </cell>
          <cell r="X20">
            <v>24</v>
          </cell>
          <cell r="Y20">
            <v>4032</v>
          </cell>
          <cell r="Z20">
            <v>1882</v>
          </cell>
          <cell r="AA20">
            <v>29</v>
          </cell>
          <cell r="AB20">
            <v>2601</v>
          </cell>
        </row>
        <row r="21">
          <cell r="E21">
            <v>106</v>
          </cell>
          <cell r="F21">
            <v>21</v>
          </cell>
          <cell r="G21">
            <v>1056</v>
          </cell>
          <cell r="H21">
            <v>895</v>
          </cell>
          <cell r="I21">
            <v>24</v>
          </cell>
          <cell r="J21">
            <v>825</v>
          </cell>
          <cell r="N21">
            <v>258</v>
          </cell>
          <cell r="O21">
            <v>24</v>
          </cell>
          <cell r="P21">
            <v>2986</v>
          </cell>
          <cell r="Q21">
            <v>1663</v>
          </cell>
          <cell r="R21">
            <v>29</v>
          </cell>
          <cell r="S21">
            <v>1997</v>
          </cell>
          <cell r="W21">
            <v>344</v>
          </cell>
          <cell r="X21">
            <v>25</v>
          </cell>
          <cell r="Y21">
            <v>4096</v>
          </cell>
          <cell r="Z21">
            <v>1887</v>
          </cell>
          <cell r="AA21">
            <v>30</v>
          </cell>
          <cell r="AB21">
            <v>2657</v>
          </cell>
        </row>
        <row r="22">
          <cell r="E22">
            <v>110</v>
          </cell>
          <cell r="F22">
            <v>22</v>
          </cell>
          <cell r="G22">
            <v>1080</v>
          </cell>
          <cell r="H22">
            <v>900</v>
          </cell>
          <cell r="I22">
            <v>25</v>
          </cell>
          <cell r="J22">
            <v>853</v>
          </cell>
          <cell r="N22">
            <v>264</v>
          </cell>
          <cell r="O22">
            <v>25</v>
          </cell>
          <cell r="P22">
            <v>3032</v>
          </cell>
          <cell r="Q22">
            <v>1668</v>
          </cell>
          <cell r="R22">
            <v>30</v>
          </cell>
          <cell r="S22">
            <v>2040</v>
          </cell>
          <cell r="W22">
            <v>352</v>
          </cell>
          <cell r="X22">
            <v>26</v>
          </cell>
          <cell r="Y22">
            <v>4160</v>
          </cell>
          <cell r="Z22">
            <v>1892</v>
          </cell>
          <cell r="AA22">
            <v>31</v>
          </cell>
          <cell r="AB22">
            <v>2713</v>
          </cell>
        </row>
        <row r="23">
          <cell r="E23">
            <v>114</v>
          </cell>
          <cell r="F23">
            <v>23</v>
          </cell>
          <cell r="G23">
            <v>1104</v>
          </cell>
          <cell r="H23">
            <v>905</v>
          </cell>
          <cell r="I23">
            <v>26</v>
          </cell>
          <cell r="J23">
            <v>881</v>
          </cell>
          <cell r="N23">
            <v>270</v>
          </cell>
          <cell r="O23">
            <v>26</v>
          </cell>
          <cell r="P23">
            <v>3078</v>
          </cell>
          <cell r="Q23">
            <v>1673</v>
          </cell>
          <cell r="R23">
            <v>31</v>
          </cell>
          <cell r="S23">
            <v>2082</v>
          </cell>
          <cell r="W23">
            <v>360</v>
          </cell>
          <cell r="X23">
            <v>27</v>
          </cell>
          <cell r="Y23">
            <v>4224</v>
          </cell>
          <cell r="Z23">
            <v>1897</v>
          </cell>
          <cell r="AA23">
            <v>32</v>
          </cell>
          <cell r="AB23">
            <v>2769</v>
          </cell>
        </row>
        <row r="24">
          <cell r="E24">
            <v>118</v>
          </cell>
          <cell r="F24">
            <v>24</v>
          </cell>
          <cell r="G24">
            <v>1128</v>
          </cell>
          <cell r="H24">
            <v>910</v>
          </cell>
          <cell r="I24">
            <v>27</v>
          </cell>
          <cell r="J24">
            <v>909</v>
          </cell>
          <cell r="N24">
            <v>276</v>
          </cell>
          <cell r="O24">
            <v>27</v>
          </cell>
          <cell r="P24">
            <v>3124</v>
          </cell>
          <cell r="Q24">
            <v>1678</v>
          </cell>
          <cell r="R24">
            <v>32</v>
          </cell>
          <cell r="S24">
            <v>2124</v>
          </cell>
          <cell r="W24">
            <v>368</v>
          </cell>
          <cell r="X24">
            <v>28</v>
          </cell>
          <cell r="Y24">
            <v>4288</v>
          </cell>
          <cell r="Z24">
            <v>1902</v>
          </cell>
          <cell r="AA24">
            <v>33</v>
          </cell>
          <cell r="AB24">
            <v>2825</v>
          </cell>
        </row>
        <row r="25">
          <cell r="E25">
            <v>122</v>
          </cell>
          <cell r="F25">
            <v>25</v>
          </cell>
          <cell r="G25">
            <v>1152</v>
          </cell>
          <cell r="H25">
            <v>915</v>
          </cell>
          <cell r="I25">
            <v>28</v>
          </cell>
          <cell r="J25">
            <v>937</v>
          </cell>
          <cell r="N25">
            <v>282</v>
          </cell>
          <cell r="O25">
            <v>28</v>
          </cell>
          <cell r="P25">
            <v>3170</v>
          </cell>
          <cell r="Q25">
            <v>1683</v>
          </cell>
          <cell r="R25">
            <v>33</v>
          </cell>
          <cell r="S25">
            <v>2167</v>
          </cell>
          <cell r="W25">
            <v>376</v>
          </cell>
          <cell r="X25">
            <v>29</v>
          </cell>
          <cell r="Y25">
            <v>4352</v>
          </cell>
          <cell r="Z25">
            <v>1907</v>
          </cell>
          <cell r="AA25">
            <v>34</v>
          </cell>
          <cell r="AB25">
            <v>2881</v>
          </cell>
        </row>
        <row r="26">
          <cell r="E26">
            <v>126</v>
          </cell>
          <cell r="F26">
            <v>26</v>
          </cell>
          <cell r="G26">
            <v>1176</v>
          </cell>
          <cell r="H26">
            <v>920</v>
          </cell>
          <cell r="I26">
            <v>29</v>
          </cell>
          <cell r="J26">
            <v>965</v>
          </cell>
          <cell r="N26">
            <v>288</v>
          </cell>
          <cell r="O26">
            <v>29</v>
          </cell>
          <cell r="P26">
            <v>3216</v>
          </cell>
          <cell r="Q26">
            <v>1688</v>
          </cell>
          <cell r="R26">
            <v>34</v>
          </cell>
          <cell r="S26">
            <v>2209</v>
          </cell>
          <cell r="W26">
            <v>384</v>
          </cell>
          <cell r="X26">
            <v>30</v>
          </cell>
          <cell r="Y26">
            <v>4416</v>
          </cell>
          <cell r="Z26">
            <v>1912</v>
          </cell>
          <cell r="AA26">
            <v>35</v>
          </cell>
          <cell r="AB26">
            <v>2936</v>
          </cell>
        </row>
        <row r="27">
          <cell r="E27">
            <v>130</v>
          </cell>
          <cell r="F27">
            <v>27</v>
          </cell>
          <cell r="G27">
            <v>1200</v>
          </cell>
          <cell r="H27">
            <v>925</v>
          </cell>
          <cell r="I27">
            <v>30</v>
          </cell>
          <cell r="J27">
            <v>993</v>
          </cell>
          <cell r="N27">
            <v>294</v>
          </cell>
          <cell r="O27">
            <v>30</v>
          </cell>
          <cell r="P27">
            <v>3262</v>
          </cell>
          <cell r="Q27">
            <v>1693</v>
          </cell>
          <cell r="R27">
            <v>35</v>
          </cell>
          <cell r="S27">
            <v>2251</v>
          </cell>
          <cell r="W27">
            <v>392</v>
          </cell>
          <cell r="X27">
            <v>31</v>
          </cell>
          <cell r="Y27">
            <v>4480</v>
          </cell>
          <cell r="Z27">
            <v>1917</v>
          </cell>
          <cell r="AA27">
            <v>36</v>
          </cell>
          <cell r="AB27">
            <v>2992</v>
          </cell>
        </row>
        <row r="28">
          <cell r="E28">
            <v>134</v>
          </cell>
          <cell r="F28">
            <v>28</v>
          </cell>
          <cell r="G28">
            <v>1224</v>
          </cell>
          <cell r="H28">
            <v>930</v>
          </cell>
          <cell r="I28">
            <v>31</v>
          </cell>
          <cell r="J28">
            <v>1020</v>
          </cell>
          <cell r="N28">
            <v>300</v>
          </cell>
          <cell r="O28">
            <v>31</v>
          </cell>
          <cell r="P28">
            <v>3308</v>
          </cell>
          <cell r="Q28">
            <v>1698</v>
          </cell>
          <cell r="R28">
            <v>36</v>
          </cell>
          <cell r="S28">
            <v>2294</v>
          </cell>
          <cell r="W28">
            <v>400</v>
          </cell>
          <cell r="X28">
            <v>32</v>
          </cell>
          <cell r="Y28">
            <v>4544</v>
          </cell>
          <cell r="Z28">
            <v>1922</v>
          </cell>
          <cell r="AA28">
            <v>37</v>
          </cell>
          <cell r="AB28">
            <v>3048</v>
          </cell>
        </row>
        <row r="29">
          <cell r="E29">
            <v>138</v>
          </cell>
          <cell r="F29">
            <v>29</v>
          </cell>
          <cell r="G29">
            <v>1248</v>
          </cell>
          <cell r="H29">
            <v>935</v>
          </cell>
          <cell r="I29">
            <v>32</v>
          </cell>
          <cell r="J29">
            <v>1048</v>
          </cell>
          <cell r="N29">
            <v>306</v>
          </cell>
          <cell r="O29">
            <v>32</v>
          </cell>
          <cell r="P29">
            <v>3354</v>
          </cell>
          <cell r="Q29">
            <v>1703</v>
          </cell>
          <cell r="R29">
            <v>37</v>
          </cell>
          <cell r="S29">
            <v>2336</v>
          </cell>
          <cell r="W29">
            <v>408</v>
          </cell>
          <cell r="X29">
            <v>33</v>
          </cell>
          <cell r="Y29">
            <v>4608</v>
          </cell>
          <cell r="Z29">
            <v>1927</v>
          </cell>
          <cell r="AA29">
            <v>38</v>
          </cell>
          <cell r="AB29">
            <v>3104</v>
          </cell>
        </row>
        <row r="30">
          <cell r="E30">
            <v>142</v>
          </cell>
          <cell r="F30">
            <v>30</v>
          </cell>
          <cell r="G30">
            <v>1272</v>
          </cell>
          <cell r="H30">
            <v>940</v>
          </cell>
          <cell r="I30">
            <v>33</v>
          </cell>
          <cell r="J30">
            <v>1076</v>
          </cell>
          <cell r="N30">
            <v>312</v>
          </cell>
          <cell r="O30">
            <v>33</v>
          </cell>
          <cell r="P30">
            <v>3400</v>
          </cell>
          <cell r="Q30">
            <v>1708</v>
          </cell>
          <cell r="R30">
            <v>38</v>
          </cell>
          <cell r="S30">
            <v>2378</v>
          </cell>
          <cell r="W30">
            <v>416</v>
          </cell>
          <cell r="X30">
            <v>34</v>
          </cell>
          <cell r="Y30">
            <v>4672</v>
          </cell>
          <cell r="Z30">
            <v>1932</v>
          </cell>
          <cell r="AA30">
            <v>39</v>
          </cell>
          <cell r="AB30">
            <v>3160</v>
          </cell>
        </row>
        <row r="31">
          <cell r="E31">
            <v>146</v>
          </cell>
          <cell r="F31">
            <v>31</v>
          </cell>
          <cell r="G31">
            <v>1296</v>
          </cell>
          <cell r="H31">
            <v>945</v>
          </cell>
          <cell r="I31">
            <v>34</v>
          </cell>
          <cell r="J31">
            <v>1104</v>
          </cell>
          <cell r="N31">
            <v>318</v>
          </cell>
          <cell r="O31">
            <v>34</v>
          </cell>
          <cell r="P31">
            <v>3446</v>
          </cell>
          <cell r="Q31">
            <v>1713</v>
          </cell>
          <cell r="R31">
            <v>39</v>
          </cell>
          <cell r="S31">
            <v>2420</v>
          </cell>
          <cell r="W31">
            <v>424</v>
          </cell>
          <cell r="X31">
            <v>35</v>
          </cell>
          <cell r="Y31">
            <v>4736</v>
          </cell>
          <cell r="Z31">
            <v>1937</v>
          </cell>
          <cell r="AA31">
            <v>40</v>
          </cell>
          <cell r="AB31">
            <v>3216</v>
          </cell>
        </row>
        <row r="32">
          <cell r="E32">
            <v>150</v>
          </cell>
          <cell r="F32">
            <v>32</v>
          </cell>
          <cell r="G32">
            <v>1320</v>
          </cell>
          <cell r="H32">
            <v>950</v>
          </cell>
          <cell r="I32">
            <v>35</v>
          </cell>
          <cell r="J32">
            <v>1132</v>
          </cell>
          <cell r="N32">
            <v>324</v>
          </cell>
          <cell r="O32">
            <v>35</v>
          </cell>
          <cell r="P32">
            <v>3492</v>
          </cell>
          <cell r="Q32">
            <v>1718</v>
          </cell>
          <cell r="R32">
            <v>40</v>
          </cell>
          <cell r="S32">
            <v>2463</v>
          </cell>
          <cell r="W32">
            <v>432</v>
          </cell>
          <cell r="X32">
            <v>36</v>
          </cell>
          <cell r="Y32">
            <v>4800</v>
          </cell>
          <cell r="Z32">
            <v>1942</v>
          </cell>
          <cell r="AA32">
            <v>41</v>
          </cell>
          <cell r="AB32">
            <v>3272</v>
          </cell>
        </row>
        <row r="33">
          <cell r="E33">
            <v>154</v>
          </cell>
          <cell r="F33">
            <v>33</v>
          </cell>
          <cell r="G33">
            <v>1344</v>
          </cell>
          <cell r="H33">
            <v>955</v>
          </cell>
          <cell r="I33">
            <v>36</v>
          </cell>
          <cell r="J33">
            <v>1160</v>
          </cell>
          <cell r="N33">
            <v>330</v>
          </cell>
          <cell r="O33">
            <v>36</v>
          </cell>
          <cell r="P33">
            <v>3538</v>
          </cell>
          <cell r="Q33">
            <v>1723</v>
          </cell>
          <cell r="R33">
            <v>41</v>
          </cell>
          <cell r="S33">
            <v>2505</v>
          </cell>
          <cell r="W33">
            <v>440</v>
          </cell>
          <cell r="X33">
            <v>37</v>
          </cell>
          <cell r="Y33">
            <v>4864</v>
          </cell>
          <cell r="Z33">
            <v>1947</v>
          </cell>
          <cell r="AA33">
            <v>42</v>
          </cell>
          <cell r="AB33">
            <v>3328</v>
          </cell>
        </row>
        <row r="34">
          <cell r="E34">
            <v>158</v>
          </cell>
          <cell r="F34">
            <v>34</v>
          </cell>
          <cell r="G34">
            <v>1368</v>
          </cell>
          <cell r="H34">
            <v>960</v>
          </cell>
          <cell r="I34">
            <v>37</v>
          </cell>
          <cell r="J34">
            <v>1188</v>
          </cell>
          <cell r="N34">
            <v>336</v>
          </cell>
          <cell r="O34">
            <v>37</v>
          </cell>
          <cell r="P34">
            <v>3584</v>
          </cell>
          <cell r="Q34">
            <v>1728</v>
          </cell>
          <cell r="R34">
            <v>42</v>
          </cell>
          <cell r="S34">
            <v>2547</v>
          </cell>
          <cell r="W34">
            <v>448</v>
          </cell>
          <cell r="X34">
            <v>38</v>
          </cell>
          <cell r="Y34">
            <v>4928</v>
          </cell>
          <cell r="Z34">
            <v>1952</v>
          </cell>
          <cell r="AA34">
            <v>43</v>
          </cell>
          <cell r="AB34">
            <v>3384</v>
          </cell>
        </row>
        <row r="35">
          <cell r="E35">
            <v>162</v>
          </cell>
          <cell r="F35">
            <v>35</v>
          </cell>
          <cell r="G35">
            <v>1392</v>
          </cell>
          <cell r="H35">
            <v>965</v>
          </cell>
          <cell r="I35">
            <v>38</v>
          </cell>
          <cell r="J35">
            <v>1216</v>
          </cell>
          <cell r="N35">
            <v>342</v>
          </cell>
          <cell r="O35">
            <v>38</v>
          </cell>
          <cell r="P35">
            <v>3630</v>
          </cell>
          <cell r="Q35">
            <v>1733</v>
          </cell>
          <cell r="R35">
            <v>43</v>
          </cell>
          <cell r="S35">
            <v>2590</v>
          </cell>
          <cell r="W35">
            <v>456</v>
          </cell>
          <cell r="X35">
            <v>39</v>
          </cell>
          <cell r="Y35">
            <v>4992</v>
          </cell>
          <cell r="Z35">
            <v>1957</v>
          </cell>
          <cell r="AA35">
            <v>44</v>
          </cell>
          <cell r="AB35">
            <v>3440</v>
          </cell>
        </row>
        <row r="36">
          <cell r="E36">
            <v>166</v>
          </cell>
          <cell r="F36">
            <v>36</v>
          </cell>
          <cell r="G36">
            <v>1416</v>
          </cell>
          <cell r="H36">
            <v>970</v>
          </cell>
          <cell r="I36">
            <v>39</v>
          </cell>
          <cell r="J36">
            <v>1244</v>
          </cell>
          <cell r="N36">
            <v>348</v>
          </cell>
          <cell r="O36">
            <v>39</v>
          </cell>
          <cell r="P36">
            <v>3676</v>
          </cell>
          <cell r="Q36">
            <v>1738</v>
          </cell>
          <cell r="R36">
            <v>44</v>
          </cell>
          <cell r="S36">
            <v>2632</v>
          </cell>
          <cell r="W36">
            <v>464</v>
          </cell>
          <cell r="X36">
            <v>40</v>
          </cell>
          <cell r="Y36">
            <v>5056</v>
          </cell>
          <cell r="Z36">
            <v>1962</v>
          </cell>
          <cell r="AA36">
            <v>45</v>
          </cell>
          <cell r="AB36">
            <v>3495</v>
          </cell>
        </row>
        <row r="37">
          <cell r="E37">
            <v>170</v>
          </cell>
          <cell r="F37">
            <v>37</v>
          </cell>
          <cell r="G37">
            <v>1440</v>
          </cell>
          <cell r="H37">
            <v>975</v>
          </cell>
          <cell r="I37">
            <v>40</v>
          </cell>
          <cell r="J37">
            <v>1272</v>
          </cell>
          <cell r="N37">
            <v>354</v>
          </cell>
          <cell r="O37">
            <v>40</v>
          </cell>
          <cell r="P37">
            <v>3722</v>
          </cell>
          <cell r="Q37">
            <v>1743</v>
          </cell>
          <cell r="R37">
            <v>45</v>
          </cell>
          <cell r="S37">
            <v>2674</v>
          </cell>
          <cell r="W37">
            <v>472</v>
          </cell>
          <cell r="X37">
            <v>41</v>
          </cell>
          <cell r="Y37">
            <v>5120</v>
          </cell>
          <cell r="Z37">
            <v>1967</v>
          </cell>
          <cell r="AA37">
            <v>46</v>
          </cell>
          <cell r="AB37">
            <v>3551</v>
          </cell>
        </row>
        <row r="38">
          <cell r="E38">
            <v>174</v>
          </cell>
          <cell r="F38">
            <v>38</v>
          </cell>
          <cell r="G38">
            <v>1464</v>
          </cell>
          <cell r="H38">
            <v>980</v>
          </cell>
          <cell r="I38">
            <v>41</v>
          </cell>
          <cell r="J38">
            <v>1299</v>
          </cell>
          <cell r="N38">
            <v>360</v>
          </cell>
          <cell r="O38">
            <v>41</v>
          </cell>
          <cell r="P38">
            <v>3768</v>
          </cell>
          <cell r="Q38">
            <v>1748</v>
          </cell>
          <cell r="R38">
            <v>46</v>
          </cell>
          <cell r="S38">
            <v>2717</v>
          </cell>
          <cell r="W38">
            <v>480</v>
          </cell>
          <cell r="X38">
            <v>42</v>
          </cell>
          <cell r="Y38">
            <v>5184</v>
          </cell>
          <cell r="Z38">
            <v>1972</v>
          </cell>
          <cell r="AA38">
            <v>47</v>
          </cell>
          <cell r="AB38">
            <v>3607</v>
          </cell>
        </row>
        <row r="39">
          <cell r="E39">
            <v>178</v>
          </cell>
          <cell r="F39">
            <v>39</v>
          </cell>
          <cell r="G39">
            <v>1488</v>
          </cell>
          <cell r="H39">
            <v>985</v>
          </cell>
          <cell r="I39">
            <v>42</v>
          </cell>
          <cell r="J39">
            <v>1327</v>
          </cell>
          <cell r="N39">
            <v>366</v>
          </cell>
          <cell r="O39">
            <v>42</v>
          </cell>
          <cell r="P39">
            <v>3814</v>
          </cell>
          <cell r="Q39">
            <v>1753</v>
          </cell>
          <cell r="R39">
            <v>47</v>
          </cell>
          <cell r="S39">
            <v>2759</v>
          </cell>
          <cell r="W39">
            <v>488</v>
          </cell>
          <cell r="X39">
            <v>43</v>
          </cell>
          <cell r="Y39">
            <v>5248</v>
          </cell>
          <cell r="Z39">
            <v>1977</v>
          </cell>
          <cell r="AA39">
            <v>48</v>
          </cell>
          <cell r="AB39">
            <v>3663</v>
          </cell>
        </row>
        <row r="40">
          <cell r="E40">
            <v>182</v>
          </cell>
          <cell r="F40">
            <v>40</v>
          </cell>
          <cell r="G40">
            <v>1512</v>
          </cell>
          <cell r="H40">
            <v>990</v>
          </cell>
          <cell r="I40">
            <v>43</v>
          </cell>
          <cell r="J40">
            <v>1355</v>
          </cell>
          <cell r="N40">
            <v>372</v>
          </cell>
          <cell r="O40">
            <v>43</v>
          </cell>
          <cell r="P40">
            <v>3860</v>
          </cell>
          <cell r="Q40">
            <v>1758</v>
          </cell>
          <cell r="R40">
            <v>48</v>
          </cell>
          <cell r="S40">
            <v>2801</v>
          </cell>
          <cell r="W40">
            <v>496</v>
          </cell>
          <cell r="X40">
            <v>44</v>
          </cell>
          <cell r="Y40">
            <v>5312</v>
          </cell>
          <cell r="Z40">
            <v>1982</v>
          </cell>
          <cell r="AA40">
            <v>49</v>
          </cell>
          <cell r="AB40">
            <v>3719</v>
          </cell>
        </row>
        <row r="41">
          <cell r="E41">
            <v>186</v>
          </cell>
          <cell r="F41">
            <v>41</v>
          </cell>
          <cell r="G41">
            <v>1536</v>
          </cell>
          <cell r="H41">
            <v>995</v>
          </cell>
          <cell r="I41">
            <v>44</v>
          </cell>
          <cell r="J41">
            <v>1383</v>
          </cell>
          <cell r="N41">
            <v>378</v>
          </cell>
          <cell r="O41">
            <v>44</v>
          </cell>
          <cell r="P41">
            <v>3906</v>
          </cell>
          <cell r="Q41">
            <v>1763</v>
          </cell>
          <cell r="R41">
            <v>49</v>
          </cell>
          <cell r="S41">
            <v>2843</v>
          </cell>
          <cell r="W41">
            <v>504</v>
          </cell>
          <cell r="X41">
            <v>45</v>
          </cell>
          <cell r="Y41">
            <v>5376</v>
          </cell>
          <cell r="Z41">
            <v>1987</v>
          </cell>
          <cell r="AA41">
            <v>50</v>
          </cell>
          <cell r="AB41">
            <v>3775</v>
          </cell>
        </row>
        <row r="42">
          <cell r="E42">
            <v>190</v>
          </cell>
          <cell r="F42">
            <v>42</v>
          </cell>
          <cell r="G42">
            <v>1560</v>
          </cell>
          <cell r="H42">
            <v>1000</v>
          </cell>
          <cell r="I42">
            <v>45</v>
          </cell>
          <cell r="J42">
            <v>1411</v>
          </cell>
          <cell r="N42">
            <v>384</v>
          </cell>
          <cell r="O42">
            <v>45</v>
          </cell>
          <cell r="P42">
            <v>3952</v>
          </cell>
          <cell r="Q42">
            <v>1768</v>
          </cell>
          <cell r="R42">
            <v>50</v>
          </cell>
          <cell r="S42">
            <v>2886</v>
          </cell>
          <cell r="W42">
            <v>512</v>
          </cell>
          <cell r="X42">
            <v>46</v>
          </cell>
          <cell r="Y42">
            <v>5440</v>
          </cell>
          <cell r="Z42">
            <v>1992</v>
          </cell>
          <cell r="AA42">
            <v>51</v>
          </cell>
          <cell r="AB42">
            <v>3831</v>
          </cell>
        </row>
        <row r="43">
          <cell r="E43">
            <v>194</v>
          </cell>
          <cell r="F43">
            <v>43</v>
          </cell>
          <cell r="G43">
            <v>1584</v>
          </cell>
          <cell r="H43">
            <v>1005</v>
          </cell>
          <cell r="I43">
            <v>46</v>
          </cell>
          <cell r="J43">
            <v>1439</v>
          </cell>
          <cell r="N43">
            <v>390</v>
          </cell>
          <cell r="O43">
            <v>46</v>
          </cell>
          <cell r="P43">
            <v>3998</v>
          </cell>
          <cell r="Q43">
            <v>1773</v>
          </cell>
          <cell r="R43">
            <v>51</v>
          </cell>
          <cell r="S43">
            <v>2928</v>
          </cell>
          <cell r="W43">
            <v>520</v>
          </cell>
          <cell r="X43">
            <v>47</v>
          </cell>
          <cell r="Y43">
            <v>5504</v>
          </cell>
          <cell r="Z43">
            <v>1997</v>
          </cell>
          <cell r="AA43">
            <v>52</v>
          </cell>
          <cell r="AB43">
            <v>3887</v>
          </cell>
        </row>
        <row r="44">
          <cell r="E44">
            <v>198</v>
          </cell>
          <cell r="F44">
            <v>44</v>
          </cell>
          <cell r="G44">
            <v>1608</v>
          </cell>
          <cell r="H44">
            <v>1010</v>
          </cell>
          <cell r="I44">
            <v>47</v>
          </cell>
          <cell r="J44">
            <v>1467</v>
          </cell>
          <cell r="N44">
            <v>396</v>
          </cell>
          <cell r="O44">
            <v>47</v>
          </cell>
          <cell r="P44">
            <v>4044</v>
          </cell>
          <cell r="Q44">
            <v>1778</v>
          </cell>
          <cell r="R44">
            <v>52</v>
          </cell>
          <cell r="S44">
            <v>2970</v>
          </cell>
          <cell r="W44">
            <v>528</v>
          </cell>
          <cell r="X44">
            <v>48</v>
          </cell>
          <cell r="Y44">
            <v>5568</v>
          </cell>
          <cell r="Z44">
            <v>2002</v>
          </cell>
          <cell r="AA44">
            <v>53</v>
          </cell>
          <cell r="AB44">
            <v>3943</v>
          </cell>
        </row>
        <row r="45">
          <cell r="E45">
            <v>202</v>
          </cell>
          <cell r="F45">
            <v>45</v>
          </cell>
          <cell r="G45">
            <v>1632</v>
          </cell>
          <cell r="H45">
            <v>1015</v>
          </cell>
          <cell r="I45">
            <v>48</v>
          </cell>
          <cell r="J45">
            <v>1495</v>
          </cell>
          <cell r="N45">
            <v>402</v>
          </cell>
          <cell r="O45">
            <v>48</v>
          </cell>
          <cell r="P45">
            <v>4090</v>
          </cell>
          <cell r="Q45">
            <v>1783</v>
          </cell>
          <cell r="R45">
            <v>53</v>
          </cell>
          <cell r="S45">
            <v>3013</v>
          </cell>
          <cell r="W45">
            <v>536</v>
          </cell>
          <cell r="X45">
            <v>49</v>
          </cell>
          <cell r="Y45">
            <v>5632</v>
          </cell>
          <cell r="Z45">
            <v>2007</v>
          </cell>
          <cell r="AA45">
            <v>54</v>
          </cell>
          <cell r="AB45">
            <v>3999</v>
          </cell>
        </row>
        <row r="46">
          <cell r="E46">
            <v>206</v>
          </cell>
          <cell r="F46">
            <v>46</v>
          </cell>
          <cell r="G46">
            <v>1656</v>
          </cell>
          <cell r="H46">
            <v>1020</v>
          </cell>
          <cell r="I46">
            <v>49</v>
          </cell>
          <cell r="J46">
            <v>1523</v>
          </cell>
          <cell r="N46">
            <v>408</v>
          </cell>
          <cell r="O46">
            <v>49</v>
          </cell>
          <cell r="P46">
            <v>4136</v>
          </cell>
          <cell r="Q46">
            <v>1788</v>
          </cell>
          <cell r="R46">
            <v>54</v>
          </cell>
          <cell r="S46">
            <v>3055</v>
          </cell>
          <cell r="W46">
            <v>544</v>
          </cell>
          <cell r="X46">
            <v>50</v>
          </cell>
          <cell r="Y46">
            <v>5696</v>
          </cell>
          <cell r="Z46">
            <v>2012</v>
          </cell>
          <cell r="AA46">
            <v>55</v>
          </cell>
          <cell r="AB46">
            <v>4054</v>
          </cell>
        </row>
        <row r="47">
          <cell r="E47">
            <v>210</v>
          </cell>
          <cell r="F47">
            <v>47</v>
          </cell>
          <cell r="G47">
            <v>1680</v>
          </cell>
          <cell r="H47">
            <v>1025</v>
          </cell>
          <cell r="I47">
            <v>50</v>
          </cell>
          <cell r="J47">
            <v>1551</v>
          </cell>
          <cell r="N47">
            <v>414</v>
          </cell>
          <cell r="O47">
            <v>50</v>
          </cell>
          <cell r="P47">
            <v>4182</v>
          </cell>
          <cell r="Q47">
            <v>1793</v>
          </cell>
          <cell r="R47">
            <v>55</v>
          </cell>
          <cell r="S47">
            <v>3097</v>
          </cell>
          <cell r="W47">
            <v>552</v>
          </cell>
          <cell r="X47">
            <v>51</v>
          </cell>
          <cell r="Y47">
            <v>5760</v>
          </cell>
          <cell r="Z47">
            <v>2017</v>
          </cell>
          <cell r="AA47">
            <v>56</v>
          </cell>
          <cell r="AB47">
            <v>4110</v>
          </cell>
        </row>
        <row r="48">
          <cell r="E48">
            <v>214</v>
          </cell>
          <cell r="F48">
            <v>48</v>
          </cell>
          <cell r="G48">
            <v>1704</v>
          </cell>
          <cell r="H48">
            <v>1030</v>
          </cell>
          <cell r="I48">
            <v>51</v>
          </cell>
          <cell r="J48">
            <v>1578</v>
          </cell>
          <cell r="N48">
            <v>420</v>
          </cell>
          <cell r="O48">
            <v>51</v>
          </cell>
          <cell r="P48">
            <v>4228</v>
          </cell>
          <cell r="Q48">
            <v>1798</v>
          </cell>
          <cell r="R48">
            <v>56</v>
          </cell>
          <cell r="S48">
            <v>3140</v>
          </cell>
          <cell r="W48">
            <v>560</v>
          </cell>
          <cell r="X48">
            <v>52</v>
          </cell>
          <cell r="Y48">
            <v>5824</v>
          </cell>
          <cell r="Z48">
            <v>2022</v>
          </cell>
          <cell r="AA48">
            <v>57</v>
          </cell>
          <cell r="AB48">
            <v>4166</v>
          </cell>
        </row>
        <row r="49">
          <cell r="E49">
            <v>218</v>
          </cell>
          <cell r="F49">
            <v>49</v>
          </cell>
          <cell r="G49">
            <v>1728</v>
          </cell>
          <cell r="H49">
            <v>1035</v>
          </cell>
          <cell r="I49">
            <v>52</v>
          </cell>
          <cell r="J49">
            <v>1606</v>
          </cell>
          <cell r="N49">
            <v>426</v>
          </cell>
          <cell r="O49">
            <v>52</v>
          </cell>
          <cell r="P49">
            <v>4274</v>
          </cell>
          <cell r="Q49">
            <v>1803</v>
          </cell>
          <cell r="R49">
            <v>57</v>
          </cell>
          <cell r="S49">
            <v>3182</v>
          </cell>
          <cell r="W49">
            <v>568</v>
          </cell>
          <cell r="X49">
            <v>53</v>
          </cell>
          <cell r="Y49">
            <v>5888</v>
          </cell>
          <cell r="Z49">
            <v>2027</v>
          </cell>
          <cell r="AA49">
            <v>58</v>
          </cell>
          <cell r="AB49">
            <v>4222</v>
          </cell>
        </row>
        <row r="50">
          <cell r="E50">
            <v>222</v>
          </cell>
          <cell r="F50">
            <v>50</v>
          </cell>
          <cell r="G50">
            <v>1752</v>
          </cell>
          <cell r="H50">
            <v>1040</v>
          </cell>
          <cell r="I50">
            <v>53</v>
          </cell>
          <cell r="J50">
            <v>1634</v>
          </cell>
          <cell r="N50">
            <v>432</v>
          </cell>
          <cell r="O50">
            <v>53</v>
          </cell>
          <cell r="P50">
            <v>4320</v>
          </cell>
          <cell r="Q50">
            <v>1808</v>
          </cell>
          <cell r="R50">
            <v>58</v>
          </cell>
          <cell r="S50">
            <v>3224</v>
          </cell>
          <cell r="W50">
            <v>576</v>
          </cell>
          <cell r="X50">
            <v>54</v>
          </cell>
          <cell r="Y50">
            <v>5952</v>
          </cell>
          <cell r="Z50">
            <v>2032</v>
          </cell>
          <cell r="AA50">
            <v>59</v>
          </cell>
          <cell r="AB50">
            <v>4278</v>
          </cell>
        </row>
        <row r="51">
          <cell r="E51">
            <v>226</v>
          </cell>
          <cell r="F51">
            <v>51</v>
          </cell>
          <cell r="G51">
            <v>1776</v>
          </cell>
          <cell r="H51">
            <v>1045</v>
          </cell>
          <cell r="I51">
            <v>54</v>
          </cell>
          <cell r="J51">
            <v>1662</v>
          </cell>
          <cell r="N51">
            <v>438</v>
          </cell>
          <cell r="O51">
            <v>54</v>
          </cell>
          <cell r="P51">
            <v>4366</v>
          </cell>
          <cell r="Q51">
            <v>1813</v>
          </cell>
          <cell r="R51">
            <v>59</v>
          </cell>
          <cell r="S51">
            <v>3266</v>
          </cell>
          <cell r="W51">
            <v>584</v>
          </cell>
          <cell r="X51">
            <v>55</v>
          </cell>
          <cell r="Y51">
            <v>6016</v>
          </cell>
          <cell r="Z51">
            <v>2037</v>
          </cell>
          <cell r="AA51">
            <v>60</v>
          </cell>
          <cell r="AB51">
            <v>4334</v>
          </cell>
        </row>
      </sheetData>
      <sheetData sheetId="3">
        <row r="2">
          <cell r="E2">
            <v>48</v>
          </cell>
          <cell r="F2">
            <v>3</v>
          </cell>
          <cell r="G2">
            <v>960</v>
          </cell>
          <cell r="H2">
            <v>960</v>
          </cell>
          <cell r="I2">
            <v>6</v>
          </cell>
          <cell r="J2">
            <v>463</v>
          </cell>
          <cell r="N2">
            <v>202</v>
          </cell>
          <cell r="O2">
            <v>6</v>
          </cell>
          <cell r="P2">
            <v>2534</v>
          </cell>
          <cell r="Q2">
            <v>1882</v>
          </cell>
          <cell r="R2">
            <v>11</v>
          </cell>
          <cell r="S2">
            <v>1577</v>
          </cell>
          <cell r="W2">
            <v>230</v>
          </cell>
          <cell r="X2">
            <v>7</v>
          </cell>
          <cell r="Y2">
            <v>3456</v>
          </cell>
          <cell r="Z2">
            <v>2150</v>
          </cell>
          <cell r="AA2">
            <v>13</v>
          </cell>
          <cell r="AB2">
            <v>1911</v>
          </cell>
        </row>
        <row r="3">
          <cell r="E3">
            <v>54</v>
          </cell>
          <cell r="F3">
            <v>5</v>
          </cell>
          <cell r="G3">
            <v>994</v>
          </cell>
          <cell r="H3">
            <v>966</v>
          </cell>
          <cell r="I3">
            <v>6</v>
          </cell>
          <cell r="J3">
            <v>504</v>
          </cell>
          <cell r="N3">
            <v>210</v>
          </cell>
          <cell r="O3">
            <v>8</v>
          </cell>
          <cell r="P3">
            <v>2588</v>
          </cell>
          <cell r="Q3">
            <v>1888</v>
          </cell>
          <cell r="R3">
            <v>12</v>
          </cell>
          <cell r="S3">
            <v>1633</v>
          </cell>
          <cell r="W3">
            <v>240</v>
          </cell>
          <cell r="X3">
            <v>9</v>
          </cell>
          <cell r="Y3">
            <v>3530</v>
          </cell>
          <cell r="Z3">
            <v>2156</v>
          </cell>
          <cell r="AA3">
            <v>14</v>
          </cell>
          <cell r="AB3">
            <v>1981</v>
          </cell>
        </row>
        <row r="4">
          <cell r="E4">
            <v>60</v>
          </cell>
          <cell r="F4">
            <v>7</v>
          </cell>
          <cell r="G4">
            <v>1028</v>
          </cell>
          <cell r="H4">
            <v>972</v>
          </cell>
          <cell r="I4">
            <v>6</v>
          </cell>
          <cell r="J4">
            <v>545</v>
          </cell>
          <cell r="N4">
            <v>218</v>
          </cell>
          <cell r="O4">
            <v>10</v>
          </cell>
          <cell r="P4">
            <v>2642</v>
          </cell>
          <cell r="Q4">
            <v>1894</v>
          </cell>
          <cell r="R4">
            <v>13</v>
          </cell>
          <cell r="S4">
            <v>1689</v>
          </cell>
          <cell r="W4">
            <v>250</v>
          </cell>
          <cell r="X4">
            <v>11</v>
          </cell>
          <cell r="Y4">
            <v>3604</v>
          </cell>
          <cell r="Z4">
            <v>2162</v>
          </cell>
          <cell r="AA4">
            <v>15</v>
          </cell>
          <cell r="AB4">
            <v>2051</v>
          </cell>
        </row>
        <row r="5">
          <cell r="E5">
            <v>66</v>
          </cell>
          <cell r="F5">
            <v>9</v>
          </cell>
          <cell r="G5">
            <v>1062</v>
          </cell>
          <cell r="H5">
            <v>978</v>
          </cell>
          <cell r="I5">
            <v>6</v>
          </cell>
          <cell r="J5">
            <v>586</v>
          </cell>
          <cell r="N5">
            <v>226</v>
          </cell>
          <cell r="O5">
            <v>12</v>
          </cell>
          <cell r="P5">
            <v>2696</v>
          </cell>
          <cell r="Q5">
            <v>1900</v>
          </cell>
          <cell r="R5">
            <v>14</v>
          </cell>
          <cell r="S5">
            <v>1745</v>
          </cell>
          <cell r="W5">
            <v>260</v>
          </cell>
          <cell r="X5">
            <v>13</v>
          </cell>
          <cell r="Y5">
            <v>3678</v>
          </cell>
          <cell r="Z5">
            <v>2168</v>
          </cell>
          <cell r="AA5">
            <v>16</v>
          </cell>
          <cell r="AB5">
            <v>2121</v>
          </cell>
        </row>
        <row r="6">
          <cell r="E6">
            <v>72</v>
          </cell>
          <cell r="F6">
            <v>11</v>
          </cell>
          <cell r="G6">
            <v>1096</v>
          </cell>
          <cell r="H6">
            <v>984</v>
          </cell>
          <cell r="I6">
            <v>6</v>
          </cell>
          <cell r="J6">
            <v>627</v>
          </cell>
          <cell r="N6">
            <v>234</v>
          </cell>
          <cell r="O6">
            <v>14</v>
          </cell>
          <cell r="P6">
            <v>2750</v>
          </cell>
          <cell r="Q6">
            <v>1906</v>
          </cell>
          <cell r="R6">
            <v>15</v>
          </cell>
          <cell r="S6">
            <v>1801</v>
          </cell>
          <cell r="W6">
            <v>270</v>
          </cell>
          <cell r="X6">
            <v>15</v>
          </cell>
          <cell r="Y6">
            <v>3752</v>
          </cell>
          <cell r="Z6">
            <v>2174</v>
          </cell>
          <cell r="AA6">
            <v>17</v>
          </cell>
          <cell r="AB6">
            <v>2191</v>
          </cell>
        </row>
        <row r="7">
          <cell r="E7">
            <v>78</v>
          </cell>
          <cell r="F7">
            <v>13</v>
          </cell>
          <cell r="G7">
            <v>1130</v>
          </cell>
          <cell r="H7">
            <v>990</v>
          </cell>
          <cell r="I7">
            <v>6</v>
          </cell>
          <cell r="J7">
            <v>668</v>
          </cell>
          <cell r="N7">
            <v>242</v>
          </cell>
          <cell r="O7">
            <v>16</v>
          </cell>
          <cell r="P7">
            <v>2804</v>
          </cell>
          <cell r="Q7">
            <v>1912</v>
          </cell>
          <cell r="R7">
            <v>16</v>
          </cell>
          <cell r="S7">
            <v>1857</v>
          </cell>
          <cell r="W7">
            <v>280</v>
          </cell>
          <cell r="X7">
            <v>17</v>
          </cell>
          <cell r="Y7">
            <v>3826</v>
          </cell>
          <cell r="Z7">
            <v>2180</v>
          </cell>
          <cell r="AA7">
            <v>18</v>
          </cell>
          <cell r="AB7">
            <v>2261</v>
          </cell>
        </row>
        <row r="8">
          <cell r="E8">
            <v>84</v>
          </cell>
          <cell r="F8">
            <v>15</v>
          </cell>
          <cell r="G8">
            <v>1164</v>
          </cell>
          <cell r="H8">
            <v>996</v>
          </cell>
          <cell r="I8">
            <v>6</v>
          </cell>
          <cell r="J8">
            <v>709</v>
          </cell>
          <cell r="N8">
            <v>250</v>
          </cell>
          <cell r="O8">
            <v>18</v>
          </cell>
          <cell r="P8">
            <v>2858</v>
          </cell>
          <cell r="Q8">
            <v>1918</v>
          </cell>
          <cell r="R8">
            <v>17</v>
          </cell>
          <cell r="S8">
            <v>1913</v>
          </cell>
          <cell r="W8">
            <v>290</v>
          </cell>
          <cell r="X8">
            <v>19</v>
          </cell>
          <cell r="Y8">
            <v>3900</v>
          </cell>
          <cell r="Z8">
            <v>2186</v>
          </cell>
          <cell r="AA8">
            <v>19</v>
          </cell>
          <cell r="AB8">
            <v>2331</v>
          </cell>
        </row>
        <row r="9">
          <cell r="E9">
            <v>90</v>
          </cell>
          <cell r="F9">
            <v>17</v>
          </cell>
          <cell r="G9">
            <v>1198</v>
          </cell>
          <cell r="H9">
            <v>1002</v>
          </cell>
          <cell r="I9">
            <v>6</v>
          </cell>
          <cell r="J9">
            <v>750</v>
          </cell>
          <cell r="N9">
            <v>258</v>
          </cell>
          <cell r="O9">
            <v>20</v>
          </cell>
          <cell r="P9">
            <v>2912</v>
          </cell>
          <cell r="Q9">
            <v>1924</v>
          </cell>
          <cell r="R9">
            <v>18</v>
          </cell>
          <cell r="S9">
            <v>1969</v>
          </cell>
          <cell r="W9">
            <v>300</v>
          </cell>
          <cell r="X9">
            <v>21</v>
          </cell>
          <cell r="Y9">
            <v>3974</v>
          </cell>
          <cell r="Z9">
            <v>2192</v>
          </cell>
          <cell r="AA9">
            <v>20</v>
          </cell>
          <cell r="AB9">
            <v>2401</v>
          </cell>
        </row>
        <row r="10">
          <cell r="E10">
            <v>96</v>
          </cell>
          <cell r="F10">
            <v>19</v>
          </cell>
          <cell r="G10">
            <v>1232</v>
          </cell>
          <cell r="H10">
            <v>1008</v>
          </cell>
          <cell r="I10">
            <v>6</v>
          </cell>
          <cell r="J10">
            <v>791</v>
          </cell>
          <cell r="N10">
            <v>266</v>
          </cell>
          <cell r="O10">
            <v>22</v>
          </cell>
          <cell r="P10">
            <v>2966</v>
          </cell>
          <cell r="Q10">
            <v>1930</v>
          </cell>
          <cell r="R10">
            <v>19</v>
          </cell>
          <cell r="S10">
            <v>2025</v>
          </cell>
          <cell r="W10">
            <v>310</v>
          </cell>
          <cell r="X10">
            <v>23</v>
          </cell>
          <cell r="Y10">
            <v>4048</v>
          </cell>
          <cell r="Z10">
            <v>2198</v>
          </cell>
          <cell r="AA10">
            <v>21</v>
          </cell>
          <cell r="AB10">
            <v>2471</v>
          </cell>
        </row>
        <row r="11">
          <cell r="E11">
            <v>102</v>
          </cell>
          <cell r="F11">
            <v>21</v>
          </cell>
          <cell r="G11">
            <v>1266</v>
          </cell>
          <cell r="H11">
            <v>1014</v>
          </cell>
          <cell r="I11">
            <v>6</v>
          </cell>
          <cell r="J11">
            <v>831</v>
          </cell>
          <cell r="N11">
            <v>274</v>
          </cell>
          <cell r="O11">
            <v>24</v>
          </cell>
          <cell r="P11">
            <v>3020</v>
          </cell>
          <cell r="Q11">
            <v>1936</v>
          </cell>
          <cell r="R11">
            <v>20</v>
          </cell>
          <cell r="S11">
            <v>2081</v>
          </cell>
          <cell r="W11">
            <v>320</v>
          </cell>
          <cell r="X11">
            <v>25</v>
          </cell>
          <cell r="Y11">
            <v>4122</v>
          </cell>
          <cell r="Z11">
            <v>2204</v>
          </cell>
          <cell r="AA11">
            <v>22</v>
          </cell>
          <cell r="AB11">
            <v>2540</v>
          </cell>
        </row>
        <row r="12">
          <cell r="E12">
            <v>108</v>
          </cell>
          <cell r="F12">
            <v>23</v>
          </cell>
          <cell r="G12">
            <v>1300</v>
          </cell>
          <cell r="H12">
            <v>1020</v>
          </cell>
          <cell r="I12">
            <v>6</v>
          </cell>
          <cell r="J12">
            <v>872</v>
          </cell>
          <cell r="N12">
            <v>282</v>
          </cell>
          <cell r="O12">
            <v>26</v>
          </cell>
          <cell r="P12">
            <v>3074</v>
          </cell>
          <cell r="Q12">
            <v>1942</v>
          </cell>
          <cell r="R12">
            <v>21</v>
          </cell>
          <cell r="S12">
            <v>2137</v>
          </cell>
          <cell r="W12">
            <v>330</v>
          </cell>
          <cell r="X12">
            <v>27</v>
          </cell>
          <cell r="Y12">
            <v>4196</v>
          </cell>
          <cell r="Z12">
            <v>2210</v>
          </cell>
          <cell r="AA12">
            <v>23</v>
          </cell>
          <cell r="AB12">
            <v>2610</v>
          </cell>
        </row>
        <row r="13">
          <cell r="E13">
            <v>114</v>
          </cell>
          <cell r="F13">
            <v>25</v>
          </cell>
          <cell r="G13">
            <v>1334</v>
          </cell>
          <cell r="H13">
            <v>1026</v>
          </cell>
          <cell r="I13">
            <v>6</v>
          </cell>
          <cell r="J13">
            <v>913</v>
          </cell>
          <cell r="N13">
            <v>290</v>
          </cell>
          <cell r="O13">
            <v>28</v>
          </cell>
          <cell r="P13">
            <v>3128</v>
          </cell>
          <cell r="Q13">
            <v>1948</v>
          </cell>
          <cell r="R13">
            <v>22</v>
          </cell>
          <cell r="S13">
            <v>2193</v>
          </cell>
          <cell r="W13">
            <v>340</v>
          </cell>
          <cell r="X13">
            <v>29</v>
          </cell>
          <cell r="Y13">
            <v>4270</v>
          </cell>
          <cell r="Z13">
            <v>2216</v>
          </cell>
          <cell r="AA13">
            <v>24</v>
          </cell>
          <cell r="AB13">
            <v>2680</v>
          </cell>
        </row>
        <row r="14">
          <cell r="E14">
            <v>120</v>
          </cell>
          <cell r="F14">
            <v>27</v>
          </cell>
          <cell r="G14">
            <v>1368</v>
          </cell>
          <cell r="H14">
            <v>1032</v>
          </cell>
          <cell r="I14">
            <v>6</v>
          </cell>
          <cell r="J14">
            <v>954</v>
          </cell>
          <cell r="N14">
            <v>298</v>
          </cell>
          <cell r="O14">
            <v>30</v>
          </cell>
          <cell r="P14">
            <v>3182</v>
          </cell>
          <cell r="Q14">
            <v>1954</v>
          </cell>
          <cell r="R14">
            <v>23</v>
          </cell>
          <cell r="S14">
            <v>2248</v>
          </cell>
          <cell r="W14">
            <v>350</v>
          </cell>
          <cell r="X14">
            <v>31</v>
          </cell>
          <cell r="Y14">
            <v>4344</v>
          </cell>
          <cell r="Z14">
            <v>2222</v>
          </cell>
          <cell r="AA14">
            <v>25</v>
          </cell>
          <cell r="AB14">
            <v>2750</v>
          </cell>
        </row>
        <row r="15">
          <cell r="E15">
            <v>126</v>
          </cell>
          <cell r="F15">
            <v>29</v>
          </cell>
          <cell r="G15">
            <v>1402</v>
          </cell>
          <cell r="H15">
            <v>1038</v>
          </cell>
          <cell r="I15">
            <v>6</v>
          </cell>
          <cell r="J15">
            <v>995</v>
          </cell>
          <cell r="N15">
            <v>306</v>
          </cell>
          <cell r="O15">
            <v>32</v>
          </cell>
          <cell r="P15">
            <v>3236</v>
          </cell>
          <cell r="Q15">
            <v>1960</v>
          </cell>
          <cell r="R15">
            <v>24</v>
          </cell>
          <cell r="S15">
            <v>2304</v>
          </cell>
          <cell r="W15">
            <v>360</v>
          </cell>
          <cell r="X15">
            <v>33</v>
          </cell>
          <cell r="Y15">
            <v>4418</v>
          </cell>
          <cell r="Z15">
            <v>2228</v>
          </cell>
          <cell r="AA15">
            <v>26</v>
          </cell>
          <cell r="AB15">
            <v>2820</v>
          </cell>
        </row>
        <row r="16">
          <cell r="E16">
            <v>132</v>
          </cell>
          <cell r="F16">
            <v>31</v>
          </cell>
          <cell r="G16">
            <v>1436</v>
          </cell>
          <cell r="H16">
            <v>1044</v>
          </cell>
          <cell r="I16">
            <v>6</v>
          </cell>
          <cell r="J16">
            <v>1036</v>
          </cell>
          <cell r="N16">
            <v>314</v>
          </cell>
          <cell r="O16">
            <v>34</v>
          </cell>
          <cell r="P16">
            <v>3290</v>
          </cell>
          <cell r="Q16">
            <v>1966</v>
          </cell>
          <cell r="R16">
            <v>25</v>
          </cell>
          <cell r="S16">
            <v>2360</v>
          </cell>
          <cell r="W16">
            <v>370</v>
          </cell>
          <cell r="X16">
            <v>35</v>
          </cell>
          <cell r="Y16">
            <v>4492</v>
          </cell>
          <cell r="Z16">
            <v>2234</v>
          </cell>
          <cell r="AA16">
            <v>27</v>
          </cell>
          <cell r="AB16">
            <v>2890</v>
          </cell>
        </row>
        <row r="17">
          <cell r="E17">
            <v>138</v>
          </cell>
          <cell r="F17">
            <v>33</v>
          </cell>
          <cell r="G17">
            <v>1470</v>
          </cell>
          <cell r="H17">
            <v>1050</v>
          </cell>
          <cell r="I17">
            <v>6</v>
          </cell>
          <cell r="J17">
            <v>1077</v>
          </cell>
          <cell r="N17">
            <v>322</v>
          </cell>
          <cell r="O17">
            <v>36</v>
          </cell>
          <cell r="P17">
            <v>3344</v>
          </cell>
          <cell r="Q17">
            <v>1972</v>
          </cell>
          <cell r="R17">
            <v>26</v>
          </cell>
          <cell r="S17">
            <v>2416</v>
          </cell>
          <cell r="W17">
            <v>380</v>
          </cell>
          <cell r="X17">
            <v>37</v>
          </cell>
          <cell r="Y17">
            <v>4566</v>
          </cell>
          <cell r="Z17">
            <v>2240</v>
          </cell>
          <cell r="AA17">
            <v>28</v>
          </cell>
          <cell r="AB17">
            <v>2960</v>
          </cell>
        </row>
        <row r="18">
          <cell r="E18">
            <v>144</v>
          </cell>
          <cell r="F18">
            <v>35</v>
          </cell>
          <cell r="G18">
            <v>1504</v>
          </cell>
          <cell r="H18">
            <v>1056</v>
          </cell>
          <cell r="I18">
            <v>6</v>
          </cell>
          <cell r="J18">
            <v>1118</v>
          </cell>
          <cell r="N18">
            <v>330</v>
          </cell>
          <cell r="O18">
            <v>38</v>
          </cell>
          <cell r="P18">
            <v>3398</v>
          </cell>
          <cell r="Q18">
            <v>1978</v>
          </cell>
          <cell r="R18">
            <v>27</v>
          </cell>
          <cell r="S18">
            <v>2472</v>
          </cell>
          <cell r="W18">
            <v>390</v>
          </cell>
          <cell r="X18">
            <v>39</v>
          </cell>
          <cell r="Y18">
            <v>4640</v>
          </cell>
          <cell r="Z18">
            <v>2246</v>
          </cell>
          <cell r="AA18">
            <v>29</v>
          </cell>
          <cell r="AB18">
            <v>3030</v>
          </cell>
        </row>
        <row r="19">
          <cell r="E19">
            <v>150</v>
          </cell>
          <cell r="F19">
            <v>37</v>
          </cell>
          <cell r="G19">
            <v>1538</v>
          </cell>
          <cell r="H19">
            <v>1062</v>
          </cell>
          <cell r="I19">
            <v>6</v>
          </cell>
          <cell r="J19">
            <v>1159</v>
          </cell>
          <cell r="N19">
            <v>338</v>
          </cell>
          <cell r="O19">
            <v>40</v>
          </cell>
          <cell r="P19">
            <v>3452</v>
          </cell>
          <cell r="Q19">
            <v>1984</v>
          </cell>
          <cell r="R19">
            <v>28</v>
          </cell>
          <cell r="S19">
            <v>2528</v>
          </cell>
          <cell r="W19">
            <v>400</v>
          </cell>
          <cell r="X19">
            <v>41</v>
          </cell>
          <cell r="Y19">
            <v>4714</v>
          </cell>
          <cell r="Z19">
            <v>2252</v>
          </cell>
          <cell r="AA19">
            <v>30</v>
          </cell>
          <cell r="AB19">
            <v>3100</v>
          </cell>
        </row>
        <row r="20">
          <cell r="E20">
            <v>156</v>
          </cell>
          <cell r="F20">
            <v>39</v>
          </cell>
          <cell r="G20">
            <v>1572</v>
          </cell>
          <cell r="H20">
            <v>1068</v>
          </cell>
          <cell r="I20">
            <v>6</v>
          </cell>
          <cell r="J20">
            <v>1200</v>
          </cell>
          <cell r="N20">
            <v>346</v>
          </cell>
          <cell r="O20">
            <v>42</v>
          </cell>
          <cell r="P20">
            <v>3506</v>
          </cell>
          <cell r="Q20">
            <v>1990</v>
          </cell>
          <cell r="R20">
            <v>29</v>
          </cell>
          <cell r="S20">
            <v>2584</v>
          </cell>
          <cell r="W20">
            <v>410</v>
          </cell>
          <cell r="X20">
            <v>43</v>
          </cell>
          <cell r="Y20">
            <v>4788</v>
          </cell>
          <cell r="Z20">
            <v>2258</v>
          </cell>
          <cell r="AA20">
            <v>31</v>
          </cell>
          <cell r="AB20">
            <v>3170</v>
          </cell>
        </row>
        <row r="21">
          <cell r="E21">
            <v>162</v>
          </cell>
          <cell r="F21">
            <v>41</v>
          </cell>
          <cell r="G21">
            <v>1606</v>
          </cell>
          <cell r="H21">
            <v>1074</v>
          </cell>
          <cell r="I21">
            <v>6</v>
          </cell>
          <cell r="J21">
            <v>1241</v>
          </cell>
          <cell r="N21">
            <v>354</v>
          </cell>
          <cell r="O21">
            <v>44</v>
          </cell>
          <cell r="P21">
            <v>3560</v>
          </cell>
          <cell r="Q21">
            <v>1996</v>
          </cell>
          <cell r="R21">
            <v>30</v>
          </cell>
          <cell r="S21">
            <v>2640</v>
          </cell>
          <cell r="W21">
            <v>420</v>
          </cell>
          <cell r="X21">
            <v>45</v>
          </cell>
          <cell r="Y21">
            <v>4862</v>
          </cell>
          <cell r="Z21">
            <v>2264</v>
          </cell>
          <cell r="AA21">
            <v>32</v>
          </cell>
          <cell r="AB21">
            <v>3240</v>
          </cell>
        </row>
        <row r="22">
          <cell r="E22">
            <v>168</v>
          </cell>
          <cell r="F22">
            <v>43</v>
          </cell>
          <cell r="G22">
            <v>1640</v>
          </cell>
          <cell r="H22">
            <v>1080</v>
          </cell>
          <cell r="I22">
            <v>6</v>
          </cell>
          <cell r="J22">
            <v>1282</v>
          </cell>
          <cell r="N22">
            <v>362</v>
          </cell>
          <cell r="O22">
            <v>46</v>
          </cell>
          <cell r="P22">
            <v>3614</v>
          </cell>
          <cell r="Q22">
            <v>2002</v>
          </cell>
          <cell r="R22">
            <v>31</v>
          </cell>
          <cell r="S22">
            <v>2696</v>
          </cell>
          <cell r="W22">
            <v>430</v>
          </cell>
          <cell r="X22">
            <v>47</v>
          </cell>
          <cell r="Y22">
            <v>4936</v>
          </cell>
          <cell r="Z22">
            <v>2270</v>
          </cell>
          <cell r="AA22">
            <v>33</v>
          </cell>
          <cell r="AB22">
            <v>3310</v>
          </cell>
        </row>
        <row r="23">
          <cell r="E23">
            <v>174</v>
          </cell>
          <cell r="F23">
            <v>45</v>
          </cell>
          <cell r="G23">
            <v>1674</v>
          </cell>
          <cell r="H23">
            <v>1086</v>
          </cell>
          <cell r="I23">
            <v>6</v>
          </cell>
          <cell r="J23">
            <v>1323</v>
          </cell>
          <cell r="N23">
            <v>370</v>
          </cell>
          <cell r="O23">
            <v>48</v>
          </cell>
          <cell r="P23">
            <v>3668</v>
          </cell>
          <cell r="Q23">
            <v>2008</v>
          </cell>
          <cell r="R23">
            <v>32</v>
          </cell>
          <cell r="S23">
            <v>2752</v>
          </cell>
          <cell r="W23">
            <v>440</v>
          </cell>
          <cell r="X23">
            <v>49</v>
          </cell>
          <cell r="Y23">
            <v>5010</v>
          </cell>
          <cell r="Z23">
            <v>2276</v>
          </cell>
          <cell r="AA23">
            <v>34</v>
          </cell>
          <cell r="AB23">
            <v>3380</v>
          </cell>
        </row>
        <row r="24">
          <cell r="E24">
            <v>180</v>
          </cell>
          <cell r="F24">
            <v>47</v>
          </cell>
          <cell r="G24">
            <v>1708</v>
          </cell>
          <cell r="H24">
            <v>1092</v>
          </cell>
          <cell r="I24">
            <v>6</v>
          </cell>
          <cell r="J24">
            <v>1363</v>
          </cell>
          <cell r="N24">
            <v>378</v>
          </cell>
          <cell r="O24">
            <v>50</v>
          </cell>
          <cell r="P24">
            <v>3722</v>
          </cell>
          <cell r="Q24">
            <v>2014</v>
          </cell>
          <cell r="R24">
            <v>33</v>
          </cell>
          <cell r="S24">
            <v>2808</v>
          </cell>
          <cell r="W24">
            <v>450</v>
          </cell>
          <cell r="X24">
            <v>51</v>
          </cell>
          <cell r="Y24">
            <v>5084</v>
          </cell>
          <cell r="Z24">
            <v>2282</v>
          </cell>
          <cell r="AA24">
            <v>35</v>
          </cell>
          <cell r="AB24">
            <v>3449</v>
          </cell>
        </row>
        <row r="25">
          <cell r="E25">
            <v>186</v>
          </cell>
          <cell r="F25">
            <v>49</v>
          </cell>
          <cell r="G25">
            <v>1742</v>
          </cell>
          <cell r="H25">
            <v>1098</v>
          </cell>
          <cell r="I25">
            <v>6</v>
          </cell>
          <cell r="J25">
            <v>1404</v>
          </cell>
          <cell r="N25">
            <v>386</v>
          </cell>
          <cell r="O25">
            <v>52</v>
          </cell>
          <cell r="P25">
            <v>3776</v>
          </cell>
          <cell r="Q25">
            <v>2020</v>
          </cell>
          <cell r="R25">
            <v>34</v>
          </cell>
          <cell r="S25">
            <v>2864</v>
          </cell>
          <cell r="W25">
            <v>460</v>
          </cell>
          <cell r="X25">
            <v>53</v>
          </cell>
          <cell r="Y25">
            <v>5158</v>
          </cell>
          <cell r="Z25">
            <v>2288</v>
          </cell>
          <cell r="AA25">
            <v>36</v>
          </cell>
          <cell r="AB25">
            <v>3519</v>
          </cell>
        </row>
        <row r="26">
          <cell r="E26">
            <v>192</v>
          </cell>
          <cell r="F26">
            <v>51</v>
          </cell>
          <cell r="G26">
            <v>1776</v>
          </cell>
          <cell r="H26">
            <v>1104</v>
          </cell>
          <cell r="I26">
            <v>6</v>
          </cell>
          <cell r="J26">
            <v>1445</v>
          </cell>
          <cell r="N26">
            <v>394</v>
          </cell>
          <cell r="O26">
            <v>54</v>
          </cell>
          <cell r="P26">
            <v>3830</v>
          </cell>
          <cell r="Q26">
            <v>2026</v>
          </cell>
          <cell r="R26">
            <v>35</v>
          </cell>
          <cell r="S26">
            <v>2920</v>
          </cell>
          <cell r="W26">
            <v>470</v>
          </cell>
          <cell r="X26">
            <v>55</v>
          </cell>
          <cell r="Y26">
            <v>5232</v>
          </cell>
          <cell r="Z26">
            <v>2294</v>
          </cell>
          <cell r="AA26">
            <v>37</v>
          </cell>
          <cell r="AB26">
            <v>3589</v>
          </cell>
        </row>
        <row r="27">
          <cell r="E27">
            <v>198</v>
          </cell>
          <cell r="F27">
            <v>53</v>
          </cell>
          <cell r="G27">
            <v>1810</v>
          </cell>
          <cell r="H27">
            <v>1110</v>
          </cell>
          <cell r="I27">
            <v>6</v>
          </cell>
          <cell r="J27">
            <v>1486</v>
          </cell>
          <cell r="N27">
            <v>402</v>
          </cell>
          <cell r="O27">
            <v>56</v>
          </cell>
          <cell r="P27">
            <v>3884</v>
          </cell>
          <cell r="Q27">
            <v>2032</v>
          </cell>
          <cell r="R27">
            <v>36</v>
          </cell>
          <cell r="S27">
            <v>2975</v>
          </cell>
          <cell r="W27">
            <v>480</v>
          </cell>
          <cell r="X27">
            <v>57</v>
          </cell>
          <cell r="Y27">
            <v>5306</v>
          </cell>
          <cell r="Z27">
            <v>2300</v>
          </cell>
          <cell r="AA27">
            <v>38</v>
          </cell>
          <cell r="AB27">
            <v>3659</v>
          </cell>
        </row>
        <row r="28">
          <cell r="E28">
            <v>204</v>
          </cell>
          <cell r="F28">
            <v>55</v>
          </cell>
          <cell r="G28">
            <v>1844</v>
          </cell>
          <cell r="H28">
            <v>1116</v>
          </cell>
          <cell r="I28">
            <v>6</v>
          </cell>
          <cell r="J28">
            <v>1527</v>
          </cell>
          <cell r="N28">
            <v>410</v>
          </cell>
          <cell r="O28">
            <v>58</v>
          </cell>
          <cell r="P28">
            <v>3938</v>
          </cell>
          <cell r="Q28">
            <v>2038</v>
          </cell>
          <cell r="R28">
            <v>37</v>
          </cell>
          <cell r="S28">
            <v>3031</v>
          </cell>
          <cell r="W28">
            <v>490</v>
          </cell>
          <cell r="X28">
            <v>59</v>
          </cell>
          <cell r="Y28">
            <v>5380</v>
          </cell>
          <cell r="Z28">
            <v>2306</v>
          </cell>
          <cell r="AA28">
            <v>39</v>
          </cell>
          <cell r="AB28">
            <v>3729</v>
          </cell>
        </row>
        <row r="29">
          <cell r="E29">
            <v>210</v>
          </cell>
          <cell r="F29">
            <v>57</v>
          </cell>
          <cell r="G29">
            <v>1878</v>
          </cell>
          <cell r="H29">
            <v>1122</v>
          </cell>
          <cell r="I29">
            <v>6</v>
          </cell>
          <cell r="J29">
            <v>1568</v>
          </cell>
          <cell r="N29">
            <v>418</v>
          </cell>
          <cell r="O29">
            <v>60</v>
          </cell>
          <cell r="P29">
            <v>3992</v>
          </cell>
          <cell r="Q29">
            <v>2044</v>
          </cell>
          <cell r="R29">
            <v>38</v>
          </cell>
          <cell r="S29">
            <v>3087</v>
          </cell>
          <cell r="W29">
            <v>500</v>
          </cell>
          <cell r="X29">
            <v>61</v>
          </cell>
          <cell r="Y29">
            <v>5454</v>
          </cell>
          <cell r="Z29">
            <v>2312</v>
          </cell>
          <cell r="AA29">
            <v>40</v>
          </cell>
          <cell r="AB29">
            <v>3799</v>
          </cell>
        </row>
        <row r="30">
          <cell r="E30">
            <v>216</v>
          </cell>
          <cell r="F30">
            <v>59</v>
          </cell>
          <cell r="G30">
            <v>1912</v>
          </cell>
          <cell r="H30">
            <v>1128</v>
          </cell>
          <cell r="I30">
            <v>6</v>
          </cell>
          <cell r="J30">
            <v>1609</v>
          </cell>
          <cell r="N30">
            <v>426</v>
          </cell>
          <cell r="O30">
            <v>62</v>
          </cell>
          <cell r="P30">
            <v>4046</v>
          </cell>
          <cell r="Q30">
            <v>2050</v>
          </cell>
          <cell r="R30">
            <v>39</v>
          </cell>
          <cell r="S30">
            <v>3143</v>
          </cell>
          <cell r="W30">
            <v>510</v>
          </cell>
          <cell r="X30">
            <v>63</v>
          </cell>
          <cell r="Y30">
            <v>5528</v>
          </cell>
          <cell r="Z30">
            <v>2318</v>
          </cell>
          <cell r="AA30">
            <v>41</v>
          </cell>
          <cell r="AB30">
            <v>3869</v>
          </cell>
        </row>
        <row r="31">
          <cell r="E31">
            <v>222</v>
          </cell>
          <cell r="F31">
            <v>61</v>
          </cell>
          <cell r="G31">
            <v>1946</v>
          </cell>
          <cell r="H31">
            <v>1134</v>
          </cell>
          <cell r="I31">
            <v>6</v>
          </cell>
          <cell r="J31">
            <v>1650</v>
          </cell>
          <cell r="N31">
            <v>434</v>
          </cell>
          <cell r="O31">
            <v>64</v>
          </cell>
          <cell r="P31">
            <v>4100</v>
          </cell>
          <cell r="Q31">
            <v>2056</v>
          </cell>
          <cell r="R31">
            <v>40</v>
          </cell>
          <cell r="S31">
            <v>3199</v>
          </cell>
          <cell r="W31">
            <v>520</v>
          </cell>
          <cell r="X31">
            <v>65</v>
          </cell>
          <cell r="Y31">
            <v>5602</v>
          </cell>
          <cell r="Z31">
            <v>2324</v>
          </cell>
          <cell r="AA31">
            <v>42</v>
          </cell>
          <cell r="AB31">
            <v>3939</v>
          </cell>
        </row>
        <row r="32">
          <cell r="E32">
            <v>228</v>
          </cell>
          <cell r="F32">
            <v>63</v>
          </cell>
          <cell r="G32">
            <v>1980</v>
          </cell>
          <cell r="H32">
            <v>1140</v>
          </cell>
          <cell r="I32">
            <v>6</v>
          </cell>
          <cell r="J32">
            <v>1691</v>
          </cell>
          <cell r="N32">
            <v>442</v>
          </cell>
          <cell r="O32">
            <v>66</v>
          </cell>
          <cell r="P32">
            <v>4154</v>
          </cell>
          <cell r="Q32">
            <v>2062</v>
          </cell>
          <cell r="R32">
            <v>41</v>
          </cell>
          <cell r="S32">
            <v>3255</v>
          </cell>
          <cell r="W32">
            <v>530</v>
          </cell>
          <cell r="X32">
            <v>67</v>
          </cell>
          <cell r="Y32">
            <v>5676</v>
          </cell>
          <cell r="Z32">
            <v>2330</v>
          </cell>
          <cell r="AA32">
            <v>43</v>
          </cell>
          <cell r="AB32">
            <v>4009</v>
          </cell>
        </row>
        <row r="33">
          <cell r="E33">
            <v>234</v>
          </cell>
          <cell r="F33">
            <v>65</v>
          </cell>
          <cell r="G33">
            <v>2014</v>
          </cell>
          <cell r="H33">
            <v>1146</v>
          </cell>
          <cell r="I33">
            <v>6</v>
          </cell>
          <cell r="J33">
            <v>1732</v>
          </cell>
          <cell r="N33">
            <v>450</v>
          </cell>
          <cell r="O33">
            <v>68</v>
          </cell>
          <cell r="P33">
            <v>4208</v>
          </cell>
          <cell r="Q33">
            <v>2068</v>
          </cell>
          <cell r="R33">
            <v>42</v>
          </cell>
          <cell r="S33">
            <v>3311</v>
          </cell>
          <cell r="W33">
            <v>540</v>
          </cell>
          <cell r="X33">
            <v>69</v>
          </cell>
          <cell r="Y33">
            <v>5750</v>
          </cell>
          <cell r="Z33">
            <v>2336</v>
          </cell>
          <cell r="AA33">
            <v>44</v>
          </cell>
          <cell r="AB33">
            <v>4079</v>
          </cell>
        </row>
        <row r="34">
          <cell r="E34">
            <v>240</v>
          </cell>
          <cell r="F34">
            <v>67</v>
          </cell>
          <cell r="G34">
            <v>2048</v>
          </cell>
          <cell r="H34">
            <v>1152</v>
          </cell>
          <cell r="I34">
            <v>6</v>
          </cell>
          <cell r="J34">
            <v>1773</v>
          </cell>
          <cell r="N34">
            <v>458</v>
          </cell>
          <cell r="O34">
            <v>70</v>
          </cell>
          <cell r="P34">
            <v>4262</v>
          </cell>
          <cell r="Q34">
            <v>2074</v>
          </cell>
          <cell r="R34">
            <v>43</v>
          </cell>
          <cell r="S34">
            <v>3367</v>
          </cell>
          <cell r="W34">
            <v>550</v>
          </cell>
          <cell r="X34">
            <v>71</v>
          </cell>
          <cell r="Y34">
            <v>5824</v>
          </cell>
          <cell r="Z34">
            <v>2342</v>
          </cell>
          <cell r="AA34">
            <v>45</v>
          </cell>
          <cell r="AB34">
            <v>4149</v>
          </cell>
        </row>
        <row r="35">
          <cell r="E35">
            <v>246</v>
          </cell>
          <cell r="F35">
            <v>69</v>
          </cell>
          <cell r="G35">
            <v>2082</v>
          </cell>
          <cell r="H35">
            <v>1158</v>
          </cell>
          <cell r="I35">
            <v>6</v>
          </cell>
          <cell r="J35">
            <v>1814</v>
          </cell>
          <cell r="N35">
            <v>466</v>
          </cell>
          <cell r="O35">
            <v>72</v>
          </cell>
          <cell r="P35">
            <v>4316</v>
          </cell>
          <cell r="Q35">
            <v>2080</v>
          </cell>
          <cell r="R35">
            <v>44</v>
          </cell>
          <cell r="S35">
            <v>3423</v>
          </cell>
          <cell r="W35">
            <v>560</v>
          </cell>
          <cell r="X35">
            <v>73</v>
          </cell>
          <cell r="Y35">
            <v>5898</v>
          </cell>
          <cell r="Z35">
            <v>2348</v>
          </cell>
          <cell r="AA35">
            <v>46</v>
          </cell>
          <cell r="AB35">
            <v>4219</v>
          </cell>
        </row>
        <row r="36">
          <cell r="E36">
            <v>252</v>
          </cell>
          <cell r="F36">
            <v>71</v>
          </cell>
          <cell r="G36">
            <v>2116</v>
          </cell>
          <cell r="H36">
            <v>1164</v>
          </cell>
          <cell r="I36">
            <v>6</v>
          </cell>
          <cell r="J36">
            <v>1854</v>
          </cell>
          <cell r="N36">
            <v>474</v>
          </cell>
          <cell r="O36">
            <v>74</v>
          </cell>
          <cell r="P36">
            <v>4370</v>
          </cell>
          <cell r="Q36">
            <v>2086</v>
          </cell>
          <cell r="R36">
            <v>45</v>
          </cell>
          <cell r="S36">
            <v>3479</v>
          </cell>
          <cell r="W36">
            <v>570</v>
          </cell>
          <cell r="X36">
            <v>75</v>
          </cell>
          <cell r="Y36">
            <v>5972</v>
          </cell>
          <cell r="Z36">
            <v>2354</v>
          </cell>
          <cell r="AA36">
            <v>47</v>
          </cell>
          <cell r="AB36">
            <v>4288</v>
          </cell>
        </row>
        <row r="37">
          <cell r="E37">
            <v>258</v>
          </cell>
          <cell r="F37">
            <v>73</v>
          </cell>
          <cell r="G37">
            <v>2150</v>
          </cell>
          <cell r="H37">
            <v>1170</v>
          </cell>
          <cell r="I37">
            <v>6</v>
          </cell>
          <cell r="J37">
            <v>1895</v>
          </cell>
          <cell r="N37">
            <v>482</v>
          </cell>
          <cell r="O37">
            <v>76</v>
          </cell>
          <cell r="P37">
            <v>4424</v>
          </cell>
          <cell r="Q37">
            <v>2092</v>
          </cell>
          <cell r="R37">
            <v>46</v>
          </cell>
          <cell r="S37">
            <v>3535</v>
          </cell>
          <cell r="W37">
            <v>580</v>
          </cell>
          <cell r="X37">
            <v>77</v>
          </cell>
          <cell r="Y37">
            <v>6046</v>
          </cell>
          <cell r="Z37">
            <v>2360</v>
          </cell>
          <cell r="AA37">
            <v>48</v>
          </cell>
          <cell r="AB37">
            <v>4358</v>
          </cell>
        </row>
        <row r="38">
          <cell r="E38">
            <v>264</v>
          </cell>
          <cell r="F38">
            <v>75</v>
          </cell>
          <cell r="G38">
            <v>2184</v>
          </cell>
          <cell r="H38">
            <v>1176</v>
          </cell>
          <cell r="I38">
            <v>6</v>
          </cell>
          <cell r="J38">
            <v>1936</v>
          </cell>
          <cell r="N38">
            <v>490</v>
          </cell>
          <cell r="O38">
            <v>78</v>
          </cell>
          <cell r="P38">
            <v>4478</v>
          </cell>
          <cell r="Q38">
            <v>2098</v>
          </cell>
          <cell r="R38">
            <v>47</v>
          </cell>
          <cell r="S38">
            <v>3591</v>
          </cell>
          <cell r="W38">
            <v>590</v>
          </cell>
          <cell r="X38">
            <v>79</v>
          </cell>
          <cell r="Y38">
            <v>6120</v>
          </cell>
          <cell r="Z38">
            <v>2366</v>
          </cell>
          <cell r="AA38">
            <v>49</v>
          </cell>
          <cell r="AB38">
            <v>4428</v>
          </cell>
        </row>
        <row r="39">
          <cell r="E39">
            <v>270</v>
          </cell>
          <cell r="F39">
            <v>77</v>
          </cell>
          <cell r="G39">
            <v>2218</v>
          </cell>
          <cell r="H39">
            <v>1182</v>
          </cell>
          <cell r="I39">
            <v>6</v>
          </cell>
          <cell r="J39">
            <v>1977</v>
          </cell>
          <cell r="N39">
            <v>498</v>
          </cell>
          <cell r="O39">
            <v>80</v>
          </cell>
          <cell r="P39">
            <v>4532</v>
          </cell>
          <cell r="Q39">
            <v>2104</v>
          </cell>
          <cell r="R39">
            <v>48</v>
          </cell>
          <cell r="S39">
            <v>3646</v>
          </cell>
          <cell r="W39">
            <v>600</v>
          </cell>
          <cell r="X39">
            <v>81</v>
          </cell>
          <cell r="Y39">
            <v>6194</v>
          </cell>
          <cell r="Z39">
            <v>2372</v>
          </cell>
          <cell r="AA39">
            <v>50</v>
          </cell>
          <cell r="AB39">
            <v>4498</v>
          </cell>
        </row>
        <row r="40">
          <cell r="E40">
            <v>276</v>
          </cell>
          <cell r="F40">
            <v>79</v>
          </cell>
          <cell r="G40">
            <v>2252</v>
          </cell>
          <cell r="H40">
            <v>1188</v>
          </cell>
          <cell r="I40">
            <v>6</v>
          </cell>
          <cell r="J40">
            <v>2018</v>
          </cell>
          <cell r="N40">
            <v>506</v>
          </cell>
          <cell r="O40">
            <v>82</v>
          </cell>
          <cell r="P40">
            <v>4586</v>
          </cell>
          <cell r="Q40">
            <v>2110</v>
          </cell>
          <cell r="R40">
            <v>49</v>
          </cell>
          <cell r="S40">
            <v>3702</v>
          </cell>
          <cell r="W40">
            <v>610</v>
          </cell>
          <cell r="X40">
            <v>83</v>
          </cell>
          <cell r="Y40">
            <v>6268</v>
          </cell>
          <cell r="Z40">
            <v>2378</v>
          </cell>
          <cell r="AA40">
            <v>51</v>
          </cell>
          <cell r="AB40">
            <v>4568</v>
          </cell>
        </row>
        <row r="41">
          <cell r="E41">
            <v>282</v>
          </cell>
          <cell r="F41">
            <v>81</v>
          </cell>
          <cell r="G41">
            <v>2286</v>
          </cell>
          <cell r="H41">
            <v>1194</v>
          </cell>
          <cell r="I41">
            <v>6</v>
          </cell>
          <cell r="J41">
            <v>2059</v>
          </cell>
          <cell r="N41">
            <v>514</v>
          </cell>
          <cell r="O41">
            <v>84</v>
          </cell>
          <cell r="P41">
            <v>4640</v>
          </cell>
          <cell r="Q41">
            <v>2116</v>
          </cell>
          <cell r="R41">
            <v>50</v>
          </cell>
          <cell r="S41">
            <v>3758</v>
          </cell>
          <cell r="W41">
            <v>620</v>
          </cell>
          <cell r="X41">
            <v>85</v>
          </cell>
          <cell r="Y41">
            <v>6342</v>
          </cell>
          <cell r="Z41">
            <v>2384</v>
          </cell>
          <cell r="AA41">
            <v>52</v>
          </cell>
          <cell r="AB41">
            <v>4638</v>
          </cell>
        </row>
        <row r="42">
          <cell r="E42">
            <v>288</v>
          </cell>
          <cell r="F42">
            <v>83</v>
          </cell>
          <cell r="G42">
            <v>2320</v>
          </cell>
          <cell r="H42">
            <v>1200</v>
          </cell>
          <cell r="I42">
            <v>6</v>
          </cell>
          <cell r="J42">
            <v>2100</v>
          </cell>
          <cell r="N42">
            <v>522</v>
          </cell>
          <cell r="O42">
            <v>86</v>
          </cell>
          <cell r="P42">
            <v>4694</v>
          </cell>
          <cell r="Q42">
            <v>2122</v>
          </cell>
          <cell r="R42">
            <v>51</v>
          </cell>
          <cell r="S42">
            <v>3814</v>
          </cell>
          <cell r="W42">
            <v>630</v>
          </cell>
          <cell r="X42">
            <v>87</v>
          </cell>
          <cell r="Y42">
            <v>6416</v>
          </cell>
          <cell r="Z42">
            <v>2390</v>
          </cell>
          <cell r="AA42">
            <v>53</v>
          </cell>
          <cell r="AB42">
            <v>4708</v>
          </cell>
        </row>
        <row r="43">
          <cell r="E43">
            <v>294</v>
          </cell>
          <cell r="F43">
            <v>85</v>
          </cell>
          <cell r="G43">
            <v>2354</v>
          </cell>
          <cell r="H43">
            <v>1206</v>
          </cell>
          <cell r="I43">
            <v>6</v>
          </cell>
          <cell r="J43">
            <v>2141</v>
          </cell>
          <cell r="N43">
            <v>530</v>
          </cell>
          <cell r="O43">
            <v>88</v>
          </cell>
          <cell r="P43">
            <v>4748</v>
          </cell>
          <cell r="Q43">
            <v>2128</v>
          </cell>
          <cell r="R43">
            <v>52</v>
          </cell>
          <cell r="S43">
            <v>3870</v>
          </cell>
          <cell r="W43">
            <v>640</v>
          </cell>
          <cell r="X43">
            <v>89</v>
          </cell>
          <cell r="Y43">
            <v>6490</v>
          </cell>
          <cell r="Z43">
            <v>2396</v>
          </cell>
          <cell r="AA43">
            <v>54</v>
          </cell>
          <cell r="AB43">
            <v>4778</v>
          </cell>
        </row>
        <row r="44">
          <cell r="E44">
            <v>300</v>
          </cell>
          <cell r="F44">
            <v>87</v>
          </cell>
          <cell r="G44">
            <v>2388</v>
          </cell>
          <cell r="H44">
            <v>1212</v>
          </cell>
          <cell r="I44">
            <v>6</v>
          </cell>
          <cell r="J44">
            <v>2182</v>
          </cell>
          <cell r="N44">
            <v>538</v>
          </cell>
          <cell r="O44">
            <v>90</v>
          </cell>
          <cell r="P44">
            <v>4802</v>
          </cell>
          <cell r="Q44">
            <v>2134</v>
          </cell>
          <cell r="R44">
            <v>53</v>
          </cell>
          <cell r="S44">
            <v>3926</v>
          </cell>
          <cell r="W44">
            <v>650</v>
          </cell>
          <cell r="X44">
            <v>91</v>
          </cell>
          <cell r="Y44">
            <v>6564</v>
          </cell>
          <cell r="Z44">
            <v>2402</v>
          </cell>
          <cell r="AA44">
            <v>55</v>
          </cell>
          <cell r="AB44">
            <v>4848</v>
          </cell>
        </row>
        <row r="45">
          <cell r="E45">
            <v>306</v>
          </cell>
          <cell r="F45">
            <v>89</v>
          </cell>
          <cell r="G45">
            <v>2422</v>
          </cell>
          <cell r="H45">
            <v>1218</v>
          </cell>
          <cell r="I45">
            <v>6</v>
          </cell>
          <cell r="J45">
            <v>2223</v>
          </cell>
          <cell r="N45">
            <v>546</v>
          </cell>
          <cell r="O45">
            <v>92</v>
          </cell>
          <cell r="P45">
            <v>4856</v>
          </cell>
          <cell r="Q45">
            <v>2140</v>
          </cell>
          <cell r="R45">
            <v>54</v>
          </cell>
          <cell r="S45">
            <v>3982</v>
          </cell>
          <cell r="W45">
            <v>660</v>
          </cell>
          <cell r="X45">
            <v>93</v>
          </cell>
          <cell r="Y45">
            <v>6638</v>
          </cell>
          <cell r="Z45">
            <v>2408</v>
          </cell>
          <cell r="AA45">
            <v>56</v>
          </cell>
          <cell r="AB45">
            <v>4918</v>
          </cell>
        </row>
        <row r="46">
          <cell r="E46">
            <v>312</v>
          </cell>
          <cell r="F46">
            <v>91</v>
          </cell>
          <cell r="G46">
            <v>2456</v>
          </cell>
          <cell r="H46">
            <v>1224</v>
          </cell>
          <cell r="I46">
            <v>6</v>
          </cell>
          <cell r="J46">
            <v>2264</v>
          </cell>
          <cell r="N46">
            <v>554</v>
          </cell>
          <cell r="O46">
            <v>94</v>
          </cell>
          <cell r="P46">
            <v>4910</v>
          </cell>
          <cell r="Q46">
            <v>2146</v>
          </cell>
          <cell r="R46">
            <v>55</v>
          </cell>
          <cell r="S46">
            <v>4038</v>
          </cell>
          <cell r="W46">
            <v>670</v>
          </cell>
          <cell r="X46">
            <v>95</v>
          </cell>
          <cell r="Y46">
            <v>6712</v>
          </cell>
          <cell r="Z46">
            <v>2414</v>
          </cell>
          <cell r="AA46">
            <v>57</v>
          </cell>
          <cell r="AB46">
            <v>4988</v>
          </cell>
        </row>
        <row r="47">
          <cell r="E47">
            <v>318</v>
          </cell>
          <cell r="F47">
            <v>93</v>
          </cell>
          <cell r="G47">
            <v>2490</v>
          </cell>
          <cell r="H47">
            <v>1230</v>
          </cell>
          <cell r="I47">
            <v>6</v>
          </cell>
          <cell r="J47">
            <v>2305</v>
          </cell>
          <cell r="N47">
            <v>562</v>
          </cell>
          <cell r="O47">
            <v>96</v>
          </cell>
          <cell r="P47">
            <v>4964</v>
          </cell>
          <cell r="Q47">
            <v>2152</v>
          </cell>
          <cell r="R47">
            <v>56</v>
          </cell>
          <cell r="S47">
            <v>4094</v>
          </cell>
          <cell r="W47">
            <v>680</v>
          </cell>
          <cell r="X47">
            <v>97</v>
          </cell>
          <cell r="Y47">
            <v>6786</v>
          </cell>
          <cell r="Z47">
            <v>2420</v>
          </cell>
          <cell r="AA47">
            <v>58</v>
          </cell>
          <cell r="AB47">
            <v>5058</v>
          </cell>
        </row>
        <row r="48">
          <cell r="E48">
            <v>324</v>
          </cell>
          <cell r="F48">
            <v>95</v>
          </cell>
          <cell r="G48">
            <v>2524</v>
          </cell>
          <cell r="H48">
            <v>1236</v>
          </cell>
          <cell r="I48">
            <v>6</v>
          </cell>
          <cell r="J48">
            <v>2346</v>
          </cell>
          <cell r="N48">
            <v>570</v>
          </cell>
          <cell r="O48">
            <v>98</v>
          </cell>
          <cell r="P48">
            <v>5018</v>
          </cell>
          <cell r="Q48">
            <v>2158</v>
          </cell>
          <cell r="R48">
            <v>57</v>
          </cell>
          <cell r="S48">
            <v>4150</v>
          </cell>
          <cell r="W48">
            <v>690</v>
          </cell>
          <cell r="X48">
            <v>99</v>
          </cell>
          <cell r="Y48">
            <v>6860</v>
          </cell>
          <cell r="Z48">
            <v>2426</v>
          </cell>
          <cell r="AA48">
            <v>59</v>
          </cell>
          <cell r="AB48">
            <v>5128</v>
          </cell>
        </row>
        <row r="49">
          <cell r="E49">
            <v>330</v>
          </cell>
          <cell r="F49">
            <v>97</v>
          </cell>
          <cell r="G49">
            <v>2558</v>
          </cell>
          <cell r="H49">
            <v>1242</v>
          </cell>
          <cell r="I49">
            <v>6</v>
          </cell>
          <cell r="J49">
            <v>2386</v>
          </cell>
          <cell r="N49">
            <v>578</v>
          </cell>
          <cell r="O49">
            <v>100</v>
          </cell>
          <cell r="P49">
            <v>5072</v>
          </cell>
          <cell r="Q49">
            <v>2164</v>
          </cell>
          <cell r="R49">
            <v>58</v>
          </cell>
          <cell r="S49">
            <v>4206</v>
          </cell>
          <cell r="W49">
            <v>700</v>
          </cell>
          <cell r="X49">
            <v>101</v>
          </cell>
          <cell r="Y49">
            <v>6934</v>
          </cell>
          <cell r="Z49">
            <v>2432</v>
          </cell>
          <cell r="AA49">
            <v>60</v>
          </cell>
          <cell r="AB49">
            <v>5197</v>
          </cell>
        </row>
        <row r="50">
          <cell r="E50">
            <v>336</v>
          </cell>
          <cell r="F50">
            <v>99</v>
          </cell>
          <cell r="G50">
            <v>2592</v>
          </cell>
          <cell r="H50">
            <v>1248</v>
          </cell>
          <cell r="I50">
            <v>6</v>
          </cell>
          <cell r="J50">
            <v>2427</v>
          </cell>
          <cell r="N50">
            <v>586</v>
          </cell>
          <cell r="O50">
            <v>102</v>
          </cell>
          <cell r="P50">
            <v>5126</v>
          </cell>
          <cell r="Q50">
            <v>2170</v>
          </cell>
          <cell r="R50">
            <v>59</v>
          </cell>
          <cell r="S50">
            <v>4262</v>
          </cell>
          <cell r="W50">
            <v>710</v>
          </cell>
          <cell r="X50">
            <v>103</v>
          </cell>
          <cell r="Y50">
            <v>7008</v>
          </cell>
          <cell r="Z50">
            <v>2438</v>
          </cell>
          <cell r="AA50">
            <v>61</v>
          </cell>
          <cell r="AB50">
            <v>5267</v>
          </cell>
        </row>
        <row r="51">
          <cell r="E51">
            <v>342</v>
          </cell>
          <cell r="F51">
            <v>101</v>
          </cell>
          <cell r="G51">
            <v>2626</v>
          </cell>
          <cell r="H51">
            <v>1254</v>
          </cell>
          <cell r="I51">
            <v>6</v>
          </cell>
          <cell r="J51">
            <v>2468</v>
          </cell>
          <cell r="N51">
            <v>594</v>
          </cell>
          <cell r="O51">
            <v>104</v>
          </cell>
          <cell r="P51">
            <v>5180</v>
          </cell>
          <cell r="Q51">
            <v>2176</v>
          </cell>
          <cell r="R51">
            <v>60</v>
          </cell>
          <cell r="S51">
            <v>4318</v>
          </cell>
          <cell r="W51">
            <v>720</v>
          </cell>
          <cell r="X51">
            <v>105</v>
          </cell>
          <cell r="Y51">
            <v>7082</v>
          </cell>
          <cell r="Z51">
            <v>2444</v>
          </cell>
          <cell r="AA51">
            <v>62</v>
          </cell>
          <cell r="AB51">
            <v>5337</v>
          </cell>
        </row>
      </sheetData>
      <sheetData sheetId="4">
        <row r="2">
          <cell r="E2">
            <v>90</v>
          </cell>
          <cell r="F2">
            <v>4</v>
          </cell>
          <cell r="G2">
            <v>1320</v>
          </cell>
          <cell r="H2">
            <v>1120</v>
          </cell>
          <cell r="I2">
            <v>7</v>
          </cell>
          <cell r="J2">
            <v>751</v>
          </cell>
          <cell r="N2">
            <v>230</v>
          </cell>
          <cell r="O2">
            <v>7</v>
          </cell>
          <cell r="P2">
            <v>2957</v>
          </cell>
          <cell r="Q2">
            <v>2038</v>
          </cell>
          <cell r="R2">
            <v>12</v>
          </cell>
          <cell r="S2">
            <v>1808</v>
          </cell>
          <cell r="W2">
            <v>269</v>
          </cell>
          <cell r="X2">
            <v>8</v>
          </cell>
          <cell r="Y2">
            <v>4032</v>
          </cell>
          <cell r="Z2">
            <v>2330</v>
          </cell>
          <cell r="AA2">
            <v>15</v>
          </cell>
          <cell r="AB2">
            <v>2229</v>
          </cell>
        </row>
        <row r="3">
          <cell r="E3">
            <v>98</v>
          </cell>
          <cell r="F3">
            <v>8</v>
          </cell>
          <cell r="G3">
            <v>1386</v>
          </cell>
          <cell r="H3">
            <v>1128</v>
          </cell>
          <cell r="I3">
            <v>8</v>
          </cell>
          <cell r="J3">
            <v>814</v>
          </cell>
          <cell r="N3">
            <v>240</v>
          </cell>
          <cell r="O3">
            <v>11</v>
          </cell>
          <cell r="P3">
            <v>3033</v>
          </cell>
          <cell r="Q3">
            <v>2046</v>
          </cell>
          <cell r="R3">
            <v>13</v>
          </cell>
          <cell r="S3">
            <v>1883</v>
          </cell>
          <cell r="W3">
            <v>281</v>
          </cell>
          <cell r="X3">
            <v>12</v>
          </cell>
          <cell r="Y3">
            <v>4118</v>
          </cell>
          <cell r="Z3">
            <v>2338</v>
          </cell>
          <cell r="AA3">
            <v>16</v>
          </cell>
          <cell r="AB3">
            <v>2315</v>
          </cell>
        </row>
        <row r="4">
          <cell r="E4">
            <v>106</v>
          </cell>
          <cell r="F4">
            <v>12</v>
          </cell>
          <cell r="G4">
            <v>1452</v>
          </cell>
          <cell r="H4">
            <v>1136</v>
          </cell>
          <cell r="I4">
            <v>9</v>
          </cell>
          <cell r="J4">
            <v>876</v>
          </cell>
          <cell r="N4">
            <v>250</v>
          </cell>
          <cell r="O4">
            <v>15</v>
          </cell>
          <cell r="P4">
            <v>3109</v>
          </cell>
          <cell r="Q4">
            <v>2054</v>
          </cell>
          <cell r="R4">
            <v>14</v>
          </cell>
          <cell r="S4">
            <v>1957</v>
          </cell>
          <cell r="W4">
            <v>293</v>
          </cell>
          <cell r="X4">
            <v>16</v>
          </cell>
          <cell r="Y4">
            <v>4204</v>
          </cell>
          <cell r="Z4">
            <v>2346</v>
          </cell>
          <cell r="AA4">
            <v>17</v>
          </cell>
          <cell r="AB4">
            <v>2402</v>
          </cell>
        </row>
        <row r="5">
          <cell r="E5">
            <v>114</v>
          </cell>
          <cell r="F5">
            <v>16</v>
          </cell>
          <cell r="G5">
            <v>1518</v>
          </cell>
          <cell r="H5">
            <v>1144</v>
          </cell>
          <cell r="I5">
            <v>10</v>
          </cell>
          <cell r="J5">
            <v>938</v>
          </cell>
          <cell r="N5">
            <v>260</v>
          </cell>
          <cell r="O5">
            <v>19</v>
          </cell>
          <cell r="P5">
            <v>3185</v>
          </cell>
          <cell r="Q5">
            <v>2062</v>
          </cell>
          <cell r="R5">
            <v>15</v>
          </cell>
          <cell r="S5">
            <v>2031</v>
          </cell>
          <cell r="W5">
            <v>305</v>
          </cell>
          <cell r="X5">
            <v>20</v>
          </cell>
          <cell r="Y5">
            <v>4290</v>
          </cell>
          <cell r="Z5">
            <v>2354</v>
          </cell>
          <cell r="AA5">
            <v>18</v>
          </cell>
          <cell r="AB5">
            <v>2488</v>
          </cell>
        </row>
        <row r="6">
          <cell r="E6">
            <v>122</v>
          </cell>
          <cell r="F6">
            <v>20</v>
          </cell>
          <cell r="G6">
            <v>1584</v>
          </cell>
          <cell r="H6">
            <v>1152</v>
          </cell>
          <cell r="I6">
            <v>11</v>
          </cell>
          <cell r="J6">
            <v>1001</v>
          </cell>
          <cell r="N6">
            <v>270</v>
          </cell>
          <cell r="O6">
            <v>23</v>
          </cell>
          <cell r="P6">
            <v>3261</v>
          </cell>
          <cell r="Q6">
            <v>2070</v>
          </cell>
          <cell r="R6">
            <v>16</v>
          </cell>
          <cell r="S6">
            <v>2106</v>
          </cell>
          <cell r="W6">
            <v>317</v>
          </cell>
          <cell r="X6">
            <v>24</v>
          </cell>
          <cell r="Y6">
            <v>4376</v>
          </cell>
          <cell r="Z6">
            <v>2362</v>
          </cell>
          <cell r="AA6">
            <v>19</v>
          </cell>
          <cell r="AB6">
            <v>2574</v>
          </cell>
        </row>
        <row r="7">
          <cell r="E7">
            <v>130</v>
          </cell>
          <cell r="F7">
            <v>24</v>
          </cell>
          <cell r="G7">
            <v>1650</v>
          </cell>
          <cell r="H7">
            <v>1160</v>
          </cell>
          <cell r="I7">
            <v>12</v>
          </cell>
          <cell r="J7">
            <v>1063</v>
          </cell>
          <cell r="N7">
            <v>280</v>
          </cell>
          <cell r="O7">
            <v>27</v>
          </cell>
          <cell r="P7">
            <v>3337</v>
          </cell>
          <cell r="Q7">
            <v>2078</v>
          </cell>
          <cell r="R7">
            <v>17</v>
          </cell>
          <cell r="S7">
            <v>2180</v>
          </cell>
          <cell r="W7">
            <v>329</v>
          </cell>
          <cell r="X7">
            <v>28</v>
          </cell>
          <cell r="Y7">
            <v>4462</v>
          </cell>
          <cell r="Z7">
            <v>2370</v>
          </cell>
          <cell r="AA7">
            <v>20</v>
          </cell>
          <cell r="AB7">
            <v>2661</v>
          </cell>
        </row>
        <row r="8">
          <cell r="E8">
            <v>138</v>
          </cell>
          <cell r="F8">
            <v>28</v>
          </cell>
          <cell r="G8">
            <v>1716</v>
          </cell>
          <cell r="H8">
            <v>1168</v>
          </cell>
          <cell r="I8">
            <v>13</v>
          </cell>
          <cell r="J8">
            <v>1126</v>
          </cell>
          <cell r="N8">
            <v>290</v>
          </cell>
          <cell r="O8">
            <v>31</v>
          </cell>
          <cell r="P8">
            <v>3413</v>
          </cell>
          <cell r="Q8">
            <v>2086</v>
          </cell>
          <cell r="R8">
            <v>18</v>
          </cell>
          <cell r="S8">
            <v>2254</v>
          </cell>
          <cell r="W8">
            <v>341</v>
          </cell>
          <cell r="X8">
            <v>32</v>
          </cell>
          <cell r="Y8">
            <v>4548</v>
          </cell>
          <cell r="Z8">
            <v>2378</v>
          </cell>
          <cell r="AA8">
            <v>21</v>
          </cell>
          <cell r="AB8">
            <v>2747</v>
          </cell>
        </row>
        <row r="9">
          <cell r="E9">
            <v>146</v>
          </cell>
          <cell r="F9">
            <v>32</v>
          </cell>
          <cell r="G9">
            <v>1782</v>
          </cell>
          <cell r="H9">
            <v>1176</v>
          </cell>
          <cell r="I9">
            <v>14</v>
          </cell>
          <cell r="J9">
            <v>1188</v>
          </cell>
          <cell r="N9">
            <v>300</v>
          </cell>
          <cell r="O9">
            <v>35</v>
          </cell>
          <cell r="P9">
            <v>3489</v>
          </cell>
          <cell r="Q9">
            <v>2094</v>
          </cell>
          <cell r="R9">
            <v>19</v>
          </cell>
          <cell r="S9">
            <v>2329</v>
          </cell>
          <cell r="W9">
            <v>353</v>
          </cell>
          <cell r="X9">
            <v>36</v>
          </cell>
          <cell r="Y9">
            <v>4634</v>
          </cell>
          <cell r="Z9">
            <v>2386</v>
          </cell>
          <cell r="AA9">
            <v>22</v>
          </cell>
          <cell r="AB9">
            <v>2834</v>
          </cell>
        </row>
        <row r="10">
          <cell r="E10">
            <v>154</v>
          </cell>
          <cell r="F10">
            <v>36</v>
          </cell>
          <cell r="G10">
            <v>1848</v>
          </cell>
          <cell r="H10">
            <v>1184</v>
          </cell>
          <cell r="I10">
            <v>15</v>
          </cell>
          <cell r="J10">
            <v>1250</v>
          </cell>
          <cell r="N10">
            <v>310</v>
          </cell>
          <cell r="O10">
            <v>39</v>
          </cell>
          <cell r="P10">
            <v>3565</v>
          </cell>
          <cell r="Q10">
            <v>2102</v>
          </cell>
          <cell r="R10">
            <v>20</v>
          </cell>
          <cell r="S10">
            <v>2403</v>
          </cell>
          <cell r="W10">
            <v>365</v>
          </cell>
          <cell r="X10">
            <v>40</v>
          </cell>
          <cell r="Y10">
            <v>4720</v>
          </cell>
          <cell r="Z10">
            <v>2394</v>
          </cell>
          <cell r="AA10">
            <v>23</v>
          </cell>
          <cell r="AB10">
            <v>2920</v>
          </cell>
        </row>
        <row r="11">
          <cell r="E11">
            <v>162</v>
          </cell>
          <cell r="F11">
            <v>40</v>
          </cell>
          <cell r="G11">
            <v>1914</v>
          </cell>
          <cell r="H11">
            <v>1192</v>
          </cell>
          <cell r="I11">
            <v>16</v>
          </cell>
          <cell r="J11">
            <v>1313</v>
          </cell>
          <cell r="N11">
            <v>320</v>
          </cell>
          <cell r="O11">
            <v>43</v>
          </cell>
          <cell r="P11">
            <v>3641</v>
          </cell>
          <cell r="Q11">
            <v>2110</v>
          </cell>
          <cell r="R11">
            <v>21</v>
          </cell>
          <cell r="S11">
            <v>2477</v>
          </cell>
          <cell r="W11">
            <v>377</v>
          </cell>
          <cell r="X11">
            <v>44</v>
          </cell>
          <cell r="Y11">
            <v>4806</v>
          </cell>
          <cell r="Z11">
            <v>2402</v>
          </cell>
          <cell r="AA11">
            <v>24</v>
          </cell>
          <cell r="AB11">
            <v>3006</v>
          </cell>
        </row>
        <row r="12">
          <cell r="E12">
            <v>170</v>
          </cell>
          <cell r="F12">
            <v>44</v>
          </cell>
          <cell r="G12">
            <v>1980</v>
          </cell>
          <cell r="H12">
            <v>1200</v>
          </cell>
          <cell r="I12">
            <v>17</v>
          </cell>
          <cell r="J12">
            <v>1375</v>
          </cell>
          <cell r="N12">
            <v>330</v>
          </cell>
          <cell r="O12">
            <v>47</v>
          </cell>
          <cell r="P12">
            <v>3717</v>
          </cell>
          <cell r="Q12">
            <v>2118</v>
          </cell>
          <cell r="R12">
            <v>22</v>
          </cell>
          <cell r="S12">
            <v>2552</v>
          </cell>
          <cell r="W12">
            <v>389</v>
          </cell>
          <cell r="X12">
            <v>48</v>
          </cell>
          <cell r="Y12">
            <v>4892</v>
          </cell>
          <cell r="Z12">
            <v>2410</v>
          </cell>
          <cell r="AA12">
            <v>25</v>
          </cell>
          <cell r="AB12">
            <v>3093</v>
          </cell>
        </row>
        <row r="13">
          <cell r="E13">
            <v>178</v>
          </cell>
          <cell r="F13">
            <v>48</v>
          </cell>
          <cell r="G13">
            <v>2046</v>
          </cell>
          <cell r="H13">
            <v>1208</v>
          </cell>
          <cell r="I13">
            <v>18</v>
          </cell>
          <cell r="J13">
            <v>1437</v>
          </cell>
          <cell r="N13">
            <v>340</v>
          </cell>
          <cell r="O13">
            <v>51</v>
          </cell>
          <cell r="P13">
            <v>3793</v>
          </cell>
          <cell r="Q13">
            <v>2126</v>
          </cell>
          <cell r="R13">
            <v>23</v>
          </cell>
          <cell r="S13">
            <v>2626</v>
          </cell>
          <cell r="W13">
            <v>401</v>
          </cell>
          <cell r="X13">
            <v>52</v>
          </cell>
          <cell r="Y13">
            <v>4978</v>
          </cell>
          <cell r="Z13">
            <v>2418</v>
          </cell>
          <cell r="AA13">
            <v>26</v>
          </cell>
          <cell r="AB13">
            <v>3179</v>
          </cell>
        </row>
        <row r="14">
          <cell r="E14">
            <v>186</v>
          </cell>
          <cell r="F14">
            <v>52</v>
          </cell>
          <cell r="G14">
            <v>2112</v>
          </cell>
          <cell r="H14">
            <v>1216</v>
          </cell>
          <cell r="I14">
            <v>19</v>
          </cell>
          <cell r="J14">
            <v>1500</v>
          </cell>
          <cell r="N14">
            <v>350</v>
          </cell>
          <cell r="O14">
            <v>55</v>
          </cell>
          <cell r="P14">
            <v>3869</v>
          </cell>
          <cell r="Q14">
            <v>2134</v>
          </cell>
          <cell r="R14">
            <v>24</v>
          </cell>
          <cell r="S14">
            <v>2700</v>
          </cell>
          <cell r="W14">
            <v>413</v>
          </cell>
          <cell r="X14">
            <v>56</v>
          </cell>
          <cell r="Y14">
            <v>5064</v>
          </cell>
          <cell r="Z14">
            <v>2426</v>
          </cell>
          <cell r="AA14">
            <v>27</v>
          </cell>
          <cell r="AB14">
            <v>3265</v>
          </cell>
        </row>
        <row r="15">
          <cell r="E15">
            <v>194</v>
          </cell>
          <cell r="F15">
            <v>56</v>
          </cell>
          <cell r="G15">
            <v>2178</v>
          </cell>
          <cell r="H15">
            <v>1224</v>
          </cell>
          <cell r="I15">
            <v>20</v>
          </cell>
          <cell r="J15">
            <v>1562</v>
          </cell>
          <cell r="N15">
            <v>360</v>
          </cell>
          <cell r="O15">
            <v>59</v>
          </cell>
          <cell r="P15">
            <v>3945</v>
          </cell>
          <cell r="Q15">
            <v>2142</v>
          </cell>
          <cell r="R15">
            <v>25</v>
          </cell>
          <cell r="S15">
            <v>2775</v>
          </cell>
          <cell r="W15">
            <v>425</v>
          </cell>
          <cell r="X15">
            <v>60</v>
          </cell>
          <cell r="Y15">
            <v>5150</v>
          </cell>
          <cell r="Z15">
            <v>2434</v>
          </cell>
          <cell r="AA15">
            <v>28</v>
          </cell>
          <cell r="AB15">
            <v>3352</v>
          </cell>
        </row>
        <row r="16">
          <cell r="E16">
            <v>202</v>
          </cell>
          <cell r="F16">
            <v>60</v>
          </cell>
          <cell r="G16">
            <v>2244</v>
          </cell>
          <cell r="H16">
            <v>1232</v>
          </cell>
          <cell r="I16">
            <v>21</v>
          </cell>
          <cell r="J16">
            <v>1624</v>
          </cell>
          <cell r="N16">
            <v>370</v>
          </cell>
          <cell r="O16">
            <v>63</v>
          </cell>
          <cell r="P16">
            <v>4021</v>
          </cell>
          <cell r="Q16">
            <v>2150</v>
          </cell>
          <cell r="R16">
            <v>26</v>
          </cell>
          <cell r="S16">
            <v>2849</v>
          </cell>
          <cell r="W16">
            <v>437</v>
          </cell>
          <cell r="X16">
            <v>64</v>
          </cell>
          <cell r="Y16">
            <v>5236</v>
          </cell>
          <cell r="Z16">
            <v>2442</v>
          </cell>
          <cell r="AA16">
            <v>29</v>
          </cell>
          <cell r="AB16">
            <v>3438</v>
          </cell>
        </row>
        <row r="17">
          <cell r="E17">
            <v>210</v>
          </cell>
          <cell r="F17">
            <v>64</v>
          </cell>
          <cell r="G17">
            <v>2310</v>
          </cell>
          <cell r="H17">
            <v>1240</v>
          </cell>
          <cell r="I17">
            <v>22</v>
          </cell>
          <cell r="J17">
            <v>1687</v>
          </cell>
          <cell r="N17">
            <v>380</v>
          </cell>
          <cell r="O17">
            <v>67</v>
          </cell>
          <cell r="P17">
            <v>4097</v>
          </cell>
          <cell r="Q17">
            <v>2158</v>
          </cell>
          <cell r="R17">
            <v>27</v>
          </cell>
          <cell r="S17">
            <v>2924</v>
          </cell>
          <cell r="W17">
            <v>449</v>
          </cell>
          <cell r="X17">
            <v>68</v>
          </cell>
          <cell r="Y17">
            <v>5322</v>
          </cell>
          <cell r="Z17">
            <v>2450</v>
          </cell>
          <cell r="AA17">
            <v>30</v>
          </cell>
          <cell r="AB17">
            <v>3524</v>
          </cell>
        </row>
        <row r="18">
          <cell r="E18">
            <v>218</v>
          </cell>
          <cell r="F18">
            <v>68</v>
          </cell>
          <cell r="G18">
            <v>2376</v>
          </cell>
          <cell r="H18">
            <v>1248</v>
          </cell>
          <cell r="I18">
            <v>23</v>
          </cell>
          <cell r="J18">
            <v>1749</v>
          </cell>
          <cell r="N18">
            <v>390</v>
          </cell>
          <cell r="O18">
            <v>71</v>
          </cell>
          <cell r="P18">
            <v>4173</v>
          </cell>
          <cell r="Q18">
            <v>2166</v>
          </cell>
          <cell r="R18">
            <v>28</v>
          </cell>
          <cell r="S18">
            <v>2998</v>
          </cell>
          <cell r="W18">
            <v>461</v>
          </cell>
          <cell r="X18">
            <v>72</v>
          </cell>
          <cell r="Y18">
            <v>5408</v>
          </cell>
          <cell r="Z18">
            <v>2458</v>
          </cell>
          <cell r="AA18">
            <v>31</v>
          </cell>
          <cell r="AB18">
            <v>3611</v>
          </cell>
        </row>
        <row r="19">
          <cell r="E19">
            <v>226</v>
          </cell>
          <cell r="F19">
            <v>72</v>
          </cell>
          <cell r="G19">
            <v>2442</v>
          </cell>
          <cell r="H19">
            <v>1256</v>
          </cell>
          <cell r="I19">
            <v>24</v>
          </cell>
          <cell r="J19">
            <v>1812</v>
          </cell>
          <cell r="N19">
            <v>400</v>
          </cell>
          <cell r="O19">
            <v>75</v>
          </cell>
          <cell r="P19">
            <v>4249</v>
          </cell>
          <cell r="Q19">
            <v>2174</v>
          </cell>
          <cell r="R19">
            <v>29</v>
          </cell>
          <cell r="S19">
            <v>3072</v>
          </cell>
          <cell r="W19">
            <v>473</v>
          </cell>
          <cell r="X19">
            <v>76</v>
          </cell>
          <cell r="Y19">
            <v>5494</v>
          </cell>
          <cell r="Z19">
            <v>2466</v>
          </cell>
          <cell r="AA19">
            <v>32</v>
          </cell>
          <cell r="AB19">
            <v>3697</v>
          </cell>
        </row>
        <row r="20">
          <cell r="E20">
            <v>234</v>
          </cell>
          <cell r="F20">
            <v>76</v>
          </cell>
          <cell r="G20">
            <v>2508</v>
          </cell>
          <cell r="H20">
            <v>1264</v>
          </cell>
          <cell r="I20">
            <v>25</v>
          </cell>
          <cell r="J20">
            <v>1874</v>
          </cell>
          <cell r="N20">
            <v>410</v>
          </cell>
          <cell r="O20">
            <v>79</v>
          </cell>
          <cell r="P20">
            <v>4325</v>
          </cell>
          <cell r="Q20">
            <v>2182</v>
          </cell>
          <cell r="R20">
            <v>30</v>
          </cell>
          <cell r="S20">
            <v>3147</v>
          </cell>
          <cell r="W20">
            <v>485</v>
          </cell>
          <cell r="X20">
            <v>80</v>
          </cell>
          <cell r="Y20">
            <v>5580</v>
          </cell>
          <cell r="Z20">
            <v>2474</v>
          </cell>
          <cell r="AA20">
            <v>33</v>
          </cell>
          <cell r="AB20">
            <v>3783</v>
          </cell>
        </row>
        <row r="21">
          <cell r="E21">
            <v>242</v>
          </cell>
          <cell r="F21">
            <v>80</v>
          </cell>
          <cell r="G21">
            <v>2574</v>
          </cell>
          <cell r="H21">
            <v>1272</v>
          </cell>
          <cell r="I21">
            <v>26</v>
          </cell>
          <cell r="J21">
            <v>1936</v>
          </cell>
          <cell r="N21">
            <v>420</v>
          </cell>
          <cell r="O21">
            <v>83</v>
          </cell>
          <cell r="P21">
            <v>4401</v>
          </cell>
          <cell r="Q21">
            <v>2190</v>
          </cell>
          <cell r="R21">
            <v>31</v>
          </cell>
          <cell r="S21">
            <v>3221</v>
          </cell>
          <cell r="W21">
            <v>497</v>
          </cell>
          <cell r="X21">
            <v>84</v>
          </cell>
          <cell r="Y21">
            <v>5666</v>
          </cell>
          <cell r="Z21">
            <v>2482</v>
          </cell>
          <cell r="AA21">
            <v>34</v>
          </cell>
          <cell r="AB21">
            <v>3870</v>
          </cell>
        </row>
        <row r="22">
          <cell r="E22">
            <v>250</v>
          </cell>
          <cell r="F22">
            <v>84</v>
          </cell>
          <cell r="G22">
            <v>2640</v>
          </cell>
          <cell r="H22">
            <v>1280</v>
          </cell>
          <cell r="I22">
            <v>27</v>
          </cell>
          <cell r="J22">
            <v>1999</v>
          </cell>
          <cell r="N22">
            <v>430</v>
          </cell>
          <cell r="O22">
            <v>87</v>
          </cell>
          <cell r="P22">
            <v>4477</v>
          </cell>
          <cell r="Q22">
            <v>2198</v>
          </cell>
          <cell r="R22">
            <v>32</v>
          </cell>
          <cell r="S22">
            <v>3295</v>
          </cell>
          <cell r="W22">
            <v>509</v>
          </cell>
          <cell r="X22">
            <v>88</v>
          </cell>
          <cell r="Y22">
            <v>5752</v>
          </cell>
          <cell r="Z22">
            <v>2490</v>
          </cell>
          <cell r="AA22">
            <v>35</v>
          </cell>
          <cell r="AB22">
            <v>3956</v>
          </cell>
        </row>
        <row r="23">
          <cell r="E23">
            <v>258</v>
          </cell>
          <cell r="F23">
            <v>88</v>
          </cell>
          <cell r="G23">
            <v>2706</v>
          </cell>
          <cell r="H23">
            <v>1288</v>
          </cell>
          <cell r="I23">
            <v>28</v>
          </cell>
          <cell r="J23">
            <v>2061</v>
          </cell>
          <cell r="N23">
            <v>440</v>
          </cell>
          <cell r="O23">
            <v>91</v>
          </cell>
          <cell r="P23">
            <v>4553</v>
          </cell>
          <cell r="Q23">
            <v>2206</v>
          </cell>
          <cell r="R23">
            <v>33</v>
          </cell>
          <cell r="S23">
            <v>3370</v>
          </cell>
          <cell r="W23">
            <v>521</v>
          </cell>
          <cell r="X23">
            <v>92</v>
          </cell>
          <cell r="Y23">
            <v>5838</v>
          </cell>
          <cell r="Z23">
            <v>2498</v>
          </cell>
          <cell r="AA23">
            <v>36</v>
          </cell>
          <cell r="AB23">
            <v>4043</v>
          </cell>
        </row>
        <row r="24">
          <cell r="E24">
            <v>266</v>
          </cell>
          <cell r="F24">
            <v>92</v>
          </cell>
          <cell r="G24">
            <v>2772</v>
          </cell>
          <cell r="H24">
            <v>1296</v>
          </cell>
          <cell r="I24">
            <v>29</v>
          </cell>
          <cell r="J24">
            <v>2123</v>
          </cell>
          <cell r="N24">
            <v>450</v>
          </cell>
          <cell r="O24">
            <v>95</v>
          </cell>
          <cell r="P24">
            <v>4629</v>
          </cell>
          <cell r="Q24">
            <v>2214</v>
          </cell>
          <cell r="R24">
            <v>34</v>
          </cell>
          <cell r="S24">
            <v>3444</v>
          </cell>
          <cell r="W24">
            <v>533</v>
          </cell>
          <cell r="X24">
            <v>96</v>
          </cell>
          <cell r="Y24">
            <v>5924</v>
          </cell>
          <cell r="Z24">
            <v>2506</v>
          </cell>
          <cell r="AA24">
            <v>37</v>
          </cell>
          <cell r="AB24">
            <v>4129</v>
          </cell>
        </row>
        <row r="25">
          <cell r="E25">
            <v>274</v>
          </cell>
          <cell r="F25">
            <v>96</v>
          </cell>
          <cell r="G25">
            <v>2838</v>
          </cell>
          <cell r="H25">
            <v>1304</v>
          </cell>
          <cell r="I25">
            <v>30</v>
          </cell>
          <cell r="J25">
            <v>2186</v>
          </cell>
          <cell r="N25">
            <v>460</v>
          </cell>
          <cell r="O25">
            <v>99</v>
          </cell>
          <cell r="P25">
            <v>4705</v>
          </cell>
          <cell r="Q25">
            <v>2222</v>
          </cell>
          <cell r="R25">
            <v>35</v>
          </cell>
          <cell r="S25">
            <v>3518</v>
          </cell>
          <cell r="W25">
            <v>545</v>
          </cell>
          <cell r="X25">
            <v>100</v>
          </cell>
          <cell r="Y25">
            <v>6010</v>
          </cell>
          <cell r="Z25">
            <v>2514</v>
          </cell>
          <cell r="AA25">
            <v>38</v>
          </cell>
          <cell r="AB25">
            <v>4215</v>
          </cell>
        </row>
        <row r="26">
          <cell r="E26">
            <v>282</v>
          </cell>
          <cell r="F26">
            <v>100</v>
          </cell>
          <cell r="G26">
            <v>2904</v>
          </cell>
          <cell r="H26">
            <v>1312</v>
          </cell>
          <cell r="I26">
            <v>31</v>
          </cell>
          <cell r="J26">
            <v>2248</v>
          </cell>
          <cell r="N26">
            <v>470</v>
          </cell>
          <cell r="O26">
            <v>103</v>
          </cell>
          <cell r="P26">
            <v>4781</v>
          </cell>
          <cell r="Q26">
            <v>2230</v>
          </cell>
          <cell r="R26">
            <v>36</v>
          </cell>
          <cell r="S26">
            <v>3593</v>
          </cell>
          <cell r="W26">
            <v>557</v>
          </cell>
          <cell r="X26">
            <v>104</v>
          </cell>
          <cell r="Y26">
            <v>6096</v>
          </cell>
          <cell r="Z26">
            <v>2522</v>
          </cell>
          <cell r="AA26">
            <v>39</v>
          </cell>
          <cell r="AB26">
            <v>4302</v>
          </cell>
        </row>
        <row r="27">
          <cell r="E27">
            <v>290</v>
          </cell>
          <cell r="F27">
            <v>104</v>
          </cell>
          <cell r="G27">
            <v>2970</v>
          </cell>
          <cell r="H27">
            <v>1320</v>
          </cell>
          <cell r="I27">
            <v>32</v>
          </cell>
          <cell r="J27">
            <v>2310</v>
          </cell>
          <cell r="N27">
            <v>480</v>
          </cell>
          <cell r="O27">
            <v>107</v>
          </cell>
          <cell r="P27">
            <v>4857</v>
          </cell>
          <cell r="Q27">
            <v>2238</v>
          </cell>
          <cell r="R27">
            <v>37</v>
          </cell>
          <cell r="S27">
            <v>3667</v>
          </cell>
          <cell r="W27">
            <v>569</v>
          </cell>
          <cell r="X27">
            <v>108</v>
          </cell>
          <cell r="Y27">
            <v>6182</v>
          </cell>
          <cell r="Z27">
            <v>2530</v>
          </cell>
          <cell r="AA27">
            <v>40</v>
          </cell>
          <cell r="AB27">
            <v>4388</v>
          </cell>
        </row>
        <row r="28">
          <cell r="E28">
            <v>298</v>
          </cell>
          <cell r="F28">
            <v>108</v>
          </cell>
          <cell r="G28">
            <v>3036</v>
          </cell>
          <cell r="H28">
            <v>1328</v>
          </cell>
          <cell r="I28">
            <v>33</v>
          </cell>
          <cell r="J28">
            <v>2373</v>
          </cell>
          <cell r="N28">
            <v>490</v>
          </cell>
          <cell r="O28">
            <v>111</v>
          </cell>
          <cell r="P28">
            <v>4933</v>
          </cell>
          <cell r="Q28">
            <v>2246</v>
          </cell>
          <cell r="R28">
            <v>38</v>
          </cell>
          <cell r="S28">
            <v>3742</v>
          </cell>
          <cell r="W28">
            <v>581</v>
          </cell>
          <cell r="X28">
            <v>112</v>
          </cell>
          <cell r="Y28">
            <v>6268</v>
          </cell>
          <cell r="Z28">
            <v>2538</v>
          </cell>
          <cell r="AA28">
            <v>41</v>
          </cell>
          <cell r="AB28">
            <v>4474</v>
          </cell>
        </row>
        <row r="29">
          <cell r="E29">
            <v>306</v>
          </cell>
          <cell r="F29">
            <v>112</v>
          </cell>
          <cell r="G29">
            <v>3102</v>
          </cell>
          <cell r="H29">
            <v>1336</v>
          </cell>
          <cell r="I29">
            <v>34</v>
          </cell>
          <cell r="J29">
            <v>2435</v>
          </cell>
          <cell r="N29">
            <v>500</v>
          </cell>
          <cell r="O29">
            <v>115</v>
          </cell>
          <cell r="P29">
            <v>5009</v>
          </cell>
          <cell r="Q29">
            <v>2254</v>
          </cell>
          <cell r="R29">
            <v>39</v>
          </cell>
          <cell r="S29">
            <v>3816</v>
          </cell>
          <cell r="W29">
            <v>593</v>
          </cell>
          <cell r="X29">
            <v>116</v>
          </cell>
          <cell r="Y29">
            <v>6354</v>
          </cell>
          <cell r="Z29">
            <v>2546</v>
          </cell>
          <cell r="AA29">
            <v>42</v>
          </cell>
          <cell r="AB29">
            <v>4561</v>
          </cell>
        </row>
        <row r="30">
          <cell r="E30">
            <v>314</v>
          </cell>
          <cell r="F30">
            <v>116</v>
          </cell>
          <cell r="G30">
            <v>3168</v>
          </cell>
          <cell r="H30">
            <v>1344</v>
          </cell>
          <cell r="I30">
            <v>35</v>
          </cell>
          <cell r="J30">
            <v>2497</v>
          </cell>
          <cell r="N30">
            <v>510</v>
          </cell>
          <cell r="O30">
            <v>119</v>
          </cell>
          <cell r="P30">
            <v>5085</v>
          </cell>
          <cell r="Q30">
            <v>2262</v>
          </cell>
          <cell r="R30">
            <v>40</v>
          </cell>
          <cell r="S30">
            <v>3890</v>
          </cell>
          <cell r="W30">
            <v>605</v>
          </cell>
          <cell r="X30">
            <v>120</v>
          </cell>
          <cell r="Y30">
            <v>6440</v>
          </cell>
          <cell r="Z30">
            <v>2554</v>
          </cell>
          <cell r="AA30">
            <v>43</v>
          </cell>
          <cell r="AB30">
            <v>4647</v>
          </cell>
        </row>
        <row r="31">
          <cell r="E31">
            <v>322</v>
          </cell>
          <cell r="F31">
            <v>120</v>
          </cell>
          <cell r="G31">
            <v>3234</v>
          </cell>
          <cell r="H31">
            <v>1352</v>
          </cell>
          <cell r="I31">
            <v>36</v>
          </cell>
          <cell r="J31">
            <v>2560</v>
          </cell>
          <cell r="N31">
            <v>520</v>
          </cell>
          <cell r="O31">
            <v>123</v>
          </cell>
          <cell r="P31">
            <v>5161</v>
          </cell>
          <cell r="Q31">
            <v>2270</v>
          </cell>
          <cell r="R31">
            <v>41</v>
          </cell>
          <cell r="S31">
            <v>3965</v>
          </cell>
          <cell r="W31">
            <v>617</v>
          </cell>
          <cell r="X31">
            <v>124</v>
          </cell>
          <cell r="Y31">
            <v>6526</v>
          </cell>
          <cell r="Z31">
            <v>2562</v>
          </cell>
          <cell r="AA31">
            <v>44</v>
          </cell>
          <cell r="AB31">
            <v>4733</v>
          </cell>
        </row>
        <row r="32">
          <cell r="E32">
            <v>330</v>
          </cell>
          <cell r="F32">
            <v>124</v>
          </cell>
          <cell r="G32">
            <v>3300</v>
          </cell>
          <cell r="H32">
            <v>1360</v>
          </cell>
          <cell r="I32">
            <v>37</v>
          </cell>
          <cell r="J32">
            <v>2622</v>
          </cell>
          <cell r="N32">
            <v>530</v>
          </cell>
          <cell r="O32">
            <v>127</v>
          </cell>
          <cell r="P32">
            <v>5237</v>
          </cell>
          <cell r="Q32">
            <v>2278</v>
          </cell>
          <cell r="R32">
            <v>42</v>
          </cell>
          <cell r="S32">
            <v>4039</v>
          </cell>
          <cell r="W32">
            <v>629</v>
          </cell>
          <cell r="X32">
            <v>128</v>
          </cell>
          <cell r="Y32">
            <v>6612</v>
          </cell>
          <cell r="Z32">
            <v>2570</v>
          </cell>
          <cell r="AA32">
            <v>45</v>
          </cell>
          <cell r="AB32">
            <v>4820</v>
          </cell>
        </row>
        <row r="33">
          <cell r="E33">
            <v>338</v>
          </cell>
          <cell r="F33">
            <v>128</v>
          </cell>
          <cell r="G33">
            <v>3366</v>
          </cell>
          <cell r="H33">
            <v>1368</v>
          </cell>
          <cell r="I33">
            <v>38</v>
          </cell>
          <cell r="J33">
            <v>2685</v>
          </cell>
          <cell r="N33">
            <v>540</v>
          </cell>
          <cell r="O33">
            <v>131</v>
          </cell>
          <cell r="P33">
            <v>5313</v>
          </cell>
          <cell r="Q33">
            <v>2286</v>
          </cell>
          <cell r="R33">
            <v>43</v>
          </cell>
          <cell r="S33">
            <v>4113</v>
          </cell>
          <cell r="W33">
            <v>641</v>
          </cell>
          <cell r="X33">
            <v>132</v>
          </cell>
          <cell r="Y33">
            <v>6698</v>
          </cell>
          <cell r="Z33">
            <v>2578</v>
          </cell>
          <cell r="AA33">
            <v>46</v>
          </cell>
          <cell r="AB33">
            <v>4906</v>
          </cell>
        </row>
        <row r="34">
          <cell r="E34">
            <v>346</v>
          </cell>
          <cell r="F34">
            <v>132</v>
          </cell>
          <cell r="G34">
            <v>3432</v>
          </cell>
          <cell r="H34">
            <v>1376</v>
          </cell>
          <cell r="I34">
            <v>39</v>
          </cell>
          <cell r="J34">
            <v>2747</v>
          </cell>
          <cell r="N34">
            <v>550</v>
          </cell>
          <cell r="O34">
            <v>135</v>
          </cell>
          <cell r="P34">
            <v>5389</v>
          </cell>
          <cell r="Q34">
            <v>2294</v>
          </cell>
          <cell r="R34">
            <v>44</v>
          </cell>
          <cell r="S34">
            <v>4188</v>
          </cell>
          <cell r="W34">
            <v>653</v>
          </cell>
          <cell r="X34">
            <v>136</v>
          </cell>
          <cell r="Y34">
            <v>6784</v>
          </cell>
          <cell r="Z34">
            <v>2586</v>
          </cell>
          <cell r="AA34">
            <v>47</v>
          </cell>
          <cell r="AB34">
            <v>4993</v>
          </cell>
        </row>
        <row r="35">
          <cell r="E35">
            <v>354</v>
          </cell>
          <cell r="F35">
            <v>136</v>
          </cell>
          <cell r="G35">
            <v>3498</v>
          </cell>
          <cell r="H35">
            <v>1384</v>
          </cell>
          <cell r="I35">
            <v>40</v>
          </cell>
          <cell r="J35">
            <v>2809</v>
          </cell>
          <cell r="N35">
            <v>560</v>
          </cell>
          <cell r="O35">
            <v>139</v>
          </cell>
          <cell r="P35">
            <v>5465</v>
          </cell>
          <cell r="Q35">
            <v>2302</v>
          </cell>
          <cell r="R35">
            <v>45</v>
          </cell>
          <cell r="S35">
            <v>4262</v>
          </cell>
          <cell r="W35">
            <v>665</v>
          </cell>
          <cell r="X35">
            <v>140</v>
          </cell>
          <cell r="Y35">
            <v>6870</v>
          </cell>
          <cell r="Z35">
            <v>2594</v>
          </cell>
          <cell r="AA35">
            <v>48</v>
          </cell>
          <cell r="AB35">
            <v>5079</v>
          </cell>
        </row>
        <row r="36">
          <cell r="E36">
            <v>362</v>
          </cell>
          <cell r="F36">
            <v>140</v>
          </cell>
          <cell r="G36">
            <v>3564</v>
          </cell>
          <cell r="H36">
            <v>1392</v>
          </cell>
          <cell r="I36">
            <v>41</v>
          </cell>
          <cell r="J36">
            <v>2872</v>
          </cell>
          <cell r="N36">
            <v>570</v>
          </cell>
          <cell r="O36">
            <v>143</v>
          </cell>
          <cell r="P36">
            <v>5541</v>
          </cell>
          <cell r="Q36">
            <v>2310</v>
          </cell>
          <cell r="R36">
            <v>46</v>
          </cell>
          <cell r="S36">
            <v>4336</v>
          </cell>
          <cell r="W36">
            <v>677</v>
          </cell>
          <cell r="X36">
            <v>144</v>
          </cell>
          <cell r="Y36">
            <v>6956</v>
          </cell>
          <cell r="Z36">
            <v>2602</v>
          </cell>
          <cell r="AA36">
            <v>49</v>
          </cell>
          <cell r="AB36">
            <v>5165</v>
          </cell>
        </row>
        <row r="37">
          <cell r="E37">
            <v>370</v>
          </cell>
          <cell r="F37">
            <v>144</v>
          </cell>
          <cell r="G37">
            <v>3630</v>
          </cell>
          <cell r="H37">
            <v>1400</v>
          </cell>
          <cell r="I37">
            <v>42</v>
          </cell>
          <cell r="J37">
            <v>2934</v>
          </cell>
          <cell r="N37">
            <v>580</v>
          </cell>
          <cell r="O37">
            <v>147</v>
          </cell>
          <cell r="P37">
            <v>5617</v>
          </cell>
          <cell r="Q37">
            <v>2318</v>
          </cell>
          <cell r="R37">
            <v>47</v>
          </cell>
          <cell r="S37">
            <v>4411</v>
          </cell>
          <cell r="W37">
            <v>689</v>
          </cell>
          <cell r="X37">
            <v>148</v>
          </cell>
          <cell r="Y37">
            <v>7042</v>
          </cell>
          <cell r="Z37">
            <v>2610</v>
          </cell>
          <cell r="AA37">
            <v>50</v>
          </cell>
          <cell r="AB37">
            <v>5252</v>
          </cell>
        </row>
        <row r="38">
          <cell r="E38">
            <v>378</v>
          </cell>
          <cell r="F38">
            <v>148</v>
          </cell>
          <cell r="G38">
            <v>3696</v>
          </cell>
          <cell r="H38">
            <v>1408</v>
          </cell>
          <cell r="I38">
            <v>43</v>
          </cell>
          <cell r="J38">
            <v>2996</v>
          </cell>
          <cell r="N38">
            <v>590</v>
          </cell>
          <cell r="O38">
            <v>151</v>
          </cell>
          <cell r="P38">
            <v>5693</v>
          </cell>
          <cell r="Q38">
            <v>2326</v>
          </cell>
          <cell r="R38">
            <v>48</v>
          </cell>
          <cell r="S38">
            <v>4485</v>
          </cell>
          <cell r="W38">
            <v>701</v>
          </cell>
          <cell r="X38">
            <v>152</v>
          </cell>
          <cell r="Y38">
            <v>7128</v>
          </cell>
          <cell r="Z38">
            <v>2618</v>
          </cell>
          <cell r="AA38">
            <v>51</v>
          </cell>
          <cell r="AB38">
            <v>5338</v>
          </cell>
        </row>
        <row r="39">
          <cell r="E39">
            <v>386</v>
          </cell>
          <cell r="F39">
            <v>152</v>
          </cell>
          <cell r="G39">
            <v>3762</v>
          </cell>
          <cell r="H39">
            <v>1416</v>
          </cell>
          <cell r="I39">
            <v>44</v>
          </cell>
          <cell r="J39">
            <v>3059</v>
          </cell>
          <cell r="N39">
            <v>600</v>
          </cell>
          <cell r="O39">
            <v>155</v>
          </cell>
          <cell r="P39">
            <v>5769</v>
          </cell>
          <cell r="Q39">
            <v>2334</v>
          </cell>
          <cell r="R39">
            <v>49</v>
          </cell>
          <cell r="S39">
            <v>4559</v>
          </cell>
          <cell r="W39">
            <v>713</v>
          </cell>
          <cell r="X39">
            <v>156</v>
          </cell>
          <cell r="Y39">
            <v>7214</v>
          </cell>
          <cell r="Z39">
            <v>2626</v>
          </cell>
          <cell r="AA39">
            <v>52</v>
          </cell>
          <cell r="AB39">
            <v>5424</v>
          </cell>
        </row>
        <row r="40">
          <cell r="E40">
            <v>394</v>
          </cell>
          <cell r="F40">
            <v>156</v>
          </cell>
          <cell r="G40">
            <v>3828</v>
          </cell>
          <cell r="H40">
            <v>1424</v>
          </cell>
          <cell r="I40">
            <v>45</v>
          </cell>
          <cell r="J40">
            <v>3121</v>
          </cell>
          <cell r="N40">
            <v>610</v>
          </cell>
          <cell r="O40">
            <v>159</v>
          </cell>
          <cell r="P40">
            <v>5845</v>
          </cell>
          <cell r="Q40">
            <v>2342</v>
          </cell>
          <cell r="R40">
            <v>50</v>
          </cell>
          <cell r="S40">
            <v>4634</v>
          </cell>
          <cell r="W40">
            <v>725</v>
          </cell>
          <cell r="X40">
            <v>160</v>
          </cell>
          <cell r="Y40">
            <v>7300</v>
          </cell>
          <cell r="Z40">
            <v>2634</v>
          </cell>
          <cell r="AA40">
            <v>53</v>
          </cell>
          <cell r="AB40">
            <v>5511</v>
          </cell>
        </row>
        <row r="41">
          <cell r="E41">
            <v>402</v>
          </cell>
          <cell r="F41">
            <v>160</v>
          </cell>
          <cell r="G41">
            <v>3894</v>
          </cell>
          <cell r="H41">
            <v>1432</v>
          </cell>
          <cell r="I41">
            <v>46</v>
          </cell>
          <cell r="J41">
            <v>3183</v>
          </cell>
          <cell r="N41">
            <v>620</v>
          </cell>
          <cell r="O41">
            <v>163</v>
          </cell>
          <cell r="P41">
            <v>5921</v>
          </cell>
          <cell r="Q41">
            <v>2350</v>
          </cell>
          <cell r="R41">
            <v>51</v>
          </cell>
          <cell r="S41">
            <v>4708</v>
          </cell>
          <cell r="W41">
            <v>737</v>
          </cell>
          <cell r="X41">
            <v>164</v>
          </cell>
          <cell r="Y41">
            <v>7386</v>
          </cell>
          <cell r="Z41">
            <v>2642</v>
          </cell>
          <cell r="AA41">
            <v>54</v>
          </cell>
          <cell r="AB41">
            <v>5597</v>
          </cell>
        </row>
        <row r="42">
          <cell r="E42">
            <v>410</v>
          </cell>
          <cell r="F42">
            <v>164</v>
          </cell>
          <cell r="G42">
            <v>3960</v>
          </cell>
          <cell r="H42">
            <v>1440</v>
          </cell>
          <cell r="I42">
            <v>47</v>
          </cell>
          <cell r="J42">
            <v>3246</v>
          </cell>
          <cell r="N42">
            <v>630</v>
          </cell>
          <cell r="O42">
            <v>167</v>
          </cell>
          <cell r="P42">
            <v>5997</v>
          </cell>
          <cell r="Q42">
            <v>2358</v>
          </cell>
          <cell r="R42">
            <v>52</v>
          </cell>
          <cell r="S42">
            <v>4783</v>
          </cell>
          <cell r="W42">
            <v>749</v>
          </cell>
          <cell r="X42">
            <v>168</v>
          </cell>
          <cell r="Y42">
            <v>7472</v>
          </cell>
          <cell r="Z42">
            <v>2650</v>
          </cell>
          <cell r="AA42">
            <v>55</v>
          </cell>
          <cell r="AB42">
            <v>5683</v>
          </cell>
        </row>
        <row r="43">
          <cell r="E43">
            <v>418</v>
          </cell>
          <cell r="F43">
            <v>168</v>
          </cell>
          <cell r="G43">
            <v>4026</v>
          </cell>
          <cell r="H43">
            <v>1448</v>
          </cell>
          <cell r="I43">
            <v>48</v>
          </cell>
          <cell r="J43">
            <v>3308</v>
          </cell>
          <cell r="N43">
            <v>640</v>
          </cell>
          <cell r="O43">
            <v>171</v>
          </cell>
          <cell r="P43">
            <v>6073</v>
          </cell>
          <cell r="Q43">
            <v>2366</v>
          </cell>
          <cell r="R43">
            <v>53</v>
          </cell>
          <cell r="S43">
            <v>4857</v>
          </cell>
          <cell r="W43">
            <v>761</v>
          </cell>
          <cell r="X43">
            <v>172</v>
          </cell>
          <cell r="Y43">
            <v>7558</v>
          </cell>
          <cell r="Z43">
            <v>2658</v>
          </cell>
          <cell r="AA43">
            <v>56</v>
          </cell>
          <cell r="AB43">
            <v>5770</v>
          </cell>
        </row>
        <row r="44">
          <cell r="E44">
            <v>426</v>
          </cell>
          <cell r="F44">
            <v>172</v>
          </cell>
          <cell r="G44">
            <v>4092</v>
          </cell>
          <cell r="H44">
            <v>1456</v>
          </cell>
          <cell r="I44">
            <v>49</v>
          </cell>
          <cell r="J44">
            <v>3371</v>
          </cell>
          <cell r="N44">
            <v>650</v>
          </cell>
          <cell r="O44">
            <v>175</v>
          </cell>
          <cell r="P44">
            <v>6149</v>
          </cell>
          <cell r="Q44">
            <v>2374</v>
          </cell>
          <cell r="R44">
            <v>54</v>
          </cell>
          <cell r="S44">
            <v>4931</v>
          </cell>
          <cell r="W44">
            <v>773</v>
          </cell>
          <cell r="X44">
            <v>176</v>
          </cell>
          <cell r="Y44">
            <v>7644</v>
          </cell>
          <cell r="Z44">
            <v>2666</v>
          </cell>
          <cell r="AA44">
            <v>57</v>
          </cell>
          <cell r="AB44">
            <v>5856</v>
          </cell>
        </row>
        <row r="45">
          <cell r="E45">
            <v>434</v>
          </cell>
          <cell r="F45">
            <v>176</v>
          </cell>
          <cell r="G45">
            <v>4158</v>
          </cell>
          <cell r="H45">
            <v>1464</v>
          </cell>
          <cell r="I45">
            <v>50</v>
          </cell>
          <cell r="J45">
            <v>3433</v>
          </cell>
          <cell r="N45">
            <v>660</v>
          </cell>
          <cell r="O45">
            <v>179</v>
          </cell>
          <cell r="P45">
            <v>6225</v>
          </cell>
          <cell r="Q45">
            <v>2382</v>
          </cell>
          <cell r="R45">
            <v>55</v>
          </cell>
          <cell r="S45">
            <v>5006</v>
          </cell>
          <cell r="W45">
            <v>785</v>
          </cell>
          <cell r="X45">
            <v>180</v>
          </cell>
          <cell r="Y45">
            <v>7730</v>
          </cell>
          <cell r="Z45">
            <v>2674</v>
          </cell>
          <cell r="AA45">
            <v>58</v>
          </cell>
          <cell r="AB45">
            <v>5942</v>
          </cell>
        </row>
        <row r="46">
          <cell r="E46">
            <v>442</v>
          </cell>
          <cell r="F46">
            <v>180</v>
          </cell>
          <cell r="G46">
            <v>4224</v>
          </cell>
          <cell r="H46">
            <v>1472</v>
          </cell>
          <cell r="I46">
            <v>51</v>
          </cell>
          <cell r="J46">
            <v>3495</v>
          </cell>
          <cell r="N46">
            <v>670</v>
          </cell>
          <cell r="O46">
            <v>183</v>
          </cell>
          <cell r="P46">
            <v>6301</v>
          </cell>
          <cell r="Q46">
            <v>2390</v>
          </cell>
          <cell r="R46">
            <v>56</v>
          </cell>
          <cell r="S46">
            <v>5080</v>
          </cell>
          <cell r="W46">
            <v>797</v>
          </cell>
          <cell r="X46">
            <v>184</v>
          </cell>
          <cell r="Y46">
            <v>7816</v>
          </cell>
          <cell r="Z46">
            <v>2682</v>
          </cell>
          <cell r="AA46">
            <v>59</v>
          </cell>
          <cell r="AB46">
            <v>6029</v>
          </cell>
        </row>
        <row r="47">
          <cell r="E47">
            <v>450</v>
          </cell>
          <cell r="F47">
            <v>184</v>
          </cell>
          <cell r="G47">
            <v>4290</v>
          </cell>
          <cell r="H47">
            <v>1480</v>
          </cell>
          <cell r="I47">
            <v>52</v>
          </cell>
          <cell r="J47">
            <v>3558</v>
          </cell>
          <cell r="N47">
            <v>680</v>
          </cell>
          <cell r="O47">
            <v>187</v>
          </cell>
          <cell r="P47">
            <v>6377</v>
          </cell>
          <cell r="Q47">
            <v>2398</v>
          </cell>
          <cell r="R47">
            <v>57</v>
          </cell>
          <cell r="S47">
            <v>5154</v>
          </cell>
          <cell r="W47">
            <v>809</v>
          </cell>
          <cell r="X47">
            <v>188</v>
          </cell>
          <cell r="Y47">
            <v>7902</v>
          </cell>
          <cell r="Z47">
            <v>2690</v>
          </cell>
          <cell r="AA47">
            <v>60</v>
          </cell>
          <cell r="AB47">
            <v>6115</v>
          </cell>
        </row>
        <row r="48">
          <cell r="E48">
            <v>458</v>
          </cell>
          <cell r="F48">
            <v>188</v>
          </cell>
          <cell r="G48">
            <v>4356</v>
          </cell>
          <cell r="H48">
            <v>1488</v>
          </cell>
          <cell r="I48">
            <v>53</v>
          </cell>
          <cell r="J48">
            <v>3620</v>
          </cell>
          <cell r="N48">
            <v>690</v>
          </cell>
          <cell r="O48">
            <v>191</v>
          </cell>
          <cell r="P48">
            <v>6453</v>
          </cell>
          <cell r="Q48">
            <v>2406</v>
          </cell>
          <cell r="R48">
            <v>58</v>
          </cell>
          <cell r="S48">
            <v>5229</v>
          </cell>
          <cell r="W48">
            <v>821</v>
          </cell>
          <cell r="X48">
            <v>192</v>
          </cell>
          <cell r="Y48">
            <v>7988</v>
          </cell>
          <cell r="Z48">
            <v>2698</v>
          </cell>
          <cell r="AA48">
            <v>61</v>
          </cell>
          <cell r="AB48">
            <v>6202</v>
          </cell>
        </row>
        <row r="49">
          <cell r="E49">
            <v>466</v>
          </cell>
          <cell r="F49">
            <v>192</v>
          </cell>
          <cell r="G49">
            <v>4422</v>
          </cell>
          <cell r="H49">
            <v>1496</v>
          </cell>
          <cell r="I49">
            <v>54</v>
          </cell>
          <cell r="J49">
            <v>3682</v>
          </cell>
          <cell r="N49">
            <v>700</v>
          </cell>
          <cell r="O49">
            <v>195</v>
          </cell>
          <cell r="P49">
            <v>6529</v>
          </cell>
          <cell r="Q49">
            <v>2414</v>
          </cell>
          <cell r="R49">
            <v>59</v>
          </cell>
          <cell r="S49">
            <v>5303</v>
          </cell>
          <cell r="W49">
            <v>833</v>
          </cell>
          <cell r="X49">
            <v>196</v>
          </cell>
          <cell r="Y49">
            <v>8074</v>
          </cell>
          <cell r="Z49">
            <v>2706</v>
          </cell>
          <cell r="AA49">
            <v>62</v>
          </cell>
          <cell r="AB49">
            <v>6288</v>
          </cell>
        </row>
        <row r="50">
          <cell r="E50">
            <v>474</v>
          </cell>
          <cell r="F50">
            <v>196</v>
          </cell>
          <cell r="G50">
            <v>4488</v>
          </cell>
          <cell r="H50">
            <v>1504</v>
          </cell>
          <cell r="I50">
            <v>55</v>
          </cell>
          <cell r="J50">
            <v>3745</v>
          </cell>
          <cell r="N50">
            <v>710</v>
          </cell>
          <cell r="O50">
            <v>199</v>
          </cell>
          <cell r="P50">
            <v>6605</v>
          </cell>
          <cell r="Q50">
            <v>2422</v>
          </cell>
          <cell r="R50">
            <v>60</v>
          </cell>
          <cell r="S50">
            <v>5377</v>
          </cell>
          <cell r="W50">
            <v>845</v>
          </cell>
          <cell r="X50">
            <v>200</v>
          </cell>
          <cell r="Y50">
            <v>8160</v>
          </cell>
          <cell r="Z50">
            <v>2714</v>
          </cell>
          <cell r="AA50">
            <v>63</v>
          </cell>
          <cell r="AB50">
            <v>6374</v>
          </cell>
        </row>
        <row r="51">
          <cell r="E51">
            <v>482</v>
          </cell>
          <cell r="F51">
            <v>200</v>
          </cell>
          <cell r="G51">
            <v>4554</v>
          </cell>
          <cell r="H51">
            <v>1512</v>
          </cell>
          <cell r="I51">
            <v>56</v>
          </cell>
          <cell r="J51">
            <v>3807</v>
          </cell>
          <cell r="N51">
            <v>720</v>
          </cell>
          <cell r="O51">
            <v>203</v>
          </cell>
          <cell r="P51">
            <v>6681</v>
          </cell>
          <cell r="Q51">
            <v>2430</v>
          </cell>
          <cell r="R51">
            <v>61</v>
          </cell>
          <cell r="S51">
            <v>5452</v>
          </cell>
          <cell r="W51">
            <v>857</v>
          </cell>
          <cell r="X51">
            <v>204</v>
          </cell>
          <cell r="Y51">
            <v>8246</v>
          </cell>
          <cell r="Z51">
            <v>2722</v>
          </cell>
          <cell r="AA51">
            <v>64</v>
          </cell>
          <cell r="AB51">
            <v>6461</v>
          </cell>
        </row>
      </sheetData>
      <sheetData sheetId="5">
        <row r="2">
          <cell r="E2">
            <v>120</v>
          </cell>
          <cell r="F2">
            <v>5</v>
          </cell>
          <cell r="G2">
            <v>1800</v>
          </cell>
          <cell r="H2">
            <v>1280</v>
          </cell>
          <cell r="I2">
            <v>8</v>
          </cell>
          <cell r="J2">
            <v>1004</v>
          </cell>
          <cell r="N2">
            <v>259</v>
          </cell>
          <cell r="O2">
            <v>8</v>
          </cell>
          <cell r="P2">
            <v>3379</v>
          </cell>
          <cell r="Q2">
            <v>2195</v>
          </cell>
          <cell r="R2">
            <v>13</v>
          </cell>
          <cell r="S2">
            <v>2044</v>
          </cell>
          <cell r="W2">
            <v>307</v>
          </cell>
          <cell r="X2">
            <v>10</v>
          </cell>
          <cell r="Y2">
            <v>4608</v>
          </cell>
          <cell r="Z2">
            <v>2509</v>
          </cell>
          <cell r="AA2">
            <v>14</v>
          </cell>
          <cell r="AB2">
            <v>2541</v>
          </cell>
        </row>
        <row r="3">
          <cell r="E3">
            <v>132</v>
          </cell>
          <cell r="F3">
            <v>11</v>
          </cell>
          <cell r="G3">
            <v>1880</v>
          </cell>
          <cell r="H3">
            <v>1290</v>
          </cell>
          <cell r="I3">
            <v>10</v>
          </cell>
          <cell r="J3">
            <v>1094</v>
          </cell>
          <cell r="N3">
            <v>275</v>
          </cell>
          <cell r="O3">
            <v>14</v>
          </cell>
          <cell r="P3">
            <v>3479</v>
          </cell>
          <cell r="Q3">
            <v>2205</v>
          </cell>
          <cell r="R3">
            <v>15</v>
          </cell>
          <cell r="S3">
            <v>2158</v>
          </cell>
          <cell r="W3">
            <v>325</v>
          </cell>
          <cell r="X3">
            <v>16</v>
          </cell>
          <cell r="Y3">
            <v>4728</v>
          </cell>
          <cell r="Z3">
            <v>2519</v>
          </cell>
          <cell r="AA3">
            <v>16</v>
          </cell>
          <cell r="AB3">
            <v>2669</v>
          </cell>
        </row>
        <row r="4">
          <cell r="E4">
            <v>144</v>
          </cell>
          <cell r="F4">
            <v>17</v>
          </cell>
          <cell r="G4">
            <v>1960</v>
          </cell>
          <cell r="H4">
            <v>1300</v>
          </cell>
          <cell r="I4">
            <v>12</v>
          </cell>
          <cell r="J4">
            <v>1184</v>
          </cell>
          <cell r="N4">
            <v>291</v>
          </cell>
          <cell r="O4">
            <v>20</v>
          </cell>
          <cell r="P4">
            <v>3579</v>
          </cell>
          <cell r="Q4">
            <v>2215</v>
          </cell>
          <cell r="R4">
            <v>17</v>
          </cell>
          <cell r="S4">
            <v>2272</v>
          </cell>
          <cell r="W4">
            <v>343</v>
          </cell>
          <cell r="X4">
            <v>22</v>
          </cell>
          <cell r="Y4">
            <v>4848</v>
          </cell>
          <cell r="Z4">
            <v>2529</v>
          </cell>
          <cell r="AA4">
            <v>18</v>
          </cell>
          <cell r="AB4">
            <v>2797</v>
          </cell>
        </row>
        <row r="5">
          <cell r="E5">
            <v>156</v>
          </cell>
          <cell r="F5">
            <v>23</v>
          </cell>
          <cell r="G5">
            <v>2040</v>
          </cell>
          <cell r="H5">
            <v>1310</v>
          </cell>
          <cell r="I5">
            <v>14</v>
          </cell>
          <cell r="J5">
            <v>1274</v>
          </cell>
          <cell r="N5">
            <v>307</v>
          </cell>
          <cell r="O5">
            <v>26</v>
          </cell>
          <cell r="P5">
            <v>3679</v>
          </cell>
          <cell r="Q5">
            <v>2225</v>
          </cell>
          <cell r="R5">
            <v>19</v>
          </cell>
          <cell r="S5">
            <v>2386</v>
          </cell>
          <cell r="W5">
            <v>361</v>
          </cell>
          <cell r="X5">
            <v>28</v>
          </cell>
          <cell r="Y5">
            <v>4968</v>
          </cell>
          <cell r="Z5">
            <v>2539</v>
          </cell>
          <cell r="AA5">
            <v>20</v>
          </cell>
          <cell r="AB5">
            <v>2925</v>
          </cell>
        </row>
        <row r="6">
          <cell r="E6">
            <v>168</v>
          </cell>
          <cell r="F6">
            <v>29</v>
          </cell>
          <cell r="G6">
            <v>2120</v>
          </cell>
          <cell r="H6">
            <v>1320</v>
          </cell>
          <cell r="I6">
            <v>16</v>
          </cell>
          <cell r="J6">
            <v>1364</v>
          </cell>
          <cell r="N6">
            <v>323</v>
          </cell>
          <cell r="O6">
            <v>32</v>
          </cell>
          <cell r="P6">
            <v>3779</v>
          </cell>
          <cell r="Q6">
            <v>2235</v>
          </cell>
          <cell r="R6">
            <v>21</v>
          </cell>
          <cell r="S6">
            <v>2501</v>
          </cell>
          <cell r="W6">
            <v>379</v>
          </cell>
          <cell r="X6">
            <v>34</v>
          </cell>
          <cell r="Y6">
            <v>5088</v>
          </cell>
          <cell r="Z6">
            <v>2549</v>
          </cell>
          <cell r="AA6">
            <v>22</v>
          </cell>
          <cell r="AB6">
            <v>3054</v>
          </cell>
        </row>
        <row r="7">
          <cell r="E7">
            <v>180</v>
          </cell>
          <cell r="F7">
            <v>35</v>
          </cell>
          <cell r="G7">
            <v>2200</v>
          </cell>
          <cell r="H7">
            <v>1330</v>
          </cell>
          <cell r="I7">
            <v>18</v>
          </cell>
          <cell r="J7">
            <v>1455</v>
          </cell>
          <cell r="N7">
            <v>339</v>
          </cell>
          <cell r="O7">
            <v>38</v>
          </cell>
          <cell r="P7">
            <v>3879</v>
          </cell>
          <cell r="Q7">
            <v>2245</v>
          </cell>
          <cell r="R7">
            <v>23</v>
          </cell>
          <cell r="S7">
            <v>2615</v>
          </cell>
          <cell r="W7">
            <v>397</v>
          </cell>
          <cell r="X7">
            <v>40</v>
          </cell>
          <cell r="Y7">
            <v>5208</v>
          </cell>
          <cell r="Z7">
            <v>2559</v>
          </cell>
          <cell r="AA7">
            <v>24</v>
          </cell>
          <cell r="AB7">
            <v>3182</v>
          </cell>
        </row>
        <row r="8">
          <cell r="E8">
            <v>192</v>
          </cell>
          <cell r="F8">
            <v>41</v>
          </cell>
          <cell r="G8">
            <v>2280</v>
          </cell>
          <cell r="H8">
            <v>1340</v>
          </cell>
          <cell r="I8">
            <v>20</v>
          </cell>
          <cell r="J8">
            <v>1545</v>
          </cell>
          <cell r="N8">
            <v>355</v>
          </cell>
          <cell r="O8">
            <v>44</v>
          </cell>
          <cell r="P8">
            <v>3979</v>
          </cell>
          <cell r="Q8">
            <v>2255</v>
          </cell>
          <cell r="R8">
            <v>25</v>
          </cell>
          <cell r="S8">
            <v>2729</v>
          </cell>
          <cell r="W8">
            <v>415</v>
          </cell>
          <cell r="X8">
            <v>46</v>
          </cell>
          <cell r="Y8">
            <v>5328</v>
          </cell>
          <cell r="Z8">
            <v>2569</v>
          </cell>
          <cell r="AA8">
            <v>26</v>
          </cell>
          <cell r="AB8">
            <v>3310</v>
          </cell>
        </row>
        <row r="9">
          <cell r="E9">
            <v>204</v>
          </cell>
          <cell r="F9">
            <v>47</v>
          </cell>
          <cell r="G9">
            <v>2360</v>
          </cell>
          <cell r="H9">
            <v>1350</v>
          </cell>
          <cell r="I9">
            <v>22</v>
          </cell>
          <cell r="J9">
            <v>1635</v>
          </cell>
          <cell r="N9">
            <v>371</v>
          </cell>
          <cell r="O9">
            <v>50</v>
          </cell>
          <cell r="P9">
            <v>4079</v>
          </cell>
          <cell r="Q9">
            <v>2265</v>
          </cell>
          <cell r="R9">
            <v>27</v>
          </cell>
          <cell r="S9">
            <v>2843</v>
          </cell>
          <cell r="W9">
            <v>433</v>
          </cell>
          <cell r="X9">
            <v>52</v>
          </cell>
          <cell r="Y9">
            <v>5448</v>
          </cell>
          <cell r="Z9">
            <v>2579</v>
          </cell>
          <cell r="AA9">
            <v>28</v>
          </cell>
          <cell r="AB9">
            <v>3438</v>
          </cell>
        </row>
        <row r="10">
          <cell r="E10">
            <v>216</v>
          </cell>
          <cell r="F10">
            <v>53</v>
          </cell>
          <cell r="G10">
            <v>2440</v>
          </cell>
          <cell r="H10">
            <v>1360</v>
          </cell>
          <cell r="I10">
            <v>24</v>
          </cell>
          <cell r="J10">
            <v>1725</v>
          </cell>
          <cell r="N10">
            <v>387</v>
          </cell>
          <cell r="O10">
            <v>56</v>
          </cell>
          <cell r="P10">
            <v>4179</v>
          </cell>
          <cell r="Q10">
            <v>2275</v>
          </cell>
          <cell r="R10">
            <v>29</v>
          </cell>
          <cell r="S10">
            <v>2957</v>
          </cell>
          <cell r="W10">
            <v>451</v>
          </cell>
          <cell r="X10">
            <v>58</v>
          </cell>
          <cell r="Y10">
            <v>5568</v>
          </cell>
          <cell r="Z10">
            <v>2589</v>
          </cell>
          <cell r="AA10">
            <v>30</v>
          </cell>
          <cell r="AB10">
            <v>3566</v>
          </cell>
        </row>
        <row r="11">
          <cell r="E11">
            <v>228</v>
          </cell>
          <cell r="F11">
            <v>59</v>
          </cell>
          <cell r="G11">
            <v>2520</v>
          </cell>
          <cell r="H11">
            <v>1370</v>
          </cell>
          <cell r="I11">
            <v>26</v>
          </cell>
          <cell r="J11">
            <v>1815</v>
          </cell>
          <cell r="N11">
            <v>403</v>
          </cell>
          <cell r="O11">
            <v>62</v>
          </cell>
          <cell r="P11">
            <v>4279</v>
          </cell>
          <cell r="Q11">
            <v>2285</v>
          </cell>
          <cell r="R11">
            <v>31</v>
          </cell>
          <cell r="S11">
            <v>3072</v>
          </cell>
          <cell r="W11">
            <v>469</v>
          </cell>
          <cell r="X11">
            <v>64</v>
          </cell>
          <cell r="Y11">
            <v>5688</v>
          </cell>
          <cell r="Z11">
            <v>2599</v>
          </cell>
          <cell r="AA11">
            <v>32</v>
          </cell>
          <cell r="AB11">
            <v>3695</v>
          </cell>
        </row>
        <row r="12">
          <cell r="E12">
            <v>240</v>
          </cell>
          <cell r="F12">
            <v>65</v>
          </cell>
          <cell r="G12">
            <v>2600</v>
          </cell>
          <cell r="H12">
            <v>1380</v>
          </cell>
          <cell r="I12">
            <v>28</v>
          </cell>
          <cell r="J12">
            <v>1906</v>
          </cell>
          <cell r="N12">
            <v>419</v>
          </cell>
          <cell r="O12">
            <v>68</v>
          </cell>
          <cell r="P12">
            <v>4379</v>
          </cell>
          <cell r="Q12">
            <v>2295</v>
          </cell>
          <cell r="R12">
            <v>33</v>
          </cell>
          <cell r="S12">
            <v>3186</v>
          </cell>
          <cell r="W12">
            <v>487</v>
          </cell>
          <cell r="X12">
            <v>70</v>
          </cell>
          <cell r="Y12">
            <v>5808</v>
          </cell>
          <cell r="Z12">
            <v>2609</v>
          </cell>
          <cell r="AA12">
            <v>34</v>
          </cell>
          <cell r="AB12">
            <v>3823</v>
          </cell>
        </row>
        <row r="13">
          <cell r="E13">
            <v>252</v>
          </cell>
          <cell r="F13">
            <v>71</v>
          </cell>
          <cell r="G13">
            <v>2680</v>
          </cell>
          <cell r="H13">
            <v>1390</v>
          </cell>
          <cell r="I13">
            <v>30</v>
          </cell>
          <cell r="J13">
            <v>1996</v>
          </cell>
          <cell r="N13">
            <v>435</v>
          </cell>
          <cell r="O13">
            <v>74</v>
          </cell>
          <cell r="P13">
            <v>4479</v>
          </cell>
          <cell r="Q13">
            <v>2305</v>
          </cell>
          <cell r="R13">
            <v>35</v>
          </cell>
          <cell r="S13">
            <v>3300</v>
          </cell>
          <cell r="W13">
            <v>505</v>
          </cell>
          <cell r="X13">
            <v>76</v>
          </cell>
          <cell r="Y13">
            <v>5928</v>
          </cell>
          <cell r="Z13">
            <v>2619</v>
          </cell>
          <cell r="AA13">
            <v>36</v>
          </cell>
          <cell r="AB13">
            <v>3951</v>
          </cell>
        </row>
        <row r="14">
          <cell r="E14">
            <v>264</v>
          </cell>
          <cell r="F14">
            <v>77</v>
          </cell>
          <cell r="G14">
            <v>2760</v>
          </cell>
          <cell r="H14">
            <v>1400</v>
          </cell>
          <cell r="I14">
            <v>32</v>
          </cell>
          <cell r="J14">
            <v>2086</v>
          </cell>
          <cell r="N14">
            <v>451</v>
          </cell>
          <cell r="O14">
            <v>80</v>
          </cell>
          <cell r="P14">
            <v>4579</v>
          </cell>
          <cell r="Q14">
            <v>2315</v>
          </cell>
          <cell r="R14">
            <v>37</v>
          </cell>
          <cell r="S14">
            <v>3414</v>
          </cell>
          <cell r="W14">
            <v>523</v>
          </cell>
          <cell r="X14">
            <v>82</v>
          </cell>
          <cell r="Y14">
            <v>6048</v>
          </cell>
          <cell r="Z14">
            <v>2629</v>
          </cell>
          <cell r="AA14">
            <v>38</v>
          </cell>
          <cell r="AB14">
            <v>4079</v>
          </cell>
        </row>
        <row r="15">
          <cell r="E15">
            <v>276</v>
          </cell>
          <cell r="F15">
            <v>83</v>
          </cell>
          <cell r="G15">
            <v>2840</v>
          </cell>
          <cell r="H15">
            <v>1410</v>
          </cell>
          <cell r="I15">
            <v>34</v>
          </cell>
          <cell r="J15">
            <v>2176</v>
          </cell>
          <cell r="N15">
            <v>467</v>
          </cell>
          <cell r="O15">
            <v>86</v>
          </cell>
          <cell r="P15">
            <v>4679</v>
          </cell>
          <cell r="Q15">
            <v>2325</v>
          </cell>
          <cell r="R15">
            <v>39</v>
          </cell>
          <cell r="S15">
            <v>3528</v>
          </cell>
          <cell r="W15">
            <v>541</v>
          </cell>
          <cell r="X15">
            <v>88</v>
          </cell>
          <cell r="Y15">
            <v>6168</v>
          </cell>
          <cell r="Z15">
            <v>2639</v>
          </cell>
          <cell r="AA15">
            <v>40</v>
          </cell>
          <cell r="AB15">
            <v>4207</v>
          </cell>
        </row>
        <row r="16">
          <cell r="E16">
            <v>288</v>
          </cell>
          <cell r="F16">
            <v>89</v>
          </cell>
          <cell r="G16">
            <v>2920</v>
          </cell>
          <cell r="H16">
            <v>1420</v>
          </cell>
          <cell r="I16">
            <v>36</v>
          </cell>
          <cell r="J16">
            <v>2266</v>
          </cell>
          <cell r="N16">
            <v>483</v>
          </cell>
          <cell r="O16">
            <v>92</v>
          </cell>
          <cell r="P16">
            <v>4779</v>
          </cell>
          <cell r="Q16">
            <v>2335</v>
          </cell>
          <cell r="R16">
            <v>41</v>
          </cell>
          <cell r="S16">
            <v>3643</v>
          </cell>
          <cell r="W16">
            <v>559</v>
          </cell>
          <cell r="X16">
            <v>94</v>
          </cell>
          <cell r="Y16">
            <v>6288</v>
          </cell>
          <cell r="Z16">
            <v>2649</v>
          </cell>
          <cell r="AA16">
            <v>42</v>
          </cell>
          <cell r="AB16">
            <v>4336</v>
          </cell>
        </row>
        <row r="17">
          <cell r="E17">
            <v>300</v>
          </cell>
          <cell r="F17">
            <v>95</v>
          </cell>
          <cell r="G17">
            <v>3000</v>
          </cell>
          <cell r="H17">
            <v>1430</v>
          </cell>
          <cell r="I17">
            <v>38</v>
          </cell>
          <cell r="J17">
            <v>2357</v>
          </cell>
          <cell r="N17">
            <v>499</v>
          </cell>
          <cell r="O17">
            <v>98</v>
          </cell>
          <cell r="P17">
            <v>4879</v>
          </cell>
          <cell r="Q17">
            <v>2345</v>
          </cell>
          <cell r="R17">
            <v>43</v>
          </cell>
          <cell r="S17">
            <v>3757</v>
          </cell>
          <cell r="W17">
            <v>577</v>
          </cell>
          <cell r="X17">
            <v>100</v>
          </cell>
          <cell r="Y17">
            <v>6408</v>
          </cell>
          <cell r="Z17">
            <v>2659</v>
          </cell>
          <cell r="AA17">
            <v>44</v>
          </cell>
          <cell r="AB17">
            <v>4464</v>
          </cell>
        </row>
        <row r="18">
          <cell r="E18">
            <v>312</v>
          </cell>
          <cell r="F18">
            <v>101</v>
          </cell>
          <cell r="G18">
            <v>3080</v>
          </cell>
          <cell r="H18">
            <v>1440</v>
          </cell>
          <cell r="I18">
            <v>40</v>
          </cell>
          <cell r="J18">
            <v>2447</v>
          </cell>
          <cell r="N18">
            <v>515</v>
          </cell>
          <cell r="O18">
            <v>104</v>
          </cell>
          <cell r="P18">
            <v>4979</v>
          </cell>
          <cell r="Q18">
            <v>2355</v>
          </cell>
          <cell r="R18">
            <v>45</v>
          </cell>
          <cell r="S18">
            <v>3871</v>
          </cell>
          <cell r="W18">
            <v>595</v>
          </cell>
          <cell r="X18">
            <v>106</v>
          </cell>
          <cell r="Y18">
            <v>6528</v>
          </cell>
          <cell r="Z18">
            <v>2669</v>
          </cell>
          <cell r="AA18">
            <v>46</v>
          </cell>
          <cell r="AB18">
            <v>4592</v>
          </cell>
        </row>
        <row r="19">
          <cell r="E19">
            <v>324</v>
          </cell>
          <cell r="F19">
            <v>107</v>
          </cell>
          <cell r="G19">
            <v>3160</v>
          </cell>
          <cell r="H19">
            <v>1450</v>
          </cell>
          <cell r="I19">
            <v>42</v>
          </cell>
          <cell r="J19">
            <v>2537</v>
          </cell>
          <cell r="N19">
            <v>531</v>
          </cell>
          <cell r="O19">
            <v>110</v>
          </cell>
          <cell r="P19">
            <v>5079</v>
          </cell>
          <cell r="Q19">
            <v>2365</v>
          </cell>
          <cell r="R19">
            <v>47</v>
          </cell>
          <cell r="S19">
            <v>3985</v>
          </cell>
          <cell r="W19">
            <v>613</v>
          </cell>
          <cell r="X19">
            <v>112</v>
          </cell>
          <cell r="Y19">
            <v>6648</v>
          </cell>
          <cell r="Z19">
            <v>2679</v>
          </cell>
          <cell r="AA19">
            <v>48</v>
          </cell>
          <cell r="AB19">
            <v>4720</v>
          </cell>
        </row>
        <row r="20">
          <cell r="E20">
            <v>336</v>
          </cell>
          <cell r="F20">
            <v>113</v>
          </cell>
          <cell r="G20">
            <v>3240</v>
          </cell>
          <cell r="H20">
            <v>1460</v>
          </cell>
          <cell r="I20">
            <v>44</v>
          </cell>
          <cell r="J20">
            <v>2627</v>
          </cell>
          <cell r="N20">
            <v>547</v>
          </cell>
          <cell r="O20">
            <v>116</v>
          </cell>
          <cell r="P20">
            <v>5179</v>
          </cell>
          <cell r="Q20">
            <v>2375</v>
          </cell>
          <cell r="R20">
            <v>49</v>
          </cell>
          <cell r="S20">
            <v>4099</v>
          </cell>
          <cell r="W20">
            <v>631</v>
          </cell>
          <cell r="X20">
            <v>118</v>
          </cell>
          <cell r="Y20">
            <v>6768</v>
          </cell>
          <cell r="Z20">
            <v>2689</v>
          </cell>
          <cell r="AA20">
            <v>50</v>
          </cell>
          <cell r="AB20">
            <v>4848</v>
          </cell>
        </row>
        <row r="21">
          <cell r="E21">
            <v>348</v>
          </cell>
          <cell r="F21">
            <v>119</v>
          </cell>
          <cell r="G21">
            <v>3320</v>
          </cell>
          <cell r="H21">
            <v>1470</v>
          </cell>
          <cell r="I21">
            <v>46</v>
          </cell>
          <cell r="J21">
            <v>2717</v>
          </cell>
          <cell r="N21">
            <v>563</v>
          </cell>
          <cell r="O21">
            <v>122</v>
          </cell>
          <cell r="P21">
            <v>5279</v>
          </cell>
          <cell r="Q21">
            <v>2385</v>
          </cell>
          <cell r="R21">
            <v>51</v>
          </cell>
          <cell r="S21">
            <v>4214</v>
          </cell>
          <cell r="W21">
            <v>649</v>
          </cell>
          <cell r="X21">
            <v>124</v>
          </cell>
          <cell r="Y21">
            <v>6888</v>
          </cell>
          <cell r="Z21">
            <v>2699</v>
          </cell>
          <cell r="AA21">
            <v>52</v>
          </cell>
          <cell r="AB21">
            <v>4977</v>
          </cell>
        </row>
        <row r="22">
          <cell r="E22">
            <v>360</v>
          </cell>
          <cell r="F22">
            <v>125</v>
          </cell>
          <cell r="G22">
            <v>3400</v>
          </cell>
          <cell r="H22">
            <v>1480</v>
          </cell>
          <cell r="I22">
            <v>48</v>
          </cell>
          <cell r="J22">
            <v>2808</v>
          </cell>
          <cell r="N22">
            <v>579</v>
          </cell>
          <cell r="O22">
            <v>128</v>
          </cell>
          <cell r="P22">
            <v>5379</v>
          </cell>
          <cell r="Q22">
            <v>2395</v>
          </cell>
          <cell r="R22">
            <v>53</v>
          </cell>
          <cell r="S22">
            <v>4328</v>
          </cell>
          <cell r="W22">
            <v>667</v>
          </cell>
          <cell r="X22">
            <v>130</v>
          </cell>
          <cell r="Y22">
            <v>7008</v>
          </cell>
          <cell r="Z22">
            <v>2709</v>
          </cell>
          <cell r="AA22">
            <v>54</v>
          </cell>
          <cell r="AB22">
            <v>5105</v>
          </cell>
        </row>
        <row r="23">
          <cell r="E23">
            <v>372</v>
          </cell>
          <cell r="F23">
            <v>131</v>
          </cell>
          <cell r="G23">
            <v>3480</v>
          </cell>
          <cell r="H23">
            <v>1490</v>
          </cell>
          <cell r="I23">
            <v>50</v>
          </cell>
          <cell r="J23">
            <v>2898</v>
          </cell>
          <cell r="N23">
            <v>595</v>
          </cell>
          <cell r="O23">
            <v>134</v>
          </cell>
          <cell r="P23">
            <v>5479</v>
          </cell>
          <cell r="Q23">
            <v>2405</v>
          </cell>
          <cell r="R23">
            <v>55</v>
          </cell>
          <cell r="S23">
            <v>4442</v>
          </cell>
          <cell r="W23">
            <v>685</v>
          </cell>
          <cell r="X23">
            <v>136</v>
          </cell>
          <cell r="Y23">
            <v>7128</v>
          </cell>
          <cell r="Z23">
            <v>2719</v>
          </cell>
          <cell r="AA23">
            <v>56</v>
          </cell>
          <cell r="AB23">
            <v>5233</v>
          </cell>
        </row>
        <row r="24">
          <cell r="E24">
            <v>384</v>
          </cell>
          <cell r="F24">
            <v>137</v>
          </cell>
          <cell r="G24">
            <v>3560</v>
          </cell>
          <cell r="H24">
            <v>1500</v>
          </cell>
          <cell r="I24">
            <v>52</v>
          </cell>
          <cell r="J24">
            <v>2988</v>
          </cell>
          <cell r="N24">
            <v>611</v>
          </cell>
          <cell r="O24">
            <v>140</v>
          </cell>
          <cell r="P24">
            <v>5579</v>
          </cell>
          <cell r="Q24">
            <v>2415</v>
          </cell>
          <cell r="R24">
            <v>57</v>
          </cell>
          <cell r="S24">
            <v>4556</v>
          </cell>
          <cell r="W24">
            <v>703</v>
          </cell>
          <cell r="X24">
            <v>142</v>
          </cell>
          <cell r="Y24">
            <v>7248</v>
          </cell>
          <cell r="Z24">
            <v>2729</v>
          </cell>
          <cell r="AA24">
            <v>58</v>
          </cell>
          <cell r="AB24">
            <v>5361</v>
          </cell>
        </row>
        <row r="25">
          <cell r="E25">
            <v>396</v>
          </cell>
          <cell r="F25">
            <v>143</v>
          </cell>
          <cell r="G25">
            <v>3640</v>
          </cell>
          <cell r="H25">
            <v>1510</v>
          </cell>
          <cell r="I25">
            <v>54</v>
          </cell>
          <cell r="J25">
            <v>3078</v>
          </cell>
          <cell r="N25">
            <v>627</v>
          </cell>
          <cell r="O25">
            <v>146</v>
          </cell>
          <cell r="P25">
            <v>5679</v>
          </cell>
          <cell r="Q25">
            <v>2425</v>
          </cell>
          <cell r="R25">
            <v>59</v>
          </cell>
          <cell r="S25">
            <v>4670</v>
          </cell>
          <cell r="W25">
            <v>721</v>
          </cell>
          <cell r="X25">
            <v>148</v>
          </cell>
          <cell r="Y25">
            <v>7368</v>
          </cell>
          <cell r="Z25">
            <v>2739</v>
          </cell>
          <cell r="AA25">
            <v>60</v>
          </cell>
          <cell r="AB25">
            <v>5489</v>
          </cell>
        </row>
        <row r="26">
          <cell r="E26">
            <v>408</v>
          </cell>
          <cell r="F26">
            <v>149</v>
          </cell>
          <cell r="G26">
            <v>3720</v>
          </cell>
          <cell r="H26">
            <v>1520</v>
          </cell>
          <cell r="I26">
            <v>56</v>
          </cell>
          <cell r="J26">
            <v>3168</v>
          </cell>
          <cell r="N26">
            <v>643</v>
          </cell>
          <cell r="O26">
            <v>152</v>
          </cell>
          <cell r="P26">
            <v>5779</v>
          </cell>
          <cell r="Q26">
            <v>2435</v>
          </cell>
          <cell r="R26">
            <v>61</v>
          </cell>
          <cell r="S26">
            <v>4785</v>
          </cell>
          <cell r="W26">
            <v>739</v>
          </cell>
          <cell r="X26">
            <v>154</v>
          </cell>
          <cell r="Y26">
            <v>7488</v>
          </cell>
          <cell r="Z26">
            <v>2749</v>
          </cell>
          <cell r="AA26">
            <v>62</v>
          </cell>
          <cell r="AB26">
            <v>5618</v>
          </cell>
        </row>
        <row r="27">
          <cell r="E27">
            <v>420</v>
          </cell>
          <cell r="F27">
            <v>155</v>
          </cell>
          <cell r="G27">
            <v>3800</v>
          </cell>
          <cell r="H27">
            <v>1530</v>
          </cell>
          <cell r="I27">
            <v>58</v>
          </cell>
          <cell r="J27">
            <v>3259</v>
          </cell>
          <cell r="N27">
            <v>659</v>
          </cell>
          <cell r="O27">
            <v>158</v>
          </cell>
          <cell r="P27">
            <v>5879</v>
          </cell>
          <cell r="Q27">
            <v>2445</v>
          </cell>
          <cell r="R27">
            <v>63</v>
          </cell>
          <cell r="S27">
            <v>4899</v>
          </cell>
          <cell r="W27">
            <v>757</v>
          </cell>
          <cell r="X27">
            <v>160</v>
          </cell>
          <cell r="Y27">
            <v>7608</v>
          </cell>
          <cell r="Z27">
            <v>2759</v>
          </cell>
          <cell r="AA27">
            <v>64</v>
          </cell>
          <cell r="AB27">
            <v>5746</v>
          </cell>
        </row>
        <row r="28">
          <cell r="E28">
            <v>432</v>
          </cell>
          <cell r="F28">
            <v>161</v>
          </cell>
          <cell r="G28">
            <v>3880</v>
          </cell>
          <cell r="H28">
            <v>1540</v>
          </cell>
          <cell r="I28">
            <v>60</v>
          </cell>
          <cell r="J28">
            <v>3349</v>
          </cell>
          <cell r="N28">
            <v>675</v>
          </cell>
          <cell r="O28">
            <v>164</v>
          </cell>
          <cell r="P28">
            <v>5979</v>
          </cell>
          <cell r="Q28">
            <v>2455</v>
          </cell>
          <cell r="R28">
            <v>65</v>
          </cell>
          <cell r="S28">
            <v>5013</v>
          </cell>
          <cell r="W28">
            <v>775</v>
          </cell>
          <cell r="X28">
            <v>166</v>
          </cell>
          <cell r="Y28">
            <v>7728</v>
          </cell>
          <cell r="Z28">
            <v>2769</v>
          </cell>
          <cell r="AA28">
            <v>66</v>
          </cell>
          <cell r="AB28">
            <v>5874</v>
          </cell>
        </row>
        <row r="29">
          <cell r="E29">
            <v>444</v>
          </cell>
          <cell r="F29">
            <v>167</v>
          </cell>
          <cell r="G29">
            <v>3960</v>
          </cell>
          <cell r="H29">
            <v>1550</v>
          </cell>
          <cell r="I29">
            <v>62</v>
          </cell>
          <cell r="J29">
            <v>3439</v>
          </cell>
          <cell r="N29">
            <v>691</v>
          </cell>
          <cell r="O29">
            <v>170</v>
          </cell>
          <cell r="P29">
            <v>6079</v>
          </cell>
          <cell r="Q29">
            <v>2465</v>
          </cell>
          <cell r="R29">
            <v>67</v>
          </cell>
          <cell r="S29">
            <v>5127</v>
          </cell>
          <cell r="W29">
            <v>793</v>
          </cell>
          <cell r="X29">
            <v>172</v>
          </cell>
          <cell r="Y29">
            <v>7848</v>
          </cell>
          <cell r="Z29">
            <v>2779</v>
          </cell>
          <cell r="AA29">
            <v>68</v>
          </cell>
          <cell r="AB29">
            <v>6002</v>
          </cell>
        </row>
        <row r="30">
          <cell r="E30">
            <v>456</v>
          </cell>
          <cell r="F30">
            <v>173</v>
          </cell>
          <cell r="G30">
            <v>4040</v>
          </cell>
          <cell r="H30">
            <v>1560</v>
          </cell>
          <cell r="I30">
            <v>64</v>
          </cell>
          <cell r="J30">
            <v>3529</v>
          </cell>
          <cell r="N30">
            <v>707</v>
          </cell>
          <cell r="O30">
            <v>176</v>
          </cell>
          <cell r="P30">
            <v>6179</v>
          </cell>
          <cell r="Q30">
            <v>2475</v>
          </cell>
          <cell r="R30">
            <v>69</v>
          </cell>
          <cell r="S30">
            <v>5241</v>
          </cell>
          <cell r="W30">
            <v>811</v>
          </cell>
          <cell r="X30">
            <v>178</v>
          </cell>
          <cell r="Y30">
            <v>7968</v>
          </cell>
          <cell r="Z30">
            <v>2789</v>
          </cell>
          <cell r="AA30">
            <v>70</v>
          </cell>
          <cell r="AB30">
            <v>6130</v>
          </cell>
        </row>
        <row r="31">
          <cell r="E31">
            <v>468</v>
          </cell>
          <cell r="F31">
            <v>179</v>
          </cell>
          <cell r="G31">
            <v>4120</v>
          </cell>
          <cell r="H31">
            <v>1570</v>
          </cell>
          <cell r="I31">
            <v>66</v>
          </cell>
          <cell r="J31">
            <v>3619</v>
          </cell>
          <cell r="N31">
            <v>723</v>
          </cell>
          <cell r="O31">
            <v>182</v>
          </cell>
          <cell r="P31">
            <v>6279</v>
          </cell>
          <cell r="Q31">
            <v>2485</v>
          </cell>
          <cell r="R31">
            <v>71</v>
          </cell>
          <cell r="S31">
            <v>5356</v>
          </cell>
          <cell r="W31">
            <v>829</v>
          </cell>
          <cell r="X31">
            <v>184</v>
          </cell>
          <cell r="Y31">
            <v>8088</v>
          </cell>
          <cell r="Z31">
            <v>2799</v>
          </cell>
          <cell r="AA31">
            <v>72</v>
          </cell>
          <cell r="AB31">
            <v>6259</v>
          </cell>
        </row>
        <row r="32">
          <cell r="E32">
            <v>480</v>
          </cell>
          <cell r="F32">
            <v>185</v>
          </cell>
          <cell r="G32">
            <v>4200</v>
          </cell>
          <cell r="H32">
            <v>1580</v>
          </cell>
          <cell r="I32">
            <v>68</v>
          </cell>
          <cell r="J32">
            <v>3710</v>
          </cell>
          <cell r="N32">
            <v>739</v>
          </cell>
          <cell r="O32">
            <v>188</v>
          </cell>
          <cell r="P32">
            <v>6379</v>
          </cell>
          <cell r="Q32">
            <v>2495</v>
          </cell>
          <cell r="R32">
            <v>73</v>
          </cell>
          <cell r="S32">
            <v>5470</v>
          </cell>
          <cell r="W32">
            <v>847</v>
          </cell>
          <cell r="X32">
            <v>190</v>
          </cell>
          <cell r="Y32">
            <v>8208</v>
          </cell>
          <cell r="Z32">
            <v>2809</v>
          </cell>
          <cell r="AA32">
            <v>74</v>
          </cell>
          <cell r="AB32">
            <v>6387</v>
          </cell>
        </row>
        <row r="33">
          <cell r="E33">
            <v>492</v>
          </cell>
          <cell r="F33">
            <v>191</v>
          </cell>
          <cell r="G33">
            <v>4280</v>
          </cell>
          <cell r="H33">
            <v>1590</v>
          </cell>
          <cell r="I33">
            <v>70</v>
          </cell>
          <cell r="J33">
            <v>3800</v>
          </cell>
          <cell r="N33">
            <v>755</v>
          </cell>
          <cell r="O33">
            <v>194</v>
          </cell>
          <cell r="P33">
            <v>6479</v>
          </cell>
          <cell r="Q33">
            <v>2505</v>
          </cell>
          <cell r="R33">
            <v>75</v>
          </cell>
          <cell r="S33">
            <v>5584</v>
          </cell>
          <cell r="W33">
            <v>865</v>
          </cell>
          <cell r="X33">
            <v>196</v>
          </cell>
          <cell r="Y33">
            <v>8328</v>
          </cell>
          <cell r="Z33">
            <v>2819</v>
          </cell>
          <cell r="AA33">
            <v>76</v>
          </cell>
          <cell r="AB33">
            <v>6515</v>
          </cell>
        </row>
        <row r="34">
          <cell r="E34">
            <v>504</v>
          </cell>
          <cell r="F34">
            <v>197</v>
          </cell>
          <cell r="G34">
            <v>4360</v>
          </cell>
          <cell r="H34">
            <v>1600</v>
          </cell>
          <cell r="I34">
            <v>72</v>
          </cell>
          <cell r="J34">
            <v>3890</v>
          </cell>
          <cell r="N34">
            <v>771</v>
          </cell>
          <cell r="O34">
            <v>200</v>
          </cell>
          <cell r="P34">
            <v>6579</v>
          </cell>
          <cell r="Q34">
            <v>2515</v>
          </cell>
          <cell r="R34">
            <v>77</v>
          </cell>
          <cell r="S34">
            <v>5698</v>
          </cell>
          <cell r="W34">
            <v>883</v>
          </cell>
          <cell r="X34">
            <v>202</v>
          </cell>
          <cell r="Y34">
            <v>8448</v>
          </cell>
          <cell r="Z34">
            <v>2829</v>
          </cell>
          <cell r="AA34">
            <v>78</v>
          </cell>
          <cell r="AB34">
            <v>6643</v>
          </cell>
        </row>
        <row r="35">
          <cell r="E35">
            <v>516</v>
          </cell>
          <cell r="F35">
            <v>203</v>
          </cell>
          <cell r="G35">
            <v>4440</v>
          </cell>
          <cell r="H35">
            <v>1610</v>
          </cell>
          <cell r="I35">
            <v>74</v>
          </cell>
          <cell r="J35">
            <v>3980</v>
          </cell>
          <cell r="N35">
            <v>787</v>
          </cell>
          <cell r="O35">
            <v>206</v>
          </cell>
          <cell r="P35">
            <v>6679</v>
          </cell>
          <cell r="Q35">
            <v>2525</v>
          </cell>
          <cell r="R35">
            <v>79</v>
          </cell>
          <cell r="S35">
            <v>5812</v>
          </cell>
          <cell r="W35">
            <v>901</v>
          </cell>
          <cell r="X35">
            <v>208</v>
          </cell>
          <cell r="Y35">
            <v>8568</v>
          </cell>
          <cell r="Z35">
            <v>2839</v>
          </cell>
          <cell r="AA35">
            <v>80</v>
          </cell>
          <cell r="AB35">
            <v>6771</v>
          </cell>
        </row>
        <row r="36">
          <cell r="E36">
            <v>528</v>
          </cell>
          <cell r="F36">
            <v>209</v>
          </cell>
          <cell r="G36">
            <v>4520</v>
          </cell>
          <cell r="H36">
            <v>1620</v>
          </cell>
          <cell r="I36">
            <v>76</v>
          </cell>
          <cell r="J36">
            <v>4070</v>
          </cell>
          <cell r="N36">
            <v>803</v>
          </cell>
          <cell r="O36">
            <v>212</v>
          </cell>
          <cell r="P36">
            <v>6779</v>
          </cell>
          <cell r="Q36">
            <v>2535</v>
          </cell>
          <cell r="R36">
            <v>81</v>
          </cell>
          <cell r="S36">
            <v>5927</v>
          </cell>
          <cell r="W36">
            <v>919</v>
          </cell>
          <cell r="X36">
            <v>214</v>
          </cell>
          <cell r="Y36">
            <v>8688</v>
          </cell>
          <cell r="Z36">
            <v>2849</v>
          </cell>
          <cell r="AA36">
            <v>82</v>
          </cell>
          <cell r="AB36">
            <v>6900</v>
          </cell>
        </row>
        <row r="37">
          <cell r="E37">
            <v>540</v>
          </cell>
          <cell r="F37">
            <v>215</v>
          </cell>
          <cell r="G37">
            <v>4600</v>
          </cell>
          <cell r="H37">
            <v>1630</v>
          </cell>
          <cell r="I37">
            <v>78</v>
          </cell>
          <cell r="J37">
            <v>4161</v>
          </cell>
          <cell r="N37">
            <v>819</v>
          </cell>
          <cell r="O37">
            <v>218</v>
          </cell>
          <cell r="P37">
            <v>6879</v>
          </cell>
          <cell r="Q37">
            <v>2545</v>
          </cell>
          <cell r="R37">
            <v>83</v>
          </cell>
          <cell r="S37">
            <v>6041</v>
          </cell>
          <cell r="W37">
            <v>937</v>
          </cell>
          <cell r="X37">
            <v>220</v>
          </cell>
          <cell r="Y37">
            <v>8808</v>
          </cell>
          <cell r="Z37">
            <v>2859</v>
          </cell>
          <cell r="AA37">
            <v>84</v>
          </cell>
          <cell r="AB37">
            <v>7028</v>
          </cell>
        </row>
        <row r="38">
          <cell r="E38">
            <v>552</v>
          </cell>
          <cell r="F38">
            <v>221</v>
          </cell>
          <cell r="G38">
            <v>4680</v>
          </cell>
          <cell r="H38">
            <v>1640</v>
          </cell>
          <cell r="I38">
            <v>80</v>
          </cell>
          <cell r="J38">
            <v>4251</v>
          </cell>
          <cell r="N38">
            <v>835</v>
          </cell>
          <cell r="O38">
            <v>224</v>
          </cell>
          <cell r="P38">
            <v>6979</v>
          </cell>
          <cell r="Q38">
            <v>2555</v>
          </cell>
          <cell r="R38">
            <v>85</v>
          </cell>
          <cell r="S38">
            <v>6155</v>
          </cell>
          <cell r="W38">
            <v>955</v>
          </cell>
          <cell r="X38">
            <v>226</v>
          </cell>
          <cell r="Y38">
            <v>8928</v>
          </cell>
          <cell r="Z38">
            <v>2869</v>
          </cell>
          <cell r="AA38">
            <v>86</v>
          </cell>
          <cell r="AB38">
            <v>7156</v>
          </cell>
        </row>
        <row r="39">
          <cell r="E39">
            <v>564</v>
          </cell>
          <cell r="F39">
            <v>227</v>
          </cell>
          <cell r="G39">
            <v>4760</v>
          </cell>
          <cell r="H39">
            <v>1650</v>
          </cell>
          <cell r="I39">
            <v>82</v>
          </cell>
          <cell r="J39">
            <v>4341</v>
          </cell>
          <cell r="N39">
            <v>851</v>
          </cell>
          <cell r="O39">
            <v>230</v>
          </cell>
          <cell r="P39">
            <v>7079</v>
          </cell>
          <cell r="Q39">
            <v>2565</v>
          </cell>
          <cell r="R39">
            <v>87</v>
          </cell>
          <cell r="S39">
            <v>6269</v>
          </cell>
          <cell r="W39">
            <v>973</v>
          </cell>
          <cell r="X39">
            <v>232</v>
          </cell>
          <cell r="Y39">
            <v>9048</v>
          </cell>
          <cell r="Z39">
            <v>2879</v>
          </cell>
          <cell r="AA39">
            <v>88</v>
          </cell>
          <cell r="AB39">
            <v>7284</v>
          </cell>
        </row>
        <row r="40">
          <cell r="E40">
            <v>576</v>
          </cell>
          <cell r="F40">
            <v>233</v>
          </cell>
          <cell r="G40">
            <v>4840</v>
          </cell>
          <cell r="H40">
            <v>1660</v>
          </cell>
          <cell r="I40">
            <v>84</v>
          </cell>
          <cell r="J40">
            <v>4431</v>
          </cell>
          <cell r="N40">
            <v>867</v>
          </cell>
          <cell r="O40">
            <v>236</v>
          </cell>
          <cell r="P40">
            <v>7179</v>
          </cell>
          <cell r="Q40">
            <v>2575</v>
          </cell>
          <cell r="R40">
            <v>89</v>
          </cell>
          <cell r="S40">
            <v>6383</v>
          </cell>
          <cell r="W40">
            <v>991</v>
          </cell>
          <cell r="X40">
            <v>238</v>
          </cell>
          <cell r="Y40">
            <v>9168</v>
          </cell>
          <cell r="Z40">
            <v>2889</v>
          </cell>
          <cell r="AA40">
            <v>90</v>
          </cell>
          <cell r="AB40">
            <v>7412</v>
          </cell>
        </row>
        <row r="41">
          <cell r="E41">
            <v>588</v>
          </cell>
          <cell r="F41">
            <v>239</v>
          </cell>
          <cell r="G41">
            <v>4920</v>
          </cell>
          <cell r="H41">
            <v>1670</v>
          </cell>
          <cell r="I41">
            <v>86</v>
          </cell>
          <cell r="J41">
            <v>4521</v>
          </cell>
          <cell r="N41">
            <v>883</v>
          </cell>
          <cell r="O41">
            <v>242</v>
          </cell>
          <cell r="P41">
            <v>7279</v>
          </cell>
          <cell r="Q41">
            <v>2585</v>
          </cell>
          <cell r="R41">
            <v>91</v>
          </cell>
          <cell r="S41">
            <v>6498</v>
          </cell>
          <cell r="W41">
            <v>1009</v>
          </cell>
          <cell r="X41">
            <v>244</v>
          </cell>
          <cell r="Y41">
            <v>9288</v>
          </cell>
          <cell r="Z41">
            <v>2899</v>
          </cell>
          <cell r="AA41">
            <v>92</v>
          </cell>
          <cell r="AB41">
            <v>7541</v>
          </cell>
        </row>
        <row r="42">
          <cell r="E42">
            <v>600</v>
          </cell>
          <cell r="F42">
            <v>245</v>
          </cell>
          <cell r="G42">
            <v>5000</v>
          </cell>
          <cell r="H42">
            <v>1680</v>
          </cell>
          <cell r="I42">
            <v>88</v>
          </cell>
          <cell r="J42">
            <v>4612</v>
          </cell>
          <cell r="N42">
            <v>899</v>
          </cell>
          <cell r="O42">
            <v>248</v>
          </cell>
          <cell r="P42">
            <v>7379</v>
          </cell>
          <cell r="Q42">
            <v>2595</v>
          </cell>
          <cell r="R42">
            <v>93</v>
          </cell>
          <cell r="S42">
            <v>6612</v>
          </cell>
          <cell r="W42">
            <v>1027</v>
          </cell>
          <cell r="X42">
            <v>250</v>
          </cell>
          <cell r="Y42">
            <v>9408</v>
          </cell>
          <cell r="Z42">
            <v>2909</v>
          </cell>
          <cell r="AA42">
            <v>94</v>
          </cell>
          <cell r="AB42">
            <v>7669</v>
          </cell>
        </row>
        <row r="43">
          <cell r="E43">
            <v>612</v>
          </cell>
          <cell r="F43">
            <v>251</v>
          </cell>
          <cell r="G43">
            <v>5080</v>
          </cell>
          <cell r="H43">
            <v>1690</v>
          </cell>
          <cell r="I43">
            <v>90</v>
          </cell>
          <cell r="J43">
            <v>4702</v>
          </cell>
          <cell r="N43">
            <v>915</v>
          </cell>
          <cell r="O43">
            <v>254</v>
          </cell>
          <cell r="P43">
            <v>7479</v>
          </cell>
          <cell r="Q43">
            <v>2605</v>
          </cell>
          <cell r="R43">
            <v>95</v>
          </cell>
          <cell r="S43">
            <v>6726</v>
          </cell>
          <cell r="W43">
            <v>1045</v>
          </cell>
          <cell r="X43">
            <v>256</v>
          </cell>
          <cell r="Y43">
            <v>9528</v>
          </cell>
          <cell r="Z43">
            <v>2919</v>
          </cell>
          <cell r="AA43">
            <v>96</v>
          </cell>
          <cell r="AB43">
            <v>7797</v>
          </cell>
        </row>
        <row r="44">
          <cell r="E44">
            <v>624</v>
          </cell>
          <cell r="F44">
            <v>257</v>
          </cell>
          <cell r="G44">
            <v>5160</v>
          </cell>
          <cell r="H44">
            <v>1700</v>
          </cell>
          <cell r="I44">
            <v>92</v>
          </cell>
          <cell r="J44">
            <v>4792</v>
          </cell>
          <cell r="N44">
            <v>931</v>
          </cell>
          <cell r="O44">
            <v>260</v>
          </cell>
          <cell r="P44">
            <v>7579</v>
          </cell>
          <cell r="Q44">
            <v>2615</v>
          </cell>
          <cell r="R44">
            <v>97</v>
          </cell>
          <cell r="S44">
            <v>6840</v>
          </cell>
          <cell r="W44">
            <v>1063</v>
          </cell>
          <cell r="X44">
            <v>262</v>
          </cell>
          <cell r="Y44">
            <v>9648</v>
          </cell>
          <cell r="Z44">
            <v>2929</v>
          </cell>
          <cell r="AA44">
            <v>98</v>
          </cell>
          <cell r="AB44">
            <v>7925</v>
          </cell>
        </row>
        <row r="45">
          <cell r="E45">
            <v>636</v>
          </cell>
          <cell r="F45">
            <v>263</v>
          </cell>
          <cell r="G45">
            <v>5240</v>
          </cell>
          <cell r="H45">
            <v>1710</v>
          </cell>
          <cell r="I45">
            <v>94</v>
          </cell>
          <cell r="J45">
            <v>4882</v>
          </cell>
          <cell r="N45">
            <v>947</v>
          </cell>
          <cell r="O45">
            <v>266</v>
          </cell>
          <cell r="P45">
            <v>7679</v>
          </cell>
          <cell r="Q45">
            <v>2625</v>
          </cell>
          <cell r="R45">
            <v>99</v>
          </cell>
          <cell r="S45">
            <v>6954</v>
          </cell>
          <cell r="W45">
            <v>1081</v>
          </cell>
          <cell r="X45">
            <v>268</v>
          </cell>
          <cell r="Y45">
            <v>9768</v>
          </cell>
          <cell r="Z45">
            <v>2939</v>
          </cell>
          <cell r="AA45">
            <v>100</v>
          </cell>
          <cell r="AB45">
            <v>8053</v>
          </cell>
        </row>
        <row r="46">
          <cell r="E46">
            <v>648</v>
          </cell>
          <cell r="F46">
            <v>269</v>
          </cell>
          <cell r="G46">
            <v>5320</v>
          </cell>
          <cell r="H46">
            <v>1720</v>
          </cell>
          <cell r="I46">
            <v>96</v>
          </cell>
          <cell r="J46">
            <v>4972</v>
          </cell>
          <cell r="N46">
            <v>963</v>
          </cell>
          <cell r="O46">
            <v>272</v>
          </cell>
          <cell r="P46">
            <v>7779</v>
          </cell>
          <cell r="Q46">
            <v>2635</v>
          </cell>
          <cell r="R46">
            <v>101</v>
          </cell>
          <cell r="S46">
            <v>7069</v>
          </cell>
          <cell r="W46">
            <v>1099</v>
          </cell>
          <cell r="X46">
            <v>274</v>
          </cell>
          <cell r="Y46">
            <v>9888</v>
          </cell>
          <cell r="Z46">
            <v>2949</v>
          </cell>
          <cell r="AA46">
            <v>102</v>
          </cell>
          <cell r="AB46">
            <v>8182</v>
          </cell>
        </row>
        <row r="47">
          <cell r="E47">
            <v>660</v>
          </cell>
          <cell r="F47">
            <v>275</v>
          </cell>
          <cell r="G47">
            <v>5400</v>
          </cell>
          <cell r="H47">
            <v>1730</v>
          </cell>
          <cell r="I47">
            <v>98</v>
          </cell>
          <cell r="J47">
            <v>5063</v>
          </cell>
          <cell r="N47">
            <v>979</v>
          </cell>
          <cell r="O47">
            <v>278</v>
          </cell>
          <cell r="P47">
            <v>7879</v>
          </cell>
          <cell r="Q47">
            <v>2645</v>
          </cell>
          <cell r="R47">
            <v>103</v>
          </cell>
          <cell r="S47">
            <v>7183</v>
          </cell>
          <cell r="W47">
            <v>1117</v>
          </cell>
          <cell r="X47">
            <v>280</v>
          </cell>
          <cell r="Y47">
            <v>10008</v>
          </cell>
          <cell r="Z47">
            <v>2959</v>
          </cell>
          <cell r="AA47">
            <v>104</v>
          </cell>
          <cell r="AB47">
            <v>8310</v>
          </cell>
        </row>
        <row r="48">
          <cell r="E48">
            <v>672</v>
          </cell>
          <cell r="F48">
            <v>281</v>
          </cell>
          <cell r="G48">
            <v>5480</v>
          </cell>
          <cell r="H48">
            <v>1740</v>
          </cell>
          <cell r="I48">
            <v>100</v>
          </cell>
          <cell r="J48">
            <v>5153</v>
          </cell>
          <cell r="N48">
            <v>995</v>
          </cell>
          <cell r="O48">
            <v>284</v>
          </cell>
          <cell r="P48">
            <v>7979</v>
          </cell>
          <cell r="Q48">
            <v>2655</v>
          </cell>
          <cell r="R48">
            <v>105</v>
          </cell>
          <cell r="S48">
            <v>7297</v>
          </cell>
          <cell r="W48">
            <v>1135</v>
          </cell>
          <cell r="X48">
            <v>286</v>
          </cell>
          <cell r="Y48">
            <v>10128</v>
          </cell>
          <cell r="Z48">
            <v>2969</v>
          </cell>
          <cell r="AA48">
            <v>106</v>
          </cell>
          <cell r="AB48">
            <v>8438</v>
          </cell>
        </row>
        <row r="49">
          <cell r="E49">
            <v>684</v>
          </cell>
          <cell r="F49">
            <v>287</v>
          </cell>
          <cell r="G49">
            <v>5560</v>
          </cell>
          <cell r="H49">
            <v>1750</v>
          </cell>
          <cell r="I49">
            <v>102</v>
          </cell>
          <cell r="J49">
            <v>5243</v>
          </cell>
          <cell r="N49">
            <v>1011</v>
          </cell>
          <cell r="O49">
            <v>290</v>
          </cell>
          <cell r="P49">
            <v>8079</v>
          </cell>
          <cell r="Q49">
            <v>2665</v>
          </cell>
          <cell r="R49">
            <v>107</v>
          </cell>
          <cell r="S49">
            <v>7411</v>
          </cell>
          <cell r="W49">
            <v>1153</v>
          </cell>
          <cell r="X49">
            <v>292</v>
          </cell>
          <cell r="Y49">
            <v>10248</v>
          </cell>
          <cell r="Z49">
            <v>2979</v>
          </cell>
          <cell r="AA49">
            <v>108</v>
          </cell>
          <cell r="AB49">
            <v>8566</v>
          </cell>
        </row>
        <row r="50">
          <cell r="E50">
            <v>696</v>
          </cell>
          <cell r="F50">
            <v>293</v>
          </cell>
          <cell r="G50">
            <v>5640</v>
          </cell>
          <cell r="H50">
            <v>1760</v>
          </cell>
          <cell r="I50">
            <v>104</v>
          </cell>
          <cell r="J50">
            <v>5333</v>
          </cell>
          <cell r="N50">
            <v>1027</v>
          </cell>
          <cell r="O50">
            <v>296</v>
          </cell>
          <cell r="P50">
            <v>8179</v>
          </cell>
          <cell r="Q50">
            <v>2675</v>
          </cell>
          <cell r="R50">
            <v>109</v>
          </cell>
          <cell r="S50">
            <v>7525</v>
          </cell>
          <cell r="W50">
            <v>1171</v>
          </cell>
          <cell r="X50">
            <v>298</v>
          </cell>
          <cell r="Y50">
            <v>10368</v>
          </cell>
          <cell r="Z50">
            <v>2989</v>
          </cell>
          <cell r="AA50">
            <v>110</v>
          </cell>
          <cell r="AB50">
            <v>8694</v>
          </cell>
        </row>
        <row r="51">
          <cell r="E51">
            <v>708</v>
          </cell>
          <cell r="F51">
            <v>299</v>
          </cell>
          <cell r="G51">
            <v>5720</v>
          </cell>
          <cell r="H51">
            <v>1770</v>
          </cell>
          <cell r="I51">
            <v>106</v>
          </cell>
          <cell r="J51">
            <v>5423</v>
          </cell>
          <cell r="N51">
            <v>1043</v>
          </cell>
          <cell r="O51">
            <v>302</v>
          </cell>
          <cell r="P51">
            <v>8279</v>
          </cell>
          <cell r="Q51">
            <v>2685</v>
          </cell>
          <cell r="R51">
            <v>111</v>
          </cell>
          <cell r="S51">
            <v>7640</v>
          </cell>
          <cell r="W51">
            <v>1189</v>
          </cell>
          <cell r="X51">
            <v>304</v>
          </cell>
          <cell r="Y51">
            <v>10488</v>
          </cell>
          <cell r="Z51">
            <v>2999</v>
          </cell>
          <cell r="AA51">
            <v>112</v>
          </cell>
          <cell r="AB51">
            <v>8823</v>
          </cell>
        </row>
      </sheetData>
      <sheetData sheetId="6">
        <row r="2">
          <cell r="E2">
            <v>180</v>
          </cell>
          <cell r="F2">
            <v>6</v>
          </cell>
          <cell r="G2">
            <v>2640</v>
          </cell>
          <cell r="H2">
            <v>1600</v>
          </cell>
          <cell r="I2">
            <v>10</v>
          </cell>
          <cell r="J2">
            <v>1482</v>
          </cell>
          <cell r="N2">
            <v>288</v>
          </cell>
          <cell r="O2">
            <v>9</v>
          </cell>
          <cell r="P2">
            <v>3802</v>
          </cell>
          <cell r="Q2">
            <v>2352</v>
          </cell>
          <cell r="R2">
            <v>14</v>
          </cell>
          <cell r="S2">
            <v>2279</v>
          </cell>
          <cell r="W2">
            <v>384</v>
          </cell>
          <cell r="X2">
            <v>11</v>
          </cell>
          <cell r="Y2">
            <v>5184</v>
          </cell>
          <cell r="Z2">
            <v>2688</v>
          </cell>
          <cell r="AA2">
            <v>18</v>
          </cell>
          <cell r="AB2">
            <v>3051</v>
          </cell>
        </row>
        <row r="3">
          <cell r="E3">
            <v>196</v>
          </cell>
          <cell r="F3">
            <v>14</v>
          </cell>
          <cell r="G3">
            <v>2780</v>
          </cell>
          <cell r="H3">
            <v>1612</v>
          </cell>
          <cell r="I3">
            <v>13</v>
          </cell>
          <cell r="J3">
            <v>1609</v>
          </cell>
          <cell r="N3">
            <v>306</v>
          </cell>
          <cell r="O3">
            <v>17</v>
          </cell>
          <cell r="P3">
            <v>3962</v>
          </cell>
          <cell r="Q3">
            <v>2364</v>
          </cell>
          <cell r="R3">
            <v>17</v>
          </cell>
          <cell r="S3">
            <v>2421</v>
          </cell>
          <cell r="W3">
            <v>406</v>
          </cell>
          <cell r="X3">
            <v>19</v>
          </cell>
          <cell r="Y3">
            <v>5344</v>
          </cell>
          <cell r="Z3">
            <v>2700</v>
          </cell>
          <cell r="AA3">
            <v>21</v>
          </cell>
          <cell r="AB3">
            <v>3212</v>
          </cell>
        </row>
        <row r="4">
          <cell r="E4">
            <v>212</v>
          </cell>
          <cell r="F4">
            <v>22</v>
          </cell>
          <cell r="G4">
            <v>2920</v>
          </cell>
          <cell r="H4">
            <v>1624</v>
          </cell>
          <cell r="I4">
            <v>16</v>
          </cell>
          <cell r="J4">
            <v>1736</v>
          </cell>
          <cell r="N4">
            <v>324</v>
          </cell>
          <cell r="O4">
            <v>25</v>
          </cell>
          <cell r="P4">
            <v>4122</v>
          </cell>
          <cell r="Q4">
            <v>2376</v>
          </cell>
          <cell r="R4">
            <v>20</v>
          </cell>
          <cell r="S4">
            <v>2562</v>
          </cell>
          <cell r="W4">
            <v>428</v>
          </cell>
          <cell r="X4">
            <v>27</v>
          </cell>
          <cell r="Y4">
            <v>5504</v>
          </cell>
          <cell r="Z4">
            <v>2712</v>
          </cell>
          <cell r="AA4">
            <v>24</v>
          </cell>
          <cell r="AB4">
            <v>3373</v>
          </cell>
        </row>
        <row r="5">
          <cell r="E5">
            <v>228</v>
          </cell>
          <cell r="F5">
            <v>30</v>
          </cell>
          <cell r="G5">
            <v>3060</v>
          </cell>
          <cell r="H5">
            <v>1636</v>
          </cell>
          <cell r="I5">
            <v>19</v>
          </cell>
          <cell r="J5">
            <v>1864</v>
          </cell>
          <cell r="N5">
            <v>342</v>
          </cell>
          <cell r="O5">
            <v>33</v>
          </cell>
          <cell r="P5">
            <v>4282</v>
          </cell>
          <cell r="Q5">
            <v>2388</v>
          </cell>
          <cell r="R5">
            <v>23</v>
          </cell>
          <cell r="S5">
            <v>2703</v>
          </cell>
          <cell r="W5">
            <v>450</v>
          </cell>
          <cell r="X5">
            <v>35</v>
          </cell>
          <cell r="Y5">
            <v>5664</v>
          </cell>
          <cell r="Z5">
            <v>2724</v>
          </cell>
          <cell r="AA5">
            <v>27</v>
          </cell>
          <cell r="AB5">
            <v>3534</v>
          </cell>
        </row>
        <row r="6">
          <cell r="E6">
            <v>244</v>
          </cell>
          <cell r="F6">
            <v>38</v>
          </cell>
          <cell r="G6">
            <v>3200</v>
          </cell>
          <cell r="H6">
            <v>1648</v>
          </cell>
          <cell r="I6">
            <v>22</v>
          </cell>
          <cell r="J6">
            <v>1991</v>
          </cell>
          <cell r="N6">
            <v>360</v>
          </cell>
          <cell r="O6">
            <v>41</v>
          </cell>
          <cell r="P6">
            <v>4442</v>
          </cell>
          <cell r="Q6">
            <v>2400</v>
          </cell>
          <cell r="R6">
            <v>26</v>
          </cell>
          <cell r="S6">
            <v>2844</v>
          </cell>
          <cell r="W6">
            <v>472</v>
          </cell>
          <cell r="X6">
            <v>43</v>
          </cell>
          <cell r="Y6">
            <v>5824</v>
          </cell>
          <cell r="Z6">
            <v>2736</v>
          </cell>
          <cell r="AA6">
            <v>30</v>
          </cell>
          <cell r="AB6">
            <v>3696</v>
          </cell>
        </row>
        <row r="7">
          <cell r="E7">
            <v>260</v>
          </cell>
          <cell r="F7">
            <v>46</v>
          </cell>
          <cell r="G7">
            <v>3340</v>
          </cell>
          <cell r="H7">
            <v>1660</v>
          </cell>
          <cell r="I7">
            <v>25</v>
          </cell>
          <cell r="J7">
            <v>2118</v>
          </cell>
          <cell r="N7">
            <v>378</v>
          </cell>
          <cell r="O7">
            <v>49</v>
          </cell>
          <cell r="P7">
            <v>4602</v>
          </cell>
          <cell r="Q7">
            <v>2412</v>
          </cell>
          <cell r="R7">
            <v>29</v>
          </cell>
          <cell r="S7">
            <v>2986</v>
          </cell>
          <cell r="W7">
            <v>494</v>
          </cell>
          <cell r="X7">
            <v>51</v>
          </cell>
          <cell r="Y7">
            <v>5984</v>
          </cell>
          <cell r="Z7">
            <v>2748</v>
          </cell>
          <cell r="AA7">
            <v>33</v>
          </cell>
          <cell r="AB7">
            <v>3857</v>
          </cell>
        </row>
        <row r="8">
          <cell r="E8">
            <v>276</v>
          </cell>
          <cell r="F8">
            <v>54</v>
          </cell>
          <cell r="G8">
            <v>3480</v>
          </cell>
          <cell r="H8">
            <v>1672</v>
          </cell>
          <cell r="I8">
            <v>28</v>
          </cell>
          <cell r="J8">
            <v>2245</v>
          </cell>
          <cell r="N8">
            <v>396</v>
          </cell>
          <cell r="O8">
            <v>57</v>
          </cell>
          <cell r="P8">
            <v>4762</v>
          </cell>
          <cell r="Q8">
            <v>2424</v>
          </cell>
          <cell r="R8">
            <v>32</v>
          </cell>
          <cell r="S8">
            <v>3127</v>
          </cell>
          <cell r="W8">
            <v>516</v>
          </cell>
          <cell r="X8">
            <v>59</v>
          </cell>
          <cell r="Y8">
            <v>6144</v>
          </cell>
          <cell r="Z8">
            <v>2760</v>
          </cell>
          <cell r="AA8">
            <v>36</v>
          </cell>
          <cell r="AB8">
            <v>4018</v>
          </cell>
        </row>
        <row r="9">
          <cell r="E9">
            <v>292</v>
          </cell>
          <cell r="F9">
            <v>62</v>
          </cell>
          <cell r="G9">
            <v>3620</v>
          </cell>
          <cell r="H9">
            <v>1684</v>
          </cell>
          <cell r="I9">
            <v>31</v>
          </cell>
          <cell r="J9">
            <v>2373</v>
          </cell>
          <cell r="N9">
            <v>414</v>
          </cell>
          <cell r="O9">
            <v>65</v>
          </cell>
          <cell r="P9">
            <v>4922</v>
          </cell>
          <cell r="Q9">
            <v>2436</v>
          </cell>
          <cell r="R9">
            <v>35</v>
          </cell>
          <cell r="S9">
            <v>3268</v>
          </cell>
          <cell r="W9">
            <v>538</v>
          </cell>
          <cell r="X9">
            <v>67</v>
          </cell>
          <cell r="Y9">
            <v>6304</v>
          </cell>
          <cell r="Z9">
            <v>2772</v>
          </cell>
          <cell r="AA9">
            <v>39</v>
          </cell>
          <cell r="AB9">
            <v>4179</v>
          </cell>
        </row>
        <row r="10">
          <cell r="E10">
            <v>308</v>
          </cell>
          <cell r="F10">
            <v>70</v>
          </cell>
          <cell r="G10">
            <v>3760</v>
          </cell>
          <cell r="H10">
            <v>1696</v>
          </cell>
          <cell r="I10">
            <v>34</v>
          </cell>
          <cell r="J10">
            <v>2500</v>
          </cell>
          <cell r="N10">
            <v>432</v>
          </cell>
          <cell r="O10">
            <v>73</v>
          </cell>
          <cell r="P10">
            <v>5082</v>
          </cell>
          <cell r="Q10">
            <v>2448</v>
          </cell>
          <cell r="R10">
            <v>38</v>
          </cell>
          <cell r="S10">
            <v>3409</v>
          </cell>
          <cell r="W10">
            <v>560</v>
          </cell>
          <cell r="X10">
            <v>75</v>
          </cell>
          <cell r="Y10">
            <v>6464</v>
          </cell>
          <cell r="Z10">
            <v>2784</v>
          </cell>
          <cell r="AA10">
            <v>42</v>
          </cell>
          <cell r="AB10">
            <v>4340</v>
          </cell>
        </row>
        <row r="11">
          <cell r="E11">
            <v>324</v>
          </cell>
          <cell r="F11">
            <v>78</v>
          </cell>
          <cell r="G11">
            <v>3900</v>
          </cell>
          <cell r="H11">
            <v>1708</v>
          </cell>
          <cell r="I11">
            <v>37</v>
          </cell>
          <cell r="J11">
            <v>2627</v>
          </cell>
          <cell r="N11">
            <v>450</v>
          </cell>
          <cell r="O11">
            <v>81</v>
          </cell>
          <cell r="P11">
            <v>5242</v>
          </cell>
          <cell r="Q11">
            <v>2460</v>
          </cell>
          <cell r="R11">
            <v>41</v>
          </cell>
          <cell r="S11">
            <v>3551</v>
          </cell>
          <cell r="W11">
            <v>582</v>
          </cell>
          <cell r="X11">
            <v>83</v>
          </cell>
          <cell r="Y11">
            <v>6624</v>
          </cell>
          <cell r="Z11">
            <v>2796</v>
          </cell>
          <cell r="AA11">
            <v>45</v>
          </cell>
          <cell r="AB11">
            <v>4502</v>
          </cell>
        </row>
        <row r="12">
          <cell r="E12">
            <v>340</v>
          </cell>
          <cell r="F12">
            <v>86</v>
          </cell>
          <cell r="G12">
            <v>4040</v>
          </cell>
          <cell r="H12">
            <v>1720</v>
          </cell>
          <cell r="I12">
            <v>40</v>
          </cell>
          <cell r="J12">
            <v>2754</v>
          </cell>
          <cell r="N12">
            <v>468</v>
          </cell>
          <cell r="O12">
            <v>89</v>
          </cell>
          <cell r="P12">
            <v>5402</v>
          </cell>
          <cell r="Q12">
            <v>2472</v>
          </cell>
          <cell r="R12">
            <v>44</v>
          </cell>
          <cell r="S12">
            <v>3692</v>
          </cell>
          <cell r="W12">
            <v>604</v>
          </cell>
          <cell r="X12">
            <v>91</v>
          </cell>
          <cell r="Y12">
            <v>6784</v>
          </cell>
          <cell r="Z12">
            <v>2808</v>
          </cell>
          <cell r="AA12">
            <v>48</v>
          </cell>
          <cell r="AB12">
            <v>4663</v>
          </cell>
        </row>
        <row r="13">
          <cell r="E13">
            <v>356</v>
          </cell>
          <cell r="F13">
            <v>94</v>
          </cell>
          <cell r="G13">
            <v>4180</v>
          </cell>
          <cell r="H13">
            <v>1732</v>
          </cell>
          <cell r="I13">
            <v>43</v>
          </cell>
          <cell r="J13">
            <v>2882</v>
          </cell>
          <cell r="N13">
            <v>486</v>
          </cell>
          <cell r="O13">
            <v>97</v>
          </cell>
          <cell r="P13">
            <v>5562</v>
          </cell>
          <cell r="Q13">
            <v>2484</v>
          </cell>
          <cell r="R13">
            <v>47</v>
          </cell>
          <cell r="S13">
            <v>3833</v>
          </cell>
          <cell r="W13">
            <v>626</v>
          </cell>
          <cell r="X13">
            <v>99</v>
          </cell>
          <cell r="Y13">
            <v>6944</v>
          </cell>
          <cell r="Z13">
            <v>2820</v>
          </cell>
          <cell r="AA13">
            <v>51</v>
          </cell>
          <cell r="AB13">
            <v>4824</v>
          </cell>
        </row>
        <row r="14">
          <cell r="E14">
            <v>372</v>
          </cell>
          <cell r="F14">
            <v>102</v>
          </cell>
          <cell r="G14">
            <v>4320</v>
          </cell>
          <cell r="H14">
            <v>1744</v>
          </cell>
          <cell r="I14">
            <v>46</v>
          </cell>
          <cell r="J14">
            <v>3009</v>
          </cell>
          <cell r="N14">
            <v>504</v>
          </cell>
          <cell r="O14">
            <v>105</v>
          </cell>
          <cell r="P14">
            <v>5722</v>
          </cell>
          <cell r="Q14">
            <v>2496</v>
          </cell>
          <cell r="R14">
            <v>50</v>
          </cell>
          <cell r="S14">
            <v>3974</v>
          </cell>
          <cell r="W14">
            <v>648</v>
          </cell>
          <cell r="X14">
            <v>107</v>
          </cell>
          <cell r="Y14">
            <v>7104</v>
          </cell>
          <cell r="Z14">
            <v>2832</v>
          </cell>
          <cell r="AA14">
            <v>54</v>
          </cell>
          <cell r="AB14">
            <v>4985</v>
          </cell>
        </row>
        <row r="15">
          <cell r="E15">
            <v>388</v>
          </cell>
          <cell r="F15">
            <v>110</v>
          </cell>
          <cell r="G15">
            <v>4460</v>
          </cell>
          <cell r="H15">
            <v>1756</v>
          </cell>
          <cell r="I15">
            <v>49</v>
          </cell>
          <cell r="J15">
            <v>3136</v>
          </cell>
          <cell r="N15">
            <v>522</v>
          </cell>
          <cell r="O15">
            <v>113</v>
          </cell>
          <cell r="P15">
            <v>5882</v>
          </cell>
          <cell r="Q15">
            <v>2508</v>
          </cell>
          <cell r="R15">
            <v>53</v>
          </cell>
          <cell r="S15">
            <v>4116</v>
          </cell>
          <cell r="W15">
            <v>670</v>
          </cell>
          <cell r="X15">
            <v>115</v>
          </cell>
          <cell r="Y15">
            <v>7264</v>
          </cell>
          <cell r="Z15">
            <v>2844</v>
          </cell>
          <cell r="AA15">
            <v>57</v>
          </cell>
          <cell r="AB15">
            <v>5147</v>
          </cell>
        </row>
        <row r="16">
          <cell r="E16">
            <v>404</v>
          </cell>
          <cell r="F16">
            <v>118</v>
          </cell>
          <cell r="G16">
            <v>4600</v>
          </cell>
          <cell r="H16">
            <v>1768</v>
          </cell>
          <cell r="I16">
            <v>52</v>
          </cell>
          <cell r="J16">
            <v>3263</v>
          </cell>
          <cell r="N16">
            <v>540</v>
          </cell>
          <cell r="O16">
            <v>121</v>
          </cell>
          <cell r="P16">
            <v>6042</v>
          </cell>
          <cell r="Q16">
            <v>2520</v>
          </cell>
          <cell r="R16">
            <v>56</v>
          </cell>
          <cell r="S16">
            <v>4257</v>
          </cell>
          <cell r="W16">
            <v>692</v>
          </cell>
          <cell r="X16">
            <v>123</v>
          </cell>
          <cell r="Y16">
            <v>7424</v>
          </cell>
          <cell r="Z16">
            <v>2856</v>
          </cell>
          <cell r="AA16">
            <v>60</v>
          </cell>
          <cell r="AB16">
            <v>5308</v>
          </cell>
        </row>
        <row r="17">
          <cell r="E17">
            <v>420</v>
          </cell>
          <cell r="F17">
            <v>126</v>
          </cell>
          <cell r="G17">
            <v>4740</v>
          </cell>
          <cell r="H17">
            <v>1780</v>
          </cell>
          <cell r="I17">
            <v>55</v>
          </cell>
          <cell r="J17">
            <v>3391</v>
          </cell>
          <cell r="N17">
            <v>558</v>
          </cell>
          <cell r="O17">
            <v>129</v>
          </cell>
          <cell r="P17">
            <v>6202</v>
          </cell>
          <cell r="Q17">
            <v>2532</v>
          </cell>
          <cell r="R17">
            <v>59</v>
          </cell>
          <cell r="S17">
            <v>4398</v>
          </cell>
          <cell r="W17">
            <v>714</v>
          </cell>
          <cell r="X17">
            <v>131</v>
          </cell>
          <cell r="Y17">
            <v>7584</v>
          </cell>
          <cell r="Z17">
            <v>2868</v>
          </cell>
          <cell r="AA17">
            <v>63</v>
          </cell>
          <cell r="AB17">
            <v>5469</v>
          </cell>
        </row>
        <row r="18">
          <cell r="E18">
            <v>436</v>
          </cell>
          <cell r="F18">
            <v>134</v>
          </cell>
          <cell r="G18">
            <v>4880</v>
          </cell>
          <cell r="H18">
            <v>1792</v>
          </cell>
          <cell r="I18">
            <v>58</v>
          </cell>
          <cell r="J18">
            <v>3518</v>
          </cell>
          <cell r="N18">
            <v>576</v>
          </cell>
          <cell r="O18">
            <v>137</v>
          </cell>
          <cell r="P18">
            <v>6362</v>
          </cell>
          <cell r="Q18">
            <v>2544</v>
          </cell>
          <cell r="R18">
            <v>62</v>
          </cell>
          <cell r="S18">
            <v>4539</v>
          </cell>
          <cell r="W18">
            <v>736</v>
          </cell>
          <cell r="X18">
            <v>139</v>
          </cell>
          <cell r="Y18">
            <v>7744</v>
          </cell>
          <cell r="Z18">
            <v>2880</v>
          </cell>
          <cell r="AA18">
            <v>66</v>
          </cell>
          <cell r="AB18">
            <v>5630</v>
          </cell>
        </row>
        <row r="19">
          <cell r="E19">
            <v>452</v>
          </cell>
          <cell r="F19">
            <v>142</v>
          </cell>
          <cell r="G19">
            <v>5020</v>
          </cell>
          <cell r="H19">
            <v>1804</v>
          </cell>
          <cell r="I19">
            <v>61</v>
          </cell>
          <cell r="J19">
            <v>3645</v>
          </cell>
          <cell r="N19">
            <v>594</v>
          </cell>
          <cell r="O19">
            <v>145</v>
          </cell>
          <cell r="P19">
            <v>6522</v>
          </cell>
          <cell r="Q19">
            <v>2556</v>
          </cell>
          <cell r="R19">
            <v>65</v>
          </cell>
          <cell r="S19">
            <v>4681</v>
          </cell>
          <cell r="W19">
            <v>758</v>
          </cell>
          <cell r="X19">
            <v>147</v>
          </cell>
          <cell r="Y19">
            <v>7904</v>
          </cell>
          <cell r="Z19">
            <v>2892</v>
          </cell>
          <cell r="AA19">
            <v>69</v>
          </cell>
          <cell r="AB19">
            <v>5792</v>
          </cell>
        </row>
        <row r="20">
          <cell r="E20">
            <v>468</v>
          </cell>
          <cell r="F20">
            <v>150</v>
          </cell>
          <cell r="G20">
            <v>5160</v>
          </cell>
          <cell r="H20">
            <v>1816</v>
          </cell>
          <cell r="I20">
            <v>64</v>
          </cell>
          <cell r="J20">
            <v>3772</v>
          </cell>
          <cell r="N20">
            <v>612</v>
          </cell>
          <cell r="O20">
            <v>153</v>
          </cell>
          <cell r="P20">
            <v>6682</v>
          </cell>
          <cell r="Q20">
            <v>2568</v>
          </cell>
          <cell r="R20">
            <v>68</v>
          </cell>
          <cell r="S20">
            <v>4822</v>
          </cell>
          <cell r="W20">
            <v>780</v>
          </cell>
          <cell r="X20">
            <v>155</v>
          </cell>
          <cell r="Y20">
            <v>8064</v>
          </cell>
          <cell r="Z20">
            <v>2904</v>
          </cell>
          <cell r="AA20">
            <v>72</v>
          </cell>
          <cell r="AB20">
            <v>5953</v>
          </cell>
        </row>
        <row r="21">
          <cell r="E21">
            <v>484</v>
          </cell>
          <cell r="F21">
            <v>158</v>
          </cell>
          <cell r="G21">
            <v>5300</v>
          </cell>
          <cell r="H21">
            <v>1828</v>
          </cell>
          <cell r="I21">
            <v>67</v>
          </cell>
          <cell r="J21">
            <v>3900</v>
          </cell>
          <cell r="N21">
            <v>630</v>
          </cell>
          <cell r="O21">
            <v>161</v>
          </cell>
          <cell r="P21">
            <v>6842</v>
          </cell>
          <cell r="Q21">
            <v>2580</v>
          </cell>
          <cell r="R21">
            <v>71</v>
          </cell>
          <cell r="S21">
            <v>4963</v>
          </cell>
          <cell r="W21">
            <v>802</v>
          </cell>
          <cell r="X21">
            <v>163</v>
          </cell>
          <cell r="Y21">
            <v>8224</v>
          </cell>
          <cell r="Z21">
            <v>2916</v>
          </cell>
          <cell r="AA21">
            <v>75</v>
          </cell>
          <cell r="AB21">
            <v>6114</v>
          </cell>
        </row>
        <row r="22">
          <cell r="E22">
            <v>500</v>
          </cell>
          <cell r="F22">
            <v>166</v>
          </cell>
          <cell r="G22">
            <v>5440</v>
          </cell>
          <cell r="H22">
            <v>1840</v>
          </cell>
          <cell r="I22">
            <v>70</v>
          </cell>
          <cell r="J22">
            <v>4027</v>
          </cell>
          <cell r="N22">
            <v>648</v>
          </cell>
          <cell r="O22">
            <v>169</v>
          </cell>
          <cell r="P22">
            <v>7002</v>
          </cell>
          <cell r="Q22">
            <v>2592</v>
          </cell>
          <cell r="R22">
            <v>74</v>
          </cell>
          <cell r="S22">
            <v>5104</v>
          </cell>
          <cell r="W22">
            <v>824</v>
          </cell>
          <cell r="X22">
            <v>171</v>
          </cell>
          <cell r="Y22">
            <v>8384</v>
          </cell>
          <cell r="Z22">
            <v>2928</v>
          </cell>
          <cell r="AA22">
            <v>78</v>
          </cell>
          <cell r="AB22">
            <v>6275</v>
          </cell>
        </row>
        <row r="23">
          <cell r="E23">
            <v>516</v>
          </cell>
          <cell r="F23">
            <v>174</v>
          </cell>
          <cell r="G23">
            <v>5580</v>
          </cell>
          <cell r="H23">
            <v>1852</v>
          </cell>
          <cell r="I23">
            <v>73</v>
          </cell>
          <cell r="J23">
            <v>4154</v>
          </cell>
          <cell r="N23">
            <v>666</v>
          </cell>
          <cell r="O23">
            <v>177</v>
          </cell>
          <cell r="P23">
            <v>7162</v>
          </cell>
          <cell r="Q23">
            <v>2604</v>
          </cell>
          <cell r="R23">
            <v>77</v>
          </cell>
          <cell r="S23">
            <v>5245</v>
          </cell>
          <cell r="W23">
            <v>846</v>
          </cell>
          <cell r="X23">
            <v>179</v>
          </cell>
          <cell r="Y23">
            <v>8544</v>
          </cell>
          <cell r="Z23">
            <v>2940</v>
          </cell>
          <cell r="AA23">
            <v>81</v>
          </cell>
          <cell r="AB23">
            <v>6437</v>
          </cell>
        </row>
        <row r="24">
          <cell r="E24">
            <v>532</v>
          </cell>
          <cell r="F24">
            <v>182</v>
          </cell>
          <cell r="G24">
            <v>5720</v>
          </cell>
          <cell r="H24">
            <v>1864</v>
          </cell>
          <cell r="I24">
            <v>76</v>
          </cell>
          <cell r="J24">
            <v>4281</v>
          </cell>
          <cell r="N24">
            <v>684</v>
          </cell>
          <cell r="O24">
            <v>185</v>
          </cell>
          <cell r="P24">
            <v>7322</v>
          </cell>
          <cell r="Q24">
            <v>2616</v>
          </cell>
          <cell r="R24">
            <v>80</v>
          </cell>
          <cell r="S24">
            <v>5387</v>
          </cell>
          <cell r="W24">
            <v>868</v>
          </cell>
          <cell r="X24">
            <v>187</v>
          </cell>
          <cell r="Y24">
            <v>8704</v>
          </cell>
          <cell r="Z24">
            <v>2952</v>
          </cell>
          <cell r="AA24">
            <v>84</v>
          </cell>
          <cell r="AB24">
            <v>6598</v>
          </cell>
        </row>
        <row r="25">
          <cell r="E25">
            <v>548</v>
          </cell>
          <cell r="F25">
            <v>190</v>
          </cell>
          <cell r="G25">
            <v>5860</v>
          </cell>
          <cell r="H25">
            <v>1876</v>
          </cell>
          <cell r="I25">
            <v>79</v>
          </cell>
          <cell r="J25">
            <v>4409</v>
          </cell>
          <cell r="N25">
            <v>702</v>
          </cell>
          <cell r="O25">
            <v>193</v>
          </cell>
          <cell r="P25">
            <v>7482</v>
          </cell>
          <cell r="Q25">
            <v>2628</v>
          </cell>
          <cell r="R25">
            <v>83</v>
          </cell>
          <cell r="S25">
            <v>5528</v>
          </cell>
          <cell r="W25">
            <v>890</v>
          </cell>
          <cell r="X25">
            <v>195</v>
          </cell>
          <cell r="Y25">
            <v>8864</v>
          </cell>
          <cell r="Z25">
            <v>2964</v>
          </cell>
          <cell r="AA25">
            <v>87</v>
          </cell>
          <cell r="AB25">
            <v>6759</v>
          </cell>
        </row>
        <row r="26">
          <cell r="E26">
            <v>564</v>
          </cell>
          <cell r="F26">
            <v>198</v>
          </cell>
          <cell r="G26">
            <v>6000</v>
          </cell>
          <cell r="H26">
            <v>1888</v>
          </cell>
          <cell r="I26">
            <v>82</v>
          </cell>
          <cell r="J26">
            <v>4536</v>
          </cell>
          <cell r="N26">
            <v>720</v>
          </cell>
          <cell r="O26">
            <v>201</v>
          </cell>
          <cell r="P26">
            <v>7642</v>
          </cell>
          <cell r="Q26">
            <v>2640</v>
          </cell>
          <cell r="R26">
            <v>86</v>
          </cell>
          <cell r="S26">
            <v>5669</v>
          </cell>
          <cell r="W26">
            <v>912</v>
          </cell>
          <cell r="X26">
            <v>203</v>
          </cell>
          <cell r="Y26">
            <v>9024</v>
          </cell>
          <cell r="Z26">
            <v>2976</v>
          </cell>
          <cell r="AA26">
            <v>90</v>
          </cell>
          <cell r="AB26">
            <v>6920</v>
          </cell>
        </row>
        <row r="27">
          <cell r="E27">
            <v>580</v>
          </cell>
          <cell r="F27">
            <v>206</v>
          </cell>
          <cell r="G27">
            <v>6140</v>
          </cell>
          <cell r="H27">
            <v>1900</v>
          </cell>
          <cell r="I27">
            <v>85</v>
          </cell>
          <cell r="J27">
            <v>4663</v>
          </cell>
          <cell r="N27">
            <v>738</v>
          </cell>
          <cell r="O27">
            <v>209</v>
          </cell>
          <cell r="P27">
            <v>7802</v>
          </cell>
          <cell r="Q27">
            <v>2652</v>
          </cell>
          <cell r="R27">
            <v>89</v>
          </cell>
          <cell r="S27">
            <v>5810</v>
          </cell>
          <cell r="W27">
            <v>934</v>
          </cell>
          <cell r="X27">
            <v>211</v>
          </cell>
          <cell r="Y27">
            <v>9184</v>
          </cell>
          <cell r="Z27">
            <v>2988</v>
          </cell>
          <cell r="AA27">
            <v>93</v>
          </cell>
          <cell r="AB27">
            <v>7082</v>
          </cell>
        </row>
        <row r="28">
          <cell r="E28">
            <v>596</v>
          </cell>
          <cell r="F28">
            <v>214</v>
          </cell>
          <cell r="G28">
            <v>6280</v>
          </cell>
          <cell r="H28">
            <v>1912</v>
          </cell>
          <cell r="I28">
            <v>88</v>
          </cell>
          <cell r="J28">
            <v>4790</v>
          </cell>
          <cell r="N28">
            <v>756</v>
          </cell>
          <cell r="O28">
            <v>217</v>
          </cell>
          <cell r="P28">
            <v>7962</v>
          </cell>
          <cell r="Q28">
            <v>2664</v>
          </cell>
          <cell r="R28">
            <v>92</v>
          </cell>
          <cell r="S28">
            <v>5952</v>
          </cell>
          <cell r="W28">
            <v>956</v>
          </cell>
          <cell r="X28">
            <v>219</v>
          </cell>
          <cell r="Y28">
            <v>9344</v>
          </cell>
          <cell r="Z28">
            <v>3000</v>
          </cell>
          <cell r="AA28">
            <v>96</v>
          </cell>
          <cell r="AB28">
            <v>7243</v>
          </cell>
        </row>
        <row r="29">
          <cell r="E29">
            <v>612</v>
          </cell>
          <cell r="F29">
            <v>222</v>
          </cell>
          <cell r="G29">
            <v>6420</v>
          </cell>
          <cell r="H29">
            <v>1924</v>
          </cell>
          <cell r="I29">
            <v>91</v>
          </cell>
          <cell r="J29">
            <v>4917</v>
          </cell>
          <cell r="N29">
            <v>774</v>
          </cell>
          <cell r="O29">
            <v>225</v>
          </cell>
          <cell r="P29">
            <v>8122</v>
          </cell>
          <cell r="Q29">
            <v>2676</v>
          </cell>
          <cell r="R29">
            <v>95</v>
          </cell>
          <cell r="S29">
            <v>6093</v>
          </cell>
          <cell r="W29">
            <v>978</v>
          </cell>
          <cell r="X29">
            <v>227</v>
          </cell>
          <cell r="Y29">
            <v>9504</v>
          </cell>
          <cell r="Z29">
            <v>3012</v>
          </cell>
          <cell r="AA29">
            <v>99</v>
          </cell>
          <cell r="AB29">
            <v>7404</v>
          </cell>
        </row>
        <row r="30">
          <cell r="E30">
            <v>628</v>
          </cell>
          <cell r="F30">
            <v>230</v>
          </cell>
          <cell r="G30">
            <v>6560</v>
          </cell>
          <cell r="H30">
            <v>1936</v>
          </cell>
          <cell r="I30">
            <v>94</v>
          </cell>
          <cell r="J30">
            <v>5045</v>
          </cell>
          <cell r="N30">
            <v>792</v>
          </cell>
          <cell r="O30">
            <v>233</v>
          </cell>
          <cell r="P30">
            <v>8282</v>
          </cell>
          <cell r="Q30">
            <v>2688</v>
          </cell>
          <cell r="R30">
            <v>98</v>
          </cell>
          <cell r="S30">
            <v>6234</v>
          </cell>
          <cell r="W30">
            <v>1000</v>
          </cell>
          <cell r="X30">
            <v>235</v>
          </cell>
          <cell r="Y30">
            <v>9664</v>
          </cell>
          <cell r="Z30">
            <v>3024</v>
          </cell>
          <cell r="AA30">
            <v>102</v>
          </cell>
          <cell r="AB30">
            <v>7565</v>
          </cell>
        </row>
        <row r="31">
          <cell r="E31">
            <v>644</v>
          </cell>
          <cell r="F31">
            <v>238</v>
          </cell>
          <cell r="G31">
            <v>6700</v>
          </cell>
          <cell r="H31">
            <v>1948</v>
          </cell>
          <cell r="I31">
            <v>97</v>
          </cell>
          <cell r="J31">
            <v>5172</v>
          </cell>
          <cell r="N31">
            <v>810</v>
          </cell>
          <cell r="O31">
            <v>241</v>
          </cell>
          <cell r="P31">
            <v>8442</v>
          </cell>
          <cell r="Q31">
            <v>2700</v>
          </cell>
          <cell r="R31">
            <v>101</v>
          </cell>
          <cell r="S31">
            <v>6375</v>
          </cell>
          <cell r="W31">
            <v>1022</v>
          </cell>
          <cell r="X31">
            <v>243</v>
          </cell>
          <cell r="Y31">
            <v>9824</v>
          </cell>
          <cell r="Z31">
            <v>3036</v>
          </cell>
          <cell r="AA31">
            <v>105</v>
          </cell>
          <cell r="AB31">
            <v>7727</v>
          </cell>
        </row>
        <row r="32">
          <cell r="E32">
            <v>660</v>
          </cell>
          <cell r="F32">
            <v>246</v>
          </cell>
          <cell r="G32">
            <v>6840</v>
          </cell>
          <cell r="H32">
            <v>1960</v>
          </cell>
          <cell r="I32">
            <v>100</v>
          </cell>
          <cell r="J32">
            <v>5299</v>
          </cell>
          <cell r="N32">
            <v>828</v>
          </cell>
          <cell r="O32">
            <v>249</v>
          </cell>
          <cell r="P32">
            <v>8602</v>
          </cell>
          <cell r="Q32">
            <v>2712</v>
          </cell>
          <cell r="R32">
            <v>104</v>
          </cell>
          <cell r="S32">
            <v>6517</v>
          </cell>
          <cell r="W32">
            <v>1044</v>
          </cell>
          <cell r="X32">
            <v>251</v>
          </cell>
          <cell r="Y32">
            <v>9984</v>
          </cell>
          <cell r="Z32">
            <v>3048</v>
          </cell>
          <cell r="AA32">
            <v>108</v>
          </cell>
          <cell r="AB32">
            <v>7888</v>
          </cell>
        </row>
        <row r="33">
          <cell r="E33">
            <v>676</v>
          </cell>
          <cell r="F33">
            <v>254</v>
          </cell>
          <cell r="G33">
            <v>6980</v>
          </cell>
          <cell r="H33">
            <v>1972</v>
          </cell>
          <cell r="I33">
            <v>103</v>
          </cell>
          <cell r="J33">
            <v>5426</v>
          </cell>
          <cell r="N33">
            <v>846</v>
          </cell>
          <cell r="O33">
            <v>257</v>
          </cell>
          <cell r="P33">
            <v>8762</v>
          </cell>
          <cell r="Q33">
            <v>2724</v>
          </cell>
          <cell r="R33">
            <v>107</v>
          </cell>
          <cell r="S33">
            <v>6658</v>
          </cell>
          <cell r="W33">
            <v>1066</v>
          </cell>
          <cell r="X33">
            <v>259</v>
          </cell>
          <cell r="Y33">
            <v>10144</v>
          </cell>
          <cell r="Z33">
            <v>3060</v>
          </cell>
          <cell r="AA33">
            <v>111</v>
          </cell>
          <cell r="AB33">
            <v>8049</v>
          </cell>
        </row>
        <row r="34">
          <cell r="E34">
            <v>692</v>
          </cell>
          <cell r="F34">
            <v>262</v>
          </cell>
          <cell r="G34">
            <v>7120</v>
          </cell>
          <cell r="H34">
            <v>1984</v>
          </cell>
          <cell r="I34">
            <v>106</v>
          </cell>
          <cell r="J34">
            <v>5554</v>
          </cell>
          <cell r="N34">
            <v>864</v>
          </cell>
          <cell r="O34">
            <v>265</v>
          </cell>
          <cell r="P34">
            <v>8922</v>
          </cell>
          <cell r="Q34">
            <v>2736</v>
          </cell>
          <cell r="R34">
            <v>110</v>
          </cell>
          <cell r="S34">
            <v>6799</v>
          </cell>
          <cell r="W34">
            <v>1088</v>
          </cell>
          <cell r="X34">
            <v>267</v>
          </cell>
          <cell r="Y34">
            <v>10304</v>
          </cell>
          <cell r="Z34">
            <v>3072</v>
          </cell>
          <cell r="AA34">
            <v>114</v>
          </cell>
          <cell r="AB34">
            <v>8210</v>
          </cell>
        </row>
        <row r="35">
          <cell r="E35">
            <v>708</v>
          </cell>
          <cell r="F35">
            <v>270</v>
          </cell>
          <cell r="G35">
            <v>7260</v>
          </cell>
          <cell r="H35">
            <v>1996</v>
          </cell>
          <cell r="I35">
            <v>109</v>
          </cell>
          <cell r="J35">
            <v>5681</v>
          </cell>
          <cell r="N35">
            <v>882</v>
          </cell>
          <cell r="O35">
            <v>273</v>
          </cell>
          <cell r="P35">
            <v>9082</v>
          </cell>
          <cell r="Q35">
            <v>2748</v>
          </cell>
          <cell r="R35">
            <v>113</v>
          </cell>
          <cell r="S35">
            <v>6940</v>
          </cell>
          <cell r="W35">
            <v>1110</v>
          </cell>
          <cell r="X35">
            <v>275</v>
          </cell>
          <cell r="Y35">
            <v>10464</v>
          </cell>
          <cell r="Z35">
            <v>3084</v>
          </cell>
          <cell r="AA35">
            <v>117</v>
          </cell>
          <cell r="AB35">
            <v>8371</v>
          </cell>
        </row>
        <row r="36">
          <cell r="E36">
            <v>724</v>
          </cell>
          <cell r="F36">
            <v>278</v>
          </cell>
          <cell r="G36">
            <v>7400</v>
          </cell>
          <cell r="H36">
            <v>2008</v>
          </cell>
          <cell r="I36">
            <v>112</v>
          </cell>
          <cell r="J36">
            <v>5808</v>
          </cell>
          <cell r="N36">
            <v>900</v>
          </cell>
          <cell r="O36">
            <v>281</v>
          </cell>
          <cell r="P36">
            <v>9242</v>
          </cell>
          <cell r="Q36">
            <v>2760</v>
          </cell>
          <cell r="R36">
            <v>116</v>
          </cell>
          <cell r="S36">
            <v>7082</v>
          </cell>
          <cell r="W36">
            <v>1132</v>
          </cell>
          <cell r="X36">
            <v>283</v>
          </cell>
          <cell r="Y36">
            <v>10624</v>
          </cell>
          <cell r="Z36">
            <v>3096</v>
          </cell>
          <cell r="AA36">
            <v>120</v>
          </cell>
          <cell r="AB36">
            <v>8533</v>
          </cell>
        </row>
        <row r="37">
          <cell r="E37">
            <v>740</v>
          </cell>
          <cell r="F37">
            <v>286</v>
          </cell>
          <cell r="G37">
            <v>7540</v>
          </cell>
          <cell r="H37">
            <v>2020</v>
          </cell>
          <cell r="I37">
            <v>115</v>
          </cell>
          <cell r="J37">
            <v>5935</v>
          </cell>
          <cell r="N37">
            <v>918</v>
          </cell>
          <cell r="O37">
            <v>289</v>
          </cell>
          <cell r="P37">
            <v>9402</v>
          </cell>
          <cell r="Q37">
            <v>2772</v>
          </cell>
          <cell r="R37">
            <v>119</v>
          </cell>
          <cell r="S37">
            <v>7223</v>
          </cell>
          <cell r="W37">
            <v>1154</v>
          </cell>
          <cell r="X37">
            <v>291</v>
          </cell>
          <cell r="Y37">
            <v>10784</v>
          </cell>
          <cell r="Z37">
            <v>3108</v>
          </cell>
          <cell r="AA37">
            <v>123</v>
          </cell>
          <cell r="AB37">
            <v>8694</v>
          </cell>
        </row>
        <row r="38">
          <cell r="E38">
            <v>756</v>
          </cell>
          <cell r="F38">
            <v>294</v>
          </cell>
          <cell r="G38">
            <v>7680</v>
          </cell>
          <cell r="H38">
            <v>2032</v>
          </cell>
          <cell r="I38">
            <v>118</v>
          </cell>
          <cell r="J38">
            <v>6063</v>
          </cell>
          <cell r="N38">
            <v>936</v>
          </cell>
          <cell r="O38">
            <v>297</v>
          </cell>
          <cell r="P38">
            <v>9562</v>
          </cell>
          <cell r="Q38">
            <v>2784</v>
          </cell>
          <cell r="R38">
            <v>122</v>
          </cell>
          <cell r="S38">
            <v>7364</v>
          </cell>
          <cell r="W38">
            <v>1176</v>
          </cell>
          <cell r="X38">
            <v>299</v>
          </cell>
          <cell r="Y38">
            <v>10944</v>
          </cell>
          <cell r="Z38">
            <v>3120</v>
          </cell>
          <cell r="AA38">
            <v>126</v>
          </cell>
          <cell r="AB38">
            <v>8855</v>
          </cell>
        </row>
        <row r="39">
          <cell r="E39">
            <v>772</v>
          </cell>
          <cell r="F39">
            <v>302</v>
          </cell>
          <cell r="G39">
            <v>7820</v>
          </cell>
          <cell r="H39">
            <v>2044</v>
          </cell>
          <cell r="I39">
            <v>121</v>
          </cell>
          <cell r="J39">
            <v>6190</v>
          </cell>
          <cell r="N39">
            <v>954</v>
          </cell>
          <cell r="O39">
            <v>305</v>
          </cell>
          <cell r="P39">
            <v>9722</v>
          </cell>
          <cell r="Q39">
            <v>2796</v>
          </cell>
          <cell r="R39">
            <v>125</v>
          </cell>
          <cell r="S39">
            <v>7505</v>
          </cell>
          <cell r="W39">
            <v>1198</v>
          </cell>
          <cell r="X39">
            <v>307</v>
          </cell>
          <cell r="Y39">
            <v>11104</v>
          </cell>
          <cell r="Z39">
            <v>3132</v>
          </cell>
          <cell r="AA39">
            <v>129</v>
          </cell>
          <cell r="AB39">
            <v>9016</v>
          </cell>
        </row>
        <row r="40">
          <cell r="E40">
            <v>788</v>
          </cell>
          <cell r="F40">
            <v>310</v>
          </cell>
          <cell r="G40">
            <v>7960</v>
          </cell>
          <cell r="H40">
            <v>2056</v>
          </cell>
          <cell r="I40">
            <v>124</v>
          </cell>
          <cell r="J40">
            <v>6317</v>
          </cell>
          <cell r="N40">
            <v>972</v>
          </cell>
          <cell r="O40">
            <v>313</v>
          </cell>
          <cell r="P40">
            <v>9882</v>
          </cell>
          <cell r="Q40">
            <v>2808</v>
          </cell>
          <cell r="R40">
            <v>128</v>
          </cell>
          <cell r="S40">
            <v>7647</v>
          </cell>
          <cell r="W40">
            <v>1220</v>
          </cell>
          <cell r="X40">
            <v>315</v>
          </cell>
          <cell r="Y40">
            <v>11264</v>
          </cell>
          <cell r="Z40">
            <v>3144</v>
          </cell>
          <cell r="AA40">
            <v>132</v>
          </cell>
          <cell r="AB40">
            <v>9178</v>
          </cell>
        </row>
        <row r="41">
          <cell r="E41">
            <v>804</v>
          </cell>
          <cell r="F41">
            <v>318</v>
          </cell>
          <cell r="G41">
            <v>8100</v>
          </cell>
          <cell r="H41">
            <v>2068</v>
          </cell>
          <cell r="I41">
            <v>127</v>
          </cell>
          <cell r="J41">
            <v>6444</v>
          </cell>
          <cell r="N41">
            <v>990</v>
          </cell>
          <cell r="O41">
            <v>321</v>
          </cell>
          <cell r="P41">
            <v>10042</v>
          </cell>
          <cell r="Q41">
            <v>2820</v>
          </cell>
          <cell r="R41">
            <v>131</v>
          </cell>
          <cell r="S41">
            <v>7788</v>
          </cell>
          <cell r="W41">
            <v>1242</v>
          </cell>
          <cell r="X41">
            <v>323</v>
          </cell>
          <cell r="Y41">
            <v>11424</v>
          </cell>
          <cell r="Z41">
            <v>3156</v>
          </cell>
          <cell r="AA41">
            <v>135</v>
          </cell>
          <cell r="AB41">
            <v>9339</v>
          </cell>
        </row>
        <row r="42">
          <cell r="E42">
            <v>820</v>
          </cell>
          <cell r="F42">
            <v>326</v>
          </cell>
          <cell r="G42">
            <v>8240</v>
          </cell>
          <cell r="H42">
            <v>2080</v>
          </cell>
          <cell r="I42">
            <v>130</v>
          </cell>
          <cell r="J42">
            <v>6572</v>
          </cell>
          <cell r="N42">
            <v>1008</v>
          </cell>
          <cell r="O42">
            <v>329</v>
          </cell>
          <cell r="P42">
            <v>10202</v>
          </cell>
          <cell r="Q42">
            <v>2832</v>
          </cell>
          <cell r="R42">
            <v>134</v>
          </cell>
          <cell r="S42">
            <v>7929</v>
          </cell>
          <cell r="W42">
            <v>1264</v>
          </cell>
          <cell r="X42">
            <v>331</v>
          </cell>
          <cell r="Y42">
            <v>11584</v>
          </cell>
          <cell r="Z42">
            <v>3168</v>
          </cell>
          <cell r="AA42">
            <v>138</v>
          </cell>
          <cell r="AB42">
            <v>9500</v>
          </cell>
        </row>
        <row r="43">
          <cell r="E43">
            <v>836</v>
          </cell>
          <cell r="F43">
            <v>334</v>
          </cell>
          <cell r="G43">
            <v>8380</v>
          </cell>
          <cell r="H43">
            <v>2092</v>
          </cell>
          <cell r="I43">
            <v>133</v>
          </cell>
          <cell r="J43">
            <v>6699</v>
          </cell>
          <cell r="N43">
            <v>1026</v>
          </cell>
          <cell r="O43">
            <v>337</v>
          </cell>
          <cell r="P43">
            <v>10362</v>
          </cell>
          <cell r="Q43">
            <v>2844</v>
          </cell>
          <cell r="R43">
            <v>137</v>
          </cell>
          <cell r="S43">
            <v>8070</v>
          </cell>
          <cell r="W43">
            <v>1286</v>
          </cell>
          <cell r="X43">
            <v>339</v>
          </cell>
          <cell r="Y43">
            <v>11744</v>
          </cell>
          <cell r="Z43">
            <v>3180</v>
          </cell>
          <cell r="AA43">
            <v>141</v>
          </cell>
          <cell r="AB43">
            <v>9661</v>
          </cell>
        </row>
        <row r="44">
          <cell r="E44">
            <v>852</v>
          </cell>
          <cell r="F44">
            <v>342</v>
          </cell>
          <cell r="G44">
            <v>8520</v>
          </cell>
          <cell r="H44">
            <v>2104</v>
          </cell>
          <cell r="I44">
            <v>136</v>
          </cell>
          <cell r="J44">
            <v>6826</v>
          </cell>
          <cell r="N44">
            <v>1044</v>
          </cell>
          <cell r="O44">
            <v>345</v>
          </cell>
          <cell r="P44">
            <v>10522</v>
          </cell>
          <cell r="Q44">
            <v>2856</v>
          </cell>
          <cell r="R44">
            <v>140</v>
          </cell>
          <cell r="S44">
            <v>8212</v>
          </cell>
          <cell r="W44">
            <v>1308</v>
          </cell>
          <cell r="X44">
            <v>347</v>
          </cell>
          <cell r="Y44">
            <v>11904</v>
          </cell>
          <cell r="Z44">
            <v>3192</v>
          </cell>
          <cell r="AA44">
            <v>144</v>
          </cell>
          <cell r="AB44">
            <v>9823</v>
          </cell>
        </row>
        <row r="45">
          <cell r="E45">
            <v>868</v>
          </cell>
          <cell r="F45">
            <v>350</v>
          </cell>
          <cell r="G45">
            <v>8660</v>
          </cell>
          <cell r="H45">
            <v>2116</v>
          </cell>
          <cell r="I45">
            <v>139</v>
          </cell>
          <cell r="J45">
            <v>6953</v>
          </cell>
          <cell r="N45">
            <v>1062</v>
          </cell>
          <cell r="O45">
            <v>353</v>
          </cell>
          <cell r="P45">
            <v>10682</v>
          </cell>
          <cell r="Q45">
            <v>2868</v>
          </cell>
          <cell r="R45">
            <v>143</v>
          </cell>
          <cell r="S45">
            <v>8353</v>
          </cell>
          <cell r="W45">
            <v>1330</v>
          </cell>
          <cell r="X45">
            <v>355</v>
          </cell>
          <cell r="Y45">
            <v>12064</v>
          </cell>
          <cell r="Z45">
            <v>3204</v>
          </cell>
          <cell r="AA45">
            <v>147</v>
          </cell>
          <cell r="AB45">
            <v>9984</v>
          </cell>
        </row>
        <row r="46">
          <cell r="E46">
            <v>884</v>
          </cell>
          <cell r="F46">
            <v>358</v>
          </cell>
          <cell r="G46">
            <v>8800</v>
          </cell>
          <cell r="H46">
            <v>2128</v>
          </cell>
          <cell r="I46">
            <v>142</v>
          </cell>
          <cell r="J46">
            <v>7081</v>
          </cell>
          <cell r="N46">
            <v>1080</v>
          </cell>
          <cell r="O46">
            <v>361</v>
          </cell>
          <cell r="P46">
            <v>10842</v>
          </cell>
          <cell r="Q46">
            <v>2880</v>
          </cell>
          <cell r="R46">
            <v>146</v>
          </cell>
          <cell r="S46">
            <v>8494</v>
          </cell>
          <cell r="W46">
            <v>1352</v>
          </cell>
          <cell r="X46">
            <v>363</v>
          </cell>
          <cell r="Y46">
            <v>12224</v>
          </cell>
          <cell r="Z46">
            <v>3216</v>
          </cell>
          <cell r="AA46">
            <v>150</v>
          </cell>
          <cell r="AB46">
            <v>10145</v>
          </cell>
        </row>
        <row r="47">
          <cell r="E47">
            <v>900</v>
          </cell>
          <cell r="F47">
            <v>366</v>
          </cell>
          <cell r="G47">
            <v>8940</v>
          </cell>
          <cell r="H47">
            <v>2140</v>
          </cell>
          <cell r="I47">
            <v>145</v>
          </cell>
          <cell r="J47">
            <v>7208</v>
          </cell>
          <cell r="N47">
            <v>1098</v>
          </cell>
          <cell r="O47">
            <v>369</v>
          </cell>
          <cell r="P47">
            <v>11002</v>
          </cell>
          <cell r="Q47">
            <v>2892</v>
          </cell>
          <cell r="R47">
            <v>149</v>
          </cell>
          <cell r="S47">
            <v>8635</v>
          </cell>
          <cell r="W47">
            <v>1374</v>
          </cell>
          <cell r="X47">
            <v>371</v>
          </cell>
          <cell r="Y47">
            <v>12384</v>
          </cell>
          <cell r="Z47">
            <v>3228</v>
          </cell>
          <cell r="AA47">
            <v>153</v>
          </cell>
          <cell r="AB47">
            <v>10306</v>
          </cell>
        </row>
        <row r="48">
          <cell r="E48">
            <v>916</v>
          </cell>
          <cell r="F48">
            <v>374</v>
          </cell>
          <cell r="G48">
            <v>9080</v>
          </cell>
          <cell r="H48">
            <v>2152</v>
          </cell>
          <cell r="I48">
            <v>148</v>
          </cell>
          <cell r="J48">
            <v>7335</v>
          </cell>
          <cell r="N48">
            <v>1116</v>
          </cell>
          <cell r="O48">
            <v>377</v>
          </cell>
          <cell r="P48">
            <v>11162</v>
          </cell>
          <cell r="Q48">
            <v>2904</v>
          </cell>
          <cell r="R48">
            <v>152</v>
          </cell>
          <cell r="S48">
            <v>8776</v>
          </cell>
          <cell r="W48">
            <v>1396</v>
          </cell>
          <cell r="X48">
            <v>379</v>
          </cell>
          <cell r="Y48">
            <v>12544</v>
          </cell>
          <cell r="Z48">
            <v>3240</v>
          </cell>
          <cell r="AA48">
            <v>156</v>
          </cell>
          <cell r="AB48">
            <v>10468</v>
          </cell>
        </row>
        <row r="49">
          <cell r="E49">
            <v>932</v>
          </cell>
          <cell r="F49">
            <v>382</v>
          </cell>
          <cell r="G49">
            <v>9220</v>
          </cell>
          <cell r="H49">
            <v>2164</v>
          </cell>
          <cell r="I49">
            <v>151</v>
          </cell>
          <cell r="J49">
            <v>7462</v>
          </cell>
          <cell r="N49">
            <v>1134</v>
          </cell>
          <cell r="O49">
            <v>385</v>
          </cell>
          <cell r="P49">
            <v>11322</v>
          </cell>
          <cell r="Q49">
            <v>2916</v>
          </cell>
          <cell r="R49">
            <v>155</v>
          </cell>
          <cell r="S49">
            <v>8918</v>
          </cell>
          <cell r="W49">
            <v>1418</v>
          </cell>
          <cell r="X49">
            <v>387</v>
          </cell>
          <cell r="Y49">
            <v>12704</v>
          </cell>
          <cell r="Z49">
            <v>3252</v>
          </cell>
          <cell r="AA49">
            <v>159</v>
          </cell>
          <cell r="AB49">
            <v>10629</v>
          </cell>
        </row>
        <row r="50">
          <cell r="E50">
            <v>948</v>
          </cell>
          <cell r="F50">
            <v>390</v>
          </cell>
          <cell r="G50">
            <v>9360</v>
          </cell>
          <cell r="H50">
            <v>2176</v>
          </cell>
          <cell r="I50">
            <v>154</v>
          </cell>
          <cell r="J50">
            <v>7590</v>
          </cell>
          <cell r="N50">
            <v>1152</v>
          </cell>
          <cell r="O50">
            <v>393</v>
          </cell>
          <cell r="P50">
            <v>11482</v>
          </cell>
          <cell r="Q50">
            <v>2928</v>
          </cell>
          <cell r="R50">
            <v>158</v>
          </cell>
          <cell r="S50">
            <v>9059</v>
          </cell>
          <cell r="W50">
            <v>1440</v>
          </cell>
          <cell r="X50">
            <v>395</v>
          </cell>
          <cell r="Y50">
            <v>12864</v>
          </cell>
          <cell r="Z50">
            <v>3264</v>
          </cell>
          <cell r="AA50">
            <v>162</v>
          </cell>
          <cell r="AB50">
            <v>10790</v>
          </cell>
        </row>
        <row r="51">
          <cell r="E51">
            <v>964</v>
          </cell>
          <cell r="F51">
            <v>398</v>
          </cell>
          <cell r="G51">
            <v>9500</v>
          </cell>
          <cell r="H51">
            <v>2188</v>
          </cell>
          <cell r="I51">
            <v>157</v>
          </cell>
          <cell r="J51">
            <v>7717</v>
          </cell>
          <cell r="N51">
            <v>1170</v>
          </cell>
          <cell r="O51">
            <v>401</v>
          </cell>
          <cell r="P51">
            <v>11642</v>
          </cell>
          <cell r="Q51">
            <v>2940</v>
          </cell>
          <cell r="R51">
            <v>161</v>
          </cell>
          <cell r="S51">
            <v>9200</v>
          </cell>
          <cell r="W51">
            <v>1462</v>
          </cell>
          <cell r="X51">
            <v>403</v>
          </cell>
          <cell r="Y51">
            <v>13024</v>
          </cell>
          <cell r="Z51">
            <v>3276</v>
          </cell>
          <cell r="AA51">
            <v>165</v>
          </cell>
          <cell r="AB51">
            <v>10951</v>
          </cell>
        </row>
      </sheetData>
      <sheetData sheetId="7">
        <row r="2">
          <cell r="E2">
            <v>240</v>
          </cell>
          <cell r="F2">
            <v>8</v>
          </cell>
          <cell r="G2">
            <v>3600</v>
          </cell>
          <cell r="H2">
            <v>2240</v>
          </cell>
          <cell r="I2">
            <v>14</v>
          </cell>
          <cell r="J2">
            <v>1995</v>
          </cell>
          <cell r="N2">
            <v>432</v>
          </cell>
          <cell r="O2">
            <v>11</v>
          </cell>
          <cell r="P2">
            <v>4646</v>
          </cell>
          <cell r="Q2">
            <v>2509</v>
          </cell>
          <cell r="R2">
            <v>15</v>
          </cell>
          <cell r="S2">
            <v>3176</v>
          </cell>
          <cell r="W2">
            <v>576</v>
          </cell>
          <cell r="X2">
            <v>13</v>
          </cell>
          <cell r="Y2">
            <v>7488</v>
          </cell>
          <cell r="Z2">
            <v>3226</v>
          </cell>
          <cell r="AA2">
            <v>20</v>
          </cell>
          <cell r="AB2">
            <v>4488</v>
          </cell>
        </row>
        <row r="3">
          <cell r="E3">
            <v>260</v>
          </cell>
          <cell r="F3">
            <v>18</v>
          </cell>
          <cell r="G3">
            <v>3780</v>
          </cell>
          <cell r="H3">
            <v>2254</v>
          </cell>
          <cell r="I3">
            <v>18</v>
          </cell>
          <cell r="J3">
            <v>2155</v>
          </cell>
          <cell r="N3">
            <v>456</v>
          </cell>
          <cell r="O3">
            <v>21</v>
          </cell>
          <cell r="P3">
            <v>4846</v>
          </cell>
          <cell r="Q3">
            <v>2523</v>
          </cell>
          <cell r="R3">
            <v>19</v>
          </cell>
          <cell r="W3">
            <v>602</v>
          </cell>
          <cell r="X3">
            <v>23</v>
          </cell>
          <cell r="Y3">
            <v>7708</v>
          </cell>
          <cell r="Z3">
            <v>3240</v>
          </cell>
          <cell r="AA3">
            <v>24</v>
          </cell>
          <cell r="AB3">
            <v>4686</v>
          </cell>
        </row>
        <row r="4">
          <cell r="E4">
            <v>280</v>
          </cell>
          <cell r="F4">
            <v>28</v>
          </cell>
          <cell r="G4">
            <v>3960</v>
          </cell>
          <cell r="H4">
            <v>2268</v>
          </cell>
          <cell r="I4">
            <v>22</v>
          </cell>
          <cell r="J4">
            <v>2315</v>
          </cell>
          <cell r="N4">
            <v>480</v>
          </cell>
          <cell r="O4">
            <v>31</v>
          </cell>
          <cell r="P4">
            <v>5046</v>
          </cell>
          <cell r="Q4">
            <v>2537</v>
          </cell>
          <cell r="R4">
            <v>23</v>
          </cell>
          <cell r="W4">
            <v>628</v>
          </cell>
          <cell r="X4">
            <v>33</v>
          </cell>
          <cell r="Y4">
            <v>7928</v>
          </cell>
          <cell r="Z4">
            <v>3254</v>
          </cell>
          <cell r="AA4">
            <v>28</v>
          </cell>
          <cell r="AB4">
            <v>4885</v>
          </cell>
        </row>
        <row r="5">
          <cell r="E5">
            <v>300</v>
          </cell>
          <cell r="F5">
            <v>38</v>
          </cell>
          <cell r="G5">
            <v>4140</v>
          </cell>
          <cell r="H5">
            <v>2282</v>
          </cell>
          <cell r="I5">
            <v>26</v>
          </cell>
          <cell r="J5">
            <v>2476</v>
          </cell>
          <cell r="N5">
            <v>504</v>
          </cell>
          <cell r="O5">
            <v>41</v>
          </cell>
          <cell r="P5">
            <v>5246</v>
          </cell>
          <cell r="Q5">
            <v>2551</v>
          </cell>
          <cell r="R5">
            <v>27</v>
          </cell>
          <cell r="W5">
            <v>654</v>
          </cell>
          <cell r="X5">
            <v>43</v>
          </cell>
          <cell r="Y5">
            <v>8148</v>
          </cell>
          <cell r="Z5">
            <v>3268</v>
          </cell>
          <cell r="AA5">
            <v>32</v>
          </cell>
          <cell r="AB5">
            <v>5083</v>
          </cell>
        </row>
        <row r="6">
          <cell r="E6">
            <v>320</v>
          </cell>
          <cell r="F6">
            <v>48</v>
          </cell>
          <cell r="G6">
            <v>4320</v>
          </cell>
          <cell r="H6">
            <v>2296</v>
          </cell>
          <cell r="I6">
            <v>30</v>
          </cell>
          <cell r="J6">
            <v>2636</v>
          </cell>
          <cell r="N6">
            <v>528</v>
          </cell>
          <cell r="O6">
            <v>51</v>
          </cell>
          <cell r="P6">
            <v>5446</v>
          </cell>
          <cell r="Q6">
            <v>2565</v>
          </cell>
          <cell r="R6">
            <v>31</v>
          </cell>
          <cell r="W6">
            <v>680</v>
          </cell>
          <cell r="X6">
            <v>53</v>
          </cell>
          <cell r="Y6">
            <v>8368</v>
          </cell>
          <cell r="Z6">
            <v>3282</v>
          </cell>
          <cell r="AA6">
            <v>36</v>
          </cell>
          <cell r="AB6">
            <v>5281</v>
          </cell>
        </row>
        <row r="7">
          <cell r="E7">
            <v>340</v>
          </cell>
          <cell r="F7">
            <v>58</v>
          </cell>
          <cell r="G7">
            <v>4500</v>
          </cell>
          <cell r="H7">
            <v>2310</v>
          </cell>
          <cell r="I7">
            <v>34</v>
          </cell>
          <cell r="J7">
            <v>2796</v>
          </cell>
          <cell r="N7">
            <v>552</v>
          </cell>
          <cell r="O7">
            <v>61</v>
          </cell>
          <cell r="P7">
            <v>5646</v>
          </cell>
          <cell r="Q7">
            <v>2579</v>
          </cell>
          <cell r="R7">
            <v>35</v>
          </cell>
          <cell r="W7">
            <v>706</v>
          </cell>
          <cell r="X7">
            <v>63</v>
          </cell>
          <cell r="Y7">
            <v>8588</v>
          </cell>
          <cell r="Z7">
            <v>3296</v>
          </cell>
          <cell r="AA7">
            <v>40</v>
          </cell>
          <cell r="AB7">
            <v>5480</v>
          </cell>
        </row>
        <row r="8">
          <cell r="E8">
            <v>360</v>
          </cell>
          <cell r="F8">
            <v>68</v>
          </cell>
          <cell r="G8">
            <v>4680</v>
          </cell>
          <cell r="H8">
            <v>2324</v>
          </cell>
          <cell r="I8">
            <v>38</v>
          </cell>
          <cell r="J8">
            <v>2956</v>
          </cell>
          <cell r="N8">
            <v>576</v>
          </cell>
          <cell r="O8">
            <v>71</v>
          </cell>
          <cell r="P8">
            <v>5846</v>
          </cell>
          <cell r="Q8">
            <v>2593</v>
          </cell>
          <cell r="R8">
            <v>39</v>
          </cell>
          <cell r="W8">
            <v>732</v>
          </cell>
          <cell r="X8">
            <v>73</v>
          </cell>
          <cell r="Y8">
            <v>8808</v>
          </cell>
          <cell r="Z8">
            <v>3310</v>
          </cell>
          <cell r="AA8">
            <v>44</v>
          </cell>
          <cell r="AB8">
            <v>5678</v>
          </cell>
        </row>
        <row r="9">
          <cell r="E9">
            <v>380</v>
          </cell>
          <cell r="F9">
            <v>78</v>
          </cell>
          <cell r="G9">
            <v>4860</v>
          </cell>
          <cell r="H9">
            <v>2338</v>
          </cell>
          <cell r="I9">
            <v>42</v>
          </cell>
          <cell r="J9">
            <v>3117</v>
          </cell>
          <cell r="N9">
            <v>600</v>
          </cell>
          <cell r="O9">
            <v>81</v>
          </cell>
          <cell r="P9">
            <v>6046</v>
          </cell>
          <cell r="Q9">
            <v>2607</v>
          </cell>
          <cell r="R9">
            <v>43</v>
          </cell>
          <cell r="W9">
            <v>758</v>
          </cell>
          <cell r="X9">
            <v>83</v>
          </cell>
          <cell r="Y9">
            <v>9028</v>
          </cell>
          <cell r="Z9">
            <v>3324</v>
          </cell>
          <cell r="AA9">
            <v>48</v>
          </cell>
          <cell r="AB9">
            <v>5876</v>
          </cell>
        </row>
        <row r="10">
          <cell r="E10">
            <v>400</v>
          </cell>
          <cell r="F10">
            <v>88</v>
          </cell>
          <cell r="G10">
            <v>5040</v>
          </cell>
          <cell r="H10">
            <v>2352</v>
          </cell>
          <cell r="I10">
            <v>46</v>
          </cell>
          <cell r="J10">
            <v>3277</v>
          </cell>
          <cell r="N10">
            <v>624</v>
          </cell>
          <cell r="O10">
            <v>91</v>
          </cell>
          <cell r="P10">
            <v>6246</v>
          </cell>
          <cell r="Q10">
            <v>2621</v>
          </cell>
          <cell r="R10">
            <v>47</v>
          </cell>
          <cell r="W10">
            <v>784</v>
          </cell>
          <cell r="X10">
            <v>93</v>
          </cell>
          <cell r="Y10">
            <v>9248</v>
          </cell>
          <cell r="Z10">
            <v>3338</v>
          </cell>
          <cell r="AA10">
            <v>52</v>
          </cell>
          <cell r="AB10">
            <v>6074</v>
          </cell>
        </row>
        <row r="11">
          <cell r="E11">
            <v>420</v>
          </cell>
          <cell r="F11">
            <v>98</v>
          </cell>
          <cell r="G11">
            <v>5220</v>
          </cell>
          <cell r="H11">
            <v>2366</v>
          </cell>
          <cell r="I11">
            <v>50</v>
          </cell>
          <cell r="J11">
            <v>3437</v>
          </cell>
          <cell r="N11">
            <v>648</v>
          </cell>
          <cell r="O11">
            <v>101</v>
          </cell>
          <cell r="P11">
            <v>6446</v>
          </cell>
          <cell r="Q11">
            <v>2635</v>
          </cell>
          <cell r="R11">
            <v>51</v>
          </cell>
          <cell r="W11">
            <v>810</v>
          </cell>
          <cell r="X11">
            <v>103</v>
          </cell>
          <cell r="Y11">
            <v>9468</v>
          </cell>
          <cell r="Z11">
            <v>3352</v>
          </cell>
          <cell r="AA11">
            <v>56</v>
          </cell>
          <cell r="AB11">
            <v>6273</v>
          </cell>
        </row>
        <row r="12">
          <cell r="E12">
            <v>440</v>
          </cell>
          <cell r="F12">
            <v>108</v>
          </cell>
          <cell r="G12">
            <v>5400</v>
          </cell>
          <cell r="H12">
            <v>2380</v>
          </cell>
          <cell r="I12">
            <v>54</v>
          </cell>
          <cell r="J12">
            <v>3598</v>
          </cell>
          <cell r="N12">
            <v>672</v>
          </cell>
          <cell r="O12">
            <v>111</v>
          </cell>
          <cell r="P12">
            <v>6646</v>
          </cell>
          <cell r="Q12">
            <v>2649</v>
          </cell>
          <cell r="R12">
            <v>55</v>
          </cell>
          <cell r="W12">
            <v>836</v>
          </cell>
          <cell r="X12">
            <v>113</v>
          </cell>
          <cell r="Y12">
            <v>9688</v>
          </cell>
          <cell r="Z12">
            <v>3366</v>
          </cell>
          <cell r="AA12">
            <v>60</v>
          </cell>
          <cell r="AB12">
            <v>6471</v>
          </cell>
        </row>
        <row r="13">
          <cell r="E13">
            <v>460</v>
          </cell>
          <cell r="F13">
            <v>118</v>
          </cell>
          <cell r="G13">
            <v>5580</v>
          </cell>
          <cell r="H13">
            <v>2394</v>
          </cell>
          <cell r="I13">
            <v>58</v>
          </cell>
          <cell r="J13">
            <v>3758</v>
          </cell>
          <cell r="N13">
            <v>696</v>
          </cell>
          <cell r="O13">
            <v>121</v>
          </cell>
          <cell r="P13">
            <v>6846</v>
          </cell>
          <cell r="Q13">
            <v>2663</v>
          </cell>
          <cell r="R13">
            <v>59</v>
          </cell>
          <cell r="W13">
            <v>862</v>
          </cell>
          <cell r="X13">
            <v>123</v>
          </cell>
          <cell r="Y13">
            <v>9908</v>
          </cell>
          <cell r="Z13">
            <v>3380</v>
          </cell>
          <cell r="AA13">
            <v>64</v>
          </cell>
          <cell r="AB13">
            <v>6669</v>
          </cell>
        </row>
        <row r="14">
          <cell r="E14">
            <v>480</v>
          </cell>
          <cell r="F14">
            <v>128</v>
          </cell>
          <cell r="G14">
            <v>5760</v>
          </cell>
          <cell r="H14">
            <v>2408</v>
          </cell>
          <cell r="I14">
            <v>62</v>
          </cell>
          <cell r="J14">
            <v>3918</v>
          </cell>
          <cell r="N14">
            <v>720</v>
          </cell>
          <cell r="O14">
            <v>131</v>
          </cell>
          <cell r="P14">
            <v>7046</v>
          </cell>
          <cell r="Q14">
            <v>2677</v>
          </cell>
          <cell r="R14">
            <v>63</v>
          </cell>
          <cell r="W14">
            <v>888</v>
          </cell>
          <cell r="X14">
            <v>133</v>
          </cell>
          <cell r="Y14">
            <v>10128</v>
          </cell>
          <cell r="Z14">
            <v>3394</v>
          </cell>
          <cell r="AA14">
            <v>68</v>
          </cell>
          <cell r="AB14">
            <v>6867</v>
          </cell>
        </row>
        <row r="15">
          <cell r="E15">
            <v>500</v>
          </cell>
          <cell r="F15">
            <v>138</v>
          </cell>
          <cell r="G15">
            <v>5940</v>
          </cell>
          <cell r="H15">
            <v>2422</v>
          </cell>
          <cell r="I15">
            <v>66</v>
          </cell>
          <cell r="J15">
            <v>4078</v>
          </cell>
          <cell r="N15">
            <v>744</v>
          </cell>
          <cell r="O15">
            <v>141</v>
          </cell>
          <cell r="P15">
            <v>7246</v>
          </cell>
          <cell r="Q15">
            <v>2691</v>
          </cell>
          <cell r="R15">
            <v>67</v>
          </cell>
          <cell r="W15">
            <v>914</v>
          </cell>
          <cell r="X15">
            <v>143</v>
          </cell>
          <cell r="Y15">
            <v>10348</v>
          </cell>
          <cell r="Z15">
            <v>3408</v>
          </cell>
          <cell r="AA15">
            <v>72</v>
          </cell>
          <cell r="AB15">
            <v>7066</v>
          </cell>
        </row>
        <row r="16">
          <cell r="E16">
            <v>520</v>
          </cell>
          <cell r="F16">
            <v>148</v>
          </cell>
          <cell r="G16">
            <v>6120</v>
          </cell>
          <cell r="H16">
            <v>2436</v>
          </cell>
          <cell r="I16">
            <v>70</v>
          </cell>
          <cell r="J16">
            <v>4239</v>
          </cell>
          <cell r="N16">
            <v>768</v>
          </cell>
          <cell r="O16">
            <v>151</v>
          </cell>
          <cell r="P16">
            <v>7446</v>
          </cell>
          <cell r="Q16">
            <v>2705</v>
          </cell>
          <cell r="R16">
            <v>71</v>
          </cell>
          <cell r="W16">
            <v>940</v>
          </cell>
          <cell r="X16">
            <v>153</v>
          </cell>
          <cell r="Y16">
            <v>10568</v>
          </cell>
          <cell r="Z16">
            <v>3422</v>
          </cell>
          <cell r="AA16">
            <v>76</v>
          </cell>
          <cell r="AB16">
            <v>7264</v>
          </cell>
        </row>
        <row r="17">
          <cell r="E17">
            <v>540</v>
          </cell>
          <cell r="F17">
            <v>158</v>
          </cell>
          <cell r="G17">
            <v>6300</v>
          </cell>
          <cell r="H17">
            <v>2450</v>
          </cell>
          <cell r="I17">
            <v>74</v>
          </cell>
          <cell r="J17">
            <v>4399</v>
          </cell>
          <cell r="N17">
            <v>792</v>
          </cell>
          <cell r="O17">
            <v>161</v>
          </cell>
          <cell r="P17">
            <v>7646</v>
          </cell>
          <cell r="Q17">
            <v>2719</v>
          </cell>
          <cell r="R17">
            <v>75</v>
          </cell>
          <cell r="W17">
            <v>966</v>
          </cell>
          <cell r="X17">
            <v>163</v>
          </cell>
          <cell r="Y17">
            <v>10788</v>
          </cell>
          <cell r="Z17">
            <v>3436</v>
          </cell>
          <cell r="AA17">
            <v>80</v>
          </cell>
          <cell r="AB17">
            <v>7462</v>
          </cell>
        </row>
        <row r="18">
          <cell r="E18">
            <v>560</v>
          </cell>
          <cell r="F18">
            <v>168</v>
          </cell>
          <cell r="G18">
            <v>6480</v>
          </cell>
          <cell r="H18">
            <v>2464</v>
          </cell>
          <cell r="I18">
            <v>78</v>
          </cell>
          <cell r="J18">
            <v>4559</v>
          </cell>
          <cell r="N18">
            <v>816</v>
          </cell>
          <cell r="O18">
            <v>171</v>
          </cell>
          <cell r="P18">
            <v>7846</v>
          </cell>
          <cell r="Q18">
            <v>2733</v>
          </cell>
          <cell r="R18">
            <v>79</v>
          </cell>
          <cell r="W18">
            <v>992</v>
          </cell>
          <cell r="X18">
            <v>173</v>
          </cell>
          <cell r="Y18">
            <v>11008</v>
          </cell>
          <cell r="Z18">
            <v>3450</v>
          </cell>
          <cell r="AA18">
            <v>84</v>
          </cell>
          <cell r="AB18">
            <v>7661</v>
          </cell>
        </row>
        <row r="19">
          <cell r="E19">
            <v>580</v>
          </cell>
          <cell r="F19">
            <v>178</v>
          </cell>
          <cell r="G19">
            <v>6660</v>
          </cell>
          <cell r="H19">
            <v>2478</v>
          </cell>
          <cell r="I19">
            <v>82</v>
          </cell>
          <cell r="J19">
            <v>4720</v>
          </cell>
          <cell r="N19">
            <v>840</v>
          </cell>
          <cell r="O19">
            <v>181</v>
          </cell>
          <cell r="P19">
            <v>8046</v>
          </cell>
          <cell r="Q19">
            <v>2747</v>
          </cell>
          <cell r="R19">
            <v>83</v>
          </cell>
          <cell r="W19">
            <v>1018</v>
          </cell>
          <cell r="X19">
            <v>183</v>
          </cell>
          <cell r="Y19">
            <v>11228</v>
          </cell>
          <cell r="Z19">
            <v>3464</v>
          </cell>
          <cell r="AA19">
            <v>88</v>
          </cell>
          <cell r="AB19">
            <v>7859</v>
          </cell>
        </row>
        <row r="20">
          <cell r="E20">
            <v>600</v>
          </cell>
          <cell r="F20">
            <v>188</v>
          </cell>
          <cell r="G20">
            <v>6840</v>
          </cell>
          <cell r="H20">
            <v>2492</v>
          </cell>
          <cell r="I20">
            <v>86</v>
          </cell>
          <cell r="J20">
            <v>4880</v>
          </cell>
          <cell r="N20">
            <v>864</v>
          </cell>
          <cell r="O20">
            <v>191</v>
          </cell>
          <cell r="P20">
            <v>8246</v>
          </cell>
          <cell r="Q20">
            <v>2761</v>
          </cell>
          <cell r="R20">
            <v>87</v>
          </cell>
          <cell r="W20">
            <v>1044</v>
          </cell>
          <cell r="X20">
            <v>193</v>
          </cell>
          <cell r="Y20">
            <v>11448</v>
          </cell>
          <cell r="Z20">
            <v>3478</v>
          </cell>
          <cell r="AA20">
            <v>92</v>
          </cell>
          <cell r="AB20">
            <v>8057</v>
          </cell>
        </row>
        <row r="21">
          <cell r="E21">
            <v>620</v>
          </cell>
          <cell r="F21">
            <v>198</v>
          </cell>
          <cell r="G21">
            <v>7020</v>
          </cell>
          <cell r="H21">
            <v>2506</v>
          </cell>
          <cell r="I21">
            <v>90</v>
          </cell>
          <cell r="J21">
            <v>5040</v>
          </cell>
          <cell r="N21">
            <v>888</v>
          </cell>
          <cell r="O21">
            <v>201</v>
          </cell>
          <cell r="P21">
            <v>8446</v>
          </cell>
          <cell r="Q21">
            <v>2775</v>
          </cell>
          <cell r="R21">
            <v>91</v>
          </cell>
          <cell r="W21">
            <v>1070</v>
          </cell>
          <cell r="X21">
            <v>203</v>
          </cell>
          <cell r="Y21">
            <v>11668</v>
          </cell>
          <cell r="Z21">
            <v>3492</v>
          </cell>
          <cell r="AA21">
            <v>96</v>
          </cell>
          <cell r="AB21">
            <v>8255</v>
          </cell>
        </row>
        <row r="22">
          <cell r="E22">
            <v>640</v>
          </cell>
          <cell r="F22">
            <v>208</v>
          </cell>
          <cell r="G22">
            <v>7200</v>
          </cell>
          <cell r="H22">
            <v>2520</v>
          </cell>
          <cell r="I22">
            <v>94</v>
          </cell>
          <cell r="J22">
            <v>5200</v>
          </cell>
          <cell r="N22">
            <v>912</v>
          </cell>
          <cell r="O22">
            <v>211</v>
          </cell>
          <cell r="P22">
            <v>8646</v>
          </cell>
          <cell r="Q22">
            <v>2789</v>
          </cell>
          <cell r="R22">
            <v>95</v>
          </cell>
          <cell r="W22">
            <v>1096</v>
          </cell>
          <cell r="X22">
            <v>213</v>
          </cell>
          <cell r="Y22">
            <v>11888</v>
          </cell>
          <cell r="Z22">
            <v>3506</v>
          </cell>
          <cell r="AA22">
            <v>100</v>
          </cell>
          <cell r="AB22">
            <v>8454</v>
          </cell>
        </row>
        <row r="23">
          <cell r="E23">
            <v>660</v>
          </cell>
          <cell r="F23">
            <v>218</v>
          </cell>
          <cell r="G23">
            <v>7380</v>
          </cell>
          <cell r="H23">
            <v>2534</v>
          </cell>
          <cell r="I23">
            <v>98</v>
          </cell>
          <cell r="J23">
            <v>5361</v>
          </cell>
          <cell r="N23">
            <v>936</v>
          </cell>
          <cell r="O23">
            <v>221</v>
          </cell>
          <cell r="P23">
            <v>8846</v>
          </cell>
          <cell r="Q23">
            <v>2803</v>
          </cell>
          <cell r="R23">
            <v>99</v>
          </cell>
          <cell r="W23">
            <v>1122</v>
          </cell>
          <cell r="X23">
            <v>223</v>
          </cell>
          <cell r="Y23">
            <v>12108</v>
          </cell>
          <cell r="Z23">
            <v>3520</v>
          </cell>
          <cell r="AA23">
            <v>104</v>
          </cell>
          <cell r="AB23">
            <v>8652</v>
          </cell>
        </row>
        <row r="24">
          <cell r="E24">
            <v>680</v>
          </cell>
          <cell r="F24">
            <v>228</v>
          </cell>
          <cell r="G24">
            <v>7560</v>
          </cell>
          <cell r="H24">
            <v>2548</v>
          </cell>
          <cell r="I24">
            <v>102</v>
          </cell>
          <cell r="J24">
            <v>5521</v>
          </cell>
          <cell r="N24">
            <v>960</v>
          </cell>
          <cell r="O24">
            <v>231</v>
          </cell>
          <cell r="P24">
            <v>9046</v>
          </cell>
          <cell r="Q24">
            <v>2817</v>
          </cell>
          <cell r="R24">
            <v>103</v>
          </cell>
          <cell r="W24">
            <v>1148</v>
          </cell>
          <cell r="X24">
            <v>233</v>
          </cell>
          <cell r="Y24">
            <v>12328</v>
          </cell>
          <cell r="Z24">
            <v>3534</v>
          </cell>
          <cell r="AA24">
            <v>108</v>
          </cell>
          <cell r="AB24">
            <v>8850</v>
          </cell>
        </row>
        <row r="25">
          <cell r="E25">
            <v>700</v>
          </cell>
          <cell r="F25">
            <v>238</v>
          </cell>
          <cell r="G25">
            <v>7740</v>
          </cell>
          <cell r="H25">
            <v>2562</v>
          </cell>
          <cell r="I25">
            <v>106</v>
          </cell>
          <cell r="J25">
            <v>5681</v>
          </cell>
          <cell r="N25">
            <v>984</v>
          </cell>
          <cell r="O25">
            <v>241</v>
          </cell>
          <cell r="P25">
            <v>9246</v>
          </cell>
          <cell r="Q25">
            <v>2831</v>
          </cell>
          <cell r="R25">
            <v>107</v>
          </cell>
          <cell r="W25">
            <v>1174</v>
          </cell>
          <cell r="X25">
            <v>243</v>
          </cell>
          <cell r="Y25">
            <v>12548</v>
          </cell>
          <cell r="Z25">
            <v>3548</v>
          </cell>
          <cell r="AA25">
            <v>112</v>
          </cell>
          <cell r="AB25">
            <v>9049</v>
          </cell>
        </row>
        <row r="26">
          <cell r="E26">
            <v>720</v>
          </cell>
          <cell r="F26">
            <v>248</v>
          </cell>
          <cell r="G26">
            <v>7920</v>
          </cell>
          <cell r="H26">
            <v>2576</v>
          </cell>
          <cell r="I26">
            <v>110</v>
          </cell>
          <cell r="J26">
            <v>5842</v>
          </cell>
          <cell r="N26">
            <v>1008</v>
          </cell>
          <cell r="O26">
            <v>251</v>
          </cell>
          <cell r="P26">
            <v>9446</v>
          </cell>
          <cell r="Q26">
            <v>2845</v>
          </cell>
          <cell r="R26">
            <v>111</v>
          </cell>
          <cell r="W26">
            <v>1200</v>
          </cell>
          <cell r="X26">
            <v>253</v>
          </cell>
          <cell r="Y26">
            <v>12768</v>
          </cell>
          <cell r="Z26">
            <v>3562</v>
          </cell>
          <cell r="AA26">
            <v>116</v>
          </cell>
          <cell r="AB26">
            <v>9247</v>
          </cell>
        </row>
        <row r="27">
          <cell r="E27">
            <v>740</v>
          </cell>
          <cell r="F27">
            <v>258</v>
          </cell>
          <cell r="G27">
            <v>8100</v>
          </cell>
          <cell r="H27">
            <v>2590</v>
          </cell>
          <cell r="I27">
            <v>114</v>
          </cell>
          <cell r="J27">
            <v>6002</v>
          </cell>
          <cell r="N27">
            <v>1032</v>
          </cell>
          <cell r="O27">
            <v>261</v>
          </cell>
          <cell r="P27">
            <v>9646</v>
          </cell>
          <cell r="Q27">
            <v>2859</v>
          </cell>
          <cell r="R27">
            <v>115</v>
          </cell>
          <cell r="W27">
            <v>1226</v>
          </cell>
          <cell r="X27">
            <v>263</v>
          </cell>
          <cell r="Y27">
            <v>12988</v>
          </cell>
          <cell r="Z27">
            <v>3576</v>
          </cell>
          <cell r="AA27">
            <v>120</v>
          </cell>
          <cell r="AB27">
            <v>9445</v>
          </cell>
        </row>
        <row r="28">
          <cell r="E28">
            <v>760</v>
          </cell>
          <cell r="F28">
            <v>268</v>
          </cell>
          <cell r="G28">
            <v>8280</v>
          </cell>
          <cell r="H28">
            <v>2604</v>
          </cell>
          <cell r="I28">
            <v>118</v>
          </cell>
          <cell r="J28">
            <v>6162</v>
          </cell>
          <cell r="N28">
            <v>1056</v>
          </cell>
          <cell r="O28">
            <v>271</v>
          </cell>
          <cell r="P28">
            <v>9846</v>
          </cell>
          <cell r="Q28">
            <v>2873</v>
          </cell>
          <cell r="R28">
            <v>119</v>
          </cell>
          <cell r="W28">
            <v>1252</v>
          </cell>
          <cell r="X28">
            <v>273</v>
          </cell>
          <cell r="Y28">
            <v>13208</v>
          </cell>
          <cell r="Z28">
            <v>3590</v>
          </cell>
          <cell r="AA28">
            <v>124</v>
          </cell>
          <cell r="AB28">
            <v>9643</v>
          </cell>
        </row>
        <row r="29">
          <cell r="E29">
            <v>780</v>
          </cell>
          <cell r="F29">
            <v>278</v>
          </cell>
          <cell r="G29">
            <v>8460</v>
          </cell>
          <cell r="H29">
            <v>2618</v>
          </cell>
          <cell r="I29">
            <v>122</v>
          </cell>
          <cell r="J29">
            <v>6322</v>
          </cell>
          <cell r="N29">
            <v>1080</v>
          </cell>
          <cell r="O29">
            <v>281</v>
          </cell>
          <cell r="P29">
            <v>10046</v>
          </cell>
          <cell r="Q29">
            <v>2887</v>
          </cell>
          <cell r="R29">
            <v>123</v>
          </cell>
          <cell r="W29">
            <v>1278</v>
          </cell>
          <cell r="X29">
            <v>283</v>
          </cell>
          <cell r="Y29">
            <v>13428</v>
          </cell>
          <cell r="Z29">
            <v>3604</v>
          </cell>
          <cell r="AA29">
            <v>128</v>
          </cell>
          <cell r="AB29">
            <v>9842</v>
          </cell>
        </row>
        <row r="30">
          <cell r="E30">
            <v>800</v>
          </cell>
          <cell r="F30">
            <v>288</v>
          </cell>
          <cell r="G30">
            <v>8640</v>
          </cell>
          <cell r="H30">
            <v>2632</v>
          </cell>
          <cell r="I30">
            <v>126</v>
          </cell>
          <cell r="J30">
            <v>6483</v>
          </cell>
          <cell r="N30">
            <v>1104</v>
          </cell>
          <cell r="O30">
            <v>291</v>
          </cell>
          <cell r="P30">
            <v>10246</v>
          </cell>
          <cell r="Q30">
            <v>2901</v>
          </cell>
          <cell r="R30">
            <v>127</v>
          </cell>
          <cell r="W30">
            <v>1304</v>
          </cell>
          <cell r="X30">
            <v>293</v>
          </cell>
          <cell r="Y30">
            <v>13648</v>
          </cell>
          <cell r="Z30">
            <v>3618</v>
          </cell>
          <cell r="AA30">
            <v>132</v>
          </cell>
          <cell r="AB30">
            <v>10040</v>
          </cell>
        </row>
        <row r="31">
          <cell r="E31">
            <v>820</v>
          </cell>
          <cell r="F31">
            <v>298</v>
          </cell>
          <cell r="G31">
            <v>8820</v>
          </cell>
          <cell r="H31">
            <v>2646</v>
          </cell>
          <cell r="I31">
            <v>130</v>
          </cell>
          <cell r="J31">
            <v>6643</v>
          </cell>
          <cell r="N31">
            <v>1128</v>
          </cell>
          <cell r="O31">
            <v>301</v>
          </cell>
          <cell r="P31">
            <v>10446</v>
          </cell>
          <cell r="Q31">
            <v>2915</v>
          </cell>
          <cell r="R31">
            <v>131</v>
          </cell>
          <cell r="W31">
            <v>1330</v>
          </cell>
          <cell r="X31">
            <v>303</v>
          </cell>
          <cell r="Y31">
            <v>13868</v>
          </cell>
          <cell r="Z31">
            <v>3632</v>
          </cell>
          <cell r="AA31">
            <v>136</v>
          </cell>
          <cell r="AB31">
            <v>10238</v>
          </cell>
        </row>
        <row r="32">
          <cell r="E32">
            <v>840</v>
          </cell>
          <cell r="F32">
            <v>308</v>
          </cell>
          <cell r="G32">
            <v>9000</v>
          </cell>
          <cell r="H32">
            <v>2660</v>
          </cell>
          <cell r="I32">
            <v>134</v>
          </cell>
          <cell r="J32">
            <v>6803</v>
          </cell>
          <cell r="N32">
            <v>1152</v>
          </cell>
          <cell r="O32">
            <v>311</v>
          </cell>
          <cell r="P32">
            <v>10646</v>
          </cell>
          <cell r="Q32">
            <v>2929</v>
          </cell>
          <cell r="R32">
            <v>135</v>
          </cell>
          <cell r="W32">
            <v>1356</v>
          </cell>
          <cell r="X32">
            <v>313</v>
          </cell>
          <cell r="Y32">
            <v>14088</v>
          </cell>
          <cell r="Z32">
            <v>3646</v>
          </cell>
          <cell r="AA32">
            <v>140</v>
          </cell>
          <cell r="AB32">
            <v>10437</v>
          </cell>
        </row>
        <row r="33">
          <cell r="E33">
            <v>860</v>
          </cell>
          <cell r="F33">
            <v>318</v>
          </cell>
          <cell r="G33">
            <v>9180</v>
          </cell>
          <cell r="H33">
            <v>2674</v>
          </cell>
          <cell r="I33">
            <v>138</v>
          </cell>
          <cell r="J33">
            <v>6963</v>
          </cell>
          <cell r="N33">
            <v>1176</v>
          </cell>
          <cell r="O33">
            <v>321</v>
          </cell>
          <cell r="P33">
            <v>10846</v>
          </cell>
          <cell r="Q33">
            <v>2943</v>
          </cell>
          <cell r="R33">
            <v>139</v>
          </cell>
          <cell r="W33">
            <v>1382</v>
          </cell>
          <cell r="X33">
            <v>323</v>
          </cell>
          <cell r="Y33">
            <v>14308</v>
          </cell>
          <cell r="Z33">
            <v>3660</v>
          </cell>
          <cell r="AA33">
            <v>144</v>
          </cell>
          <cell r="AB33">
            <v>10635</v>
          </cell>
        </row>
        <row r="34">
          <cell r="E34">
            <v>880</v>
          </cell>
          <cell r="F34">
            <v>328</v>
          </cell>
          <cell r="G34">
            <v>9360</v>
          </cell>
          <cell r="H34">
            <v>2688</v>
          </cell>
          <cell r="I34">
            <v>142</v>
          </cell>
          <cell r="J34">
            <v>7124</v>
          </cell>
          <cell r="N34">
            <v>1200</v>
          </cell>
          <cell r="O34">
            <v>331</v>
          </cell>
          <cell r="P34">
            <v>11046</v>
          </cell>
          <cell r="Q34">
            <v>2957</v>
          </cell>
          <cell r="R34">
            <v>143</v>
          </cell>
          <cell r="W34">
            <v>1408</v>
          </cell>
          <cell r="X34">
            <v>333</v>
          </cell>
          <cell r="Y34">
            <v>14528</v>
          </cell>
          <cell r="Z34">
            <v>3674</v>
          </cell>
          <cell r="AA34">
            <v>148</v>
          </cell>
          <cell r="AB34">
            <v>10833</v>
          </cell>
        </row>
        <row r="35">
          <cell r="E35">
            <v>900</v>
          </cell>
          <cell r="F35">
            <v>338</v>
          </cell>
          <cell r="G35">
            <v>9540</v>
          </cell>
          <cell r="H35">
            <v>2702</v>
          </cell>
          <cell r="I35">
            <v>146</v>
          </cell>
          <cell r="J35">
            <v>7284</v>
          </cell>
          <cell r="N35">
            <v>1224</v>
          </cell>
          <cell r="O35">
            <v>341</v>
          </cell>
          <cell r="P35">
            <v>11246</v>
          </cell>
          <cell r="Q35">
            <v>2971</v>
          </cell>
          <cell r="R35">
            <v>147</v>
          </cell>
          <cell r="W35">
            <v>1434</v>
          </cell>
          <cell r="X35">
            <v>343</v>
          </cell>
          <cell r="Y35">
            <v>14748</v>
          </cell>
          <cell r="Z35">
            <v>3688</v>
          </cell>
          <cell r="AA35">
            <v>152</v>
          </cell>
          <cell r="AB35">
            <v>11031</v>
          </cell>
        </row>
        <row r="36">
          <cell r="E36">
            <v>920</v>
          </cell>
          <cell r="F36">
            <v>348</v>
          </cell>
          <cell r="G36">
            <v>9720</v>
          </cell>
          <cell r="H36">
            <v>2716</v>
          </cell>
          <cell r="I36">
            <v>150</v>
          </cell>
          <cell r="J36">
            <v>7444</v>
          </cell>
          <cell r="N36">
            <v>1248</v>
          </cell>
          <cell r="O36">
            <v>351</v>
          </cell>
          <cell r="P36">
            <v>11446</v>
          </cell>
          <cell r="Q36">
            <v>2985</v>
          </cell>
          <cell r="R36">
            <v>151</v>
          </cell>
          <cell r="W36">
            <v>1460</v>
          </cell>
          <cell r="X36">
            <v>353</v>
          </cell>
          <cell r="Y36">
            <v>14968</v>
          </cell>
          <cell r="Z36">
            <v>3702</v>
          </cell>
          <cell r="AA36">
            <v>156</v>
          </cell>
          <cell r="AB36">
            <v>11230</v>
          </cell>
        </row>
        <row r="37">
          <cell r="E37">
            <v>940</v>
          </cell>
          <cell r="F37">
            <v>358</v>
          </cell>
          <cell r="G37">
            <v>9900</v>
          </cell>
          <cell r="H37">
            <v>2730</v>
          </cell>
          <cell r="I37">
            <v>154</v>
          </cell>
          <cell r="J37">
            <v>7605</v>
          </cell>
          <cell r="N37">
            <v>1272</v>
          </cell>
          <cell r="O37">
            <v>361</v>
          </cell>
          <cell r="P37">
            <v>11646</v>
          </cell>
          <cell r="Q37">
            <v>2999</v>
          </cell>
          <cell r="R37">
            <v>155</v>
          </cell>
          <cell r="W37">
            <v>1486</v>
          </cell>
          <cell r="X37">
            <v>363</v>
          </cell>
          <cell r="Y37">
            <v>15188</v>
          </cell>
          <cell r="Z37">
            <v>3716</v>
          </cell>
          <cell r="AA37">
            <v>160</v>
          </cell>
          <cell r="AB37">
            <v>11428</v>
          </cell>
        </row>
        <row r="38">
          <cell r="E38">
            <v>960</v>
          </cell>
          <cell r="F38">
            <v>368</v>
          </cell>
          <cell r="G38">
            <v>10080</v>
          </cell>
          <cell r="H38">
            <v>2744</v>
          </cell>
          <cell r="I38">
            <v>158</v>
          </cell>
          <cell r="J38">
            <v>7765</v>
          </cell>
          <cell r="N38">
            <v>1296</v>
          </cell>
          <cell r="O38">
            <v>371</v>
          </cell>
          <cell r="P38">
            <v>11846</v>
          </cell>
          <cell r="Q38">
            <v>3013</v>
          </cell>
          <cell r="R38">
            <v>159</v>
          </cell>
          <cell r="W38">
            <v>1512</v>
          </cell>
          <cell r="X38">
            <v>373</v>
          </cell>
          <cell r="Y38">
            <v>15408</v>
          </cell>
          <cell r="Z38">
            <v>3730</v>
          </cell>
          <cell r="AA38">
            <v>164</v>
          </cell>
          <cell r="AB38">
            <v>11626</v>
          </cell>
        </row>
        <row r="39">
          <cell r="E39">
            <v>980</v>
          </cell>
          <cell r="F39">
            <v>378</v>
          </cell>
          <cell r="G39">
            <v>10260</v>
          </cell>
          <cell r="H39">
            <v>2758</v>
          </cell>
          <cell r="I39">
            <v>162</v>
          </cell>
          <cell r="J39">
            <v>7925</v>
          </cell>
          <cell r="N39">
            <v>1320</v>
          </cell>
          <cell r="O39">
            <v>381</v>
          </cell>
          <cell r="P39">
            <v>12046</v>
          </cell>
          <cell r="Q39">
            <v>3027</v>
          </cell>
          <cell r="R39">
            <v>163</v>
          </cell>
          <cell r="W39">
            <v>1538</v>
          </cell>
          <cell r="X39">
            <v>383</v>
          </cell>
          <cell r="Y39">
            <v>15628</v>
          </cell>
          <cell r="Z39">
            <v>3744</v>
          </cell>
          <cell r="AA39">
            <v>168</v>
          </cell>
          <cell r="AB39">
            <v>11824</v>
          </cell>
        </row>
        <row r="40">
          <cell r="E40">
            <v>1000</v>
          </cell>
          <cell r="F40">
            <v>388</v>
          </cell>
          <cell r="G40">
            <v>10440</v>
          </cell>
          <cell r="H40">
            <v>2772</v>
          </cell>
          <cell r="I40">
            <v>166</v>
          </cell>
          <cell r="J40">
            <v>8085</v>
          </cell>
          <cell r="N40">
            <v>1344</v>
          </cell>
          <cell r="O40">
            <v>391</v>
          </cell>
          <cell r="P40">
            <v>12246</v>
          </cell>
          <cell r="Q40">
            <v>3041</v>
          </cell>
          <cell r="R40">
            <v>167</v>
          </cell>
          <cell r="W40">
            <v>1564</v>
          </cell>
          <cell r="X40">
            <v>393</v>
          </cell>
          <cell r="Y40">
            <v>15848</v>
          </cell>
          <cell r="Z40">
            <v>3758</v>
          </cell>
          <cell r="AA40">
            <v>172</v>
          </cell>
          <cell r="AB40">
            <v>12023</v>
          </cell>
        </row>
        <row r="41">
          <cell r="E41">
            <v>1020</v>
          </cell>
          <cell r="F41">
            <v>398</v>
          </cell>
          <cell r="G41">
            <v>10620</v>
          </cell>
          <cell r="H41">
            <v>2786</v>
          </cell>
          <cell r="I41">
            <v>170</v>
          </cell>
          <cell r="J41">
            <v>8246</v>
          </cell>
          <cell r="N41">
            <v>1368</v>
          </cell>
          <cell r="O41">
            <v>401</v>
          </cell>
          <cell r="P41">
            <v>12446</v>
          </cell>
          <cell r="Q41">
            <v>3055</v>
          </cell>
          <cell r="R41">
            <v>171</v>
          </cell>
          <cell r="W41">
            <v>1590</v>
          </cell>
          <cell r="X41">
            <v>403</v>
          </cell>
          <cell r="Y41">
            <v>16068</v>
          </cell>
          <cell r="Z41">
            <v>3772</v>
          </cell>
          <cell r="AA41">
            <v>176</v>
          </cell>
          <cell r="AB41">
            <v>12221</v>
          </cell>
        </row>
        <row r="42">
          <cell r="E42">
            <v>1040</v>
          </cell>
          <cell r="F42">
            <v>408</v>
          </cell>
          <cell r="G42">
            <v>10800</v>
          </cell>
          <cell r="H42">
            <v>2800</v>
          </cell>
          <cell r="I42">
            <v>174</v>
          </cell>
          <cell r="J42">
            <v>8406</v>
          </cell>
          <cell r="N42">
            <v>1392</v>
          </cell>
          <cell r="O42">
            <v>411</v>
          </cell>
          <cell r="P42">
            <v>12646</v>
          </cell>
          <cell r="Q42">
            <v>3069</v>
          </cell>
          <cell r="R42">
            <v>175</v>
          </cell>
          <cell r="W42">
            <v>1616</v>
          </cell>
          <cell r="X42">
            <v>413</v>
          </cell>
          <cell r="Y42">
            <v>16288</v>
          </cell>
          <cell r="Z42">
            <v>3786</v>
          </cell>
          <cell r="AA42">
            <v>180</v>
          </cell>
          <cell r="AB42">
            <v>12419</v>
          </cell>
        </row>
        <row r="43">
          <cell r="E43">
            <v>1060</v>
          </cell>
          <cell r="F43">
            <v>418</v>
          </cell>
          <cell r="G43">
            <v>10980</v>
          </cell>
          <cell r="H43">
            <v>2814</v>
          </cell>
          <cell r="I43">
            <v>178</v>
          </cell>
          <cell r="J43">
            <v>8566</v>
          </cell>
          <cell r="N43">
            <v>1416</v>
          </cell>
          <cell r="O43">
            <v>421</v>
          </cell>
          <cell r="P43">
            <v>12846</v>
          </cell>
          <cell r="Q43">
            <v>3083</v>
          </cell>
          <cell r="R43">
            <v>179</v>
          </cell>
          <cell r="W43">
            <v>1642</v>
          </cell>
          <cell r="X43">
            <v>423</v>
          </cell>
          <cell r="Y43">
            <v>16508</v>
          </cell>
          <cell r="Z43">
            <v>3800</v>
          </cell>
          <cell r="AA43">
            <v>184</v>
          </cell>
          <cell r="AB43">
            <v>12618</v>
          </cell>
        </row>
        <row r="44">
          <cell r="E44">
            <v>1080</v>
          </cell>
          <cell r="F44">
            <v>428</v>
          </cell>
          <cell r="G44">
            <v>11160</v>
          </cell>
          <cell r="H44">
            <v>2828</v>
          </cell>
          <cell r="I44">
            <v>182</v>
          </cell>
          <cell r="J44">
            <v>8727</v>
          </cell>
          <cell r="N44">
            <v>1440</v>
          </cell>
          <cell r="O44">
            <v>431</v>
          </cell>
          <cell r="P44">
            <v>13046</v>
          </cell>
          <cell r="Q44">
            <v>3097</v>
          </cell>
          <cell r="R44">
            <v>183</v>
          </cell>
          <cell r="W44">
            <v>1668</v>
          </cell>
          <cell r="X44">
            <v>433</v>
          </cell>
          <cell r="Y44">
            <v>16728</v>
          </cell>
          <cell r="Z44">
            <v>3814</v>
          </cell>
          <cell r="AA44">
            <v>188</v>
          </cell>
          <cell r="AB44">
            <v>12816</v>
          </cell>
        </row>
        <row r="45">
          <cell r="E45">
            <v>1100</v>
          </cell>
          <cell r="F45">
            <v>438</v>
          </cell>
          <cell r="G45">
            <v>11340</v>
          </cell>
          <cell r="H45">
            <v>2842</v>
          </cell>
          <cell r="I45">
            <v>186</v>
          </cell>
          <cell r="J45">
            <v>8887</v>
          </cell>
          <cell r="N45">
            <v>1464</v>
          </cell>
          <cell r="O45">
            <v>441</v>
          </cell>
          <cell r="P45">
            <v>13246</v>
          </cell>
          <cell r="Q45">
            <v>3111</v>
          </cell>
          <cell r="R45">
            <v>187</v>
          </cell>
          <cell r="W45">
            <v>1694</v>
          </cell>
          <cell r="X45">
            <v>443</v>
          </cell>
          <cell r="Y45">
            <v>16948</v>
          </cell>
          <cell r="Z45">
            <v>3828</v>
          </cell>
          <cell r="AA45">
            <v>192</v>
          </cell>
          <cell r="AB45">
            <v>13014</v>
          </cell>
        </row>
        <row r="46">
          <cell r="E46">
            <v>1120</v>
          </cell>
          <cell r="F46">
            <v>448</v>
          </cell>
          <cell r="G46">
            <v>11520</v>
          </cell>
          <cell r="H46">
            <v>2856</v>
          </cell>
          <cell r="I46">
            <v>190</v>
          </cell>
          <cell r="J46">
            <v>9047</v>
          </cell>
          <cell r="N46">
            <v>1488</v>
          </cell>
          <cell r="O46">
            <v>451</v>
          </cell>
          <cell r="P46">
            <v>13446</v>
          </cell>
          <cell r="Q46">
            <v>3125</v>
          </cell>
          <cell r="R46">
            <v>191</v>
          </cell>
          <cell r="W46">
            <v>1720</v>
          </cell>
          <cell r="X46">
            <v>453</v>
          </cell>
          <cell r="Y46">
            <v>17168</v>
          </cell>
          <cell r="Z46">
            <v>3842</v>
          </cell>
          <cell r="AA46">
            <v>196</v>
          </cell>
          <cell r="AB46">
            <v>13212</v>
          </cell>
        </row>
        <row r="47">
          <cell r="E47">
            <v>1140</v>
          </cell>
          <cell r="F47">
            <v>458</v>
          </cell>
          <cell r="G47">
            <v>11700</v>
          </cell>
          <cell r="H47">
            <v>2870</v>
          </cell>
          <cell r="I47">
            <v>194</v>
          </cell>
          <cell r="J47">
            <v>9207</v>
          </cell>
          <cell r="N47">
            <v>1512</v>
          </cell>
          <cell r="O47">
            <v>461</v>
          </cell>
          <cell r="P47">
            <v>13646</v>
          </cell>
          <cell r="Q47">
            <v>3139</v>
          </cell>
          <cell r="R47">
            <v>195</v>
          </cell>
          <cell r="W47">
            <v>1746</v>
          </cell>
          <cell r="X47">
            <v>463</v>
          </cell>
          <cell r="Y47">
            <v>17388</v>
          </cell>
          <cell r="Z47">
            <v>3856</v>
          </cell>
          <cell r="AA47">
            <v>200</v>
          </cell>
          <cell r="AB47">
            <v>13411</v>
          </cell>
        </row>
        <row r="48">
          <cell r="E48">
            <v>1160</v>
          </cell>
          <cell r="F48">
            <v>468</v>
          </cell>
          <cell r="G48">
            <v>11880</v>
          </cell>
          <cell r="H48">
            <v>2884</v>
          </cell>
          <cell r="I48">
            <v>198</v>
          </cell>
          <cell r="J48">
            <v>9368</v>
          </cell>
          <cell r="N48">
            <v>1536</v>
          </cell>
          <cell r="O48">
            <v>471</v>
          </cell>
          <cell r="P48">
            <v>13846</v>
          </cell>
          <cell r="Q48">
            <v>3153</v>
          </cell>
          <cell r="R48">
            <v>199</v>
          </cell>
          <cell r="W48">
            <v>1772</v>
          </cell>
          <cell r="X48">
            <v>473</v>
          </cell>
          <cell r="Y48">
            <v>17608</v>
          </cell>
          <cell r="Z48">
            <v>3870</v>
          </cell>
          <cell r="AA48">
            <v>204</v>
          </cell>
          <cell r="AB48">
            <v>13609</v>
          </cell>
        </row>
        <row r="49">
          <cell r="E49">
            <v>1180</v>
          </cell>
          <cell r="F49">
            <v>478</v>
          </cell>
          <cell r="G49">
            <v>12060</v>
          </cell>
          <cell r="H49">
            <v>2898</v>
          </cell>
          <cell r="I49">
            <v>202</v>
          </cell>
          <cell r="J49">
            <v>9528</v>
          </cell>
          <cell r="N49">
            <v>1560</v>
          </cell>
          <cell r="O49">
            <v>481</v>
          </cell>
          <cell r="P49">
            <v>14046</v>
          </cell>
          <cell r="Q49">
            <v>3167</v>
          </cell>
          <cell r="R49">
            <v>203</v>
          </cell>
          <cell r="W49">
            <v>1798</v>
          </cell>
          <cell r="X49">
            <v>483</v>
          </cell>
          <cell r="Y49">
            <v>17828</v>
          </cell>
          <cell r="Z49">
            <v>3884</v>
          </cell>
          <cell r="AA49">
            <v>208</v>
          </cell>
          <cell r="AB49">
            <v>13807</v>
          </cell>
        </row>
        <row r="50">
          <cell r="E50">
            <v>1200</v>
          </cell>
          <cell r="F50">
            <v>488</v>
          </cell>
          <cell r="G50">
            <v>12240</v>
          </cell>
          <cell r="H50">
            <v>2912</v>
          </cell>
          <cell r="I50">
            <v>206</v>
          </cell>
          <cell r="J50">
            <v>9688</v>
          </cell>
          <cell r="N50">
            <v>1584</v>
          </cell>
          <cell r="O50">
            <v>491</v>
          </cell>
          <cell r="P50">
            <v>14246</v>
          </cell>
          <cell r="Q50">
            <v>3181</v>
          </cell>
          <cell r="R50">
            <v>207</v>
          </cell>
          <cell r="W50">
            <v>1824</v>
          </cell>
          <cell r="X50">
            <v>493</v>
          </cell>
          <cell r="Y50">
            <v>18048</v>
          </cell>
          <cell r="Z50">
            <v>3898</v>
          </cell>
          <cell r="AA50">
            <v>212</v>
          </cell>
          <cell r="AB50">
            <v>14006</v>
          </cell>
        </row>
        <row r="51">
          <cell r="E51">
            <v>1220</v>
          </cell>
          <cell r="F51">
            <v>498</v>
          </cell>
          <cell r="G51">
            <v>12420</v>
          </cell>
          <cell r="H51">
            <v>2926</v>
          </cell>
          <cell r="I51">
            <v>210</v>
          </cell>
          <cell r="J51">
            <v>9849</v>
          </cell>
          <cell r="N51">
            <v>1608</v>
          </cell>
          <cell r="O51">
            <v>501</v>
          </cell>
          <cell r="P51">
            <v>14446</v>
          </cell>
          <cell r="Q51">
            <v>3195</v>
          </cell>
          <cell r="R51">
            <v>211</v>
          </cell>
          <cell r="W51">
            <v>1850</v>
          </cell>
          <cell r="X51">
            <v>503</v>
          </cell>
          <cell r="Y51">
            <v>18268</v>
          </cell>
          <cell r="Z51">
            <v>3912</v>
          </cell>
          <cell r="AA51">
            <v>216</v>
          </cell>
          <cell r="AB51">
            <v>14204</v>
          </cell>
        </row>
      </sheetData>
      <sheetData sheetId="8">
        <row r="2">
          <cell r="E2">
            <v>12</v>
          </cell>
          <cell r="F2">
            <v>4</v>
          </cell>
          <cell r="G2">
            <v>400</v>
          </cell>
          <cell r="H2">
            <v>50</v>
          </cell>
          <cell r="I2">
            <v>5</v>
          </cell>
          <cell r="J2">
            <v>110</v>
          </cell>
          <cell r="N2">
            <v>36</v>
          </cell>
          <cell r="O2">
            <v>6</v>
          </cell>
          <cell r="P2">
            <v>800</v>
          </cell>
          <cell r="Q2">
            <v>90</v>
          </cell>
          <cell r="R2">
            <v>7</v>
          </cell>
          <cell r="S2">
            <v>240</v>
          </cell>
          <cell r="W2">
            <v>60</v>
          </cell>
          <cell r="X2">
            <v>8</v>
          </cell>
          <cell r="Y2">
            <v>1200</v>
          </cell>
          <cell r="Z2">
            <v>120</v>
          </cell>
          <cell r="AA2">
            <v>8</v>
          </cell>
          <cell r="AB2">
            <v>370</v>
          </cell>
        </row>
        <row r="3">
          <cell r="E3">
            <v>16</v>
          </cell>
          <cell r="F3">
            <v>5</v>
          </cell>
          <cell r="G3">
            <v>424</v>
          </cell>
          <cell r="H3">
            <v>55</v>
          </cell>
          <cell r="I3">
            <v>6</v>
          </cell>
          <cell r="J3">
            <v>123</v>
          </cell>
          <cell r="N3">
            <v>44</v>
          </cell>
          <cell r="O3">
            <v>8</v>
          </cell>
          <cell r="P3">
            <v>854</v>
          </cell>
          <cell r="Q3">
            <v>96</v>
          </cell>
          <cell r="R3">
            <v>8</v>
          </cell>
          <cell r="S3">
            <v>269</v>
          </cell>
          <cell r="W3">
            <v>72</v>
          </cell>
          <cell r="X3">
            <v>12</v>
          </cell>
          <cell r="Y3">
            <v>1286</v>
          </cell>
          <cell r="Z3">
            <v>128</v>
          </cell>
          <cell r="AA3">
            <v>9</v>
          </cell>
          <cell r="AB3">
            <v>414</v>
          </cell>
        </row>
        <row r="4">
          <cell r="E4">
            <v>20</v>
          </cell>
          <cell r="F4">
            <v>6</v>
          </cell>
          <cell r="G4">
            <v>448</v>
          </cell>
          <cell r="H4">
            <v>60</v>
          </cell>
          <cell r="I4">
            <v>7</v>
          </cell>
          <cell r="J4">
            <v>137</v>
          </cell>
          <cell r="N4">
            <v>52</v>
          </cell>
          <cell r="O4">
            <v>10</v>
          </cell>
          <cell r="P4">
            <v>908</v>
          </cell>
          <cell r="Q4">
            <v>102</v>
          </cell>
          <cell r="R4">
            <v>9</v>
          </cell>
          <cell r="S4">
            <v>297</v>
          </cell>
          <cell r="W4">
            <v>84</v>
          </cell>
          <cell r="X4">
            <v>16</v>
          </cell>
          <cell r="Y4">
            <v>1372</v>
          </cell>
          <cell r="Z4">
            <v>136</v>
          </cell>
          <cell r="AA4">
            <v>10</v>
          </cell>
          <cell r="AB4">
            <v>458</v>
          </cell>
        </row>
        <row r="5">
          <cell r="E5">
            <v>24</v>
          </cell>
          <cell r="F5">
            <v>7</v>
          </cell>
          <cell r="G5">
            <v>472</v>
          </cell>
          <cell r="H5">
            <v>65</v>
          </cell>
          <cell r="I5">
            <v>8</v>
          </cell>
          <cell r="J5">
            <v>151</v>
          </cell>
          <cell r="N5">
            <v>60</v>
          </cell>
          <cell r="O5">
            <v>12</v>
          </cell>
          <cell r="P5">
            <v>962</v>
          </cell>
          <cell r="Q5">
            <v>108</v>
          </cell>
          <cell r="R5">
            <v>10</v>
          </cell>
          <cell r="S5">
            <v>326</v>
          </cell>
          <cell r="W5">
            <v>96</v>
          </cell>
          <cell r="X5">
            <v>20</v>
          </cell>
          <cell r="Y5">
            <v>1458</v>
          </cell>
          <cell r="Z5">
            <v>144</v>
          </cell>
          <cell r="AA5">
            <v>11</v>
          </cell>
          <cell r="AB5">
            <v>502</v>
          </cell>
        </row>
        <row r="6">
          <cell r="E6">
            <v>28</v>
          </cell>
          <cell r="F6">
            <v>8</v>
          </cell>
          <cell r="G6">
            <v>496</v>
          </cell>
          <cell r="H6">
            <v>70</v>
          </cell>
          <cell r="I6">
            <v>9</v>
          </cell>
          <cell r="J6">
            <v>165</v>
          </cell>
          <cell r="N6">
            <v>68</v>
          </cell>
          <cell r="O6">
            <v>14</v>
          </cell>
          <cell r="P6">
            <v>1016</v>
          </cell>
          <cell r="Q6">
            <v>114</v>
          </cell>
          <cell r="R6">
            <v>11</v>
          </cell>
          <cell r="S6">
            <v>354</v>
          </cell>
          <cell r="W6">
            <v>108</v>
          </cell>
          <cell r="X6">
            <v>24</v>
          </cell>
          <cell r="Y6">
            <v>1544</v>
          </cell>
          <cell r="Z6">
            <v>152</v>
          </cell>
          <cell r="AA6">
            <v>12</v>
          </cell>
          <cell r="AB6">
            <v>546</v>
          </cell>
        </row>
        <row r="7">
          <cell r="E7">
            <v>32</v>
          </cell>
          <cell r="F7">
            <v>9</v>
          </cell>
          <cell r="G7">
            <v>520</v>
          </cell>
          <cell r="H7">
            <v>75</v>
          </cell>
          <cell r="I7">
            <v>10</v>
          </cell>
          <cell r="J7">
            <v>179</v>
          </cell>
          <cell r="N7">
            <v>76</v>
          </cell>
          <cell r="O7">
            <v>16</v>
          </cell>
          <cell r="P7">
            <v>1070</v>
          </cell>
          <cell r="Q7">
            <v>120</v>
          </cell>
          <cell r="R7">
            <v>12</v>
          </cell>
          <cell r="S7">
            <v>382</v>
          </cell>
          <cell r="W7">
            <v>120</v>
          </cell>
          <cell r="X7">
            <v>28</v>
          </cell>
          <cell r="Y7">
            <v>1630</v>
          </cell>
          <cell r="Z7">
            <v>160</v>
          </cell>
          <cell r="AA7">
            <v>13</v>
          </cell>
          <cell r="AB7">
            <v>590</v>
          </cell>
        </row>
        <row r="8">
          <cell r="E8">
            <v>36</v>
          </cell>
          <cell r="F8">
            <v>10</v>
          </cell>
          <cell r="G8">
            <v>544</v>
          </cell>
          <cell r="H8">
            <v>80</v>
          </cell>
          <cell r="I8">
            <v>11</v>
          </cell>
          <cell r="J8">
            <v>193</v>
          </cell>
          <cell r="N8">
            <v>84</v>
          </cell>
          <cell r="O8">
            <v>18</v>
          </cell>
          <cell r="P8">
            <v>1124</v>
          </cell>
          <cell r="Q8">
            <v>126</v>
          </cell>
          <cell r="R8">
            <v>13</v>
          </cell>
          <cell r="S8">
            <v>411</v>
          </cell>
          <cell r="W8">
            <v>132</v>
          </cell>
          <cell r="X8">
            <v>32</v>
          </cell>
          <cell r="Y8">
            <v>1716</v>
          </cell>
          <cell r="Z8">
            <v>168</v>
          </cell>
          <cell r="AA8">
            <v>14</v>
          </cell>
          <cell r="AB8">
            <v>634</v>
          </cell>
        </row>
        <row r="9">
          <cell r="E9">
            <v>40</v>
          </cell>
          <cell r="F9">
            <v>11</v>
          </cell>
          <cell r="G9">
            <v>568</v>
          </cell>
          <cell r="H9">
            <v>85</v>
          </cell>
          <cell r="I9">
            <v>12</v>
          </cell>
          <cell r="J9">
            <v>207</v>
          </cell>
          <cell r="N9">
            <v>92</v>
          </cell>
          <cell r="O9">
            <v>20</v>
          </cell>
          <cell r="P9">
            <v>1178</v>
          </cell>
          <cell r="Q9">
            <v>132</v>
          </cell>
          <cell r="R9">
            <v>14</v>
          </cell>
          <cell r="S9">
            <v>439</v>
          </cell>
          <cell r="W9">
            <v>144</v>
          </cell>
          <cell r="X9">
            <v>36</v>
          </cell>
          <cell r="Y9">
            <v>1802</v>
          </cell>
          <cell r="Z9">
            <v>176</v>
          </cell>
          <cell r="AA9">
            <v>15</v>
          </cell>
          <cell r="AB9">
            <v>677</v>
          </cell>
        </row>
        <row r="10">
          <cell r="E10">
            <v>44</v>
          </cell>
          <cell r="F10">
            <v>12</v>
          </cell>
          <cell r="G10">
            <v>592</v>
          </cell>
          <cell r="H10">
            <v>90</v>
          </cell>
          <cell r="I10">
            <v>13</v>
          </cell>
          <cell r="J10">
            <v>221</v>
          </cell>
          <cell r="N10">
            <v>100</v>
          </cell>
          <cell r="O10">
            <v>22</v>
          </cell>
          <cell r="P10">
            <v>1232</v>
          </cell>
          <cell r="Q10">
            <v>138</v>
          </cell>
          <cell r="R10">
            <v>15</v>
          </cell>
          <cell r="S10">
            <v>468</v>
          </cell>
          <cell r="W10">
            <v>156</v>
          </cell>
          <cell r="X10">
            <v>40</v>
          </cell>
          <cell r="Y10">
            <v>1888</v>
          </cell>
          <cell r="Z10">
            <v>184</v>
          </cell>
          <cell r="AA10">
            <v>16</v>
          </cell>
          <cell r="AB10">
            <v>721</v>
          </cell>
        </row>
        <row r="11">
          <cell r="E11">
            <v>48</v>
          </cell>
          <cell r="F11">
            <v>13</v>
          </cell>
          <cell r="G11">
            <v>616</v>
          </cell>
          <cell r="H11">
            <v>95</v>
          </cell>
          <cell r="I11">
            <v>14</v>
          </cell>
          <cell r="J11">
            <v>235</v>
          </cell>
          <cell r="N11">
            <v>108</v>
          </cell>
          <cell r="O11">
            <v>24</v>
          </cell>
          <cell r="P11">
            <v>1286</v>
          </cell>
          <cell r="Q11">
            <v>144</v>
          </cell>
          <cell r="R11">
            <v>16</v>
          </cell>
          <cell r="S11">
            <v>496</v>
          </cell>
          <cell r="W11">
            <v>168</v>
          </cell>
          <cell r="X11">
            <v>44</v>
          </cell>
          <cell r="Y11">
            <v>1974</v>
          </cell>
          <cell r="Z11">
            <v>192</v>
          </cell>
          <cell r="AA11">
            <v>17</v>
          </cell>
          <cell r="AB11">
            <v>765</v>
          </cell>
        </row>
        <row r="12">
          <cell r="E12">
            <v>52</v>
          </cell>
          <cell r="F12">
            <v>14</v>
          </cell>
          <cell r="G12">
            <v>640</v>
          </cell>
          <cell r="H12">
            <v>100</v>
          </cell>
          <cell r="I12">
            <v>15</v>
          </cell>
          <cell r="J12">
            <v>249</v>
          </cell>
          <cell r="N12">
            <v>116</v>
          </cell>
          <cell r="O12">
            <v>26</v>
          </cell>
          <cell r="P12">
            <v>1340</v>
          </cell>
          <cell r="Q12">
            <v>150</v>
          </cell>
          <cell r="R12">
            <v>17</v>
          </cell>
          <cell r="S12">
            <v>525</v>
          </cell>
          <cell r="W12">
            <v>180</v>
          </cell>
          <cell r="X12">
            <v>48</v>
          </cell>
          <cell r="Y12">
            <v>2060</v>
          </cell>
          <cell r="Z12">
            <v>200</v>
          </cell>
          <cell r="AA12">
            <v>18</v>
          </cell>
          <cell r="AB12">
            <v>809</v>
          </cell>
        </row>
        <row r="13">
          <cell r="E13">
            <v>56</v>
          </cell>
          <cell r="F13">
            <v>15</v>
          </cell>
          <cell r="G13">
            <v>664</v>
          </cell>
          <cell r="H13">
            <v>105</v>
          </cell>
          <cell r="I13">
            <v>16</v>
          </cell>
          <cell r="J13">
            <v>262</v>
          </cell>
          <cell r="N13">
            <v>124</v>
          </cell>
          <cell r="O13">
            <v>28</v>
          </cell>
          <cell r="P13">
            <v>1394</v>
          </cell>
          <cell r="Q13">
            <v>156</v>
          </cell>
          <cell r="R13">
            <v>18</v>
          </cell>
          <cell r="S13">
            <v>553</v>
          </cell>
          <cell r="W13">
            <v>192</v>
          </cell>
          <cell r="X13">
            <v>52</v>
          </cell>
          <cell r="Y13">
            <v>2146</v>
          </cell>
          <cell r="Z13">
            <v>208</v>
          </cell>
          <cell r="AA13">
            <v>19</v>
          </cell>
          <cell r="AB13">
            <v>853</v>
          </cell>
        </row>
        <row r="14">
          <cell r="E14">
            <v>60</v>
          </cell>
          <cell r="F14">
            <v>16</v>
          </cell>
          <cell r="G14">
            <v>688</v>
          </cell>
          <cell r="H14">
            <v>110</v>
          </cell>
          <cell r="I14">
            <v>17</v>
          </cell>
          <cell r="J14">
            <v>276</v>
          </cell>
          <cell r="N14">
            <v>132</v>
          </cell>
          <cell r="O14">
            <v>30</v>
          </cell>
          <cell r="P14">
            <v>1448</v>
          </cell>
          <cell r="Q14">
            <v>162</v>
          </cell>
          <cell r="R14">
            <v>19</v>
          </cell>
          <cell r="S14">
            <v>581</v>
          </cell>
          <cell r="W14">
            <v>204</v>
          </cell>
          <cell r="X14">
            <v>56</v>
          </cell>
          <cell r="Y14">
            <v>2232</v>
          </cell>
          <cell r="Z14">
            <v>216</v>
          </cell>
          <cell r="AA14">
            <v>20</v>
          </cell>
          <cell r="AB14">
            <v>897</v>
          </cell>
        </row>
        <row r="15">
          <cell r="E15">
            <v>64</v>
          </cell>
          <cell r="F15">
            <v>17</v>
          </cell>
          <cell r="G15">
            <v>712</v>
          </cell>
          <cell r="H15">
            <v>115</v>
          </cell>
          <cell r="I15">
            <v>18</v>
          </cell>
          <cell r="J15">
            <v>290</v>
          </cell>
          <cell r="N15">
            <v>140</v>
          </cell>
          <cell r="O15">
            <v>32</v>
          </cell>
          <cell r="P15">
            <v>1502</v>
          </cell>
          <cell r="Q15">
            <v>168</v>
          </cell>
          <cell r="R15">
            <v>20</v>
          </cell>
          <cell r="S15">
            <v>610</v>
          </cell>
          <cell r="W15">
            <v>216</v>
          </cell>
          <cell r="X15">
            <v>60</v>
          </cell>
          <cell r="Y15">
            <v>2318</v>
          </cell>
          <cell r="Z15">
            <v>224</v>
          </cell>
          <cell r="AA15">
            <v>21</v>
          </cell>
          <cell r="AB15">
            <v>941</v>
          </cell>
        </row>
        <row r="16">
          <cell r="E16">
            <v>68</v>
          </cell>
          <cell r="F16">
            <v>18</v>
          </cell>
          <cell r="G16">
            <v>736</v>
          </cell>
          <cell r="H16">
            <v>120</v>
          </cell>
          <cell r="I16">
            <v>19</v>
          </cell>
          <cell r="J16">
            <v>304</v>
          </cell>
          <cell r="N16">
            <v>148</v>
          </cell>
          <cell r="O16">
            <v>34</v>
          </cell>
          <cell r="P16">
            <v>1556</v>
          </cell>
          <cell r="Q16">
            <v>174</v>
          </cell>
          <cell r="R16">
            <v>21</v>
          </cell>
          <cell r="S16">
            <v>638</v>
          </cell>
          <cell r="W16">
            <v>228</v>
          </cell>
          <cell r="X16">
            <v>64</v>
          </cell>
          <cell r="Y16">
            <v>2404</v>
          </cell>
          <cell r="Z16">
            <v>232</v>
          </cell>
          <cell r="AA16">
            <v>22</v>
          </cell>
          <cell r="AB16">
            <v>984</v>
          </cell>
        </row>
        <row r="17">
          <cell r="E17">
            <v>72</v>
          </cell>
          <cell r="F17">
            <v>19</v>
          </cell>
          <cell r="G17">
            <v>760</v>
          </cell>
          <cell r="H17">
            <v>125</v>
          </cell>
          <cell r="I17">
            <v>20</v>
          </cell>
          <cell r="J17">
            <v>318</v>
          </cell>
          <cell r="N17">
            <v>156</v>
          </cell>
          <cell r="O17">
            <v>36</v>
          </cell>
          <cell r="P17">
            <v>1610</v>
          </cell>
          <cell r="Q17">
            <v>180</v>
          </cell>
          <cell r="R17">
            <v>22</v>
          </cell>
          <cell r="S17">
            <v>667</v>
          </cell>
          <cell r="W17">
            <v>240</v>
          </cell>
          <cell r="X17">
            <v>68</v>
          </cell>
          <cell r="Y17">
            <v>2490</v>
          </cell>
          <cell r="Z17">
            <v>240</v>
          </cell>
          <cell r="AA17">
            <v>23</v>
          </cell>
          <cell r="AB17">
            <v>1028</v>
          </cell>
        </row>
        <row r="18">
          <cell r="E18">
            <v>76</v>
          </cell>
          <cell r="F18">
            <v>20</v>
          </cell>
          <cell r="G18">
            <v>784</v>
          </cell>
          <cell r="H18">
            <v>130</v>
          </cell>
          <cell r="I18">
            <v>21</v>
          </cell>
          <cell r="J18">
            <v>332</v>
          </cell>
          <cell r="N18">
            <v>164</v>
          </cell>
          <cell r="O18">
            <v>38</v>
          </cell>
          <cell r="P18">
            <v>1664</v>
          </cell>
          <cell r="Q18">
            <v>186</v>
          </cell>
          <cell r="R18">
            <v>23</v>
          </cell>
          <cell r="S18">
            <v>695</v>
          </cell>
          <cell r="W18">
            <v>252</v>
          </cell>
          <cell r="X18">
            <v>72</v>
          </cell>
          <cell r="Y18">
            <v>2576</v>
          </cell>
          <cell r="Z18">
            <v>248</v>
          </cell>
          <cell r="AA18">
            <v>24</v>
          </cell>
          <cell r="AB18">
            <v>1072</v>
          </cell>
        </row>
        <row r="19">
          <cell r="E19">
            <v>80</v>
          </cell>
          <cell r="F19">
            <v>21</v>
          </cell>
          <cell r="G19">
            <v>808</v>
          </cell>
          <cell r="H19">
            <v>135</v>
          </cell>
          <cell r="I19">
            <v>22</v>
          </cell>
          <cell r="J19">
            <v>346</v>
          </cell>
          <cell r="N19">
            <v>172</v>
          </cell>
          <cell r="O19">
            <v>40</v>
          </cell>
          <cell r="P19">
            <v>1718</v>
          </cell>
          <cell r="Q19">
            <v>192</v>
          </cell>
          <cell r="R19">
            <v>24</v>
          </cell>
          <cell r="S19">
            <v>723</v>
          </cell>
          <cell r="W19">
            <v>264</v>
          </cell>
          <cell r="X19">
            <v>76</v>
          </cell>
          <cell r="Y19">
            <v>2662</v>
          </cell>
          <cell r="Z19">
            <v>256</v>
          </cell>
          <cell r="AA19">
            <v>25</v>
          </cell>
          <cell r="AB19">
            <v>1116</v>
          </cell>
        </row>
        <row r="20">
          <cell r="E20">
            <v>84</v>
          </cell>
          <cell r="F20">
            <v>22</v>
          </cell>
          <cell r="G20">
            <v>832</v>
          </cell>
          <cell r="H20">
            <v>140</v>
          </cell>
          <cell r="I20">
            <v>23</v>
          </cell>
          <cell r="J20">
            <v>360</v>
          </cell>
          <cell r="N20">
            <v>180</v>
          </cell>
          <cell r="O20">
            <v>42</v>
          </cell>
          <cell r="P20">
            <v>1772</v>
          </cell>
          <cell r="Q20">
            <v>198</v>
          </cell>
          <cell r="R20">
            <v>25</v>
          </cell>
          <cell r="S20">
            <v>752</v>
          </cell>
          <cell r="W20">
            <v>276</v>
          </cell>
          <cell r="X20">
            <v>80</v>
          </cell>
          <cell r="Y20">
            <v>2748</v>
          </cell>
          <cell r="Z20">
            <v>264</v>
          </cell>
          <cell r="AA20">
            <v>26</v>
          </cell>
          <cell r="AB20">
            <v>1160</v>
          </cell>
        </row>
        <row r="21">
          <cell r="E21">
            <v>88</v>
          </cell>
          <cell r="F21">
            <v>23</v>
          </cell>
          <cell r="G21">
            <v>856</v>
          </cell>
          <cell r="H21">
            <v>145</v>
          </cell>
          <cell r="I21">
            <v>24</v>
          </cell>
          <cell r="J21">
            <v>374</v>
          </cell>
          <cell r="N21">
            <v>188</v>
          </cell>
          <cell r="O21">
            <v>44</v>
          </cell>
          <cell r="P21">
            <v>1826</v>
          </cell>
          <cell r="Q21">
            <v>204</v>
          </cell>
          <cell r="R21">
            <v>26</v>
          </cell>
          <cell r="S21">
            <v>780</v>
          </cell>
          <cell r="W21">
            <v>288</v>
          </cell>
          <cell r="X21">
            <v>84</v>
          </cell>
          <cell r="Y21">
            <v>2834</v>
          </cell>
          <cell r="Z21">
            <v>272</v>
          </cell>
          <cell r="AA21">
            <v>27</v>
          </cell>
          <cell r="AB21">
            <v>1204</v>
          </cell>
        </row>
        <row r="22">
          <cell r="E22">
            <v>92</v>
          </cell>
          <cell r="F22">
            <v>24</v>
          </cell>
          <cell r="G22">
            <v>880</v>
          </cell>
          <cell r="H22">
            <v>150</v>
          </cell>
          <cell r="I22">
            <v>25</v>
          </cell>
          <cell r="J22">
            <v>388</v>
          </cell>
          <cell r="N22">
            <v>196</v>
          </cell>
          <cell r="O22">
            <v>46</v>
          </cell>
          <cell r="P22">
            <v>1880</v>
          </cell>
          <cell r="Q22">
            <v>210</v>
          </cell>
          <cell r="R22">
            <v>27</v>
          </cell>
          <cell r="S22">
            <v>809</v>
          </cell>
          <cell r="W22">
            <v>300</v>
          </cell>
          <cell r="X22">
            <v>88</v>
          </cell>
          <cell r="Y22">
            <v>2920</v>
          </cell>
          <cell r="Z22">
            <v>280</v>
          </cell>
          <cell r="AA22">
            <v>28</v>
          </cell>
          <cell r="AB22">
            <v>1248</v>
          </cell>
        </row>
        <row r="23">
          <cell r="E23">
            <v>96</v>
          </cell>
          <cell r="F23">
            <v>25</v>
          </cell>
          <cell r="G23">
            <v>904</v>
          </cell>
          <cell r="H23">
            <v>155</v>
          </cell>
          <cell r="I23">
            <v>26</v>
          </cell>
          <cell r="J23">
            <v>401</v>
          </cell>
          <cell r="N23">
            <v>204</v>
          </cell>
          <cell r="O23">
            <v>48</v>
          </cell>
          <cell r="P23">
            <v>1934</v>
          </cell>
          <cell r="Q23">
            <v>216</v>
          </cell>
          <cell r="R23">
            <v>28</v>
          </cell>
          <cell r="S23">
            <v>837</v>
          </cell>
          <cell r="W23">
            <v>312</v>
          </cell>
          <cell r="X23">
            <v>92</v>
          </cell>
          <cell r="Y23">
            <v>3006</v>
          </cell>
          <cell r="Z23">
            <v>288</v>
          </cell>
          <cell r="AA23">
            <v>29</v>
          </cell>
          <cell r="AB23">
            <v>1291</v>
          </cell>
        </row>
        <row r="24">
          <cell r="E24">
            <v>100</v>
          </cell>
          <cell r="F24">
            <v>26</v>
          </cell>
          <cell r="G24">
            <v>928</v>
          </cell>
          <cell r="H24">
            <v>160</v>
          </cell>
          <cell r="I24">
            <v>27</v>
          </cell>
          <cell r="J24">
            <v>415</v>
          </cell>
          <cell r="N24">
            <v>212</v>
          </cell>
          <cell r="O24">
            <v>50</v>
          </cell>
          <cell r="P24">
            <v>1988</v>
          </cell>
          <cell r="Q24">
            <v>222</v>
          </cell>
          <cell r="R24">
            <v>29</v>
          </cell>
          <cell r="S24">
            <v>866</v>
          </cell>
          <cell r="W24">
            <v>324</v>
          </cell>
          <cell r="X24">
            <v>96</v>
          </cell>
          <cell r="Y24">
            <v>3092</v>
          </cell>
          <cell r="Z24">
            <v>296</v>
          </cell>
          <cell r="AA24">
            <v>30</v>
          </cell>
          <cell r="AB24">
            <v>1335</v>
          </cell>
        </row>
        <row r="25">
          <cell r="E25">
            <v>104</v>
          </cell>
          <cell r="F25">
            <v>27</v>
          </cell>
          <cell r="G25">
            <v>952</v>
          </cell>
          <cell r="H25">
            <v>165</v>
          </cell>
          <cell r="I25">
            <v>28</v>
          </cell>
          <cell r="J25">
            <v>429</v>
          </cell>
          <cell r="N25">
            <v>220</v>
          </cell>
          <cell r="O25">
            <v>52</v>
          </cell>
          <cell r="P25">
            <v>2042</v>
          </cell>
          <cell r="Q25">
            <v>228</v>
          </cell>
          <cell r="R25">
            <v>30</v>
          </cell>
          <cell r="S25">
            <v>894</v>
          </cell>
          <cell r="W25">
            <v>336</v>
          </cell>
          <cell r="X25">
            <v>100</v>
          </cell>
          <cell r="Y25">
            <v>3178</v>
          </cell>
          <cell r="Z25">
            <v>304</v>
          </cell>
          <cell r="AA25">
            <v>31</v>
          </cell>
          <cell r="AB25">
            <v>1379</v>
          </cell>
        </row>
        <row r="26">
          <cell r="E26">
            <v>108</v>
          </cell>
          <cell r="F26">
            <v>28</v>
          </cell>
          <cell r="G26">
            <v>976</v>
          </cell>
          <cell r="H26">
            <v>170</v>
          </cell>
          <cell r="I26">
            <v>29</v>
          </cell>
          <cell r="J26">
            <v>443</v>
          </cell>
          <cell r="N26">
            <v>228</v>
          </cell>
          <cell r="O26">
            <v>54</v>
          </cell>
          <cell r="P26">
            <v>2096</v>
          </cell>
          <cell r="Q26">
            <v>234</v>
          </cell>
          <cell r="R26">
            <v>31</v>
          </cell>
          <cell r="S26">
            <v>922</v>
          </cell>
          <cell r="W26">
            <v>348</v>
          </cell>
          <cell r="X26">
            <v>104</v>
          </cell>
          <cell r="Y26">
            <v>3264</v>
          </cell>
          <cell r="Z26">
            <v>312</v>
          </cell>
          <cell r="AA26">
            <v>32</v>
          </cell>
          <cell r="AB26">
            <v>1423</v>
          </cell>
        </row>
        <row r="27">
          <cell r="E27">
            <v>112</v>
          </cell>
          <cell r="F27">
            <v>29</v>
          </cell>
          <cell r="G27">
            <v>1000</v>
          </cell>
          <cell r="H27">
            <v>175</v>
          </cell>
          <cell r="I27">
            <v>30</v>
          </cell>
          <cell r="J27">
            <v>457</v>
          </cell>
          <cell r="N27">
            <v>236</v>
          </cell>
          <cell r="O27">
            <v>56</v>
          </cell>
          <cell r="P27">
            <v>2150</v>
          </cell>
          <cell r="Q27">
            <v>240</v>
          </cell>
          <cell r="R27">
            <v>32</v>
          </cell>
          <cell r="S27">
            <v>951</v>
          </cell>
          <cell r="W27">
            <v>360</v>
          </cell>
          <cell r="X27">
            <v>108</v>
          </cell>
          <cell r="Y27">
            <v>3350</v>
          </cell>
          <cell r="Z27">
            <v>320</v>
          </cell>
          <cell r="AA27">
            <v>33</v>
          </cell>
          <cell r="AB27">
            <v>1467</v>
          </cell>
        </row>
        <row r="28">
          <cell r="E28">
            <v>116</v>
          </cell>
          <cell r="F28">
            <v>30</v>
          </cell>
          <cell r="G28">
            <v>1024</v>
          </cell>
          <cell r="H28">
            <v>180</v>
          </cell>
          <cell r="I28">
            <v>31</v>
          </cell>
          <cell r="J28">
            <v>471</v>
          </cell>
          <cell r="N28">
            <v>244</v>
          </cell>
          <cell r="O28">
            <v>58</v>
          </cell>
          <cell r="P28">
            <v>2204</v>
          </cell>
          <cell r="Q28">
            <v>246</v>
          </cell>
          <cell r="R28">
            <v>33</v>
          </cell>
          <cell r="S28">
            <v>979</v>
          </cell>
          <cell r="W28">
            <v>372</v>
          </cell>
          <cell r="X28">
            <v>112</v>
          </cell>
          <cell r="Y28">
            <v>3436</v>
          </cell>
          <cell r="Z28">
            <v>328</v>
          </cell>
          <cell r="AA28">
            <v>34</v>
          </cell>
          <cell r="AB28">
            <v>1511</v>
          </cell>
        </row>
        <row r="29">
          <cell r="E29">
            <v>120</v>
          </cell>
          <cell r="F29">
            <v>31</v>
          </cell>
          <cell r="G29">
            <v>1048</v>
          </cell>
          <cell r="H29">
            <v>185</v>
          </cell>
          <cell r="I29">
            <v>32</v>
          </cell>
          <cell r="J29">
            <v>485</v>
          </cell>
          <cell r="N29">
            <v>252</v>
          </cell>
          <cell r="O29">
            <v>60</v>
          </cell>
          <cell r="P29">
            <v>2258</v>
          </cell>
          <cell r="Q29">
            <v>252</v>
          </cell>
          <cell r="R29">
            <v>34</v>
          </cell>
          <cell r="S29">
            <v>1008</v>
          </cell>
          <cell r="W29">
            <v>384</v>
          </cell>
          <cell r="X29">
            <v>116</v>
          </cell>
          <cell r="Y29">
            <v>3522</v>
          </cell>
          <cell r="Z29">
            <v>336</v>
          </cell>
          <cell r="AA29">
            <v>35</v>
          </cell>
          <cell r="AB29">
            <v>1555</v>
          </cell>
        </row>
        <row r="30">
          <cell r="E30">
            <v>124</v>
          </cell>
          <cell r="F30">
            <v>32</v>
          </cell>
          <cell r="G30">
            <v>1072</v>
          </cell>
          <cell r="H30">
            <v>190</v>
          </cell>
          <cell r="I30">
            <v>33</v>
          </cell>
          <cell r="J30">
            <v>499</v>
          </cell>
          <cell r="N30">
            <v>260</v>
          </cell>
          <cell r="O30">
            <v>62</v>
          </cell>
          <cell r="P30">
            <v>2312</v>
          </cell>
          <cell r="Q30">
            <v>258</v>
          </cell>
          <cell r="R30">
            <v>35</v>
          </cell>
          <cell r="S30">
            <v>1036</v>
          </cell>
          <cell r="W30">
            <v>396</v>
          </cell>
          <cell r="X30">
            <v>120</v>
          </cell>
          <cell r="Y30">
            <v>3608</v>
          </cell>
          <cell r="Z30">
            <v>344</v>
          </cell>
          <cell r="AA30">
            <v>36</v>
          </cell>
          <cell r="AB30">
            <v>1598</v>
          </cell>
        </row>
        <row r="31">
          <cell r="E31">
            <v>128</v>
          </cell>
          <cell r="F31">
            <v>33</v>
          </cell>
          <cell r="G31">
            <v>1096</v>
          </cell>
          <cell r="H31">
            <v>195</v>
          </cell>
          <cell r="I31">
            <v>34</v>
          </cell>
          <cell r="J31">
            <v>513</v>
          </cell>
          <cell r="N31">
            <v>268</v>
          </cell>
          <cell r="O31">
            <v>64</v>
          </cell>
          <cell r="P31">
            <v>2366</v>
          </cell>
          <cell r="Q31">
            <v>264</v>
          </cell>
          <cell r="R31">
            <v>36</v>
          </cell>
          <cell r="S31">
            <v>1064</v>
          </cell>
          <cell r="W31">
            <v>408</v>
          </cell>
          <cell r="X31">
            <v>124</v>
          </cell>
          <cell r="Y31">
            <v>3694</v>
          </cell>
          <cell r="Z31">
            <v>352</v>
          </cell>
          <cell r="AA31">
            <v>37</v>
          </cell>
          <cell r="AB31">
            <v>1642</v>
          </cell>
        </row>
        <row r="32">
          <cell r="E32">
            <v>132</v>
          </cell>
          <cell r="F32">
            <v>34</v>
          </cell>
          <cell r="G32">
            <v>1120</v>
          </cell>
          <cell r="H32">
            <v>200</v>
          </cell>
          <cell r="I32">
            <v>35</v>
          </cell>
          <cell r="J32">
            <v>527</v>
          </cell>
          <cell r="N32">
            <v>276</v>
          </cell>
          <cell r="O32">
            <v>66</v>
          </cell>
          <cell r="P32">
            <v>2420</v>
          </cell>
          <cell r="Q32">
            <v>270</v>
          </cell>
          <cell r="R32">
            <v>37</v>
          </cell>
          <cell r="S32">
            <v>1093</v>
          </cell>
          <cell r="W32">
            <v>420</v>
          </cell>
          <cell r="X32">
            <v>128</v>
          </cell>
          <cell r="Y32">
            <v>3780</v>
          </cell>
          <cell r="Z32">
            <v>360</v>
          </cell>
          <cell r="AA32">
            <v>38</v>
          </cell>
          <cell r="AB32">
            <v>1686</v>
          </cell>
        </row>
        <row r="33">
          <cell r="E33">
            <v>136</v>
          </cell>
          <cell r="F33">
            <v>35</v>
          </cell>
          <cell r="G33">
            <v>1144</v>
          </cell>
          <cell r="H33">
            <v>205</v>
          </cell>
          <cell r="I33">
            <v>36</v>
          </cell>
          <cell r="J33">
            <v>540</v>
          </cell>
          <cell r="N33">
            <v>284</v>
          </cell>
          <cell r="O33">
            <v>68</v>
          </cell>
          <cell r="P33">
            <v>2474</v>
          </cell>
          <cell r="Q33">
            <v>276</v>
          </cell>
          <cell r="R33">
            <v>38</v>
          </cell>
          <cell r="S33">
            <v>1121</v>
          </cell>
          <cell r="W33">
            <v>432</v>
          </cell>
          <cell r="X33">
            <v>132</v>
          </cell>
          <cell r="Y33">
            <v>3866</v>
          </cell>
          <cell r="Z33">
            <v>368</v>
          </cell>
          <cell r="AA33">
            <v>39</v>
          </cell>
          <cell r="AB33">
            <v>1730</v>
          </cell>
        </row>
        <row r="34">
          <cell r="E34">
            <v>140</v>
          </cell>
          <cell r="F34">
            <v>36</v>
          </cell>
          <cell r="G34">
            <v>1168</v>
          </cell>
          <cell r="H34">
            <v>210</v>
          </cell>
          <cell r="I34">
            <v>37</v>
          </cell>
          <cell r="J34">
            <v>554</v>
          </cell>
          <cell r="N34">
            <v>292</v>
          </cell>
          <cell r="O34">
            <v>70</v>
          </cell>
          <cell r="P34">
            <v>2528</v>
          </cell>
          <cell r="Q34">
            <v>282</v>
          </cell>
          <cell r="R34">
            <v>39</v>
          </cell>
          <cell r="S34">
            <v>1150</v>
          </cell>
          <cell r="W34">
            <v>444</v>
          </cell>
          <cell r="X34">
            <v>136</v>
          </cell>
          <cell r="Y34">
            <v>3952</v>
          </cell>
          <cell r="Z34">
            <v>376</v>
          </cell>
          <cell r="AA34">
            <v>40</v>
          </cell>
          <cell r="AB34">
            <v>1774</v>
          </cell>
        </row>
        <row r="35">
          <cell r="E35">
            <v>144</v>
          </cell>
          <cell r="F35">
            <v>37</v>
          </cell>
          <cell r="G35">
            <v>1192</v>
          </cell>
          <cell r="H35">
            <v>215</v>
          </cell>
          <cell r="I35">
            <v>38</v>
          </cell>
          <cell r="J35">
            <v>568</v>
          </cell>
          <cell r="N35">
            <v>300</v>
          </cell>
          <cell r="O35">
            <v>72</v>
          </cell>
          <cell r="P35">
            <v>2582</v>
          </cell>
          <cell r="Q35">
            <v>288</v>
          </cell>
          <cell r="R35">
            <v>40</v>
          </cell>
          <cell r="S35">
            <v>1178</v>
          </cell>
          <cell r="W35">
            <v>456</v>
          </cell>
          <cell r="X35">
            <v>140</v>
          </cell>
          <cell r="Y35">
            <v>4038</v>
          </cell>
          <cell r="Z35">
            <v>384</v>
          </cell>
          <cell r="AA35">
            <v>41</v>
          </cell>
          <cell r="AB35">
            <v>1818</v>
          </cell>
        </row>
        <row r="36">
          <cell r="E36">
            <v>148</v>
          </cell>
          <cell r="F36">
            <v>38</v>
          </cell>
          <cell r="G36">
            <v>1216</v>
          </cell>
          <cell r="H36">
            <v>220</v>
          </cell>
          <cell r="I36">
            <v>39</v>
          </cell>
          <cell r="J36">
            <v>582</v>
          </cell>
          <cell r="N36">
            <v>308</v>
          </cell>
          <cell r="O36">
            <v>74</v>
          </cell>
          <cell r="P36">
            <v>2636</v>
          </cell>
          <cell r="Q36">
            <v>294</v>
          </cell>
          <cell r="R36">
            <v>41</v>
          </cell>
          <cell r="S36">
            <v>1207</v>
          </cell>
          <cell r="W36">
            <v>468</v>
          </cell>
          <cell r="X36">
            <v>144</v>
          </cell>
          <cell r="Y36">
            <v>4124</v>
          </cell>
          <cell r="Z36">
            <v>392</v>
          </cell>
          <cell r="AA36">
            <v>42</v>
          </cell>
          <cell r="AB36">
            <v>1862</v>
          </cell>
        </row>
        <row r="37">
          <cell r="E37">
            <v>152</v>
          </cell>
          <cell r="F37">
            <v>39</v>
          </cell>
          <cell r="G37">
            <v>1240</v>
          </cell>
          <cell r="H37">
            <v>225</v>
          </cell>
          <cell r="I37">
            <v>40</v>
          </cell>
          <cell r="J37">
            <v>596</v>
          </cell>
          <cell r="N37">
            <v>316</v>
          </cell>
          <cell r="O37">
            <v>76</v>
          </cell>
          <cell r="P37">
            <v>2690</v>
          </cell>
          <cell r="Q37">
            <v>300</v>
          </cell>
          <cell r="R37">
            <v>42</v>
          </cell>
          <cell r="S37">
            <v>1235</v>
          </cell>
          <cell r="W37">
            <v>480</v>
          </cell>
          <cell r="X37">
            <v>148</v>
          </cell>
          <cell r="Y37">
            <v>4210</v>
          </cell>
          <cell r="Z37">
            <v>400</v>
          </cell>
          <cell r="AA37">
            <v>43</v>
          </cell>
          <cell r="AB37">
            <v>1906</v>
          </cell>
        </row>
        <row r="38">
          <cell r="E38">
            <v>156</v>
          </cell>
          <cell r="F38">
            <v>40</v>
          </cell>
          <cell r="G38">
            <v>1264</v>
          </cell>
          <cell r="H38">
            <v>230</v>
          </cell>
          <cell r="I38">
            <v>41</v>
          </cell>
          <cell r="J38">
            <v>610</v>
          </cell>
          <cell r="N38">
            <v>324</v>
          </cell>
          <cell r="O38">
            <v>78</v>
          </cell>
          <cell r="P38">
            <v>2744</v>
          </cell>
          <cell r="Q38">
            <v>306</v>
          </cell>
          <cell r="R38">
            <v>43</v>
          </cell>
          <cell r="S38">
            <v>1263</v>
          </cell>
          <cell r="W38">
            <v>492</v>
          </cell>
          <cell r="X38">
            <v>152</v>
          </cell>
          <cell r="Y38">
            <v>4296</v>
          </cell>
          <cell r="Z38">
            <v>408</v>
          </cell>
          <cell r="AA38">
            <v>44</v>
          </cell>
          <cell r="AB38">
            <v>1949</v>
          </cell>
        </row>
        <row r="39">
          <cell r="E39">
            <v>160</v>
          </cell>
          <cell r="F39">
            <v>41</v>
          </cell>
          <cell r="G39">
            <v>1288</v>
          </cell>
          <cell r="H39">
            <v>235</v>
          </cell>
          <cell r="I39">
            <v>42</v>
          </cell>
          <cell r="J39">
            <v>624</v>
          </cell>
          <cell r="N39">
            <v>332</v>
          </cell>
          <cell r="O39">
            <v>80</v>
          </cell>
          <cell r="P39">
            <v>2798</v>
          </cell>
          <cell r="Q39">
            <v>312</v>
          </cell>
          <cell r="R39">
            <v>44</v>
          </cell>
          <cell r="S39">
            <v>1292</v>
          </cell>
          <cell r="W39">
            <v>504</v>
          </cell>
          <cell r="X39">
            <v>156</v>
          </cell>
          <cell r="Y39">
            <v>4382</v>
          </cell>
          <cell r="Z39">
            <v>416</v>
          </cell>
          <cell r="AA39">
            <v>45</v>
          </cell>
          <cell r="AB39">
            <v>1993</v>
          </cell>
        </row>
        <row r="40">
          <cell r="E40">
            <v>164</v>
          </cell>
          <cell r="F40">
            <v>42</v>
          </cell>
          <cell r="G40">
            <v>1312</v>
          </cell>
          <cell r="H40">
            <v>240</v>
          </cell>
          <cell r="I40">
            <v>43</v>
          </cell>
          <cell r="J40">
            <v>638</v>
          </cell>
          <cell r="N40">
            <v>340</v>
          </cell>
          <cell r="O40">
            <v>82</v>
          </cell>
          <cell r="P40">
            <v>2852</v>
          </cell>
          <cell r="Q40">
            <v>318</v>
          </cell>
          <cell r="R40">
            <v>45</v>
          </cell>
          <cell r="S40">
            <v>1320</v>
          </cell>
          <cell r="W40">
            <v>516</v>
          </cell>
          <cell r="X40">
            <v>160</v>
          </cell>
          <cell r="Y40">
            <v>4468</v>
          </cell>
          <cell r="Z40">
            <v>424</v>
          </cell>
          <cell r="AA40">
            <v>46</v>
          </cell>
          <cell r="AB40">
            <v>2037</v>
          </cell>
        </row>
        <row r="41">
          <cell r="E41">
            <v>168</v>
          </cell>
          <cell r="F41">
            <v>43</v>
          </cell>
          <cell r="G41">
            <v>1336</v>
          </cell>
          <cell r="H41">
            <v>245</v>
          </cell>
          <cell r="I41">
            <v>44</v>
          </cell>
          <cell r="J41">
            <v>652</v>
          </cell>
          <cell r="N41">
            <v>348</v>
          </cell>
          <cell r="O41">
            <v>84</v>
          </cell>
          <cell r="P41">
            <v>2906</v>
          </cell>
          <cell r="Q41">
            <v>324</v>
          </cell>
          <cell r="R41">
            <v>46</v>
          </cell>
          <cell r="S41">
            <v>1349</v>
          </cell>
          <cell r="W41">
            <v>528</v>
          </cell>
          <cell r="X41">
            <v>164</v>
          </cell>
          <cell r="Y41">
            <v>4554</v>
          </cell>
          <cell r="Z41">
            <v>432</v>
          </cell>
          <cell r="AA41">
            <v>47</v>
          </cell>
          <cell r="AB41">
            <v>2081</v>
          </cell>
        </row>
        <row r="42">
          <cell r="E42">
            <v>172</v>
          </cell>
          <cell r="F42">
            <v>44</v>
          </cell>
          <cell r="G42">
            <v>1360</v>
          </cell>
          <cell r="H42">
            <v>250</v>
          </cell>
          <cell r="I42">
            <v>45</v>
          </cell>
          <cell r="J42">
            <v>666</v>
          </cell>
          <cell r="N42">
            <v>356</v>
          </cell>
          <cell r="O42">
            <v>86</v>
          </cell>
          <cell r="P42">
            <v>2960</v>
          </cell>
          <cell r="Q42">
            <v>330</v>
          </cell>
          <cell r="R42">
            <v>47</v>
          </cell>
          <cell r="S42">
            <v>1377</v>
          </cell>
          <cell r="W42">
            <v>540</v>
          </cell>
          <cell r="X42">
            <v>168</v>
          </cell>
          <cell r="Y42">
            <v>4640</v>
          </cell>
          <cell r="Z42">
            <v>440</v>
          </cell>
          <cell r="AA42">
            <v>48</v>
          </cell>
          <cell r="AB42">
            <v>2125</v>
          </cell>
        </row>
        <row r="43">
          <cell r="E43">
            <v>176</v>
          </cell>
          <cell r="F43">
            <v>45</v>
          </cell>
          <cell r="G43">
            <v>1384</v>
          </cell>
          <cell r="H43">
            <v>255</v>
          </cell>
          <cell r="I43">
            <v>46</v>
          </cell>
          <cell r="J43">
            <v>679</v>
          </cell>
          <cell r="N43">
            <v>364</v>
          </cell>
          <cell r="O43">
            <v>88</v>
          </cell>
          <cell r="P43">
            <v>3014</v>
          </cell>
          <cell r="Q43">
            <v>336</v>
          </cell>
          <cell r="R43">
            <v>48</v>
          </cell>
          <cell r="S43">
            <v>1406</v>
          </cell>
          <cell r="W43">
            <v>552</v>
          </cell>
          <cell r="X43">
            <v>172</v>
          </cell>
          <cell r="Y43">
            <v>4726</v>
          </cell>
          <cell r="Z43">
            <v>448</v>
          </cell>
          <cell r="AA43">
            <v>49</v>
          </cell>
          <cell r="AB43">
            <v>2169</v>
          </cell>
        </row>
        <row r="44">
          <cell r="E44">
            <v>180</v>
          </cell>
          <cell r="F44">
            <v>46</v>
          </cell>
          <cell r="G44">
            <v>1408</v>
          </cell>
          <cell r="H44">
            <v>260</v>
          </cell>
          <cell r="I44">
            <v>47</v>
          </cell>
          <cell r="J44">
            <v>693</v>
          </cell>
          <cell r="N44">
            <v>372</v>
          </cell>
          <cell r="O44">
            <v>90</v>
          </cell>
          <cell r="P44">
            <v>3068</v>
          </cell>
          <cell r="Q44">
            <v>342</v>
          </cell>
          <cell r="R44">
            <v>49</v>
          </cell>
          <cell r="S44">
            <v>1434</v>
          </cell>
          <cell r="W44">
            <v>564</v>
          </cell>
          <cell r="X44">
            <v>176</v>
          </cell>
          <cell r="Y44">
            <v>4812</v>
          </cell>
          <cell r="Z44">
            <v>456</v>
          </cell>
          <cell r="AA44">
            <v>50</v>
          </cell>
          <cell r="AB44">
            <v>2213</v>
          </cell>
        </row>
        <row r="45">
          <cell r="E45">
            <v>184</v>
          </cell>
          <cell r="F45">
            <v>47</v>
          </cell>
          <cell r="G45">
            <v>1432</v>
          </cell>
          <cell r="H45">
            <v>265</v>
          </cell>
          <cell r="I45">
            <v>48</v>
          </cell>
          <cell r="J45">
            <v>707</v>
          </cell>
          <cell r="N45">
            <v>380</v>
          </cell>
          <cell r="O45">
            <v>92</v>
          </cell>
          <cell r="P45">
            <v>3122</v>
          </cell>
          <cell r="Q45">
            <v>348</v>
          </cell>
          <cell r="R45">
            <v>50</v>
          </cell>
          <cell r="S45">
            <v>1462</v>
          </cell>
          <cell r="W45">
            <v>576</v>
          </cell>
          <cell r="X45">
            <v>180</v>
          </cell>
          <cell r="Y45">
            <v>4898</v>
          </cell>
          <cell r="Z45">
            <v>464</v>
          </cell>
          <cell r="AA45">
            <v>51</v>
          </cell>
          <cell r="AB45">
            <v>2256</v>
          </cell>
        </row>
        <row r="46">
          <cell r="E46">
            <v>188</v>
          </cell>
          <cell r="F46">
            <v>48</v>
          </cell>
          <cell r="G46">
            <v>1456</v>
          </cell>
          <cell r="H46">
            <v>270</v>
          </cell>
          <cell r="I46">
            <v>49</v>
          </cell>
          <cell r="J46">
            <v>721</v>
          </cell>
          <cell r="N46">
            <v>388</v>
          </cell>
          <cell r="O46">
            <v>94</v>
          </cell>
          <cell r="P46">
            <v>3176</v>
          </cell>
          <cell r="Q46">
            <v>354</v>
          </cell>
          <cell r="R46">
            <v>51</v>
          </cell>
          <cell r="S46">
            <v>1491</v>
          </cell>
          <cell r="W46">
            <v>588</v>
          </cell>
          <cell r="X46">
            <v>184</v>
          </cell>
          <cell r="Y46">
            <v>4984</v>
          </cell>
          <cell r="Z46">
            <v>472</v>
          </cell>
          <cell r="AA46">
            <v>52</v>
          </cell>
          <cell r="AB46">
            <v>2300</v>
          </cell>
        </row>
        <row r="47">
          <cell r="E47">
            <v>192</v>
          </cell>
          <cell r="F47">
            <v>49</v>
          </cell>
          <cell r="G47">
            <v>1480</v>
          </cell>
          <cell r="H47">
            <v>275</v>
          </cell>
          <cell r="I47">
            <v>50</v>
          </cell>
          <cell r="J47">
            <v>735</v>
          </cell>
          <cell r="N47">
            <v>396</v>
          </cell>
          <cell r="O47">
            <v>96</v>
          </cell>
          <cell r="P47">
            <v>3230</v>
          </cell>
          <cell r="Q47">
            <v>360</v>
          </cell>
          <cell r="R47">
            <v>52</v>
          </cell>
          <cell r="S47">
            <v>1519</v>
          </cell>
          <cell r="W47">
            <v>600</v>
          </cell>
          <cell r="X47">
            <v>188</v>
          </cell>
          <cell r="Y47">
            <v>5070</v>
          </cell>
          <cell r="Z47">
            <v>480</v>
          </cell>
          <cell r="AA47">
            <v>53</v>
          </cell>
          <cell r="AB47">
            <v>2344</v>
          </cell>
        </row>
        <row r="48">
          <cell r="E48">
            <v>196</v>
          </cell>
          <cell r="F48">
            <v>50</v>
          </cell>
          <cell r="G48">
            <v>1504</v>
          </cell>
          <cell r="H48">
            <v>280</v>
          </cell>
          <cell r="I48">
            <v>51</v>
          </cell>
          <cell r="J48">
            <v>749</v>
          </cell>
          <cell r="N48">
            <v>404</v>
          </cell>
          <cell r="O48">
            <v>98</v>
          </cell>
          <cell r="P48">
            <v>3284</v>
          </cell>
          <cell r="Q48">
            <v>366</v>
          </cell>
          <cell r="R48">
            <v>53</v>
          </cell>
          <cell r="S48">
            <v>1548</v>
          </cell>
          <cell r="W48">
            <v>612</v>
          </cell>
          <cell r="X48">
            <v>192</v>
          </cell>
          <cell r="Y48">
            <v>5156</v>
          </cell>
          <cell r="Z48">
            <v>488</v>
          </cell>
          <cell r="AA48">
            <v>54</v>
          </cell>
          <cell r="AB48">
            <v>2388</v>
          </cell>
        </row>
        <row r="49">
          <cell r="E49">
            <v>200</v>
          </cell>
          <cell r="F49">
            <v>51</v>
          </cell>
          <cell r="G49">
            <v>1528</v>
          </cell>
          <cell r="H49">
            <v>285</v>
          </cell>
          <cell r="I49">
            <v>52</v>
          </cell>
          <cell r="J49">
            <v>763</v>
          </cell>
          <cell r="N49">
            <v>412</v>
          </cell>
          <cell r="O49">
            <v>100</v>
          </cell>
          <cell r="P49">
            <v>3338</v>
          </cell>
          <cell r="Q49">
            <v>372</v>
          </cell>
          <cell r="R49">
            <v>54</v>
          </cell>
          <cell r="S49">
            <v>1576</v>
          </cell>
          <cell r="W49">
            <v>624</v>
          </cell>
          <cell r="X49">
            <v>196</v>
          </cell>
          <cell r="Y49">
            <v>5242</v>
          </cell>
          <cell r="Z49">
            <v>496</v>
          </cell>
          <cell r="AA49">
            <v>55</v>
          </cell>
          <cell r="AB49">
            <v>2432</v>
          </cell>
        </row>
        <row r="50">
          <cell r="E50">
            <v>204</v>
          </cell>
          <cell r="F50">
            <v>52</v>
          </cell>
          <cell r="G50">
            <v>1552</v>
          </cell>
          <cell r="H50">
            <v>290</v>
          </cell>
          <cell r="I50">
            <v>53</v>
          </cell>
          <cell r="J50">
            <v>777</v>
          </cell>
          <cell r="N50">
            <v>420</v>
          </cell>
          <cell r="O50">
            <v>102</v>
          </cell>
          <cell r="P50">
            <v>3392</v>
          </cell>
          <cell r="Q50">
            <v>378</v>
          </cell>
          <cell r="R50">
            <v>55</v>
          </cell>
          <cell r="S50">
            <v>1604</v>
          </cell>
          <cell r="W50">
            <v>636</v>
          </cell>
          <cell r="X50">
            <v>200</v>
          </cell>
          <cell r="Y50">
            <v>5328</v>
          </cell>
          <cell r="Z50">
            <v>504</v>
          </cell>
          <cell r="AA50">
            <v>56</v>
          </cell>
          <cell r="AB50">
            <v>2476</v>
          </cell>
        </row>
        <row r="51">
          <cell r="E51">
            <v>208</v>
          </cell>
          <cell r="F51">
            <v>53</v>
          </cell>
          <cell r="G51">
            <v>1576</v>
          </cell>
          <cell r="H51">
            <v>295</v>
          </cell>
          <cell r="I51">
            <v>54</v>
          </cell>
          <cell r="J51">
            <v>791</v>
          </cell>
          <cell r="N51">
            <v>428</v>
          </cell>
          <cell r="O51">
            <v>104</v>
          </cell>
          <cell r="P51">
            <v>3446</v>
          </cell>
          <cell r="Q51">
            <v>384</v>
          </cell>
          <cell r="R51">
            <v>56</v>
          </cell>
          <cell r="S51">
            <v>1633</v>
          </cell>
          <cell r="W51">
            <v>648</v>
          </cell>
          <cell r="X51">
            <v>204</v>
          </cell>
          <cell r="Y51">
            <v>5414</v>
          </cell>
          <cell r="Z51">
            <v>512</v>
          </cell>
          <cell r="AA51">
            <v>57</v>
          </cell>
          <cell r="AB51">
            <v>2520</v>
          </cell>
        </row>
      </sheetData>
      <sheetData sheetId="9"/>
      <sheetData sheetId="10">
        <row r="60">
          <cell r="E60">
            <v>2</v>
          </cell>
          <cell r="F60">
            <v>0</v>
          </cell>
          <cell r="G60">
            <v>95</v>
          </cell>
        </row>
        <row r="61">
          <cell r="E61">
            <v>3</v>
          </cell>
          <cell r="F61">
            <v>0</v>
          </cell>
          <cell r="G61">
            <v>97</v>
          </cell>
        </row>
        <row r="62">
          <cell r="E62">
            <v>4</v>
          </cell>
          <cell r="F62">
            <v>0</v>
          </cell>
          <cell r="G62">
            <v>199</v>
          </cell>
        </row>
        <row r="63">
          <cell r="E63">
            <v>7</v>
          </cell>
          <cell r="F63">
            <v>0</v>
          </cell>
          <cell r="G63">
            <v>254</v>
          </cell>
        </row>
        <row r="64">
          <cell r="E64">
            <v>13</v>
          </cell>
          <cell r="F64">
            <v>0</v>
          </cell>
          <cell r="G64">
            <v>363</v>
          </cell>
        </row>
        <row r="65">
          <cell r="E65">
            <v>17</v>
          </cell>
          <cell r="F65">
            <v>0</v>
          </cell>
          <cell r="G65">
            <v>476</v>
          </cell>
        </row>
        <row r="66">
          <cell r="E66">
            <v>22</v>
          </cell>
          <cell r="F66">
            <v>0</v>
          </cell>
          <cell r="G66">
            <v>648</v>
          </cell>
        </row>
        <row r="67">
          <cell r="E67">
            <v>33</v>
          </cell>
          <cell r="F67">
            <v>0</v>
          </cell>
          <cell r="G67">
            <v>771</v>
          </cell>
        </row>
        <row r="68">
          <cell r="E68">
            <v>36</v>
          </cell>
          <cell r="F68">
            <v>0</v>
          </cell>
          <cell r="G68">
            <v>1011</v>
          </cell>
        </row>
        <row r="69">
          <cell r="E69">
            <v>39</v>
          </cell>
          <cell r="F69">
            <v>0</v>
          </cell>
          <cell r="G69">
            <v>1372</v>
          </cell>
        </row>
        <row r="70">
          <cell r="E70">
            <v>42</v>
          </cell>
          <cell r="F70">
            <v>0</v>
          </cell>
          <cell r="G70">
            <v>1515</v>
          </cell>
        </row>
        <row r="71">
          <cell r="E71">
            <v>45</v>
          </cell>
          <cell r="F71">
            <v>0</v>
          </cell>
          <cell r="G71">
            <v>2373</v>
          </cell>
        </row>
        <row r="72">
          <cell r="E72">
            <v>50</v>
          </cell>
          <cell r="F72">
            <v>0</v>
          </cell>
          <cell r="G72">
            <v>3021</v>
          </cell>
        </row>
        <row r="73">
          <cell r="E73">
            <v>54</v>
          </cell>
          <cell r="F73">
            <v>0</v>
          </cell>
          <cell r="G73">
            <v>3685</v>
          </cell>
        </row>
        <row r="74">
          <cell r="E74">
            <v>59</v>
          </cell>
          <cell r="F74">
            <v>0</v>
          </cell>
          <cell r="G74">
            <v>4375</v>
          </cell>
        </row>
        <row r="75">
          <cell r="E75">
            <v>65</v>
          </cell>
          <cell r="F75">
            <v>0</v>
          </cell>
          <cell r="G75">
            <v>5087</v>
          </cell>
        </row>
        <row r="76">
          <cell r="E76">
            <v>72</v>
          </cell>
          <cell r="F76">
            <v>0</v>
          </cell>
          <cell r="G76">
            <v>5497</v>
          </cell>
        </row>
        <row r="77">
          <cell r="E77">
            <v>81</v>
          </cell>
          <cell r="F77">
            <v>0</v>
          </cell>
          <cell r="G77">
            <v>5910</v>
          </cell>
        </row>
        <row r="78">
          <cell r="E78">
            <v>91</v>
          </cell>
          <cell r="F78">
            <v>0</v>
          </cell>
          <cell r="G78">
            <v>6341</v>
          </cell>
        </row>
        <row r="79">
          <cell r="E79">
            <v>103</v>
          </cell>
          <cell r="F79">
            <v>0</v>
          </cell>
          <cell r="G79">
            <v>6783</v>
          </cell>
        </row>
        <row r="80">
          <cell r="E80">
            <v>119</v>
          </cell>
          <cell r="F80">
            <v>0</v>
          </cell>
          <cell r="G80">
            <v>7236</v>
          </cell>
        </row>
        <row r="81">
          <cell r="E81">
            <v>140</v>
          </cell>
          <cell r="F81">
            <v>0</v>
          </cell>
          <cell r="G81">
            <v>7700</v>
          </cell>
        </row>
        <row r="82">
          <cell r="E82">
            <v>169</v>
          </cell>
          <cell r="F82">
            <v>0</v>
          </cell>
          <cell r="G82">
            <v>8165</v>
          </cell>
        </row>
        <row r="83">
          <cell r="E83">
            <v>212</v>
          </cell>
          <cell r="F83">
            <v>0</v>
          </cell>
          <cell r="G83">
            <v>8650</v>
          </cell>
        </row>
        <row r="84">
          <cell r="E84">
            <v>284</v>
          </cell>
          <cell r="F84">
            <v>0</v>
          </cell>
          <cell r="G84">
            <v>9146</v>
          </cell>
        </row>
        <row r="85">
          <cell r="E85">
            <v>427</v>
          </cell>
          <cell r="F85">
            <v>0</v>
          </cell>
          <cell r="G85">
            <v>9653</v>
          </cell>
        </row>
        <row r="86">
          <cell r="E86">
            <v>435</v>
          </cell>
          <cell r="F86">
            <v>0</v>
          </cell>
          <cell r="G86">
            <v>10159</v>
          </cell>
        </row>
        <row r="87">
          <cell r="E87">
            <v>443</v>
          </cell>
          <cell r="F87">
            <v>0</v>
          </cell>
          <cell r="G87">
            <v>10687</v>
          </cell>
        </row>
        <row r="88">
          <cell r="E88">
            <v>450</v>
          </cell>
          <cell r="F88">
            <v>0</v>
          </cell>
          <cell r="G88">
            <v>11225</v>
          </cell>
        </row>
        <row r="89">
          <cell r="E89">
            <v>458</v>
          </cell>
          <cell r="F89">
            <v>0</v>
          </cell>
          <cell r="G89">
            <v>11775</v>
          </cell>
        </row>
        <row r="90">
          <cell r="E90">
            <v>466</v>
          </cell>
          <cell r="F90">
            <v>0</v>
          </cell>
          <cell r="G90">
            <v>12323</v>
          </cell>
        </row>
        <row r="91">
          <cell r="E91">
            <v>473</v>
          </cell>
          <cell r="F91">
            <v>0</v>
          </cell>
          <cell r="G91">
            <v>12893</v>
          </cell>
        </row>
        <row r="92">
          <cell r="E92">
            <v>481</v>
          </cell>
          <cell r="F92">
            <v>0</v>
          </cell>
          <cell r="G92">
            <v>13475</v>
          </cell>
        </row>
        <row r="93">
          <cell r="E93">
            <v>488</v>
          </cell>
          <cell r="F93">
            <v>0</v>
          </cell>
          <cell r="G93">
            <v>14068</v>
          </cell>
        </row>
        <row r="94">
          <cell r="E94">
            <v>496</v>
          </cell>
          <cell r="F94">
            <v>0</v>
          </cell>
          <cell r="G94">
            <v>14656</v>
          </cell>
        </row>
        <row r="95">
          <cell r="E95">
            <v>503</v>
          </cell>
          <cell r="F95">
            <v>0</v>
          </cell>
          <cell r="G95">
            <v>15270</v>
          </cell>
        </row>
        <row r="96">
          <cell r="E96">
            <v>511</v>
          </cell>
          <cell r="F96">
            <v>0</v>
          </cell>
          <cell r="G96">
            <v>15895</v>
          </cell>
        </row>
        <row r="97">
          <cell r="E97">
            <v>519</v>
          </cell>
          <cell r="F97">
            <v>0</v>
          </cell>
          <cell r="G97">
            <v>16530</v>
          </cell>
        </row>
        <row r="98">
          <cell r="E98">
            <v>526</v>
          </cell>
          <cell r="F98">
            <v>0</v>
          </cell>
          <cell r="G98">
            <v>17160</v>
          </cell>
        </row>
        <row r="99">
          <cell r="E99">
            <v>534</v>
          </cell>
          <cell r="F99">
            <v>0</v>
          </cell>
          <cell r="G99">
            <v>17817</v>
          </cell>
        </row>
        <row r="100">
          <cell r="E100">
            <v>541</v>
          </cell>
          <cell r="F100">
            <v>0</v>
          </cell>
          <cell r="G100">
            <v>18484</v>
          </cell>
        </row>
        <row r="101">
          <cell r="E101">
            <v>549</v>
          </cell>
          <cell r="F101">
            <v>0</v>
          </cell>
          <cell r="G101">
            <v>19163</v>
          </cell>
        </row>
        <row r="102">
          <cell r="E102">
            <v>557</v>
          </cell>
          <cell r="F102">
            <v>0</v>
          </cell>
          <cell r="G102">
            <v>19852</v>
          </cell>
        </row>
        <row r="103">
          <cell r="E103">
            <v>564</v>
          </cell>
          <cell r="F103">
            <v>0</v>
          </cell>
          <cell r="G103">
            <v>20533</v>
          </cell>
        </row>
        <row r="104">
          <cell r="E104">
            <v>572</v>
          </cell>
          <cell r="F104">
            <v>0</v>
          </cell>
          <cell r="G104">
            <v>21244</v>
          </cell>
        </row>
        <row r="105">
          <cell r="E105">
            <v>579</v>
          </cell>
          <cell r="F105">
            <v>0</v>
          </cell>
          <cell r="G105">
            <v>21965</v>
          </cell>
        </row>
        <row r="106">
          <cell r="E106">
            <v>587</v>
          </cell>
          <cell r="F106">
            <v>0</v>
          </cell>
          <cell r="G106">
            <v>22697</v>
          </cell>
        </row>
        <row r="107">
          <cell r="E107">
            <v>595</v>
          </cell>
          <cell r="F107">
            <v>0</v>
          </cell>
          <cell r="G107">
            <v>23420</v>
          </cell>
        </row>
        <row r="108">
          <cell r="E108">
            <v>602</v>
          </cell>
          <cell r="F108">
            <v>0</v>
          </cell>
          <cell r="G108">
            <v>24173</v>
          </cell>
        </row>
        <row r="109">
          <cell r="E109">
            <v>610</v>
          </cell>
          <cell r="F109">
            <v>0</v>
          </cell>
          <cell r="G109">
            <v>24938</v>
          </cell>
        </row>
        <row r="112">
          <cell r="E112">
            <v>3</v>
          </cell>
          <cell r="F112">
            <v>0</v>
          </cell>
        </row>
        <row r="113">
          <cell r="E113">
            <v>5</v>
          </cell>
          <cell r="F113">
            <v>0</v>
          </cell>
          <cell r="G113">
            <v>584</v>
          </cell>
        </row>
        <row r="114">
          <cell r="E114">
            <v>7</v>
          </cell>
          <cell r="F114">
            <v>0</v>
          </cell>
        </row>
        <row r="115">
          <cell r="E115">
            <v>13</v>
          </cell>
          <cell r="F115">
            <v>0</v>
          </cell>
          <cell r="G115">
            <v>864</v>
          </cell>
        </row>
        <row r="116">
          <cell r="E116">
            <v>24</v>
          </cell>
          <cell r="F116">
            <v>0</v>
          </cell>
          <cell r="G116">
            <v>1090</v>
          </cell>
        </row>
        <row r="117">
          <cell r="E117">
            <v>31</v>
          </cell>
          <cell r="F117">
            <v>0</v>
          </cell>
          <cell r="G117">
            <v>1429</v>
          </cell>
        </row>
        <row r="118">
          <cell r="E118">
            <v>41</v>
          </cell>
          <cell r="F118">
            <v>0</v>
          </cell>
          <cell r="G118">
            <v>1944</v>
          </cell>
        </row>
        <row r="119">
          <cell r="E119">
            <v>62</v>
          </cell>
          <cell r="F119">
            <v>0</v>
          </cell>
          <cell r="G119">
            <v>2314</v>
          </cell>
        </row>
        <row r="120">
          <cell r="E120">
            <v>67</v>
          </cell>
          <cell r="F120">
            <v>0</v>
          </cell>
          <cell r="G120">
            <v>3033</v>
          </cell>
        </row>
        <row r="121">
          <cell r="E121">
            <v>72</v>
          </cell>
          <cell r="F121">
            <v>0</v>
          </cell>
          <cell r="G121">
            <v>6860</v>
          </cell>
        </row>
        <row r="122">
          <cell r="E122">
            <v>78</v>
          </cell>
          <cell r="F122">
            <v>0</v>
          </cell>
          <cell r="G122">
            <v>7573</v>
          </cell>
        </row>
        <row r="123">
          <cell r="E123">
            <v>85</v>
          </cell>
          <cell r="F123">
            <v>0</v>
          </cell>
          <cell r="G123">
            <v>11867</v>
          </cell>
        </row>
        <row r="124">
          <cell r="E124">
            <v>93</v>
          </cell>
          <cell r="F124">
            <v>0</v>
          </cell>
          <cell r="G124">
            <v>15104</v>
          </cell>
        </row>
        <row r="125">
          <cell r="E125">
            <v>101</v>
          </cell>
          <cell r="F125">
            <v>0</v>
          </cell>
          <cell r="G125">
            <v>18425</v>
          </cell>
        </row>
        <row r="126">
          <cell r="E126">
            <v>111</v>
          </cell>
          <cell r="F126">
            <v>0</v>
          </cell>
          <cell r="G126">
            <v>21875</v>
          </cell>
        </row>
        <row r="127">
          <cell r="E127">
            <v>123</v>
          </cell>
          <cell r="F127">
            <v>0</v>
          </cell>
          <cell r="G127">
            <v>25433</v>
          </cell>
        </row>
        <row r="128">
          <cell r="E128">
            <v>136</v>
          </cell>
          <cell r="F128">
            <v>0</v>
          </cell>
          <cell r="G128">
            <v>27483</v>
          </cell>
        </row>
        <row r="129">
          <cell r="E129">
            <v>152</v>
          </cell>
          <cell r="F129">
            <v>0</v>
          </cell>
          <cell r="G129">
            <v>29550</v>
          </cell>
        </row>
        <row r="130">
          <cell r="E130">
            <v>172</v>
          </cell>
          <cell r="F130">
            <v>0</v>
          </cell>
          <cell r="G130">
            <v>31706</v>
          </cell>
        </row>
        <row r="131">
          <cell r="E131">
            <v>196</v>
          </cell>
          <cell r="F131">
            <v>0</v>
          </cell>
          <cell r="G131">
            <v>67833</v>
          </cell>
        </row>
        <row r="132">
          <cell r="E132">
            <v>227</v>
          </cell>
          <cell r="F132">
            <v>0</v>
          </cell>
          <cell r="G132">
            <v>72363</v>
          </cell>
        </row>
        <row r="133">
          <cell r="E133">
            <v>268</v>
          </cell>
          <cell r="F133">
            <v>0</v>
          </cell>
          <cell r="G133">
            <v>77000</v>
          </cell>
        </row>
        <row r="134">
          <cell r="E134">
            <v>326</v>
          </cell>
          <cell r="F134">
            <v>0</v>
          </cell>
          <cell r="G134">
            <v>81650</v>
          </cell>
        </row>
        <row r="135">
          <cell r="E135">
            <v>412</v>
          </cell>
          <cell r="F135">
            <v>0</v>
          </cell>
          <cell r="G135">
            <v>86500</v>
          </cell>
        </row>
        <row r="136">
          <cell r="E136">
            <v>556</v>
          </cell>
          <cell r="F136">
            <v>0</v>
          </cell>
          <cell r="G136">
            <v>91458</v>
          </cell>
        </row>
        <row r="137">
          <cell r="E137">
            <v>842</v>
          </cell>
          <cell r="F137">
            <v>0</v>
          </cell>
          <cell r="G137">
            <v>96525</v>
          </cell>
        </row>
        <row r="138">
          <cell r="E138">
            <v>857</v>
          </cell>
          <cell r="F138">
            <v>0</v>
          </cell>
          <cell r="G138">
            <v>101588</v>
          </cell>
        </row>
        <row r="139">
          <cell r="E139">
            <v>872</v>
          </cell>
          <cell r="F139">
            <v>0</v>
          </cell>
          <cell r="G139">
            <v>106867</v>
          </cell>
        </row>
        <row r="140">
          <cell r="E140">
            <v>886</v>
          </cell>
          <cell r="F140">
            <v>0</v>
          </cell>
          <cell r="G140">
            <v>112254</v>
          </cell>
        </row>
        <row r="141">
          <cell r="E141">
            <v>901</v>
          </cell>
          <cell r="F141">
            <v>0</v>
          </cell>
          <cell r="G141">
            <v>117750</v>
          </cell>
        </row>
        <row r="142">
          <cell r="E142">
            <v>916</v>
          </cell>
          <cell r="F142">
            <v>0</v>
          </cell>
          <cell r="G142">
            <v>184838</v>
          </cell>
        </row>
        <row r="143">
          <cell r="E143">
            <v>930</v>
          </cell>
          <cell r="F143">
            <v>0</v>
          </cell>
          <cell r="G143">
            <v>193400</v>
          </cell>
        </row>
        <row r="144">
          <cell r="E144">
            <v>945</v>
          </cell>
          <cell r="F144">
            <v>0</v>
          </cell>
          <cell r="G144">
            <v>202125</v>
          </cell>
        </row>
        <row r="145">
          <cell r="E145">
            <v>960</v>
          </cell>
          <cell r="F145">
            <v>0</v>
          </cell>
          <cell r="G145">
            <v>211013</v>
          </cell>
        </row>
        <row r="146">
          <cell r="E146">
            <v>974</v>
          </cell>
          <cell r="F146">
            <v>0</v>
          </cell>
          <cell r="G146">
            <v>219844</v>
          </cell>
        </row>
        <row r="147">
          <cell r="E147">
            <v>989</v>
          </cell>
          <cell r="F147">
            <v>0</v>
          </cell>
          <cell r="G147">
            <v>229050</v>
          </cell>
        </row>
        <row r="148">
          <cell r="E148">
            <v>1004</v>
          </cell>
          <cell r="F148">
            <v>0</v>
          </cell>
          <cell r="G148">
            <v>238419</v>
          </cell>
        </row>
        <row r="149">
          <cell r="E149">
            <v>1018</v>
          </cell>
          <cell r="F149">
            <v>0</v>
          </cell>
          <cell r="G149">
            <v>247950</v>
          </cell>
        </row>
        <row r="150">
          <cell r="E150">
            <v>1033</v>
          </cell>
          <cell r="F150">
            <v>0</v>
          </cell>
          <cell r="G150">
            <v>257400</v>
          </cell>
        </row>
        <row r="151">
          <cell r="E151">
            <v>1048</v>
          </cell>
          <cell r="F151">
            <v>0</v>
          </cell>
          <cell r="G151">
            <v>267250</v>
          </cell>
        </row>
        <row r="152">
          <cell r="E152">
            <v>1063</v>
          </cell>
          <cell r="F152">
            <v>0</v>
          </cell>
          <cell r="G152">
            <v>369683</v>
          </cell>
        </row>
        <row r="153">
          <cell r="E153">
            <v>1077</v>
          </cell>
          <cell r="F153">
            <v>0</v>
          </cell>
          <cell r="G153">
            <v>383250</v>
          </cell>
        </row>
        <row r="154">
          <cell r="E154">
            <v>1092</v>
          </cell>
          <cell r="F154">
            <v>0</v>
          </cell>
          <cell r="G154">
            <v>397033</v>
          </cell>
        </row>
        <row r="155">
          <cell r="E155">
            <v>1107</v>
          </cell>
          <cell r="F155">
            <v>0</v>
          </cell>
          <cell r="G155">
            <v>410667</v>
          </cell>
        </row>
        <row r="156">
          <cell r="E156">
            <v>1122</v>
          </cell>
          <cell r="F156">
            <v>0</v>
          </cell>
          <cell r="G156">
            <v>424875</v>
          </cell>
        </row>
        <row r="157">
          <cell r="E157">
            <v>1136</v>
          </cell>
          <cell r="F157">
            <v>0</v>
          </cell>
          <cell r="G157">
            <v>439300</v>
          </cell>
        </row>
        <row r="158">
          <cell r="E158">
            <v>1151</v>
          </cell>
          <cell r="F158">
            <v>0</v>
          </cell>
          <cell r="G158">
            <v>453942</v>
          </cell>
        </row>
        <row r="159">
          <cell r="E159">
            <v>1166</v>
          </cell>
          <cell r="F159">
            <v>0</v>
          </cell>
          <cell r="G159">
            <v>468400</v>
          </cell>
        </row>
        <row r="160">
          <cell r="E160">
            <v>1180</v>
          </cell>
          <cell r="F160">
            <v>0</v>
          </cell>
          <cell r="G160">
            <v>483467</v>
          </cell>
        </row>
        <row r="161">
          <cell r="E161">
            <v>1195</v>
          </cell>
          <cell r="F161">
            <v>0</v>
          </cell>
          <cell r="G161">
            <v>498750</v>
          </cell>
        </row>
        <row r="162">
          <cell r="F162"/>
        </row>
        <row r="163">
          <cell r="F163"/>
        </row>
        <row r="164">
          <cell r="E164">
            <v>2</v>
          </cell>
          <cell r="F164">
            <v>0</v>
          </cell>
          <cell r="G164">
            <v>0</v>
          </cell>
        </row>
        <row r="165">
          <cell r="E165">
            <v>2</v>
          </cell>
          <cell r="F165">
            <v>0</v>
          </cell>
          <cell r="G165">
            <v>0</v>
          </cell>
        </row>
        <row r="166">
          <cell r="E166">
            <v>2</v>
          </cell>
          <cell r="F166">
            <v>0</v>
          </cell>
          <cell r="G166">
            <v>0</v>
          </cell>
        </row>
        <row r="167">
          <cell r="E167">
            <v>3</v>
          </cell>
          <cell r="F167">
            <v>0</v>
          </cell>
          <cell r="G167">
            <v>0</v>
          </cell>
        </row>
        <row r="168">
          <cell r="E168">
            <v>3</v>
          </cell>
          <cell r="F168">
            <v>0</v>
          </cell>
          <cell r="G168">
            <v>0</v>
          </cell>
        </row>
        <row r="169">
          <cell r="E169">
            <v>4</v>
          </cell>
          <cell r="F169">
            <v>0</v>
          </cell>
          <cell r="G169">
            <v>0</v>
          </cell>
        </row>
        <row r="170">
          <cell r="E170">
            <v>4</v>
          </cell>
          <cell r="F170">
            <v>0</v>
          </cell>
          <cell r="G170">
            <v>0</v>
          </cell>
        </row>
        <row r="171">
          <cell r="E171">
            <v>5</v>
          </cell>
          <cell r="F171">
            <v>0</v>
          </cell>
          <cell r="G171">
            <v>0</v>
          </cell>
        </row>
        <row r="172">
          <cell r="E172">
            <v>5</v>
          </cell>
          <cell r="F172">
            <v>0</v>
          </cell>
          <cell r="G172">
            <v>0</v>
          </cell>
        </row>
        <row r="173">
          <cell r="E173">
            <v>6</v>
          </cell>
          <cell r="F173">
            <v>0</v>
          </cell>
          <cell r="G173">
            <v>0</v>
          </cell>
        </row>
        <row r="174">
          <cell r="E174">
            <v>6</v>
          </cell>
          <cell r="F174">
            <v>0</v>
          </cell>
          <cell r="G174">
            <v>0</v>
          </cell>
        </row>
        <row r="175">
          <cell r="E175">
            <v>7</v>
          </cell>
          <cell r="F175">
            <v>0</v>
          </cell>
          <cell r="G175">
            <v>0</v>
          </cell>
        </row>
        <row r="176">
          <cell r="E176">
            <v>8</v>
          </cell>
          <cell r="F176">
            <v>0</v>
          </cell>
          <cell r="G176">
            <v>0</v>
          </cell>
        </row>
        <row r="177">
          <cell r="E177">
            <v>9</v>
          </cell>
          <cell r="F177">
            <v>0</v>
          </cell>
          <cell r="G177">
            <v>0</v>
          </cell>
        </row>
        <row r="178">
          <cell r="E178">
            <v>10</v>
          </cell>
          <cell r="F178">
            <v>0</v>
          </cell>
          <cell r="G178">
            <v>0</v>
          </cell>
        </row>
        <row r="179">
          <cell r="E179">
            <v>12</v>
          </cell>
          <cell r="F179">
            <v>0</v>
          </cell>
          <cell r="G179">
            <v>0</v>
          </cell>
        </row>
        <row r="180">
          <cell r="E180">
            <v>14</v>
          </cell>
          <cell r="F180">
            <v>0</v>
          </cell>
          <cell r="G180">
            <v>0</v>
          </cell>
        </row>
        <row r="181">
          <cell r="E181">
            <v>17</v>
          </cell>
          <cell r="F181">
            <v>0</v>
          </cell>
          <cell r="G181">
            <v>0</v>
          </cell>
        </row>
        <row r="182">
          <cell r="E182">
            <v>24</v>
          </cell>
          <cell r="F182">
            <v>0</v>
          </cell>
          <cell r="G182">
            <v>0</v>
          </cell>
        </row>
        <row r="183">
          <cell r="E183">
            <v>27</v>
          </cell>
          <cell r="F183">
            <v>0</v>
          </cell>
          <cell r="G183">
            <v>0</v>
          </cell>
        </row>
        <row r="184">
          <cell r="E184">
            <v>29</v>
          </cell>
          <cell r="F184">
            <v>0</v>
          </cell>
          <cell r="G184">
            <v>0</v>
          </cell>
        </row>
        <row r="185">
          <cell r="E185">
            <v>31</v>
          </cell>
          <cell r="F185">
            <v>0</v>
          </cell>
          <cell r="G185">
            <v>0</v>
          </cell>
        </row>
        <row r="186">
          <cell r="E186">
            <v>33</v>
          </cell>
          <cell r="F186">
            <v>0</v>
          </cell>
          <cell r="G186">
            <v>0</v>
          </cell>
        </row>
        <row r="187">
          <cell r="E187">
            <v>36</v>
          </cell>
          <cell r="F187">
            <v>0</v>
          </cell>
          <cell r="G187">
            <v>0</v>
          </cell>
        </row>
        <row r="188">
          <cell r="E188">
            <v>39</v>
          </cell>
          <cell r="F188">
            <v>0</v>
          </cell>
          <cell r="G188">
            <v>0</v>
          </cell>
        </row>
        <row r="189">
          <cell r="E189">
            <v>54</v>
          </cell>
          <cell r="F189">
            <v>0</v>
          </cell>
          <cell r="G189">
            <v>0</v>
          </cell>
        </row>
        <row r="190">
          <cell r="E190">
            <v>61</v>
          </cell>
          <cell r="F190">
            <v>0</v>
          </cell>
          <cell r="G190">
            <v>0</v>
          </cell>
        </row>
        <row r="191">
          <cell r="E191">
            <v>70</v>
          </cell>
          <cell r="F191">
            <v>0</v>
          </cell>
          <cell r="G191">
            <v>0</v>
          </cell>
        </row>
        <row r="192">
          <cell r="E192">
            <v>81</v>
          </cell>
          <cell r="F192">
            <v>0</v>
          </cell>
          <cell r="G192">
            <v>0</v>
          </cell>
        </row>
        <row r="193">
          <cell r="E193">
            <v>97</v>
          </cell>
          <cell r="F193">
            <v>0</v>
          </cell>
          <cell r="G193">
            <v>0</v>
          </cell>
        </row>
        <row r="194">
          <cell r="E194">
            <v>122</v>
          </cell>
          <cell r="F194">
            <v>0</v>
          </cell>
          <cell r="G194">
            <v>0</v>
          </cell>
        </row>
        <row r="195">
          <cell r="E195">
            <v>124</v>
          </cell>
          <cell r="F195">
            <v>0</v>
          </cell>
          <cell r="G195">
            <v>0</v>
          </cell>
        </row>
        <row r="196">
          <cell r="E196">
            <v>126</v>
          </cell>
          <cell r="F196">
            <v>0</v>
          </cell>
          <cell r="G196">
            <v>0</v>
          </cell>
        </row>
        <row r="197">
          <cell r="E197">
            <v>128</v>
          </cell>
          <cell r="F197">
            <v>0</v>
          </cell>
          <cell r="G197">
            <v>0</v>
          </cell>
        </row>
        <row r="198">
          <cell r="E198">
            <v>130</v>
          </cell>
          <cell r="F198">
            <v>0</v>
          </cell>
          <cell r="G198">
            <v>0</v>
          </cell>
        </row>
        <row r="199">
          <cell r="E199">
            <v>132</v>
          </cell>
          <cell r="F199">
            <v>0</v>
          </cell>
          <cell r="G199">
            <v>0</v>
          </cell>
        </row>
        <row r="200">
          <cell r="E200">
            <v>134</v>
          </cell>
          <cell r="F200">
            <v>0</v>
          </cell>
          <cell r="G200">
            <v>0</v>
          </cell>
        </row>
        <row r="201">
          <cell r="E201">
            <v>136</v>
          </cell>
          <cell r="F201">
            <v>0</v>
          </cell>
          <cell r="G201">
            <v>0</v>
          </cell>
        </row>
        <row r="202">
          <cell r="E202">
            <v>138</v>
          </cell>
          <cell r="F202">
            <v>0</v>
          </cell>
          <cell r="G202">
            <v>0</v>
          </cell>
        </row>
        <row r="203">
          <cell r="E203">
            <v>140</v>
          </cell>
          <cell r="F203">
            <v>0</v>
          </cell>
          <cell r="G203">
            <v>0</v>
          </cell>
        </row>
        <row r="204">
          <cell r="E204">
            <v>142</v>
          </cell>
          <cell r="F204">
            <v>0</v>
          </cell>
          <cell r="G204">
            <v>0</v>
          </cell>
        </row>
        <row r="205">
          <cell r="E205">
            <v>144</v>
          </cell>
          <cell r="F205">
            <v>0</v>
          </cell>
          <cell r="G205">
            <v>0</v>
          </cell>
        </row>
        <row r="206">
          <cell r="E206">
            <v>146</v>
          </cell>
          <cell r="F206">
            <v>0</v>
          </cell>
          <cell r="G206">
            <v>0</v>
          </cell>
        </row>
        <row r="207">
          <cell r="E207">
            <v>149</v>
          </cell>
          <cell r="F207">
            <v>0</v>
          </cell>
          <cell r="G207">
            <v>0</v>
          </cell>
        </row>
        <row r="208">
          <cell r="E208">
            <v>151</v>
          </cell>
          <cell r="F208">
            <v>0</v>
          </cell>
          <cell r="G208">
            <v>0</v>
          </cell>
        </row>
        <row r="209">
          <cell r="E209">
            <v>153</v>
          </cell>
          <cell r="F209">
            <v>0</v>
          </cell>
          <cell r="G209">
            <v>0</v>
          </cell>
        </row>
        <row r="210">
          <cell r="E210">
            <v>155</v>
          </cell>
          <cell r="F210">
            <v>0</v>
          </cell>
          <cell r="G210">
            <v>0</v>
          </cell>
        </row>
        <row r="211">
          <cell r="E211">
            <v>157</v>
          </cell>
          <cell r="F211">
            <v>0</v>
          </cell>
          <cell r="G211">
            <v>0</v>
          </cell>
        </row>
        <row r="212">
          <cell r="E212">
            <v>159</v>
          </cell>
          <cell r="F212">
            <v>0</v>
          </cell>
          <cell r="G212">
            <v>0</v>
          </cell>
        </row>
        <row r="213">
          <cell r="E213">
            <v>161</v>
          </cell>
          <cell r="F213">
            <v>0</v>
          </cell>
          <cell r="G21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办公室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办公室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办公室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AJ60"/>
  <sheetViews>
    <sheetView workbookViewId="0">
      <selection activeCell="B3" sqref="B3"/>
    </sheetView>
  </sheetViews>
  <sheetFormatPr defaultColWidth="8.875" defaultRowHeight="15" customHeight="1" x14ac:dyDescent="0.15"/>
  <cols>
    <col min="1" max="1" width="8.875" style="1"/>
    <col min="2" max="2" width="56.375" style="1" bestFit="1" customWidth="1"/>
    <col min="3" max="35" width="8.875" style="1"/>
    <col min="36" max="36" width="8.875" style="2"/>
    <col min="37" max="16384" width="8.875" style="1"/>
  </cols>
  <sheetData>
    <row r="1" spans="1:11" s="2" customFormat="1" ht="15" customHeight="1" x14ac:dyDescent="0.15">
      <c r="A1" s="2" t="s">
        <v>6</v>
      </c>
      <c r="B1" s="2" t="s">
        <v>7</v>
      </c>
      <c r="C1" s="2" t="s">
        <v>8</v>
      </c>
    </row>
    <row r="2" spans="1:11" ht="15" customHeight="1" x14ac:dyDescent="0.15">
      <c r="A2" s="1" t="s">
        <v>4</v>
      </c>
      <c r="B2" s="1" t="s">
        <v>26</v>
      </c>
      <c r="C2" s="1" t="s">
        <v>2</v>
      </c>
    </row>
    <row r="3" spans="1:11" ht="15" customHeight="1" x14ac:dyDescent="0.15">
      <c r="A3" s="2"/>
      <c r="C3" s="2"/>
    </row>
    <row r="4" spans="1:11" ht="15" customHeight="1" x14ac:dyDescent="0.15">
      <c r="A4" s="2" t="s">
        <v>23</v>
      </c>
      <c r="B4" s="2" t="s">
        <v>24</v>
      </c>
      <c r="C4" s="2" t="s">
        <v>25</v>
      </c>
    </row>
    <row r="9" spans="1:11" ht="15" customHeight="1" x14ac:dyDescent="0.15">
      <c r="A9" s="2"/>
      <c r="E9" s="3"/>
      <c r="F9" s="3"/>
      <c r="G9" s="3"/>
      <c r="H9" s="3"/>
      <c r="I9" s="3"/>
      <c r="J9" s="3"/>
      <c r="K9" s="3"/>
    </row>
    <row r="10" spans="1:11" ht="15" customHeight="1" x14ac:dyDescent="0.15">
      <c r="A10" s="2"/>
      <c r="D10" s="3"/>
      <c r="E10" s="3"/>
      <c r="F10" s="3"/>
      <c r="G10" s="3"/>
      <c r="H10" s="3"/>
      <c r="I10" s="3"/>
      <c r="J10" s="3"/>
      <c r="K10" s="3"/>
    </row>
    <row r="11" spans="1:11" ht="15" customHeight="1" x14ac:dyDescent="0.15">
      <c r="A11" s="2"/>
      <c r="D11" s="3"/>
      <c r="E11" s="3"/>
      <c r="F11" s="3"/>
      <c r="G11" s="3"/>
      <c r="H11" s="3"/>
      <c r="I11" s="3"/>
      <c r="J11" s="3"/>
      <c r="K11" s="3"/>
    </row>
    <row r="12" spans="1:11" ht="15" customHeight="1" x14ac:dyDescent="0.15">
      <c r="A12" s="2"/>
      <c r="C12" s="46" t="s">
        <v>5</v>
      </c>
      <c r="D12" s="46"/>
      <c r="E12" s="46"/>
      <c r="F12" s="46"/>
      <c r="G12" s="46"/>
      <c r="H12" s="46"/>
      <c r="I12" s="46"/>
      <c r="J12" s="46"/>
      <c r="K12" s="3"/>
    </row>
    <row r="13" spans="1:11" ht="15" customHeight="1" x14ac:dyDescent="0.15">
      <c r="A13" s="2"/>
      <c r="C13" s="46"/>
      <c r="D13" s="46"/>
      <c r="E13" s="46"/>
      <c r="F13" s="46"/>
      <c r="G13" s="46"/>
      <c r="H13" s="46"/>
      <c r="I13" s="46"/>
      <c r="J13" s="46"/>
      <c r="K13" s="3"/>
    </row>
    <row r="14" spans="1:11" ht="15" customHeight="1" x14ac:dyDescent="0.15">
      <c r="A14" s="2"/>
      <c r="C14" s="46"/>
      <c r="D14" s="46"/>
      <c r="E14" s="46"/>
      <c r="F14" s="46"/>
      <c r="G14" s="46"/>
      <c r="H14" s="46"/>
      <c r="I14" s="46"/>
      <c r="J14" s="46"/>
      <c r="K14" s="3"/>
    </row>
    <row r="15" spans="1:11" ht="15" customHeight="1" x14ac:dyDescent="0.15">
      <c r="A15" s="2"/>
      <c r="C15" s="46"/>
      <c r="D15" s="46"/>
      <c r="E15" s="46"/>
      <c r="F15" s="46"/>
      <c r="G15" s="46"/>
      <c r="H15" s="46"/>
      <c r="I15" s="46"/>
      <c r="J15" s="46"/>
      <c r="K15" s="3"/>
    </row>
    <row r="16" spans="1:11" ht="15" customHeight="1" x14ac:dyDescent="0.15">
      <c r="A16" s="2"/>
      <c r="C16" s="46"/>
      <c r="D16" s="46"/>
      <c r="E16" s="46"/>
      <c r="F16" s="46"/>
      <c r="G16" s="46"/>
      <c r="H16" s="46"/>
      <c r="I16" s="46"/>
      <c r="J16" s="46"/>
      <c r="K16" s="3"/>
    </row>
    <row r="17" spans="3:11" ht="15" customHeight="1" x14ac:dyDescent="0.15">
      <c r="C17" s="46"/>
      <c r="D17" s="46"/>
      <c r="E17" s="46"/>
      <c r="F17" s="46"/>
      <c r="G17" s="46"/>
      <c r="H17" s="46"/>
      <c r="I17" s="46"/>
      <c r="J17" s="46"/>
      <c r="K17" s="3"/>
    </row>
    <row r="18" spans="3:11" ht="15" customHeight="1" x14ac:dyDescent="0.15">
      <c r="C18" s="46"/>
      <c r="D18" s="46"/>
      <c r="E18" s="46"/>
      <c r="F18" s="46"/>
      <c r="G18" s="46"/>
      <c r="H18" s="46"/>
      <c r="I18" s="46"/>
      <c r="J18" s="46"/>
    </row>
    <row r="19" spans="3:11" ht="15" customHeight="1" x14ac:dyDescent="0.15">
      <c r="C19" s="46"/>
      <c r="D19" s="46"/>
      <c r="E19" s="46"/>
      <c r="F19" s="46"/>
      <c r="G19" s="46"/>
      <c r="H19" s="46"/>
      <c r="I19" s="46"/>
      <c r="J19" s="46"/>
    </row>
    <row r="60" spans="1:1" ht="15" customHeight="1" x14ac:dyDescent="0.15">
      <c r="A60" s="2" t="s">
        <v>3</v>
      </c>
    </row>
  </sheetData>
  <mergeCells count="1">
    <mergeCell ref="C12:J19"/>
  </mergeCells>
  <phoneticPr fontId="1" type="noConversion"/>
  <pageMargins left="0.69791666666666663" right="0.69791666666666663" top="0.74930555555555556" bottom="0.74930555555555556" header="0.29930555555555555" footer="0.29930555555555555"/>
  <pageSetup paperSize="9" firstPageNumber="4294963191"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7"/>
  <sheetViews>
    <sheetView workbookViewId="0">
      <selection activeCell="B7" sqref="B7"/>
    </sheetView>
  </sheetViews>
  <sheetFormatPr defaultRowHeight="12" x14ac:dyDescent="0.15"/>
  <cols>
    <col min="1" max="1" width="9.625" style="4" customWidth="1"/>
    <col min="2" max="2" width="11.625" style="4" bestFit="1" customWidth="1"/>
    <col min="3" max="3" width="13.125" style="4" bestFit="1" customWidth="1"/>
    <col min="4" max="4" width="3.5" style="4" bestFit="1" customWidth="1"/>
    <col min="5" max="5" width="9.125" style="4" bestFit="1" customWidth="1"/>
    <col min="6" max="6" width="8.875" style="4"/>
    <col min="7" max="7" width="8.5" style="4" bestFit="1" customWidth="1"/>
    <col min="8" max="236" width="8.875" style="4"/>
    <col min="237" max="237" width="9.625" style="4" customWidth="1"/>
    <col min="238" max="238" width="11.5" style="4" customWidth="1"/>
    <col min="239" max="239" width="9" style="4" customWidth="1"/>
    <col min="240" max="240" width="13.375" style="4" customWidth="1"/>
    <col min="241" max="241" width="10.5" style="4" customWidth="1"/>
    <col min="242" max="242" width="12.5" style="4" customWidth="1"/>
    <col min="243" max="243" width="13.75" style="4" customWidth="1"/>
    <col min="244" max="244" width="8.875" style="4"/>
    <col min="245" max="245" width="12.375" style="4" customWidth="1"/>
    <col min="246" max="247" width="8.875" style="4"/>
    <col min="248" max="248" width="15.625" style="4" bestFit="1" customWidth="1"/>
    <col min="249" max="249" width="18.875" style="4" customWidth="1"/>
    <col min="250" max="492" width="8.875" style="4"/>
    <col min="493" max="493" width="9.625" style="4" customWidth="1"/>
    <col min="494" max="494" width="11.5" style="4" customWidth="1"/>
    <col min="495" max="495" width="9" style="4" customWidth="1"/>
    <col min="496" max="496" width="13.375" style="4" customWidth="1"/>
    <col min="497" max="497" width="10.5" style="4" customWidth="1"/>
    <col min="498" max="498" width="12.5" style="4" customWidth="1"/>
    <col min="499" max="499" width="13.75" style="4" customWidth="1"/>
    <col min="500" max="500" width="8.875" style="4"/>
    <col min="501" max="501" width="12.375" style="4" customWidth="1"/>
    <col min="502" max="503" width="8.875" style="4"/>
    <col min="504" max="504" width="15.625" style="4" bestFit="1" customWidth="1"/>
    <col min="505" max="505" width="18.875" style="4" customWidth="1"/>
    <col min="506" max="748" width="8.875" style="4"/>
    <col min="749" max="749" width="9.625" style="4" customWidth="1"/>
    <col min="750" max="750" width="11.5" style="4" customWidth="1"/>
    <col min="751" max="751" width="9" style="4" customWidth="1"/>
    <col min="752" max="752" width="13.375" style="4" customWidth="1"/>
    <col min="753" max="753" width="10.5" style="4" customWidth="1"/>
    <col min="754" max="754" width="12.5" style="4" customWidth="1"/>
    <col min="755" max="755" width="13.75" style="4" customWidth="1"/>
    <col min="756" max="756" width="8.875" style="4"/>
    <col min="757" max="757" width="12.375" style="4" customWidth="1"/>
    <col min="758" max="759" width="8.875" style="4"/>
    <col min="760" max="760" width="15.625" style="4" bestFit="1" customWidth="1"/>
    <col min="761" max="761" width="18.875" style="4" customWidth="1"/>
    <col min="762" max="1004" width="8.875" style="4"/>
    <col min="1005" max="1005" width="9.625" style="4" customWidth="1"/>
    <col min="1006" max="1006" width="11.5" style="4" customWidth="1"/>
    <col min="1007" max="1007" width="9" style="4" customWidth="1"/>
    <col min="1008" max="1008" width="13.375" style="4" customWidth="1"/>
    <col min="1009" max="1009" width="10.5" style="4" customWidth="1"/>
    <col min="1010" max="1010" width="12.5" style="4" customWidth="1"/>
    <col min="1011" max="1011" width="13.75" style="4" customWidth="1"/>
    <col min="1012" max="1012" width="8.875" style="4"/>
    <col min="1013" max="1013" width="12.375" style="4" customWidth="1"/>
    <col min="1014" max="1015" width="8.875" style="4"/>
    <col min="1016" max="1016" width="15.625" style="4" bestFit="1" customWidth="1"/>
    <col min="1017" max="1017" width="18.875" style="4" customWidth="1"/>
    <col min="1018" max="1260" width="8.875" style="4"/>
    <col min="1261" max="1261" width="9.625" style="4" customWidth="1"/>
    <col min="1262" max="1262" width="11.5" style="4" customWidth="1"/>
    <col min="1263" max="1263" width="9" style="4" customWidth="1"/>
    <col min="1264" max="1264" width="13.375" style="4" customWidth="1"/>
    <col min="1265" max="1265" width="10.5" style="4" customWidth="1"/>
    <col min="1266" max="1266" width="12.5" style="4" customWidth="1"/>
    <col min="1267" max="1267" width="13.75" style="4" customWidth="1"/>
    <col min="1268" max="1268" width="8.875" style="4"/>
    <col min="1269" max="1269" width="12.375" style="4" customWidth="1"/>
    <col min="1270" max="1271" width="8.875" style="4"/>
    <col min="1272" max="1272" width="15.625" style="4" bestFit="1" customWidth="1"/>
    <col min="1273" max="1273" width="18.875" style="4" customWidth="1"/>
    <col min="1274" max="1516" width="8.875" style="4"/>
    <col min="1517" max="1517" width="9.625" style="4" customWidth="1"/>
    <col min="1518" max="1518" width="11.5" style="4" customWidth="1"/>
    <col min="1519" max="1519" width="9" style="4" customWidth="1"/>
    <col min="1520" max="1520" width="13.375" style="4" customWidth="1"/>
    <col min="1521" max="1521" width="10.5" style="4" customWidth="1"/>
    <col min="1522" max="1522" width="12.5" style="4" customWidth="1"/>
    <col min="1523" max="1523" width="13.75" style="4" customWidth="1"/>
    <col min="1524" max="1524" width="8.875" style="4"/>
    <col min="1525" max="1525" width="12.375" style="4" customWidth="1"/>
    <col min="1526" max="1527" width="8.875" style="4"/>
    <col min="1528" max="1528" width="15.625" style="4" bestFit="1" customWidth="1"/>
    <col min="1529" max="1529" width="18.875" style="4" customWidth="1"/>
    <col min="1530" max="1772" width="8.875" style="4"/>
    <col min="1773" max="1773" width="9.625" style="4" customWidth="1"/>
    <col min="1774" max="1774" width="11.5" style="4" customWidth="1"/>
    <col min="1775" max="1775" width="9" style="4" customWidth="1"/>
    <col min="1776" max="1776" width="13.375" style="4" customWidth="1"/>
    <col min="1777" max="1777" width="10.5" style="4" customWidth="1"/>
    <col min="1778" max="1778" width="12.5" style="4" customWidth="1"/>
    <col min="1779" max="1779" width="13.75" style="4" customWidth="1"/>
    <col min="1780" max="1780" width="8.875" style="4"/>
    <col min="1781" max="1781" width="12.375" style="4" customWidth="1"/>
    <col min="1782" max="1783" width="8.875" style="4"/>
    <col min="1784" max="1784" width="15.625" style="4" bestFit="1" customWidth="1"/>
    <col min="1785" max="1785" width="18.875" style="4" customWidth="1"/>
    <col min="1786" max="2028" width="8.875" style="4"/>
    <col min="2029" max="2029" width="9.625" style="4" customWidth="1"/>
    <col min="2030" max="2030" width="11.5" style="4" customWidth="1"/>
    <col min="2031" max="2031" width="9" style="4" customWidth="1"/>
    <col min="2032" max="2032" width="13.375" style="4" customWidth="1"/>
    <col min="2033" max="2033" width="10.5" style="4" customWidth="1"/>
    <col min="2034" max="2034" width="12.5" style="4" customWidth="1"/>
    <col min="2035" max="2035" width="13.75" style="4" customWidth="1"/>
    <col min="2036" max="2036" width="8.875" style="4"/>
    <col min="2037" max="2037" width="12.375" style="4" customWidth="1"/>
    <col min="2038" max="2039" width="8.875" style="4"/>
    <col min="2040" max="2040" width="15.625" style="4" bestFit="1" customWidth="1"/>
    <col min="2041" max="2041" width="18.875" style="4" customWidth="1"/>
    <col min="2042" max="2284" width="8.875" style="4"/>
    <col min="2285" max="2285" width="9.625" style="4" customWidth="1"/>
    <col min="2286" max="2286" width="11.5" style="4" customWidth="1"/>
    <col min="2287" max="2287" width="9" style="4" customWidth="1"/>
    <col min="2288" max="2288" width="13.375" style="4" customWidth="1"/>
    <col min="2289" max="2289" width="10.5" style="4" customWidth="1"/>
    <col min="2290" max="2290" width="12.5" style="4" customWidth="1"/>
    <col min="2291" max="2291" width="13.75" style="4" customWidth="1"/>
    <col min="2292" max="2292" width="8.875" style="4"/>
    <col min="2293" max="2293" width="12.375" style="4" customWidth="1"/>
    <col min="2294" max="2295" width="8.875" style="4"/>
    <col min="2296" max="2296" width="15.625" style="4" bestFit="1" customWidth="1"/>
    <col min="2297" max="2297" width="18.875" style="4" customWidth="1"/>
    <col min="2298" max="2540" width="8.875" style="4"/>
    <col min="2541" max="2541" width="9.625" style="4" customWidth="1"/>
    <col min="2542" max="2542" width="11.5" style="4" customWidth="1"/>
    <col min="2543" max="2543" width="9" style="4" customWidth="1"/>
    <col min="2544" max="2544" width="13.375" style="4" customWidth="1"/>
    <col min="2545" max="2545" width="10.5" style="4" customWidth="1"/>
    <col min="2546" max="2546" width="12.5" style="4" customWidth="1"/>
    <col min="2547" max="2547" width="13.75" style="4" customWidth="1"/>
    <col min="2548" max="2548" width="8.875" style="4"/>
    <col min="2549" max="2549" width="12.375" style="4" customWidth="1"/>
    <col min="2550" max="2551" width="8.875" style="4"/>
    <col min="2552" max="2552" width="15.625" style="4" bestFit="1" customWidth="1"/>
    <col min="2553" max="2553" width="18.875" style="4" customWidth="1"/>
    <col min="2554" max="2796" width="8.875" style="4"/>
    <col min="2797" max="2797" width="9.625" style="4" customWidth="1"/>
    <col min="2798" max="2798" width="11.5" style="4" customWidth="1"/>
    <col min="2799" max="2799" width="9" style="4" customWidth="1"/>
    <col min="2800" max="2800" width="13.375" style="4" customWidth="1"/>
    <col min="2801" max="2801" width="10.5" style="4" customWidth="1"/>
    <col min="2802" max="2802" width="12.5" style="4" customWidth="1"/>
    <col min="2803" max="2803" width="13.75" style="4" customWidth="1"/>
    <col min="2804" max="2804" width="8.875" style="4"/>
    <col min="2805" max="2805" width="12.375" style="4" customWidth="1"/>
    <col min="2806" max="2807" width="8.875" style="4"/>
    <col min="2808" max="2808" width="15.625" style="4" bestFit="1" customWidth="1"/>
    <col min="2809" max="2809" width="18.875" style="4" customWidth="1"/>
    <col min="2810" max="3052" width="8.875" style="4"/>
    <col min="3053" max="3053" width="9.625" style="4" customWidth="1"/>
    <col min="3054" max="3054" width="11.5" style="4" customWidth="1"/>
    <col min="3055" max="3055" width="9" style="4" customWidth="1"/>
    <col min="3056" max="3056" width="13.375" style="4" customWidth="1"/>
    <col min="3057" max="3057" width="10.5" style="4" customWidth="1"/>
    <col min="3058" max="3058" width="12.5" style="4" customWidth="1"/>
    <col min="3059" max="3059" width="13.75" style="4" customWidth="1"/>
    <col min="3060" max="3060" width="8.875" style="4"/>
    <col min="3061" max="3061" width="12.375" style="4" customWidth="1"/>
    <col min="3062" max="3063" width="8.875" style="4"/>
    <col min="3064" max="3064" width="15.625" style="4" bestFit="1" customWidth="1"/>
    <col min="3065" max="3065" width="18.875" style="4" customWidth="1"/>
    <col min="3066" max="3308" width="8.875" style="4"/>
    <col min="3309" max="3309" width="9.625" style="4" customWidth="1"/>
    <col min="3310" max="3310" width="11.5" style="4" customWidth="1"/>
    <col min="3311" max="3311" width="9" style="4" customWidth="1"/>
    <col min="3312" max="3312" width="13.375" style="4" customWidth="1"/>
    <col min="3313" max="3313" width="10.5" style="4" customWidth="1"/>
    <col min="3314" max="3314" width="12.5" style="4" customWidth="1"/>
    <col min="3315" max="3315" width="13.75" style="4" customWidth="1"/>
    <col min="3316" max="3316" width="8.875" style="4"/>
    <col min="3317" max="3317" width="12.375" style="4" customWidth="1"/>
    <col min="3318" max="3319" width="8.875" style="4"/>
    <col min="3320" max="3320" width="15.625" style="4" bestFit="1" customWidth="1"/>
    <col min="3321" max="3321" width="18.875" style="4" customWidth="1"/>
    <col min="3322" max="3564" width="8.875" style="4"/>
    <col min="3565" max="3565" width="9.625" style="4" customWidth="1"/>
    <col min="3566" max="3566" width="11.5" style="4" customWidth="1"/>
    <col min="3567" max="3567" width="9" style="4" customWidth="1"/>
    <col min="3568" max="3568" width="13.375" style="4" customWidth="1"/>
    <col min="3569" max="3569" width="10.5" style="4" customWidth="1"/>
    <col min="3570" max="3570" width="12.5" style="4" customWidth="1"/>
    <col min="3571" max="3571" width="13.75" style="4" customWidth="1"/>
    <col min="3572" max="3572" width="8.875" style="4"/>
    <col min="3573" max="3573" width="12.375" style="4" customWidth="1"/>
    <col min="3574" max="3575" width="8.875" style="4"/>
    <col min="3576" max="3576" width="15.625" style="4" bestFit="1" customWidth="1"/>
    <col min="3577" max="3577" width="18.875" style="4" customWidth="1"/>
    <col min="3578" max="3820" width="8.875" style="4"/>
    <col min="3821" max="3821" width="9.625" style="4" customWidth="1"/>
    <col min="3822" max="3822" width="11.5" style="4" customWidth="1"/>
    <col min="3823" max="3823" width="9" style="4" customWidth="1"/>
    <col min="3824" max="3824" width="13.375" style="4" customWidth="1"/>
    <col min="3825" max="3825" width="10.5" style="4" customWidth="1"/>
    <col min="3826" max="3826" width="12.5" style="4" customWidth="1"/>
    <col min="3827" max="3827" width="13.75" style="4" customWidth="1"/>
    <col min="3828" max="3828" width="8.875" style="4"/>
    <col min="3829" max="3829" width="12.375" style="4" customWidth="1"/>
    <col min="3830" max="3831" width="8.875" style="4"/>
    <col min="3832" max="3832" width="15.625" style="4" bestFit="1" customWidth="1"/>
    <col min="3833" max="3833" width="18.875" style="4" customWidth="1"/>
    <col min="3834" max="4076" width="8.875" style="4"/>
    <col min="4077" max="4077" width="9.625" style="4" customWidth="1"/>
    <col min="4078" max="4078" width="11.5" style="4" customWidth="1"/>
    <col min="4079" max="4079" width="9" style="4" customWidth="1"/>
    <col min="4080" max="4080" width="13.375" style="4" customWidth="1"/>
    <col min="4081" max="4081" width="10.5" style="4" customWidth="1"/>
    <col min="4082" max="4082" width="12.5" style="4" customWidth="1"/>
    <col min="4083" max="4083" width="13.75" style="4" customWidth="1"/>
    <col min="4084" max="4084" width="8.875" style="4"/>
    <col min="4085" max="4085" width="12.375" style="4" customWidth="1"/>
    <col min="4086" max="4087" width="8.875" style="4"/>
    <col min="4088" max="4088" width="15.625" style="4" bestFit="1" customWidth="1"/>
    <col min="4089" max="4089" width="18.875" style="4" customWidth="1"/>
    <col min="4090" max="4332" width="8.875" style="4"/>
    <col min="4333" max="4333" width="9.625" style="4" customWidth="1"/>
    <col min="4334" max="4334" width="11.5" style="4" customWidth="1"/>
    <col min="4335" max="4335" width="9" style="4" customWidth="1"/>
    <col min="4336" max="4336" width="13.375" style="4" customWidth="1"/>
    <col min="4337" max="4337" width="10.5" style="4" customWidth="1"/>
    <col min="4338" max="4338" width="12.5" style="4" customWidth="1"/>
    <col min="4339" max="4339" width="13.75" style="4" customWidth="1"/>
    <col min="4340" max="4340" width="8.875" style="4"/>
    <col min="4341" max="4341" width="12.375" style="4" customWidth="1"/>
    <col min="4342" max="4343" width="8.875" style="4"/>
    <col min="4344" max="4344" width="15.625" style="4" bestFit="1" customWidth="1"/>
    <col min="4345" max="4345" width="18.875" style="4" customWidth="1"/>
    <col min="4346" max="4588" width="8.875" style="4"/>
    <col min="4589" max="4589" width="9.625" style="4" customWidth="1"/>
    <col min="4590" max="4590" width="11.5" style="4" customWidth="1"/>
    <col min="4591" max="4591" width="9" style="4" customWidth="1"/>
    <col min="4592" max="4592" width="13.375" style="4" customWidth="1"/>
    <col min="4593" max="4593" width="10.5" style="4" customWidth="1"/>
    <col min="4594" max="4594" width="12.5" style="4" customWidth="1"/>
    <col min="4595" max="4595" width="13.75" style="4" customWidth="1"/>
    <col min="4596" max="4596" width="8.875" style="4"/>
    <col min="4597" max="4597" width="12.375" style="4" customWidth="1"/>
    <col min="4598" max="4599" width="8.875" style="4"/>
    <col min="4600" max="4600" width="15.625" style="4" bestFit="1" customWidth="1"/>
    <col min="4601" max="4601" width="18.875" style="4" customWidth="1"/>
    <col min="4602" max="4844" width="8.875" style="4"/>
    <col min="4845" max="4845" width="9.625" style="4" customWidth="1"/>
    <col min="4846" max="4846" width="11.5" style="4" customWidth="1"/>
    <col min="4847" max="4847" width="9" style="4" customWidth="1"/>
    <col min="4848" max="4848" width="13.375" style="4" customWidth="1"/>
    <col min="4849" max="4849" width="10.5" style="4" customWidth="1"/>
    <col min="4850" max="4850" width="12.5" style="4" customWidth="1"/>
    <col min="4851" max="4851" width="13.75" style="4" customWidth="1"/>
    <col min="4852" max="4852" width="8.875" style="4"/>
    <col min="4853" max="4853" width="12.375" style="4" customWidth="1"/>
    <col min="4854" max="4855" width="8.875" style="4"/>
    <col min="4856" max="4856" width="15.625" style="4" bestFit="1" customWidth="1"/>
    <col min="4857" max="4857" width="18.875" style="4" customWidth="1"/>
    <col min="4858" max="5100" width="8.875" style="4"/>
    <col min="5101" max="5101" width="9.625" style="4" customWidth="1"/>
    <col min="5102" max="5102" width="11.5" style="4" customWidth="1"/>
    <col min="5103" max="5103" width="9" style="4" customWidth="1"/>
    <col min="5104" max="5104" width="13.375" style="4" customWidth="1"/>
    <col min="5105" max="5105" width="10.5" style="4" customWidth="1"/>
    <col min="5106" max="5106" width="12.5" style="4" customWidth="1"/>
    <col min="5107" max="5107" width="13.75" style="4" customWidth="1"/>
    <col min="5108" max="5108" width="8.875" style="4"/>
    <col min="5109" max="5109" width="12.375" style="4" customWidth="1"/>
    <col min="5110" max="5111" width="8.875" style="4"/>
    <col min="5112" max="5112" width="15.625" style="4" bestFit="1" customWidth="1"/>
    <col min="5113" max="5113" width="18.875" style="4" customWidth="1"/>
    <col min="5114" max="5356" width="8.875" style="4"/>
    <col min="5357" max="5357" width="9.625" style="4" customWidth="1"/>
    <col min="5358" max="5358" width="11.5" style="4" customWidth="1"/>
    <col min="5359" max="5359" width="9" style="4" customWidth="1"/>
    <col min="5360" max="5360" width="13.375" style="4" customWidth="1"/>
    <col min="5361" max="5361" width="10.5" style="4" customWidth="1"/>
    <col min="5362" max="5362" width="12.5" style="4" customWidth="1"/>
    <col min="5363" max="5363" width="13.75" style="4" customWidth="1"/>
    <col min="5364" max="5364" width="8.875" style="4"/>
    <col min="5365" max="5365" width="12.375" style="4" customWidth="1"/>
    <col min="5366" max="5367" width="8.875" style="4"/>
    <col min="5368" max="5368" width="15.625" style="4" bestFit="1" customWidth="1"/>
    <col min="5369" max="5369" width="18.875" style="4" customWidth="1"/>
    <col min="5370" max="5612" width="8.875" style="4"/>
    <col min="5613" max="5613" width="9.625" style="4" customWidth="1"/>
    <col min="5614" max="5614" width="11.5" style="4" customWidth="1"/>
    <col min="5615" max="5615" width="9" style="4" customWidth="1"/>
    <col min="5616" max="5616" width="13.375" style="4" customWidth="1"/>
    <col min="5617" max="5617" width="10.5" style="4" customWidth="1"/>
    <col min="5618" max="5618" width="12.5" style="4" customWidth="1"/>
    <col min="5619" max="5619" width="13.75" style="4" customWidth="1"/>
    <col min="5620" max="5620" width="8.875" style="4"/>
    <col min="5621" max="5621" width="12.375" style="4" customWidth="1"/>
    <col min="5622" max="5623" width="8.875" style="4"/>
    <col min="5624" max="5624" width="15.625" style="4" bestFit="1" customWidth="1"/>
    <col min="5625" max="5625" width="18.875" style="4" customWidth="1"/>
    <col min="5626" max="5868" width="8.875" style="4"/>
    <col min="5869" max="5869" width="9.625" style="4" customWidth="1"/>
    <col min="5870" max="5870" width="11.5" style="4" customWidth="1"/>
    <col min="5871" max="5871" width="9" style="4" customWidth="1"/>
    <col min="5872" max="5872" width="13.375" style="4" customWidth="1"/>
    <col min="5873" max="5873" width="10.5" style="4" customWidth="1"/>
    <col min="5874" max="5874" width="12.5" style="4" customWidth="1"/>
    <col min="5875" max="5875" width="13.75" style="4" customWidth="1"/>
    <col min="5876" max="5876" width="8.875" style="4"/>
    <col min="5877" max="5877" width="12.375" style="4" customWidth="1"/>
    <col min="5878" max="5879" width="8.875" style="4"/>
    <col min="5880" max="5880" width="15.625" style="4" bestFit="1" customWidth="1"/>
    <col min="5881" max="5881" width="18.875" style="4" customWidth="1"/>
    <col min="5882" max="6124" width="8.875" style="4"/>
    <col min="6125" max="6125" width="9.625" style="4" customWidth="1"/>
    <col min="6126" max="6126" width="11.5" style="4" customWidth="1"/>
    <col min="6127" max="6127" width="9" style="4" customWidth="1"/>
    <col min="6128" max="6128" width="13.375" style="4" customWidth="1"/>
    <col min="6129" max="6129" width="10.5" style="4" customWidth="1"/>
    <col min="6130" max="6130" width="12.5" style="4" customWidth="1"/>
    <col min="6131" max="6131" width="13.75" style="4" customWidth="1"/>
    <col min="6132" max="6132" width="8.875" style="4"/>
    <col min="6133" max="6133" width="12.375" style="4" customWidth="1"/>
    <col min="6134" max="6135" width="8.875" style="4"/>
    <col min="6136" max="6136" width="15.625" style="4" bestFit="1" customWidth="1"/>
    <col min="6137" max="6137" width="18.875" style="4" customWidth="1"/>
    <col min="6138" max="6380" width="8.875" style="4"/>
    <col min="6381" max="6381" width="9.625" style="4" customWidth="1"/>
    <col min="6382" max="6382" width="11.5" style="4" customWidth="1"/>
    <col min="6383" max="6383" width="9" style="4" customWidth="1"/>
    <col min="6384" max="6384" width="13.375" style="4" customWidth="1"/>
    <col min="6385" max="6385" width="10.5" style="4" customWidth="1"/>
    <col min="6386" max="6386" width="12.5" style="4" customWidth="1"/>
    <col min="6387" max="6387" width="13.75" style="4" customWidth="1"/>
    <col min="6388" max="6388" width="8.875" style="4"/>
    <col min="6389" max="6389" width="12.375" style="4" customWidth="1"/>
    <col min="6390" max="6391" width="8.875" style="4"/>
    <col min="6392" max="6392" width="15.625" style="4" bestFit="1" customWidth="1"/>
    <col min="6393" max="6393" width="18.875" style="4" customWidth="1"/>
    <col min="6394" max="6636" width="8.875" style="4"/>
    <col min="6637" max="6637" width="9.625" style="4" customWidth="1"/>
    <col min="6638" max="6638" width="11.5" style="4" customWidth="1"/>
    <col min="6639" max="6639" width="9" style="4" customWidth="1"/>
    <col min="6640" max="6640" width="13.375" style="4" customWidth="1"/>
    <col min="6641" max="6641" width="10.5" style="4" customWidth="1"/>
    <col min="6642" max="6642" width="12.5" style="4" customWidth="1"/>
    <col min="6643" max="6643" width="13.75" style="4" customWidth="1"/>
    <col min="6644" max="6644" width="8.875" style="4"/>
    <col min="6645" max="6645" width="12.375" style="4" customWidth="1"/>
    <col min="6646" max="6647" width="8.875" style="4"/>
    <col min="6648" max="6648" width="15.625" style="4" bestFit="1" customWidth="1"/>
    <col min="6649" max="6649" width="18.875" style="4" customWidth="1"/>
    <col min="6650" max="6892" width="8.875" style="4"/>
    <col min="6893" max="6893" width="9.625" style="4" customWidth="1"/>
    <col min="6894" max="6894" width="11.5" style="4" customWidth="1"/>
    <col min="6895" max="6895" width="9" style="4" customWidth="1"/>
    <col min="6896" max="6896" width="13.375" style="4" customWidth="1"/>
    <col min="6897" max="6897" width="10.5" style="4" customWidth="1"/>
    <col min="6898" max="6898" width="12.5" style="4" customWidth="1"/>
    <col min="6899" max="6899" width="13.75" style="4" customWidth="1"/>
    <col min="6900" max="6900" width="8.875" style="4"/>
    <col min="6901" max="6901" width="12.375" style="4" customWidth="1"/>
    <col min="6902" max="6903" width="8.875" style="4"/>
    <col min="6904" max="6904" width="15.625" style="4" bestFit="1" customWidth="1"/>
    <col min="6905" max="6905" width="18.875" style="4" customWidth="1"/>
    <col min="6906" max="7148" width="8.875" style="4"/>
    <col min="7149" max="7149" width="9.625" style="4" customWidth="1"/>
    <col min="7150" max="7150" width="11.5" style="4" customWidth="1"/>
    <col min="7151" max="7151" width="9" style="4" customWidth="1"/>
    <col min="7152" max="7152" width="13.375" style="4" customWidth="1"/>
    <col min="7153" max="7153" width="10.5" style="4" customWidth="1"/>
    <col min="7154" max="7154" width="12.5" style="4" customWidth="1"/>
    <col min="7155" max="7155" width="13.75" style="4" customWidth="1"/>
    <col min="7156" max="7156" width="8.875" style="4"/>
    <col min="7157" max="7157" width="12.375" style="4" customWidth="1"/>
    <col min="7158" max="7159" width="8.875" style="4"/>
    <col min="7160" max="7160" width="15.625" style="4" bestFit="1" customWidth="1"/>
    <col min="7161" max="7161" width="18.875" style="4" customWidth="1"/>
    <col min="7162" max="7404" width="8.875" style="4"/>
    <col min="7405" max="7405" width="9.625" style="4" customWidth="1"/>
    <col min="7406" max="7406" width="11.5" style="4" customWidth="1"/>
    <col min="7407" max="7407" width="9" style="4" customWidth="1"/>
    <col min="7408" max="7408" width="13.375" style="4" customWidth="1"/>
    <col min="7409" max="7409" width="10.5" style="4" customWidth="1"/>
    <col min="7410" max="7410" width="12.5" style="4" customWidth="1"/>
    <col min="7411" max="7411" width="13.75" style="4" customWidth="1"/>
    <col min="7412" max="7412" width="8.875" style="4"/>
    <col min="7413" max="7413" width="12.375" style="4" customWidth="1"/>
    <col min="7414" max="7415" width="8.875" style="4"/>
    <col min="7416" max="7416" width="15.625" style="4" bestFit="1" customWidth="1"/>
    <col min="7417" max="7417" width="18.875" style="4" customWidth="1"/>
    <col min="7418" max="7660" width="8.875" style="4"/>
    <col min="7661" max="7661" width="9.625" style="4" customWidth="1"/>
    <col min="7662" max="7662" width="11.5" style="4" customWidth="1"/>
    <col min="7663" max="7663" width="9" style="4" customWidth="1"/>
    <col min="7664" max="7664" width="13.375" style="4" customWidth="1"/>
    <col min="7665" max="7665" width="10.5" style="4" customWidth="1"/>
    <col min="7666" max="7666" width="12.5" style="4" customWidth="1"/>
    <col min="7667" max="7667" width="13.75" style="4" customWidth="1"/>
    <col min="7668" max="7668" width="8.875" style="4"/>
    <col min="7669" max="7669" width="12.375" style="4" customWidth="1"/>
    <col min="7670" max="7671" width="8.875" style="4"/>
    <col min="7672" max="7672" width="15.625" style="4" bestFit="1" customWidth="1"/>
    <col min="7673" max="7673" width="18.875" style="4" customWidth="1"/>
    <col min="7674" max="7916" width="8.875" style="4"/>
    <col min="7917" max="7917" width="9.625" style="4" customWidth="1"/>
    <col min="7918" max="7918" width="11.5" style="4" customWidth="1"/>
    <col min="7919" max="7919" width="9" style="4" customWidth="1"/>
    <col min="7920" max="7920" width="13.375" style="4" customWidth="1"/>
    <col min="7921" max="7921" width="10.5" style="4" customWidth="1"/>
    <col min="7922" max="7922" width="12.5" style="4" customWidth="1"/>
    <col min="7923" max="7923" width="13.75" style="4" customWidth="1"/>
    <col min="7924" max="7924" width="8.875" style="4"/>
    <col min="7925" max="7925" width="12.375" style="4" customWidth="1"/>
    <col min="7926" max="7927" width="8.875" style="4"/>
    <col min="7928" max="7928" width="15.625" style="4" bestFit="1" customWidth="1"/>
    <col min="7929" max="7929" width="18.875" style="4" customWidth="1"/>
    <col min="7930" max="8172" width="8.875" style="4"/>
    <col min="8173" max="8173" width="9.625" style="4" customWidth="1"/>
    <col min="8174" max="8174" width="11.5" style="4" customWidth="1"/>
    <col min="8175" max="8175" width="9" style="4" customWidth="1"/>
    <col min="8176" max="8176" width="13.375" style="4" customWidth="1"/>
    <col min="8177" max="8177" width="10.5" style="4" customWidth="1"/>
    <col min="8178" max="8178" width="12.5" style="4" customWidth="1"/>
    <col min="8179" max="8179" width="13.75" style="4" customWidth="1"/>
    <col min="8180" max="8180" width="8.875" style="4"/>
    <col min="8181" max="8181" width="12.375" style="4" customWidth="1"/>
    <col min="8182" max="8183" width="8.875" style="4"/>
    <col min="8184" max="8184" width="15.625" style="4" bestFit="1" customWidth="1"/>
    <col min="8185" max="8185" width="18.875" style="4" customWidth="1"/>
    <col min="8186" max="8428" width="8.875" style="4"/>
    <col min="8429" max="8429" width="9.625" style="4" customWidth="1"/>
    <col min="8430" max="8430" width="11.5" style="4" customWidth="1"/>
    <col min="8431" max="8431" width="9" style="4" customWidth="1"/>
    <col min="8432" max="8432" width="13.375" style="4" customWidth="1"/>
    <col min="8433" max="8433" width="10.5" style="4" customWidth="1"/>
    <col min="8434" max="8434" width="12.5" style="4" customWidth="1"/>
    <col min="8435" max="8435" width="13.75" style="4" customWidth="1"/>
    <col min="8436" max="8436" width="8.875" style="4"/>
    <col min="8437" max="8437" width="12.375" style="4" customWidth="1"/>
    <col min="8438" max="8439" width="8.875" style="4"/>
    <col min="8440" max="8440" width="15.625" style="4" bestFit="1" customWidth="1"/>
    <col min="8441" max="8441" width="18.875" style="4" customWidth="1"/>
    <col min="8442" max="8684" width="8.875" style="4"/>
    <col min="8685" max="8685" width="9.625" style="4" customWidth="1"/>
    <col min="8686" max="8686" width="11.5" style="4" customWidth="1"/>
    <col min="8687" max="8687" width="9" style="4" customWidth="1"/>
    <col min="8688" max="8688" width="13.375" style="4" customWidth="1"/>
    <col min="8689" max="8689" width="10.5" style="4" customWidth="1"/>
    <col min="8690" max="8690" width="12.5" style="4" customWidth="1"/>
    <col min="8691" max="8691" width="13.75" style="4" customWidth="1"/>
    <col min="8692" max="8692" width="8.875" style="4"/>
    <col min="8693" max="8693" width="12.375" style="4" customWidth="1"/>
    <col min="8694" max="8695" width="8.875" style="4"/>
    <col min="8696" max="8696" width="15.625" style="4" bestFit="1" customWidth="1"/>
    <col min="8697" max="8697" width="18.875" style="4" customWidth="1"/>
    <col min="8698" max="8940" width="8.875" style="4"/>
    <col min="8941" max="8941" width="9.625" style="4" customWidth="1"/>
    <col min="8942" max="8942" width="11.5" style="4" customWidth="1"/>
    <col min="8943" max="8943" width="9" style="4" customWidth="1"/>
    <col min="8944" max="8944" width="13.375" style="4" customWidth="1"/>
    <col min="8945" max="8945" width="10.5" style="4" customWidth="1"/>
    <col min="8946" max="8946" width="12.5" style="4" customWidth="1"/>
    <col min="8947" max="8947" width="13.75" style="4" customWidth="1"/>
    <col min="8948" max="8948" width="8.875" style="4"/>
    <col min="8949" max="8949" width="12.375" style="4" customWidth="1"/>
    <col min="8950" max="8951" width="8.875" style="4"/>
    <col min="8952" max="8952" width="15.625" style="4" bestFit="1" customWidth="1"/>
    <col min="8953" max="8953" width="18.875" style="4" customWidth="1"/>
    <col min="8954" max="9196" width="8.875" style="4"/>
    <col min="9197" max="9197" width="9.625" style="4" customWidth="1"/>
    <col min="9198" max="9198" width="11.5" style="4" customWidth="1"/>
    <col min="9199" max="9199" width="9" style="4" customWidth="1"/>
    <col min="9200" max="9200" width="13.375" style="4" customWidth="1"/>
    <col min="9201" max="9201" width="10.5" style="4" customWidth="1"/>
    <col min="9202" max="9202" width="12.5" style="4" customWidth="1"/>
    <col min="9203" max="9203" width="13.75" style="4" customWidth="1"/>
    <col min="9204" max="9204" width="8.875" style="4"/>
    <col min="9205" max="9205" width="12.375" style="4" customWidth="1"/>
    <col min="9206" max="9207" width="8.875" style="4"/>
    <col min="9208" max="9208" width="15.625" style="4" bestFit="1" customWidth="1"/>
    <col min="9209" max="9209" width="18.875" style="4" customWidth="1"/>
    <col min="9210" max="9452" width="8.875" style="4"/>
    <col min="9453" max="9453" width="9.625" style="4" customWidth="1"/>
    <col min="9454" max="9454" width="11.5" style="4" customWidth="1"/>
    <col min="9455" max="9455" width="9" style="4" customWidth="1"/>
    <col min="9456" max="9456" width="13.375" style="4" customWidth="1"/>
    <col min="9457" max="9457" width="10.5" style="4" customWidth="1"/>
    <col min="9458" max="9458" width="12.5" style="4" customWidth="1"/>
    <col min="9459" max="9459" width="13.75" style="4" customWidth="1"/>
    <col min="9460" max="9460" width="8.875" style="4"/>
    <col min="9461" max="9461" width="12.375" style="4" customWidth="1"/>
    <col min="9462" max="9463" width="8.875" style="4"/>
    <col min="9464" max="9464" width="15.625" style="4" bestFit="1" customWidth="1"/>
    <col min="9465" max="9465" width="18.875" style="4" customWidth="1"/>
    <col min="9466" max="9708" width="8.875" style="4"/>
    <col min="9709" max="9709" width="9.625" style="4" customWidth="1"/>
    <col min="9710" max="9710" width="11.5" style="4" customWidth="1"/>
    <col min="9711" max="9711" width="9" style="4" customWidth="1"/>
    <col min="9712" max="9712" width="13.375" style="4" customWidth="1"/>
    <col min="9713" max="9713" width="10.5" style="4" customWidth="1"/>
    <col min="9714" max="9714" width="12.5" style="4" customWidth="1"/>
    <col min="9715" max="9715" width="13.75" style="4" customWidth="1"/>
    <col min="9716" max="9716" width="8.875" style="4"/>
    <col min="9717" max="9717" width="12.375" style="4" customWidth="1"/>
    <col min="9718" max="9719" width="8.875" style="4"/>
    <col min="9720" max="9720" width="15.625" style="4" bestFit="1" customWidth="1"/>
    <col min="9721" max="9721" width="18.875" style="4" customWidth="1"/>
    <col min="9722" max="9964" width="8.875" style="4"/>
    <col min="9965" max="9965" width="9.625" style="4" customWidth="1"/>
    <col min="9966" max="9966" width="11.5" style="4" customWidth="1"/>
    <col min="9967" max="9967" width="9" style="4" customWidth="1"/>
    <col min="9968" max="9968" width="13.375" style="4" customWidth="1"/>
    <col min="9969" max="9969" width="10.5" style="4" customWidth="1"/>
    <col min="9970" max="9970" width="12.5" style="4" customWidth="1"/>
    <col min="9971" max="9971" width="13.75" style="4" customWidth="1"/>
    <col min="9972" max="9972" width="8.875" style="4"/>
    <col min="9973" max="9973" width="12.375" style="4" customWidth="1"/>
    <col min="9974" max="9975" width="8.875" style="4"/>
    <col min="9976" max="9976" width="15.625" style="4" bestFit="1" customWidth="1"/>
    <col min="9977" max="9977" width="18.875" style="4" customWidth="1"/>
    <col min="9978" max="10220" width="8.875" style="4"/>
    <col min="10221" max="10221" width="9.625" style="4" customWidth="1"/>
    <col min="10222" max="10222" width="11.5" style="4" customWidth="1"/>
    <col min="10223" max="10223" width="9" style="4" customWidth="1"/>
    <col min="10224" max="10224" width="13.375" style="4" customWidth="1"/>
    <col min="10225" max="10225" width="10.5" style="4" customWidth="1"/>
    <col min="10226" max="10226" width="12.5" style="4" customWidth="1"/>
    <col min="10227" max="10227" width="13.75" style="4" customWidth="1"/>
    <col min="10228" max="10228" width="8.875" style="4"/>
    <col min="10229" max="10229" width="12.375" style="4" customWidth="1"/>
    <col min="10230" max="10231" width="8.875" style="4"/>
    <col min="10232" max="10232" width="15.625" style="4" bestFit="1" customWidth="1"/>
    <col min="10233" max="10233" width="18.875" style="4" customWidth="1"/>
    <col min="10234" max="10476" width="8.875" style="4"/>
    <col min="10477" max="10477" width="9.625" style="4" customWidth="1"/>
    <col min="10478" max="10478" width="11.5" style="4" customWidth="1"/>
    <col min="10479" max="10479" width="9" style="4" customWidth="1"/>
    <col min="10480" max="10480" width="13.375" style="4" customWidth="1"/>
    <col min="10481" max="10481" width="10.5" style="4" customWidth="1"/>
    <col min="10482" max="10482" width="12.5" style="4" customWidth="1"/>
    <col min="10483" max="10483" width="13.75" style="4" customWidth="1"/>
    <col min="10484" max="10484" width="8.875" style="4"/>
    <col min="10485" max="10485" width="12.375" style="4" customWidth="1"/>
    <col min="10486" max="10487" width="8.875" style="4"/>
    <col min="10488" max="10488" width="15.625" style="4" bestFit="1" customWidth="1"/>
    <col min="10489" max="10489" width="18.875" style="4" customWidth="1"/>
    <col min="10490" max="10732" width="8.875" style="4"/>
    <col min="10733" max="10733" width="9.625" style="4" customWidth="1"/>
    <col min="10734" max="10734" width="11.5" style="4" customWidth="1"/>
    <col min="10735" max="10735" width="9" style="4" customWidth="1"/>
    <col min="10736" max="10736" width="13.375" style="4" customWidth="1"/>
    <col min="10737" max="10737" width="10.5" style="4" customWidth="1"/>
    <col min="10738" max="10738" width="12.5" style="4" customWidth="1"/>
    <col min="10739" max="10739" width="13.75" style="4" customWidth="1"/>
    <col min="10740" max="10740" width="8.875" style="4"/>
    <col min="10741" max="10741" width="12.375" style="4" customWidth="1"/>
    <col min="10742" max="10743" width="8.875" style="4"/>
    <col min="10744" max="10744" width="15.625" style="4" bestFit="1" customWidth="1"/>
    <col min="10745" max="10745" width="18.875" style="4" customWidth="1"/>
    <col min="10746" max="10988" width="8.875" style="4"/>
    <col min="10989" max="10989" width="9.625" style="4" customWidth="1"/>
    <col min="10990" max="10990" width="11.5" style="4" customWidth="1"/>
    <col min="10991" max="10991" width="9" style="4" customWidth="1"/>
    <col min="10992" max="10992" width="13.375" style="4" customWidth="1"/>
    <col min="10993" max="10993" width="10.5" style="4" customWidth="1"/>
    <col min="10994" max="10994" width="12.5" style="4" customWidth="1"/>
    <col min="10995" max="10995" width="13.75" style="4" customWidth="1"/>
    <col min="10996" max="10996" width="8.875" style="4"/>
    <col min="10997" max="10997" width="12.375" style="4" customWidth="1"/>
    <col min="10998" max="10999" width="8.875" style="4"/>
    <col min="11000" max="11000" width="15.625" style="4" bestFit="1" customWidth="1"/>
    <col min="11001" max="11001" width="18.875" style="4" customWidth="1"/>
    <col min="11002" max="11244" width="8.875" style="4"/>
    <col min="11245" max="11245" width="9.625" style="4" customWidth="1"/>
    <col min="11246" max="11246" width="11.5" style="4" customWidth="1"/>
    <col min="11247" max="11247" width="9" style="4" customWidth="1"/>
    <col min="11248" max="11248" width="13.375" style="4" customWidth="1"/>
    <col min="11249" max="11249" width="10.5" style="4" customWidth="1"/>
    <col min="11250" max="11250" width="12.5" style="4" customWidth="1"/>
    <col min="11251" max="11251" width="13.75" style="4" customWidth="1"/>
    <col min="11252" max="11252" width="8.875" style="4"/>
    <col min="11253" max="11253" width="12.375" style="4" customWidth="1"/>
    <col min="11254" max="11255" width="8.875" style="4"/>
    <col min="11256" max="11256" width="15.625" style="4" bestFit="1" customWidth="1"/>
    <col min="11257" max="11257" width="18.875" style="4" customWidth="1"/>
    <col min="11258" max="11500" width="8.875" style="4"/>
    <col min="11501" max="11501" width="9.625" style="4" customWidth="1"/>
    <col min="11502" max="11502" width="11.5" style="4" customWidth="1"/>
    <col min="11503" max="11503" width="9" style="4" customWidth="1"/>
    <col min="11504" max="11504" width="13.375" style="4" customWidth="1"/>
    <col min="11505" max="11505" width="10.5" style="4" customWidth="1"/>
    <col min="11506" max="11506" width="12.5" style="4" customWidth="1"/>
    <col min="11507" max="11507" width="13.75" style="4" customWidth="1"/>
    <col min="11508" max="11508" width="8.875" style="4"/>
    <col min="11509" max="11509" width="12.375" style="4" customWidth="1"/>
    <col min="11510" max="11511" width="8.875" style="4"/>
    <col min="11512" max="11512" width="15.625" style="4" bestFit="1" customWidth="1"/>
    <col min="11513" max="11513" width="18.875" style="4" customWidth="1"/>
    <col min="11514" max="11756" width="8.875" style="4"/>
    <col min="11757" max="11757" width="9.625" style="4" customWidth="1"/>
    <col min="11758" max="11758" width="11.5" style="4" customWidth="1"/>
    <col min="11759" max="11759" width="9" style="4" customWidth="1"/>
    <col min="11760" max="11760" width="13.375" style="4" customWidth="1"/>
    <col min="11761" max="11761" width="10.5" style="4" customWidth="1"/>
    <col min="11762" max="11762" width="12.5" style="4" customWidth="1"/>
    <col min="11763" max="11763" width="13.75" style="4" customWidth="1"/>
    <col min="11764" max="11764" width="8.875" style="4"/>
    <col min="11765" max="11765" width="12.375" style="4" customWidth="1"/>
    <col min="11766" max="11767" width="8.875" style="4"/>
    <col min="11768" max="11768" width="15.625" style="4" bestFit="1" customWidth="1"/>
    <col min="11769" max="11769" width="18.875" style="4" customWidth="1"/>
    <col min="11770" max="12012" width="8.875" style="4"/>
    <col min="12013" max="12013" width="9.625" style="4" customWidth="1"/>
    <col min="12014" max="12014" width="11.5" style="4" customWidth="1"/>
    <col min="12015" max="12015" width="9" style="4" customWidth="1"/>
    <col min="12016" max="12016" width="13.375" style="4" customWidth="1"/>
    <col min="12017" max="12017" width="10.5" style="4" customWidth="1"/>
    <col min="12018" max="12018" width="12.5" style="4" customWidth="1"/>
    <col min="12019" max="12019" width="13.75" style="4" customWidth="1"/>
    <col min="12020" max="12020" width="8.875" style="4"/>
    <col min="12021" max="12021" width="12.375" style="4" customWidth="1"/>
    <col min="12022" max="12023" width="8.875" style="4"/>
    <col min="12024" max="12024" width="15.625" style="4" bestFit="1" customWidth="1"/>
    <col min="12025" max="12025" width="18.875" style="4" customWidth="1"/>
    <col min="12026" max="12268" width="8.875" style="4"/>
    <col min="12269" max="12269" width="9.625" style="4" customWidth="1"/>
    <col min="12270" max="12270" width="11.5" style="4" customWidth="1"/>
    <col min="12271" max="12271" width="9" style="4" customWidth="1"/>
    <col min="12272" max="12272" width="13.375" style="4" customWidth="1"/>
    <col min="12273" max="12273" width="10.5" style="4" customWidth="1"/>
    <col min="12274" max="12274" width="12.5" style="4" customWidth="1"/>
    <col min="12275" max="12275" width="13.75" style="4" customWidth="1"/>
    <col min="12276" max="12276" width="8.875" style="4"/>
    <col min="12277" max="12277" width="12.375" style="4" customWidth="1"/>
    <col min="12278" max="12279" width="8.875" style="4"/>
    <col min="12280" max="12280" width="15.625" style="4" bestFit="1" customWidth="1"/>
    <col min="12281" max="12281" width="18.875" style="4" customWidth="1"/>
    <col min="12282" max="12524" width="8.875" style="4"/>
    <col min="12525" max="12525" width="9.625" style="4" customWidth="1"/>
    <col min="12526" max="12526" width="11.5" style="4" customWidth="1"/>
    <col min="12527" max="12527" width="9" style="4" customWidth="1"/>
    <col min="12528" max="12528" width="13.375" style="4" customWidth="1"/>
    <col min="12529" max="12529" width="10.5" style="4" customWidth="1"/>
    <col min="12530" max="12530" width="12.5" style="4" customWidth="1"/>
    <col min="12531" max="12531" width="13.75" style="4" customWidth="1"/>
    <col min="12532" max="12532" width="8.875" style="4"/>
    <col min="12533" max="12533" width="12.375" style="4" customWidth="1"/>
    <col min="12534" max="12535" width="8.875" style="4"/>
    <col min="12536" max="12536" width="15.625" style="4" bestFit="1" customWidth="1"/>
    <col min="12537" max="12537" width="18.875" style="4" customWidth="1"/>
    <col min="12538" max="12780" width="8.875" style="4"/>
    <col min="12781" max="12781" width="9.625" style="4" customWidth="1"/>
    <col min="12782" max="12782" width="11.5" style="4" customWidth="1"/>
    <col min="12783" max="12783" width="9" style="4" customWidth="1"/>
    <col min="12784" max="12784" width="13.375" style="4" customWidth="1"/>
    <col min="12785" max="12785" width="10.5" style="4" customWidth="1"/>
    <col min="12786" max="12786" width="12.5" style="4" customWidth="1"/>
    <col min="12787" max="12787" width="13.75" style="4" customWidth="1"/>
    <col min="12788" max="12788" width="8.875" style="4"/>
    <col min="12789" max="12789" width="12.375" style="4" customWidth="1"/>
    <col min="12790" max="12791" width="8.875" style="4"/>
    <col min="12792" max="12792" width="15.625" style="4" bestFit="1" customWidth="1"/>
    <col min="12793" max="12793" width="18.875" style="4" customWidth="1"/>
    <col min="12794" max="13036" width="8.875" style="4"/>
    <col min="13037" max="13037" width="9.625" style="4" customWidth="1"/>
    <col min="13038" max="13038" width="11.5" style="4" customWidth="1"/>
    <col min="13039" max="13039" width="9" style="4" customWidth="1"/>
    <col min="13040" max="13040" width="13.375" style="4" customWidth="1"/>
    <col min="13041" max="13041" width="10.5" style="4" customWidth="1"/>
    <col min="13042" max="13042" width="12.5" style="4" customWidth="1"/>
    <col min="13043" max="13043" width="13.75" style="4" customWidth="1"/>
    <col min="13044" max="13044" width="8.875" style="4"/>
    <col min="13045" max="13045" width="12.375" style="4" customWidth="1"/>
    <col min="13046" max="13047" width="8.875" style="4"/>
    <col min="13048" max="13048" width="15.625" style="4" bestFit="1" customWidth="1"/>
    <col min="13049" max="13049" width="18.875" style="4" customWidth="1"/>
    <col min="13050" max="13292" width="8.875" style="4"/>
    <col min="13293" max="13293" width="9.625" style="4" customWidth="1"/>
    <col min="13294" max="13294" width="11.5" style="4" customWidth="1"/>
    <col min="13295" max="13295" width="9" style="4" customWidth="1"/>
    <col min="13296" max="13296" width="13.375" style="4" customWidth="1"/>
    <col min="13297" max="13297" width="10.5" style="4" customWidth="1"/>
    <col min="13298" max="13298" width="12.5" style="4" customWidth="1"/>
    <col min="13299" max="13299" width="13.75" style="4" customWidth="1"/>
    <col min="13300" max="13300" width="8.875" style="4"/>
    <col min="13301" max="13301" width="12.375" style="4" customWidth="1"/>
    <col min="13302" max="13303" width="8.875" style="4"/>
    <col min="13304" max="13304" width="15.625" style="4" bestFit="1" customWidth="1"/>
    <col min="13305" max="13305" width="18.875" style="4" customWidth="1"/>
    <col min="13306" max="13548" width="8.875" style="4"/>
    <col min="13549" max="13549" width="9.625" style="4" customWidth="1"/>
    <col min="13550" max="13550" width="11.5" style="4" customWidth="1"/>
    <col min="13551" max="13551" width="9" style="4" customWidth="1"/>
    <col min="13552" max="13552" width="13.375" style="4" customWidth="1"/>
    <col min="13553" max="13553" width="10.5" style="4" customWidth="1"/>
    <col min="13554" max="13554" width="12.5" style="4" customWidth="1"/>
    <col min="13555" max="13555" width="13.75" style="4" customWidth="1"/>
    <col min="13556" max="13556" width="8.875" style="4"/>
    <col min="13557" max="13557" width="12.375" style="4" customWidth="1"/>
    <col min="13558" max="13559" width="8.875" style="4"/>
    <col min="13560" max="13560" width="15.625" style="4" bestFit="1" customWidth="1"/>
    <col min="13561" max="13561" width="18.875" style="4" customWidth="1"/>
    <col min="13562" max="13804" width="8.875" style="4"/>
    <col min="13805" max="13805" width="9.625" style="4" customWidth="1"/>
    <col min="13806" max="13806" width="11.5" style="4" customWidth="1"/>
    <col min="13807" max="13807" width="9" style="4" customWidth="1"/>
    <col min="13808" max="13808" width="13.375" style="4" customWidth="1"/>
    <col min="13809" max="13809" width="10.5" style="4" customWidth="1"/>
    <col min="13810" max="13810" width="12.5" style="4" customWidth="1"/>
    <col min="13811" max="13811" width="13.75" style="4" customWidth="1"/>
    <col min="13812" max="13812" width="8.875" style="4"/>
    <col min="13813" max="13813" width="12.375" style="4" customWidth="1"/>
    <col min="13814" max="13815" width="8.875" style="4"/>
    <col min="13816" max="13816" width="15.625" style="4" bestFit="1" customWidth="1"/>
    <col min="13817" max="13817" width="18.875" style="4" customWidth="1"/>
    <col min="13818" max="14060" width="8.875" style="4"/>
    <col min="14061" max="14061" width="9.625" style="4" customWidth="1"/>
    <col min="14062" max="14062" width="11.5" style="4" customWidth="1"/>
    <col min="14063" max="14063" width="9" style="4" customWidth="1"/>
    <col min="14064" max="14064" width="13.375" style="4" customWidth="1"/>
    <col min="14065" max="14065" width="10.5" style="4" customWidth="1"/>
    <col min="14066" max="14066" width="12.5" style="4" customWidth="1"/>
    <col min="14067" max="14067" width="13.75" style="4" customWidth="1"/>
    <col min="14068" max="14068" width="8.875" style="4"/>
    <col min="14069" max="14069" width="12.375" style="4" customWidth="1"/>
    <col min="14070" max="14071" width="8.875" style="4"/>
    <col min="14072" max="14072" width="15.625" style="4" bestFit="1" customWidth="1"/>
    <col min="14073" max="14073" width="18.875" style="4" customWidth="1"/>
    <col min="14074" max="14316" width="8.875" style="4"/>
    <col min="14317" max="14317" width="9.625" style="4" customWidth="1"/>
    <col min="14318" max="14318" width="11.5" style="4" customWidth="1"/>
    <col min="14319" max="14319" width="9" style="4" customWidth="1"/>
    <col min="14320" max="14320" width="13.375" style="4" customWidth="1"/>
    <col min="14321" max="14321" width="10.5" style="4" customWidth="1"/>
    <col min="14322" max="14322" width="12.5" style="4" customWidth="1"/>
    <col min="14323" max="14323" width="13.75" style="4" customWidth="1"/>
    <col min="14324" max="14324" width="8.875" style="4"/>
    <col min="14325" max="14325" width="12.375" style="4" customWidth="1"/>
    <col min="14326" max="14327" width="8.875" style="4"/>
    <col min="14328" max="14328" width="15.625" style="4" bestFit="1" customWidth="1"/>
    <col min="14329" max="14329" width="18.875" style="4" customWidth="1"/>
    <col min="14330" max="14572" width="8.875" style="4"/>
    <col min="14573" max="14573" width="9.625" style="4" customWidth="1"/>
    <col min="14574" max="14574" width="11.5" style="4" customWidth="1"/>
    <col min="14575" max="14575" width="9" style="4" customWidth="1"/>
    <col min="14576" max="14576" width="13.375" style="4" customWidth="1"/>
    <col min="14577" max="14577" width="10.5" style="4" customWidth="1"/>
    <col min="14578" max="14578" width="12.5" style="4" customWidth="1"/>
    <col min="14579" max="14579" width="13.75" style="4" customWidth="1"/>
    <col min="14580" max="14580" width="8.875" style="4"/>
    <col min="14581" max="14581" width="12.375" style="4" customWidth="1"/>
    <col min="14582" max="14583" width="8.875" style="4"/>
    <col min="14584" max="14584" width="15.625" style="4" bestFit="1" customWidth="1"/>
    <col min="14585" max="14585" width="18.875" style="4" customWidth="1"/>
    <col min="14586" max="14828" width="8.875" style="4"/>
    <col min="14829" max="14829" width="9.625" style="4" customWidth="1"/>
    <col min="14830" max="14830" width="11.5" style="4" customWidth="1"/>
    <col min="14831" max="14831" width="9" style="4" customWidth="1"/>
    <col min="14832" max="14832" width="13.375" style="4" customWidth="1"/>
    <col min="14833" max="14833" width="10.5" style="4" customWidth="1"/>
    <col min="14834" max="14834" width="12.5" style="4" customWidth="1"/>
    <col min="14835" max="14835" width="13.75" style="4" customWidth="1"/>
    <col min="14836" max="14836" width="8.875" style="4"/>
    <col min="14837" max="14837" width="12.375" style="4" customWidth="1"/>
    <col min="14838" max="14839" width="8.875" style="4"/>
    <col min="14840" max="14840" width="15.625" style="4" bestFit="1" customWidth="1"/>
    <col min="14841" max="14841" width="18.875" style="4" customWidth="1"/>
    <col min="14842" max="15084" width="8.875" style="4"/>
    <col min="15085" max="15085" width="9.625" style="4" customWidth="1"/>
    <col min="15086" max="15086" width="11.5" style="4" customWidth="1"/>
    <col min="15087" max="15087" width="9" style="4" customWidth="1"/>
    <col min="15088" max="15088" width="13.375" style="4" customWidth="1"/>
    <col min="15089" max="15089" width="10.5" style="4" customWidth="1"/>
    <col min="15090" max="15090" width="12.5" style="4" customWidth="1"/>
    <col min="15091" max="15091" width="13.75" style="4" customWidth="1"/>
    <col min="15092" max="15092" width="8.875" style="4"/>
    <col min="15093" max="15093" width="12.375" style="4" customWidth="1"/>
    <col min="15094" max="15095" width="8.875" style="4"/>
    <col min="15096" max="15096" width="15.625" style="4" bestFit="1" customWidth="1"/>
    <col min="15097" max="15097" width="18.875" style="4" customWidth="1"/>
    <col min="15098" max="15340" width="8.875" style="4"/>
    <col min="15341" max="15341" width="9.625" style="4" customWidth="1"/>
    <col min="15342" max="15342" width="11.5" style="4" customWidth="1"/>
    <col min="15343" max="15343" width="9" style="4" customWidth="1"/>
    <col min="15344" max="15344" width="13.375" style="4" customWidth="1"/>
    <col min="15345" max="15345" width="10.5" style="4" customWidth="1"/>
    <col min="15346" max="15346" width="12.5" style="4" customWidth="1"/>
    <col min="15347" max="15347" width="13.75" style="4" customWidth="1"/>
    <col min="15348" max="15348" width="8.875" style="4"/>
    <col min="15349" max="15349" width="12.375" style="4" customWidth="1"/>
    <col min="15350" max="15351" width="8.875" style="4"/>
    <col min="15352" max="15352" width="15.625" style="4" bestFit="1" customWidth="1"/>
    <col min="15353" max="15353" width="18.875" style="4" customWidth="1"/>
    <col min="15354" max="15596" width="8.875" style="4"/>
    <col min="15597" max="15597" width="9.625" style="4" customWidth="1"/>
    <col min="15598" max="15598" width="11.5" style="4" customWidth="1"/>
    <col min="15599" max="15599" width="9" style="4" customWidth="1"/>
    <col min="15600" max="15600" width="13.375" style="4" customWidth="1"/>
    <col min="15601" max="15601" width="10.5" style="4" customWidth="1"/>
    <col min="15602" max="15602" width="12.5" style="4" customWidth="1"/>
    <col min="15603" max="15603" width="13.75" style="4" customWidth="1"/>
    <col min="15604" max="15604" width="8.875" style="4"/>
    <col min="15605" max="15605" width="12.375" style="4" customWidth="1"/>
    <col min="15606" max="15607" width="8.875" style="4"/>
    <col min="15608" max="15608" width="15.625" style="4" bestFit="1" customWidth="1"/>
    <col min="15609" max="15609" width="18.875" style="4" customWidth="1"/>
    <col min="15610" max="15852" width="8.875" style="4"/>
    <col min="15853" max="15853" width="9.625" style="4" customWidth="1"/>
    <col min="15854" max="15854" width="11.5" style="4" customWidth="1"/>
    <col min="15855" max="15855" width="9" style="4" customWidth="1"/>
    <col min="15856" max="15856" width="13.375" style="4" customWidth="1"/>
    <col min="15857" max="15857" width="10.5" style="4" customWidth="1"/>
    <col min="15858" max="15858" width="12.5" style="4" customWidth="1"/>
    <col min="15859" max="15859" width="13.75" style="4" customWidth="1"/>
    <col min="15860" max="15860" width="8.875" style="4"/>
    <col min="15861" max="15861" width="12.375" style="4" customWidth="1"/>
    <col min="15862" max="15863" width="8.875" style="4"/>
    <col min="15864" max="15864" width="15.625" style="4" bestFit="1" customWidth="1"/>
    <col min="15865" max="15865" width="18.875" style="4" customWidth="1"/>
    <col min="15866" max="16108" width="8.875" style="4"/>
    <col min="16109" max="16109" width="9.625" style="4" customWidth="1"/>
    <col min="16110" max="16110" width="11.5" style="4" customWidth="1"/>
    <col min="16111" max="16111" width="9" style="4" customWidth="1"/>
    <col min="16112" max="16112" width="13.375" style="4" customWidth="1"/>
    <col min="16113" max="16113" width="10.5" style="4" customWidth="1"/>
    <col min="16114" max="16114" width="12.5" style="4" customWidth="1"/>
    <col min="16115" max="16115" width="13.75" style="4" customWidth="1"/>
    <col min="16116" max="16116" width="8.875" style="4"/>
    <col min="16117" max="16117" width="12.375" style="4" customWidth="1"/>
    <col min="16118" max="16119" width="8.875" style="4"/>
    <col min="16120" max="16120" width="15.625" style="4" bestFit="1" customWidth="1"/>
    <col min="16121" max="16121" width="18.875" style="4" customWidth="1"/>
    <col min="16122" max="16384" width="8.875" style="4"/>
  </cols>
  <sheetData>
    <row r="1" spans="1:8" ht="16.5" x14ac:dyDescent="0.15">
      <c r="A1" s="5" t="s">
        <v>28</v>
      </c>
      <c r="B1" s="6" t="s">
        <v>29</v>
      </c>
    </row>
    <row r="2" spans="1:8" x14ac:dyDescent="0.15">
      <c r="A2" s="4" t="s">
        <v>0</v>
      </c>
    </row>
    <row r="3" spans="1:8" x14ac:dyDescent="0.15">
      <c r="A3" s="4" t="s">
        <v>11</v>
      </c>
      <c r="D3" s="4" t="s">
        <v>12</v>
      </c>
      <c r="E3" s="4" t="s">
        <v>16</v>
      </c>
      <c r="F3" s="4" t="s">
        <v>16</v>
      </c>
      <c r="G3" s="4" t="s">
        <v>22</v>
      </c>
      <c r="H3" s="4" t="s">
        <v>21</v>
      </c>
    </row>
    <row r="4" spans="1:8" x14ac:dyDescent="0.15">
      <c r="A4" s="4" t="s">
        <v>9</v>
      </c>
      <c r="D4" s="4" t="s">
        <v>13</v>
      </c>
      <c r="E4" s="4" t="s">
        <v>14</v>
      </c>
      <c r="F4" s="4" t="s">
        <v>17</v>
      </c>
      <c r="G4" s="4" t="s">
        <v>19</v>
      </c>
      <c r="H4" s="4" t="s">
        <v>20</v>
      </c>
    </row>
    <row r="5" spans="1:8" x14ac:dyDescent="0.15">
      <c r="E5" s="4" t="s">
        <v>15</v>
      </c>
      <c r="F5" s="4" t="s">
        <v>18</v>
      </c>
    </row>
    <row r="16" spans="1:8" x14ac:dyDescent="0.15">
      <c r="A16" s="4" t="s">
        <v>1</v>
      </c>
    </row>
    <row r="17" spans="1:1" x14ac:dyDescent="0.15">
      <c r="A17" s="4" t="s">
        <v>10</v>
      </c>
    </row>
  </sheetData>
  <phoneticPr fontId="7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K160"/>
  <sheetViews>
    <sheetView workbookViewId="0">
      <pane xSplit="3" ySplit="5" topLeftCell="D126" activePane="bottomRight" state="frozen"/>
      <selection pane="topRight" activeCell="D1" sqref="D1"/>
      <selection pane="bottomLeft" activeCell="A6" sqref="A6"/>
      <selection pane="bottomRight" activeCell="C120" sqref="C120:H122"/>
    </sheetView>
  </sheetViews>
  <sheetFormatPr defaultRowHeight="12" x14ac:dyDescent="0.15"/>
  <cols>
    <col min="1" max="1" width="9.625" style="4" customWidth="1"/>
    <col min="2" max="2" width="11.625" style="4" bestFit="1" customWidth="1"/>
    <col min="3" max="3" width="13.125" style="4" bestFit="1" customWidth="1"/>
    <col min="4" max="4" width="5" style="4" bestFit="1" customWidth="1"/>
    <col min="5" max="5" width="9.125" style="4" bestFit="1" customWidth="1"/>
    <col min="6" max="7" width="12" style="4" customWidth="1"/>
    <col min="8" max="8" width="24.5" style="4" customWidth="1"/>
    <col min="9" max="9" width="6.5" style="4" bestFit="1" customWidth="1"/>
    <col min="10" max="10" width="11.125" style="4" bestFit="1" customWidth="1"/>
    <col min="11" max="11" width="5.875" style="4" customWidth="1"/>
    <col min="12" max="12" width="15.375" style="4" bestFit="1" customWidth="1"/>
    <col min="13" max="13" width="15.375" style="4" customWidth="1"/>
    <col min="14" max="15" width="8.5" style="4" customWidth="1"/>
    <col min="16" max="16" width="10.875" style="4" customWidth="1"/>
    <col min="17" max="17" width="12.375" style="4" customWidth="1"/>
    <col min="18" max="18" width="23.375" style="32" customWidth="1"/>
    <col min="19" max="19" width="39.375" style="32" customWidth="1"/>
    <col min="20" max="24" width="13.25" style="32" customWidth="1"/>
    <col min="25" max="25" width="9" style="4"/>
    <col min="26" max="26" width="12.625" style="4" customWidth="1"/>
    <col min="27" max="27" width="9" style="29"/>
    <col min="28" max="28" width="9" style="30"/>
    <col min="29" max="29" width="13" style="4" customWidth="1"/>
    <col min="30" max="30" width="16" style="4" customWidth="1"/>
    <col min="31" max="31" width="9" style="4"/>
    <col min="32" max="32" width="10" style="4" customWidth="1"/>
    <col min="33" max="33" width="10.375" style="4" customWidth="1"/>
    <col min="34" max="34" width="39.375" style="32" customWidth="1"/>
    <col min="35" max="256" width="9" style="4"/>
    <col min="257" max="257" width="9.625" style="4" customWidth="1"/>
    <col min="258" max="258" width="11.5" style="4" customWidth="1"/>
    <col min="259" max="259" width="9" style="4" customWidth="1"/>
    <col min="260" max="260" width="13.375" style="4" customWidth="1"/>
    <col min="261" max="261" width="10.5" style="4" customWidth="1"/>
    <col min="262" max="262" width="12.5" style="4" customWidth="1"/>
    <col min="263" max="263" width="13.75" style="4" customWidth="1"/>
    <col min="264" max="264" width="9" style="4"/>
    <col min="265" max="265" width="12.375" style="4" customWidth="1"/>
    <col min="266" max="267" width="9" style="4"/>
    <col min="268" max="268" width="15.625" style="4" bestFit="1" customWidth="1"/>
    <col min="269" max="269" width="18.875" style="4" customWidth="1"/>
    <col min="270" max="512" width="9" style="4"/>
    <col min="513" max="513" width="9.625" style="4" customWidth="1"/>
    <col min="514" max="514" width="11.5" style="4" customWidth="1"/>
    <col min="515" max="515" width="9" style="4" customWidth="1"/>
    <col min="516" max="516" width="13.375" style="4" customWidth="1"/>
    <col min="517" max="517" width="10.5" style="4" customWidth="1"/>
    <col min="518" max="518" width="12.5" style="4" customWidth="1"/>
    <col min="519" max="519" width="13.75" style="4" customWidth="1"/>
    <col min="520" max="520" width="9" style="4"/>
    <col min="521" max="521" width="12.375" style="4" customWidth="1"/>
    <col min="522" max="523" width="9" style="4"/>
    <col min="524" max="524" width="15.625" style="4" bestFit="1" customWidth="1"/>
    <col min="525" max="525" width="18.875" style="4" customWidth="1"/>
    <col min="526" max="768" width="9" style="4"/>
    <col min="769" max="769" width="9.625" style="4" customWidth="1"/>
    <col min="770" max="770" width="11.5" style="4" customWidth="1"/>
    <col min="771" max="771" width="9" style="4" customWidth="1"/>
    <col min="772" max="772" width="13.375" style="4" customWidth="1"/>
    <col min="773" max="773" width="10.5" style="4" customWidth="1"/>
    <col min="774" max="774" width="12.5" style="4" customWidth="1"/>
    <col min="775" max="775" width="13.75" style="4" customWidth="1"/>
    <col min="776" max="776" width="9" style="4"/>
    <col min="777" max="777" width="12.375" style="4" customWidth="1"/>
    <col min="778" max="779" width="9" style="4"/>
    <col min="780" max="780" width="15.625" style="4" bestFit="1" customWidth="1"/>
    <col min="781" max="781" width="18.875" style="4" customWidth="1"/>
    <col min="782" max="1024" width="9" style="4"/>
    <col min="1025" max="1025" width="9.625" style="4" customWidth="1"/>
    <col min="1026" max="1026" width="11.5" style="4" customWidth="1"/>
    <col min="1027" max="1027" width="9" style="4" customWidth="1"/>
    <col min="1028" max="1028" width="13.375" style="4" customWidth="1"/>
    <col min="1029" max="1029" width="10.5" style="4" customWidth="1"/>
    <col min="1030" max="1030" width="12.5" style="4" customWidth="1"/>
    <col min="1031" max="1031" width="13.75" style="4" customWidth="1"/>
    <col min="1032" max="1032" width="9" style="4"/>
    <col min="1033" max="1033" width="12.375" style="4" customWidth="1"/>
    <col min="1034" max="1035" width="9" style="4"/>
    <col min="1036" max="1036" width="15.625" style="4" bestFit="1" customWidth="1"/>
    <col min="1037" max="1037" width="18.875" style="4" customWidth="1"/>
    <col min="1038" max="1280" width="9" style="4"/>
    <col min="1281" max="1281" width="9.625" style="4" customWidth="1"/>
    <col min="1282" max="1282" width="11.5" style="4" customWidth="1"/>
    <col min="1283" max="1283" width="9" style="4" customWidth="1"/>
    <col min="1284" max="1284" width="13.375" style="4" customWidth="1"/>
    <col min="1285" max="1285" width="10.5" style="4" customWidth="1"/>
    <col min="1286" max="1286" width="12.5" style="4" customWidth="1"/>
    <col min="1287" max="1287" width="13.75" style="4" customWidth="1"/>
    <col min="1288" max="1288" width="9" style="4"/>
    <col min="1289" max="1289" width="12.375" style="4" customWidth="1"/>
    <col min="1290" max="1291" width="9" style="4"/>
    <col min="1292" max="1292" width="15.625" style="4" bestFit="1" customWidth="1"/>
    <col min="1293" max="1293" width="18.875" style="4" customWidth="1"/>
    <col min="1294" max="1536" width="9" style="4"/>
    <col min="1537" max="1537" width="9.625" style="4" customWidth="1"/>
    <col min="1538" max="1538" width="11.5" style="4" customWidth="1"/>
    <col min="1539" max="1539" width="9" style="4" customWidth="1"/>
    <col min="1540" max="1540" width="13.375" style="4" customWidth="1"/>
    <col min="1541" max="1541" width="10.5" style="4" customWidth="1"/>
    <col min="1542" max="1542" width="12.5" style="4" customWidth="1"/>
    <col min="1543" max="1543" width="13.75" style="4" customWidth="1"/>
    <col min="1544" max="1544" width="9" style="4"/>
    <col min="1545" max="1545" width="12.375" style="4" customWidth="1"/>
    <col min="1546" max="1547" width="9" style="4"/>
    <col min="1548" max="1548" width="15.625" style="4" bestFit="1" customWidth="1"/>
    <col min="1549" max="1549" width="18.875" style="4" customWidth="1"/>
    <col min="1550" max="1792" width="9" style="4"/>
    <col min="1793" max="1793" width="9.625" style="4" customWidth="1"/>
    <col min="1794" max="1794" width="11.5" style="4" customWidth="1"/>
    <col min="1795" max="1795" width="9" style="4" customWidth="1"/>
    <col min="1796" max="1796" width="13.375" style="4" customWidth="1"/>
    <col min="1797" max="1797" width="10.5" style="4" customWidth="1"/>
    <col min="1798" max="1798" width="12.5" style="4" customWidth="1"/>
    <col min="1799" max="1799" width="13.75" style="4" customWidth="1"/>
    <col min="1800" max="1800" width="9" style="4"/>
    <col min="1801" max="1801" width="12.375" style="4" customWidth="1"/>
    <col min="1802" max="1803" width="9" style="4"/>
    <col min="1804" max="1804" width="15.625" style="4" bestFit="1" customWidth="1"/>
    <col min="1805" max="1805" width="18.875" style="4" customWidth="1"/>
    <col min="1806" max="2048" width="9" style="4"/>
    <col min="2049" max="2049" width="9.625" style="4" customWidth="1"/>
    <col min="2050" max="2050" width="11.5" style="4" customWidth="1"/>
    <col min="2051" max="2051" width="9" style="4" customWidth="1"/>
    <col min="2052" max="2052" width="13.375" style="4" customWidth="1"/>
    <col min="2053" max="2053" width="10.5" style="4" customWidth="1"/>
    <col min="2054" max="2054" width="12.5" style="4" customWidth="1"/>
    <col min="2055" max="2055" width="13.75" style="4" customWidth="1"/>
    <col min="2056" max="2056" width="9" style="4"/>
    <col min="2057" max="2057" width="12.375" style="4" customWidth="1"/>
    <col min="2058" max="2059" width="9" style="4"/>
    <col min="2060" max="2060" width="15.625" style="4" bestFit="1" customWidth="1"/>
    <col min="2061" max="2061" width="18.875" style="4" customWidth="1"/>
    <col min="2062" max="2304" width="9" style="4"/>
    <col min="2305" max="2305" width="9.625" style="4" customWidth="1"/>
    <col min="2306" max="2306" width="11.5" style="4" customWidth="1"/>
    <col min="2307" max="2307" width="9" style="4" customWidth="1"/>
    <col min="2308" max="2308" width="13.375" style="4" customWidth="1"/>
    <col min="2309" max="2309" width="10.5" style="4" customWidth="1"/>
    <col min="2310" max="2310" width="12.5" style="4" customWidth="1"/>
    <col min="2311" max="2311" width="13.75" style="4" customWidth="1"/>
    <col min="2312" max="2312" width="9" style="4"/>
    <col min="2313" max="2313" width="12.375" style="4" customWidth="1"/>
    <col min="2314" max="2315" width="9" style="4"/>
    <col min="2316" max="2316" width="15.625" style="4" bestFit="1" customWidth="1"/>
    <col min="2317" max="2317" width="18.875" style="4" customWidth="1"/>
    <col min="2318" max="2560" width="9" style="4"/>
    <col min="2561" max="2561" width="9.625" style="4" customWidth="1"/>
    <col min="2562" max="2562" width="11.5" style="4" customWidth="1"/>
    <col min="2563" max="2563" width="9" style="4" customWidth="1"/>
    <col min="2564" max="2564" width="13.375" style="4" customWidth="1"/>
    <col min="2565" max="2565" width="10.5" style="4" customWidth="1"/>
    <col min="2566" max="2566" width="12.5" style="4" customWidth="1"/>
    <col min="2567" max="2567" width="13.75" style="4" customWidth="1"/>
    <col min="2568" max="2568" width="9" style="4"/>
    <col min="2569" max="2569" width="12.375" style="4" customWidth="1"/>
    <col min="2570" max="2571" width="9" style="4"/>
    <col min="2572" max="2572" width="15.625" style="4" bestFit="1" customWidth="1"/>
    <col min="2573" max="2573" width="18.875" style="4" customWidth="1"/>
    <col min="2574" max="2816" width="9" style="4"/>
    <col min="2817" max="2817" width="9.625" style="4" customWidth="1"/>
    <col min="2818" max="2818" width="11.5" style="4" customWidth="1"/>
    <col min="2819" max="2819" width="9" style="4" customWidth="1"/>
    <col min="2820" max="2820" width="13.375" style="4" customWidth="1"/>
    <col min="2821" max="2821" width="10.5" style="4" customWidth="1"/>
    <col min="2822" max="2822" width="12.5" style="4" customWidth="1"/>
    <col min="2823" max="2823" width="13.75" style="4" customWidth="1"/>
    <col min="2824" max="2824" width="9" style="4"/>
    <col min="2825" max="2825" width="12.375" style="4" customWidth="1"/>
    <col min="2826" max="2827" width="9" style="4"/>
    <col min="2828" max="2828" width="15.625" style="4" bestFit="1" customWidth="1"/>
    <col min="2829" max="2829" width="18.875" style="4" customWidth="1"/>
    <col min="2830" max="3072" width="9" style="4"/>
    <col min="3073" max="3073" width="9.625" style="4" customWidth="1"/>
    <col min="3074" max="3074" width="11.5" style="4" customWidth="1"/>
    <col min="3075" max="3075" width="9" style="4" customWidth="1"/>
    <col min="3076" max="3076" width="13.375" style="4" customWidth="1"/>
    <col min="3077" max="3077" width="10.5" style="4" customWidth="1"/>
    <col min="3078" max="3078" width="12.5" style="4" customWidth="1"/>
    <col min="3079" max="3079" width="13.75" style="4" customWidth="1"/>
    <col min="3080" max="3080" width="9" style="4"/>
    <col min="3081" max="3081" width="12.375" style="4" customWidth="1"/>
    <col min="3082" max="3083" width="9" style="4"/>
    <col min="3084" max="3084" width="15.625" style="4" bestFit="1" customWidth="1"/>
    <col min="3085" max="3085" width="18.875" style="4" customWidth="1"/>
    <col min="3086" max="3328" width="9" style="4"/>
    <col min="3329" max="3329" width="9.625" style="4" customWidth="1"/>
    <col min="3330" max="3330" width="11.5" style="4" customWidth="1"/>
    <col min="3331" max="3331" width="9" style="4" customWidth="1"/>
    <col min="3332" max="3332" width="13.375" style="4" customWidth="1"/>
    <col min="3333" max="3333" width="10.5" style="4" customWidth="1"/>
    <col min="3334" max="3334" width="12.5" style="4" customWidth="1"/>
    <col min="3335" max="3335" width="13.75" style="4" customWidth="1"/>
    <col min="3336" max="3336" width="9" style="4"/>
    <col min="3337" max="3337" width="12.375" style="4" customWidth="1"/>
    <col min="3338" max="3339" width="9" style="4"/>
    <col min="3340" max="3340" width="15.625" style="4" bestFit="1" customWidth="1"/>
    <col min="3341" max="3341" width="18.875" style="4" customWidth="1"/>
    <col min="3342" max="3584" width="9" style="4"/>
    <col min="3585" max="3585" width="9.625" style="4" customWidth="1"/>
    <col min="3586" max="3586" width="11.5" style="4" customWidth="1"/>
    <col min="3587" max="3587" width="9" style="4" customWidth="1"/>
    <col min="3588" max="3588" width="13.375" style="4" customWidth="1"/>
    <col min="3589" max="3589" width="10.5" style="4" customWidth="1"/>
    <col min="3590" max="3590" width="12.5" style="4" customWidth="1"/>
    <col min="3591" max="3591" width="13.75" style="4" customWidth="1"/>
    <col min="3592" max="3592" width="9" style="4"/>
    <col min="3593" max="3593" width="12.375" style="4" customWidth="1"/>
    <col min="3594" max="3595" width="9" style="4"/>
    <col min="3596" max="3596" width="15.625" style="4" bestFit="1" customWidth="1"/>
    <col min="3597" max="3597" width="18.875" style="4" customWidth="1"/>
    <col min="3598" max="3840" width="9" style="4"/>
    <col min="3841" max="3841" width="9.625" style="4" customWidth="1"/>
    <col min="3842" max="3842" width="11.5" style="4" customWidth="1"/>
    <col min="3843" max="3843" width="9" style="4" customWidth="1"/>
    <col min="3844" max="3844" width="13.375" style="4" customWidth="1"/>
    <col min="3845" max="3845" width="10.5" style="4" customWidth="1"/>
    <col min="3846" max="3846" width="12.5" style="4" customWidth="1"/>
    <col min="3847" max="3847" width="13.75" style="4" customWidth="1"/>
    <col min="3848" max="3848" width="9" style="4"/>
    <col min="3849" max="3849" width="12.375" style="4" customWidth="1"/>
    <col min="3850" max="3851" width="9" style="4"/>
    <col min="3852" max="3852" width="15.625" style="4" bestFit="1" customWidth="1"/>
    <col min="3853" max="3853" width="18.875" style="4" customWidth="1"/>
    <col min="3854" max="4096" width="9" style="4"/>
    <col min="4097" max="4097" width="9.625" style="4" customWidth="1"/>
    <col min="4098" max="4098" width="11.5" style="4" customWidth="1"/>
    <col min="4099" max="4099" width="9" style="4" customWidth="1"/>
    <col min="4100" max="4100" width="13.375" style="4" customWidth="1"/>
    <col min="4101" max="4101" width="10.5" style="4" customWidth="1"/>
    <col min="4102" max="4102" width="12.5" style="4" customWidth="1"/>
    <col min="4103" max="4103" width="13.75" style="4" customWidth="1"/>
    <col min="4104" max="4104" width="9" style="4"/>
    <col min="4105" max="4105" width="12.375" style="4" customWidth="1"/>
    <col min="4106" max="4107" width="9" style="4"/>
    <col min="4108" max="4108" width="15.625" style="4" bestFit="1" customWidth="1"/>
    <col min="4109" max="4109" width="18.875" style="4" customWidth="1"/>
    <col min="4110" max="4352" width="9" style="4"/>
    <col min="4353" max="4353" width="9.625" style="4" customWidth="1"/>
    <col min="4354" max="4354" width="11.5" style="4" customWidth="1"/>
    <col min="4355" max="4355" width="9" style="4" customWidth="1"/>
    <col min="4356" max="4356" width="13.375" style="4" customWidth="1"/>
    <col min="4357" max="4357" width="10.5" style="4" customWidth="1"/>
    <col min="4358" max="4358" width="12.5" style="4" customWidth="1"/>
    <col min="4359" max="4359" width="13.75" style="4" customWidth="1"/>
    <col min="4360" max="4360" width="9" style="4"/>
    <col min="4361" max="4361" width="12.375" style="4" customWidth="1"/>
    <col min="4362" max="4363" width="9" style="4"/>
    <col min="4364" max="4364" width="15.625" style="4" bestFit="1" customWidth="1"/>
    <col min="4365" max="4365" width="18.875" style="4" customWidth="1"/>
    <col min="4366" max="4608" width="9" style="4"/>
    <col min="4609" max="4609" width="9.625" style="4" customWidth="1"/>
    <col min="4610" max="4610" width="11.5" style="4" customWidth="1"/>
    <col min="4611" max="4611" width="9" style="4" customWidth="1"/>
    <col min="4612" max="4612" width="13.375" style="4" customWidth="1"/>
    <col min="4613" max="4613" width="10.5" style="4" customWidth="1"/>
    <col min="4614" max="4614" width="12.5" style="4" customWidth="1"/>
    <col min="4615" max="4615" width="13.75" style="4" customWidth="1"/>
    <col min="4616" max="4616" width="9" style="4"/>
    <col min="4617" max="4617" width="12.375" style="4" customWidth="1"/>
    <col min="4618" max="4619" width="9" style="4"/>
    <col min="4620" max="4620" width="15.625" style="4" bestFit="1" customWidth="1"/>
    <col min="4621" max="4621" width="18.875" style="4" customWidth="1"/>
    <col min="4622" max="4864" width="9" style="4"/>
    <col min="4865" max="4865" width="9.625" style="4" customWidth="1"/>
    <col min="4866" max="4866" width="11.5" style="4" customWidth="1"/>
    <col min="4867" max="4867" width="9" style="4" customWidth="1"/>
    <col min="4868" max="4868" width="13.375" style="4" customWidth="1"/>
    <col min="4869" max="4869" width="10.5" style="4" customWidth="1"/>
    <col min="4870" max="4870" width="12.5" style="4" customWidth="1"/>
    <col min="4871" max="4871" width="13.75" style="4" customWidth="1"/>
    <col min="4872" max="4872" width="9" style="4"/>
    <col min="4873" max="4873" width="12.375" style="4" customWidth="1"/>
    <col min="4874" max="4875" width="9" style="4"/>
    <col min="4876" max="4876" width="15.625" style="4" bestFit="1" customWidth="1"/>
    <col min="4877" max="4877" width="18.875" style="4" customWidth="1"/>
    <col min="4878" max="5120" width="9" style="4"/>
    <col min="5121" max="5121" width="9.625" style="4" customWidth="1"/>
    <col min="5122" max="5122" width="11.5" style="4" customWidth="1"/>
    <col min="5123" max="5123" width="9" style="4" customWidth="1"/>
    <col min="5124" max="5124" width="13.375" style="4" customWidth="1"/>
    <col min="5125" max="5125" width="10.5" style="4" customWidth="1"/>
    <col min="5126" max="5126" width="12.5" style="4" customWidth="1"/>
    <col min="5127" max="5127" width="13.75" style="4" customWidth="1"/>
    <col min="5128" max="5128" width="9" style="4"/>
    <col min="5129" max="5129" width="12.375" style="4" customWidth="1"/>
    <col min="5130" max="5131" width="9" style="4"/>
    <col min="5132" max="5132" width="15.625" style="4" bestFit="1" customWidth="1"/>
    <col min="5133" max="5133" width="18.875" style="4" customWidth="1"/>
    <col min="5134" max="5376" width="9" style="4"/>
    <col min="5377" max="5377" width="9.625" style="4" customWidth="1"/>
    <col min="5378" max="5378" width="11.5" style="4" customWidth="1"/>
    <col min="5379" max="5379" width="9" style="4" customWidth="1"/>
    <col min="5380" max="5380" width="13.375" style="4" customWidth="1"/>
    <col min="5381" max="5381" width="10.5" style="4" customWidth="1"/>
    <col min="5382" max="5382" width="12.5" style="4" customWidth="1"/>
    <col min="5383" max="5383" width="13.75" style="4" customWidth="1"/>
    <col min="5384" max="5384" width="9" style="4"/>
    <col min="5385" max="5385" width="12.375" style="4" customWidth="1"/>
    <col min="5386" max="5387" width="9" style="4"/>
    <col min="5388" max="5388" width="15.625" style="4" bestFit="1" customWidth="1"/>
    <col min="5389" max="5389" width="18.875" style="4" customWidth="1"/>
    <col min="5390" max="5632" width="9" style="4"/>
    <col min="5633" max="5633" width="9.625" style="4" customWidth="1"/>
    <col min="5634" max="5634" width="11.5" style="4" customWidth="1"/>
    <col min="5635" max="5635" width="9" style="4" customWidth="1"/>
    <col min="5636" max="5636" width="13.375" style="4" customWidth="1"/>
    <col min="5637" max="5637" width="10.5" style="4" customWidth="1"/>
    <col min="5638" max="5638" width="12.5" style="4" customWidth="1"/>
    <col min="5639" max="5639" width="13.75" style="4" customWidth="1"/>
    <col min="5640" max="5640" width="9" style="4"/>
    <col min="5641" max="5641" width="12.375" style="4" customWidth="1"/>
    <col min="5642" max="5643" width="9" style="4"/>
    <col min="5644" max="5644" width="15.625" style="4" bestFit="1" customWidth="1"/>
    <col min="5645" max="5645" width="18.875" style="4" customWidth="1"/>
    <col min="5646" max="5888" width="9" style="4"/>
    <col min="5889" max="5889" width="9.625" style="4" customWidth="1"/>
    <col min="5890" max="5890" width="11.5" style="4" customWidth="1"/>
    <col min="5891" max="5891" width="9" style="4" customWidth="1"/>
    <col min="5892" max="5892" width="13.375" style="4" customWidth="1"/>
    <col min="5893" max="5893" width="10.5" style="4" customWidth="1"/>
    <col min="5894" max="5894" width="12.5" style="4" customWidth="1"/>
    <col min="5895" max="5895" width="13.75" style="4" customWidth="1"/>
    <col min="5896" max="5896" width="9" style="4"/>
    <col min="5897" max="5897" width="12.375" style="4" customWidth="1"/>
    <col min="5898" max="5899" width="9" style="4"/>
    <col min="5900" max="5900" width="15.625" style="4" bestFit="1" customWidth="1"/>
    <col min="5901" max="5901" width="18.875" style="4" customWidth="1"/>
    <col min="5902" max="6144" width="9" style="4"/>
    <col min="6145" max="6145" width="9.625" style="4" customWidth="1"/>
    <col min="6146" max="6146" width="11.5" style="4" customWidth="1"/>
    <col min="6147" max="6147" width="9" style="4" customWidth="1"/>
    <col min="6148" max="6148" width="13.375" style="4" customWidth="1"/>
    <col min="6149" max="6149" width="10.5" style="4" customWidth="1"/>
    <col min="6150" max="6150" width="12.5" style="4" customWidth="1"/>
    <col min="6151" max="6151" width="13.75" style="4" customWidth="1"/>
    <col min="6152" max="6152" width="9" style="4"/>
    <col min="6153" max="6153" width="12.375" style="4" customWidth="1"/>
    <col min="6154" max="6155" width="9" style="4"/>
    <col min="6156" max="6156" width="15.625" style="4" bestFit="1" customWidth="1"/>
    <col min="6157" max="6157" width="18.875" style="4" customWidth="1"/>
    <col min="6158" max="6400" width="9" style="4"/>
    <col min="6401" max="6401" width="9.625" style="4" customWidth="1"/>
    <col min="6402" max="6402" width="11.5" style="4" customWidth="1"/>
    <col min="6403" max="6403" width="9" style="4" customWidth="1"/>
    <col min="6404" max="6404" width="13.375" style="4" customWidth="1"/>
    <col min="6405" max="6405" width="10.5" style="4" customWidth="1"/>
    <col min="6406" max="6406" width="12.5" style="4" customWidth="1"/>
    <col min="6407" max="6407" width="13.75" style="4" customWidth="1"/>
    <col min="6408" max="6408" width="9" style="4"/>
    <col min="6409" max="6409" width="12.375" style="4" customWidth="1"/>
    <col min="6410" max="6411" width="9" style="4"/>
    <col min="6412" max="6412" width="15.625" style="4" bestFit="1" customWidth="1"/>
    <col min="6413" max="6413" width="18.875" style="4" customWidth="1"/>
    <col min="6414" max="6656" width="9" style="4"/>
    <col min="6657" max="6657" width="9.625" style="4" customWidth="1"/>
    <col min="6658" max="6658" width="11.5" style="4" customWidth="1"/>
    <col min="6659" max="6659" width="9" style="4" customWidth="1"/>
    <col min="6660" max="6660" width="13.375" style="4" customWidth="1"/>
    <col min="6661" max="6661" width="10.5" style="4" customWidth="1"/>
    <col min="6662" max="6662" width="12.5" style="4" customWidth="1"/>
    <col min="6663" max="6663" width="13.75" style="4" customWidth="1"/>
    <col min="6664" max="6664" width="9" style="4"/>
    <col min="6665" max="6665" width="12.375" style="4" customWidth="1"/>
    <col min="6666" max="6667" width="9" style="4"/>
    <col min="6668" max="6668" width="15.625" style="4" bestFit="1" customWidth="1"/>
    <col min="6669" max="6669" width="18.875" style="4" customWidth="1"/>
    <col min="6670" max="6912" width="9" style="4"/>
    <col min="6913" max="6913" width="9.625" style="4" customWidth="1"/>
    <col min="6914" max="6914" width="11.5" style="4" customWidth="1"/>
    <col min="6915" max="6915" width="9" style="4" customWidth="1"/>
    <col min="6916" max="6916" width="13.375" style="4" customWidth="1"/>
    <col min="6917" max="6917" width="10.5" style="4" customWidth="1"/>
    <col min="6918" max="6918" width="12.5" style="4" customWidth="1"/>
    <col min="6919" max="6919" width="13.75" style="4" customWidth="1"/>
    <col min="6920" max="6920" width="9" style="4"/>
    <col min="6921" max="6921" width="12.375" style="4" customWidth="1"/>
    <col min="6922" max="6923" width="9" style="4"/>
    <col min="6924" max="6924" width="15.625" style="4" bestFit="1" customWidth="1"/>
    <col min="6925" max="6925" width="18.875" style="4" customWidth="1"/>
    <col min="6926" max="7168" width="9" style="4"/>
    <col min="7169" max="7169" width="9.625" style="4" customWidth="1"/>
    <col min="7170" max="7170" width="11.5" style="4" customWidth="1"/>
    <col min="7171" max="7171" width="9" style="4" customWidth="1"/>
    <col min="7172" max="7172" width="13.375" style="4" customWidth="1"/>
    <col min="7173" max="7173" width="10.5" style="4" customWidth="1"/>
    <col min="7174" max="7174" width="12.5" style="4" customWidth="1"/>
    <col min="7175" max="7175" width="13.75" style="4" customWidth="1"/>
    <col min="7176" max="7176" width="9" style="4"/>
    <col min="7177" max="7177" width="12.375" style="4" customWidth="1"/>
    <col min="7178" max="7179" width="9" style="4"/>
    <col min="7180" max="7180" width="15.625" style="4" bestFit="1" customWidth="1"/>
    <col min="7181" max="7181" width="18.875" style="4" customWidth="1"/>
    <col min="7182" max="7424" width="9" style="4"/>
    <col min="7425" max="7425" width="9.625" style="4" customWidth="1"/>
    <col min="7426" max="7426" width="11.5" style="4" customWidth="1"/>
    <col min="7427" max="7427" width="9" style="4" customWidth="1"/>
    <col min="7428" max="7428" width="13.375" style="4" customWidth="1"/>
    <col min="7429" max="7429" width="10.5" style="4" customWidth="1"/>
    <col min="7430" max="7430" width="12.5" style="4" customWidth="1"/>
    <col min="7431" max="7431" width="13.75" style="4" customWidth="1"/>
    <col min="7432" max="7432" width="9" style="4"/>
    <col min="7433" max="7433" width="12.375" style="4" customWidth="1"/>
    <col min="7434" max="7435" width="9" style="4"/>
    <col min="7436" max="7436" width="15.625" style="4" bestFit="1" customWidth="1"/>
    <col min="7437" max="7437" width="18.875" style="4" customWidth="1"/>
    <col min="7438" max="7680" width="9" style="4"/>
    <col min="7681" max="7681" width="9.625" style="4" customWidth="1"/>
    <col min="7682" max="7682" width="11.5" style="4" customWidth="1"/>
    <col min="7683" max="7683" width="9" style="4" customWidth="1"/>
    <col min="7684" max="7684" width="13.375" style="4" customWidth="1"/>
    <col min="7685" max="7685" width="10.5" style="4" customWidth="1"/>
    <col min="7686" max="7686" width="12.5" style="4" customWidth="1"/>
    <col min="7687" max="7687" width="13.75" style="4" customWidth="1"/>
    <col min="7688" max="7688" width="9" style="4"/>
    <col min="7689" max="7689" width="12.375" style="4" customWidth="1"/>
    <col min="7690" max="7691" width="9" style="4"/>
    <col min="7692" max="7692" width="15.625" style="4" bestFit="1" customWidth="1"/>
    <col min="7693" max="7693" width="18.875" style="4" customWidth="1"/>
    <col min="7694" max="7936" width="9" style="4"/>
    <col min="7937" max="7937" width="9.625" style="4" customWidth="1"/>
    <col min="7938" max="7938" width="11.5" style="4" customWidth="1"/>
    <col min="7939" max="7939" width="9" style="4" customWidth="1"/>
    <col min="7940" max="7940" width="13.375" style="4" customWidth="1"/>
    <col min="7941" max="7941" width="10.5" style="4" customWidth="1"/>
    <col min="7942" max="7942" width="12.5" style="4" customWidth="1"/>
    <col min="7943" max="7943" width="13.75" style="4" customWidth="1"/>
    <col min="7944" max="7944" width="9" style="4"/>
    <col min="7945" max="7945" width="12.375" style="4" customWidth="1"/>
    <col min="7946" max="7947" width="9" style="4"/>
    <col min="7948" max="7948" width="15.625" style="4" bestFit="1" customWidth="1"/>
    <col min="7949" max="7949" width="18.875" style="4" customWidth="1"/>
    <col min="7950" max="8192" width="9" style="4"/>
    <col min="8193" max="8193" width="9.625" style="4" customWidth="1"/>
    <col min="8194" max="8194" width="11.5" style="4" customWidth="1"/>
    <col min="8195" max="8195" width="9" style="4" customWidth="1"/>
    <col min="8196" max="8196" width="13.375" style="4" customWidth="1"/>
    <col min="8197" max="8197" width="10.5" style="4" customWidth="1"/>
    <col min="8198" max="8198" width="12.5" style="4" customWidth="1"/>
    <col min="8199" max="8199" width="13.75" style="4" customWidth="1"/>
    <col min="8200" max="8200" width="9" style="4"/>
    <col min="8201" max="8201" width="12.375" style="4" customWidth="1"/>
    <col min="8202" max="8203" width="9" style="4"/>
    <col min="8204" max="8204" width="15.625" style="4" bestFit="1" customWidth="1"/>
    <col min="8205" max="8205" width="18.875" style="4" customWidth="1"/>
    <col min="8206" max="8448" width="9" style="4"/>
    <col min="8449" max="8449" width="9.625" style="4" customWidth="1"/>
    <col min="8450" max="8450" width="11.5" style="4" customWidth="1"/>
    <col min="8451" max="8451" width="9" style="4" customWidth="1"/>
    <col min="8452" max="8452" width="13.375" style="4" customWidth="1"/>
    <col min="8453" max="8453" width="10.5" style="4" customWidth="1"/>
    <col min="8454" max="8454" width="12.5" style="4" customWidth="1"/>
    <col min="8455" max="8455" width="13.75" style="4" customWidth="1"/>
    <col min="8456" max="8456" width="9" style="4"/>
    <col min="8457" max="8457" width="12.375" style="4" customWidth="1"/>
    <col min="8458" max="8459" width="9" style="4"/>
    <col min="8460" max="8460" width="15.625" style="4" bestFit="1" customWidth="1"/>
    <col min="8461" max="8461" width="18.875" style="4" customWidth="1"/>
    <col min="8462" max="8704" width="9" style="4"/>
    <col min="8705" max="8705" width="9.625" style="4" customWidth="1"/>
    <col min="8706" max="8706" width="11.5" style="4" customWidth="1"/>
    <col min="8707" max="8707" width="9" style="4" customWidth="1"/>
    <col min="8708" max="8708" width="13.375" style="4" customWidth="1"/>
    <col min="8709" max="8709" width="10.5" style="4" customWidth="1"/>
    <col min="8710" max="8710" width="12.5" style="4" customWidth="1"/>
    <col min="8711" max="8711" width="13.75" style="4" customWidth="1"/>
    <col min="8712" max="8712" width="9" style="4"/>
    <col min="8713" max="8713" width="12.375" style="4" customWidth="1"/>
    <col min="8714" max="8715" width="9" style="4"/>
    <col min="8716" max="8716" width="15.625" style="4" bestFit="1" customWidth="1"/>
    <col min="8717" max="8717" width="18.875" style="4" customWidth="1"/>
    <col min="8718" max="8960" width="9" style="4"/>
    <col min="8961" max="8961" width="9.625" style="4" customWidth="1"/>
    <col min="8962" max="8962" width="11.5" style="4" customWidth="1"/>
    <col min="8963" max="8963" width="9" style="4" customWidth="1"/>
    <col min="8964" max="8964" width="13.375" style="4" customWidth="1"/>
    <col min="8965" max="8965" width="10.5" style="4" customWidth="1"/>
    <col min="8966" max="8966" width="12.5" style="4" customWidth="1"/>
    <col min="8967" max="8967" width="13.75" style="4" customWidth="1"/>
    <col min="8968" max="8968" width="9" style="4"/>
    <col min="8969" max="8969" width="12.375" style="4" customWidth="1"/>
    <col min="8970" max="8971" width="9" style="4"/>
    <col min="8972" max="8972" width="15.625" style="4" bestFit="1" customWidth="1"/>
    <col min="8973" max="8973" width="18.875" style="4" customWidth="1"/>
    <col min="8974" max="9216" width="9" style="4"/>
    <col min="9217" max="9217" width="9.625" style="4" customWidth="1"/>
    <col min="9218" max="9218" width="11.5" style="4" customWidth="1"/>
    <col min="9219" max="9219" width="9" style="4" customWidth="1"/>
    <col min="9220" max="9220" width="13.375" style="4" customWidth="1"/>
    <col min="9221" max="9221" width="10.5" style="4" customWidth="1"/>
    <col min="9222" max="9222" width="12.5" style="4" customWidth="1"/>
    <col min="9223" max="9223" width="13.75" style="4" customWidth="1"/>
    <col min="9224" max="9224" width="9" style="4"/>
    <col min="9225" max="9225" width="12.375" style="4" customWidth="1"/>
    <col min="9226" max="9227" width="9" style="4"/>
    <col min="9228" max="9228" width="15.625" style="4" bestFit="1" customWidth="1"/>
    <col min="9229" max="9229" width="18.875" style="4" customWidth="1"/>
    <col min="9230" max="9472" width="9" style="4"/>
    <col min="9473" max="9473" width="9.625" style="4" customWidth="1"/>
    <col min="9474" max="9474" width="11.5" style="4" customWidth="1"/>
    <col min="9475" max="9475" width="9" style="4" customWidth="1"/>
    <col min="9476" max="9476" width="13.375" style="4" customWidth="1"/>
    <col min="9477" max="9477" width="10.5" style="4" customWidth="1"/>
    <col min="9478" max="9478" width="12.5" style="4" customWidth="1"/>
    <col min="9479" max="9479" width="13.75" style="4" customWidth="1"/>
    <col min="9480" max="9480" width="9" style="4"/>
    <col min="9481" max="9481" width="12.375" style="4" customWidth="1"/>
    <col min="9482" max="9483" width="9" style="4"/>
    <col min="9484" max="9484" width="15.625" style="4" bestFit="1" customWidth="1"/>
    <col min="9485" max="9485" width="18.875" style="4" customWidth="1"/>
    <col min="9486" max="9728" width="9" style="4"/>
    <col min="9729" max="9729" width="9.625" style="4" customWidth="1"/>
    <col min="9730" max="9730" width="11.5" style="4" customWidth="1"/>
    <col min="9731" max="9731" width="9" style="4" customWidth="1"/>
    <col min="9732" max="9732" width="13.375" style="4" customWidth="1"/>
    <col min="9733" max="9733" width="10.5" style="4" customWidth="1"/>
    <col min="9734" max="9734" width="12.5" style="4" customWidth="1"/>
    <col min="9735" max="9735" width="13.75" style="4" customWidth="1"/>
    <col min="9736" max="9736" width="9" style="4"/>
    <col min="9737" max="9737" width="12.375" style="4" customWidth="1"/>
    <col min="9738" max="9739" width="9" style="4"/>
    <col min="9740" max="9740" width="15.625" style="4" bestFit="1" customWidth="1"/>
    <col min="9741" max="9741" width="18.875" style="4" customWidth="1"/>
    <col min="9742" max="9984" width="9" style="4"/>
    <col min="9985" max="9985" width="9.625" style="4" customWidth="1"/>
    <col min="9986" max="9986" width="11.5" style="4" customWidth="1"/>
    <col min="9987" max="9987" width="9" style="4" customWidth="1"/>
    <col min="9988" max="9988" width="13.375" style="4" customWidth="1"/>
    <col min="9989" max="9989" width="10.5" style="4" customWidth="1"/>
    <col min="9990" max="9990" width="12.5" style="4" customWidth="1"/>
    <col min="9991" max="9991" width="13.75" style="4" customWidth="1"/>
    <col min="9992" max="9992" width="9" style="4"/>
    <col min="9993" max="9993" width="12.375" style="4" customWidth="1"/>
    <col min="9994" max="9995" width="9" style="4"/>
    <col min="9996" max="9996" width="15.625" style="4" bestFit="1" customWidth="1"/>
    <col min="9997" max="9997" width="18.875" style="4" customWidth="1"/>
    <col min="9998" max="10240" width="9" style="4"/>
    <col min="10241" max="10241" width="9.625" style="4" customWidth="1"/>
    <col min="10242" max="10242" width="11.5" style="4" customWidth="1"/>
    <col min="10243" max="10243" width="9" style="4" customWidth="1"/>
    <col min="10244" max="10244" width="13.375" style="4" customWidth="1"/>
    <col min="10245" max="10245" width="10.5" style="4" customWidth="1"/>
    <col min="10246" max="10246" width="12.5" style="4" customWidth="1"/>
    <col min="10247" max="10247" width="13.75" style="4" customWidth="1"/>
    <col min="10248" max="10248" width="9" style="4"/>
    <col min="10249" max="10249" width="12.375" style="4" customWidth="1"/>
    <col min="10250" max="10251" width="9" style="4"/>
    <col min="10252" max="10252" width="15.625" style="4" bestFit="1" customWidth="1"/>
    <col min="10253" max="10253" width="18.875" style="4" customWidth="1"/>
    <col min="10254" max="10496" width="9" style="4"/>
    <col min="10497" max="10497" width="9.625" style="4" customWidth="1"/>
    <col min="10498" max="10498" width="11.5" style="4" customWidth="1"/>
    <col min="10499" max="10499" width="9" style="4" customWidth="1"/>
    <col min="10500" max="10500" width="13.375" style="4" customWidth="1"/>
    <col min="10501" max="10501" width="10.5" style="4" customWidth="1"/>
    <col min="10502" max="10502" width="12.5" style="4" customWidth="1"/>
    <col min="10503" max="10503" width="13.75" style="4" customWidth="1"/>
    <col min="10504" max="10504" width="9" style="4"/>
    <col min="10505" max="10505" width="12.375" style="4" customWidth="1"/>
    <col min="10506" max="10507" width="9" style="4"/>
    <col min="10508" max="10508" width="15.625" style="4" bestFit="1" customWidth="1"/>
    <col min="10509" max="10509" width="18.875" style="4" customWidth="1"/>
    <col min="10510" max="10752" width="9" style="4"/>
    <col min="10753" max="10753" width="9.625" style="4" customWidth="1"/>
    <col min="10754" max="10754" width="11.5" style="4" customWidth="1"/>
    <col min="10755" max="10755" width="9" style="4" customWidth="1"/>
    <col min="10756" max="10756" width="13.375" style="4" customWidth="1"/>
    <col min="10757" max="10757" width="10.5" style="4" customWidth="1"/>
    <col min="10758" max="10758" width="12.5" style="4" customWidth="1"/>
    <col min="10759" max="10759" width="13.75" style="4" customWidth="1"/>
    <col min="10760" max="10760" width="9" style="4"/>
    <col min="10761" max="10761" width="12.375" style="4" customWidth="1"/>
    <col min="10762" max="10763" width="9" style="4"/>
    <col min="10764" max="10764" width="15.625" style="4" bestFit="1" customWidth="1"/>
    <col min="10765" max="10765" width="18.875" style="4" customWidth="1"/>
    <col min="10766" max="11008" width="9" style="4"/>
    <col min="11009" max="11009" width="9.625" style="4" customWidth="1"/>
    <col min="11010" max="11010" width="11.5" style="4" customWidth="1"/>
    <col min="11011" max="11011" width="9" style="4" customWidth="1"/>
    <col min="11012" max="11012" width="13.375" style="4" customWidth="1"/>
    <col min="11013" max="11013" width="10.5" style="4" customWidth="1"/>
    <col min="11014" max="11014" width="12.5" style="4" customWidth="1"/>
    <col min="11015" max="11015" width="13.75" style="4" customWidth="1"/>
    <col min="11016" max="11016" width="9" style="4"/>
    <col min="11017" max="11017" width="12.375" style="4" customWidth="1"/>
    <col min="11018" max="11019" width="9" style="4"/>
    <col min="11020" max="11020" width="15.625" style="4" bestFit="1" customWidth="1"/>
    <col min="11021" max="11021" width="18.875" style="4" customWidth="1"/>
    <col min="11022" max="11264" width="9" style="4"/>
    <col min="11265" max="11265" width="9.625" style="4" customWidth="1"/>
    <col min="11266" max="11266" width="11.5" style="4" customWidth="1"/>
    <col min="11267" max="11267" width="9" style="4" customWidth="1"/>
    <col min="11268" max="11268" width="13.375" style="4" customWidth="1"/>
    <col min="11269" max="11269" width="10.5" style="4" customWidth="1"/>
    <col min="11270" max="11270" width="12.5" style="4" customWidth="1"/>
    <col min="11271" max="11271" width="13.75" style="4" customWidth="1"/>
    <col min="11272" max="11272" width="9" style="4"/>
    <col min="11273" max="11273" width="12.375" style="4" customWidth="1"/>
    <col min="11274" max="11275" width="9" style="4"/>
    <col min="11276" max="11276" width="15.625" style="4" bestFit="1" customWidth="1"/>
    <col min="11277" max="11277" width="18.875" style="4" customWidth="1"/>
    <col min="11278" max="11520" width="9" style="4"/>
    <col min="11521" max="11521" width="9.625" style="4" customWidth="1"/>
    <col min="11522" max="11522" width="11.5" style="4" customWidth="1"/>
    <col min="11523" max="11523" width="9" style="4" customWidth="1"/>
    <col min="11524" max="11524" width="13.375" style="4" customWidth="1"/>
    <col min="11525" max="11525" width="10.5" style="4" customWidth="1"/>
    <col min="11526" max="11526" width="12.5" style="4" customWidth="1"/>
    <col min="11527" max="11527" width="13.75" style="4" customWidth="1"/>
    <col min="11528" max="11528" width="9" style="4"/>
    <col min="11529" max="11529" width="12.375" style="4" customWidth="1"/>
    <col min="11530" max="11531" width="9" style="4"/>
    <col min="11532" max="11532" width="15.625" style="4" bestFit="1" customWidth="1"/>
    <col min="11533" max="11533" width="18.875" style="4" customWidth="1"/>
    <col min="11534" max="11776" width="9" style="4"/>
    <col min="11777" max="11777" width="9.625" style="4" customWidth="1"/>
    <col min="11778" max="11778" width="11.5" style="4" customWidth="1"/>
    <col min="11779" max="11779" width="9" style="4" customWidth="1"/>
    <col min="11780" max="11780" width="13.375" style="4" customWidth="1"/>
    <col min="11781" max="11781" width="10.5" style="4" customWidth="1"/>
    <col min="11782" max="11782" width="12.5" style="4" customWidth="1"/>
    <col min="11783" max="11783" width="13.75" style="4" customWidth="1"/>
    <col min="11784" max="11784" width="9" style="4"/>
    <col min="11785" max="11785" width="12.375" style="4" customWidth="1"/>
    <col min="11786" max="11787" width="9" style="4"/>
    <col min="11788" max="11788" width="15.625" style="4" bestFit="1" customWidth="1"/>
    <col min="11789" max="11789" width="18.875" style="4" customWidth="1"/>
    <col min="11790" max="12032" width="9" style="4"/>
    <col min="12033" max="12033" width="9.625" style="4" customWidth="1"/>
    <col min="12034" max="12034" width="11.5" style="4" customWidth="1"/>
    <col min="12035" max="12035" width="9" style="4" customWidth="1"/>
    <col min="12036" max="12036" width="13.375" style="4" customWidth="1"/>
    <col min="12037" max="12037" width="10.5" style="4" customWidth="1"/>
    <col min="12038" max="12038" width="12.5" style="4" customWidth="1"/>
    <col min="12039" max="12039" width="13.75" style="4" customWidth="1"/>
    <col min="12040" max="12040" width="9" style="4"/>
    <col min="12041" max="12041" width="12.375" style="4" customWidth="1"/>
    <col min="12042" max="12043" width="9" style="4"/>
    <col min="12044" max="12044" width="15.625" style="4" bestFit="1" customWidth="1"/>
    <col min="12045" max="12045" width="18.875" style="4" customWidth="1"/>
    <col min="12046" max="12288" width="9" style="4"/>
    <col min="12289" max="12289" width="9.625" style="4" customWidth="1"/>
    <col min="12290" max="12290" width="11.5" style="4" customWidth="1"/>
    <col min="12291" max="12291" width="9" style="4" customWidth="1"/>
    <col min="12292" max="12292" width="13.375" style="4" customWidth="1"/>
    <col min="12293" max="12293" width="10.5" style="4" customWidth="1"/>
    <col min="12294" max="12294" width="12.5" style="4" customWidth="1"/>
    <col min="12295" max="12295" width="13.75" style="4" customWidth="1"/>
    <col min="12296" max="12296" width="9" style="4"/>
    <col min="12297" max="12297" width="12.375" style="4" customWidth="1"/>
    <col min="12298" max="12299" width="9" style="4"/>
    <col min="12300" max="12300" width="15.625" style="4" bestFit="1" customWidth="1"/>
    <col min="12301" max="12301" width="18.875" style="4" customWidth="1"/>
    <col min="12302" max="12544" width="9" style="4"/>
    <col min="12545" max="12545" width="9.625" style="4" customWidth="1"/>
    <col min="12546" max="12546" width="11.5" style="4" customWidth="1"/>
    <col min="12547" max="12547" width="9" style="4" customWidth="1"/>
    <col min="12548" max="12548" width="13.375" style="4" customWidth="1"/>
    <col min="12549" max="12549" width="10.5" style="4" customWidth="1"/>
    <col min="12550" max="12550" width="12.5" style="4" customWidth="1"/>
    <col min="12551" max="12551" width="13.75" style="4" customWidth="1"/>
    <col min="12552" max="12552" width="9" style="4"/>
    <col min="12553" max="12553" width="12.375" style="4" customWidth="1"/>
    <col min="12554" max="12555" width="9" style="4"/>
    <col min="12556" max="12556" width="15.625" style="4" bestFit="1" customWidth="1"/>
    <col min="12557" max="12557" width="18.875" style="4" customWidth="1"/>
    <col min="12558" max="12800" width="9" style="4"/>
    <col min="12801" max="12801" width="9.625" style="4" customWidth="1"/>
    <col min="12802" max="12802" width="11.5" style="4" customWidth="1"/>
    <col min="12803" max="12803" width="9" style="4" customWidth="1"/>
    <col min="12804" max="12804" width="13.375" style="4" customWidth="1"/>
    <col min="12805" max="12805" width="10.5" style="4" customWidth="1"/>
    <col min="12806" max="12806" width="12.5" style="4" customWidth="1"/>
    <col min="12807" max="12807" width="13.75" style="4" customWidth="1"/>
    <col min="12808" max="12808" width="9" style="4"/>
    <col min="12809" max="12809" width="12.375" style="4" customWidth="1"/>
    <col min="12810" max="12811" width="9" style="4"/>
    <col min="12812" max="12812" width="15.625" style="4" bestFit="1" customWidth="1"/>
    <col min="12813" max="12813" width="18.875" style="4" customWidth="1"/>
    <col min="12814" max="13056" width="9" style="4"/>
    <col min="13057" max="13057" width="9.625" style="4" customWidth="1"/>
    <col min="13058" max="13058" width="11.5" style="4" customWidth="1"/>
    <col min="13059" max="13059" width="9" style="4" customWidth="1"/>
    <col min="13060" max="13060" width="13.375" style="4" customWidth="1"/>
    <col min="13061" max="13061" width="10.5" style="4" customWidth="1"/>
    <col min="13062" max="13062" width="12.5" style="4" customWidth="1"/>
    <col min="13063" max="13063" width="13.75" style="4" customWidth="1"/>
    <col min="13064" max="13064" width="9" style="4"/>
    <col min="13065" max="13065" width="12.375" style="4" customWidth="1"/>
    <col min="13066" max="13067" width="9" style="4"/>
    <col min="13068" max="13068" width="15.625" style="4" bestFit="1" customWidth="1"/>
    <col min="13069" max="13069" width="18.875" style="4" customWidth="1"/>
    <col min="13070" max="13312" width="9" style="4"/>
    <col min="13313" max="13313" width="9.625" style="4" customWidth="1"/>
    <col min="13314" max="13314" width="11.5" style="4" customWidth="1"/>
    <col min="13315" max="13315" width="9" style="4" customWidth="1"/>
    <col min="13316" max="13316" width="13.375" style="4" customWidth="1"/>
    <col min="13317" max="13317" width="10.5" style="4" customWidth="1"/>
    <col min="13318" max="13318" width="12.5" style="4" customWidth="1"/>
    <col min="13319" max="13319" width="13.75" style="4" customWidth="1"/>
    <col min="13320" max="13320" width="9" style="4"/>
    <col min="13321" max="13321" width="12.375" style="4" customWidth="1"/>
    <col min="13322" max="13323" width="9" style="4"/>
    <col min="13324" max="13324" width="15.625" style="4" bestFit="1" customWidth="1"/>
    <col min="13325" max="13325" width="18.875" style="4" customWidth="1"/>
    <col min="13326" max="13568" width="9" style="4"/>
    <col min="13569" max="13569" width="9.625" style="4" customWidth="1"/>
    <col min="13570" max="13570" width="11.5" style="4" customWidth="1"/>
    <col min="13571" max="13571" width="9" style="4" customWidth="1"/>
    <col min="13572" max="13572" width="13.375" style="4" customWidth="1"/>
    <col min="13573" max="13573" width="10.5" style="4" customWidth="1"/>
    <col min="13574" max="13574" width="12.5" style="4" customWidth="1"/>
    <col min="13575" max="13575" width="13.75" style="4" customWidth="1"/>
    <col min="13576" max="13576" width="9" style="4"/>
    <col min="13577" max="13577" width="12.375" style="4" customWidth="1"/>
    <col min="13578" max="13579" width="9" style="4"/>
    <col min="13580" max="13580" width="15.625" style="4" bestFit="1" customWidth="1"/>
    <col min="13581" max="13581" width="18.875" style="4" customWidth="1"/>
    <col min="13582" max="13824" width="9" style="4"/>
    <col min="13825" max="13825" width="9.625" style="4" customWidth="1"/>
    <col min="13826" max="13826" width="11.5" style="4" customWidth="1"/>
    <col min="13827" max="13827" width="9" style="4" customWidth="1"/>
    <col min="13828" max="13828" width="13.375" style="4" customWidth="1"/>
    <col min="13829" max="13829" width="10.5" style="4" customWidth="1"/>
    <col min="13830" max="13830" width="12.5" style="4" customWidth="1"/>
    <col min="13831" max="13831" width="13.75" style="4" customWidth="1"/>
    <col min="13832" max="13832" width="9" style="4"/>
    <col min="13833" max="13833" width="12.375" style="4" customWidth="1"/>
    <col min="13834" max="13835" width="9" style="4"/>
    <col min="13836" max="13836" width="15.625" style="4" bestFit="1" customWidth="1"/>
    <col min="13837" max="13837" width="18.875" style="4" customWidth="1"/>
    <col min="13838" max="14080" width="9" style="4"/>
    <col min="14081" max="14081" width="9.625" style="4" customWidth="1"/>
    <col min="14082" max="14082" width="11.5" style="4" customWidth="1"/>
    <col min="14083" max="14083" width="9" style="4" customWidth="1"/>
    <col min="14084" max="14084" width="13.375" style="4" customWidth="1"/>
    <col min="14085" max="14085" width="10.5" style="4" customWidth="1"/>
    <col min="14086" max="14086" width="12.5" style="4" customWidth="1"/>
    <col min="14087" max="14087" width="13.75" style="4" customWidth="1"/>
    <col min="14088" max="14088" width="9" style="4"/>
    <col min="14089" max="14089" width="12.375" style="4" customWidth="1"/>
    <col min="14090" max="14091" width="9" style="4"/>
    <col min="14092" max="14092" width="15.625" style="4" bestFit="1" customWidth="1"/>
    <col min="14093" max="14093" width="18.875" style="4" customWidth="1"/>
    <col min="14094" max="14336" width="9" style="4"/>
    <col min="14337" max="14337" width="9.625" style="4" customWidth="1"/>
    <col min="14338" max="14338" width="11.5" style="4" customWidth="1"/>
    <col min="14339" max="14339" width="9" style="4" customWidth="1"/>
    <col min="14340" max="14340" width="13.375" style="4" customWidth="1"/>
    <col min="14341" max="14341" width="10.5" style="4" customWidth="1"/>
    <col min="14342" max="14342" width="12.5" style="4" customWidth="1"/>
    <col min="14343" max="14343" width="13.75" style="4" customWidth="1"/>
    <col min="14344" max="14344" width="9" style="4"/>
    <col min="14345" max="14345" width="12.375" style="4" customWidth="1"/>
    <col min="14346" max="14347" width="9" style="4"/>
    <col min="14348" max="14348" width="15.625" style="4" bestFit="1" customWidth="1"/>
    <col min="14349" max="14349" width="18.875" style="4" customWidth="1"/>
    <col min="14350" max="14592" width="9" style="4"/>
    <col min="14593" max="14593" width="9.625" style="4" customWidth="1"/>
    <col min="14594" max="14594" width="11.5" style="4" customWidth="1"/>
    <col min="14595" max="14595" width="9" style="4" customWidth="1"/>
    <col min="14596" max="14596" width="13.375" style="4" customWidth="1"/>
    <col min="14597" max="14597" width="10.5" style="4" customWidth="1"/>
    <col min="14598" max="14598" width="12.5" style="4" customWidth="1"/>
    <col min="14599" max="14599" width="13.75" style="4" customWidth="1"/>
    <col min="14600" max="14600" width="9" style="4"/>
    <col min="14601" max="14601" width="12.375" style="4" customWidth="1"/>
    <col min="14602" max="14603" width="9" style="4"/>
    <col min="14604" max="14604" width="15.625" style="4" bestFit="1" customWidth="1"/>
    <col min="14605" max="14605" width="18.875" style="4" customWidth="1"/>
    <col min="14606" max="14848" width="9" style="4"/>
    <col min="14849" max="14849" width="9.625" style="4" customWidth="1"/>
    <col min="14850" max="14850" width="11.5" style="4" customWidth="1"/>
    <col min="14851" max="14851" width="9" style="4" customWidth="1"/>
    <col min="14852" max="14852" width="13.375" style="4" customWidth="1"/>
    <col min="14853" max="14853" width="10.5" style="4" customWidth="1"/>
    <col min="14854" max="14854" width="12.5" style="4" customWidth="1"/>
    <col min="14855" max="14855" width="13.75" style="4" customWidth="1"/>
    <col min="14856" max="14856" width="9" style="4"/>
    <col min="14857" max="14857" width="12.375" style="4" customWidth="1"/>
    <col min="14858" max="14859" width="9" style="4"/>
    <col min="14860" max="14860" width="15.625" style="4" bestFit="1" customWidth="1"/>
    <col min="14861" max="14861" width="18.875" style="4" customWidth="1"/>
    <col min="14862" max="15104" width="9" style="4"/>
    <col min="15105" max="15105" width="9.625" style="4" customWidth="1"/>
    <col min="15106" max="15106" width="11.5" style="4" customWidth="1"/>
    <col min="15107" max="15107" width="9" style="4" customWidth="1"/>
    <col min="15108" max="15108" width="13.375" style="4" customWidth="1"/>
    <col min="15109" max="15109" width="10.5" style="4" customWidth="1"/>
    <col min="15110" max="15110" width="12.5" style="4" customWidth="1"/>
    <col min="15111" max="15111" width="13.75" style="4" customWidth="1"/>
    <col min="15112" max="15112" width="9" style="4"/>
    <col min="15113" max="15113" width="12.375" style="4" customWidth="1"/>
    <col min="15114" max="15115" width="9" style="4"/>
    <col min="15116" max="15116" width="15.625" style="4" bestFit="1" customWidth="1"/>
    <col min="15117" max="15117" width="18.875" style="4" customWidth="1"/>
    <col min="15118" max="15360" width="9" style="4"/>
    <col min="15361" max="15361" width="9.625" style="4" customWidth="1"/>
    <col min="15362" max="15362" width="11.5" style="4" customWidth="1"/>
    <col min="15363" max="15363" width="9" style="4" customWidth="1"/>
    <col min="15364" max="15364" width="13.375" style="4" customWidth="1"/>
    <col min="15365" max="15365" width="10.5" style="4" customWidth="1"/>
    <col min="15366" max="15366" width="12.5" style="4" customWidth="1"/>
    <col min="15367" max="15367" width="13.75" style="4" customWidth="1"/>
    <col min="15368" max="15368" width="9" style="4"/>
    <col min="15369" max="15369" width="12.375" style="4" customWidth="1"/>
    <col min="15370" max="15371" width="9" style="4"/>
    <col min="15372" max="15372" width="15.625" style="4" bestFit="1" customWidth="1"/>
    <col min="15373" max="15373" width="18.875" style="4" customWidth="1"/>
    <col min="15374" max="15616" width="9" style="4"/>
    <col min="15617" max="15617" width="9.625" style="4" customWidth="1"/>
    <col min="15618" max="15618" width="11.5" style="4" customWidth="1"/>
    <col min="15619" max="15619" width="9" style="4" customWidth="1"/>
    <col min="15620" max="15620" width="13.375" style="4" customWidth="1"/>
    <col min="15621" max="15621" width="10.5" style="4" customWidth="1"/>
    <col min="15622" max="15622" width="12.5" style="4" customWidth="1"/>
    <col min="15623" max="15623" width="13.75" style="4" customWidth="1"/>
    <col min="15624" max="15624" width="9" style="4"/>
    <col min="15625" max="15625" width="12.375" style="4" customWidth="1"/>
    <col min="15626" max="15627" width="9" style="4"/>
    <col min="15628" max="15628" width="15.625" style="4" bestFit="1" customWidth="1"/>
    <col min="15629" max="15629" width="18.875" style="4" customWidth="1"/>
    <col min="15630" max="15872" width="9" style="4"/>
    <col min="15873" max="15873" width="9.625" style="4" customWidth="1"/>
    <col min="15874" max="15874" width="11.5" style="4" customWidth="1"/>
    <col min="15875" max="15875" width="9" style="4" customWidth="1"/>
    <col min="15876" max="15876" width="13.375" style="4" customWidth="1"/>
    <col min="15877" max="15877" width="10.5" style="4" customWidth="1"/>
    <col min="15878" max="15878" width="12.5" style="4" customWidth="1"/>
    <col min="15879" max="15879" width="13.75" style="4" customWidth="1"/>
    <col min="15880" max="15880" width="9" style="4"/>
    <col min="15881" max="15881" width="12.375" style="4" customWidth="1"/>
    <col min="15882" max="15883" width="9" style="4"/>
    <col min="15884" max="15884" width="15.625" style="4" bestFit="1" customWidth="1"/>
    <col min="15885" max="15885" width="18.875" style="4" customWidth="1"/>
    <col min="15886" max="16128" width="9" style="4"/>
    <col min="16129" max="16129" width="9.625" style="4" customWidth="1"/>
    <col min="16130" max="16130" width="11.5" style="4" customWidth="1"/>
    <col min="16131" max="16131" width="9" style="4" customWidth="1"/>
    <col min="16132" max="16132" width="13.375" style="4" customWidth="1"/>
    <col min="16133" max="16133" width="10.5" style="4" customWidth="1"/>
    <col min="16134" max="16134" width="12.5" style="4" customWidth="1"/>
    <col min="16135" max="16135" width="13.75" style="4" customWidth="1"/>
    <col min="16136" max="16136" width="9" style="4"/>
    <col min="16137" max="16137" width="12.375" style="4" customWidth="1"/>
    <col min="16138" max="16139" width="9" style="4"/>
    <col min="16140" max="16140" width="15.625" style="4" bestFit="1" customWidth="1"/>
    <col min="16141" max="16141" width="18.875" style="4" customWidth="1"/>
    <col min="16142" max="16384" width="9" style="4"/>
  </cols>
  <sheetData>
    <row r="1" spans="1:37" ht="16.5" x14ac:dyDescent="0.15">
      <c r="A1" s="5" t="s">
        <v>28</v>
      </c>
      <c r="B1" s="6" t="s">
        <v>29</v>
      </c>
    </row>
    <row r="2" spans="1:37" x14ac:dyDescent="0.15">
      <c r="A2" s="4" t="s">
        <v>0</v>
      </c>
      <c r="B2" s="4" t="s">
        <v>27</v>
      </c>
    </row>
    <row r="3" spans="1:37" x14ac:dyDescent="0.15">
      <c r="A3" s="4" t="s">
        <v>11</v>
      </c>
      <c r="D3" s="4" t="s">
        <v>12</v>
      </c>
      <c r="E3" s="4" t="s">
        <v>30</v>
      </c>
      <c r="F3" s="4" t="s">
        <v>30</v>
      </c>
      <c r="G3" s="4" t="s">
        <v>3130</v>
      </c>
      <c r="H3" s="4" t="s">
        <v>3131</v>
      </c>
      <c r="I3" s="4" t="s">
        <v>3099</v>
      </c>
      <c r="J3" s="4" t="s">
        <v>3103</v>
      </c>
      <c r="K3" s="4" t="s">
        <v>3099</v>
      </c>
      <c r="L3" s="4" t="s">
        <v>3421</v>
      </c>
      <c r="M3" s="4" t="s">
        <v>12</v>
      </c>
      <c r="N3" s="4" t="s">
        <v>2678</v>
      </c>
      <c r="O3" s="4" t="s">
        <v>2796</v>
      </c>
      <c r="P3" s="4" t="s">
        <v>30</v>
      </c>
      <c r="Q3" s="4" t="s">
        <v>3015</v>
      </c>
      <c r="R3" s="32" t="s">
        <v>34</v>
      </c>
      <c r="S3" s="32" t="s">
        <v>2880</v>
      </c>
      <c r="T3" s="32" t="s">
        <v>2813</v>
      </c>
      <c r="U3" s="32" t="s">
        <v>2820</v>
      </c>
      <c r="V3" s="32" t="s">
        <v>10049</v>
      </c>
      <c r="W3" s="4" t="s">
        <v>2647</v>
      </c>
      <c r="X3" s="4" t="s">
        <v>3205</v>
      </c>
      <c r="Y3" s="4" t="s">
        <v>2647</v>
      </c>
      <c r="Z3" s="4" t="s">
        <v>2647</v>
      </c>
      <c r="AA3" s="29" t="s">
        <v>12</v>
      </c>
      <c r="AB3" s="30" t="s">
        <v>12</v>
      </c>
      <c r="AC3" s="4" t="s">
        <v>21</v>
      </c>
      <c r="AD3" s="4" t="s">
        <v>2804</v>
      </c>
      <c r="AE3" s="4" t="s">
        <v>2647</v>
      </c>
      <c r="AF3" s="4" t="s">
        <v>2647</v>
      </c>
      <c r="AG3" s="4" t="s">
        <v>2647</v>
      </c>
      <c r="AH3" s="32" t="s">
        <v>10066</v>
      </c>
      <c r="AI3" s="4" t="s">
        <v>30</v>
      </c>
      <c r="AJ3" s="4" t="s">
        <v>30</v>
      </c>
      <c r="AK3" s="4" t="s">
        <v>9963</v>
      </c>
    </row>
    <row r="4" spans="1:37" ht="16.5" x14ac:dyDescent="0.15">
      <c r="A4" s="4" t="s">
        <v>9</v>
      </c>
      <c r="D4" s="4" t="s">
        <v>13</v>
      </c>
      <c r="E4" s="4" t="s">
        <v>2665</v>
      </c>
      <c r="F4" s="4" t="s">
        <v>2666</v>
      </c>
      <c r="G4" s="4" t="s">
        <v>3126</v>
      </c>
      <c r="H4" s="4" t="s">
        <v>3129</v>
      </c>
      <c r="I4" s="4" t="s">
        <v>3100</v>
      </c>
      <c r="J4" s="4" t="s">
        <v>3102</v>
      </c>
      <c r="K4" s="4" t="s">
        <v>3101</v>
      </c>
      <c r="L4" s="4" t="s">
        <v>3422</v>
      </c>
      <c r="M4" s="4" t="s">
        <v>3599</v>
      </c>
      <c r="N4" s="4" t="s">
        <v>2668</v>
      </c>
      <c r="O4" s="4" t="s">
        <v>3024</v>
      </c>
      <c r="P4" s="4" t="s">
        <v>2792</v>
      </c>
      <c r="Q4" s="4" t="s">
        <v>3017</v>
      </c>
      <c r="R4" s="32" t="s">
        <v>2669</v>
      </c>
      <c r="S4" s="32" t="s">
        <v>2881</v>
      </c>
      <c r="T4" s="32" t="s">
        <v>2814</v>
      </c>
      <c r="U4" s="32" t="s">
        <v>2821</v>
      </c>
      <c r="V4" s="32" t="s">
        <v>10050</v>
      </c>
      <c r="W4" s="4" t="s">
        <v>3199</v>
      </c>
      <c r="X4" s="4" t="s">
        <v>3203</v>
      </c>
      <c r="Y4" s="4" t="s">
        <v>2670</v>
      </c>
      <c r="Z4" s="4" t="s">
        <v>2674</v>
      </c>
      <c r="AA4" s="29" t="s">
        <v>2816</v>
      </c>
      <c r="AB4" s="30" t="s">
        <v>2817</v>
      </c>
      <c r="AC4" s="8" t="s">
        <v>2802</v>
      </c>
      <c r="AD4" s="8" t="s">
        <v>2805</v>
      </c>
      <c r="AE4" s="8" t="s">
        <v>2671</v>
      </c>
      <c r="AF4" s="4" t="s">
        <v>2672</v>
      </c>
      <c r="AG4" s="4" t="s">
        <v>2673</v>
      </c>
      <c r="AH4" s="32" t="s">
        <v>10068</v>
      </c>
      <c r="AI4" s="4" t="s">
        <v>3207</v>
      </c>
      <c r="AJ4" s="4" t="s">
        <v>3206</v>
      </c>
      <c r="AK4" s="4" t="s">
        <v>9965</v>
      </c>
    </row>
    <row r="5" spans="1:37" ht="24" x14ac:dyDescent="0.15">
      <c r="E5" s="4" t="s">
        <v>31</v>
      </c>
      <c r="F5" s="4" t="s">
        <v>2667</v>
      </c>
      <c r="G5" s="4" t="s">
        <v>3127</v>
      </c>
      <c r="H5" s="4" t="s">
        <v>3128</v>
      </c>
      <c r="I5" s="4" t="s">
        <v>3105</v>
      </c>
      <c r="J5" s="4" t="s">
        <v>3104</v>
      </c>
      <c r="K5" s="4" t="s">
        <v>3106</v>
      </c>
      <c r="L5" s="40" t="s">
        <v>3423</v>
      </c>
      <c r="M5" s="40" t="s">
        <v>3600</v>
      </c>
      <c r="N5" s="4" t="s">
        <v>32</v>
      </c>
      <c r="O5" s="4" t="s">
        <v>2797</v>
      </c>
      <c r="P5" s="4" t="s">
        <v>33</v>
      </c>
      <c r="Q5" s="4" t="s">
        <v>3016</v>
      </c>
      <c r="R5" s="32" t="s">
        <v>35</v>
      </c>
      <c r="S5" s="32" t="s">
        <v>2889</v>
      </c>
      <c r="T5" s="32" t="s">
        <v>2815</v>
      </c>
      <c r="U5" s="32" t="s">
        <v>2822</v>
      </c>
      <c r="V5" s="32" t="s">
        <v>10051</v>
      </c>
      <c r="W5" s="4" t="s">
        <v>10006</v>
      </c>
      <c r="X5" s="4" t="s">
        <v>3204</v>
      </c>
      <c r="Y5" s="4" t="s">
        <v>2648</v>
      </c>
      <c r="Z5" s="4" t="s">
        <v>2653</v>
      </c>
      <c r="AA5" s="29" t="s">
        <v>2818</v>
      </c>
      <c r="AB5" s="30" t="s">
        <v>2819</v>
      </c>
      <c r="AC5" s="9" t="s">
        <v>2803</v>
      </c>
      <c r="AD5" s="9" t="s">
        <v>2806</v>
      </c>
      <c r="AE5" s="9" t="s">
        <v>2649</v>
      </c>
      <c r="AF5" s="4" t="s">
        <v>2650</v>
      </c>
      <c r="AG5" s="4" t="s">
        <v>2651</v>
      </c>
      <c r="AH5" s="32" t="s">
        <v>10065</v>
      </c>
      <c r="AJ5" s="4" t="s">
        <v>2652</v>
      </c>
      <c r="AK5" s="4" t="s">
        <v>9964</v>
      </c>
    </row>
    <row r="6" spans="1:37" ht="16.5" x14ac:dyDescent="0.15">
      <c r="Q6" s="4" t="s">
        <v>3018</v>
      </c>
      <c r="AE6" s="9"/>
    </row>
    <row r="7" spans="1:37" x14ac:dyDescent="0.15">
      <c r="A7" s="4" t="s">
        <v>2663</v>
      </c>
      <c r="C7" s="4" t="s">
        <v>2935</v>
      </c>
      <c r="D7" s="4">
        <v>1</v>
      </c>
      <c r="E7" s="4" t="s">
        <v>3185</v>
      </c>
      <c r="F7" s="4" t="s">
        <v>3167</v>
      </c>
      <c r="G7" s="4" t="s">
        <v>3183</v>
      </c>
      <c r="H7" s="4" t="s">
        <v>3132</v>
      </c>
      <c r="I7" s="4">
        <v>16</v>
      </c>
      <c r="K7" s="4">
        <v>6</v>
      </c>
      <c r="L7" s="4">
        <v>2</v>
      </c>
      <c r="M7" s="4">
        <v>1</v>
      </c>
      <c r="N7" s="4">
        <v>1</v>
      </c>
      <c r="O7" s="4">
        <v>1</v>
      </c>
      <c r="P7" s="4" t="s">
        <v>3141</v>
      </c>
      <c r="R7" s="32" t="s">
        <v>2919</v>
      </c>
      <c r="S7" s="32" t="s">
        <v>3242</v>
      </c>
      <c r="T7" s="32">
        <v>4</v>
      </c>
      <c r="U7" s="32">
        <v>15</v>
      </c>
      <c r="V7" s="32" t="b">
        <v>1</v>
      </c>
      <c r="W7" s="4">
        <v>1.5</v>
      </c>
      <c r="X7" s="4">
        <v>25</v>
      </c>
      <c r="Y7" s="4">
        <v>1</v>
      </c>
      <c r="Z7" s="4">
        <v>0.4</v>
      </c>
      <c r="AA7" s="29">
        <v>0.18</v>
      </c>
      <c r="AB7" s="30">
        <v>2</v>
      </c>
      <c r="AC7" s="4">
        <v>2</v>
      </c>
      <c r="AD7" s="4">
        <v>1.5</v>
      </c>
      <c r="AE7" s="4">
        <v>2</v>
      </c>
      <c r="AF7" s="4">
        <v>7</v>
      </c>
      <c r="AG7" s="4">
        <v>3</v>
      </c>
      <c r="AK7" s="4" t="s">
        <v>9969</v>
      </c>
    </row>
    <row r="8" spans="1:37" x14ac:dyDescent="0.15">
      <c r="A8" s="4" t="s">
        <v>2663</v>
      </c>
      <c r="D8" s="4">
        <v>2</v>
      </c>
      <c r="E8" s="4" t="s">
        <v>3186</v>
      </c>
      <c r="F8" s="4" t="s">
        <v>3168</v>
      </c>
      <c r="G8" s="4" t="s">
        <v>3184</v>
      </c>
      <c r="H8" s="4" t="s">
        <v>3132</v>
      </c>
      <c r="I8" s="4">
        <v>17</v>
      </c>
      <c r="K8" s="4">
        <v>6</v>
      </c>
      <c r="L8" s="4">
        <v>3</v>
      </c>
      <c r="M8" s="4">
        <v>2</v>
      </c>
      <c r="N8" s="4">
        <v>2</v>
      </c>
      <c r="O8" s="4">
        <v>1</v>
      </c>
      <c r="P8" s="4" t="s">
        <v>3142</v>
      </c>
      <c r="R8" s="32" t="s">
        <v>2920</v>
      </c>
      <c r="S8" s="32" t="s">
        <v>3243</v>
      </c>
      <c r="T8" s="32">
        <v>4</v>
      </c>
      <c r="U8" s="32">
        <v>15</v>
      </c>
      <c r="V8" s="32" t="b">
        <v>1</v>
      </c>
      <c r="W8" s="4">
        <v>1.5</v>
      </c>
      <c r="X8" s="4">
        <v>25</v>
      </c>
      <c r="Y8" s="4">
        <v>1</v>
      </c>
      <c r="Z8" s="4">
        <v>0.4</v>
      </c>
      <c r="AA8" s="29">
        <v>0.18</v>
      </c>
      <c r="AB8" s="30">
        <v>2</v>
      </c>
      <c r="AC8" s="4">
        <v>2</v>
      </c>
      <c r="AD8" s="4">
        <v>1.5</v>
      </c>
      <c r="AE8" s="4">
        <v>2.5</v>
      </c>
      <c r="AF8" s="4">
        <v>7</v>
      </c>
      <c r="AG8" s="4">
        <v>3</v>
      </c>
      <c r="AK8" s="4" t="s">
        <v>9969</v>
      </c>
    </row>
    <row r="9" spans="1:37" x14ac:dyDescent="0.15">
      <c r="A9" s="4" t="s">
        <v>2663</v>
      </c>
      <c r="D9" s="4">
        <v>3</v>
      </c>
      <c r="E9" s="4" t="s">
        <v>3187</v>
      </c>
      <c r="F9" s="4" t="s">
        <v>3169</v>
      </c>
      <c r="G9" s="4" t="s">
        <v>3182</v>
      </c>
      <c r="H9" s="4" t="s">
        <v>3132</v>
      </c>
      <c r="I9" s="4">
        <v>18</v>
      </c>
      <c r="K9" s="4">
        <v>6</v>
      </c>
      <c r="L9" s="4">
        <v>1</v>
      </c>
      <c r="M9" s="4">
        <v>3</v>
      </c>
      <c r="N9" s="4">
        <v>3</v>
      </c>
      <c r="O9" s="4">
        <v>1</v>
      </c>
      <c r="P9" s="4" t="s">
        <v>3143</v>
      </c>
      <c r="R9" s="32" t="s">
        <v>2921</v>
      </c>
      <c r="S9" s="32" t="s">
        <v>3244</v>
      </c>
      <c r="T9" s="32">
        <v>4</v>
      </c>
      <c r="U9" s="32">
        <v>15</v>
      </c>
      <c r="V9" s="32" t="b">
        <v>1</v>
      </c>
      <c r="W9" s="4">
        <v>1.5</v>
      </c>
      <c r="X9" s="4">
        <v>25</v>
      </c>
      <c r="Y9" s="4">
        <v>1</v>
      </c>
      <c r="Z9" s="4">
        <v>0.4</v>
      </c>
      <c r="AA9" s="29">
        <v>0.18</v>
      </c>
      <c r="AB9" s="30">
        <v>2</v>
      </c>
      <c r="AC9" s="4">
        <v>2</v>
      </c>
      <c r="AD9" s="4">
        <v>1.5</v>
      </c>
      <c r="AE9" s="4">
        <v>3</v>
      </c>
      <c r="AF9" s="4">
        <v>7</v>
      </c>
      <c r="AG9" s="4">
        <v>3</v>
      </c>
      <c r="AK9" s="4" t="s">
        <v>9969</v>
      </c>
    </row>
    <row r="10" spans="1:37" x14ac:dyDescent="0.15">
      <c r="A10" s="4" t="s">
        <v>2663</v>
      </c>
      <c r="D10" s="4">
        <v>4</v>
      </c>
      <c r="E10" s="4" t="s">
        <v>3188</v>
      </c>
      <c r="F10" s="4" t="s">
        <v>3170</v>
      </c>
      <c r="G10" s="4" t="s">
        <v>3133</v>
      </c>
      <c r="H10" s="4" t="s">
        <v>3132</v>
      </c>
      <c r="J10" s="4" t="b">
        <v>1</v>
      </c>
      <c r="K10" s="4">
        <v>6</v>
      </c>
      <c r="M10" s="4">
        <v>4</v>
      </c>
      <c r="N10" s="4">
        <v>511</v>
      </c>
      <c r="O10" s="4">
        <v>1</v>
      </c>
      <c r="P10" s="4" t="s">
        <v>3148</v>
      </c>
      <c r="S10" s="32" t="s">
        <v>2882</v>
      </c>
      <c r="T10" s="32">
        <v>0</v>
      </c>
      <c r="U10" s="32">
        <v>0</v>
      </c>
      <c r="V10" s="32" t="b">
        <v>1</v>
      </c>
      <c r="W10" s="4">
        <v>0.5</v>
      </c>
      <c r="X10" s="4">
        <v>0</v>
      </c>
      <c r="Y10" s="4">
        <v>0.5</v>
      </c>
      <c r="Z10" s="4">
        <v>0.7</v>
      </c>
      <c r="AA10" s="29">
        <v>0.18</v>
      </c>
      <c r="AB10" s="30">
        <v>2</v>
      </c>
      <c r="AC10" s="4">
        <v>1</v>
      </c>
      <c r="AD10" s="4">
        <v>1.5</v>
      </c>
      <c r="AE10" s="4">
        <v>3</v>
      </c>
      <c r="AF10" s="4">
        <v>7</v>
      </c>
      <c r="AG10" s="4">
        <v>3</v>
      </c>
      <c r="AK10" s="4" t="s">
        <v>9969</v>
      </c>
    </row>
    <row r="11" spans="1:37" x14ac:dyDescent="0.15">
      <c r="W11" s="4"/>
      <c r="X11" s="4"/>
    </row>
    <row r="12" spans="1:37" x14ac:dyDescent="0.15">
      <c r="A12" s="4" t="s">
        <v>2663</v>
      </c>
      <c r="C12" s="4" t="s">
        <v>2936</v>
      </c>
      <c r="D12" s="4">
        <v>11</v>
      </c>
      <c r="E12" s="4" t="s">
        <v>3189</v>
      </c>
      <c r="F12" s="4" t="s">
        <v>3173</v>
      </c>
      <c r="G12" s="4" t="s">
        <v>3183</v>
      </c>
      <c r="H12" s="4" t="s">
        <v>3176</v>
      </c>
      <c r="I12" s="4">
        <v>13</v>
      </c>
      <c r="K12" s="4">
        <v>5</v>
      </c>
      <c r="L12" s="4">
        <v>12</v>
      </c>
      <c r="M12" s="4">
        <v>11</v>
      </c>
      <c r="N12" s="4">
        <v>11</v>
      </c>
      <c r="O12" s="4">
        <v>1</v>
      </c>
      <c r="P12" s="4" t="s">
        <v>3144</v>
      </c>
      <c r="R12" s="32" t="s">
        <v>2922</v>
      </c>
      <c r="S12" s="32" t="s">
        <v>3245</v>
      </c>
      <c r="T12" s="32">
        <v>14</v>
      </c>
      <c r="U12" s="32">
        <v>15</v>
      </c>
      <c r="V12" s="32" t="b">
        <v>1</v>
      </c>
      <c r="W12" s="4">
        <v>1.5</v>
      </c>
      <c r="X12" s="4">
        <v>25</v>
      </c>
      <c r="Y12" s="4">
        <v>1</v>
      </c>
      <c r="Z12" s="4">
        <v>0.4</v>
      </c>
      <c r="AA12" s="29">
        <v>0.18</v>
      </c>
      <c r="AB12" s="30">
        <v>2</v>
      </c>
      <c r="AC12" s="4">
        <v>3</v>
      </c>
      <c r="AD12" s="4">
        <v>1.5</v>
      </c>
      <c r="AE12" s="4">
        <v>2</v>
      </c>
      <c r="AF12" s="4">
        <v>7</v>
      </c>
      <c r="AG12" s="4">
        <v>3</v>
      </c>
      <c r="AK12" s="4" t="s">
        <v>9966</v>
      </c>
    </row>
    <row r="13" spans="1:37" x14ac:dyDescent="0.15">
      <c r="A13" s="4" t="s">
        <v>2663</v>
      </c>
      <c r="D13" s="4">
        <v>12</v>
      </c>
      <c r="E13" s="4" t="s">
        <v>3190</v>
      </c>
      <c r="F13" s="4" t="s">
        <v>3172</v>
      </c>
      <c r="G13" s="4" t="s">
        <v>3184</v>
      </c>
      <c r="H13" s="4" t="s">
        <v>3176</v>
      </c>
      <c r="I13" s="4">
        <v>14</v>
      </c>
      <c r="K13" s="4">
        <v>5</v>
      </c>
      <c r="L13" s="4">
        <v>13</v>
      </c>
      <c r="M13" s="4">
        <v>12</v>
      </c>
      <c r="N13" s="4">
        <v>12</v>
      </c>
      <c r="O13" s="4">
        <v>1</v>
      </c>
      <c r="P13" s="4" t="s">
        <v>3145</v>
      </c>
      <c r="R13" s="32" t="s">
        <v>3119</v>
      </c>
      <c r="S13" s="32" t="s">
        <v>3246</v>
      </c>
      <c r="T13" s="32">
        <v>14</v>
      </c>
      <c r="U13" s="32">
        <v>15</v>
      </c>
      <c r="V13" s="32" t="b">
        <v>1</v>
      </c>
      <c r="W13" s="4">
        <v>1.5</v>
      </c>
      <c r="X13" s="4">
        <v>25</v>
      </c>
      <c r="Y13" s="4">
        <v>1</v>
      </c>
      <c r="Z13" s="4">
        <v>0.4</v>
      </c>
      <c r="AA13" s="29">
        <v>0.18</v>
      </c>
      <c r="AB13" s="30">
        <v>2</v>
      </c>
      <c r="AC13" s="4">
        <v>3</v>
      </c>
      <c r="AD13" s="4">
        <v>1.5</v>
      </c>
      <c r="AE13" s="4">
        <v>2.5</v>
      </c>
      <c r="AF13" s="4">
        <v>7</v>
      </c>
      <c r="AG13" s="4">
        <v>3</v>
      </c>
      <c r="AK13" s="4" t="s">
        <v>9966</v>
      </c>
    </row>
    <row r="14" spans="1:37" x14ac:dyDescent="0.15">
      <c r="A14" s="4" t="s">
        <v>2663</v>
      </c>
      <c r="D14" s="4">
        <v>13</v>
      </c>
      <c r="E14" s="4" t="s">
        <v>3191</v>
      </c>
      <c r="F14" s="4" t="s">
        <v>3174</v>
      </c>
      <c r="G14" s="4" t="s">
        <v>3182</v>
      </c>
      <c r="H14" s="4" t="s">
        <v>3176</v>
      </c>
      <c r="I14" s="4">
        <v>15</v>
      </c>
      <c r="K14" s="4">
        <v>5</v>
      </c>
      <c r="L14" s="4">
        <v>11</v>
      </c>
      <c r="M14" s="4">
        <v>13</v>
      </c>
      <c r="N14" s="4">
        <v>13</v>
      </c>
      <c r="O14" s="4">
        <v>1</v>
      </c>
      <c r="P14" s="4" t="s">
        <v>3146</v>
      </c>
      <c r="R14" s="32" t="s">
        <v>3120</v>
      </c>
      <c r="S14" s="32" t="s">
        <v>3247</v>
      </c>
      <c r="T14" s="32">
        <v>14</v>
      </c>
      <c r="U14" s="32">
        <v>15</v>
      </c>
      <c r="V14" s="32" t="b">
        <v>1</v>
      </c>
      <c r="W14" s="4">
        <v>1.5</v>
      </c>
      <c r="X14" s="4">
        <v>25</v>
      </c>
      <c r="Y14" s="4">
        <v>1</v>
      </c>
      <c r="Z14" s="4">
        <v>0.4</v>
      </c>
      <c r="AA14" s="29">
        <v>0.18</v>
      </c>
      <c r="AB14" s="30">
        <v>2</v>
      </c>
      <c r="AC14" s="4">
        <v>3</v>
      </c>
      <c r="AD14" s="4">
        <v>1.5</v>
      </c>
      <c r="AE14" s="4">
        <v>3</v>
      </c>
      <c r="AF14" s="4">
        <v>7</v>
      </c>
      <c r="AG14" s="4">
        <v>3</v>
      </c>
      <c r="AK14" s="4" t="s">
        <v>9966</v>
      </c>
    </row>
    <row r="15" spans="1:37" x14ac:dyDescent="0.15">
      <c r="A15" s="4" t="s">
        <v>2663</v>
      </c>
      <c r="D15" s="4">
        <v>14</v>
      </c>
      <c r="E15" s="4" t="s">
        <v>3192</v>
      </c>
      <c r="F15" s="4" t="s">
        <v>3171</v>
      </c>
      <c r="G15" s="4" t="s">
        <v>3133</v>
      </c>
      <c r="H15" s="4" t="s">
        <v>3176</v>
      </c>
      <c r="J15" s="4" t="b">
        <v>1</v>
      </c>
      <c r="K15" s="4">
        <v>5</v>
      </c>
      <c r="M15" s="4">
        <v>14</v>
      </c>
      <c r="N15" s="4">
        <v>521</v>
      </c>
      <c r="O15" s="4">
        <v>1</v>
      </c>
      <c r="P15" s="4" t="s">
        <v>3147</v>
      </c>
      <c r="S15" s="32" t="s">
        <v>2882</v>
      </c>
      <c r="T15" s="32">
        <v>0</v>
      </c>
      <c r="U15" s="32">
        <v>0</v>
      </c>
      <c r="V15" s="32" t="b">
        <v>1</v>
      </c>
      <c r="W15" s="4">
        <v>0.5</v>
      </c>
      <c r="X15" s="4">
        <v>0</v>
      </c>
      <c r="Y15" s="4">
        <v>0.5</v>
      </c>
      <c r="Z15" s="4">
        <v>0.7</v>
      </c>
      <c r="AA15" s="29">
        <v>0.18</v>
      </c>
      <c r="AB15" s="30">
        <v>2</v>
      </c>
      <c r="AC15" s="4">
        <v>1</v>
      </c>
      <c r="AD15" s="4">
        <v>1.5</v>
      </c>
      <c r="AE15" s="4">
        <v>3</v>
      </c>
      <c r="AF15" s="4">
        <v>7</v>
      </c>
      <c r="AG15" s="4">
        <v>3</v>
      </c>
      <c r="AK15" s="4" t="s">
        <v>9966</v>
      </c>
    </row>
    <row r="16" spans="1:37" x14ac:dyDescent="0.15">
      <c r="W16" s="4"/>
      <c r="X16" s="4"/>
    </row>
    <row r="17" spans="1:37" x14ac:dyDescent="0.15">
      <c r="A17" s="4" t="s">
        <v>2663</v>
      </c>
      <c r="C17" s="4" t="s">
        <v>2937</v>
      </c>
      <c r="D17" s="4">
        <v>21</v>
      </c>
      <c r="E17" s="4" t="s">
        <v>3193</v>
      </c>
      <c r="F17" s="4" t="s">
        <v>3200</v>
      </c>
      <c r="G17" s="4" t="s">
        <v>3183</v>
      </c>
      <c r="H17" s="4" t="s">
        <v>3177</v>
      </c>
      <c r="I17" s="4">
        <v>4</v>
      </c>
      <c r="K17" s="4">
        <v>2</v>
      </c>
      <c r="L17" s="4">
        <v>22</v>
      </c>
      <c r="M17" s="4">
        <v>21</v>
      </c>
      <c r="N17" s="4">
        <v>21</v>
      </c>
      <c r="O17" s="4">
        <v>1</v>
      </c>
      <c r="P17" s="4" t="s">
        <v>3157</v>
      </c>
      <c r="R17" s="32" t="s">
        <v>2987</v>
      </c>
      <c r="S17" s="32" t="s">
        <v>3248</v>
      </c>
      <c r="T17" s="32">
        <v>24</v>
      </c>
      <c r="U17" s="32">
        <v>15</v>
      </c>
      <c r="V17" s="32" t="b">
        <v>1</v>
      </c>
      <c r="W17" s="4">
        <v>1.5</v>
      </c>
      <c r="X17" s="4">
        <v>25</v>
      </c>
      <c r="Y17" s="4">
        <v>1</v>
      </c>
      <c r="Z17" s="4">
        <v>0.4</v>
      </c>
      <c r="AA17" s="29">
        <v>0.18</v>
      </c>
      <c r="AB17" s="30">
        <v>2</v>
      </c>
      <c r="AC17" s="4">
        <v>2</v>
      </c>
      <c r="AD17" s="4">
        <v>1.5</v>
      </c>
      <c r="AE17" s="4">
        <v>2</v>
      </c>
      <c r="AF17" s="4">
        <v>7</v>
      </c>
      <c r="AG17" s="4">
        <v>3</v>
      </c>
      <c r="AK17" s="4" t="s">
        <v>9967</v>
      </c>
    </row>
    <row r="18" spans="1:37" x14ac:dyDescent="0.15">
      <c r="A18" s="4" t="s">
        <v>2663</v>
      </c>
      <c r="D18" s="4">
        <v>22</v>
      </c>
      <c r="E18" s="4" t="s">
        <v>3194</v>
      </c>
      <c r="F18" s="4" t="s">
        <v>3201</v>
      </c>
      <c r="G18" s="4" t="s">
        <v>3184</v>
      </c>
      <c r="H18" s="4" t="s">
        <v>3177</v>
      </c>
      <c r="I18" s="4">
        <v>5</v>
      </c>
      <c r="K18" s="4">
        <v>2</v>
      </c>
      <c r="L18" s="4">
        <v>23</v>
      </c>
      <c r="M18" s="4">
        <v>22</v>
      </c>
      <c r="N18" s="4">
        <v>22</v>
      </c>
      <c r="O18" s="4">
        <v>1</v>
      </c>
      <c r="P18" s="4" t="s">
        <v>3158</v>
      </c>
      <c r="R18" s="32" t="s">
        <v>2988</v>
      </c>
      <c r="S18" s="32" t="s">
        <v>3249</v>
      </c>
      <c r="T18" s="32">
        <v>24</v>
      </c>
      <c r="U18" s="32">
        <v>15</v>
      </c>
      <c r="V18" s="32" t="b">
        <v>1</v>
      </c>
      <c r="W18" s="4">
        <v>1.5</v>
      </c>
      <c r="X18" s="4">
        <v>25</v>
      </c>
      <c r="Y18" s="4">
        <v>1</v>
      </c>
      <c r="Z18" s="4">
        <v>0.4</v>
      </c>
      <c r="AA18" s="29">
        <v>0.18</v>
      </c>
      <c r="AB18" s="30">
        <v>2</v>
      </c>
      <c r="AC18" s="4">
        <v>2</v>
      </c>
      <c r="AD18" s="4">
        <v>1.5</v>
      </c>
      <c r="AE18" s="4">
        <v>2.5</v>
      </c>
      <c r="AF18" s="4">
        <v>7</v>
      </c>
      <c r="AG18" s="4">
        <v>3</v>
      </c>
      <c r="AK18" s="4" t="s">
        <v>9967</v>
      </c>
    </row>
    <row r="19" spans="1:37" x14ac:dyDescent="0.15">
      <c r="A19" s="4" t="s">
        <v>2663</v>
      </c>
      <c r="D19" s="4">
        <v>23</v>
      </c>
      <c r="E19" s="4" t="s">
        <v>3195</v>
      </c>
      <c r="F19" s="4" t="s">
        <v>3202</v>
      </c>
      <c r="G19" s="4" t="s">
        <v>3182</v>
      </c>
      <c r="H19" s="4" t="s">
        <v>3177</v>
      </c>
      <c r="I19" s="4">
        <v>6</v>
      </c>
      <c r="K19" s="4">
        <v>2</v>
      </c>
      <c r="L19" s="4">
        <v>21</v>
      </c>
      <c r="M19" s="4">
        <v>23</v>
      </c>
      <c r="N19" s="4">
        <v>23</v>
      </c>
      <c r="O19" s="4">
        <v>1</v>
      </c>
      <c r="P19" s="4" t="s">
        <v>3159</v>
      </c>
      <c r="R19" s="32" t="s">
        <v>2989</v>
      </c>
      <c r="S19" s="32" t="s">
        <v>3250</v>
      </c>
      <c r="T19" s="32">
        <v>24</v>
      </c>
      <c r="U19" s="32">
        <v>15</v>
      </c>
      <c r="V19" s="32" t="b">
        <v>1</v>
      </c>
      <c r="W19" s="4">
        <v>1.5</v>
      </c>
      <c r="X19" s="4">
        <v>25</v>
      </c>
      <c r="Y19" s="4">
        <v>1</v>
      </c>
      <c r="Z19" s="4">
        <v>0.4</v>
      </c>
      <c r="AA19" s="29">
        <v>0.18</v>
      </c>
      <c r="AB19" s="30">
        <v>2</v>
      </c>
      <c r="AC19" s="4">
        <v>2</v>
      </c>
      <c r="AD19" s="4">
        <v>1.5</v>
      </c>
      <c r="AE19" s="4">
        <v>3</v>
      </c>
      <c r="AF19" s="4">
        <v>7</v>
      </c>
      <c r="AG19" s="4">
        <v>3</v>
      </c>
      <c r="AK19" s="4" t="s">
        <v>9967</v>
      </c>
    </row>
    <row r="20" spans="1:37" x14ac:dyDescent="0.15">
      <c r="A20" s="4" t="s">
        <v>2663</v>
      </c>
      <c r="D20" s="4">
        <v>24</v>
      </c>
      <c r="E20" s="4" t="s">
        <v>3196</v>
      </c>
      <c r="F20" s="4" t="s">
        <v>3175</v>
      </c>
      <c r="G20" s="4" t="s">
        <v>3133</v>
      </c>
      <c r="H20" s="4" t="s">
        <v>3177</v>
      </c>
      <c r="J20" s="4" t="b">
        <v>1</v>
      </c>
      <c r="K20" s="4">
        <v>2</v>
      </c>
      <c r="M20" s="4">
        <v>24</v>
      </c>
      <c r="N20" s="4">
        <v>531</v>
      </c>
      <c r="O20" s="4">
        <v>1</v>
      </c>
      <c r="P20" s="4" t="s">
        <v>3149</v>
      </c>
      <c r="S20" s="32" t="s">
        <v>2882</v>
      </c>
      <c r="T20" s="32">
        <v>0</v>
      </c>
      <c r="U20" s="32">
        <v>0</v>
      </c>
      <c r="V20" s="32" t="b">
        <v>1</v>
      </c>
      <c r="W20" s="4">
        <v>0.5</v>
      </c>
      <c r="X20" s="4">
        <v>0</v>
      </c>
      <c r="Y20" s="4">
        <v>0.5</v>
      </c>
      <c r="Z20" s="4">
        <v>0.7</v>
      </c>
      <c r="AA20" s="29">
        <v>0.18</v>
      </c>
      <c r="AB20" s="30">
        <v>2</v>
      </c>
      <c r="AC20" s="4">
        <v>1</v>
      </c>
      <c r="AD20" s="4">
        <v>1.5</v>
      </c>
      <c r="AE20" s="4">
        <v>3</v>
      </c>
      <c r="AF20" s="4">
        <v>7</v>
      </c>
      <c r="AG20" s="4">
        <v>3</v>
      </c>
      <c r="AK20" s="4" t="s">
        <v>9967</v>
      </c>
    </row>
    <row r="21" spans="1:37" x14ac:dyDescent="0.15">
      <c r="W21" s="4"/>
      <c r="X21" s="4"/>
    </row>
    <row r="22" spans="1:37" x14ac:dyDescent="0.15">
      <c r="A22" s="4" t="s">
        <v>3329</v>
      </c>
      <c r="C22" s="4" t="s">
        <v>3330</v>
      </c>
      <c r="D22" s="4">
        <v>31</v>
      </c>
      <c r="E22" s="4" t="s">
        <v>3084</v>
      </c>
      <c r="F22" s="4" t="s">
        <v>3396</v>
      </c>
      <c r="G22" s="4" t="s">
        <v>3331</v>
      </c>
      <c r="H22" s="4" t="s">
        <v>3547</v>
      </c>
      <c r="I22" s="4">
        <v>1</v>
      </c>
      <c r="K22" s="4">
        <v>1</v>
      </c>
      <c r="L22" s="4">
        <v>32</v>
      </c>
      <c r="M22" s="4">
        <v>31</v>
      </c>
      <c r="N22" s="4">
        <v>31</v>
      </c>
      <c r="O22" s="4">
        <v>1</v>
      </c>
      <c r="P22" s="4" t="s">
        <v>3332</v>
      </c>
      <c r="R22" s="32" t="s">
        <v>3333</v>
      </c>
      <c r="S22" s="32" t="s">
        <v>3334</v>
      </c>
      <c r="T22" s="32">
        <v>34</v>
      </c>
      <c r="U22" s="32">
        <v>15</v>
      </c>
      <c r="V22" s="32" t="b">
        <v>1</v>
      </c>
      <c r="W22" s="4">
        <v>1.5</v>
      </c>
      <c r="X22" s="4">
        <v>25</v>
      </c>
      <c r="Y22" s="4">
        <v>1</v>
      </c>
      <c r="Z22" s="4">
        <v>0.4</v>
      </c>
      <c r="AA22" s="29">
        <v>0.18</v>
      </c>
      <c r="AB22" s="30">
        <v>2</v>
      </c>
      <c r="AC22" s="4">
        <v>2</v>
      </c>
      <c r="AD22" s="4">
        <v>1.5</v>
      </c>
      <c r="AE22" s="4">
        <v>2</v>
      </c>
      <c r="AF22" s="4">
        <v>7</v>
      </c>
      <c r="AG22" s="4">
        <v>4</v>
      </c>
      <c r="AK22" s="4" t="s">
        <v>9971</v>
      </c>
    </row>
    <row r="23" spans="1:37" x14ac:dyDescent="0.15">
      <c r="A23" s="4" t="s">
        <v>3329</v>
      </c>
      <c r="D23" s="4">
        <v>32</v>
      </c>
      <c r="E23" s="4" t="s">
        <v>3335</v>
      </c>
      <c r="F23" s="4" t="s">
        <v>3397</v>
      </c>
      <c r="G23" s="4" t="s">
        <v>3184</v>
      </c>
      <c r="H23" s="4" t="s">
        <v>3547</v>
      </c>
      <c r="I23" s="4">
        <v>2</v>
      </c>
      <c r="K23" s="4">
        <v>1</v>
      </c>
      <c r="L23" s="4">
        <v>33</v>
      </c>
      <c r="M23" s="4">
        <v>32</v>
      </c>
      <c r="N23" s="4">
        <v>32</v>
      </c>
      <c r="O23" s="4">
        <v>1</v>
      </c>
      <c r="P23" s="4" t="s">
        <v>3336</v>
      </c>
      <c r="R23" s="32" t="s">
        <v>3337</v>
      </c>
      <c r="S23" s="32" t="s">
        <v>3338</v>
      </c>
      <c r="T23" s="32">
        <v>34</v>
      </c>
      <c r="U23" s="32">
        <v>15</v>
      </c>
      <c r="V23" s="32" t="b">
        <v>1</v>
      </c>
      <c r="W23" s="4">
        <v>1.5</v>
      </c>
      <c r="X23" s="4">
        <v>25</v>
      </c>
      <c r="Y23" s="4">
        <v>1</v>
      </c>
      <c r="Z23" s="4">
        <v>0.4</v>
      </c>
      <c r="AA23" s="29">
        <v>0.18</v>
      </c>
      <c r="AB23" s="30">
        <v>2</v>
      </c>
      <c r="AC23" s="4">
        <v>2</v>
      </c>
      <c r="AD23" s="4">
        <v>1.5</v>
      </c>
      <c r="AE23" s="4">
        <v>2.5</v>
      </c>
      <c r="AF23" s="4">
        <v>7</v>
      </c>
      <c r="AG23" s="4">
        <v>4</v>
      </c>
      <c r="AK23" s="4" t="s">
        <v>9971</v>
      </c>
    </row>
    <row r="24" spans="1:37" x14ac:dyDescent="0.15">
      <c r="A24" s="4" t="s">
        <v>3329</v>
      </c>
      <c r="D24" s="4">
        <v>33</v>
      </c>
      <c r="E24" s="4" t="s">
        <v>3339</v>
      </c>
      <c r="F24" s="4" t="s">
        <v>3398</v>
      </c>
      <c r="G24" s="4" t="s">
        <v>3182</v>
      </c>
      <c r="H24" s="4" t="s">
        <v>3547</v>
      </c>
      <c r="I24" s="4">
        <v>3</v>
      </c>
      <c r="K24" s="4">
        <v>1</v>
      </c>
      <c r="L24" s="4">
        <v>31</v>
      </c>
      <c r="M24" s="4">
        <v>33</v>
      </c>
      <c r="N24" s="4">
        <v>33</v>
      </c>
      <c r="O24" s="4">
        <v>1</v>
      </c>
      <c r="P24" s="4" t="s">
        <v>3340</v>
      </c>
      <c r="R24" s="32" t="s">
        <v>3341</v>
      </c>
      <c r="S24" s="32" t="s">
        <v>3342</v>
      </c>
      <c r="T24" s="32">
        <v>34</v>
      </c>
      <c r="U24" s="32">
        <v>15</v>
      </c>
      <c r="V24" s="32" t="b">
        <v>1</v>
      </c>
      <c r="W24" s="4">
        <v>1.5</v>
      </c>
      <c r="X24" s="4">
        <v>25</v>
      </c>
      <c r="Y24" s="4">
        <v>1</v>
      </c>
      <c r="Z24" s="4">
        <v>0.4</v>
      </c>
      <c r="AA24" s="29">
        <v>0.18</v>
      </c>
      <c r="AB24" s="30">
        <v>2</v>
      </c>
      <c r="AC24" s="4">
        <v>2</v>
      </c>
      <c r="AD24" s="4">
        <v>1.5</v>
      </c>
      <c r="AE24" s="4">
        <v>3</v>
      </c>
      <c r="AF24" s="4">
        <v>7</v>
      </c>
      <c r="AG24" s="4">
        <v>4</v>
      </c>
      <c r="AK24" s="4" t="s">
        <v>9971</v>
      </c>
    </row>
    <row r="25" spans="1:37" x14ac:dyDescent="0.15">
      <c r="A25" s="4" t="s">
        <v>3329</v>
      </c>
      <c r="D25" s="4">
        <v>34</v>
      </c>
      <c r="E25" s="4" t="s">
        <v>3343</v>
      </c>
      <c r="F25" s="4" t="s">
        <v>3399</v>
      </c>
      <c r="G25" s="4" t="s">
        <v>3344</v>
      </c>
      <c r="H25" s="4" t="s">
        <v>3547</v>
      </c>
      <c r="J25" s="4" t="b">
        <v>1</v>
      </c>
      <c r="K25" s="4">
        <v>1</v>
      </c>
      <c r="M25" s="4">
        <v>34</v>
      </c>
      <c r="N25" s="4">
        <v>541</v>
      </c>
      <c r="O25" s="4">
        <v>1</v>
      </c>
      <c r="P25" s="4" t="s">
        <v>3345</v>
      </c>
      <c r="S25" s="32" t="s">
        <v>3346</v>
      </c>
      <c r="T25" s="32">
        <v>0</v>
      </c>
      <c r="U25" s="32">
        <v>0</v>
      </c>
      <c r="V25" s="32" t="b">
        <v>1</v>
      </c>
      <c r="W25" s="4">
        <v>0.5</v>
      </c>
      <c r="X25" s="4">
        <v>0</v>
      </c>
      <c r="Y25" s="4">
        <v>0.5</v>
      </c>
      <c r="Z25" s="4">
        <v>0.7</v>
      </c>
      <c r="AA25" s="29">
        <v>0.18</v>
      </c>
      <c r="AB25" s="30">
        <v>2</v>
      </c>
      <c r="AC25" s="4">
        <v>1</v>
      </c>
      <c r="AD25" s="4">
        <v>1.5</v>
      </c>
      <c r="AE25" s="4">
        <v>3</v>
      </c>
      <c r="AF25" s="4">
        <v>7</v>
      </c>
      <c r="AG25" s="4">
        <v>4</v>
      </c>
      <c r="AK25" s="4" t="s">
        <v>9971</v>
      </c>
    </row>
    <row r="26" spans="1:37" x14ac:dyDescent="0.15">
      <c r="W26" s="4"/>
      <c r="X26" s="4"/>
    </row>
    <row r="27" spans="1:37" x14ac:dyDescent="0.15">
      <c r="A27" s="4" t="s">
        <v>2662</v>
      </c>
      <c r="C27" s="4" t="s">
        <v>3610</v>
      </c>
      <c r="D27" s="4">
        <v>41</v>
      </c>
      <c r="E27" s="4" t="s">
        <v>3611</v>
      </c>
      <c r="F27" s="4" t="s">
        <v>3716</v>
      </c>
      <c r="G27" s="4" t="s">
        <v>3709</v>
      </c>
      <c r="H27" s="4" t="s">
        <v>3547</v>
      </c>
      <c r="I27" s="4">
        <v>7</v>
      </c>
      <c r="K27" s="4">
        <v>3</v>
      </c>
      <c r="L27" s="4">
        <v>42</v>
      </c>
      <c r="M27" s="4">
        <v>41</v>
      </c>
      <c r="N27" s="4">
        <v>41</v>
      </c>
      <c r="O27" s="4">
        <v>1</v>
      </c>
      <c r="P27" s="4" t="s">
        <v>3618</v>
      </c>
      <c r="R27" s="32" t="s">
        <v>3626</v>
      </c>
      <c r="S27" s="32" t="s">
        <v>3629</v>
      </c>
      <c r="T27" s="32">
        <v>44</v>
      </c>
      <c r="U27" s="32">
        <v>15</v>
      </c>
      <c r="V27" s="32" t="b">
        <v>1</v>
      </c>
      <c r="W27" s="4">
        <v>1.5</v>
      </c>
      <c r="X27" s="4">
        <v>25</v>
      </c>
      <c r="Y27" s="4">
        <v>1</v>
      </c>
      <c r="Z27" s="4">
        <v>0.4</v>
      </c>
      <c r="AA27" s="29">
        <v>0.18</v>
      </c>
      <c r="AB27" s="30">
        <v>2</v>
      </c>
      <c r="AC27" s="4">
        <v>2</v>
      </c>
      <c r="AD27" s="4">
        <v>1.5</v>
      </c>
      <c r="AE27" s="4">
        <v>2</v>
      </c>
      <c r="AF27" s="4">
        <v>7</v>
      </c>
      <c r="AG27" s="4">
        <v>4</v>
      </c>
      <c r="AK27" s="4" t="s">
        <v>9970</v>
      </c>
    </row>
    <row r="28" spans="1:37" x14ac:dyDescent="0.15">
      <c r="A28" s="4" t="s">
        <v>2662</v>
      </c>
      <c r="D28" s="4">
        <v>42</v>
      </c>
      <c r="E28" s="4" t="s">
        <v>3612</v>
      </c>
      <c r="F28" s="4" t="s">
        <v>3717</v>
      </c>
      <c r="G28" s="4" t="s">
        <v>3184</v>
      </c>
      <c r="H28" s="4" t="s">
        <v>3547</v>
      </c>
      <c r="I28" s="4">
        <v>8</v>
      </c>
      <c r="K28" s="4">
        <v>3</v>
      </c>
      <c r="L28" s="4">
        <v>43</v>
      </c>
      <c r="M28" s="4">
        <v>42</v>
      </c>
      <c r="N28" s="4">
        <v>42</v>
      </c>
      <c r="O28" s="4">
        <v>1</v>
      </c>
      <c r="P28" s="4" t="s">
        <v>3619</v>
      </c>
      <c r="R28" s="32" t="s">
        <v>3627</v>
      </c>
      <c r="S28" s="32" t="s">
        <v>3630</v>
      </c>
      <c r="T28" s="32">
        <v>44</v>
      </c>
      <c r="U28" s="32">
        <v>15</v>
      </c>
      <c r="V28" s="32" t="b">
        <v>1</v>
      </c>
      <c r="W28" s="4">
        <v>1.5</v>
      </c>
      <c r="X28" s="4">
        <v>25</v>
      </c>
      <c r="Y28" s="4">
        <v>1</v>
      </c>
      <c r="Z28" s="4">
        <v>0.4</v>
      </c>
      <c r="AA28" s="29">
        <v>0.18</v>
      </c>
      <c r="AB28" s="30">
        <v>2</v>
      </c>
      <c r="AC28" s="4">
        <v>2</v>
      </c>
      <c r="AD28" s="4">
        <v>1.5</v>
      </c>
      <c r="AE28" s="4">
        <v>2.5</v>
      </c>
      <c r="AF28" s="4">
        <v>7</v>
      </c>
      <c r="AG28" s="4">
        <v>4</v>
      </c>
      <c r="AK28" s="4" t="s">
        <v>9970</v>
      </c>
    </row>
    <row r="29" spans="1:37" x14ac:dyDescent="0.15">
      <c r="A29" s="4" t="s">
        <v>2662</v>
      </c>
      <c r="D29" s="4">
        <v>43</v>
      </c>
      <c r="E29" s="4" t="s">
        <v>3613</v>
      </c>
      <c r="F29" s="4" t="s">
        <v>3718</v>
      </c>
      <c r="G29" s="4" t="s">
        <v>3182</v>
      </c>
      <c r="H29" s="4" t="s">
        <v>3547</v>
      </c>
      <c r="I29" s="4">
        <v>9</v>
      </c>
      <c r="K29" s="4">
        <v>3</v>
      </c>
      <c r="L29" s="4">
        <v>41</v>
      </c>
      <c r="M29" s="4">
        <v>43</v>
      </c>
      <c r="N29" s="4">
        <v>43</v>
      </c>
      <c r="O29" s="4">
        <v>1</v>
      </c>
      <c r="P29" s="4" t="s">
        <v>3620</v>
      </c>
      <c r="R29" s="32" t="s">
        <v>3628</v>
      </c>
      <c r="S29" s="32" t="s">
        <v>3631</v>
      </c>
      <c r="T29" s="32">
        <v>44</v>
      </c>
      <c r="U29" s="32">
        <v>15</v>
      </c>
      <c r="V29" s="32" t="b">
        <v>1</v>
      </c>
      <c r="W29" s="4">
        <v>1.5</v>
      </c>
      <c r="X29" s="4">
        <v>25</v>
      </c>
      <c r="Y29" s="4">
        <v>1</v>
      </c>
      <c r="Z29" s="4">
        <v>0.4</v>
      </c>
      <c r="AA29" s="29">
        <v>0.18</v>
      </c>
      <c r="AB29" s="30">
        <v>2</v>
      </c>
      <c r="AC29" s="4">
        <v>2</v>
      </c>
      <c r="AD29" s="4">
        <v>1.5</v>
      </c>
      <c r="AE29" s="4">
        <v>3</v>
      </c>
      <c r="AF29" s="4">
        <v>7</v>
      </c>
      <c r="AG29" s="4">
        <v>4</v>
      </c>
      <c r="AK29" s="4" t="s">
        <v>9970</v>
      </c>
    </row>
    <row r="30" spans="1:37" x14ac:dyDescent="0.15">
      <c r="A30" s="4" t="s">
        <v>2662</v>
      </c>
      <c r="D30" s="4">
        <v>44</v>
      </c>
      <c r="E30" s="4" t="s">
        <v>3614</v>
      </c>
      <c r="F30" s="4" t="s">
        <v>3710</v>
      </c>
      <c r="G30" s="4" t="s">
        <v>3344</v>
      </c>
      <c r="H30" s="4" t="s">
        <v>3547</v>
      </c>
      <c r="J30" s="4" t="b">
        <v>1</v>
      </c>
      <c r="K30" s="4">
        <v>3</v>
      </c>
      <c r="M30" s="4">
        <v>44</v>
      </c>
      <c r="N30" s="4">
        <v>551</v>
      </c>
      <c r="O30" s="4">
        <v>1</v>
      </c>
      <c r="P30" s="4" t="s">
        <v>3621</v>
      </c>
      <c r="S30" s="32" t="s">
        <v>3346</v>
      </c>
      <c r="T30" s="32">
        <v>0</v>
      </c>
      <c r="U30" s="32">
        <v>0</v>
      </c>
      <c r="V30" s="32" t="b">
        <v>1</v>
      </c>
      <c r="W30" s="4">
        <v>0.5</v>
      </c>
      <c r="X30" s="4">
        <v>0</v>
      </c>
      <c r="Y30" s="4">
        <v>0.5</v>
      </c>
      <c r="Z30" s="4">
        <v>0.7</v>
      </c>
      <c r="AA30" s="29">
        <v>0.18</v>
      </c>
      <c r="AB30" s="30">
        <v>2</v>
      </c>
      <c r="AC30" s="4">
        <v>1</v>
      </c>
      <c r="AD30" s="4">
        <v>1.5</v>
      </c>
      <c r="AE30" s="4">
        <v>3</v>
      </c>
      <c r="AF30" s="4">
        <v>7</v>
      </c>
      <c r="AG30" s="4">
        <v>4</v>
      </c>
      <c r="AK30" s="4" t="s">
        <v>9970</v>
      </c>
    </row>
    <row r="31" spans="1:37" x14ac:dyDescent="0.15">
      <c r="W31" s="4"/>
      <c r="X31" s="4"/>
    </row>
    <row r="32" spans="1:37" x14ac:dyDescent="0.15">
      <c r="A32" s="4" t="s">
        <v>2662</v>
      </c>
      <c r="C32" s="4" t="s">
        <v>2938</v>
      </c>
      <c r="D32" s="4">
        <v>51</v>
      </c>
      <c r="E32" s="4" t="s">
        <v>3092</v>
      </c>
      <c r="F32" s="4" t="s">
        <v>3712</v>
      </c>
      <c r="G32" s="4" t="s">
        <v>3301</v>
      </c>
      <c r="H32" s="4" t="s">
        <v>3547</v>
      </c>
      <c r="I32" s="4">
        <v>10</v>
      </c>
      <c r="K32" s="4">
        <v>4</v>
      </c>
      <c r="L32" s="4">
        <v>52</v>
      </c>
      <c r="M32" s="4">
        <v>51</v>
      </c>
      <c r="N32" s="4">
        <v>51</v>
      </c>
      <c r="O32" s="4">
        <v>1</v>
      </c>
      <c r="P32" s="4" t="s">
        <v>3622</v>
      </c>
      <c r="R32" s="32" t="s">
        <v>3632</v>
      </c>
      <c r="S32" s="32" t="s">
        <v>3635</v>
      </c>
      <c r="T32" s="32">
        <v>54</v>
      </c>
      <c r="U32" s="32">
        <v>15</v>
      </c>
      <c r="V32" s="32" t="b">
        <v>1</v>
      </c>
      <c r="W32" s="4">
        <v>1.5</v>
      </c>
      <c r="X32" s="4">
        <v>25</v>
      </c>
      <c r="Y32" s="4">
        <v>1</v>
      </c>
      <c r="Z32" s="4">
        <v>0.4</v>
      </c>
      <c r="AA32" s="29">
        <v>0.18</v>
      </c>
      <c r="AB32" s="30">
        <v>2</v>
      </c>
      <c r="AC32" s="4">
        <v>2</v>
      </c>
      <c r="AD32" s="4">
        <v>1.5</v>
      </c>
      <c r="AE32" s="4">
        <v>2</v>
      </c>
      <c r="AF32" s="4">
        <v>7</v>
      </c>
      <c r="AG32" s="4">
        <v>4</v>
      </c>
      <c r="AK32" s="4" t="s">
        <v>9968</v>
      </c>
    </row>
    <row r="33" spans="1:37" x14ac:dyDescent="0.15">
      <c r="A33" s="4" t="s">
        <v>2662</v>
      </c>
      <c r="D33" s="4">
        <v>52</v>
      </c>
      <c r="E33" s="4" t="s">
        <v>3615</v>
      </c>
      <c r="F33" s="4" t="s">
        <v>3713</v>
      </c>
      <c r="G33" s="4" t="s">
        <v>3184</v>
      </c>
      <c r="H33" s="4" t="s">
        <v>3547</v>
      </c>
      <c r="I33" s="4">
        <v>11</v>
      </c>
      <c r="K33" s="4">
        <v>4</v>
      </c>
      <c r="L33" s="4">
        <v>53</v>
      </c>
      <c r="M33" s="4">
        <v>52</v>
      </c>
      <c r="N33" s="4">
        <v>52</v>
      </c>
      <c r="O33" s="4">
        <v>1</v>
      </c>
      <c r="P33" s="4" t="s">
        <v>3623</v>
      </c>
      <c r="R33" s="32" t="s">
        <v>3633</v>
      </c>
      <c r="S33" s="32" t="s">
        <v>3636</v>
      </c>
      <c r="T33" s="32">
        <v>54</v>
      </c>
      <c r="U33" s="32">
        <v>15</v>
      </c>
      <c r="V33" s="32" t="b">
        <v>1</v>
      </c>
      <c r="W33" s="4">
        <v>1.5</v>
      </c>
      <c r="X33" s="4">
        <v>25</v>
      </c>
      <c r="Y33" s="4">
        <v>1</v>
      </c>
      <c r="Z33" s="4">
        <v>0.4</v>
      </c>
      <c r="AA33" s="29">
        <v>0.18</v>
      </c>
      <c r="AB33" s="30">
        <v>2</v>
      </c>
      <c r="AC33" s="4">
        <v>2</v>
      </c>
      <c r="AD33" s="4">
        <v>1.5</v>
      </c>
      <c r="AE33" s="4">
        <v>2.5</v>
      </c>
      <c r="AF33" s="4">
        <v>7</v>
      </c>
      <c r="AG33" s="4">
        <v>4</v>
      </c>
      <c r="AK33" s="4" t="s">
        <v>9968</v>
      </c>
    </row>
    <row r="34" spans="1:37" x14ac:dyDescent="0.15">
      <c r="A34" s="4" t="s">
        <v>2662</v>
      </c>
      <c r="D34" s="4">
        <v>53</v>
      </c>
      <c r="E34" s="4" t="s">
        <v>3616</v>
      </c>
      <c r="F34" s="4" t="s">
        <v>3714</v>
      </c>
      <c r="G34" s="4" t="s">
        <v>3182</v>
      </c>
      <c r="H34" s="4" t="s">
        <v>3547</v>
      </c>
      <c r="I34" s="4">
        <v>12</v>
      </c>
      <c r="K34" s="4">
        <v>4</v>
      </c>
      <c r="L34" s="4">
        <v>51</v>
      </c>
      <c r="M34" s="4">
        <v>53</v>
      </c>
      <c r="N34" s="4">
        <v>53</v>
      </c>
      <c r="O34" s="4">
        <v>1</v>
      </c>
      <c r="P34" s="4" t="s">
        <v>3624</v>
      </c>
      <c r="R34" s="32" t="s">
        <v>3634</v>
      </c>
      <c r="S34" s="32" t="s">
        <v>3637</v>
      </c>
      <c r="T34" s="32">
        <v>54</v>
      </c>
      <c r="U34" s="32">
        <v>15</v>
      </c>
      <c r="V34" s="32" t="b">
        <v>1</v>
      </c>
      <c r="W34" s="4">
        <v>1.5</v>
      </c>
      <c r="X34" s="4">
        <v>25</v>
      </c>
      <c r="Y34" s="4">
        <v>1</v>
      </c>
      <c r="Z34" s="4">
        <v>0.4</v>
      </c>
      <c r="AA34" s="29">
        <v>0.18</v>
      </c>
      <c r="AB34" s="30">
        <v>2</v>
      </c>
      <c r="AC34" s="4">
        <v>2</v>
      </c>
      <c r="AD34" s="4">
        <v>1.5</v>
      </c>
      <c r="AE34" s="4">
        <v>3</v>
      </c>
      <c r="AF34" s="4">
        <v>7</v>
      </c>
      <c r="AG34" s="4">
        <v>4</v>
      </c>
      <c r="AK34" s="4" t="s">
        <v>9968</v>
      </c>
    </row>
    <row r="35" spans="1:37" x14ac:dyDescent="0.15">
      <c r="A35" s="4" t="s">
        <v>2662</v>
      </c>
      <c r="D35" s="4">
        <v>54</v>
      </c>
      <c r="E35" s="4" t="s">
        <v>3617</v>
      </c>
      <c r="F35" s="4" t="s">
        <v>3711</v>
      </c>
      <c r="G35" s="4" t="s">
        <v>3715</v>
      </c>
      <c r="H35" s="4" t="s">
        <v>3547</v>
      </c>
      <c r="J35" s="4" t="b">
        <v>1</v>
      </c>
      <c r="K35" s="4">
        <v>4</v>
      </c>
      <c r="M35" s="4">
        <v>54</v>
      </c>
      <c r="N35" s="4">
        <v>561</v>
      </c>
      <c r="O35" s="4">
        <v>1</v>
      </c>
      <c r="P35" s="4" t="s">
        <v>3625</v>
      </c>
      <c r="S35" s="32" t="s">
        <v>3346</v>
      </c>
      <c r="T35" s="32">
        <v>0</v>
      </c>
      <c r="U35" s="32">
        <v>0</v>
      </c>
      <c r="V35" s="32" t="b">
        <v>1</v>
      </c>
      <c r="W35" s="4">
        <v>0.5</v>
      </c>
      <c r="X35" s="4">
        <v>0</v>
      </c>
      <c r="Y35" s="4">
        <v>0.5</v>
      </c>
      <c r="Z35" s="4">
        <v>0.7</v>
      </c>
      <c r="AA35" s="29">
        <v>0.18</v>
      </c>
      <c r="AB35" s="30">
        <v>2</v>
      </c>
      <c r="AC35" s="4">
        <v>1</v>
      </c>
      <c r="AD35" s="4">
        <v>1.5</v>
      </c>
      <c r="AE35" s="4">
        <v>3</v>
      </c>
      <c r="AF35" s="4">
        <v>7</v>
      </c>
      <c r="AG35" s="4">
        <v>4</v>
      </c>
      <c r="AK35" s="4" t="s">
        <v>9968</v>
      </c>
    </row>
    <row r="36" spans="1:37" x14ac:dyDescent="0.15">
      <c r="W36" s="4"/>
      <c r="X36" s="4"/>
    </row>
    <row r="37" spans="1:37" x14ac:dyDescent="0.15">
      <c r="W37" s="4"/>
      <c r="X37" s="4"/>
    </row>
    <row r="38" spans="1:37" x14ac:dyDescent="0.15">
      <c r="W38" s="4"/>
      <c r="X38" s="4"/>
    </row>
    <row r="39" spans="1:37" x14ac:dyDescent="0.15">
      <c r="W39" s="4"/>
      <c r="X39" s="4"/>
    </row>
    <row r="40" spans="1:37" x14ac:dyDescent="0.15">
      <c r="B40" s="4" t="s">
        <v>3502</v>
      </c>
      <c r="W40" s="4"/>
      <c r="X40" s="4"/>
    </row>
    <row r="41" spans="1:37" x14ac:dyDescent="0.15">
      <c r="A41" s="4" t="s">
        <v>2663</v>
      </c>
      <c r="C41" s="4" t="s">
        <v>2664</v>
      </c>
      <c r="D41" s="4">
        <v>101</v>
      </c>
      <c r="E41" s="4" t="s">
        <v>3451</v>
      </c>
      <c r="F41" s="4" t="s">
        <v>3178</v>
      </c>
      <c r="H41" s="4" t="s">
        <v>3132</v>
      </c>
      <c r="M41" s="4">
        <v>101</v>
      </c>
      <c r="N41" s="4">
        <v>100</v>
      </c>
      <c r="O41" s="4">
        <v>2</v>
      </c>
      <c r="P41" s="4" t="s">
        <v>3150</v>
      </c>
      <c r="R41" s="32">
        <v>3111</v>
      </c>
      <c r="S41" s="32" t="s">
        <v>3505</v>
      </c>
      <c r="T41" s="32">
        <v>0</v>
      </c>
      <c r="U41" s="32">
        <v>0</v>
      </c>
      <c r="V41" s="32" t="b">
        <v>1</v>
      </c>
      <c r="W41" s="4">
        <v>1</v>
      </c>
      <c r="X41" s="4">
        <v>1</v>
      </c>
      <c r="Y41" s="4">
        <v>1</v>
      </c>
      <c r="Z41" s="4">
        <v>0.8</v>
      </c>
      <c r="AA41" s="29">
        <v>0.18</v>
      </c>
      <c r="AB41" s="30">
        <v>2</v>
      </c>
      <c r="AC41" s="4">
        <v>1</v>
      </c>
      <c r="AD41" s="4">
        <v>1</v>
      </c>
      <c r="AE41" s="4">
        <v>2</v>
      </c>
      <c r="AF41" s="4">
        <v>10</v>
      </c>
      <c r="AG41" s="4">
        <v>2</v>
      </c>
    </row>
    <row r="42" spans="1:37" x14ac:dyDescent="0.15">
      <c r="A42" s="4" t="s">
        <v>2663</v>
      </c>
      <c r="C42" s="4" t="s">
        <v>2664</v>
      </c>
      <c r="D42" s="4">
        <v>102</v>
      </c>
      <c r="E42" s="4" t="s">
        <v>3452</v>
      </c>
      <c r="F42" s="4" t="s">
        <v>3179</v>
      </c>
      <c r="H42" s="4" t="s">
        <v>3306</v>
      </c>
      <c r="M42" s="4">
        <v>102</v>
      </c>
      <c r="N42" s="4">
        <v>100</v>
      </c>
      <c r="O42" s="4">
        <v>2</v>
      </c>
      <c r="P42" s="4" t="s">
        <v>3151</v>
      </c>
      <c r="R42" s="32">
        <v>3121</v>
      </c>
      <c r="S42" s="32" t="s">
        <v>3504</v>
      </c>
      <c r="T42" s="32">
        <v>0</v>
      </c>
      <c r="U42" s="32">
        <v>0</v>
      </c>
      <c r="V42" s="32" t="b">
        <v>1</v>
      </c>
      <c r="W42" s="4">
        <v>1</v>
      </c>
      <c r="X42" s="4">
        <v>1</v>
      </c>
      <c r="Y42" s="4">
        <v>1</v>
      </c>
      <c r="Z42" s="4">
        <v>0.5</v>
      </c>
      <c r="AA42" s="29">
        <v>0.18</v>
      </c>
      <c r="AB42" s="30">
        <v>2</v>
      </c>
      <c r="AC42" s="4">
        <v>1</v>
      </c>
      <c r="AD42" s="4">
        <v>1</v>
      </c>
      <c r="AE42" s="4">
        <v>2</v>
      </c>
      <c r="AF42" s="4">
        <v>10</v>
      </c>
      <c r="AG42" s="4">
        <v>2</v>
      </c>
    </row>
    <row r="43" spans="1:37" x14ac:dyDescent="0.15">
      <c r="A43" s="4" t="s">
        <v>2663</v>
      </c>
      <c r="C43" s="4" t="s">
        <v>2664</v>
      </c>
      <c r="D43" s="4">
        <v>103</v>
      </c>
      <c r="E43" s="4" t="s">
        <v>3453</v>
      </c>
      <c r="F43" s="4" t="s">
        <v>3180</v>
      </c>
      <c r="H43" s="4" t="s">
        <v>3548</v>
      </c>
      <c r="M43" s="4">
        <v>103</v>
      </c>
      <c r="N43" s="4">
        <v>100</v>
      </c>
      <c r="O43" s="4">
        <v>2</v>
      </c>
      <c r="P43" s="4" t="s">
        <v>3152</v>
      </c>
      <c r="R43" s="32">
        <v>3131</v>
      </c>
      <c r="S43" s="32" t="s">
        <v>3436</v>
      </c>
      <c r="T43" s="32">
        <v>0</v>
      </c>
      <c r="U43" s="32">
        <v>0</v>
      </c>
      <c r="V43" s="32" t="b">
        <v>1</v>
      </c>
      <c r="W43" s="4">
        <v>1</v>
      </c>
      <c r="X43" s="4">
        <v>1</v>
      </c>
      <c r="Y43" s="4">
        <v>1</v>
      </c>
      <c r="Z43" s="4">
        <v>0.5</v>
      </c>
      <c r="AA43" s="29">
        <v>0.18</v>
      </c>
      <c r="AB43" s="30">
        <v>2</v>
      </c>
      <c r="AC43" s="4">
        <v>1</v>
      </c>
      <c r="AD43" s="4">
        <v>1</v>
      </c>
      <c r="AE43" s="4">
        <v>2</v>
      </c>
      <c r="AF43" s="4">
        <v>10</v>
      </c>
      <c r="AG43" s="4">
        <v>2</v>
      </c>
    </row>
    <row r="44" spans="1:37" x14ac:dyDescent="0.15">
      <c r="A44" s="4" t="s">
        <v>2663</v>
      </c>
      <c r="C44" s="4" t="s">
        <v>2664</v>
      </c>
      <c r="D44" s="4">
        <v>104</v>
      </c>
      <c r="E44" s="4" t="s">
        <v>3454</v>
      </c>
      <c r="F44" s="4" t="s">
        <v>3251</v>
      </c>
      <c r="H44" s="4" t="s">
        <v>3176</v>
      </c>
      <c r="M44" s="4">
        <v>104</v>
      </c>
      <c r="N44" s="4">
        <v>100</v>
      </c>
      <c r="O44" s="4">
        <v>2</v>
      </c>
      <c r="P44" s="4" t="s">
        <v>3216</v>
      </c>
      <c r="R44" s="32">
        <v>3141</v>
      </c>
      <c r="S44" s="32" t="s">
        <v>3435</v>
      </c>
      <c r="T44" s="32">
        <v>0</v>
      </c>
      <c r="U44" s="32">
        <v>0</v>
      </c>
      <c r="V44" s="32" t="b">
        <v>1</v>
      </c>
      <c r="W44" s="4">
        <v>1</v>
      </c>
      <c r="X44" s="4">
        <v>1</v>
      </c>
      <c r="Y44" s="4">
        <v>1</v>
      </c>
      <c r="Z44" s="4">
        <v>0.5</v>
      </c>
      <c r="AA44" s="29">
        <v>0.18</v>
      </c>
      <c r="AB44" s="30">
        <v>2</v>
      </c>
      <c r="AC44" s="4">
        <v>1</v>
      </c>
      <c r="AD44" s="4">
        <v>1</v>
      </c>
      <c r="AE44" s="4">
        <v>2</v>
      </c>
      <c r="AF44" s="4">
        <v>10</v>
      </c>
      <c r="AG44" s="4">
        <v>2</v>
      </c>
    </row>
    <row r="45" spans="1:37" x14ac:dyDescent="0.15">
      <c r="A45" s="4" t="s">
        <v>2663</v>
      </c>
      <c r="C45" s="4" t="s">
        <v>2664</v>
      </c>
      <c r="D45" s="4">
        <v>105</v>
      </c>
      <c r="E45" s="4" t="s">
        <v>3455</v>
      </c>
      <c r="F45" s="4" t="s">
        <v>3252</v>
      </c>
      <c r="H45" s="4" t="s">
        <v>3547</v>
      </c>
      <c r="M45" s="4">
        <v>105</v>
      </c>
      <c r="N45" s="4">
        <v>100</v>
      </c>
      <c r="O45" s="4">
        <v>2</v>
      </c>
      <c r="P45" s="4" t="s">
        <v>3217</v>
      </c>
      <c r="R45" s="32">
        <v>3151</v>
      </c>
      <c r="S45" s="32" t="s">
        <v>3434</v>
      </c>
      <c r="T45" s="32">
        <v>0</v>
      </c>
      <c r="U45" s="32">
        <v>0</v>
      </c>
      <c r="V45" s="32" t="b">
        <v>1</v>
      </c>
      <c r="W45" s="4">
        <v>1</v>
      </c>
      <c r="X45" s="4">
        <v>1</v>
      </c>
      <c r="Y45" s="4">
        <v>1</v>
      </c>
      <c r="Z45" s="4">
        <v>0.5</v>
      </c>
      <c r="AA45" s="29">
        <v>0.18</v>
      </c>
      <c r="AB45" s="30">
        <v>2</v>
      </c>
      <c r="AC45" s="4">
        <v>1</v>
      </c>
      <c r="AD45" s="4">
        <v>1</v>
      </c>
      <c r="AE45" s="4">
        <v>2</v>
      </c>
      <c r="AF45" s="4">
        <v>10</v>
      </c>
      <c r="AG45" s="4">
        <v>2</v>
      </c>
    </row>
    <row r="46" spans="1:37" x14ac:dyDescent="0.15">
      <c r="A46" s="4" t="s">
        <v>2662</v>
      </c>
      <c r="C46" s="4" t="s">
        <v>3325</v>
      </c>
      <c r="D46" s="4">
        <v>106</v>
      </c>
      <c r="E46" s="4" t="s">
        <v>3456</v>
      </c>
      <c r="F46" s="4" t="s">
        <v>3319</v>
      </c>
      <c r="H46" s="4" t="s">
        <v>3549</v>
      </c>
      <c r="M46" s="4">
        <v>106</v>
      </c>
      <c r="N46" s="4">
        <v>100</v>
      </c>
      <c r="O46" s="4">
        <v>2</v>
      </c>
      <c r="P46" s="4" t="s">
        <v>3326</v>
      </c>
      <c r="R46" s="32">
        <v>3161</v>
      </c>
      <c r="S46" s="32" t="s">
        <v>3433</v>
      </c>
      <c r="T46" s="32">
        <v>0</v>
      </c>
      <c r="U46" s="32">
        <v>0</v>
      </c>
      <c r="V46" s="32" t="b">
        <v>1</v>
      </c>
      <c r="W46" s="4">
        <v>1</v>
      </c>
      <c r="X46" s="4">
        <v>1</v>
      </c>
      <c r="Y46" s="4">
        <v>1</v>
      </c>
      <c r="Z46" s="4">
        <v>0.5</v>
      </c>
      <c r="AA46" s="29">
        <v>0.18</v>
      </c>
      <c r="AB46" s="30">
        <v>2</v>
      </c>
      <c r="AC46" s="4">
        <v>1</v>
      </c>
      <c r="AD46" s="4">
        <v>1</v>
      </c>
      <c r="AE46" s="4">
        <v>2</v>
      </c>
      <c r="AF46" s="4">
        <v>10</v>
      </c>
      <c r="AG46" s="4">
        <v>2</v>
      </c>
    </row>
    <row r="47" spans="1:37" x14ac:dyDescent="0.15">
      <c r="A47" s="4" t="s">
        <v>3327</v>
      </c>
      <c r="C47" s="4" t="s">
        <v>3325</v>
      </c>
      <c r="D47" s="4">
        <v>107</v>
      </c>
      <c r="E47" s="4" t="s">
        <v>3498</v>
      </c>
      <c r="F47" s="4" t="s">
        <v>3323</v>
      </c>
      <c r="H47" s="4" t="s">
        <v>3132</v>
      </c>
      <c r="M47" s="4">
        <v>107</v>
      </c>
      <c r="N47" s="4">
        <v>100</v>
      </c>
      <c r="O47" s="4">
        <v>2</v>
      </c>
      <c r="P47" s="4" t="s">
        <v>3328</v>
      </c>
      <c r="R47" s="32">
        <v>3171</v>
      </c>
      <c r="S47" s="32" t="s">
        <v>3432</v>
      </c>
      <c r="T47" s="32">
        <v>0</v>
      </c>
      <c r="U47" s="32">
        <v>0</v>
      </c>
      <c r="V47" s="32" t="b">
        <v>1</v>
      </c>
      <c r="W47" s="4">
        <v>1</v>
      </c>
      <c r="X47" s="4">
        <v>1</v>
      </c>
      <c r="Y47" s="4">
        <v>1</v>
      </c>
      <c r="Z47" s="4">
        <v>0.5</v>
      </c>
      <c r="AA47" s="29">
        <v>0.18</v>
      </c>
      <c r="AB47" s="30">
        <v>2</v>
      </c>
      <c r="AC47" s="4">
        <v>1</v>
      </c>
      <c r="AD47" s="4">
        <v>1</v>
      </c>
      <c r="AE47" s="4">
        <v>2</v>
      </c>
      <c r="AF47" s="4">
        <v>10</v>
      </c>
      <c r="AG47" s="4">
        <v>2</v>
      </c>
    </row>
    <row r="48" spans="1:37" x14ac:dyDescent="0.15">
      <c r="A48" s="4" t="s">
        <v>2662</v>
      </c>
      <c r="C48" s="4" t="s">
        <v>3325</v>
      </c>
      <c r="D48" s="4">
        <v>108</v>
      </c>
      <c r="E48" s="4" t="s">
        <v>3457</v>
      </c>
      <c r="F48" s="4" t="s">
        <v>3499</v>
      </c>
      <c r="H48" s="4" t="s">
        <v>3306</v>
      </c>
      <c r="M48" s="4">
        <v>108</v>
      </c>
      <c r="N48" s="4">
        <v>100</v>
      </c>
      <c r="O48" s="4">
        <v>2</v>
      </c>
      <c r="P48" s="4" t="s">
        <v>3424</v>
      </c>
      <c r="R48" s="32">
        <v>3181</v>
      </c>
      <c r="S48" s="32" t="s">
        <v>3506</v>
      </c>
      <c r="T48" s="32">
        <v>0</v>
      </c>
      <c r="U48" s="32">
        <v>0</v>
      </c>
      <c r="V48" s="32" t="b">
        <v>1</v>
      </c>
      <c r="W48" s="4">
        <v>1</v>
      </c>
      <c r="X48" s="4">
        <v>1</v>
      </c>
      <c r="Y48" s="4">
        <v>1</v>
      </c>
      <c r="Z48" s="4">
        <v>0.8</v>
      </c>
      <c r="AA48" s="29">
        <v>0.18</v>
      </c>
      <c r="AB48" s="30">
        <v>2</v>
      </c>
      <c r="AC48" s="4">
        <v>1</v>
      </c>
      <c r="AD48" s="4">
        <v>1</v>
      </c>
      <c r="AE48" s="4">
        <v>2</v>
      </c>
      <c r="AF48" s="4">
        <v>10</v>
      </c>
      <c r="AG48" s="4">
        <v>2</v>
      </c>
    </row>
    <row r="49" spans="1:35" x14ac:dyDescent="0.15">
      <c r="A49" s="4" t="s">
        <v>2662</v>
      </c>
      <c r="C49" s="4" t="s">
        <v>3325</v>
      </c>
      <c r="D49" s="4">
        <v>109</v>
      </c>
      <c r="E49" s="4" t="s">
        <v>3497</v>
      </c>
      <c r="F49" s="4" t="s">
        <v>3474</v>
      </c>
      <c r="H49" s="4" t="s">
        <v>3310</v>
      </c>
      <c r="M49" s="4">
        <v>109</v>
      </c>
      <c r="N49" s="4">
        <v>100</v>
      </c>
      <c r="O49" s="4">
        <v>2</v>
      </c>
      <c r="P49" s="4" t="s">
        <v>3475</v>
      </c>
      <c r="R49" s="32" t="s">
        <v>3533</v>
      </c>
      <c r="S49" s="32" t="s">
        <v>9955</v>
      </c>
      <c r="T49" s="32">
        <v>0</v>
      </c>
      <c r="U49" s="32">
        <v>0</v>
      </c>
      <c r="V49" s="32" t="b">
        <v>1</v>
      </c>
      <c r="W49" s="4">
        <v>1</v>
      </c>
      <c r="X49" s="4">
        <v>1</v>
      </c>
      <c r="Y49" s="4">
        <v>1</v>
      </c>
      <c r="Z49" s="4">
        <v>0.5</v>
      </c>
      <c r="AA49" s="29">
        <v>0.18</v>
      </c>
      <c r="AB49" s="30">
        <v>2</v>
      </c>
      <c r="AC49" s="4">
        <v>1</v>
      </c>
      <c r="AD49" s="4">
        <v>1</v>
      </c>
      <c r="AE49" s="4">
        <v>2</v>
      </c>
      <c r="AF49" s="4">
        <v>10</v>
      </c>
      <c r="AG49" s="4">
        <v>2</v>
      </c>
    </row>
    <row r="50" spans="1:35" x14ac:dyDescent="0.15">
      <c r="A50" s="4" t="s">
        <v>2662</v>
      </c>
      <c r="C50" s="4" t="s">
        <v>3325</v>
      </c>
      <c r="D50" s="4">
        <v>110</v>
      </c>
      <c r="E50" s="4" t="s">
        <v>3638</v>
      </c>
      <c r="F50" s="4" t="s">
        <v>3639</v>
      </c>
      <c r="H50" s="4" t="s">
        <v>3310</v>
      </c>
      <c r="M50" s="4">
        <v>110</v>
      </c>
      <c r="N50" s="4">
        <v>100</v>
      </c>
      <c r="O50" s="4">
        <v>2</v>
      </c>
      <c r="P50" s="4" t="s">
        <v>3640</v>
      </c>
      <c r="R50" s="32">
        <v>3201</v>
      </c>
      <c r="S50" s="32" t="s">
        <v>3641</v>
      </c>
      <c r="T50" s="32">
        <v>0</v>
      </c>
      <c r="U50" s="32">
        <v>0</v>
      </c>
      <c r="V50" s="32" t="b">
        <v>1</v>
      </c>
      <c r="W50" s="4">
        <v>1</v>
      </c>
      <c r="X50" s="4">
        <v>1</v>
      </c>
      <c r="Y50" s="4">
        <v>1</v>
      </c>
      <c r="Z50" s="4">
        <v>0.8</v>
      </c>
      <c r="AA50" s="29">
        <v>0.18</v>
      </c>
      <c r="AB50" s="30">
        <v>2</v>
      </c>
      <c r="AC50" s="4">
        <v>1</v>
      </c>
      <c r="AD50" s="4">
        <v>1</v>
      </c>
      <c r="AE50" s="4">
        <v>2</v>
      </c>
      <c r="AF50" s="4">
        <v>10</v>
      </c>
      <c r="AG50" s="4">
        <v>2</v>
      </c>
    </row>
    <row r="51" spans="1:35" x14ac:dyDescent="0.15">
      <c r="W51" s="4"/>
      <c r="X51" s="4"/>
    </row>
    <row r="52" spans="1:35" x14ac:dyDescent="0.15">
      <c r="A52" s="4" t="s">
        <v>2663</v>
      </c>
      <c r="C52" s="4" t="s">
        <v>2846</v>
      </c>
      <c r="D52" s="4">
        <v>150</v>
      </c>
      <c r="E52" s="4" t="s">
        <v>3198</v>
      </c>
      <c r="F52" s="4" t="s">
        <v>9939</v>
      </c>
      <c r="H52" s="4" t="s">
        <v>3132</v>
      </c>
      <c r="M52" s="4">
        <v>150</v>
      </c>
      <c r="N52" s="4">
        <v>200</v>
      </c>
      <c r="O52" s="4">
        <v>3</v>
      </c>
      <c r="P52" s="4" t="s">
        <v>3153</v>
      </c>
      <c r="R52" s="32" t="s">
        <v>2939</v>
      </c>
      <c r="S52" s="32" t="s">
        <v>3535</v>
      </c>
      <c r="T52" s="32">
        <v>0</v>
      </c>
      <c r="U52" s="32">
        <v>0</v>
      </c>
      <c r="V52" s="32" t="b">
        <v>1</v>
      </c>
      <c r="W52" s="4">
        <v>1.5</v>
      </c>
      <c r="X52" s="4">
        <v>-45</v>
      </c>
      <c r="Y52" s="4">
        <v>2.2000000000000002</v>
      </c>
      <c r="Z52" s="4">
        <v>1.5</v>
      </c>
      <c r="AA52" s="29">
        <v>0.25</v>
      </c>
      <c r="AB52" s="30">
        <v>2</v>
      </c>
      <c r="AC52" s="4">
        <v>1</v>
      </c>
      <c r="AD52" s="4">
        <v>1</v>
      </c>
      <c r="AE52" s="4">
        <v>2</v>
      </c>
      <c r="AF52" s="4">
        <v>10</v>
      </c>
      <c r="AG52" s="4">
        <v>3</v>
      </c>
      <c r="AH52" s="32">
        <v>1</v>
      </c>
    </row>
    <row r="53" spans="1:35" x14ac:dyDescent="0.15">
      <c r="A53" s="4" t="s">
        <v>2663</v>
      </c>
      <c r="C53" s="4" t="s">
        <v>3491</v>
      </c>
      <c r="D53" s="4">
        <v>151</v>
      </c>
      <c r="E53" s="4" t="s">
        <v>9949</v>
      </c>
      <c r="F53" s="4" t="s">
        <v>9940</v>
      </c>
      <c r="H53" s="4" t="s">
        <v>3176</v>
      </c>
      <c r="M53" s="4">
        <v>151</v>
      </c>
      <c r="N53" s="4">
        <v>200</v>
      </c>
      <c r="O53" s="4">
        <v>3</v>
      </c>
      <c r="P53" s="4" t="s">
        <v>9851</v>
      </c>
      <c r="R53" s="32" t="s">
        <v>3534</v>
      </c>
      <c r="S53" s="32" t="s">
        <v>3708</v>
      </c>
      <c r="T53" s="32">
        <v>0</v>
      </c>
      <c r="U53" s="32">
        <v>0</v>
      </c>
      <c r="V53" s="32" t="b">
        <v>1</v>
      </c>
      <c r="W53" s="4">
        <v>1.5</v>
      </c>
      <c r="X53" s="4">
        <v>-45</v>
      </c>
      <c r="Y53" s="4">
        <v>2.2000000000000002</v>
      </c>
      <c r="Z53" s="4">
        <v>2</v>
      </c>
      <c r="AA53" s="29">
        <v>0.25</v>
      </c>
      <c r="AB53" s="30">
        <v>2</v>
      </c>
      <c r="AC53" s="4">
        <v>1</v>
      </c>
      <c r="AD53" s="4">
        <v>1</v>
      </c>
      <c r="AE53" s="4">
        <v>2</v>
      </c>
      <c r="AF53" s="4">
        <v>10</v>
      </c>
      <c r="AG53" s="4">
        <v>3</v>
      </c>
      <c r="AH53" s="32">
        <v>1</v>
      </c>
    </row>
    <row r="54" spans="1:35" x14ac:dyDescent="0.15">
      <c r="A54" s="4" t="s">
        <v>2663</v>
      </c>
      <c r="C54" s="4" t="s">
        <v>9847</v>
      </c>
      <c r="D54" s="4">
        <v>152</v>
      </c>
      <c r="E54" s="4" t="s">
        <v>9952</v>
      </c>
      <c r="F54" s="4" t="s">
        <v>9941</v>
      </c>
      <c r="H54" s="4" t="s">
        <v>3500</v>
      </c>
      <c r="M54" s="4">
        <v>152</v>
      </c>
      <c r="N54" s="4">
        <v>200</v>
      </c>
      <c r="O54" s="4">
        <v>3</v>
      </c>
      <c r="P54" s="4" t="s">
        <v>9852</v>
      </c>
      <c r="R54" s="32" t="s">
        <v>9856</v>
      </c>
      <c r="S54" s="32" t="s">
        <v>9860</v>
      </c>
      <c r="T54" s="32">
        <v>0</v>
      </c>
      <c r="U54" s="32">
        <v>0</v>
      </c>
      <c r="V54" s="32" t="b">
        <v>1</v>
      </c>
      <c r="W54" s="4">
        <v>1.5</v>
      </c>
      <c r="X54" s="4">
        <v>-45</v>
      </c>
      <c r="Y54" s="4">
        <v>2.2000000000000002</v>
      </c>
      <c r="Z54" s="4">
        <v>2</v>
      </c>
      <c r="AA54" s="29">
        <v>0.25</v>
      </c>
      <c r="AB54" s="30">
        <v>2</v>
      </c>
      <c r="AC54" s="4">
        <v>1</v>
      </c>
      <c r="AD54" s="4">
        <v>1</v>
      </c>
      <c r="AE54" s="4">
        <v>2</v>
      </c>
      <c r="AF54" s="4">
        <v>10</v>
      </c>
      <c r="AG54" s="4">
        <v>3</v>
      </c>
      <c r="AH54" s="32">
        <v>1</v>
      </c>
    </row>
    <row r="55" spans="1:35" x14ac:dyDescent="0.15">
      <c r="A55" s="4" t="s">
        <v>2663</v>
      </c>
      <c r="C55" s="4" t="s">
        <v>9848</v>
      </c>
      <c r="D55" s="4">
        <v>153</v>
      </c>
      <c r="E55" s="4" t="s">
        <v>9950</v>
      </c>
      <c r="F55" s="4" t="s">
        <v>9942</v>
      </c>
      <c r="H55" s="4" t="s">
        <v>3306</v>
      </c>
      <c r="M55" s="4">
        <v>153</v>
      </c>
      <c r="N55" s="4">
        <v>200</v>
      </c>
      <c r="O55" s="4">
        <v>3</v>
      </c>
      <c r="P55" s="4" t="s">
        <v>9853</v>
      </c>
      <c r="R55" s="32" t="s">
        <v>9857</v>
      </c>
      <c r="S55" s="32" t="s">
        <v>9861</v>
      </c>
      <c r="T55" s="32">
        <v>0</v>
      </c>
      <c r="U55" s="32">
        <v>0</v>
      </c>
      <c r="V55" s="32" t="b">
        <v>1</v>
      </c>
      <c r="W55" s="4">
        <v>1.5</v>
      </c>
      <c r="X55" s="4">
        <v>-45</v>
      </c>
      <c r="Y55" s="4">
        <v>2.2000000000000002</v>
      </c>
      <c r="Z55" s="4">
        <v>2</v>
      </c>
      <c r="AA55" s="29">
        <v>0.25</v>
      </c>
      <c r="AB55" s="30">
        <v>2</v>
      </c>
      <c r="AC55" s="4">
        <v>1</v>
      </c>
      <c r="AD55" s="4">
        <v>1</v>
      </c>
      <c r="AE55" s="4">
        <v>2</v>
      </c>
      <c r="AF55" s="4">
        <v>10</v>
      </c>
      <c r="AG55" s="4">
        <v>3</v>
      </c>
      <c r="AH55" s="32">
        <v>1</v>
      </c>
    </row>
    <row r="56" spans="1:35" x14ac:dyDescent="0.15">
      <c r="A56" s="4" t="s">
        <v>2663</v>
      </c>
      <c r="C56" s="4" t="s">
        <v>9849</v>
      </c>
      <c r="D56" s="4">
        <v>154</v>
      </c>
      <c r="E56" s="4" t="s">
        <v>9953</v>
      </c>
      <c r="F56" s="4" t="s">
        <v>9943</v>
      </c>
      <c r="H56" s="4" t="s">
        <v>3549</v>
      </c>
      <c r="M56" s="4">
        <v>154</v>
      </c>
      <c r="N56" s="4">
        <v>200</v>
      </c>
      <c r="O56" s="4">
        <v>3</v>
      </c>
      <c r="P56" s="4" t="s">
        <v>9854</v>
      </c>
      <c r="R56" s="32" t="s">
        <v>9858</v>
      </c>
      <c r="S56" s="32" t="s">
        <v>9862</v>
      </c>
      <c r="T56" s="32">
        <v>0</v>
      </c>
      <c r="U56" s="32">
        <v>0</v>
      </c>
      <c r="V56" s="32" t="b">
        <v>1</v>
      </c>
      <c r="W56" s="4">
        <v>1.5</v>
      </c>
      <c r="X56" s="4">
        <v>-45</v>
      </c>
      <c r="Y56" s="4">
        <v>2</v>
      </c>
      <c r="Z56" s="4">
        <v>1.5</v>
      </c>
      <c r="AA56" s="29">
        <v>0.25</v>
      </c>
      <c r="AB56" s="30">
        <v>2</v>
      </c>
      <c r="AC56" s="4">
        <v>1</v>
      </c>
      <c r="AD56" s="4">
        <v>1</v>
      </c>
      <c r="AE56" s="4">
        <v>2</v>
      </c>
      <c r="AF56" s="4">
        <v>10</v>
      </c>
      <c r="AG56" s="4">
        <v>3</v>
      </c>
      <c r="AH56" s="32">
        <v>1</v>
      </c>
    </row>
    <row r="57" spans="1:35" x14ac:dyDescent="0.15">
      <c r="A57" s="4" t="s">
        <v>2663</v>
      </c>
      <c r="C57" s="4" t="s">
        <v>9850</v>
      </c>
      <c r="D57" s="4">
        <v>155</v>
      </c>
      <c r="E57" s="4" t="s">
        <v>9951</v>
      </c>
      <c r="F57" s="4" t="s">
        <v>9944</v>
      </c>
      <c r="H57" s="4" t="s">
        <v>3306</v>
      </c>
      <c r="M57" s="4">
        <v>1201</v>
      </c>
      <c r="N57" s="4">
        <v>200</v>
      </c>
      <c r="O57" s="4">
        <v>3</v>
      </c>
      <c r="P57" s="4" t="s">
        <v>9855</v>
      </c>
      <c r="R57" s="32" t="s">
        <v>9859</v>
      </c>
      <c r="S57" s="32" t="s">
        <v>9863</v>
      </c>
      <c r="T57" s="32">
        <v>0</v>
      </c>
      <c r="U57" s="32">
        <v>0</v>
      </c>
      <c r="V57" s="32" t="b">
        <v>1</v>
      </c>
      <c r="W57" s="4">
        <v>1.5</v>
      </c>
      <c r="X57" s="4">
        <v>-45</v>
      </c>
      <c r="Y57" s="4">
        <v>2.2000000000000002</v>
      </c>
      <c r="Z57" s="4">
        <v>2</v>
      </c>
      <c r="AA57" s="29">
        <v>0.25</v>
      </c>
      <c r="AB57" s="30">
        <v>2</v>
      </c>
      <c r="AC57" s="4">
        <v>1</v>
      </c>
      <c r="AD57" s="4">
        <v>1</v>
      </c>
      <c r="AE57" s="4">
        <v>2</v>
      </c>
      <c r="AF57" s="4">
        <v>10</v>
      </c>
      <c r="AG57" s="4">
        <v>3</v>
      </c>
      <c r="AH57" s="32">
        <v>1</v>
      </c>
    </row>
    <row r="58" spans="1:35" x14ac:dyDescent="0.15">
      <c r="A58" s="4" t="s">
        <v>2663</v>
      </c>
      <c r="C58" s="4" t="s">
        <v>9997</v>
      </c>
      <c r="D58" s="4">
        <v>156</v>
      </c>
      <c r="E58" s="4" t="s">
        <v>9999</v>
      </c>
      <c r="F58" s="4" t="s">
        <v>10001</v>
      </c>
      <c r="H58" s="4" t="s">
        <v>3306</v>
      </c>
      <c r="M58" s="4">
        <v>157</v>
      </c>
      <c r="N58" s="4">
        <v>200</v>
      </c>
      <c r="O58" s="4">
        <v>3</v>
      </c>
      <c r="P58" s="4" t="s">
        <v>10003</v>
      </c>
      <c r="R58" s="32" t="s">
        <v>10061</v>
      </c>
      <c r="S58" s="32" t="s">
        <v>10063</v>
      </c>
      <c r="T58" s="32">
        <v>0</v>
      </c>
      <c r="U58" s="32">
        <v>0</v>
      </c>
      <c r="V58" s="32" t="b">
        <v>1</v>
      </c>
      <c r="W58" s="4">
        <v>1</v>
      </c>
      <c r="X58" s="4">
        <v>-45</v>
      </c>
      <c r="Y58" s="4">
        <v>1</v>
      </c>
      <c r="Z58" s="4">
        <v>2</v>
      </c>
      <c r="AA58" s="29">
        <v>0.25</v>
      </c>
      <c r="AB58" s="30">
        <v>2</v>
      </c>
      <c r="AC58" s="4">
        <v>1</v>
      </c>
      <c r="AD58" s="4">
        <v>1</v>
      </c>
      <c r="AE58" s="4">
        <v>2</v>
      </c>
      <c r="AF58" s="4">
        <v>10</v>
      </c>
      <c r="AG58" s="4">
        <v>6</v>
      </c>
      <c r="AH58" s="32" t="s">
        <v>10067</v>
      </c>
    </row>
    <row r="59" spans="1:35" x14ac:dyDescent="0.15">
      <c r="A59" s="4" t="s">
        <v>2663</v>
      </c>
      <c r="C59" s="4" t="s">
        <v>9998</v>
      </c>
      <c r="D59" s="4">
        <v>157</v>
      </c>
      <c r="E59" s="4" t="s">
        <v>10000</v>
      </c>
      <c r="F59" s="4" t="s">
        <v>10002</v>
      </c>
      <c r="H59" s="4" t="s">
        <v>3306</v>
      </c>
      <c r="M59" s="4">
        <v>157</v>
      </c>
      <c r="N59" s="4">
        <v>200</v>
      </c>
      <c r="O59" s="4">
        <v>3</v>
      </c>
      <c r="P59" s="4" t="s">
        <v>10004</v>
      </c>
      <c r="R59" s="32" t="s">
        <v>10005</v>
      </c>
      <c r="S59" s="32" t="s">
        <v>10062</v>
      </c>
      <c r="T59" s="32">
        <v>0</v>
      </c>
      <c r="U59" s="32">
        <v>0</v>
      </c>
      <c r="V59" s="32" t="b">
        <v>1</v>
      </c>
      <c r="W59" s="4">
        <v>1</v>
      </c>
      <c r="X59" s="4">
        <v>-45</v>
      </c>
      <c r="Y59" s="4">
        <v>1</v>
      </c>
      <c r="Z59" s="4">
        <v>2</v>
      </c>
      <c r="AA59" s="29">
        <v>0.25</v>
      </c>
      <c r="AB59" s="30">
        <v>2</v>
      </c>
      <c r="AC59" s="4">
        <v>1</v>
      </c>
      <c r="AD59" s="4">
        <v>1</v>
      </c>
      <c r="AE59" s="4">
        <v>2</v>
      </c>
      <c r="AF59" s="4">
        <v>10</v>
      </c>
      <c r="AG59" s="4">
        <v>6</v>
      </c>
      <c r="AH59" s="32">
        <v>1</v>
      </c>
    </row>
    <row r="60" spans="1:35" x14ac:dyDescent="0.15">
      <c r="W60" s="4"/>
      <c r="X60" s="4"/>
    </row>
    <row r="61" spans="1:35" x14ac:dyDescent="0.15">
      <c r="B61" s="4" t="s">
        <v>3299</v>
      </c>
      <c r="W61" s="4"/>
      <c r="X61" s="4"/>
    </row>
    <row r="62" spans="1:35" ht="16.5" x14ac:dyDescent="0.15">
      <c r="A62" s="4" t="s">
        <v>3298</v>
      </c>
      <c r="D62" s="4">
        <v>201</v>
      </c>
      <c r="E62" s="4" t="s">
        <v>3451</v>
      </c>
      <c r="F62" s="4" t="s">
        <v>3300</v>
      </c>
      <c r="G62" s="4" t="s">
        <v>9948</v>
      </c>
      <c r="H62" s="4" t="s">
        <v>3302</v>
      </c>
      <c r="I62" s="4">
        <v>1</v>
      </c>
      <c r="M62" s="4">
        <v>251</v>
      </c>
      <c r="N62" s="4">
        <v>301</v>
      </c>
      <c r="O62" s="4">
        <v>4</v>
      </c>
      <c r="P62" s="4" t="s">
        <v>3303</v>
      </c>
      <c r="R62" s="32" t="s">
        <v>3304</v>
      </c>
      <c r="S62" s="32" t="s">
        <v>3305</v>
      </c>
      <c r="T62" s="32">
        <v>0</v>
      </c>
      <c r="U62" s="32">
        <v>0</v>
      </c>
      <c r="V62" s="32" t="b">
        <v>1</v>
      </c>
      <c r="W62" s="4">
        <v>0.8</v>
      </c>
      <c r="X62" s="4">
        <v>-45</v>
      </c>
      <c r="Y62" s="4">
        <v>0.7</v>
      </c>
      <c r="Z62" s="4">
        <v>0.4</v>
      </c>
      <c r="AA62" s="29">
        <v>0.18</v>
      </c>
      <c r="AB62" s="30">
        <v>2</v>
      </c>
      <c r="AC62" s="4">
        <v>1</v>
      </c>
      <c r="AD62" s="4">
        <v>1</v>
      </c>
      <c r="AE62" s="4">
        <v>2</v>
      </c>
      <c r="AF62" s="4">
        <v>5</v>
      </c>
      <c r="AG62" s="4">
        <v>3</v>
      </c>
      <c r="AI62" s="34" t="s">
        <v>3544</v>
      </c>
    </row>
    <row r="63" spans="1:35" ht="16.5" x14ac:dyDescent="0.15">
      <c r="A63" s="4" t="s">
        <v>2662</v>
      </c>
      <c r="D63" s="4">
        <v>202</v>
      </c>
      <c r="E63" s="4" t="s">
        <v>3452</v>
      </c>
      <c r="F63" s="4" t="s">
        <v>3179</v>
      </c>
      <c r="G63" s="4" t="s">
        <v>3550</v>
      </c>
      <c r="H63" s="4" t="s">
        <v>3306</v>
      </c>
      <c r="I63" s="4">
        <v>3</v>
      </c>
      <c r="M63" s="4">
        <v>252</v>
      </c>
      <c r="N63" s="4">
        <v>302</v>
      </c>
      <c r="O63" s="4">
        <v>4</v>
      </c>
      <c r="P63" s="4" t="s">
        <v>3307</v>
      </c>
      <c r="R63" s="32" t="s">
        <v>3308</v>
      </c>
      <c r="S63" s="32" t="s">
        <v>3309</v>
      </c>
      <c r="T63" s="32">
        <v>0</v>
      </c>
      <c r="U63" s="32">
        <v>0</v>
      </c>
      <c r="V63" s="32" t="b">
        <v>1</v>
      </c>
      <c r="W63" s="4">
        <v>1</v>
      </c>
      <c r="X63" s="4">
        <v>-45</v>
      </c>
      <c r="Y63" s="4">
        <v>0.7</v>
      </c>
      <c r="Z63" s="4">
        <v>0.3</v>
      </c>
      <c r="AA63" s="29">
        <v>0.18</v>
      </c>
      <c r="AB63" s="30">
        <v>2</v>
      </c>
      <c r="AC63" s="4">
        <v>1</v>
      </c>
      <c r="AD63" s="4">
        <v>1</v>
      </c>
      <c r="AE63" s="4">
        <v>2</v>
      </c>
      <c r="AF63" s="4">
        <v>5</v>
      </c>
      <c r="AG63" s="4">
        <v>3</v>
      </c>
      <c r="AI63" s="34" t="s">
        <v>3782</v>
      </c>
    </row>
    <row r="64" spans="1:35" ht="16.5" x14ac:dyDescent="0.15">
      <c r="A64" s="4" t="s">
        <v>2662</v>
      </c>
      <c r="D64" s="4">
        <v>203</v>
      </c>
      <c r="E64" s="4" t="s">
        <v>3453</v>
      </c>
      <c r="F64" s="4" t="s">
        <v>3180</v>
      </c>
      <c r="G64" s="4" t="s">
        <v>3550</v>
      </c>
      <c r="H64" s="4" t="s">
        <v>3310</v>
      </c>
      <c r="I64" s="4">
        <v>4</v>
      </c>
      <c r="M64" s="4">
        <v>253</v>
      </c>
      <c r="N64" s="4">
        <v>303</v>
      </c>
      <c r="O64" s="4">
        <v>4</v>
      </c>
      <c r="P64" s="4" t="s">
        <v>3311</v>
      </c>
      <c r="R64" s="32" t="s">
        <v>3312</v>
      </c>
      <c r="S64" s="32" t="s">
        <v>3313</v>
      </c>
      <c r="T64" s="32">
        <v>0</v>
      </c>
      <c r="U64" s="32">
        <v>0</v>
      </c>
      <c r="V64" s="32" t="b">
        <v>1</v>
      </c>
      <c r="W64" s="4">
        <v>1.2</v>
      </c>
      <c r="X64" s="4">
        <v>-45</v>
      </c>
      <c r="Y64" s="4">
        <v>0.7</v>
      </c>
      <c r="Z64" s="4">
        <v>0.3</v>
      </c>
      <c r="AA64" s="29">
        <v>0.18</v>
      </c>
      <c r="AB64" s="30">
        <v>2</v>
      </c>
      <c r="AC64" s="4">
        <v>1</v>
      </c>
      <c r="AD64" s="4">
        <v>1</v>
      </c>
      <c r="AE64" s="4">
        <v>2</v>
      </c>
      <c r="AF64" s="4">
        <v>5</v>
      </c>
      <c r="AG64" s="4">
        <v>3</v>
      </c>
      <c r="AI64" s="34" t="s">
        <v>3545</v>
      </c>
    </row>
    <row r="65" spans="1:35" ht="16.5" x14ac:dyDescent="0.15">
      <c r="A65" s="4" t="s">
        <v>2662</v>
      </c>
      <c r="D65" s="4">
        <v>204</v>
      </c>
      <c r="E65" s="4" t="s">
        <v>3454</v>
      </c>
      <c r="F65" s="4" t="s">
        <v>3251</v>
      </c>
      <c r="G65" s="4" t="s">
        <v>3182</v>
      </c>
      <c r="H65" s="4" t="s">
        <v>3176</v>
      </c>
      <c r="I65" s="4">
        <v>6</v>
      </c>
      <c r="M65" s="4">
        <v>254</v>
      </c>
      <c r="N65" s="4">
        <v>304</v>
      </c>
      <c r="O65" s="4">
        <v>4</v>
      </c>
      <c r="P65" s="4" t="s">
        <v>3218</v>
      </c>
      <c r="R65" s="32" t="s">
        <v>3314</v>
      </c>
      <c r="S65" s="32" t="s">
        <v>3315</v>
      </c>
      <c r="T65" s="32">
        <v>0</v>
      </c>
      <c r="U65" s="32">
        <v>0</v>
      </c>
      <c r="V65" s="32" t="b">
        <v>1</v>
      </c>
      <c r="W65" s="4">
        <v>1</v>
      </c>
      <c r="X65" s="4">
        <v>-45</v>
      </c>
      <c r="Y65" s="4">
        <v>0.7</v>
      </c>
      <c r="Z65" s="4">
        <v>0.3</v>
      </c>
      <c r="AA65" s="29">
        <v>0.18</v>
      </c>
      <c r="AB65" s="30">
        <v>2</v>
      </c>
      <c r="AC65" s="4">
        <v>1</v>
      </c>
      <c r="AD65" s="4">
        <v>1</v>
      </c>
      <c r="AE65" s="4">
        <v>2</v>
      </c>
      <c r="AF65" s="4">
        <v>5</v>
      </c>
      <c r="AG65" s="4">
        <v>3</v>
      </c>
      <c r="AI65" s="34" t="s">
        <v>3546</v>
      </c>
    </row>
    <row r="66" spans="1:35" ht="16.5" x14ac:dyDescent="0.15">
      <c r="A66" s="4" t="s">
        <v>2662</v>
      </c>
      <c r="D66" s="4">
        <v>205</v>
      </c>
      <c r="E66" s="4" t="s">
        <v>3455</v>
      </c>
      <c r="F66" s="4" t="s">
        <v>3252</v>
      </c>
      <c r="G66" s="4" t="s">
        <v>3182</v>
      </c>
      <c r="H66" s="4" t="s">
        <v>3500</v>
      </c>
      <c r="I66" s="4">
        <v>7</v>
      </c>
      <c r="M66" s="4">
        <v>255</v>
      </c>
      <c r="N66" s="4">
        <v>305</v>
      </c>
      <c r="O66" s="4">
        <v>4</v>
      </c>
      <c r="P66" s="4" t="s">
        <v>3219</v>
      </c>
      <c r="R66" s="32" t="s">
        <v>3316</v>
      </c>
      <c r="S66" s="32" t="s">
        <v>3317</v>
      </c>
      <c r="T66" s="32">
        <v>0</v>
      </c>
      <c r="U66" s="32">
        <v>0</v>
      </c>
      <c r="V66" s="32" t="b">
        <v>1</v>
      </c>
      <c r="W66" s="4">
        <v>1</v>
      </c>
      <c r="X66" s="4">
        <v>-45</v>
      </c>
      <c r="Y66" s="4">
        <v>0.7</v>
      </c>
      <c r="Z66" s="4">
        <v>0.3</v>
      </c>
      <c r="AA66" s="29">
        <v>0.18</v>
      </c>
      <c r="AB66" s="30">
        <v>2</v>
      </c>
      <c r="AC66" s="4">
        <v>1</v>
      </c>
      <c r="AD66" s="4">
        <v>1</v>
      </c>
      <c r="AE66" s="4">
        <v>2</v>
      </c>
      <c r="AF66" s="4">
        <v>5</v>
      </c>
      <c r="AG66" s="4">
        <v>2</v>
      </c>
      <c r="AI66" s="34" t="s">
        <v>3781</v>
      </c>
    </row>
    <row r="67" spans="1:35" ht="16.5" x14ac:dyDescent="0.15">
      <c r="A67" s="4" t="s">
        <v>3318</v>
      </c>
      <c r="D67" s="4">
        <v>206</v>
      </c>
      <c r="E67" s="4" t="s">
        <v>3456</v>
      </c>
      <c r="F67" s="4" t="s">
        <v>3319</v>
      </c>
      <c r="G67" s="4" t="s">
        <v>3550</v>
      </c>
      <c r="H67" s="4" t="s">
        <v>3549</v>
      </c>
      <c r="I67" s="4">
        <v>5</v>
      </c>
      <c r="M67" s="4">
        <v>256</v>
      </c>
      <c r="N67" s="4">
        <v>306</v>
      </c>
      <c r="O67" s="4">
        <v>4</v>
      </c>
      <c r="P67" s="4" t="s">
        <v>3320</v>
      </c>
      <c r="R67" s="32" t="s">
        <v>3321</v>
      </c>
      <c r="S67" s="32" t="s">
        <v>3322</v>
      </c>
      <c r="T67" s="32">
        <v>0</v>
      </c>
      <c r="U67" s="32">
        <v>0</v>
      </c>
      <c r="V67" s="32" t="b">
        <v>1</v>
      </c>
      <c r="W67" s="4">
        <v>1</v>
      </c>
      <c r="X67" s="4">
        <v>-45</v>
      </c>
      <c r="Y67" s="4">
        <v>0.7</v>
      </c>
      <c r="Z67" s="4">
        <v>0.3</v>
      </c>
      <c r="AA67" s="29">
        <v>0.18</v>
      </c>
      <c r="AB67" s="30">
        <v>2</v>
      </c>
      <c r="AC67" s="4">
        <v>1</v>
      </c>
      <c r="AD67" s="4">
        <v>1</v>
      </c>
      <c r="AE67" s="4">
        <v>2</v>
      </c>
      <c r="AF67" s="4">
        <v>5</v>
      </c>
      <c r="AG67" s="4">
        <v>3</v>
      </c>
      <c r="AI67" s="34" t="s">
        <v>3540</v>
      </c>
    </row>
    <row r="68" spans="1:35" ht="16.5" x14ac:dyDescent="0.15">
      <c r="A68" s="4" t="s">
        <v>2662</v>
      </c>
      <c r="D68" s="4">
        <v>207</v>
      </c>
      <c r="E68" s="4" t="s">
        <v>3498</v>
      </c>
      <c r="F68" s="4" t="s">
        <v>3323</v>
      </c>
      <c r="G68" s="4" t="s">
        <v>3182</v>
      </c>
      <c r="H68" s="4" t="s">
        <v>3302</v>
      </c>
      <c r="I68" s="4">
        <v>8</v>
      </c>
      <c r="M68" s="4">
        <v>257</v>
      </c>
      <c r="N68" s="4">
        <v>307</v>
      </c>
      <c r="O68" s="4">
        <v>4</v>
      </c>
      <c r="P68" s="4" t="s">
        <v>3324</v>
      </c>
      <c r="R68" s="32" t="s">
        <v>3445</v>
      </c>
      <c r="S68" s="32" t="s">
        <v>3446</v>
      </c>
      <c r="T68" s="32">
        <v>0</v>
      </c>
      <c r="U68" s="32">
        <v>0</v>
      </c>
      <c r="V68" s="32" t="b">
        <v>1</v>
      </c>
      <c r="W68" s="4">
        <v>1</v>
      </c>
      <c r="X68" s="4">
        <v>-45</v>
      </c>
      <c r="Y68" s="4">
        <v>0.7</v>
      </c>
      <c r="Z68" s="4">
        <v>0.3</v>
      </c>
      <c r="AA68" s="29">
        <v>0.18</v>
      </c>
      <c r="AB68" s="30">
        <v>2</v>
      </c>
      <c r="AC68" s="4">
        <v>1</v>
      </c>
      <c r="AD68" s="4">
        <v>1</v>
      </c>
      <c r="AE68" s="4">
        <v>2</v>
      </c>
      <c r="AF68" s="4">
        <v>5</v>
      </c>
      <c r="AG68" s="4">
        <v>2</v>
      </c>
      <c r="AI68" s="34" t="s">
        <v>3541</v>
      </c>
    </row>
    <row r="69" spans="1:35" ht="16.5" x14ac:dyDescent="0.15">
      <c r="A69" s="4" t="s">
        <v>2662</v>
      </c>
      <c r="D69" s="4">
        <v>208</v>
      </c>
      <c r="E69" s="4" t="s">
        <v>3457</v>
      </c>
      <c r="F69" s="4" t="s">
        <v>3425</v>
      </c>
      <c r="G69" s="4" t="s">
        <v>3301</v>
      </c>
      <c r="H69" s="4" t="s">
        <v>3306</v>
      </c>
      <c r="I69" s="4">
        <v>2</v>
      </c>
      <c r="M69" s="4">
        <v>258</v>
      </c>
      <c r="N69" s="4">
        <v>308</v>
      </c>
      <c r="O69" s="4">
        <v>4</v>
      </c>
      <c r="P69" s="4" t="s">
        <v>3426</v>
      </c>
      <c r="R69" s="32" t="s">
        <v>3537</v>
      </c>
      <c r="S69" s="32" t="s">
        <v>3772</v>
      </c>
      <c r="T69" s="32">
        <v>0</v>
      </c>
      <c r="U69" s="32">
        <v>0</v>
      </c>
      <c r="V69" s="32" t="b">
        <v>1</v>
      </c>
      <c r="W69" s="4">
        <v>1</v>
      </c>
      <c r="X69" s="4">
        <v>-45</v>
      </c>
      <c r="Y69" s="4">
        <v>0.7</v>
      </c>
      <c r="Z69" s="4">
        <v>0.4</v>
      </c>
      <c r="AA69" s="29">
        <v>0.18</v>
      </c>
      <c r="AB69" s="30">
        <v>2</v>
      </c>
      <c r="AC69" s="4">
        <v>1</v>
      </c>
      <c r="AD69" s="4">
        <v>1</v>
      </c>
      <c r="AE69" s="4">
        <v>2</v>
      </c>
      <c r="AF69" s="4">
        <v>5</v>
      </c>
      <c r="AG69" s="4">
        <v>2</v>
      </c>
      <c r="AI69" s="34" t="s">
        <v>3780</v>
      </c>
    </row>
    <row r="70" spans="1:35" ht="16.5" x14ac:dyDescent="0.15">
      <c r="A70" s="4" t="s">
        <v>2662</v>
      </c>
      <c r="D70" s="4">
        <v>209</v>
      </c>
      <c r="E70" s="4" t="s">
        <v>3497</v>
      </c>
      <c r="F70" s="4" t="s">
        <v>3474</v>
      </c>
      <c r="G70" s="4" t="s">
        <v>3182</v>
      </c>
      <c r="H70" s="4" t="s">
        <v>3549</v>
      </c>
      <c r="I70" s="4">
        <v>9</v>
      </c>
      <c r="M70" s="4">
        <v>259</v>
      </c>
      <c r="N70" s="4">
        <v>309</v>
      </c>
      <c r="O70" s="4">
        <v>4</v>
      </c>
      <c r="P70" s="4" t="s">
        <v>3476</v>
      </c>
      <c r="R70" s="32" t="s">
        <v>3477</v>
      </c>
      <c r="S70" s="32" t="s">
        <v>3789</v>
      </c>
      <c r="T70" s="32">
        <v>0</v>
      </c>
      <c r="U70" s="32">
        <v>0</v>
      </c>
      <c r="V70" s="32" t="b">
        <v>1</v>
      </c>
      <c r="W70" s="4">
        <v>1</v>
      </c>
      <c r="X70" s="4">
        <v>-45</v>
      </c>
      <c r="Y70" s="4">
        <v>0.7</v>
      </c>
      <c r="Z70" s="4">
        <v>0.3</v>
      </c>
      <c r="AA70" s="29">
        <v>0.18</v>
      </c>
      <c r="AB70" s="30">
        <v>2</v>
      </c>
      <c r="AC70" s="4">
        <v>1</v>
      </c>
      <c r="AD70" s="4">
        <v>1</v>
      </c>
      <c r="AE70" s="4">
        <v>2</v>
      </c>
      <c r="AF70" s="4">
        <v>5</v>
      </c>
      <c r="AG70" s="4">
        <v>3</v>
      </c>
      <c r="AI70" s="34" t="s">
        <v>3542</v>
      </c>
    </row>
    <row r="71" spans="1:35" ht="16.5" x14ac:dyDescent="0.15">
      <c r="A71" s="4" t="s">
        <v>2662</v>
      </c>
      <c r="D71" s="4">
        <v>210</v>
      </c>
      <c r="E71" s="4" t="s">
        <v>3778</v>
      </c>
      <c r="F71" s="4" t="s">
        <v>3643</v>
      </c>
      <c r="G71" s="4" t="s">
        <v>3182</v>
      </c>
      <c r="H71" s="4" t="s">
        <v>3176</v>
      </c>
      <c r="I71" s="4">
        <v>10</v>
      </c>
      <c r="M71" s="4">
        <v>260</v>
      </c>
      <c r="N71" s="4">
        <v>310</v>
      </c>
      <c r="O71" s="4">
        <v>4</v>
      </c>
      <c r="P71" s="4" t="s">
        <v>3644</v>
      </c>
      <c r="R71" s="32" t="s">
        <v>3645</v>
      </c>
      <c r="S71" s="32" t="s">
        <v>3784</v>
      </c>
      <c r="T71" s="32">
        <v>0</v>
      </c>
      <c r="U71" s="32">
        <v>0</v>
      </c>
      <c r="V71" s="32" t="b">
        <v>1</v>
      </c>
      <c r="W71" s="4">
        <v>1</v>
      </c>
      <c r="X71" s="4">
        <v>-45</v>
      </c>
      <c r="Y71" s="4">
        <v>0.7</v>
      </c>
      <c r="Z71" s="4">
        <v>0.4</v>
      </c>
      <c r="AA71" s="29">
        <v>0.18</v>
      </c>
      <c r="AB71" s="30">
        <v>2</v>
      </c>
      <c r="AC71" s="4">
        <v>1</v>
      </c>
      <c r="AD71" s="4">
        <v>1</v>
      </c>
      <c r="AE71" s="4">
        <v>2</v>
      </c>
      <c r="AF71" s="4">
        <v>5</v>
      </c>
      <c r="AG71" s="4">
        <v>3</v>
      </c>
      <c r="AI71" s="34" t="s">
        <v>3779</v>
      </c>
    </row>
    <row r="72" spans="1:35" x14ac:dyDescent="0.15">
      <c r="W72" s="4"/>
      <c r="X72" s="4"/>
    </row>
    <row r="73" spans="1:35" x14ac:dyDescent="0.15">
      <c r="B73" s="4" t="s">
        <v>3598</v>
      </c>
      <c r="W73" s="4"/>
      <c r="X73" s="4"/>
    </row>
    <row r="74" spans="1:35" ht="16.5" x14ac:dyDescent="0.15">
      <c r="A74" s="4" t="s">
        <v>3298</v>
      </c>
      <c r="D74" s="4">
        <v>251</v>
      </c>
      <c r="E74" s="4" t="s">
        <v>3451</v>
      </c>
      <c r="F74" s="4" t="s">
        <v>3300</v>
      </c>
      <c r="G74" s="4" t="s">
        <v>3301</v>
      </c>
      <c r="H74" s="4" t="s">
        <v>3302</v>
      </c>
      <c r="M74" s="4">
        <v>251</v>
      </c>
      <c r="N74" s="4">
        <v>301</v>
      </c>
      <c r="O74" s="4">
        <v>2</v>
      </c>
      <c r="P74" s="4" t="s">
        <v>3303</v>
      </c>
      <c r="R74" s="32" t="s">
        <v>3304</v>
      </c>
      <c r="S74" s="32" t="s">
        <v>3602</v>
      </c>
      <c r="T74" s="32">
        <v>0</v>
      </c>
      <c r="U74" s="32">
        <v>0</v>
      </c>
      <c r="V74" s="32" t="b">
        <v>1</v>
      </c>
      <c r="W74" s="4">
        <v>0.8</v>
      </c>
      <c r="X74" s="4">
        <v>-45</v>
      </c>
      <c r="Y74" s="4">
        <v>1</v>
      </c>
      <c r="Z74" s="4">
        <v>0.8</v>
      </c>
      <c r="AA74" s="29">
        <v>0.18</v>
      </c>
      <c r="AB74" s="30">
        <v>2</v>
      </c>
      <c r="AC74" s="4">
        <v>1</v>
      </c>
      <c r="AD74" s="4">
        <v>1</v>
      </c>
      <c r="AE74" s="4">
        <v>2</v>
      </c>
      <c r="AF74" s="4">
        <v>5</v>
      </c>
      <c r="AG74" s="4">
        <v>3</v>
      </c>
      <c r="AI74" s="34" t="s">
        <v>3544</v>
      </c>
    </row>
    <row r="75" spans="1:35" ht="16.5" x14ac:dyDescent="0.15">
      <c r="A75" s="4" t="s">
        <v>2662</v>
      </c>
      <c r="D75" s="4">
        <v>252</v>
      </c>
      <c r="E75" s="4" t="s">
        <v>3452</v>
      </c>
      <c r="F75" s="4" t="s">
        <v>3179</v>
      </c>
      <c r="G75" s="4" t="s">
        <v>3550</v>
      </c>
      <c r="H75" s="4" t="s">
        <v>3306</v>
      </c>
      <c r="M75" s="4">
        <v>252</v>
      </c>
      <c r="N75" s="4">
        <v>302</v>
      </c>
      <c r="O75" s="4">
        <v>2</v>
      </c>
      <c r="P75" s="4" t="s">
        <v>3307</v>
      </c>
      <c r="R75" s="32" t="s">
        <v>3308</v>
      </c>
      <c r="S75" s="32" t="s">
        <v>3603</v>
      </c>
      <c r="T75" s="32">
        <v>0</v>
      </c>
      <c r="U75" s="32">
        <v>0</v>
      </c>
      <c r="V75" s="32" t="b">
        <v>1</v>
      </c>
      <c r="W75" s="4">
        <v>1</v>
      </c>
      <c r="X75" s="4">
        <v>-45</v>
      </c>
      <c r="Y75" s="4">
        <v>1</v>
      </c>
      <c r="Z75" s="4">
        <v>0.5</v>
      </c>
      <c r="AA75" s="29">
        <v>0.18</v>
      </c>
      <c r="AB75" s="30">
        <v>2</v>
      </c>
      <c r="AC75" s="4">
        <v>1</v>
      </c>
      <c r="AD75" s="4">
        <v>1</v>
      </c>
      <c r="AE75" s="4">
        <v>2</v>
      </c>
      <c r="AF75" s="4">
        <v>5</v>
      </c>
      <c r="AG75" s="4">
        <v>3</v>
      </c>
      <c r="AI75" s="34" t="s">
        <v>3782</v>
      </c>
    </row>
    <row r="76" spans="1:35" ht="16.5" x14ac:dyDescent="0.15">
      <c r="A76" s="4" t="s">
        <v>2662</v>
      </c>
      <c r="D76" s="4">
        <v>253</v>
      </c>
      <c r="E76" s="4" t="s">
        <v>3453</v>
      </c>
      <c r="F76" s="4" t="s">
        <v>3180</v>
      </c>
      <c r="G76" s="4" t="s">
        <v>3550</v>
      </c>
      <c r="H76" s="4" t="s">
        <v>3310</v>
      </c>
      <c r="M76" s="4">
        <v>253</v>
      </c>
      <c r="N76" s="4">
        <v>303</v>
      </c>
      <c r="O76" s="4">
        <v>2</v>
      </c>
      <c r="P76" s="4" t="s">
        <v>3311</v>
      </c>
      <c r="R76" s="32" t="s">
        <v>3312</v>
      </c>
      <c r="S76" s="32" t="s">
        <v>3604</v>
      </c>
      <c r="T76" s="32">
        <v>0</v>
      </c>
      <c r="U76" s="32">
        <v>0</v>
      </c>
      <c r="V76" s="32" t="b">
        <v>1</v>
      </c>
      <c r="W76" s="4">
        <v>1.2</v>
      </c>
      <c r="X76" s="4">
        <v>-45</v>
      </c>
      <c r="Y76" s="4">
        <v>1</v>
      </c>
      <c r="Z76" s="4">
        <v>0.5</v>
      </c>
      <c r="AA76" s="29">
        <v>0.18</v>
      </c>
      <c r="AB76" s="30">
        <v>2</v>
      </c>
      <c r="AC76" s="4">
        <v>1</v>
      </c>
      <c r="AD76" s="4">
        <v>1</v>
      </c>
      <c r="AE76" s="4">
        <v>2</v>
      </c>
      <c r="AF76" s="4">
        <v>5</v>
      </c>
      <c r="AG76" s="4">
        <v>3</v>
      </c>
      <c r="AI76" s="34" t="s">
        <v>3545</v>
      </c>
    </row>
    <row r="77" spans="1:35" ht="16.5" x14ac:dyDescent="0.15">
      <c r="A77" s="4" t="s">
        <v>2662</v>
      </c>
      <c r="D77" s="4">
        <v>254</v>
      </c>
      <c r="E77" s="4" t="s">
        <v>3454</v>
      </c>
      <c r="F77" s="4" t="s">
        <v>3251</v>
      </c>
      <c r="G77" s="4" t="s">
        <v>3182</v>
      </c>
      <c r="H77" s="4" t="s">
        <v>3176</v>
      </c>
      <c r="M77" s="4">
        <v>204</v>
      </c>
      <c r="N77" s="4">
        <v>304</v>
      </c>
      <c r="O77" s="4">
        <v>2</v>
      </c>
      <c r="P77" s="4" t="s">
        <v>3218</v>
      </c>
      <c r="R77" s="32" t="s">
        <v>3314</v>
      </c>
      <c r="S77" s="32" t="s">
        <v>3605</v>
      </c>
      <c r="T77" s="32">
        <v>0</v>
      </c>
      <c r="U77" s="32">
        <v>0</v>
      </c>
      <c r="V77" s="32" t="b">
        <v>1</v>
      </c>
      <c r="W77" s="4">
        <v>1</v>
      </c>
      <c r="X77" s="4">
        <v>-45</v>
      </c>
      <c r="Y77" s="4">
        <v>1</v>
      </c>
      <c r="Z77" s="4">
        <v>0.5</v>
      </c>
      <c r="AA77" s="29">
        <v>0.18</v>
      </c>
      <c r="AB77" s="30">
        <v>2</v>
      </c>
      <c r="AC77" s="4">
        <v>1</v>
      </c>
      <c r="AD77" s="4">
        <v>1</v>
      </c>
      <c r="AE77" s="4">
        <v>2</v>
      </c>
      <c r="AF77" s="4">
        <v>5</v>
      </c>
      <c r="AG77" s="4">
        <v>3</v>
      </c>
      <c r="AI77" s="34" t="s">
        <v>3546</v>
      </c>
    </row>
    <row r="78" spans="1:35" ht="16.5" x14ac:dyDescent="0.15">
      <c r="A78" s="4" t="s">
        <v>2662</v>
      </c>
      <c r="D78" s="4">
        <v>255</v>
      </c>
      <c r="E78" s="4" t="s">
        <v>3455</v>
      </c>
      <c r="F78" s="4" t="s">
        <v>3252</v>
      </c>
      <c r="G78" s="4" t="s">
        <v>3182</v>
      </c>
      <c r="H78" s="4" t="s">
        <v>3500</v>
      </c>
      <c r="M78" s="4">
        <v>255</v>
      </c>
      <c r="N78" s="4">
        <v>305</v>
      </c>
      <c r="O78" s="4">
        <v>2</v>
      </c>
      <c r="P78" s="4" t="s">
        <v>3219</v>
      </c>
      <c r="R78" s="32" t="s">
        <v>3316</v>
      </c>
      <c r="S78" s="32" t="s">
        <v>3606</v>
      </c>
      <c r="T78" s="32">
        <v>0</v>
      </c>
      <c r="U78" s="32">
        <v>0</v>
      </c>
      <c r="V78" s="32" t="b">
        <v>1</v>
      </c>
      <c r="W78" s="4">
        <v>1</v>
      </c>
      <c r="X78" s="4">
        <v>-45</v>
      </c>
      <c r="Y78" s="4">
        <v>1</v>
      </c>
      <c r="Z78" s="4">
        <v>0.5</v>
      </c>
      <c r="AA78" s="29">
        <v>0.18</v>
      </c>
      <c r="AB78" s="30">
        <v>2</v>
      </c>
      <c r="AC78" s="4">
        <v>1</v>
      </c>
      <c r="AD78" s="4">
        <v>1</v>
      </c>
      <c r="AE78" s="4">
        <v>2</v>
      </c>
      <c r="AF78" s="4">
        <v>5</v>
      </c>
      <c r="AG78" s="4">
        <v>2</v>
      </c>
      <c r="AI78" s="34" t="s">
        <v>3781</v>
      </c>
    </row>
    <row r="79" spans="1:35" ht="16.5" x14ac:dyDescent="0.15">
      <c r="A79" s="4" t="s">
        <v>3318</v>
      </c>
      <c r="D79" s="4">
        <v>256</v>
      </c>
      <c r="E79" s="4" t="s">
        <v>3456</v>
      </c>
      <c r="F79" s="4" t="s">
        <v>3319</v>
      </c>
      <c r="G79" s="4" t="s">
        <v>3550</v>
      </c>
      <c r="H79" s="4" t="s">
        <v>3549</v>
      </c>
      <c r="M79" s="4">
        <v>256</v>
      </c>
      <c r="N79" s="4">
        <v>306</v>
      </c>
      <c r="O79" s="4">
        <v>2</v>
      </c>
      <c r="P79" s="4" t="s">
        <v>3320</v>
      </c>
      <c r="R79" s="32" t="s">
        <v>3321</v>
      </c>
      <c r="S79" s="32" t="s">
        <v>3607</v>
      </c>
      <c r="T79" s="32">
        <v>0</v>
      </c>
      <c r="U79" s="32">
        <v>0</v>
      </c>
      <c r="V79" s="32" t="b">
        <v>1</v>
      </c>
      <c r="W79" s="4">
        <v>1</v>
      </c>
      <c r="X79" s="4">
        <v>-45</v>
      </c>
      <c r="Y79" s="4">
        <v>1</v>
      </c>
      <c r="Z79" s="4">
        <v>0.5</v>
      </c>
      <c r="AA79" s="29">
        <v>0.18</v>
      </c>
      <c r="AB79" s="30">
        <v>2</v>
      </c>
      <c r="AC79" s="4">
        <v>1</v>
      </c>
      <c r="AD79" s="4">
        <v>1</v>
      </c>
      <c r="AE79" s="4">
        <v>2</v>
      </c>
      <c r="AF79" s="4">
        <v>5</v>
      </c>
      <c r="AG79" s="4">
        <v>3</v>
      </c>
      <c r="AI79" s="34" t="s">
        <v>3540</v>
      </c>
    </row>
    <row r="80" spans="1:35" ht="16.5" x14ac:dyDescent="0.15">
      <c r="A80" s="4" t="s">
        <v>2662</v>
      </c>
      <c r="D80" s="4">
        <v>257</v>
      </c>
      <c r="E80" s="4" t="s">
        <v>3498</v>
      </c>
      <c r="F80" s="4" t="s">
        <v>3323</v>
      </c>
      <c r="G80" s="4" t="s">
        <v>3182</v>
      </c>
      <c r="H80" s="4" t="s">
        <v>3302</v>
      </c>
      <c r="M80" s="4">
        <v>257</v>
      </c>
      <c r="N80" s="4">
        <v>307</v>
      </c>
      <c r="O80" s="4">
        <v>2</v>
      </c>
      <c r="P80" s="4" t="s">
        <v>3324</v>
      </c>
      <c r="R80" s="32" t="s">
        <v>3445</v>
      </c>
      <c r="S80" s="32" t="s">
        <v>3771</v>
      </c>
      <c r="T80" s="32">
        <v>0</v>
      </c>
      <c r="U80" s="32">
        <v>0</v>
      </c>
      <c r="V80" s="32" t="b">
        <v>1</v>
      </c>
      <c r="W80" s="4">
        <v>1</v>
      </c>
      <c r="X80" s="4">
        <v>-45</v>
      </c>
      <c r="Y80" s="4">
        <v>1</v>
      </c>
      <c r="Z80" s="4">
        <v>0.5</v>
      </c>
      <c r="AA80" s="29">
        <v>0.18</v>
      </c>
      <c r="AB80" s="30">
        <v>2</v>
      </c>
      <c r="AC80" s="4">
        <v>1</v>
      </c>
      <c r="AD80" s="4">
        <v>1</v>
      </c>
      <c r="AE80" s="4">
        <v>2</v>
      </c>
      <c r="AF80" s="4">
        <v>5</v>
      </c>
      <c r="AG80" s="4">
        <v>2</v>
      </c>
      <c r="AI80" s="34" t="s">
        <v>3541</v>
      </c>
    </row>
    <row r="81" spans="1:35" ht="16.5" x14ac:dyDescent="0.15">
      <c r="A81" s="4" t="s">
        <v>2662</v>
      </c>
      <c r="D81" s="4">
        <v>258</v>
      </c>
      <c r="E81" s="4" t="s">
        <v>3457</v>
      </c>
      <c r="F81" s="4" t="s">
        <v>3425</v>
      </c>
      <c r="G81" s="4" t="s">
        <v>3301</v>
      </c>
      <c r="H81" s="4" t="s">
        <v>3306</v>
      </c>
      <c r="M81" s="4">
        <v>258</v>
      </c>
      <c r="N81" s="4">
        <v>308</v>
      </c>
      <c r="O81" s="4">
        <v>2</v>
      </c>
      <c r="P81" s="4" t="s">
        <v>3426</v>
      </c>
      <c r="R81" s="32" t="s">
        <v>3601</v>
      </c>
      <c r="S81" s="32" t="s">
        <v>3769</v>
      </c>
      <c r="T81" s="32">
        <v>0</v>
      </c>
      <c r="U81" s="32">
        <v>0</v>
      </c>
      <c r="V81" s="32" t="b">
        <v>1</v>
      </c>
      <c r="W81" s="4">
        <v>1</v>
      </c>
      <c r="X81" s="4">
        <v>-45</v>
      </c>
      <c r="Y81" s="4">
        <v>1</v>
      </c>
      <c r="Z81" s="4">
        <v>0.8</v>
      </c>
      <c r="AA81" s="29">
        <v>0.18</v>
      </c>
      <c r="AB81" s="30">
        <v>2</v>
      </c>
      <c r="AC81" s="4">
        <v>1</v>
      </c>
      <c r="AD81" s="4">
        <v>1</v>
      </c>
      <c r="AE81" s="4">
        <v>2</v>
      </c>
      <c r="AF81" s="4">
        <v>5</v>
      </c>
      <c r="AG81" s="4">
        <v>2</v>
      </c>
      <c r="AI81" s="34" t="s">
        <v>3780</v>
      </c>
    </row>
    <row r="82" spans="1:35" ht="16.5" x14ac:dyDescent="0.15">
      <c r="A82" s="4" t="s">
        <v>2662</v>
      </c>
      <c r="D82" s="4">
        <v>259</v>
      </c>
      <c r="E82" s="4" t="s">
        <v>3497</v>
      </c>
      <c r="F82" s="4" t="s">
        <v>3474</v>
      </c>
      <c r="G82" s="4" t="s">
        <v>3182</v>
      </c>
      <c r="H82" s="4" t="s">
        <v>3549</v>
      </c>
      <c r="M82" s="4">
        <v>259</v>
      </c>
      <c r="N82" s="4">
        <v>309</v>
      </c>
      <c r="O82" s="4">
        <v>2</v>
      </c>
      <c r="P82" s="4" t="s">
        <v>3476</v>
      </c>
      <c r="R82" s="32" t="s">
        <v>3788</v>
      </c>
      <c r="S82" s="32" t="s">
        <v>9956</v>
      </c>
      <c r="T82" s="32">
        <v>0</v>
      </c>
      <c r="U82" s="32">
        <v>0</v>
      </c>
      <c r="V82" s="32" t="b">
        <v>1</v>
      </c>
      <c r="W82" s="4">
        <v>1</v>
      </c>
      <c r="X82" s="4">
        <v>-45</v>
      </c>
      <c r="Y82" s="4">
        <v>1</v>
      </c>
      <c r="Z82" s="4">
        <v>0.5</v>
      </c>
      <c r="AA82" s="29">
        <v>0.18</v>
      </c>
      <c r="AB82" s="30">
        <v>2</v>
      </c>
      <c r="AC82" s="4">
        <v>1</v>
      </c>
      <c r="AD82" s="4">
        <v>1</v>
      </c>
      <c r="AE82" s="4">
        <v>2</v>
      </c>
      <c r="AF82" s="4">
        <v>5</v>
      </c>
      <c r="AG82" s="4">
        <v>3</v>
      </c>
      <c r="AI82" s="34" t="s">
        <v>3542</v>
      </c>
    </row>
    <row r="83" spans="1:35" ht="16.5" x14ac:dyDescent="0.15">
      <c r="A83" s="4" t="s">
        <v>2662</v>
      </c>
      <c r="D83" s="4">
        <v>260</v>
      </c>
      <c r="E83" s="4" t="s">
        <v>3642</v>
      </c>
      <c r="F83" s="4" t="s">
        <v>3643</v>
      </c>
      <c r="G83" s="4" t="s">
        <v>3182</v>
      </c>
      <c r="H83" s="4" t="s">
        <v>3176</v>
      </c>
      <c r="M83" s="4">
        <v>260</v>
      </c>
      <c r="N83" s="4">
        <v>310</v>
      </c>
      <c r="O83" s="4">
        <v>2</v>
      </c>
      <c r="P83" s="4" t="s">
        <v>3644</v>
      </c>
      <c r="R83" s="32" t="s">
        <v>3768</v>
      </c>
      <c r="S83" s="32" t="s">
        <v>3770</v>
      </c>
      <c r="T83" s="32">
        <v>0</v>
      </c>
      <c r="U83" s="32">
        <v>0</v>
      </c>
      <c r="V83" s="32" t="b">
        <v>1</v>
      </c>
      <c r="W83" s="4">
        <v>1</v>
      </c>
      <c r="X83" s="4">
        <v>-45</v>
      </c>
      <c r="Y83" s="4">
        <v>1</v>
      </c>
      <c r="Z83" s="4">
        <v>0.8</v>
      </c>
      <c r="AA83" s="29">
        <v>0.18</v>
      </c>
      <c r="AB83" s="30">
        <v>2</v>
      </c>
      <c r="AC83" s="4">
        <v>1</v>
      </c>
      <c r="AD83" s="4">
        <v>1</v>
      </c>
      <c r="AE83" s="4">
        <v>2</v>
      </c>
      <c r="AF83" s="4">
        <v>5</v>
      </c>
      <c r="AG83" s="4">
        <v>3</v>
      </c>
      <c r="AI83" s="34" t="s">
        <v>3779</v>
      </c>
    </row>
    <row r="84" spans="1:35" ht="16.5" x14ac:dyDescent="0.15">
      <c r="W84" s="4"/>
      <c r="X84" s="4"/>
      <c r="AI84" s="34"/>
    </row>
    <row r="85" spans="1:35" ht="16.5" x14ac:dyDescent="0.15">
      <c r="W85" s="4"/>
      <c r="X85" s="4"/>
      <c r="AI85" s="34"/>
    </row>
    <row r="86" spans="1:35" x14ac:dyDescent="0.15">
      <c r="A86" s="4" t="s">
        <v>2663</v>
      </c>
      <c r="C86" s="4" t="s">
        <v>3459</v>
      </c>
      <c r="D86" s="4">
        <v>301</v>
      </c>
      <c r="E86" s="4" t="s">
        <v>3197</v>
      </c>
      <c r="F86" s="4" t="s">
        <v>3178</v>
      </c>
      <c r="H86" s="4" t="s">
        <v>3132</v>
      </c>
      <c r="M86" s="4">
        <v>301</v>
      </c>
      <c r="N86" s="4">
        <v>100</v>
      </c>
      <c r="O86" s="4">
        <v>6</v>
      </c>
      <c r="P86" s="4" t="s">
        <v>3150</v>
      </c>
      <c r="R86" s="32" t="s">
        <v>3304</v>
      </c>
      <c r="S86" s="32" t="s">
        <v>3492</v>
      </c>
      <c r="T86" s="32">
        <v>0</v>
      </c>
      <c r="U86" s="32">
        <v>0</v>
      </c>
      <c r="V86" s="32" t="b">
        <v>1</v>
      </c>
      <c r="W86" s="4">
        <v>1</v>
      </c>
      <c r="X86" s="4">
        <v>1</v>
      </c>
      <c r="Y86" s="4">
        <v>1</v>
      </c>
      <c r="Z86" s="4">
        <v>0.8</v>
      </c>
      <c r="AA86" s="29">
        <v>0.18</v>
      </c>
      <c r="AB86" s="30">
        <v>2</v>
      </c>
      <c r="AC86" s="4">
        <v>1</v>
      </c>
      <c r="AD86" s="4">
        <v>1</v>
      </c>
      <c r="AE86" s="4">
        <v>1</v>
      </c>
      <c r="AF86" s="4">
        <v>10</v>
      </c>
      <c r="AG86" s="4">
        <v>2</v>
      </c>
    </row>
    <row r="87" spans="1:35" x14ac:dyDescent="0.15">
      <c r="A87" s="4" t="s">
        <v>41</v>
      </c>
      <c r="D87" s="4">
        <v>302</v>
      </c>
      <c r="E87" s="4" t="s">
        <v>3452</v>
      </c>
      <c r="F87" s="4" t="s">
        <v>3179</v>
      </c>
      <c r="G87" s="4" t="s">
        <v>3184</v>
      </c>
      <c r="H87" s="4" t="s">
        <v>3569</v>
      </c>
      <c r="M87" s="4">
        <v>302</v>
      </c>
      <c r="N87" s="4">
        <v>100</v>
      </c>
      <c r="O87" s="4">
        <v>6</v>
      </c>
      <c r="P87" s="4" t="s">
        <v>3151</v>
      </c>
      <c r="R87" s="32" t="s">
        <v>3570</v>
      </c>
      <c r="S87" s="32" t="s">
        <v>2882</v>
      </c>
      <c r="T87" s="32">
        <v>0</v>
      </c>
      <c r="U87" s="32">
        <v>0</v>
      </c>
      <c r="V87" s="32" t="b">
        <v>1</v>
      </c>
      <c r="W87" s="4">
        <v>1</v>
      </c>
      <c r="X87" s="4">
        <v>-45</v>
      </c>
      <c r="Y87" s="4">
        <v>0.7</v>
      </c>
      <c r="Z87" s="4">
        <v>0.2</v>
      </c>
      <c r="AA87" s="29">
        <v>0.18</v>
      </c>
      <c r="AB87" s="30">
        <v>2</v>
      </c>
      <c r="AC87" s="4">
        <v>1</v>
      </c>
      <c r="AD87" s="4">
        <v>1</v>
      </c>
      <c r="AE87" s="4">
        <v>2</v>
      </c>
      <c r="AF87" s="4">
        <v>5</v>
      </c>
      <c r="AG87" s="4">
        <v>3</v>
      </c>
      <c r="AI87" s="4" t="s">
        <v>3571</v>
      </c>
    </row>
    <row r="88" spans="1:35" x14ac:dyDescent="0.15">
      <c r="A88" s="4" t="s">
        <v>41</v>
      </c>
      <c r="D88" s="4">
        <v>303</v>
      </c>
      <c r="E88" s="4" t="s">
        <v>3453</v>
      </c>
      <c r="F88" s="4" t="s">
        <v>3180</v>
      </c>
      <c r="G88" s="4" t="s">
        <v>3184</v>
      </c>
      <c r="H88" s="4" t="s">
        <v>3572</v>
      </c>
      <c r="M88" s="4">
        <v>303</v>
      </c>
      <c r="N88" s="4">
        <v>100</v>
      </c>
      <c r="O88" s="4">
        <v>6</v>
      </c>
      <c r="P88" s="4" t="s">
        <v>3152</v>
      </c>
      <c r="R88" s="32" t="s">
        <v>3573</v>
      </c>
      <c r="S88" s="32" t="s">
        <v>2882</v>
      </c>
      <c r="T88" s="32">
        <v>0</v>
      </c>
      <c r="U88" s="32">
        <v>0</v>
      </c>
      <c r="V88" s="32" t="b">
        <v>1</v>
      </c>
      <c r="W88" s="4">
        <v>1.2</v>
      </c>
      <c r="X88" s="4">
        <v>-45</v>
      </c>
      <c r="Y88" s="4">
        <v>0.7</v>
      </c>
      <c r="Z88" s="4">
        <v>0.2</v>
      </c>
      <c r="AA88" s="29">
        <v>0.18</v>
      </c>
      <c r="AB88" s="30">
        <v>2</v>
      </c>
      <c r="AC88" s="4">
        <v>1</v>
      </c>
      <c r="AD88" s="4">
        <v>1</v>
      </c>
      <c r="AE88" s="4">
        <v>2</v>
      </c>
      <c r="AF88" s="4">
        <v>5</v>
      </c>
      <c r="AG88" s="4">
        <v>3</v>
      </c>
      <c r="AI88" s="4" t="s">
        <v>3574</v>
      </c>
    </row>
    <row r="89" spans="1:35" x14ac:dyDescent="0.15">
      <c r="A89" s="4" t="s">
        <v>41</v>
      </c>
      <c r="D89" s="4">
        <v>304</v>
      </c>
      <c r="E89" s="4" t="s">
        <v>3454</v>
      </c>
      <c r="F89" s="4" t="s">
        <v>3251</v>
      </c>
      <c r="G89" s="4" t="s">
        <v>3182</v>
      </c>
      <c r="H89" s="4" t="s">
        <v>3575</v>
      </c>
      <c r="M89" s="4">
        <v>304</v>
      </c>
      <c r="N89" s="4">
        <v>100</v>
      </c>
      <c r="O89" s="4">
        <v>6</v>
      </c>
      <c r="P89" s="4" t="s">
        <v>3216</v>
      </c>
      <c r="R89" s="32" t="s">
        <v>3576</v>
      </c>
      <c r="S89" s="32" t="s">
        <v>2882</v>
      </c>
      <c r="T89" s="32">
        <v>0</v>
      </c>
      <c r="U89" s="32">
        <v>0</v>
      </c>
      <c r="V89" s="32" t="b">
        <v>1</v>
      </c>
      <c r="W89" s="4">
        <v>1</v>
      </c>
      <c r="X89" s="4">
        <v>-45</v>
      </c>
      <c r="Y89" s="4">
        <v>0.7</v>
      </c>
      <c r="Z89" s="4">
        <v>0.2</v>
      </c>
      <c r="AA89" s="29">
        <v>0.18</v>
      </c>
      <c r="AB89" s="30">
        <v>2</v>
      </c>
      <c r="AC89" s="4">
        <v>1</v>
      </c>
      <c r="AD89" s="4">
        <v>1</v>
      </c>
      <c r="AE89" s="4">
        <v>2</v>
      </c>
      <c r="AF89" s="4">
        <v>5</v>
      </c>
      <c r="AG89" s="4">
        <v>3</v>
      </c>
      <c r="AI89" s="4" t="s">
        <v>3577</v>
      </c>
    </row>
    <row r="90" spans="1:35" x14ac:dyDescent="0.15">
      <c r="A90" s="4" t="s">
        <v>41</v>
      </c>
      <c r="D90" s="4">
        <v>305</v>
      </c>
      <c r="E90" s="4" t="s">
        <v>3455</v>
      </c>
      <c r="F90" s="4" t="s">
        <v>3252</v>
      </c>
      <c r="G90" s="4" t="s">
        <v>3182</v>
      </c>
      <c r="H90" s="4" t="s">
        <v>3572</v>
      </c>
      <c r="M90" s="4">
        <v>305</v>
      </c>
      <c r="N90" s="4">
        <v>100</v>
      </c>
      <c r="O90" s="4">
        <v>6</v>
      </c>
      <c r="P90" s="4" t="s">
        <v>3217</v>
      </c>
      <c r="R90" s="32" t="s">
        <v>3578</v>
      </c>
      <c r="S90" s="32" t="s">
        <v>2882</v>
      </c>
      <c r="T90" s="32">
        <v>0</v>
      </c>
      <c r="U90" s="32">
        <v>0</v>
      </c>
      <c r="V90" s="32" t="b">
        <v>1</v>
      </c>
      <c r="W90" s="4">
        <v>1</v>
      </c>
      <c r="X90" s="4">
        <v>-45</v>
      </c>
      <c r="Y90" s="4">
        <v>0.7</v>
      </c>
      <c r="Z90" s="4">
        <v>0.2</v>
      </c>
      <c r="AA90" s="29">
        <v>0.18</v>
      </c>
      <c r="AB90" s="30">
        <v>2</v>
      </c>
      <c r="AC90" s="4">
        <v>1</v>
      </c>
      <c r="AD90" s="4">
        <v>1</v>
      </c>
      <c r="AE90" s="4">
        <v>2</v>
      </c>
      <c r="AF90" s="4">
        <v>5</v>
      </c>
      <c r="AG90" s="4">
        <v>2</v>
      </c>
      <c r="AI90" s="4" t="s">
        <v>3579</v>
      </c>
    </row>
    <row r="91" spans="1:35" x14ac:dyDescent="0.15">
      <c r="A91" s="4" t="s">
        <v>41</v>
      </c>
      <c r="D91" s="4">
        <v>306</v>
      </c>
      <c r="E91" s="4" t="s">
        <v>3456</v>
      </c>
      <c r="F91" s="4" t="s">
        <v>3319</v>
      </c>
      <c r="G91" s="4" t="s">
        <v>3184</v>
      </c>
      <c r="H91" s="4" t="s">
        <v>3569</v>
      </c>
      <c r="M91" s="4">
        <v>306</v>
      </c>
      <c r="N91" s="4">
        <v>100</v>
      </c>
      <c r="O91" s="4">
        <v>6</v>
      </c>
      <c r="P91" s="4" t="s">
        <v>3326</v>
      </c>
      <c r="R91" s="32" t="s">
        <v>3580</v>
      </c>
      <c r="S91" s="32" t="s">
        <v>2882</v>
      </c>
      <c r="T91" s="32">
        <v>0</v>
      </c>
      <c r="U91" s="32">
        <v>0</v>
      </c>
      <c r="V91" s="32" t="b">
        <v>1</v>
      </c>
      <c r="W91" s="4">
        <v>1</v>
      </c>
      <c r="X91" s="4">
        <v>-45</v>
      </c>
      <c r="Y91" s="4">
        <v>0.7</v>
      </c>
      <c r="Z91" s="4">
        <v>0.2</v>
      </c>
      <c r="AA91" s="29">
        <v>0.18</v>
      </c>
      <c r="AB91" s="30">
        <v>2</v>
      </c>
      <c r="AC91" s="4">
        <v>1</v>
      </c>
      <c r="AD91" s="4">
        <v>1</v>
      </c>
      <c r="AE91" s="4">
        <v>2</v>
      </c>
      <c r="AF91" s="4">
        <v>5</v>
      </c>
      <c r="AG91" s="4">
        <v>3</v>
      </c>
      <c r="AI91" s="4" t="s">
        <v>3581</v>
      </c>
    </row>
    <row r="92" spans="1:35" x14ac:dyDescent="0.15">
      <c r="A92" s="4" t="s">
        <v>41</v>
      </c>
      <c r="D92" s="4">
        <v>307</v>
      </c>
      <c r="E92" s="4" t="s">
        <v>3582</v>
      </c>
      <c r="F92" s="4" t="s">
        <v>3323</v>
      </c>
      <c r="G92" s="4" t="s">
        <v>3182</v>
      </c>
      <c r="H92" s="4" t="s">
        <v>3572</v>
      </c>
      <c r="M92" s="4">
        <v>307</v>
      </c>
      <c r="N92" s="4">
        <v>100</v>
      </c>
      <c r="O92" s="4">
        <v>6</v>
      </c>
      <c r="P92" s="4" t="s">
        <v>3328</v>
      </c>
      <c r="R92" s="32" t="s">
        <v>3583</v>
      </c>
      <c r="S92" s="32" t="s">
        <v>2882</v>
      </c>
      <c r="T92" s="32">
        <v>0</v>
      </c>
      <c r="U92" s="32">
        <v>0</v>
      </c>
      <c r="V92" s="32" t="b">
        <v>1</v>
      </c>
      <c r="W92" s="4">
        <v>1</v>
      </c>
      <c r="X92" s="4">
        <v>-45</v>
      </c>
      <c r="Y92" s="4">
        <v>0.7</v>
      </c>
      <c r="Z92" s="4">
        <v>0.2</v>
      </c>
      <c r="AA92" s="29">
        <v>0.18</v>
      </c>
      <c r="AB92" s="30">
        <v>2</v>
      </c>
      <c r="AC92" s="4">
        <v>1</v>
      </c>
      <c r="AD92" s="4">
        <v>1</v>
      </c>
      <c r="AE92" s="4">
        <v>2</v>
      </c>
      <c r="AF92" s="4">
        <v>5</v>
      </c>
      <c r="AG92" s="4">
        <v>2</v>
      </c>
      <c r="AI92" s="4" t="s">
        <v>3584</v>
      </c>
    </row>
    <row r="93" spans="1:35" x14ac:dyDescent="0.15">
      <c r="A93" s="4" t="s">
        <v>41</v>
      </c>
      <c r="D93" s="4">
        <v>308</v>
      </c>
      <c r="E93" s="4" t="s">
        <v>3457</v>
      </c>
      <c r="F93" s="4" t="s">
        <v>3499</v>
      </c>
      <c r="G93" s="4" t="s">
        <v>3585</v>
      </c>
      <c r="H93" s="4" t="s">
        <v>3572</v>
      </c>
      <c r="M93" s="4">
        <v>308</v>
      </c>
      <c r="N93" s="4">
        <v>100</v>
      </c>
      <c r="O93" s="4">
        <v>6</v>
      </c>
      <c r="P93" s="4" t="s">
        <v>3424</v>
      </c>
      <c r="R93" s="32" t="s">
        <v>3586</v>
      </c>
      <c r="S93" s="32" t="s">
        <v>2882</v>
      </c>
      <c r="T93" s="32">
        <v>0</v>
      </c>
      <c r="U93" s="32">
        <v>0</v>
      </c>
      <c r="V93" s="32" t="b">
        <v>1</v>
      </c>
      <c r="W93" s="4">
        <v>1</v>
      </c>
      <c r="X93" s="4">
        <v>-45</v>
      </c>
      <c r="Y93" s="4">
        <v>0.7</v>
      </c>
      <c r="Z93" s="4">
        <v>0.2</v>
      </c>
      <c r="AA93" s="29">
        <v>0.18</v>
      </c>
      <c r="AB93" s="30">
        <v>2</v>
      </c>
      <c r="AC93" s="4">
        <v>1</v>
      </c>
      <c r="AD93" s="4">
        <v>1</v>
      </c>
      <c r="AE93" s="4">
        <v>2</v>
      </c>
      <c r="AF93" s="4">
        <v>5</v>
      </c>
      <c r="AG93" s="4">
        <v>2</v>
      </c>
      <c r="AI93" s="4" t="s">
        <v>3587</v>
      </c>
    </row>
    <row r="94" spans="1:35" x14ac:dyDescent="0.15">
      <c r="A94" s="4" t="s">
        <v>41</v>
      </c>
      <c r="D94" s="4">
        <v>309</v>
      </c>
      <c r="E94" s="4" t="s">
        <v>3458</v>
      </c>
      <c r="F94" s="4" t="s">
        <v>3474</v>
      </c>
      <c r="G94" s="4" t="s">
        <v>3182</v>
      </c>
      <c r="H94" s="4" t="s">
        <v>3569</v>
      </c>
      <c r="M94" s="4">
        <v>309</v>
      </c>
      <c r="N94" s="4">
        <v>100</v>
      </c>
      <c r="O94" s="4">
        <v>6</v>
      </c>
      <c r="P94" s="4" t="s">
        <v>3475</v>
      </c>
      <c r="R94" s="32" t="s">
        <v>3588</v>
      </c>
      <c r="S94" s="32" t="s">
        <v>2882</v>
      </c>
      <c r="T94" s="32">
        <v>0</v>
      </c>
      <c r="U94" s="32">
        <v>0</v>
      </c>
      <c r="V94" s="32" t="b">
        <v>1</v>
      </c>
      <c r="W94" s="4">
        <v>1</v>
      </c>
      <c r="X94" s="4">
        <v>-45</v>
      </c>
      <c r="Y94" s="4">
        <v>0.7</v>
      </c>
      <c r="Z94" s="4">
        <v>0.2</v>
      </c>
      <c r="AA94" s="29">
        <v>0.18</v>
      </c>
      <c r="AB94" s="30">
        <v>2</v>
      </c>
      <c r="AC94" s="4">
        <v>1</v>
      </c>
      <c r="AD94" s="4">
        <v>1</v>
      </c>
      <c r="AE94" s="4">
        <v>2</v>
      </c>
      <c r="AF94" s="4">
        <v>5</v>
      </c>
      <c r="AG94" s="4">
        <v>3</v>
      </c>
      <c r="AI94" s="4" t="s">
        <v>3589</v>
      </c>
    </row>
    <row r="95" spans="1:35" ht="16.5" x14ac:dyDescent="0.15">
      <c r="A95" s="4" t="s">
        <v>2662</v>
      </c>
      <c r="D95" s="4">
        <v>310</v>
      </c>
      <c r="E95" s="4" t="s">
        <v>3642</v>
      </c>
      <c r="F95" s="4" t="s">
        <v>3643</v>
      </c>
      <c r="G95" s="4" t="s">
        <v>3182</v>
      </c>
      <c r="H95" s="4" t="s">
        <v>3306</v>
      </c>
      <c r="M95" s="4">
        <v>310</v>
      </c>
      <c r="N95" s="4">
        <v>100</v>
      </c>
      <c r="O95" s="4">
        <v>6</v>
      </c>
      <c r="P95" s="4" t="s">
        <v>3640</v>
      </c>
      <c r="R95" s="32" t="s">
        <v>3645</v>
      </c>
      <c r="S95" s="32" t="s">
        <v>3646</v>
      </c>
      <c r="T95" s="32">
        <v>0</v>
      </c>
      <c r="U95" s="32">
        <v>0</v>
      </c>
      <c r="V95" s="32" t="b">
        <v>1</v>
      </c>
      <c r="W95" s="4">
        <v>1</v>
      </c>
      <c r="X95" s="4">
        <v>-45</v>
      </c>
      <c r="Y95" s="4">
        <v>0.7</v>
      </c>
      <c r="Z95" s="4">
        <v>0.2</v>
      </c>
      <c r="AA95" s="29">
        <v>0.18</v>
      </c>
      <c r="AB95" s="30">
        <v>2</v>
      </c>
      <c r="AC95" s="4">
        <v>1</v>
      </c>
      <c r="AD95" s="4">
        <v>1</v>
      </c>
      <c r="AE95" s="4">
        <v>2</v>
      </c>
      <c r="AF95" s="4">
        <v>5</v>
      </c>
      <c r="AG95" s="4">
        <v>3</v>
      </c>
      <c r="AI95" s="34" t="s">
        <v>3543</v>
      </c>
    </row>
    <row r="96" spans="1:35" x14ac:dyDescent="0.15">
      <c r="W96" s="4"/>
      <c r="X96" s="4"/>
    </row>
    <row r="97" spans="1:33" x14ac:dyDescent="0.15">
      <c r="W97" s="4"/>
      <c r="X97" s="4"/>
    </row>
    <row r="98" spans="1:33" x14ac:dyDescent="0.15">
      <c r="W98" s="4"/>
      <c r="X98" s="4"/>
    </row>
    <row r="99" spans="1:33" x14ac:dyDescent="0.15">
      <c r="W99" s="4"/>
      <c r="X99" s="4"/>
    </row>
    <row r="100" spans="1:33" x14ac:dyDescent="0.15">
      <c r="W100" s="4"/>
      <c r="X100" s="4"/>
    </row>
    <row r="101" spans="1:33" x14ac:dyDescent="0.15">
      <c r="W101" s="4"/>
      <c r="X101" s="4"/>
    </row>
    <row r="102" spans="1:33" x14ac:dyDescent="0.15">
      <c r="W102" s="4"/>
      <c r="X102" s="4"/>
    </row>
    <row r="103" spans="1:33" x14ac:dyDescent="0.15">
      <c r="B103" s="4" t="s">
        <v>3503</v>
      </c>
      <c r="W103" s="4"/>
      <c r="X103" s="4"/>
    </row>
    <row r="104" spans="1:33" x14ac:dyDescent="0.15">
      <c r="A104" s="4" t="s">
        <v>2663</v>
      </c>
      <c r="D104" s="4">
        <v>401</v>
      </c>
      <c r="E104" s="4" t="s">
        <v>3451</v>
      </c>
      <c r="F104" s="4" t="s">
        <v>3178</v>
      </c>
      <c r="H104" s="4" t="s">
        <v>3132</v>
      </c>
      <c r="M104" s="4">
        <v>401</v>
      </c>
      <c r="N104" s="4">
        <v>100</v>
      </c>
      <c r="O104" s="4">
        <v>2</v>
      </c>
      <c r="P104" s="4" t="s">
        <v>3150</v>
      </c>
      <c r="R104" s="32">
        <v>4012</v>
      </c>
      <c r="S104" s="32" t="s">
        <v>3508</v>
      </c>
      <c r="T104" s="32">
        <v>0</v>
      </c>
      <c r="U104" s="32">
        <v>0</v>
      </c>
      <c r="V104" s="32" t="b">
        <v>1</v>
      </c>
      <c r="W104" s="4">
        <v>1</v>
      </c>
      <c r="X104" s="4">
        <v>1</v>
      </c>
      <c r="Y104" s="4">
        <v>1</v>
      </c>
      <c r="Z104" s="4">
        <v>0.8</v>
      </c>
      <c r="AA104" s="29">
        <v>0.18</v>
      </c>
      <c r="AB104" s="30">
        <v>2</v>
      </c>
      <c r="AC104" s="4">
        <v>1</v>
      </c>
      <c r="AD104" s="4">
        <v>1</v>
      </c>
      <c r="AE104" s="4">
        <v>1.5</v>
      </c>
      <c r="AF104" s="4">
        <v>10</v>
      </c>
      <c r="AG104" s="4">
        <v>2</v>
      </c>
    </row>
    <row r="105" spans="1:33" x14ac:dyDescent="0.15">
      <c r="A105" s="4" t="s">
        <v>2663</v>
      </c>
      <c r="D105" s="4">
        <v>402</v>
      </c>
      <c r="E105" s="4" t="s">
        <v>3452</v>
      </c>
      <c r="F105" s="4" t="s">
        <v>3179</v>
      </c>
      <c r="H105" s="4" t="s">
        <v>3306</v>
      </c>
      <c r="M105" s="4">
        <v>402</v>
      </c>
      <c r="N105" s="4">
        <v>100</v>
      </c>
      <c r="O105" s="4">
        <v>2</v>
      </c>
      <c r="P105" s="4" t="s">
        <v>3151</v>
      </c>
      <c r="R105" s="32">
        <v>4022</v>
      </c>
      <c r="S105" s="32" t="s">
        <v>3509</v>
      </c>
      <c r="T105" s="32">
        <v>0</v>
      </c>
      <c r="U105" s="32">
        <v>0</v>
      </c>
      <c r="V105" s="32" t="b">
        <v>1</v>
      </c>
      <c r="W105" s="4">
        <v>1</v>
      </c>
      <c r="X105" s="4">
        <v>1</v>
      </c>
      <c r="Y105" s="4">
        <v>1</v>
      </c>
      <c r="Z105" s="4">
        <v>0.5</v>
      </c>
      <c r="AA105" s="29">
        <v>0.18</v>
      </c>
      <c r="AB105" s="30">
        <v>2</v>
      </c>
      <c r="AC105" s="4">
        <v>1</v>
      </c>
      <c r="AD105" s="4">
        <v>1</v>
      </c>
      <c r="AE105" s="4">
        <v>1.5</v>
      </c>
      <c r="AF105" s="4">
        <v>10</v>
      </c>
      <c r="AG105" s="4">
        <v>2</v>
      </c>
    </row>
    <row r="106" spans="1:33" x14ac:dyDescent="0.15">
      <c r="A106" s="4" t="s">
        <v>2663</v>
      </c>
      <c r="D106" s="4">
        <v>403</v>
      </c>
      <c r="E106" s="4" t="s">
        <v>3453</v>
      </c>
      <c r="F106" s="4" t="s">
        <v>3180</v>
      </c>
      <c r="H106" s="4" t="s">
        <v>3310</v>
      </c>
      <c r="M106" s="4">
        <v>403</v>
      </c>
      <c r="N106" s="4">
        <v>100</v>
      </c>
      <c r="O106" s="4">
        <v>2</v>
      </c>
      <c r="P106" s="4" t="s">
        <v>3152</v>
      </c>
      <c r="R106" s="32">
        <v>4032</v>
      </c>
      <c r="S106" s="32" t="s">
        <v>3510</v>
      </c>
      <c r="T106" s="32">
        <v>0</v>
      </c>
      <c r="U106" s="32">
        <v>0</v>
      </c>
      <c r="V106" s="32" t="b">
        <v>1</v>
      </c>
      <c r="W106" s="4">
        <v>1</v>
      </c>
      <c r="X106" s="4">
        <v>1</v>
      </c>
      <c r="Y106" s="4">
        <v>1</v>
      </c>
      <c r="Z106" s="4">
        <v>0.5</v>
      </c>
      <c r="AA106" s="29">
        <v>0.18</v>
      </c>
      <c r="AB106" s="30">
        <v>2</v>
      </c>
      <c r="AC106" s="4">
        <v>1</v>
      </c>
      <c r="AD106" s="4">
        <v>1</v>
      </c>
      <c r="AE106" s="4">
        <v>1.5</v>
      </c>
      <c r="AF106" s="4">
        <v>10</v>
      </c>
      <c r="AG106" s="4">
        <v>2</v>
      </c>
    </row>
    <row r="107" spans="1:33" x14ac:dyDescent="0.15">
      <c r="A107" s="4" t="s">
        <v>2663</v>
      </c>
      <c r="D107" s="4">
        <v>404</v>
      </c>
      <c r="E107" s="4" t="s">
        <v>3454</v>
      </c>
      <c r="F107" s="4" t="s">
        <v>3251</v>
      </c>
      <c r="H107" s="4" t="s">
        <v>3176</v>
      </c>
      <c r="M107" s="4">
        <v>404</v>
      </c>
      <c r="N107" s="4">
        <v>100</v>
      </c>
      <c r="O107" s="4">
        <v>2</v>
      </c>
      <c r="P107" s="4" t="s">
        <v>3216</v>
      </c>
      <c r="R107" s="32">
        <v>4042</v>
      </c>
      <c r="S107" s="32" t="s">
        <v>3511</v>
      </c>
      <c r="T107" s="32">
        <v>0</v>
      </c>
      <c r="U107" s="32">
        <v>0</v>
      </c>
      <c r="V107" s="32" t="b">
        <v>1</v>
      </c>
      <c r="W107" s="4">
        <v>1</v>
      </c>
      <c r="X107" s="4">
        <v>1</v>
      </c>
      <c r="Y107" s="4">
        <v>1</v>
      </c>
      <c r="Z107" s="4">
        <v>0.5</v>
      </c>
      <c r="AA107" s="29">
        <v>0.18</v>
      </c>
      <c r="AB107" s="30">
        <v>2</v>
      </c>
      <c r="AC107" s="4">
        <v>1</v>
      </c>
      <c r="AD107" s="4">
        <v>1</v>
      </c>
      <c r="AE107" s="4">
        <v>1.5</v>
      </c>
      <c r="AF107" s="4">
        <v>10</v>
      </c>
      <c r="AG107" s="4">
        <v>2</v>
      </c>
    </row>
    <row r="108" spans="1:33" x14ac:dyDescent="0.15">
      <c r="A108" s="4" t="s">
        <v>2663</v>
      </c>
      <c r="D108" s="4">
        <v>405</v>
      </c>
      <c r="E108" s="4" t="s">
        <v>3455</v>
      </c>
      <c r="F108" s="4" t="s">
        <v>3252</v>
      </c>
      <c r="H108" s="4" t="s">
        <v>3500</v>
      </c>
      <c r="M108" s="4">
        <v>405</v>
      </c>
      <c r="N108" s="4">
        <v>100</v>
      </c>
      <c r="O108" s="4">
        <v>2</v>
      </c>
      <c r="P108" s="4" t="s">
        <v>3217</v>
      </c>
      <c r="R108" s="32">
        <v>4052</v>
      </c>
      <c r="S108" s="32" t="s">
        <v>3512</v>
      </c>
      <c r="T108" s="32">
        <v>0</v>
      </c>
      <c r="U108" s="32">
        <v>0</v>
      </c>
      <c r="V108" s="32" t="b">
        <v>1</v>
      </c>
      <c r="W108" s="4">
        <v>1</v>
      </c>
      <c r="X108" s="4">
        <v>1</v>
      </c>
      <c r="Y108" s="4">
        <v>1</v>
      </c>
      <c r="Z108" s="4">
        <v>0.5</v>
      </c>
      <c r="AA108" s="29">
        <v>0.18</v>
      </c>
      <c r="AB108" s="30">
        <v>2</v>
      </c>
      <c r="AC108" s="4">
        <v>1</v>
      </c>
      <c r="AD108" s="4">
        <v>1</v>
      </c>
      <c r="AE108" s="4">
        <v>1.5</v>
      </c>
      <c r="AF108" s="4">
        <v>10</v>
      </c>
      <c r="AG108" s="4">
        <v>2</v>
      </c>
    </row>
    <row r="109" spans="1:33" x14ac:dyDescent="0.15">
      <c r="A109" s="4" t="s">
        <v>2662</v>
      </c>
      <c r="D109" s="4">
        <v>406</v>
      </c>
      <c r="E109" s="4" t="s">
        <v>3456</v>
      </c>
      <c r="F109" s="4" t="s">
        <v>3319</v>
      </c>
      <c r="M109" s="4">
        <v>406</v>
      </c>
      <c r="N109" s="4">
        <v>100</v>
      </c>
      <c r="O109" s="4">
        <v>2</v>
      </c>
      <c r="P109" s="4" t="s">
        <v>3326</v>
      </c>
      <c r="R109" s="32">
        <v>4062</v>
      </c>
      <c r="S109" s="32" t="s">
        <v>3513</v>
      </c>
      <c r="T109" s="32">
        <v>0</v>
      </c>
      <c r="U109" s="32">
        <v>0</v>
      </c>
      <c r="V109" s="32" t="b">
        <v>1</v>
      </c>
      <c r="W109" s="4">
        <v>1</v>
      </c>
      <c r="X109" s="4">
        <v>1</v>
      </c>
      <c r="Y109" s="4">
        <v>1</v>
      </c>
      <c r="Z109" s="4">
        <v>0.5</v>
      </c>
      <c r="AA109" s="29">
        <v>0.18</v>
      </c>
      <c r="AB109" s="30">
        <v>2</v>
      </c>
      <c r="AC109" s="4">
        <v>1</v>
      </c>
      <c r="AD109" s="4">
        <v>1</v>
      </c>
      <c r="AE109" s="4">
        <v>1.5</v>
      </c>
      <c r="AF109" s="4">
        <v>10</v>
      </c>
      <c r="AG109" s="4">
        <v>2</v>
      </c>
    </row>
    <row r="110" spans="1:33" x14ac:dyDescent="0.15">
      <c r="A110" s="4" t="s">
        <v>2662</v>
      </c>
      <c r="D110" s="4">
        <v>407</v>
      </c>
      <c r="E110" s="4" t="s">
        <v>3498</v>
      </c>
      <c r="F110" s="4" t="s">
        <v>3323</v>
      </c>
      <c r="M110" s="4">
        <v>407</v>
      </c>
      <c r="N110" s="4">
        <v>100</v>
      </c>
      <c r="O110" s="4">
        <v>2</v>
      </c>
      <c r="P110" s="4" t="s">
        <v>3328</v>
      </c>
      <c r="R110" s="32">
        <v>4072</v>
      </c>
      <c r="S110" s="32" t="s">
        <v>3514</v>
      </c>
      <c r="T110" s="32">
        <v>0</v>
      </c>
      <c r="U110" s="32">
        <v>0</v>
      </c>
      <c r="V110" s="32" t="b">
        <v>1</v>
      </c>
      <c r="W110" s="4">
        <v>1</v>
      </c>
      <c r="X110" s="4">
        <v>1</v>
      </c>
      <c r="Y110" s="4">
        <v>1</v>
      </c>
      <c r="Z110" s="4">
        <v>0.5</v>
      </c>
      <c r="AA110" s="29">
        <v>0.18</v>
      </c>
      <c r="AB110" s="30">
        <v>2</v>
      </c>
      <c r="AC110" s="4">
        <v>1</v>
      </c>
      <c r="AD110" s="4">
        <v>1</v>
      </c>
      <c r="AE110" s="4">
        <v>1.5</v>
      </c>
      <c r="AF110" s="4">
        <v>10</v>
      </c>
      <c r="AG110" s="4">
        <v>2</v>
      </c>
    </row>
    <row r="111" spans="1:33" x14ac:dyDescent="0.15">
      <c r="A111" s="4" t="s">
        <v>2662</v>
      </c>
      <c r="D111" s="4">
        <v>408</v>
      </c>
      <c r="E111" s="4" t="s">
        <v>3457</v>
      </c>
      <c r="F111" s="4" t="s">
        <v>3499</v>
      </c>
      <c r="M111" s="4">
        <v>408</v>
      </c>
      <c r="N111" s="4">
        <v>100</v>
      </c>
      <c r="O111" s="4">
        <v>2</v>
      </c>
      <c r="P111" s="4" t="s">
        <v>3424</v>
      </c>
      <c r="R111" s="32" t="s">
        <v>3608</v>
      </c>
      <c r="S111" s="32" t="s">
        <v>3785</v>
      </c>
      <c r="T111" s="32">
        <v>0</v>
      </c>
      <c r="U111" s="32">
        <v>0</v>
      </c>
      <c r="V111" s="32" t="b">
        <v>1</v>
      </c>
      <c r="W111" s="4">
        <v>1</v>
      </c>
      <c r="X111" s="4">
        <v>1</v>
      </c>
      <c r="Y111" s="4">
        <v>1</v>
      </c>
      <c r="Z111" s="4">
        <v>0.8</v>
      </c>
      <c r="AA111" s="29">
        <v>0.18</v>
      </c>
      <c r="AB111" s="30">
        <v>2</v>
      </c>
      <c r="AC111" s="4">
        <v>1</v>
      </c>
      <c r="AD111" s="4">
        <v>1</v>
      </c>
      <c r="AE111" s="4">
        <v>1.5</v>
      </c>
      <c r="AF111" s="4">
        <v>10</v>
      </c>
      <c r="AG111" s="4">
        <v>2</v>
      </c>
    </row>
    <row r="112" spans="1:33" x14ac:dyDescent="0.15">
      <c r="A112" s="4" t="s">
        <v>2662</v>
      </c>
      <c r="D112" s="4">
        <v>409</v>
      </c>
      <c r="E112" s="4" t="s">
        <v>3497</v>
      </c>
      <c r="F112" s="4" t="s">
        <v>3474</v>
      </c>
      <c r="M112" s="4">
        <v>409</v>
      </c>
      <c r="N112" s="4">
        <v>100</v>
      </c>
      <c r="O112" s="4">
        <v>2</v>
      </c>
      <c r="P112" s="4" t="s">
        <v>3475</v>
      </c>
      <c r="R112" s="32">
        <v>4092</v>
      </c>
      <c r="S112" s="32" t="s">
        <v>3515</v>
      </c>
      <c r="T112" s="32">
        <v>0</v>
      </c>
      <c r="U112" s="32">
        <v>0</v>
      </c>
      <c r="V112" s="32" t="b">
        <v>1</v>
      </c>
      <c r="W112" s="4">
        <v>1</v>
      </c>
      <c r="X112" s="4">
        <v>1</v>
      </c>
      <c r="Y112" s="4">
        <v>1</v>
      </c>
      <c r="Z112" s="4">
        <v>0.5</v>
      </c>
      <c r="AA112" s="29">
        <v>0.18</v>
      </c>
      <c r="AB112" s="30">
        <v>2</v>
      </c>
      <c r="AC112" s="4">
        <v>1</v>
      </c>
      <c r="AD112" s="4">
        <v>1</v>
      </c>
      <c r="AE112" s="4">
        <v>1.5</v>
      </c>
      <c r="AF112" s="4">
        <v>10</v>
      </c>
      <c r="AG112" s="4">
        <v>2</v>
      </c>
    </row>
    <row r="113" spans="1:33" x14ac:dyDescent="0.15">
      <c r="A113" s="4" t="s">
        <v>2662</v>
      </c>
      <c r="C113" s="4" t="s">
        <v>3325</v>
      </c>
      <c r="D113" s="4">
        <v>410</v>
      </c>
      <c r="E113" s="4" t="s">
        <v>3638</v>
      </c>
      <c r="F113" s="4" t="s">
        <v>3639</v>
      </c>
      <c r="H113" s="4" t="s">
        <v>3310</v>
      </c>
      <c r="M113" s="4">
        <v>410</v>
      </c>
      <c r="N113" s="4">
        <v>100</v>
      </c>
      <c r="O113" s="4">
        <v>2</v>
      </c>
      <c r="P113" s="4" t="s">
        <v>3640</v>
      </c>
      <c r="R113" s="32">
        <v>4102</v>
      </c>
      <c r="S113" s="32" t="s">
        <v>3750</v>
      </c>
      <c r="T113" s="32">
        <v>0</v>
      </c>
      <c r="U113" s="32">
        <v>0</v>
      </c>
      <c r="V113" s="32" t="b">
        <v>1</v>
      </c>
      <c r="W113" s="4">
        <v>1</v>
      </c>
      <c r="X113" s="4">
        <v>1</v>
      </c>
      <c r="Y113" s="4">
        <v>1</v>
      </c>
      <c r="Z113" s="4">
        <v>0.8</v>
      </c>
      <c r="AA113" s="29">
        <v>0.18</v>
      </c>
      <c r="AB113" s="30">
        <v>2</v>
      </c>
      <c r="AC113" s="4">
        <v>1</v>
      </c>
      <c r="AD113" s="4">
        <v>1</v>
      </c>
      <c r="AE113" s="4">
        <v>1.5</v>
      </c>
      <c r="AF113" s="4">
        <v>10</v>
      </c>
      <c r="AG113" s="4">
        <v>2</v>
      </c>
    </row>
    <row r="114" spans="1:33" x14ac:dyDescent="0.15">
      <c r="B114" s="4" t="s">
        <v>3566</v>
      </c>
      <c r="W114" s="4"/>
      <c r="X114" s="4"/>
    </row>
    <row r="115" spans="1:33" x14ac:dyDescent="0.15">
      <c r="A115" s="4" t="s">
        <v>2663</v>
      </c>
      <c r="C115" s="4" t="s">
        <v>2664</v>
      </c>
      <c r="D115" s="4">
        <v>501</v>
      </c>
      <c r="E115" s="4" t="s">
        <v>3451</v>
      </c>
      <c r="F115" s="4" t="s">
        <v>3178</v>
      </c>
      <c r="H115" s="4" t="s">
        <v>3132</v>
      </c>
      <c r="M115" s="4">
        <v>501</v>
      </c>
      <c r="N115" s="4">
        <v>100</v>
      </c>
      <c r="O115" s="4">
        <v>2</v>
      </c>
      <c r="P115" s="4" t="s">
        <v>3150</v>
      </c>
      <c r="R115" s="32" t="s">
        <v>3763</v>
      </c>
      <c r="S115" s="32" t="s">
        <v>3751</v>
      </c>
      <c r="T115" s="32">
        <v>0</v>
      </c>
      <c r="U115" s="32">
        <v>0</v>
      </c>
      <c r="V115" s="32" t="b">
        <v>1</v>
      </c>
      <c r="W115" s="4">
        <v>1</v>
      </c>
      <c r="X115" s="4">
        <v>1</v>
      </c>
      <c r="Y115" s="4">
        <v>1</v>
      </c>
      <c r="Z115" s="4">
        <v>0.8</v>
      </c>
      <c r="AA115" s="29">
        <v>0.18</v>
      </c>
      <c r="AB115" s="30">
        <v>2</v>
      </c>
      <c r="AC115" s="4">
        <v>1</v>
      </c>
      <c r="AD115" s="4">
        <v>1</v>
      </c>
      <c r="AE115" s="4">
        <v>1.5</v>
      </c>
      <c r="AF115" s="4">
        <v>10</v>
      </c>
      <c r="AG115" s="4">
        <v>2</v>
      </c>
    </row>
    <row r="116" spans="1:33" x14ac:dyDescent="0.15">
      <c r="A116" s="4" t="s">
        <v>2663</v>
      </c>
      <c r="C116" s="4" t="s">
        <v>2664</v>
      </c>
      <c r="D116" s="4">
        <v>502</v>
      </c>
      <c r="E116" s="4" t="s">
        <v>3452</v>
      </c>
      <c r="F116" s="4" t="s">
        <v>3179</v>
      </c>
      <c r="H116" s="4" t="s">
        <v>3306</v>
      </c>
      <c r="M116" s="4">
        <v>502</v>
      </c>
      <c r="N116" s="4">
        <v>100</v>
      </c>
      <c r="O116" s="4">
        <v>2</v>
      </c>
      <c r="P116" s="4" t="s">
        <v>3151</v>
      </c>
      <c r="R116" s="32" t="s">
        <v>3762</v>
      </c>
      <c r="S116" s="32" t="s">
        <v>3752</v>
      </c>
      <c r="T116" s="32">
        <v>0</v>
      </c>
      <c r="U116" s="32">
        <v>0</v>
      </c>
      <c r="V116" s="32" t="b">
        <v>1</v>
      </c>
      <c r="W116" s="4">
        <v>1</v>
      </c>
      <c r="X116" s="4">
        <v>1</v>
      </c>
      <c r="Y116" s="4">
        <v>1</v>
      </c>
      <c r="Z116" s="4">
        <v>0.5</v>
      </c>
      <c r="AA116" s="29">
        <v>0.18</v>
      </c>
      <c r="AB116" s="30">
        <v>2</v>
      </c>
      <c r="AC116" s="4">
        <v>1</v>
      </c>
      <c r="AD116" s="4">
        <v>1</v>
      </c>
      <c r="AE116" s="4">
        <v>1.5</v>
      </c>
      <c r="AF116" s="4">
        <v>10</v>
      </c>
      <c r="AG116" s="4">
        <v>2</v>
      </c>
    </row>
    <row r="117" spans="1:33" x14ac:dyDescent="0.15">
      <c r="A117" s="4" t="s">
        <v>2663</v>
      </c>
      <c r="C117" s="4" t="s">
        <v>2664</v>
      </c>
      <c r="D117" s="4">
        <v>503</v>
      </c>
      <c r="E117" s="4" t="s">
        <v>3453</v>
      </c>
      <c r="F117" s="4" t="s">
        <v>3180</v>
      </c>
      <c r="H117" s="4" t="s">
        <v>3310</v>
      </c>
      <c r="M117" s="4">
        <v>503</v>
      </c>
      <c r="N117" s="4">
        <v>100</v>
      </c>
      <c r="O117" s="4">
        <v>2</v>
      </c>
      <c r="P117" s="4" t="s">
        <v>3152</v>
      </c>
      <c r="R117" s="32" t="s">
        <v>3761</v>
      </c>
      <c r="S117" s="32" t="s">
        <v>3753</v>
      </c>
      <c r="T117" s="32">
        <v>0</v>
      </c>
      <c r="U117" s="32">
        <v>0</v>
      </c>
      <c r="V117" s="32" t="b">
        <v>1</v>
      </c>
      <c r="W117" s="4">
        <v>1</v>
      </c>
      <c r="X117" s="4">
        <v>1</v>
      </c>
      <c r="Y117" s="4">
        <v>1</v>
      </c>
      <c r="Z117" s="4">
        <v>0.5</v>
      </c>
      <c r="AA117" s="29">
        <v>0.18</v>
      </c>
      <c r="AB117" s="30">
        <v>2</v>
      </c>
      <c r="AC117" s="4">
        <v>1</v>
      </c>
      <c r="AD117" s="4">
        <v>1</v>
      </c>
      <c r="AE117" s="4">
        <v>1.5</v>
      </c>
      <c r="AF117" s="4">
        <v>10</v>
      </c>
      <c r="AG117" s="4">
        <v>2</v>
      </c>
    </row>
    <row r="118" spans="1:33" x14ac:dyDescent="0.15">
      <c r="A118" s="4" t="s">
        <v>2663</v>
      </c>
      <c r="C118" s="4" t="s">
        <v>2664</v>
      </c>
      <c r="D118" s="4">
        <v>504</v>
      </c>
      <c r="E118" s="4" t="s">
        <v>3454</v>
      </c>
      <c r="F118" s="4" t="s">
        <v>3251</v>
      </c>
      <c r="H118" s="4" t="s">
        <v>3176</v>
      </c>
      <c r="M118" s="4">
        <v>504</v>
      </c>
      <c r="N118" s="4">
        <v>100</v>
      </c>
      <c r="O118" s="4">
        <v>2</v>
      </c>
      <c r="P118" s="4" t="s">
        <v>3216</v>
      </c>
      <c r="R118" s="32" t="s">
        <v>3760</v>
      </c>
      <c r="S118" s="32" t="s">
        <v>3754</v>
      </c>
      <c r="T118" s="32">
        <v>0</v>
      </c>
      <c r="U118" s="32">
        <v>0</v>
      </c>
      <c r="V118" s="32" t="b">
        <v>1</v>
      </c>
      <c r="W118" s="4">
        <v>1</v>
      </c>
      <c r="X118" s="4">
        <v>1</v>
      </c>
      <c r="Y118" s="4">
        <v>1</v>
      </c>
      <c r="Z118" s="4">
        <v>0.5</v>
      </c>
      <c r="AA118" s="29">
        <v>0.18</v>
      </c>
      <c r="AB118" s="30">
        <v>2</v>
      </c>
      <c r="AC118" s="4">
        <v>1</v>
      </c>
      <c r="AD118" s="4">
        <v>1</v>
      </c>
      <c r="AE118" s="4">
        <v>1.5</v>
      </c>
      <c r="AF118" s="4">
        <v>10</v>
      </c>
      <c r="AG118" s="4">
        <v>2</v>
      </c>
    </row>
    <row r="119" spans="1:33" x14ac:dyDescent="0.15">
      <c r="A119" s="4" t="s">
        <v>2663</v>
      </c>
      <c r="C119" s="4" t="s">
        <v>2664</v>
      </c>
      <c r="D119" s="4">
        <v>505</v>
      </c>
      <c r="E119" s="4" t="s">
        <v>3455</v>
      </c>
      <c r="F119" s="4" t="s">
        <v>3252</v>
      </c>
      <c r="H119" s="4" t="s">
        <v>3500</v>
      </c>
      <c r="M119" s="4">
        <v>505</v>
      </c>
      <c r="N119" s="4">
        <v>100</v>
      </c>
      <c r="O119" s="4">
        <v>2</v>
      </c>
      <c r="P119" s="4" t="s">
        <v>3217</v>
      </c>
      <c r="R119" s="32" t="s">
        <v>3759</v>
      </c>
      <c r="S119" s="32" t="s">
        <v>3755</v>
      </c>
      <c r="T119" s="32">
        <v>0</v>
      </c>
      <c r="U119" s="32">
        <v>0</v>
      </c>
      <c r="V119" s="32" t="b">
        <v>1</v>
      </c>
      <c r="W119" s="4">
        <v>1</v>
      </c>
      <c r="X119" s="4">
        <v>1</v>
      </c>
      <c r="Y119" s="4">
        <v>1</v>
      </c>
      <c r="Z119" s="4">
        <v>0.5</v>
      </c>
      <c r="AA119" s="29">
        <v>0.18</v>
      </c>
      <c r="AB119" s="30">
        <v>2</v>
      </c>
      <c r="AC119" s="4">
        <v>1</v>
      </c>
      <c r="AD119" s="4">
        <v>1</v>
      </c>
      <c r="AE119" s="4">
        <v>1.5</v>
      </c>
      <c r="AF119" s="4">
        <v>10</v>
      </c>
      <c r="AG119" s="4">
        <v>2</v>
      </c>
    </row>
    <row r="120" spans="1:33" x14ac:dyDescent="0.15">
      <c r="A120" s="4" t="s">
        <v>2662</v>
      </c>
      <c r="C120" s="4" t="s">
        <v>3325</v>
      </c>
      <c r="D120" s="4">
        <v>506</v>
      </c>
      <c r="E120" s="4" t="s">
        <v>3456</v>
      </c>
      <c r="F120" s="4" t="s">
        <v>3319</v>
      </c>
      <c r="M120" s="4">
        <v>506</v>
      </c>
      <c r="N120" s="4">
        <v>100</v>
      </c>
      <c r="O120" s="4">
        <v>2</v>
      </c>
      <c r="P120" s="4" t="s">
        <v>3326</v>
      </c>
      <c r="R120" s="32" t="s">
        <v>3758</v>
      </c>
      <c r="S120" s="32" t="s">
        <v>3756</v>
      </c>
      <c r="T120" s="32">
        <v>0</v>
      </c>
      <c r="U120" s="32">
        <v>0</v>
      </c>
      <c r="V120" s="32" t="b">
        <v>1</v>
      </c>
      <c r="W120" s="4">
        <v>1</v>
      </c>
      <c r="X120" s="4">
        <v>1</v>
      </c>
      <c r="Y120" s="4">
        <v>1</v>
      </c>
      <c r="Z120" s="4">
        <v>0.5</v>
      </c>
      <c r="AA120" s="29">
        <v>0.18</v>
      </c>
      <c r="AB120" s="30">
        <v>2</v>
      </c>
      <c r="AC120" s="4">
        <v>1</v>
      </c>
      <c r="AD120" s="4">
        <v>1</v>
      </c>
      <c r="AE120" s="4">
        <v>1.5</v>
      </c>
      <c r="AF120" s="4">
        <v>10</v>
      </c>
      <c r="AG120" s="4">
        <v>2</v>
      </c>
    </row>
    <row r="121" spans="1:33" x14ac:dyDescent="0.15">
      <c r="A121" s="4" t="s">
        <v>2662</v>
      </c>
      <c r="C121" s="4" t="s">
        <v>3325</v>
      </c>
      <c r="D121" s="4">
        <v>507</v>
      </c>
      <c r="E121" s="4" t="s">
        <v>3498</v>
      </c>
      <c r="F121" s="4" t="s">
        <v>3323</v>
      </c>
      <c r="M121" s="4">
        <v>507</v>
      </c>
      <c r="N121" s="4">
        <v>100</v>
      </c>
      <c r="O121" s="4">
        <v>2</v>
      </c>
      <c r="P121" s="4" t="s">
        <v>3328</v>
      </c>
      <c r="R121" s="32" t="s">
        <v>3765</v>
      </c>
      <c r="S121" s="32" t="s">
        <v>3766</v>
      </c>
      <c r="T121" s="32">
        <v>0</v>
      </c>
      <c r="U121" s="32">
        <v>0</v>
      </c>
      <c r="V121" s="32" t="b">
        <v>1</v>
      </c>
      <c r="W121" s="4">
        <v>1</v>
      </c>
      <c r="X121" s="4">
        <v>1</v>
      </c>
      <c r="Y121" s="4">
        <v>1</v>
      </c>
      <c r="Z121" s="4">
        <v>0.5</v>
      </c>
      <c r="AA121" s="29">
        <v>0.18</v>
      </c>
      <c r="AB121" s="30">
        <v>2</v>
      </c>
      <c r="AC121" s="4">
        <v>1</v>
      </c>
      <c r="AD121" s="4">
        <v>1</v>
      </c>
      <c r="AE121" s="4">
        <v>1.5</v>
      </c>
      <c r="AF121" s="4">
        <v>10</v>
      </c>
      <c r="AG121" s="4">
        <v>2</v>
      </c>
    </row>
    <row r="122" spans="1:33" x14ac:dyDescent="0.15">
      <c r="A122" s="4" t="s">
        <v>2662</v>
      </c>
      <c r="C122" s="4" t="s">
        <v>3325</v>
      </c>
      <c r="D122" s="4">
        <v>508</v>
      </c>
      <c r="E122" s="4" t="s">
        <v>3457</v>
      </c>
      <c r="F122" s="4" t="s">
        <v>3499</v>
      </c>
      <c r="M122" s="4">
        <v>508</v>
      </c>
      <c r="N122" s="4">
        <v>100</v>
      </c>
      <c r="O122" s="4">
        <v>2</v>
      </c>
      <c r="P122" s="4" t="s">
        <v>3424</v>
      </c>
      <c r="R122" s="32" t="s">
        <v>3590</v>
      </c>
      <c r="S122" s="32" t="s">
        <v>3757</v>
      </c>
      <c r="T122" s="32">
        <v>0</v>
      </c>
      <c r="U122" s="32">
        <v>0</v>
      </c>
      <c r="V122" s="32" t="b">
        <v>1</v>
      </c>
      <c r="W122" s="4">
        <v>1</v>
      </c>
      <c r="X122" s="4">
        <v>1</v>
      </c>
      <c r="Y122" s="4">
        <v>1</v>
      </c>
      <c r="Z122" s="4">
        <v>0.8</v>
      </c>
      <c r="AA122" s="29">
        <v>0.18</v>
      </c>
      <c r="AB122" s="30">
        <v>2</v>
      </c>
      <c r="AC122" s="4">
        <v>1</v>
      </c>
      <c r="AD122" s="4">
        <v>1</v>
      </c>
      <c r="AE122" s="4">
        <v>1.5</v>
      </c>
      <c r="AF122" s="4">
        <v>10</v>
      </c>
      <c r="AG122" s="4">
        <v>2</v>
      </c>
    </row>
    <row r="123" spans="1:33" x14ac:dyDescent="0.15">
      <c r="A123" s="4" t="s">
        <v>2662</v>
      </c>
      <c r="C123" s="4" t="s">
        <v>3325</v>
      </c>
      <c r="D123" s="4">
        <v>509</v>
      </c>
      <c r="E123" s="4" t="s">
        <v>3497</v>
      </c>
      <c r="F123" s="4" t="s">
        <v>3474</v>
      </c>
      <c r="M123" s="4">
        <v>509</v>
      </c>
      <c r="N123" s="4">
        <v>100</v>
      </c>
      <c r="O123" s="4">
        <v>2</v>
      </c>
      <c r="P123" s="4" t="s">
        <v>3475</v>
      </c>
      <c r="R123" s="32">
        <v>4092</v>
      </c>
      <c r="S123" s="32" t="s">
        <v>9938</v>
      </c>
      <c r="T123" s="32">
        <v>0</v>
      </c>
      <c r="U123" s="32">
        <v>0</v>
      </c>
      <c r="V123" s="32" t="b">
        <v>1</v>
      </c>
      <c r="W123" s="4">
        <v>1</v>
      </c>
      <c r="X123" s="4">
        <v>1</v>
      </c>
      <c r="Y123" s="4">
        <v>1</v>
      </c>
      <c r="Z123" s="4">
        <v>0.5</v>
      </c>
      <c r="AA123" s="29">
        <v>0.18</v>
      </c>
      <c r="AB123" s="30">
        <v>2</v>
      </c>
      <c r="AC123" s="4">
        <v>1</v>
      </c>
      <c r="AD123" s="4">
        <v>1</v>
      </c>
      <c r="AE123" s="4">
        <v>1.5</v>
      </c>
      <c r="AF123" s="4">
        <v>10</v>
      </c>
      <c r="AG123" s="4">
        <v>2</v>
      </c>
    </row>
    <row r="124" spans="1:33" x14ac:dyDescent="0.15">
      <c r="A124" s="4" t="s">
        <v>2662</v>
      </c>
      <c r="C124" s="4" t="s">
        <v>3325</v>
      </c>
      <c r="D124" s="4">
        <v>510</v>
      </c>
      <c r="E124" s="4" t="s">
        <v>3638</v>
      </c>
      <c r="F124" s="4" t="s">
        <v>3639</v>
      </c>
      <c r="H124" s="4" t="s">
        <v>3310</v>
      </c>
      <c r="M124" s="4">
        <v>510</v>
      </c>
      <c r="N124" s="4">
        <v>100</v>
      </c>
      <c r="O124" s="4">
        <v>2</v>
      </c>
      <c r="P124" s="4" t="s">
        <v>3640</v>
      </c>
      <c r="R124" s="32" t="s">
        <v>3764</v>
      </c>
      <c r="S124" s="32" t="s">
        <v>3786</v>
      </c>
      <c r="T124" s="32">
        <v>0</v>
      </c>
      <c r="U124" s="32">
        <v>0</v>
      </c>
      <c r="V124" s="32" t="b">
        <v>1</v>
      </c>
      <c r="W124" s="4">
        <v>1</v>
      </c>
      <c r="X124" s="4">
        <v>1</v>
      </c>
      <c r="Y124" s="4">
        <v>1</v>
      </c>
      <c r="Z124" s="4">
        <v>0.8</v>
      </c>
      <c r="AA124" s="29">
        <v>0.18</v>
      </c>
      <c r="AB124" s="30">
        <v>2</v>
      </c>
      <c r="AC124" s="4">
        <v>1</v>
      </c>
      <c r="AD124" s="4">
        <v>1</v>
      </c>
      <c r="AE124" s="4">
        <v>1.5</v>
      </c>
      <c r="AF124" s="4">
        <v>10</v>
      </c>
      <c r="AG124" s="4">
        <v>2</v>
      </c>
    </row>
    <row r="125" spans="1:33" x14ac:dyDescent="0.15">
      <c r="B125" s="4" t="s">
        <v>9945</v>
      </c>
      <c r="W125" s="4"/>
      <c r="X125" s="4"/>
    </row>
    <row r="126" spans="1:33" x14ac:dyDescent="0.15">
      <c r="A126" s="4" t="s">
        <v>2663</v>
      </c>
      <c r="C126" s="4" t="s">
        <v>2664</v>
      </c>
      <c r="D126" s="4">
        <v>601</v>
      </c>
      <c r="E126" s="4" t="s">
        <v>3451</v>
      </c>
      <c r="F126" s="4" t="s">
        <v>3178</v>
      </c>
      <c r="H126" s="4" t="s">
        <v>3132</v>
      </c>
      <c r="M126" s="4">
        <v>601</v>
      </c>
      <c r="N126" s="4">
        <v>100</v>
      </c>
      <c r="O126" s="4">
        <v>2</v>
      </c>
      <c r="P126" s="4" t="s">
        <v>3150</v>
      </c>
      <c r="R126" s="32">
        <v>11111</v>
      </c>
      <c r="S126" s="32" t="s">
        <v>9947</v>
      </c>
      <c r="T126" s="32">
        <v>0</v>
      </c>
      <c r="U126" s="32">
        <v>0</v>
      </c>
      <c r="V126" s="32" t="b">
        <v>1</v>
      </c>
      <c r="W126" s="4">
        <v>1</v>
      </c>
      <c r="X126" s="4">
        <v>1</v>
      </c>
      <c r="Y126" s="4">
        <v>1</v>
      </c>
      <c r="Z126" s="4">
        <v>0.8</v>
      </c>
      <c r="AA126" s="29">
        <v>0.18</v>
      </c>
      <c r="AB126" s="30">
        <v>2</v>
      </c>
      <c r="AC126" s="4">
        <v>1</v>
      </c>
      <c r="AD126" s="4">
        <v>1</v>
      </c>
      <c r="AE126" s="4">
        <v>2</v>
      </c>
      <c r="AF126" s="4">
        <v>10</v>
      </c>
      <c r="AG126" s="4">
        <v>2</v>
      </c>
    </row>
    <row r="127" spans="1:33" x14ac:dyDescent="0.15">
      <c r="A127" s="4" t="s">
        <v>2663</v>
      </c>
      <c r="C127" s="4" t="s">
        <v>2664</v>
      </c>
      <c r="D127" s="4">
        <v>602</v>
      </c>
      <c r="E127" s="4" t="s">
        <v>3452</v>
      </c>
      <c r="F127" s="4" t="s">
        <v>3179</v>
      </c>
      <c r="H127" s="4" t="s">
        <v>3306</v>
      </c>
      <c r="M127" s="4">
        <v>602</v>
      </c>
      <c r="N127" s="4">
        <v>100</v>
      </c>
      <c r="O127" s="4">
        <v>2</v>
      </c>
      <c r="P127" s="4" t="s">
        <v>3151</v>
      </c>
      <c r="R127" s="32">
        <v>11111</v>
      </c>
      <c r="S127" s="32" t="s">
        <v>9947</v>
      </c>
      <c r="T127" s="32">
        <v>0</v>
      </c>
      <c r="U127" s="32">
        <v>0</v>
      </c>
      <c r="V127" s="32" t="b">
        <v>1</v>
      </c>
      <c r="W127" s="4">
        <v>1</v>
      </c>
      <c r="X127" s="4">
        <v>1</v>
      </c>
      <c r="Y127" s="4">
        <v>1</v>
      </c>
      <c r="Z127" s="4">
        <v>0.5</v>
      </c>
      <c r="AA127" s="29">
        <v>0.18</v>
      </c>
      <c r="AB127" s="30">
        <v>2</v>
      </c>
      <c r="AC127" s="4">
        <v>1</v>
      </c>
      <c r="AD127" s="4">
        <v>1</v>
      </c>
      <c r="AE127" s="4">
        <v>2</v>
      </c>
      <c r="AF127" s="4">
        <v>10</v>
      </c>
      <c r="AG127" s="4">
        <v>2</v>
      </c>
    </row>
    <row r="128" spans="1:33" x14ac:dyDescent="0.15">
      <c r="A128" s="4" t="s">
        <v>2663</v>
      </c>
      <c r="C128" s="4" t="s">
        <v>2664</v>
      </c>
      <c r="D128" s="4">
        <v>603</v>
      </c>
      <c r="E128" s="4" t="s">
        <v>3453</v>
      </c>
      <c r="F128" s="4" t="s">
        <v>3180</v>
      </c>
      <c r="H128" s="4" t="s">
        <v>3310</v>
      </c>
      <c r="M128" s="4">
        <v>603</v>
      </c>
      <c r="N128" s="4">
        <v>100</v>
      </c>
      <c r="O128" s="4">
        <v>2</v>
      </c>
      <c r="P128" s="4" t="s">
        <v>3152</v>
      </c>
      <c r="R128" s="32">
        <v>11111</v>
      </c>
      <c r="S128" s="32" t="s">
        <v>9947</v>
      </c>
      <c r="T128" s="32">
        <v>0</v>
      </c>
      <c r="U128" s="32">
        <v>0</v>
      </c>
      <c r="V128" s="32" t="b">
        <v>1</v>
      </c>
      <c r="W128" s="4">
        <v>1</v>
      </c>
      <c r="X128" s="4">
        <v>1</v>
      </c>
      <c r="Y128" s="4">
        <v>1</v>
      </c>
      <c r="Z128" s="4">
        <v>0.5</v>
      </c>
      <c r="AA128" s="29">
        <v>0.18</v>
      </c>
      <c r="AB128" s="30">
        <v>2</v>
      </c>
      <c r="AC128" s="4">
        <v>1</v>
      </c>
      <c r="AD128" s="4">
        <v>1</v>
      </c>
      <c r="AE128" s="4">
        <v>2</v>
      </c>
      <c r="AF128" s="4">
        <v>10</v>
      </c>
      <c r="AG128" s="4">
        <v>2</v>
      </c>
    </row>
    <row r="129" spans="1:33" x14ac:dyDescent="0.15">
      <c r="A129" s="4" t="s">
        <v>2663</v>
      </c>
      <c r="C129" s="4" t="s">
        <v>2664</v>
      </c>
      <c r="D129" s="4">
        <v>604</v>
      </c>
      <c r="E129" s="4" t="s">
        <v>3454</v>
      </c>
      <c r="F129" s="4" t="s">
        <v>3251</v>
      </c>
      <c r="H129" s="4" t="s">
        <v>3176</v>
      </c>
      <c r="M129" s="4">
        <v>604</v>
      </c>
      <c r="N129" s="4">
        <v>100</v>
      </c>
      <c r="O129" s="4">
        <v>2</v>
      </c>
      <c r="P129" s="4" t="s">
        <v>3216</v>
      </c>
      <c r="R129" s="32">
        <v>11111</v>
      </c>
      <c r="S129" s="32" t="s">
        <v>9947</v>
      </c>
      <c r="T129" s="32">
        <v>0</v>
      </c>
      <c r="U129" s="32">
        <v>0</v>
      </c>
      <c r="V129" s="32" t="b">
        <v>1</v>
      </c>
      <c r="W129" s="4">
        <v>1</v>
      </c>
      <c r="X129" s="4">
        <v>1</v>
      </c>
      <c r="Y129" s="4">
        <v>1</v>
      </c>
      <c r="Z129" s="4">
        <v>0.5</v>
      </c>
      <c r="AA129" s="29">
        <v>0.18</v>
      </c>
      <c r="AB129" s="30">
        <v>2</v>
      </c>
      <c r="AC129" s="4">
        <v>1</v>
      </c>
      <c r="AD129" s="4">
        <v>1</v>
      </c>
      <c r="AE129" s="4">
        <v>2</v>
      </c>
      <c r="AF129" s="4">
        <v>10</v>
      </c>
      <c r="AG129" s="4">
        <v>2</v>
      </c>
    </row>
    <row r="130" spans="1:33" x14ac:dyDescent="0.15">
      <c r="A130" s="4" t="s">
        <v>2663</v>
      </c>
      <c r="C130" s="4" t="s">
        <v>2664</v>
      </c>
      <c r="D130" s="4">
        <v>605</v>
      </c>
      <c r="E130" s="4" t="s">
        <v>3455</v>
      </c>
      <c r="F130" s="4" t="s">
        <v>3252</v>
      </c>
      <c r="H130" s="4" t="s">
        <v>3500</v>
      </c>
      <c r="M130" s="4">
        <v>605</v>
      </c>
      <c r="N130" s="4">
        <v>100</v>
      </c>
      <c r="O130" s="4">
        <v>2</v>
      </c>
      <c r="P130" s="4" t="s">
        <v>3217</v>
      </c>
      <c r="R130" s="32">
        <v>11111</v>
      </c>
      <c r="S130" s="32" t="s">
        <v>9947</v>
      </c>
      <c r="T130" s="32">
        <v>0</v>
      </c>
      <c r="U130" s="32">
        <v>0</v>
      </c>
      <c r="V130" s="32" t="b">
        <v>1</v>
      </c>
      <c r="W130" s="4">
        <v>1</v>
      </c>
      <c r="X130" s="4">
        <v>1</v>
      </c>
      <c r="Y130" s="4">
        <v>1</v>
      </c>
      <c r="Z130" s="4">
        <v>0.5</v>
      </c>
      <c r="AA130" s="29">
        <v>0.18</v>
      </c>
      <c r="AB130" s="30">
        <v>2</v>
      </c>
      <c r="AC130" s="4">
        <v>1</v>
      </c>
      <c r="AD130" s="4">
        <v>1</v>
      </c>
      <c r="AE130" s="4">
        <v>2</v>
      </c>
      <c r="AF130" s="4">
        <v>10</v>
      </c>
      <c r="AG130" s="4">
        <v>2</v>
      </c>
    </row>
    <row r="131" spans="1:33" x14ac:dyDescent="0.15">
      <c r="A131" s="4" t="s">
        <v>2662</v>
      </c>
      <c r="C131" s="4" t="s">
        <v>3325</v>
      </c>
      <c r="D131" s="4">
        <v>606</v>
      </c>
      <c r="E131" s="4" t="s">
        <v>3456</v>
      </c>
      <c r="F131" s="4" t="s">
        <v>3319</v>
      </c>
      <c r="H131" s="4" t="s">
        <v>3549</v>
      </c>
      <c r="M131" s="4">
        <v>606</v>
      </c>
      <c r="N131" s="4">
        <v>100</v>
      </c>
      <c r="O131" s="4">
        <v>2</v>
      </c>
      <c r="P131" s="4" t="s">
        <v>3326</v>
      </c>
      <c r="R131" s="32">
        <v>11111</v>
      </c>
      <c r="S131" s="32" t="s">
        <v>9947</v>
      </c>
      <c r="T131" s="32">
        <v>0</v>
      </c>
      <c r="U131" s="32">
        <v>0</v>
      </c>
      <c r="V131" s="32" t="b">
        <v>1</v>
      </c>
      <c r="W131" s="4">
        <v>1</v>
      </c>
      <c r="X131" s="4">
        <v>1</v>
      </c>
      <c r="Y131" s="4">
        <v>1</v>
      </c>
      <c r="Z131" s="4">
        <v>0.5</v>
      </c>
      <c r="AA131" s="29">
        <v>0.18</v>
      </c>
      <c r="AB131" s="30">
        <v>2</v>
      </c>
      <c r="AC131" s="4">
        <v>1</v>
      </c>
      <c r="AD131" s="4">
        <v>1</v>
      </c>
      <c r="AE131" s="4">
        <v>2</v>
      </c>
      <c r="AF131" s="4">
        <v>10</v>
      </c>
      <c r="AG131" s="4">
        <v>2</v>
      </c>
    </row>
    <row r="132" spans="1:33" x14ac:dyDescent="0.15">
      <c r="A132" s="4" t="s">
        <v>2662</v>
      </c>
      <c r="C132" s="4" t="s">
        <v>3325</v>
      </c>
      <c r="D132" s="4">
        <v>607</v>
      </c>
      <c r="E132" s="4" t="s">
        <v>3498</v>
      </c>
      <c r="F132" s="4" t="s">
        <v>3323</v>
      </c>
      <c r="H132" s="4" t="s">
        <v>3132</v>
      </c>
      <c r="M132" s="4">
        <v>607</v>
      </c>
      <c r="N132" s="4">
        <v>100</v>
      </c>
      <c r="O132" s="4">
        <v>2</v>
      </c>
      <c r="P132" s="4" t="s">
        <v>3328</v>
      </c>
      <c r="R132" s="32">
        <v>11111</v>
      </c>
      <c r="S132" s="32" t="s">
        <v>9947</v>
      </c>
      <c r="T132" s="32">
        <v>0</v>
      </c>
      <c r="U132" s="32">
        <v>0</v>
      </c>
      <c r="V132" s="32" t="b">
        <v>1</v>
      </c>
      <c r="W132" s="4">
        <v>1</v>
      </c>
      <c r="X132" s="4">
        <v>1</v>
      </c>
      <c r="Y132" s="4">
        <v>1</v>
      </c>
      <c r="Z132" s="4">
        <v>0.5</v>
      </c>
      <c r="AA132" s="29">
        <v>0.18</v>
      </c>
      <c r="AB132" s="30">
        <v>2</v>
      </c>
      <c r="AC132" s="4">
        <v>1</v>
      </c>
      <c r="AD132" s="4">
        <v>1</v>
      </c>
      <c r="AE132" s="4">
        <v>2</v>
      </c>
      <c r="AF132" s="4">
        <v>10</v>
      </c>
      <c r="AG132" s="4">
        <v>2</v>
      </c>
    </row>
    <row r="133" spans="1:33" x14ac:dyDescent="0.15">
      <c r="A133" s="4" t="s">
        <v>2662</v>
      </c>
      <c r="C133" s="4" t="s">
        <v>3325</v>
      </c>
      <c r="D133" s="4">
        <v>608</v>
      </c>
      <c r="E133" s="4" t="s">
        <v>3457</v>
      </c>
      <c r="F133" s="4" t="s">
        <v>3499</v>
      </c>
      <c r="H133" s="4" t="s">
        <v>3306</v>
      </c>
      <c r="M133" s="4">
        <v>608</v>
      </c>
      <c r="N133" s="4">
        <v>100</v>
      </c>
      <c r="O133" s="4">
        <v>2</v>
      </c>
      <c r="P133" s="4" t="s">
        <v>3424</v>
      </c>
      <c r="R133" s="32">
        <v>11111</v>
      </c>
      <c r="S133" s="32" t="s">
        <v>9947</v>
      </c>
      <c r="T133" s="32">
        <v>0</v>
      </c>
      <c r="U133" s="32">
        <v>0</v>
      </c>
      <c r="V133" s="32" t="b">
        <v>1</v>
      </c>
      <c r="W133" s="4">
        <v>1</v>
      </c>
      <c r="X133" s="4">
        <v>1</v>
      </c>
      <c r="Y133" s="4">
        <v>1</v>
      </c>
      <c r="Z133" s="4">
        <v>0.8</v>
      </c>
      <c r="AA133" s="29">
        <v>0.18</v>
      </c>
      <c r="AB133" s="30">
        <v>2</v>
      </c>
      <c r="AC133" s="4">
        <v>1</v>
      </c>
      <c r="AD133" s="4">
        <v>1</v>
      </c>
      <c r="AE133" s="4">
        <v>2</v>
      </c>
      <c r="AF133" s="4">
        <v>10</v>
      </c>
      <c r="AG133" s="4">
        <v>2</v>
      </c>
    </row>
    <row r="134" spans="1:33" x14ac:dyDescent="0.15">
      <c r="A134" s="4" t="s">
        <v>2662</v>
      </c>
      <c r="C134" s="4" t="s">
        <v>3325</v>
      </c>
      <c r="D134" s="4">
        <v>609</v>
      </c>
      <c r="E134" s="4" t="s">
        <v>3497</v>
      </c>
      <c r="F134" s="4" t="s">
        <v>3474</v>
      </c>
      <c r="H134" s="4" t="s">
        <v>3310</v>
      </c>
      <c r="M134" s="4">
        <v>609</v>
      </c>
      <c r="N134" s="4">
        <v>100</v>
      </c>
      <c r="O134" s="4">
        <v>2</v>
      </c>
      <c r="P134" s="4" t="s">
        <v>3475</v>
      </c>
      <c r="R134" s="32">
        <v>11111</v>
      </c>
      <c r="S134" s="32" t="s">
        <v>9947</v>
      </c>
      <c r="T134" s="32">
        <v>0</v>
      </c>
      <c r="U134" s="32">
        <v>0</v>
      </c>
      <c r="V134" s="32" t="b">
        <v>1</v>
      </c>
      <c r="W134" s="4">
        <v>1</v>
      </c>
      <c r="X134" s="4">
        <v>1</v>
      </c>
      <c r="Y134" s="4">
        <v>1</v>
      </c>
      <c r="Z134" s="4">
        <v>0.5</v>
      </c>
      <c r="AA134" s="29">
        <v>0.18</v>
      </c>
      <c r="AB134" s="30">
        <v>2</v>
      </c>
      <c r="AC134" s="4">
        <v>1</v>
      </c>
      <c r="AD134" s="4">
        <v>1</v>
      </c>
      <c r="AE134" s="4">
        <v>2</v>
      </c>
      <c r="AF134" s="4">
        <v>10</v>
      </c>
      <c r="AG134" s="4">
        <v>2</v>
      </c>
    </row>
    <row r="135" spans="1:33" x14ac:dyDescent="0.15">
      <c r="A135" s="4" t="s">
        <v>2662</v>
      </c>
      <c r="C135" s="4" t="s">
        <v>3325</v>
      </c>
      <c r="D135" s="4">
        <v>610</v>
      </c>
      <c r="E135" s="4" t="s">
        <v>3638</v>
      </c>
      <c r="F135" s="4" t="s">
        <v>3639</v>
      </c>
      <c r="H135" s="4" t="s">
        <v>3310</v>
      </c>
      <c r="M135" s="4">
        <v>610</v>
      </c>
      <c r="N135" s="4">
        <v>100</v>
      </c>
      <c r="O135" s="4">
        <v>2</v>
      </c>
      <c r="P135" s="4" t="s">
        <v>3640</v>
      </c>
      <c r="R135" s="32">
        <v>11111</v>
      </c>
      <c r="S135" s="32" t="s">
        <v>9947</v>
      </c>
      <c r="T135" s="32">
        <v>0</v>
      </c>
      <c r="U135" s="32">
        <v>0</v>
      </c>
      <c r="V135" s="32" t="b">
        <v>1</v>
      </c>
      <c r="W135" s="4">
        <v>1</v>
      </c>
      <c r="X135" s="4">
        <v>1</v>
      </c>
      <c r="Y135" s="4">
        <v>1</v>
      </c>
      <c r="Z135" s="4">
        <v>0.8</v>
      </c>
      <c r="AA135" s="29">
        <v>0.18</v>
      </c>
      <c r="AB135" s="30">
        <v>2</v>
      </c>
      <c r="AC135" s="4">
        <v>1</v>
      </c>
      <c r="AD135" s="4">
        <v>1</v>
      </c>
      <c r="AE135" s="4">
        <v>2</v>
      </c>
      <c r="AF135" s="4">
        <v>10</v>
      </c>
      <c r="AG135" s="4">
        <v>2</v>
      </c>
    </row>
    <row r="136" spans="1:33" x14ac:dyDescent="0.15">
      <c r="W136" s="4"/>
      <c r="X136" s="4"/>
    </row>
    <row r="137" spans="1:33" x14ac:dyDescent="0.15">
      <c r="W137" s="4"/>
      <c r="X137" s="4"/>
    </row>
    <row r="138" spans="1:33" x14ac:dyDescent="0.15">
      <c r="W138" s="4"/>
      <c r="X138" s="4"/>
    </row>
    <row r="139" spans="1:33" x14ac:dyDescent="0.15">
      <c r="W139" s="4"/>
      <c r="X139" s="4"/>
    </row>
    <row r="140" spans="1:33" x14ac:dyDescent="0.15">
      <c r="A140" s="4" t="s">
        <v>3012</v>
      </c>
      <c r="B140" s="4" t="s">
        <v>3013</v>
      </c>
      <c r="C140" s="4" t="s">
        <v>3014</v>
      </c>
      <c r="D140" s="4">
        <v>1001</v>
      </c>
      <c r="E140" s="4" t="s">
        <v>3014</v>
      </c>
      <c r="F140" s="4" t="s">
        <v>3138</v>
      </c>
      <c r="G140" s="4" t="s">
        <v>3133</v>
      </c>
      <c r="H140" s="4" t="s">
        <v>3176</v>
      </c>
      <c r="M140" s="4">
        <v>1001</v>
      </c>
      <c r="N140" s="4">
        <v>11</v>
      </c>
      <c r="O140" s="4">
        <v>5</v>
      </c>
      <c r="P140" s="4" t="s">
        <v>3154</v>
      </c>
      <c r="Q140" s="4" t="s">
        <v>3156</v>
      </c>
      <c r="R140" s="32">
        <v>10001</v>
      </c>
      <c r="S140" s="32" t="s">
        <v>3019</v>
      </c>
      <c r="T140" s="32">
        <v>0</v>
      </c>
      <c r="U140" s="32">
        <v>0</v>
      </c>
      <c r="V140" s="32" t="b">
        <v>1</v>
      </c>
      <c r="W140" s="4">
        <v>1</v>
      </c>
      <c r="X140" s="4"/>
      <c r="Y140" s="4">
        <v>1</v>
      </c>
      <c r="Z140" s="4">
        <v>0</v>
      </c>
      <c r="AA140" s="29">
        <v>0.18</v>
      </c>
      <c r="AB140" s="30">
        <v>2</v>
      </c>
      <c r="AC140" s="4">
        <v>1</v>
      </c>
      <c r="AD140" s="4">
        <v>1</v>
      </c>
      <c r="AE140" s="4">
        <v>0</v>
      </c>
      <c r="AF140" s="4">
        <v>6</v>
      </c>
      <c r="AG140" s="4">
        <v>6</v>
      </c>
    </row>
    <row r="141" spans="1:33" x14ac:dyDescent="0.15">
      <c r="A141" s="4" t="s">
        <v>2663</v>
      </c>
      <c r="B141" s="4" t="s">
        <v>3013</v>
      </c>
      <c r="C141" s="4" t="s">
        <v>3014</v>
      </c>
      <c r="D141" s="4">
        <v>1002</v>
      </c>
      <c r="E141" s="4" t="s">
        <v>3014</v>
      </c>
      <c r="F141" s="4" t="s">
        <v>3138</v>
      </c>
      <c r="G141" s="4" t="s">
        <v>3133</v>
      </c>
      <c r="H141" s="4" t="s">
        <v>3176</v>
      </c>
      <c r="M141" s="4">
        <v>1002</v>
      </c>
      <c r="N141" s="4">
        <v>12</v>
      </c>
      <c r="O141" s="4">
        <v>5</v>
      </c>
      <c r="P141" s="4" t="s">
        <v>3154</v>
      </c>
      <c r="Q141" s="4" t="s">
        <v>3160</v>
      </c>
      <c r="R141" s="32">
        <v>10001</v>
      </c>
      <c r="S141" s="32" t="s">
        <v>3019</v>
      </c>
      <c r="T141" s="32">
        <v>0</v>
      </c>
      <c r="U141" s="32">
        <v>0</v>
      </c>
      <c r="V141" s="32" t="b">
        <v>1</v>
      </c>
      <c r="W141" s="4">
        <v>1</v>
      </c>
      <c r="X141" s="4"/>
      <c r="Y141" s="4">
        <v>1</v>
      </c>
      <c r="Z141" s="4">
        <v>0</v>
      </c>
      <c r="AA141" s="29">
        <v>0.18</v>
      </c>
      <c r="AB141" s="30">
        <v>2</v>
      </c>
      <c r="AC141" s="4">
        <v>1</v>
      </c>
      <c r="AD141" s="4">
        <v>1</v>
      </c>
      <c r="AE141" s="4">
        <v>0</v>
      </c>
      <c r="AF141" s="4">
        <v>6</v>
      </c>
      <c r="AG141" s="4">
        <v>6</v>
      </c>
    </row>
    <row r="142" spans="1:33" x14ac:dyDescent="0.15">
      <c r="A142" s="4" t="s">
        <v>2663</v>
      </c>
      <c r="B142" s="4" t="s">
        <v>3013</v>
      </c>
      <c r="C142" s="4" t="s">
        <v>3014</v>
      </c>
      <c r="D142" s="4">
        <v>1003</v>
      </c>
      <c r="E142" s="4" t="s">
        <v>3014</v>
      </c>
      <c r="F142" s="4" t="s">
        <v>3138</v>
      </c>
      <c r="G142" s="4" t="s">
        <v>3133</v>
      </c>
      <c r="H142" s="4" t="s">
        <v>3176</v>
      </c>
      <c r="M142" s="4">
        <v>1003</v>
      </c>
      <c r="N142" s="4">
        <v>13</v>
      </c>
      <c r="O142" s="4">
        <v>5</v>
      </c>
      <c r="P142" s="4" t="s">
        <v>3155</v>
      </c>
      <c r="Q142" s="4" t="s">
        <v>3156</v>
      </c>
      <c r="R142" s="32">
        <v>10001</v>
      </c>
      <c r="S142" s="32" t="s">
        <v>3019</v>
      </c>
      <c r="T142" s="32">
        <v>0</v>
      </c>
      <c r="U142" s="32">
        <v>0</v>
      </c>
      <c r="V142" s="32" t="b">
        <v>1</v>
      </c>
      <c r="W142" s="4">
        <v>1</v>
      </c>
      <c r="X142" s="4"/>
      <c r="Y142" s="4">
        <v>1</v>
      </c>
      <c r="Z142" s="4">
        <v>0</v>
      </c>
      <c r="AA142" s="29">
        <v>0.18</v>
      </c>
      <c r="AB142" s="30">
        <v>2</v>
      </c>
      <c r="AC142" s="4">
        <v>1</v>
      </c>
      <c r="AD142" s="4">
        <v>1</v>
      </c>
      <c r="AE142" s="4">
        <v>0</v>
      </c>
      <c r="AF142" s="4">
        <v>6</v>
      </c>
      <c r="AG142" s="4">
        <v>6</v>
      </c>
    </row>
    <row r="143" spans="1:33" x14ac:dyDescent="0.15">
      <c r="A143" s="4" t="s">
        <v>2662</v>
      </c>
      <c r="C143" s="4" t="s">
        <v>3325</v>
      </c>
      <c r="D143" s="4">
        <v>1101</v>
      </c>
      <c r="E143" s="4" t="s">
        <v>3497</v>
      </c>
      <c r="F143" s="4" t="s">
        <v>3474</v>
      </c>
      <c r="H143" s="4" t="s">
        <v>3310</v>
      </c>
      <c r="M143" s="4">
        <v>1101</v>
      </c>
      <c r="N143" s="4">
        <v>100</v>
      </c>
      <c r="O143" s="4">
        <v>2</v>
      </c>
      <c r="P143" s="4" t="s">
        <v>3475</v>
      </c>
      <c r="R143" s="32" t="s">
        <v>3563</v>
      </c>
      <c r="S143" s="32" t="s">
        <v>3564</v>
      </c>
      <c r="T143" s="32">
        <v>0</v>
      </c>
      <c r="U143" s="32">
        <v>0</v>
      </c>
      <c r="V143" s="32" t="b">
        <v>1</v>
      </c>
      <c r="W143" s="4">
        <v>1</v>
      </c>
      <c r="X143" s="4">
        <v>1</v>
      </c>
      <c r="Y143" s="4">
        <v>0.8</v>
      </c>
      <c r="Z143" s="4">
        <v>0.4</v>
      </c>
      <c r="AA143" s="29">
        <v>0.18</v>
      </c>
      <c r="AB143" s="30">
        <v>2</v>
      </c>
      <c r="AC143" s="4">
        <v>1</v>
      </c>
      <c r="AD143" s="4">
        <v>1</v>
      </c>
      <c r="AE143" s="4">
        <v>1.5</v>
      </c>
      <c r="AF143" s="4">
        <v>10</v>
      </c>
      <c r="AG143" s="4">
        <v>2</v>
      </c>
    </row>
    <row r="144" spans="1:33" x14ac:dyDescent="0.15">
      <c r="A144" s="4" t="s">
        <v>2662</v>
      </c>
      <c r="C144" s="4" t="s">
        <v>3325</v>
      </c>
      <c r="D144" s="4">
        <v>1102</v>
      </c>
      <c r="E144" s="4" t="s">
        <v>3497</v>
      </c>
      <c r="F144" s="4" t="s">
        <v>3474</v>
      </c>
      <c r="H144" s="4" t="s">
        <v>3310</v>
      </c>
      <c r="M144" s="4">
        <v>1102</v>
      </c>
      <c r="N144" s="4">
        <v>100</v>
      </c>
      <c r="O144" s="4">
        <v>2</v>
      </c>
      <c r="P144" s="4" t="s">
        <v>3475</v>
      </c>
      <c r="R144" s="32">
        <v>3191</v>
      </c>
      <c r="S144" s="32" t="s">
        <v>3561</v>
      </c>
      <c r="T144" s="32">
        <v>0</v>
      </c>
      <c r="U144" s="32">
        <v>0</v>
      </c>
      <c r="V144" s="32" t="b">
        <v>1</v>
      </c>
      <c r="W144" s="4">
        <v>1</v>
      </c>
      <c r="X144" s="4">
        <v>1</v>
      </c>
      <c r="Y144" s="4">
        <v>0.5</v>
      </c>
      <c r="Z144" s="4">
        <v>0.3</v>
      </c>
      <c r="AA144" s="29">
        <v>0.18</v>
      </c>
      <c r="AB144" s="30">
        <v>2</v>
      </c>
      <c r="AC144" s="4">
        <v>1</v>
      </c>
      <c r="AD144" s="4">
        <v>1</v>
      </c>
      <c r="AE144" s="4">
        <v>1.5</v>
      </c>
      <c r="AF144" s="4">
        <v>10</v>
      </c>
      <c r="AG144" s="4">
        <v>2</v>
      </c>
    </row>
    <row r="145" spans="1:33" x14ac:dyDescent="0.15">
      <c r="A145" s="4" t="s">
        <v>2663</v>
      </c>
      <c r="C145" s="4" t="s">
        <v>9850</v>
      </c>
      <c r="D145" s="4">
        <v>1201</v>
      </c>
      <c r="E145" s="4" t="s">
        <v>9931</v>
      </c>
      <c r="F145" s="4" t="s">
        <v>3181</v>
      </c>
      <c r="M145" s="4">
        <v>1201</v>
      </c>
      <c r="N145" s="4">
        <v>200</v>
      </c>
      <c r="O145" s="4">
        <v>3</v>
      </c>
      <c r="P145" s="4" t="s">
        <v>9855</v>
      </c>
      <c r="R145" s="32" t="s">
        <v>9859</v>
      </c>
      <c r="S145" s="32" t="s">
        <v>9932</v>
      </c>
      <c r="T145" s="32">
        <v>0</v>
      </c>
      <c r="U145" s="32">
        <v>0</v>
      </c>
      <c r="V145" s="32" t="b">
        <v>1</v>
      </c>
      <c r="W145" s="4">
        <v>1.5</v>
      </c>
      <c r="X145" s="4">
        <v>2.2000000000000002</v>
      </c>
      <c r="Y145" s="4">
        <v>2.2000000000000002</v>
      </c>
      <c r="Z145" s="4">
        <v>0.8</v>
      </c>
      <c r="AA145" s="29">
        <v>0.25</v>
      </c>
      <c r="AB145" s="30">
        <v>2</v>
      </c>
      <c r="AC145" s="4">
        <v>1</v>
      </c>
      <c r="AD145" s="4">
        <v>1</v>
      </c>
      <c r="AE145" s="4">
        <v>2</v>
      </c>
      <c r="AF145" s="4">
        <v>10</v>
      </c>
      <c r="AG145" s="4">
        <v>2</v>
      </c>
    </row>
    <row r="146" spans="1:33" x14ac:dyDescent="0.15">
      <c r="A146" s="4" t="s">
        <v>2663</v>
      </c>
      <c r="B146" s="4" t="s">
        <v>3013</v>
      </c>
      <c r="C146" s="4" t="s">
        <v>10033</v>
      </c>
      <c r="D146" s="4">
        <v>1202</v>
      </c>
      <c r="E146" s="4" t="s">
        <v>10033</v>
      </c>
      <c r="F146" s="4" t="s">
        <v>3181</v>
      </c>
      <c r="H146" s="4" t="s">
        <v>3176</v>
      </c>
      <c r="M146" s="4">
        <v>1202</v>
      </c>
      <c r="N146" s="4">
        <v>100</v>
      </c>
      <c r="O146" s="4">
        <v>5</v>
      </c>
      <c r="P146" s="4" t="s">
        <v>10045</v>
      </c>
      <c r="R146" s="32">
        <v>10002</v>
      </c>
      <c r="S146" s="32" t="s">
        <v>10046</v>
      </c>
      <c r="T146" s="32">
        <v>0</v>
      </c>
      <c r="U146" s="32">
        <v>0</v>
      </c>
      <c r="V146" s="32" t="b">
        <v>0</v>
      </c>
      <c r="W146" s="4">
        <v>1</v>
      </c>
      <c r="X146" s="4"/>
      <c r="Y146" s="4">
        <v>1</v>
      </c>
      <c r="Z146" s="4">
        <v>0</v>
      </c>
      <c r="AA146" s="29">
        <v>0.18</v>
      </c>
      <c r="AB146" s="30">
        <v>2</v>
      </c>
      <c r="AC146" s="4">
        <v>1</v>
      </c>
      <c r="AD146" s="4">
        <v>1</v>
      </c>
      <c r="AE146" s="4">
        <v>0</v>
      </c>
      <c r="AF146" s="4">
        <v>6</v>
      </c>
      <c r="AG146" s="4">
        <v>6</v>
      </c>
    </row>
    <row r="159" spans="1:33" x14ac:dyDescent="0.15">
      <c r="A159" s="4" t="s">
        <v>1</v>
      </c>
    </row>
    <row r="160" spans="1:33" x14ac:dyDescent="0.15">
      <c r="A160" s="4" t="s">
        <v>10</v>
      </c>
    </row>
  </sheetData>
  <phoneticPr fontId="7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I2578"/>
  <sheetViews>
    <sheetView topLeftCell="A943" workbookViewId="0">
      <selection activeCell="B967" sqref="B967"/>
    </sheetView>
  </sheetViews>
  <sheetFormatPr defaultRowHeight="12" x14ac:dyDescent="0.15"/>
  <cols>
    <col min="1" max="1" width="9.625" style="4" customWidth="1"/>
    <col min="2" max="2" width="10.875" style="4" customWidth="1"/>
    <col min="3" max="3" width="11.375" style="4" customWidth="1"/>
    <col min="4" max="4" width="6.5" style="4" customWidth="1"/>
    <col min="5" max="5" width="9.125" style="4" bestFit="1" customWidth="1"/>
    <col min="6" max="6" width="9" style="4"/>
    <col min="7" max="7" width="8.5" style="4" bestFit="1" customWidth="1"/>
    <col min="8" max="8" width="9" style="29"/>
    <col min="9" max="9" width="9" style="30"/>
    <col min="10" max="10" width="12.25" style="29" customWidth="1"/>
    <col min="11" max="11" width="15.125" style="31" customWidth="1"/>
    <col min="12" max="12" width="9" style="30"/>
    <col min="13" max="17" width="9" style="4"/>
    <col min="18" max="18" width="11.125" style="4" customWidth="1"/>
    <col min="19" max="236" width="9" style="4"/>
    <col min="237" max="237" width="9.625" style="4" customWidth="1"/>
    <col min="238" max="238" width="11.5" style="4" customWidth="1"/>
    <col min="239" max="239" width="9" style="4" customWidth="1"/>
    <col min="240" max="240" width="13.375" style="4" customWidth="1"/>
    <col min="241" max="241" width="10.5" style="4" customWidth="1"/>
    <col min="242" max="242" width="12.5" style="4" customWidth="1"/>
    <col min="243" max="243" width="13.75" style="4" customWidth="1"/>
    <col min="244" max="244" width="9" style="4"/>
    <col min="245" max="245" width="12.375" style="4" customWidth="1"/>
    <col min="246" max="247" width="9" style="4"/>
    <col min="248" max="248" width="15.625" style="4" bestFit="1" customWidth="1"/>
    <col min="249" max="249" width="18.875" style="4" customWidth="1"/>
    <col min="250" max="492" width="9" style="4"/>
    <col min="493" max="493" width="9.625" style="4" customWidth="1"/>
    <col min="494" max="494" width="11.5" style="4" customWidth="1"/>
    <col min="495" max="495" width="9" style="4" customWidth="1"/>
    <col min="496" max="496" width="13.375" style="4" customWidth="1"/>
    <col min="497" max="497" width="10.5" style="4" customWidth="1"/>
    <col min="498" max="498" width="12.5" style="4" customWidth="1"/>
    <col min="499" max="499" width="13.75" style="4" customWidth="1"/>
    <col min="500" max="500" width="9" style="4"/>
    <col min="501" max="501" width="12.375" style="4" customWidth="1"/>
    <col min="502" max="503" width="9" style="4"/>
    <col min="504" max="504" width="15.625" style="4" bestFit="1" customWidth="1"/>
    <col min="505" max="505" width="18.875" style="4" customWidth="1"/>
    <col min="506" max="748" width="9" style="4"/>
    <col min="749" max="749" width="9.625" style="4" customWidth="1"/>
    <col min="750" max="750" width="11.5" style="4" customWidth="1"/>
    <col min="751" max="751" width="9" style="4" customWidth="1"/>
    <col min="752" max="752" width="13.375" style="4" customWidth="1"/>
    <col min="753" max="753" width="10.5" style="4" customWidth="1"/>
    <col min="754" max="754" width="12.5" style="4" customWidth="1"/>
    <col min="755" max="755" width="13.75" style="4" customWidth="1"/>
    <col min="756" max="756" width="9" style="4"/>
    <col min="757" max="757" width="12.375" style="4" customWidth="1"/>
    <col min="758" max="759" width="9" style="4"/>
    <col min="760" max="760" width="15.625" style="4" bestFit="1" customWidth="1"/>
    <col min="761" max="761" width="18.875" style="4" customWidth="1"/>
    <col min="762" max="1004" width="9" style="4"/>
    <col min="1005" max="1005" width="9.625" style="4" customWidth="1"/>
    <col min="1006" max="1006" width="11.5" style="4" customWidth="1"/>
    <col min="1007" max="1007" width="9" style="4" customWidth="1"/>
    <col min="1008" max="1008" width="13.375" style="4" customWidth="1"/>
    <col min="1009" max="1009" width="10.5" style="4" customWidth="1"/>
    <col min="1010" max="1010" width="12.5" style="4" customWidth="1"/>
    <col min="1011" max="1011" width="13.75" style="4" customWidth="1"/>
    <col min="1012" max="1012" width="9" style="4"/>
    <col min="1013" max="1013" width="12.375" style="4" customWidth="1"/>
    <col min="1014" max="1015" width="9" style="4"/>
    <col min="1016" max="1016" width="15.625" style="4" bestFit="1" customWidth="1"/>
    <col min="1017" max="1017" width="18.875" style="4" customWidth="1"/>
    <col min="1018" max="1260" width="9" style="4"/>
    <col min="1261" max="1261" width="9.625" style="4" customWidth="1"/>
    <col min="1262" max="1262" width="11.5" style="4" customWidth="1"/>
    <col min="1263" max="1263" width="9" style="4" customWidth="1"/>
    <col min="1264" max="1264" width="13.375" style="4" customWidth="1"/>
    <col min="1265" max="1265" width="10.5" style="4" customWidth="1"/>
    <col min="1266" max="1266" width="12.5" style="4" customWidth="1"/>
    <col min="1267" max="1267" width="13.75" style="4" customWidth="1"/>
    <col min="1268" max="1268" width="9" style="4"/>
    <col min="1269" max="1269" width="12.375" style="4" customWidth="1"/>
    <col min="1270" max="1271" width="9" style="4"/>
    <col min="1272" max="1272" width="15.625" style="4" bestFit="1" customWidth="1"/>
    <col min="1273" max="1273" width="18.875" style="4" customWidth="1"/>
    <col min="1274" max="1516" width="9" style="4"/>
    <col min="1517" max="1517" width="9.625" style="4" customWidth="1"/>
    <col min="1518" max="1518" width="11.5" style="4" customWidth="1"/>
    <col min="1519" max="1519" width="9" style="4" customWidth="1"/>
    <col min="1520" max="1520" width="13.375" style="4" customWidth="1"/>
    <col min="1521" max="1521" width="10.5" style="4" customWidth="1"/>
    <col min="1522" max="1522" width="12.5" style="4" customWidth="1"/>
    <col min="1523" max="1523" width="13.75" style="4" customWidth="1"/>
    <col min="1524" max="1524" width="9" style="4"/>
    <col min="1525" max="1525" width="12.375" style="4" customWidth="1"/>
    <col min="1526" max="1527" width="9" style="4"/>
    <col min="1528" max="1528" width="15.625" style="4" bestFit="1" customWidth="1"/>
    <col min="1529" max="1529" width="18.875" style="4" customWidth="1"/>
    <col min="1530" max="1772" width="9" style="4"/>
    <col min="1773" max="1773" width="9.625" style="4" customWidth="1"/>
    <col min="1774" max="1774" width="11.5" style="4" customWidth="1"/>
    <col min="1775" max="1775" width="9" style="4" customWidth="1"/>
    <col min="1776" max="1776" width="13.375" style="4" customWidth="1"/>
    <col min="1777" max="1777" width="10.5" style="4" customWidth="1"/>
    <col min="1778" max="1778" width="12.5" style="4" customWidth="1"/>
    <col min="1779" max="1779" width="13.75" style="4" customWidth="1"/>
    <col min="1780" max="1780" width="9" style="4"/>
    <col min="1781" max="1781" width="12.375" style="4" customWidth="1"/>
    <col min="1782" max="1783" width="9" style="4"/>
    <col min="1784" max="1784" width="15.625" style="4" bestFit="1" customWidth="1"/>
    <col min="1785" max="1785" width="18.875" style="4" customWidth="1"/>
    <col min="1786" max="2028" width="9" style="4"/>
    <col min="2029" max="2029" width="9.625" style="4" customWidth="1"/>
    <col min="2030" max="2030" width="11.5" style="4" customWidth="1"/>
    <col min="2031" max="2031" width="9" style="4" customWidth="1"/>
    <col min="2032" max="2032" width="13.375" style="4" customWidth="1"/>
    <col min="2033" max="2033" width="10.5" style="4" customWidth="1"/>
    <col min="2034" max="2034" width="12.5" style="4" customWidth="1"/>
    <col min="2035" max="2035" width="13.75" style="4" customWidth="1"/>
    <col min="2036" max="2036" width="9" style="4"/>
    <col min="2037" max="2037" width="12.375" style="4" customWidth="1"/>
    <col min="2038" max="2039" width="9" style="4"/>
    <col min="2040" max="2040" width="15.625" style="4" bestFit="1" customWidth="1"/>
    <col min="2041" max="2041" width="18.875" style="4" customWidth="1"/>
    <col min="2042" max="2284" width="9" style="4"/>
    <col min="2285" max="2285" width="9.625" style="4" customWidth="1"/>
    <col min="2286" max="2286" width="11.5" style="4" customWidth="1"/>
    <col min="2287" max="2287" width="9" style="4" customWidth="1"/>
    <col min="2288" max="2288" width="13.375" style="4" customWidth="1"/>
    <col min="2289" max="2289" width="10.5" style="4" customWidth="1"/>
    <col min="2290" max="2290" width="12.5" style="4" customWidth="1"/>
    <col min="2291" max="2291" width="13.75" style="4" customWidth="1"/>
    <col min="2292" max="2292" width="9" style="4"/>
    <col min="2293" max="2293" width="12.375" style="4" customWidth="1"/>
    <col min="2294" max="2295" width="9" style="4"/>
    <col min="2296" max="2296" width="15.625" style="4" bestFit="1" customWidth="1"/>
    <col min="2297" max="2297" width="18.875" style="4" customWidth="1"/>
    <col min="2298" max="2540" width="9" style="4"/>
    <col min="2541" max="2541" width="9.625" style="4" customWidth="1"/>
    <col min="2542" max="2542" width="11.5" style="4" customWidth="1"/>
    <col min="2543" max="2543" width="9" style="4" customWidth="1"/>
    <col min="2544" max="2544" width="13.375" style="4" customWidth="1"/>
    <col min="2545" max="2545" width="10.5" style="4" customWidth="1"/>
    <col min="2546" max="2546" width="12.5" style="4" customWidth="1"/>
    <col min="2547" max="2547" width="13.75" style="4" customWidth="1"/>
    <col min="2548" max="2548" width="9" style="4"/>
    <col min="2549" max="2549" width="12.375" style="4" customWidth="1"/>
    <col min="2550" max="2551" width="9" style="4"/>
    <col min="2552" max="2552" width="15.625" style="4" bestFit="1" customWidth="1"/>
    <col min="2553" max="2553" width="18.875" style="4" customWidth="1"/>
    <col min="2554" max="2796" width="9" style="4"/>
    <col min="2797" max="2797" width="9.625" style="4" customWidth="1"/>
    <col min="2798" max="2798" width="11.5" style="4" customWidth="1"/>
    <col min="2799" max="2799" width="9" style="4" customWidth="1"/>
    <col min="2800" max="2800" width="13.375" style="4" customWidth="1"/>
    <col min="2801" max="2801" width="10.5" style="4" customWidth="1"/>
    <col min="2802" max="2802" width="12.5" style="4" customWidth="1"/>
    <col min="2803" max="2803" width="13.75" style="4" customWidth="1"/>
    <col min="2804" max="2804" width="9" style="4"/>
    <col min="2805" max="2805" width="12.375" style="4" customWidth="1"/>
    <col min="2806" max="2807" width="9" style="4"/>
    <col min="2808" max="2808" width="15.625" style="4" bestFit="1" customWidth="1"/>
    <col min="2809" max="2809" width="18.875" style="4" customWidth="1"/>
    <col min="2810" max="3052" width="9" style="4"/>
    <col min="3053" max="3053" width="9.625" style="4" customWidth="1"/>
    <col min="3054" max="3054" width="11.5" style="4" customWidth="1"/>
    <col min="3055" max="3055" width="9" style="4" customWidth="1"/>
    <col min="3056" max="3056" width="13.375" style="4" customWidth="1"/>
    <col min="3057" max="3057" width="10.5" style="4" customWidth="1"/>
    <col min="3058" max="3058" width="12.5" style="4" customWidth="1"/>
    <col min="3059" max="3059" width="13.75" style="4" customWidth="1"/>
    <col min="3060" max="3060" width="9" style="4"/>
    <col min="3061" max="3061" width="12.375" style="4" customWidth="1"/>
    <col min="3062" max="3063" width="9" style="4"/>
    <col min="3064" max="3064" width="15.625" style="4" bestFit="1" customWidth="1"/>
    <col min="3065" max="3065" width="18.875" style="4" customWidth="1"/>
    <col min="3066" max="3308" width="9" style="4"/>
    <col min="3309" max="3309" width="9.625" style="4" customWidth="1"/>
    <col min="3310" max="3310" width="11.5" style="4" customWidth="1"/>
    <col min="3311" max="3311" width="9" style="4" customWidth="1"/>
    <col min="3312" max="3312" width="13.375" style="4" customWidth="1"/>
    <col min="3313" max="3313" width="10.5" style="4" customWidth="1"/>
    <col min="3314" max="3314" width="12.5" style="4" customWidth="1"/>
    <col min="3315" max="3315" width="13.75" style="4" customWidth="1"/>
    <col min="3316" max="3316" width="9" style="4"/>
    <col min="3317" max="3317" width="12.375" style="4" customWidth="1"/>
    <col min="3318" max="3319" width="9" style="4"/>
    <col min="3320" max="3320" width="15.625" style="4" bestFit="1" customWidth="1"/>
    <col min="3321" max="3321" width="18.875" style="4" customWidth="1"/>
    <col min="3322" max="3564" width="9" style="4"/>
    <col min="3565" max="3565" width="9.625" style="4" customWidth="1"/>
    <col min="3566" max="3566" width="11.5" style="4" customWidth="1"/>
    <col min="3567" max="3567" width="9" style="4" customWidth="1"/>
    <col min="3568" max="3568" width="13.375" style="4" customWidth="1"/>
    <col min="3569" max="3569" width="10.5" style="4" customWidth="1"/>
    <col min="3570" max="3570" width="12.5" style="4" customWidth="1"/>
    <col min="3571" max="3571" width="13.75" style="4" customWidth="1"/>
    <col min="3572" max="3572" width="9" style="4"/>
    <col min="3573" max="3573" width="12.375" style="4" customWidth="1"/>
    <col min="3574" max="3575" width="9" style="4"/>
    <col min="3576" max="3576" width="15.625" style="4" bestFit="1" customWidth="1"/>
    <col min="3577" max="3577" width="18.875" style="4" customWidth="1"/>
    <col min="3578" max="3820" width="9" style="4"/>
    <col min="3821" max="3821" width="9.625" style="4" customWidth="1"/>
    <col min="3822" max="3822" width="11.5" style="4" customWidth="1"/>
    <col min="3823" max="3823" width="9" style="4" customWidth="1"/>
    <col min="3824" max="3824" width="13.375" style="4" customWidth="1"/>
    <col min="3825" max="3825" width="10.5" style="4" customWidth="1"/>
    <col min="3826" max="3826" width="12.5" style="4" customWidth="1"/>
    <col min="3827" max="3827" width="13.75" style="4" customWidth="1"/>
    <col min="3828" max="3828" width="9" style="4"/>
    <col min="3829" max="3829" width="12.375" style="4" customWidth="1"/>
    <col min="3830" max="3831" width="9" style="4"/>
    <col min="3832" max="3832" width="15.625" style="4" bestFit="1" customWidth="1"/>
    <col min="3833" max="3833" width="18.875" style="4" customWidth="1"/>
    <col min="3834" max="4076" width="9" style="4"/>
    <col min="4077" max="4077" width="9.625" style="4" customWidth="1"/>
    <col min="4078" max="4078" width="11.5" style="4" customWidth="1"/>
    <col min="4079" max="4079" width="9" style="4" customWidth="1"/>
    <col min="4080" max="4080" width="13.375" style="4" customWidth="1"/>
    <col min="4081" max="4081" width="10.5" style="4" customWidth="1"/>
    <col min="4082" max="4082" width="12.5" style="4" customWidth="1"/>
    <col min="4083" max="4083" width="13.75" style="4" customWidth="1"/>
    <col min="4084" max="4084" width="9" style="4"/>
    <col min="4085" max="4085" width="12.375" style="4" customWidth="1"/>
    <col min="4086" max="4087" width="9" style="4"/>
    <col min="4088" max="4088" width="15.625" style="4" bestFit="1" customWidth="1"/>
    <col min="4089" max="4089" width="18.875" style="4" customWidth="1"/>
    <col min="4090" max="4332" width="9" style="4"/>
    <col min="4333" max="4333" width="9.625" style="4" customWidth="1"/>
    <col min="4334" max="4334" width="11.5" style="4" customWidth="1"/>
    <col min="4335" max="4335" width="9" style="4" customWidth="1"/>
    <col min="4336" max="4336" width="13.375" style="4" customWidth="1"/>
    <col min="4337" max="4337" width="10.5" style="4" customWidth="1"/>
    <col min="4338" max="4338" width="12.5" style="4" customWidth="1"/>
    <col min="4339" max="4339" width="13.75" style="4" customWidth="1"/>
    <col min="4340" max="4340" width="9" style="4"/>
    <col min="4341" max="4341" width="12.375" style="4" customWidth="1"/>
    <col min="4342" max="4343" width="9" style="4"/>
    <col min="4344" max="4344" width="15.625" style="4" bestFit="1" customWidth="1"/>
    <col min="4345" max="4345" width="18.875" style="4" customWidth="1"/>
    <col min="4346" max="4588" width="9" style="4"/>
    <col min="4589" max="4589" width="9.625" style="4" customWidth="1"/>
    <col min="4590" max="4590" width="11.5" style="4" customWidth="1"/>
    <col min="4591" max="4591" width="9" style="4" customWidth="1"/>
    <col min="4592" max="4592" width="13.375" style="4" customWidth="1"/>
    <col min="4593" max="4593" width="10.5" style="4" customWidth="1"/>
    <col min="4594" max="4594" width="12.5" style="4" customWidth="1"/>
    <col min="4595" max="4595" width="13.75" style="4" customWidth="1"/>
    <col min="4596" max="4596" width="9" style="4"/>
    <col min="4597" max="4597" width="12.375" style="4" customWidth="1"/>
    <col min="4598" max="4599" width="9" style="4"/>
    <col min="4600" max="4600" width="15.625" style="4" bestFit="1" customWidth="1"/>
    <col min="4601" max="4601" width="18.875" style="4" customWidth="1"/>
    <col min="4602" max="4844" width="9" style="4"/>
    <col min="4845" max="4845" width="9.625" style="4" customWidth="1"/>
    <col min="4846" max="4846" width="11.5" style="4" customWidth="1"/>
    <col min="4847" max="4847" width="9" style="4" customWidth="1"/>
    <col min="4848" max="4848" width="13.375" style="4" customWidth="1"/>
    <col min="4849" max="4849" width="10.5" style="4" customWidth="1"/>
    <col min="4850" max="4850" width="12.5" style="4" customWidth="1"/>
    <col min="4851" max="4851" width="13.75" style="4" customWidth="1"/>
    <col min="4852" max="4852" width="9" style="4"/>
    <col min="4853" max="4853" width="12.375" style="4" customWidth="1"/>
    <col min="4854" max="4855" width="9" style="4"/>
    <col min="4856" max="4856" width="15.625" style="4" bestFit="1" customWidth="1"/>
    <col min="4857" max="4857" width="18.875" style="4" customWidth="1"/>
    <col min="4858" max="5100" width="9" style="4"/>
    <col min="5101" max="5101" width="9.625" style="4" customWidth="1"/>
    <col min="5102" max="5102" width="11.5" style="4" customWidth="1"/>
    <col min="5103" max="5103" width="9" style="4" customWidth="1"/>
    <col min="5104" max="5104" width="13.375" style="4" customWidth="1"/>
    <col min="5105" max="5105" width="10.5" style="4" customWidth="1"/>
    <col min="5106" max="5106" width="12.5" style="4" customWidth="1"/>
    <col min="5107" max="5107" width="13.75" style="4" customWidth="1"/>
    <col min="5108" max="5108" width="9" style="4"/>
    <col min="5109" max="5109" width="12.375" style="4" customWidth="1"/>
    <col min="5110" max="5111" width="9" style="4"/>
    <col min="5112" max="5112" width="15.625" style="4" bestFit="1" customWidth="1"/>
    <col min="5113" max="5113" width="18.875" style="4" customWidth="1"/>
    <col min="5114" max="5356" width="9" style="4"/>
    <col min="5357" max="5357" width="9.625" style="4" customWidth="1"/>
    <col min="5358" max="5358" width="11.5" style="4" customWidth="1"/>
    <col min="5359" max="5359" width="9" style="4" customWidth="1"/>
    <col min="5360" max="5360" width="13.375" style="4" customWidth="1"/>
    <col min="5361" max="5361" width="10.5" style="4" customWidth="1"/>
    <col min="5362" max="5362" width="12.5" style="4" customWidth="1"/>
    <col min="5363" max="5363" width="13.75" style="4" customWidth="1"/>
    <col min="5364" max="5364" width="9" style="4"/>
    <col min="5365" max="5365" width="12.375" style="4" customWidth="1"/>
    <col min="5366" max="5367" width="9" style="4"/>
    <col min="5368" max="5368" width="15.625" style="4" bestFit="1" customWidth="1"/>
    <col min="5369" max="5369" width="18.875" style="4" customWidth="1"/>
    <col min="5370" max="5612" width="9" style="4"/>
    <col min="5613" max="5613" width="9.625" style="4" customWidth="1"/>
    <col min="5614" max="5614" width="11.5" style="4" customWidth="1"/>
    <col min="5615" max="5615" width="9" style="4" customWidth="1"/>
    <col min="5616" max="5616" width="13.375" style="4" customWidth="1"/>
    <col min="5617" max="5617" width="10.5" style="4" customWidth="1"/>
    <col min="5618" max="5618" width="12.5" style="4" customWidth="1"/>
    <col min="5619" max="5619" width="13.75" style="4" customWidth="1"/>
    <col min="5620" max="5620" width="9" style="4"/>
    <col min="5621" max="5621" width="12.375" style="4" customWidth="1"/>
    <col min="5622" max="5623" width="9" style="4"/>
    <col min="5624" max="5624" width="15.625" style="4" bestFit="1" customWidth="1"/>
    <col min="5625" max="5625" width="18.875" style="4" customWidth="1"/>
    <col min="5626" max="5868" width="9" style="4"/>
    <col min="5869" max="5869" width="9.625" style="4" customWidth="1"/>
    <col min="5870" max="5870" width="11.5" style="4" customWidth="1"/>
    <col min="5871" max="5871" width="9" style="4" customWidth="1"/>
    <col min="5872" max="5872" width="13.375" style="4" customWidth="1"/>
    <col min="5873" max="5873" width="10.5" style="4" customWidth="1"/>
    <col min="5874" max="5874" width="12.5" style="4" customWidth="1"/>
    <col min="5875" max="5875" width="13.75" style="4" customWidth="1"/>
    <col min="5876" max="5876" width="9" style="4"/>
    <col min="5877" max="5877" width="12.375" style="4" customWidth="1"/>
    <col min="5878" max="5879" width="9" style="4"/>
    <col min="5880" max="5880" width="15.625" style="4" bestFit="1" customWidth="1"/>
    <col min="5881" max="5881" width="18.875" style="4" customWidth="1"/>
    <col min="5882" max="6124" width="9" style="4"/>
    <col min="6125" max="6125" width="9.625" style="4" customWidth="1"/>
    <col min="6126" max="6126" width="11.5" style="4" customWidth="1"/>
    <col min="6127" max="6127" width="9" style="4" customWidth="1"/>
    <col min="6128" max="6128" width="13.375" style="4" customWidth="1"/>
    <col min="6129" max="6129" width="10.5" style="4" customWidth="1"/>
    <col min="6130" max="6130" width="12.5" style="4" customWidth="1"/>
    <col min="6131" max="6131" width="13.75" style="4" customWidth="1"/>
    <col min="6132" max="6132" width="9" style="4"/>
    <col min="6133" max="6133" width="12.375" style="4" customWidth="1"/>
    <col min="6134" max="6135" width="9" style="4"/>
    <col min="6136" max="6136" width="15.625" style="4" bestFit="1" customWidth="1"/>
    <col min="6137" max="6137" width="18.875" style="4" customWidth="1"/>
    <col min="6138" max="6380" width="9" style="4"/>
    <col min="6381" max="6381" width="9.625" style="4" customWidth="1"/>
    <col min="6382" max="6382" width="11.5" style="4" customWidth="1"/>
    <col min="6383" max="6383" width="9" style="4" customWidth="1"/>
    <col min="6384" max="6384" width="13.375" style="4" customWidth="1"/>
    <col min="6385" max="6385" width="10.5" style="4" customWidth="1"/>
    <col min="6386" max="6386" width="12.5" style="4" customWidth="1"/>
    <col min="6387" max="6387" width="13.75" style="4" customWidth="1"/>
    <col min="6388" max="6388" width="9" style="4"/>
    <col min="6389" max="6389" width="12.375" style="4" customWidth="1"/>
    <col min="6390" max="6391" width="9" style="4"/>
    <col min="6392" max="6392" width="15.625" style="4" bestFit="1" customWidth="1"/>
    <col min="6393" max="6393" width="18.875" style="4" customWidth="1"/>
    <col min="6394" max="6636" width="9" style="4"/>
    <col min="6637" max="6637" width="9.625" style="4" customWidth="1"/>
    <col min="6638" max="6638" width="11.5" style="4" customWidth="1"/>
    <col min="6639" max="6639" width="9" style="4" customWidth="1"/>
    <col min="6640" max="6640" width="13.375" style="4" customWidth="1"/>
    <col min="6641" max="6641" width="10.5" style="4" customWidth="1"/>
    <col min="6642" max="6642" width="12.5" style="4" customWidth="1"/>
    <col min="6643" max="6643" width="13.75" style="4" customWidth="1"/>
    <col min="6644" max="6644" width="9" style="4"/>
    <col min="6645" max="6645" width="12.375" style="4" customWidth="1"/>
    <col min="6646" max="6647" width="9" style="4"/>
    <col min="6648" max="6648" width="15.625" style="4" bestFit="1" customWidth="1"/>
    <col min="6649" max="6649" width="18.875" style="4" customWidth="1"/>
    <col min="6650" max="6892" width="9" style="4"/>
    <col min="6893" max="6893" width="9.625" style="4" customWidth="1"/>
    <col min="6894" max="6894" width="11.5" style="4" customWidth="1"/>
    <col min="6895" max="6895" width="9" style="4" customWidth="1"/>
    <col min="6896" max="6896" width="13.375" style="4" customWidth="1"/>
    <col min="6897" max="6897" width="10.5" style="4" customWidth="1"/>
    <col min="6898" max="6898" width="12.5" style="4" customWidth="1"/>
    <col min="6899" max="6899" width="13.75" style="4" customWidth="1"/>
    <col min="6900" max="6900" width="9" style="4"/>
    <col min="6901" max="6901" width="12.375" style="4" customWidth="1"/>
    <col min="6902" max="6903" width="9" style="4"/>
    <col min="6904" max="6904" width="15.625" style="4" bestFit="1" customWidth="1"/>
    <col min="6905" max="6905" width="18.875" style="4" customWidth="1"/>
    <col min="6906" max="7148" width="9" style="4"/>
    <col min="7149" max="7149" width="9.625" style="4" customWidth="1"/>
    <col min="7150" max="7150" width="11.5" style="4" customWidth="1"/>
    <col min="7151" max="7151" width="9" style="4" customWidth="1"/>
    <col min="7152" max="7152" width="13.375" style="4" customWidth="1"/>
    <col min="7153" max="7153" width="10.5" style="4" customWidth="1"/>
    <col min="7154" max="7154" width="12.5" style="4" customWidth="1"/>
    <col min="7155" max="7155" width="13.75" style="4" customWidth="1"/>
    <col min="7156" max="7156" width="9" style="4"/>
    <col min="7157" max="7157" width="12.375" style="4" customWidth="1"/>
    <col min="7158" max="7159" width="9" style="4"/>
    <col min="7160" max="7160" width="15.625" style="4" bestFit="1" customWidth="1"/>
    <col min="7161" max="7161" width="18.875" style="4" customWidth="1"/>
    <col min="7162" max="7404" width="9" style="4"/>
    <col min="7405" max="7405" width="9.625" style="4" customWidth="1"/>
    <col min="7406" max="7406" width="11.5" style="4" customWidth="1"/>
    <col min="7407" max="7407" width="9" style="4" customWidth="1"/>
    <col min="7408" max="7408" width="13.375" style="4" customWidth="1"/>
    <col min="7409" max="7409" width="10.5" style="4" customWidth="1"/>
    <col min="7410" max="7410" width="12.5" style="4" customWidth="1"/>
    <col min="7411" max="7411" width="13.75" style="4" customWidth="1"/>
    <col min="7412" max="7412" width="9" style="4"/>
    <col min="7413" max="7413" width="12.375" style="4" customWidth="1"/>
    <col min="7414" max="7415" width="9" style="4"/>
    <col min="7416" max="7416" width="15.625" style="4" bestFit="1" customWidth="1"/>
    <col min="7417" max="7417" width="18.875" style="4" customWidth="1"/>
    <col min="7418" max="7660" width="9" style="4"/>
    <col min="7661" max="7661" width="9.625" style="4" customWidth="1"/>
    <col min="7662" max="7662" width="11.5" style="4" customWidth="1"/>
    <col min="7663" max="7663" width="9" style="4" customWidth="1"/>
    <col min="7664" max="7664" width="13.375" style="4" customWidth="1"/>
    <col min="7665" max="7665" width="10.5" style="4" customWidth="1"/>
    <col min="7666" max="7666" width="12.5" style="4" customWidth="1"/>
    <col min="7667" max="7667" width="13.75" style="4" customWidth="1"/>
    <col min="7668" max="7668" width="9" style="4"/>
    <col min="7669" max="7669" width="12.375" style="4" customWidth="1"/>
    <col min="7670" max="7671" width="9" style="4"/>
    <col min="7672" max="7672" width="15.625" style="4" bestFit="1" customWidth="1"/>
    <col min="7673" max="7673" width="18.875" style="4" customWidth="1"/>
    <col min="7674" max="7916" width="9" style="4"/>
    <col min="7917" max="7917" width="9.625" style="4" customWidth="1"/>
    <col min="7918" max="7918" width="11.5" style="4" customWidth="1"/>
    <col min="7919" max="7919" width="9" style="4" customWidth="1"/>
    <col min="7920" max="7920" width="13.375" style="4" customWidth="1"/>
    <col min="7921" max="7921" width="10.5" style="4" customWidth="1"/>
    <col min="7922" max="7922" width="12.5" style="4" customWidth="1"/>
    <col min="7923" max="7923" width="13.75" style="4" customWidth="1"/>
    <col min="7924" max="7924" width="9" style="4"/>
    <col min="7925" max="7925" width="12.375" style="4" customWidth="1"/>
    <col min="7926" max="7927" width="9" style="4"/>
    <col min="7928" max="7928" width="15.625" style="4" bestFit="1" customWidth="1"/>
    <col min="7929" max="7929" width="18.875" style="4" customWidth="1"/>
    <col min="7930" max="8172" width="9" style="4"/>
    <col min="8173" max="8173" width="9.625" style="4" customWidth="1"/>
    <col min="8174" max="8174" width="11.5" style="4" customWidth="1"/>
    <col min="8175" max="8175" width="9" style="4" customWidth="1"/>
    <col min="8176" max="8176" width="13.375" style="4" customWidth="1"/>
    <col min="8177" max="8177" width="10.5" style="4" customWidth="1"/>
    <col min="8178" max="8178" width="12.5" style="4" customWidth="1"/>
    <col min="8179" max="8179" width="13.75" style="4" customWidth="1"/>
    <col min="8180" max="8180" width="9" style="4"/>
    <col min="8181" max="8181" width="12.375" style="4" customWidth="1"/>
    <col min="8182" max="8183" width="9" style="4"/>
    <col min="8184" max="8184" width="15.625" style="4" bestFit="1" customWidth="1"/>
    <col min="8185" max="8185" width="18.875" style="4" customWidth="1"/>
    <col min="8186" max="8428" width="9" style="4"/>
    <col min="8429" max="8429" width="9.625" style="4" customWidth="1"/>
    <col min="8430" max="8430" width="11.5" style="4" customWidth="1"/>
    <col min="8431" max="8431" width="9" style="4" customWidth="1"/>
    <col min="8432" max="8432" width="13.375" style="4" customWidth="1"/>
    <col min="8433" max="8433" width="10.5" style="4" customWidth="1"/>
    <col min="8434" max="8434" width="12.5" style="4" customWidth="1"/>
    <col min="8435" max="8435" width="13.75" style="4" customWidth="1"/>
    <col min="8436" max="8436" width="9" style="4"/>
    <col min="8437" max="8437" width="12.375" style="4" customWidth="1"/>
    <col min="8438" max="8439" width="9" style="4"/>
    <col min="8440" max="8440" width="15.625" style="4" bestFit="1" customWidth="1"/>
    <col min="8441" max="8441" width="18.875" style="4" customWidth="1"/>
    <col min="8442" max="8684" width="9" style="4"/>
    <col min="8685" max="8685" width="9.625" style="4" customWidth="1"/>
    <col min="8686" max="8686" width="11.5" style="4" customWidth="1"/>
    <col min="8687" max="8687" width="9" style="4" customWidth="1"/>
    <col min="8688" max="8688" width="13.375" style="4" customWidth="1"/>
    <col min="8689" max="8689" width="10.5" style="4" customWidth="1"/>
    <col min="8690" max="8690" width="12.5" style="4" customWidth="1"/>
    <col min="8691" max="8691" width="13.75" style="4" customWidth="1"/>
    <col min="8692" max="8692" width="9" style="4"/>
    <col min="8693" max="8693" width="12.375" style="4" customWidth="1"/>
    <col min="8694" max="8695" width="9" style="4"/>
    <col min="8696" max="8696" width="15.625" style="4" bestFit="1" customWidth="1"/>
    <col min="8697" max="8697" width="18.875" style="4" customWidth="1"/>
    <col min="8698" max="8940" width="9" style="4"/>
    <col min="8941" max="8941" width="9.625" style="4" customWidth="1"/>
    <col min="8942" max="8942" width="11.5" style="4" customWidth="1"/>
    <col min="8943" max="8943" width="9" style="4" customWidth="1"/>
    <col min="8944" max="8944" width="13.375" style="4" customWidth="1"/>
    <col min="8945" max="8945" width="10.5" style="4" customWidth="1"/>
    <col min="8946" max="8946" width="12.5" style="4" customWidth="1"/>
    <col min="8947" max="8947" width="13.75" style="4" customWidth="1"/>
    <col min="8948" max="8948" width="9" style="4"/>
    <col min="8949" max="8949" width="12.375" style="4" customWidth="1"/>
    <col min="8950" max="8951" width="9" style="4"/>
    <col min="8952" max="8952" width="15.625" style="4" bestFit="1" customWidth="1"/>
    <col min="8953" max="8953" width="18.875" style="4" customWidth="1"/>
    <col min="8954" max="9196" width="9" style="4"/>
    <col min="9197" max="9197" width="9.625" style="4" customWidth="1"/>
    <col min="9198" max="9198" width="11.5" style="4" customWidth="1"/>
    <col min="9199" max="9199" width="9" style="4" customWidth="1"/>
    <col min="9200" max="9200" width="13.375" style="4" customWidth="1"/>
    <col min="9201" max="9201" width="10.5" style="4" customWidth="1"/>
    <col min="9202" max="9202" width="12.5" style="4" customWidth="1"/>
    <col min="9203" max="9203" width="13.75" style="4" customWidth="1"/>
    <col min="9204" max="9204" width="9" style="4"/>
    <col min="9205" max="9205" width="12.375" style="4" customWidth="1"/>
    <col min="9206" max="9207" width="9" style="4"/>
    <col min="9208" max="9208" width="15.625" style="4" bestFit="1" customWidth="1"/>
    <col min="9209" max="9209" width="18.875" style="4" customWidth="1"/>
    <col min="9210" max="9452" width="9" style="4"/>
    <col min="9453" max="9453" width="9.625" style="4" customWidth="1"/>
    <col min="9454" max="9454" width="11.5" style="4" customWidth="1"/>
    <col min="9455" max="9455" width="9" style="4" customWidth="1"/>
    <col min="9456" max="9456" width="13.375" style="4" customWidth="1"/>
    <col min="9457" max="9457" width="10.5" style="4" customWidth="1"/>
    <col min="9458" max="9458" width="12.5" style="4" customWidth="1"/>
    <col min="9459" max="9459" width="13.75" style="4" customWidth="1"/>
    <col min="9460" max="9460" width="9" style="4"/>
    <col min="9461" max="9461" width="12.375" style="4" customWidth="1"/>
    <col min="9462" max="9463" width="9" style="4"/>
    <col min="9464" max="9464" width="15.625" style="4" bestFit="1" customWidth="1"/>
    <col min="9465" max="9465" width="18.875" style="4" customWidth="1"/>
    <col min="9466" max="9708" width="9" style="4"/>
    <col min="9709" max="9709" width="9.625" style="4" customWidth="1"/>
    <col min="9710" max="9710" width="11.5" style="4" customWidth="1"/>
    <col min="9711" max="9711" width="9" style="4" customWidth="1"/>
    <col min="9712" max="9712" width="13.375" style="4" customWidth="1"/>
    <col min="9713" max="9713" width="10.5" style="4" customWidth="1"/>
    <col min="9714" max="9714" width="12.5" style="4" customWidth="1"/>
    <col min="9715" max="9715" width="13.75" style="4" customWidth="1"/>
    <col min="9716" max="9716" width="9" style="4"/>
    <col min="9717" max="9717" width="12.375" style="4" customWidth="1"/>
    <col min="9718" max="9719" width="9" style="4"/>
    <col min="9720" max="9720" width="15.625" style="4" bestFit="1" customWidth="1"/>
    <col min="9721" max="9721" width="18.875" style="4" customWidth="1"/>
    <col min="9722" max="9964" width="9" style="4"/>
    <col min="9965" max="9965" width="9.625" style="4" customWidth="1"/>
    <col min="9966" max="9966" width="11.5" style="4" customWidth="1"/>
    <col min="9967" max="9967" width="9" style="4" customWidth="1"/>
    <col min="9968" max="9968" width="13.375" style="4" customWidth="1"/>
    <col min="9969" max="9969" width="10.5" style="4" customWidth="1"/>
    <col min="9970" max="9970" width="12.5" style="4" customWidth="1"/>
    <col min="9971" max="9971" width="13.75" style="4" customWidth="1"/>
    <col min="9972" max="9972" width="9" style="4"/>
    <col min="9973" max="9973" width="12.375" style="4" customWidth="1"/>
    <col min="9974" max="9975" width="9" style="4"/>
    <col min="9976" max="9976" width="15.625" style="4" bestFit="1" customWidth="1"/>
    <col min="9977" max="9977" width="18.875" style="4" customWidth="1"/>
    <col min="9978" max="10220" width="9" style="4"/>
    <col min="10221" max="10221" width="9.625" style="4" customWidth="1"/>
    <col min="10222" max="10222" width="11.5" style="4" customWidth="1"/>
    <col min="10223" max="10223" width="9" style="4" customWidth="1"/>
    <col min="10224" max="10224" width="13.375" style="4" customWidth="1"/>
    <col min="10225" max="10225" width="10.5" style="4" customWidth="1"/>
    <col min="10226" max="10226" width="12.5" style="4" customWidth="1"/>
    <col min="10227" max="10227" width="13.75" style="4" customWidth="1"/>
    <col min="10228" max="10228" width="9" style="4"/>
    <col min="10229" max="10229" width="12.375" style="4" customWidth="1"/>
    <col min="10230" max="10231" width="9" style="4"/>
    <col min="10232" max="10232" width="15.625" style="4" bestFit="1" customWidth="1"/>
    <col min="10233" max="10233" width="18.875" style="4" customWidth="1"/>
    <col min="10234" max="10476" width="9" style="4"/>
    <col min="10477" max="10477" width="9.625" style="4" customWidth="1"/>
    <col min="10478" max="10478" width="11.5" style="4" customWidth="1"/>
    <col min="10479" max="10479" width="9" style="4" customWidth="1"/>
    <col min="10480" max="10480" width="13.375" style="4" customWidth="1"/>
    <col min="10481" max="10481" width="10.5" style="4" customWidth="1"/>
    <col min="10482" max="10482" width="12.5" style="4" customWidth="1"/>
    <col min="10483" max="10483" width="13.75" style="4" customWidth="1"/>
    <col min="10484" max="10484" width="9" style="4"/>
    <col min="10485" max="10485" width="12.375" style="4" customWidth="1"/>
    <col min="10486" max="10487" width="9" style="4"/>
    <col min="10488" max="10488" width="15.625" style="4" bestFit="1" customWidth="1"/>
    <col min="10489" max="10489" width="18.875" style="4" customWidth="1"/>
    <col min="10490" max="10732" width="9" style="4"/>
    <col min="10733" max="10733" width="9.625" style="4" customWidth="1"/>
    <col min="10734" max="10734" width="11.5" style="4" customWidth="1"/>
    <col min="10735" max="10735" width="9" style="4" customWidth="1"/>
    <col min="10736" max="10736" width="13.375" style="4" customWidth="1"/>
    <col min="10737" max="10737" width="10.5" style="4" customWidth="1"/>
    <col min="10738" max="10738" width="12.5" style="4" customWidth="1"/>
    <col min="10739" max="10739" width="13.75" style="4" customWidth="1"/>
    <col min="10740" max="10740" width="9" style="4"/>
    <col min="10741" max="10741" width="12.375" style="4" customWidth="1"/>
    <col min="10742" max="10743" width="9" style="4"/>
    <col min="10744" max="10744" width="15.625" style="4" bestFit="1" customWidth="1"/>
    <col min="10745" max="10745" width="18.875" style="4" customWidth="1"/>
    <col min="10746" max="10988" width="9" style="4"/>
    <col min="10989" max="10989" width="9.625" style="4" customWidth="1"/>
    <col min="10990" max="10990" width="11.5" style="4" customWidth="1"/>
    <col min="10991" max="10991" width="9" style="4" customWidth="1"/>
    <col min="10992" max="10992" width="13.375" style="4" customWidth="1"/>
    <col min="10993" max="10993" width="10.5" style="4" customWidth="1"/>
    <col min="10994" max="10994" width="12.5" style="4" customWidth="1"/>
    <col min="10995" max="10995" width="13.75" style="4" customWidth="1"/>
    <col min="10996" max="10996" width="9" style="4"/>
    <col min="10997" max="10997" width="12.375" style="4" customWidth="1"/>
    <col min="10998" max="10999" width="9" style="4"/>
    <col min="11000" max="11000" width="15.625" style="4" bestFit="1" customWidth="1"/>
    <col min="11001" max="11001" width="18.875" style="4" customWidth="1"/>
    <col min="11002" max="11244" width="9" style="4"/>
    <col min="11245" max="11245" width="9.625" style="4" customWidth="1"/>
    <col min="11246" max="11246" width="11.5" style="4" customWidth="1"/>
    <col min="11247" max="11247" width="9" style="4" customWidth="1"/>
    <col min="11248" max="11248" width="13.375" style="4" customWidth="1"/>
    <col min="11249" max="11249" width="10.5" style="4" customWidth="1"/>
    <col min="11250" max="11250" width="12.5" style="4" customWidth="1"/>
    <col min="11251" max="11251" width="13.75" style="4" customWidth="1"/>
    <col min="11252" max="11252" width="9" style="4"/>
    <col min="11253" max="11253" width="12.375" style="4" customWidth="1"/>
    <col min="11254" max="11255" width="9" style="4"/>
    <col min="11256" max="11256" width="15.625" style="4" bestFit="1" customWidth="1"/>
    <col min="11257" max="11257" width="18.875" style="4" customWidth="1"/>
    <col min="11258" max="11500" width="9" style="4"/>
    <col min="11501" max="11501" width="9.625" style="4" customWidth="1"/>
    <col min="11502" max="11502" width="11.5" style="4" customWidth="1"/>
    <col min="11503" max="11503" width="9" style="4" customWidth="1"/>
    <col min="11504" max="11504" width="13.375" style="4" customWidth="1"/>
    <col min="11505" max="11505" width="10.5" style="4" customWidth="1"/>
    <col min="11506" max="11506" width="12.5" style="4" customWidth="1"/>
    <col min="11507" max="11507" width="13.75" style="4" customWidth="1"/>
    <col min="11508" max="11508" width="9" style="4"/>
    <col min="11509" max="11509" width="12.375" style="4" customWidth="1"/>
    <col min="11510" max="11511" width="9" style="4"/>
    <col min="11512" max="11512" width="15.625" style="4" bestFit="1" customWidth="1"/>
    <col min="11513" max="11513" width="18.875" style="4" customWidth="1"/>
    <col min="11514" max="11756" width="9" style="4"/>
    <col min="11757" max="11757" width="9.625" style="4" customWidth="1"/>
    <col min="11758" max="11758" width="11.5" style="4" customWidth="1"/>
    <col min="11759" max="11759" width="9" style="4" customWidth="1"/>
    <col min="11760" max="11760" width="13.375" style="4" customWidth="1"/>
    <col min="11761" max="11761" width="10.5" style="4" customWidth="1"/>
    <col min="11762" max="11762" width="12.5" style="4" customWidth="1"/>
    <col min="11763" max="11763" width="13.75" style="4" customWidth="1"/>
    <col min="11764" max="11764" width="9" style="4"/>
    <col min="11765" max="11765" width="12.375" style="4" customWidth="1"/>
    <col min="11766" max="11767" width="9" style="4"/>
    <col min="11768" max="11768" width="15.625" style="4" bestFit="1" customWidth="1"/>
    <col min="11769" max="11769" width="18.875" style="4" customWidth="1"/>
    <col min="11770" max="12012" width="9" style="4"/>
    <col min="12013" max="12013" width="9.625" style="4" customWidth="1"/>
    <col min="12014" max="12014" width="11.5" style="4" customWidth="1"/>
    <col min="12015" max="12015" width="9" style="4" customWidth="1"/>
    <col min="12016" max="12016" width="13.375" style="4" customWidth="1"/>
    <col min="12017" max="12017" width="10.5" style="4" customWidth="1"/>
    <col min="12018" max="12018" width="12.5" style="4" customWidth="1"/>
    <col min="12019" max="12019" width="13.75" style="4" customWidth="1"/>
    <col min="12020" max="12020" width="9" style="4"/>
    <col min="12021" max="12021" width="12.375" style="4" customWidth="1"/>
    <col min="12022" max="12023" width="9" style="4"/>
    <col min="12024" max="12024" width="15.625" style="4" bestFit="1" customWidth="1"/>
    <col min="12025" max="12025" width="18.875" style="4" customWidth="1"/>
    <col min="12026" max="12268" width="9" style="4"/>
    <col min="12269" max="12269" width="9.625" style="4" customWidth="1"/>
    <col min="12270" max="12270" width="11.5" style="4" customWidth="1"/>
    <col min="12271" max="12271" width="9" style="4" customWidth="1"/>
    <col min="12272" max="12272" width="13.375" style="4" customWidth="1"/>
    <col min="12273" max="12273" width="10.5" style="4" customWidth="1"/>
    <col min="12274" max="12274" width="12.5" style="4" customWidth="1"/>
    <col min="12275" max="12275" width="13.75" style="4" customWidth="1"/>
    <col min="12276" max="12276" width="9" style="4"/>
    <col min="12277" max="12277" width="12.375" style="4" customWidth="1"/>
    <col min="12278" max="12279" width="9" style="4"/>
    <col min="12280" max="12280" width="15.625" style="4" bestFit="1" customWidth="1"/>
    <col min="12281" max="12281" width="18.875" style="4" customWidth="1"/>
    <col min="12282" max="12524" width="9" style="4"/>
    <col min="12525" max="12525" width="9.625" style="4" customWidth="1"/>
    <col min="12526" max="12526" width="11.5" style="4" customWidth="1"/>
    <col min="12527" max="12527" width="9" style="4" customWidth="1"/>
    <col min="12528" max="12528" width="13.375" style="4" customWidth="1"/>
    <col min="12529" max="12529" width="10.5" style="4" customWidth="1"/>
    <col min="12530" max="12530" width="12.5" style="4" customWidth="1"/>
    <col min="12531" max="12531" width="13.75" style="4" customWidth="1"/>
    <col min="12532" max="12532" width="9" style="4"/>
    <col min="12533" max="12533" width="12.375" style="4" customWidth="1"/>
    <col min="12534" max="12535" width="9" style="4"/>
    <col min="12536" max="12536" width="15.625" style="4" bestFit="1" customWidth="1"/>
    <col min="12537" max="12537" width="18.875" style="4" customWidth="1"/>
    <col min="12538" max="12780" width="9" style="4"/>
    <col min="12781" max="12781" width="9.625" style="4" customWidth="1"/>
    <col min="12782" max="12782" width="11.5" style="4" customWidth="1"/>
    <col min="12783" max="12783" width="9" style="4" customWidth="1"/>
    <col min="12784" max="12784" width="13.375" style="4" customWidth="1"/>
    <col min="12785" max="12785" width="10.5" style="4" customWidth="1"/>
    <col min="12786" max="12786" width="12.5" style="4" customWidth="1"/>
    <col min="12787" max="12787" width="13.75" style="4" customWidth="1"/>
    <col min="12788" max="12788" width="9" style="4"/>
    <col min="12789" max="12789" width="12.375" style="4" customWidth="1"/>
    <col min="12790" max="12791" width="9" style="4"/>
    <col min="12792" max="12792" width="15.625" style="4" bestFit="1" customWidth="1"/>
    <col min="12793" max="12793" width="18.875" style="4" customWidth="1"/>
    <col min="12794" max="13036" width="9" style="4"/>
    <col min="13037" max="13037" width="9.625" style="4" customWidth="1"/>
    <col min="13038" max="13038" width="11.5" style="4" customWidth="1"/>
    <col min="13039" max="13039" width="9" style="4" customWidth="1"/>
    <col min="13040" max="13040" width="13.375" style="4" customWidth="1"/>
    <col min="13041" max="13041" width="10.5" style="4" customWidth="1"/>
    <col min="13042" max="13042" width="12.5" style="4" customWidth="1"/>
    <col min="13043" max="13043" width="13.75" style="4" customWidth="1"/>
    <col min="13044" max="13044" width="9" style="4"/>
    <col min="13045" max="13045" width="12.375" style="4" customWidth="1"/>
    <col min="13046" max="13047" width="9" style="4"/>
    <col min="13048" max="13048" width="15.625" style="4" bestFit="1" customWidth="1"/>
    <col min="13049" max="13049" width="18.875" style="4" customWidth="1"/>
    <col min="13050" max="13292" width="9" style="4"/>
    <col min="13293" max="13293" width="9.625" style="4" customWidth="1"/>
    <col min="13294" max="13294" width="11.5" style="4" customWidth="1"/>
    <col min="13295" max="13295" width="9" style="4" customWidth="1"/>
    <col min="13296" max="13296" width="13.375" style="4" customWidth="1"/>
    <col min="13297" max="13297" width="10.5" style="4" customWidth="1"/>
    <col min="13298" max="13298" width="12.5" style="4" customWidth="1"/>
    <col min="13299" max="13299" width="13.75" style="4" customWidth="1"/>
    <col min="13300" max="13300" width="9" style="4"/>
    <col min="13301" max="13301" width="12.375" style="4" customWidth="1"/>
    <col min="13302" max="13303" width="9" style="4"/>
    <col min="13304" max="13304" width="15.625" style="4" bestFit="1" customWidth="1"/>
    <col min="13305" max="13305" width="18.875" style="4" customWidth="1"/>
    <col min="13306" max="13548" width="9" style="4"/>
    <col min="13549" max="13549" width="9.625" style="4" customWidth="1"/>
    <col min="13550" max="13550" width="11.5" style="4" customWidth="1"/>
    <col min="13551" max="13551" width="9" style="4" customWidth="1"/>
    <col min="13552" max="13552" width="13.375" style="4" customWidth="1"/>
    <col min="13553" max="13553" width="10.5" style="4" customWidth="1"/>
    <col min="13554" max="13554" width="12.5" style="4" customWidth="1"/>
    <col min="13555" max="13555" width="13.75" style="4" customWidth="1"/>
    <col min="13556" max="13556" width="9" style="4"/>
    <col min="13557" max="13557" width="12.375" style="4" customWidth="1"/>
    <col min="13558" max="13559" width="9" style="4"/>
    <col min="13560" max="13560" width="15.625" style="4" bestFit="1" customWidth="1"/>
    <col min="13561" max="13561" width="18.875" style="4" customWidth="1"/>
    <col min="13562" max="13804" width="9" style="4"/>
    <col min="13805" max="13805" width="9.625" style="4" customWidth="1"/>
    <col min="13806" max="13806" width="11.5" style="4" customWidth="1"/>
    <col min="13807" max="13807" width="9" style="4" customWidth="1"/>
    <col min="13808" max="13808" width="13.375" style="4" customWidth="1"/>
    <col min="13809" max="13809" width="10.5" style="4" customWidth="1"/>
    <col min="13810" max="13810" width="12.5" style="4" customWidth="1"/>
    <col min="13811" max="13811" width="13.75" style="4" customWidth="1"/>
    <col min="13812" max="13812" width="9" style="4"/>
    <col min="13813" max="13813" width="12.375" style="4" customWidth="1"/>
    <col min="13814" max="13815" width="9" style="4"/>
    <col min="13816" max="13816" width="15.625" style="4" bestFit="1" customWidth="1"/>
    <col min="13817" max="13817" width="18.875" style="4" customWidth="1"/>
    <col min="13818" max="14060" width="9" style="4"/>
    <col min="14061" max="14061" width="9.625" style="4" customWidth="1"/>
    <col min="14062" max="14062" width="11.5" style="4" customWidth="1"/>
    <col min="14063" max="14063" width="9" style="4" customWidth="1"/>
    <col min="14064" max="14064" width="13.375" style="4" customWidth="1"/>
    <col min="14065" max="14065" width="10.5" style="4" customWidth="1"/>
    <col min="14066" max="14066" width="12.5" style="4" customWidth="1"/>
    <col min="14067" max="14067" width="13.75" style="4" customWidth="1"/>
    <col min="14068" max="14068" width="9" style="4"/>
    <col min="14069" max="14069" width="12.375" style="4" customWidth="1"/>
    <col min="14070" max="14071" width="9" style="4"/>
    <col min="14072" max="14072" width="15.625" style="4" bestFit="1" customWidth="1"/>
    <col min="14073" max="14073" width="18.875" style="4" customWidth="1"/>
    <col min="14074" max="14316" width="9" style="4"/>
    <col min="14317" max="14317" width="9.625" style="4" customWidth="1"/>
    <col min="14318" max="14318" width="11.5" style="4" customWidth="1"/>
    <col min="14319" max="14319" width="9" style="4" customWidth="1"/>
    <col min="14320" max="14320" width="13.375" style="4" customWidth="1"/>
    <col min="14321" max="14321" width="10.5" style="4" customWidth="1"/>
    <col min="14322" max="14322" width="12.5" style="4" customWidth="1"/>
    <col min="14323" max="14323" width="13.75" style="4" customWidth="1"/>
    <col min="14324" max="14324" width="9" style="4"/>
    <col min="14325" max="14325" width="12.375" style="4" customWidth="1"/>
    <col min="14326" max="14327" width="9" style="4"/>
    <col min="14328" max="14328" width="15.625" style="4" bestFit="1" customWidth="1"/>
    <col min="14329" max="14329" width="18.875" style="4" customWidth="1"/>
    <col min="14330" max="14572" width="9" style="4"/>
    <col min="14573" max="14573" width="9.625" style="4" customWidth="1"/>
    <col min="14574" max="14574" width="11.5" style="4" customWidth="1"/>
    <col min="14575" max="14575" width="9" style="4" customWidth="1"/>
    <col min="14576" max="14576" width="13.375" style="4" customWidth="1"/>
    <col min="14577" max="14577" width="10.5" style="4" customWidth="1"/>
    <col min="14578" max="14578" width="12.5" style="4" customWidth="1"/>
    <col min="14579" max="14579" width="13.75" style="4" customWidth="1"/>
    <col min="14580" max="14580" width="9" style="4"/>
    <col min="14581" max="14581" width="12.375" style="4" customWidth="1"/>
    <col min="14582" max="14583" width="9" style="4"/>
    <col min="14584" max="14584" width="15.625" style="4" bestFit="1" customWidth="1"/>
    <col min="14585" max="14585" width="18.875" style="4" customWidth="1"/>
    <col min="14586" max="14828" width="9" style="4"/>
    <col min="14829" max="14829" width="9.625" style="4" customWidth="1"/>
    <col min="14830" max="14830" width="11.5" style="4" customWidth="1"/>
    <col min="14831" max="14831" width="9" style="4" customWidth="1"/>
    <col min="14832" max="14832" width="13.375" style="4" customWidth="1"/>
    <col min="14833" max="14833" width="10.5" style="4" customWidth="1"/>
    <col min="14834" max="14834" width="12.5" style="4" customWidth="1"/>
    <col min="14835" max="14835" width="13.75" style="4" customWidth="1"/>
    <col min="14836" max="14836" width="9" style="4"/>
    <col min="14837" max="14837" width="12.375" style="4" customWidth="1"/>
    <col min="14838" max="14839" width="9" style="4"/>
    <col min="14840" max="14840" width="15.625" style="4" bestFit="1" customWidth="1"/>
    <col min="14841" max="14841" width="18.875" style="4" customWidth="1"/>
    <col min="14842" max="15084" width="9" style="4"/>
    <col min="15085" max="15085" width="9.625" style="4" customWidth="1"/>
    <col min="15086" max="15086" width="11.5" style="4" customWidth="1"/>
    <col min="15087" max="15087" width="9" style="4" customWidth="1"/>
    <col min="15088" max="15088" width="13.375" style="4" customWidth="1"/>
    <col min="15089" max="15089" width="10.5" style="4" customWidth="1"/>
    <col min="15090" max="15090" width="12.5" style="4" customWidth="1"/>
    <col min="15091" max="15091" width="13.75" style="4" customWidth="1"/>
    <col min="15092" max="15092" width="9" style="4"/>
    <col min="15093" max="15093" width="12.375" style="4" customWidth="1"/>
    <col min="15094" max="15095" width="9" style="4"/>
    <col min="15096" max="15096" width="15.625" style="4" bestFit="1" customWidth="1"/>
    <col min="15097" max="15097" width="18.875" style="4" customWidth="1"/>
    <col min="15098" max="15340" width="9" style="4"/>
    <col min="15341" max="15341" width="9.625" style="4" customWidth="1"/>
    <col min="15342" max="15342" width="11.5" style="4" customWidth="1"/>
    <col min="15343" max="15343" width="9" style="4" customWidth="1"/>
    <col min="15344" max="15344" width="13.375" style="4" customWidth="1"/>
    <col min="15345" max="15345" width="10.5" style="4" customWidth="1"/>
    <col min="15346" max="15346" width="12.5" style="4" customWidth="1"/>
    <col min="15347" max="15347" width="13.75" style="4" customWidth="1"/>
    <col min="15348" max="15348" width="9" style="4"/>
    <col min="15349" max="15349" width="12.375" style="4" customWidth="1"/>
    <col min="15350" max="15351" width="9" style="4"/>
    <col min="15352" max="15352" width="15.625" style="4" bestFit="1" customWidth="1"/>
    <col min="15353" max="15353" width="18.875" style="4" customWidth="1"/>
    <col min="15354" max="15596" width="9" style="4"/>
    <col min="15597" max="15597" width="9.625" style="4" customWidth="1"/>
    <col min="15598" max="15598" width="11.5" style="4" customWidth="1"/>
    <col min="15599" max="15599" width="9" style="4" customWidth="1"/>
    <col min="15600" max="15600" width="13.375" style="4" customWidth="1"/>
    <col min="15601" max="15601" width="10.5" style="4" customWidth="1"/>
    <col min="15602" max="15602" width="12.5" style="4" customWidth="1"/>
    <col min="15603" max="15603" width="13.75" style="4" customWidth="1"/>
    <col min="15604" max="15604" width="9" style="4"/>
    <col min="15605" max="15605" width="12.375" style="4" customWidth="1"/>
    <col min="15606" max="15607" width="9" style="4"/>
    <col min="15608" max="15608" width="15.625" style="4" bestFit="1" customWidth="1"/>
    <col min="15609" max="15609" width="18.875" style="4" customWidth="1"/>
    <col min="15610" max="15852" width="9" style="4"/>
    <col min="15853" max="15853" width="9.625" style="4" customWidth="1"/>
    <col min="15854" max="15854" width="11.5" style="4" customWidth="1"/>
    <col min="15855" max="15855" width="9" style="4" customWidth="1"/>
    <col min="15856" max="15856" width="13.375" style="4" customWidth="1"/>
    <col min="15857" max="15857" width="10.5" style="4" customWidth="1"/>
    <col min="15858" max="15858" width="12.5" style="4" customWidth="1"/>
    <col min="15859" max="15859" width="13.75" style="4" customWidth="1"/>
    <col min="15860" max="15860" width="9" style="4"/>
    <col min="15861" max="15861" width="12.375" style="4" customWidth="1"/>
    <col min="15862" max="15863" width="9" style="4"/>
    <col min="15864" max="15864" width="15.625" style="4" bestFit="1" customWidth="1"/>
    <col min="15865" max="15865" width="18.875" style="4" customWidth="1"/>
    <col min="15866" max="16108" width="9" style="4"/>
    <col min="16109" max="16109" width="9.625" style="4" customWidth="1"/>
    <col min="16110" max="16110" width="11.5" style="4" customWidth="1"/>
    <col min="16111" max="16111" width="9" style="4" customWidth="1"/>
    <col min="16112" max="16112" width="13.375" style="4" customWidth="1"/>
    <col min="16113" max="16113" width="10.5" style="4" customWidth="1"/>
    <col min="16114" max="16114" width="12.5" style="4" customWidth="1"/>
    <col min="16115" max="16115" width="13.75" style="4" customWidth="1"/>
    <col min="16116" max="16116" width="9" style="4"/>
    <col min="16117" max="16117" width="12.375" style="4" customWidth="1"/>
    <col min="16118" max="16119" width="9" style="4"/>
    <col min="16120" max="16120" width="15.625" style="4" bestFit="1" customWidth="1"/>
    <col min="16121" max="16121" width="18.875" style="4" customWidth="1"/>
    <col min="16122" max="16384" width="9" style="4"/>
  </cols>
  <sheetData>
    <row r="1" spans="1:27" ht="16.5" x14ac:dyDescent="0.35">
      <c r="A1" s="5" t="s">
        <v>3031</v>
      </c>
      <c r="B1" s="5" t="s">
        <v>3032</v>
      </c>
      <c r="C1" s="5"/>
      <c r="D1" s="10"/>
      <c r="E1" s="10"/>
      <c r="F1" s="10"/>
      <c r="G1" s="10"/>
      <c r="H1" s="15"/>
      <c r="I1" s="26"/>
      <c r="J1" s="15"/>
      <c r="K1" s="11"/>
      <c r="L1" s="26"/>
      <c r="M1" s="12"/>
      <c r="N1" s="13"/>
      <c r="O1" s="13"/>
      <c r="P1" s="13"/>
      <c r="Q1" s="13"/>
      <c r="R1" s="14"/>
      <c r="S1" s="14"/>
      <c r="T1" s="14"/>
      <c r="U1" s="13"/>
      <c r="V1" s="13"/>
    </row>
    <row r="2" spans="1:27" ht="16.5" x14ac:dyDescent="0.35">
      <c r="A2" s="5" t="s">
        <v>3033</v>
      </c>
      <c r="B2" s="5" t="s">
        <v>3034</v>
      </c>
      <c r="C2" s="5"/>
      <c r="D2" s="10"/>
      <c r="E2" s="10"/>
      <c r="F2" s="10"/>
      <c r="G2" s="10"/>
      <c r="H2" s="15"/>
      <c r="I2" s="26"/>
      <c r="J2" s="15"/>
      <c r="K2" s="11"/>
      <c r="L2" s="26"/>
      <c r="M2" s="12"/>
      <c r="N2" s="13"/>
      <c r="O2" s="13"/>
      <c r="P2" s="13"/>
      <c r="Q2" s="13"/>
      <c r="R2" s="14"/>
      <c r="S2" s="14"/>
      <c r="T2" s="16"/>
      <c r="U2" s="13"/>
      <c r="V2" s="13"/>
    </row>
    <row r="3" spans="1:27" ht="16.5" x14ac:dyDescent="0.15">
      <c r="A3" s="5" t="s">
        <v>3035</v>
      </c>
      <c r="B3" s="5"/>
      <c r="C3" s="5"/>
      <c r="D3" s="17" t="s">
        <v>3036</v>
      </c>
      <c r="E3" s="17" t="s">
        <v>3037</v>
      </c>
      <c r="F3" s="17" t="s">
        <v>3036</v>
      </c>
      <c r="G3" s="17" t="s">
        <v>3036</v>
      </c>
      <c r="H3" s="19" t="s">
        <v>3037</v>
      </c>
      <c r="I3" s="27" t="s">
        <v>3037</v>
      </c>
      <c r="J3" s="19" t="s">
        <v>3037</v>
      </c>
      <c r="K3" s="18" t="s">
        <v>2646</v>
      </c>
      <c r="L3" s="27" t="s">
        <v>3037</v>
      </c>
      <c r="M3" s="18" t="s">
        <v>3037</v>
      </c>
      <c r="N3" s="17" t="s">
        <v>3037</v>
      </c>
      <c r="O3" s="17" t="s">
        <v>3037</v>
      </c>
      <c r="P3" s="17" t="s">
        <v>3037</v>
      </c>
      <c r="Q3" s="20" t="s">
        <v>3037</v>
      </c>
      <c r="R3" s="20" t="s">
        <v>3037</v>
      </c>
      <c r="S3" s="20" t="s">
        <v>3037</v>
      </c>
      <c r="T3" s="20" t="s">
        <v>3037</v>
      </c>
      <c r="U3" s="17" t="s">
        <v>3037</v>
      </c>
      <c r="V3" s="17" t="s">
        <v>3037</v>
      </c>
    </row>
    <row r="4" spans="1:27" ht="16.5" x14ac:dyDescent="0.35">
      <c r="A4" s="5" t="s">
        <v>3038</v>
      </c>
      <c r="B4" s="10"/>
      <c r="C4" s="10"/>
      <c r="D4" s="17" t="s">
        <v>3039</v>
      </c>
      <c r="E4" s="17" t="s">
        <v>2654</v>
      </c>
      <c r="F4" s="17" t="s">
        <v>3040</v>
      </c>
      <c r="G4" s="17" t="s">
        <v>3041</v>
      </c>
      <c r="H4" s="19" t="s">
        <v>3042</v>
      </c>
      <c r="I4" s="27" t="s">
        <v>3043</v>
      </c>
      <c r="J4" s="19" t="s">
        <v>3044</v>
      </c>
      <c r="K4" s="18" t="s">
        <v>2655</v>
      </c>
      <c r="L4" s="27" t="s">
        <v>2656</v>
      </c>
      <c r="M4" s="18" t="s">
        <v>3045</v>
      </c>
      <c r="N4" s="17" t="s">
        <v>3046</v>
      </c>
      <c r="O4" s="17" t="s">
        <v>3047</v>
      </c>
      <c r="P4" s="17" t="s">
        <v>3048</v>
      </c>
      <c r="Q4" s="20" t="s">
        <v>3049</v>
      </c>
      <c r="R4" s="20" t="s">
        <v>3050</v>
      </c>
      <c r="S4" s="20" t="s">
        <v>3051</v>
      </c>
      <c r="T4" s="20" t="s">
        <v>3052</v>
      </c>
      <c r="U4" s="17" t="s">
        <v>3053</v>
      </c>
      <c r="V4" s="17" t="s">
        <v>3054</v>
      </c>
    </row>
    <row r="5" spans="1:27" s="25" customFormat="1" ht="33" x14ac:dyDescent="0.15">
      <c r="A5" s="21"/>
      <c r="B5" s="21"/>
      <c r="C5" s="21"/>
      <c r="D5" s="21" t="s">
        <v>3055</v>
      </c>
      <c r="E5" s="21" t="s">
        <v>3056</v>
      </c>
      <c r="F5" s="21" t="s">
        <v>3057</v>
      </c>
      <c r="G5" s="21" t="s">
        <v>3058</v>
      </c>
      <c r="H5" s="23" t="s">
        <v>3295</v>
      </c>
      <c r="I5" s="28" t="s">
        <v>3296</v>
      </c>
      <c r="J5" s="23" t="s">
        <v>3293</v>
      </c>
      <c r="K5" s="22" t="s">
        <v>3294</v>
      </c>
      <c r="L5" s="28" t="s">
        <v>3297</v>
      </c>
      <c r="M5" s="22" t="s">
        <v>2657</v>
      </c>
      <c r="N5" s="21" t="s">
        <v>2658</v>
      </c>
      <c r="O5" s="21" t="s">
        <v>3059</v>
      </c>
      <c r="P5" s="21" t="s">
        <v>3060</v>
      </c>
      <c r="Q5" s="24" t="s">
        <v>3061</v>
      </c>
      <c r="R5" s="24" t="s">
        <v>3062</v>
      </c>
      <c r="S5" s="24" t="s">
        <v>2659</v>
      </c>
      <c r="T5" s="24" t="s">
        <v>3063</v>
      </c>
      <c r="U5" s="21" t="s">
        <v>2660</v>
      </c>
      <c r="V5" s="21" t="s">
        <v>2661</v>
      </c>
    </row>
    <row r="8" spans="1:27" ht="16.5" x14ac:dyDescent="0.15">
      <c r="A8" s="4" t="s">
        <v>3064</v>
      </c>
      <c r="B8" s="4" t="s">
        <v>3065</v>
      </c>
      <c r="C8" s="4" t="s">
        <v>3066</v>
      </c>
      <c r="D8" s="4">
        <v>1</v>
      </c>
      <c r="E8" s="4">
        <v>0</v>
      </c>
      <c r="H8" s="29">
        <v>2500</v>
      </c>
      <c r="I8" s="30">
        <v>1</v>
      </c>
      <c r="L8" s="30">
        <v>105</v>
      </c>
      <c r="M8" s="4">
        <v>0</v>
      </c>
      <c r="N8" s="4">
        <v>0</v>
      </c>
      <c r="O8" s="4">
        <v>0</v>
      </c>
      <c r="P8" s="4">
        <v>0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Z8" s="38" t="s">
        <v>3285</v>
      </c>
      <c r="AA8" s="39" t="s">
        <v>3291</v>
      </c>
    </row>
    <row r="9" spans="1:27" ht="16.5" x14ac:dyDescent="0.15">
      <c r="A9" s="4" t="s">
        <v>3064</v>
      </c>
      <c r="D9" s="4">
        <v>1</v>
      </c>
      <c r="E9" s="4">
        <v>1</v>
      </c>
      <c r="H9" s="29">
        <v>1001</v>
      </c>
      <c r="I9" s="4">
        <f>[1]雷古曼!$J2</f>
        <v>1995</v>
      </c>
      <c r="L9" s="30">
        <v>800</v>
      </c>
      <c r="M9" s="4">
        <f>[1]雷古曼!E2</f>
        <v>240</v>
      </c>
      <c r="N9" s="4">
        <f>[1]雷古曼!F2</f>
        <v>8</v>
      </c>
      <c r="O9" s="4">
        <f>[1]雷古曼!G2</f>
        <v>3600</v>
      </c>
      <c r="P9" s="4">
        <v>0</v>
      </c>
      <c r="Q9" s="4">
        <f>[1]雷古曼!H2</f>
        <v>2240</v>
      </c>
      <c r="R9" s="4">
        <v>2.5</v>
      </c>
      <c r="S9" s="4">
        <f>[1]雷古曼!I2</f>
        <v>14</v>
      </c>
      <c r="T9" s="4">
        <v>0</v>
      </c>
      <c r="U9" s="4">
        <v>0</v>
      </c>
      <c r="V9" s="4">
        <v>0</v>
      </c>
      <c r="Z9" s="38" t="s">
        <v>3285</v>
      </c>
      <c r="AA9" s="39" t="s">
        <v>3292</v>
      </c>
    </row>
    <row r="10" spans="1:27" x14ac:dyDescent="0.15">
      <c r="A10" s="4" t="s">
        <v>3064</v>
      </c>
      <c r="D10" s="4">
        <v>1</v>
      </c>
      <c r="E10" s="4">
        <v>2</v>
      </c>
      <c r="H10" s="29">
        <v>1001</v>
      </c>
      <c r="I10" s="4">
        <f>[1]雷古曼!$J3</f>
        <v>2155</v>
      </c>
      <c r="L10" s="30">
        <v>800</v>
      </c>
      <c r="M10" s="4">
        <f>[1]雷古曼!E3</f>
        <v>260</v>
      </c>
      <c r="N10" s="4">
        <f>[1]雷古曼!F3</f>
        <v>18</v>
      </c>
      <c r="O10" s="4">
        <f>[1]雷古曼!G3</f>
        <v>3780</v>
      </c>
      <c r="P10" s="4">
        <v>0</v>
      </c>
      <c r="Q10" s="4">
        <f>[1]雷古曼!H3</f>
        <v>2254</v>
      </c>
      <c r="R10" s="4">
        <v>2.5</v>
      </c>
      <c r="S10" s="4">
        <f>[1]雷古曼!I3</f>
        <v>18</v>
      </c>
      <c r="T10" s="4">
        <v>0</v>
      </c>
      <c r="U10" s="4">
        <v>0</v>
      </c>
      <c r="V10" s="4">
        <v>0</v>
      </c>
    </row>
    <row r="11" spans="1:27" x14ac:dyDescent="0.15">
      <c r="A11" s="4" t="s">
        <v>3067</v>
      </c>
      <c r="D11" s="4">
        <v>1</v>
      </c>
      <c r="E11" s="4">
        <v>3</v>
      </c>
      <c r="H11" s="29">
        <v>1001</v>
      </c>
      <c r="I11" s="4">
        <f>[1]雷古曼!$J4</f>
        <v>2315</v>
      </c>
      <c r="L11" s="30">
        <v>800</v>
      </c>
      <c r="M11" s="4">
        <f>[1]雷古曼!E4</f>
        <v>280</v>
      </c>
      <c r="N11" s="4">
        <f>[1]雷古曼!F4</f>
        <v>28</v>
      </c>
      <c r="O11" s="4">
        <f>[1]雷古曼!G4</f>
        <v>3960</v>
      </c>
      <c r="P11" s="4">
        <v>0</v>
      </c>
      <c r="Q11" s="4">
        <f>[1]雷古曼!H4</f>
        <v>2268</v>
      </c>
      <c r="R11" s="4">
        <v>2.5</v>
      </c>
      <c r="S11" s="4">
        <f>[1]雷古曼!I4</f>
        <v>22</v>
      </c>
      <c r="T11" s="4">
        <v>0</v>
      </c>
      <c r="U11" s="4">
        <v>0</v>
      </c>
      <c r="V11" s="4">
        <v>0</v>
      </c>
    </row>
    <row r="12" spans="1:27" x14ac:dyDescent="0.15">
      <c r="A12" s="4" t="s">
        <v>3068</v>
      </c>
      <c r="D12" s="4">
        <v>1</v>
      </c>
      <c r="E12" s="4">
        <v>4</v>
      </c>
      <c r="H12" s="29">
        <v>1001</v>
      </c>
      <c r="I12" s="4">
        <f>[1]雷古曼!$J5</f>
        <v>2476</v>
      </c>
      <c r="L12" s="30">
        <v>800</v>
      </c>
      <c r="M12" s="4">
        <f>[1]雷古曼!E5</f>
        <v>300</v>
      </c>
      <c r="N12" s="4">
        <f>[1]雷古曼!F5</f>
        <v>38</v>
      </c>
      <c r="O12" s="4">
        <f>[1]雷古曼!G5</f>
        <v>4140</v>
      </c>
      <c r="P12" s="4">
        <v>0</v>
      </c>
      <c r="Q12" s="4">
        <f>[1]雷古曼!H5</f>
        <v>2282</v>
      </c>
      <c r="R12" s="4">
        <v>2.5</v>
      </c>
      <c r="S12" s="4">
        <f>[1]雷古曼!I5</f>
        <v>26</v>
      </c>
      <c r="T12" s="4">
        <v>0</v>
      </c>
      <c r="U12" s="4">
        <v>0</v>
      </c>
      <c r="V12" s="4">
        <v>0</v>
      </c>
    </row>
    <row r="13" spans="1:27" x14ac:dyDescent="0.15">
      <c r="A13" s="4" t="s">
        <v>3068</v>
      </c>
      <c r="D13" s="4">
        <v>1</v>
      </c>
      <c r="E13" s="4">
        <v>5</v>
      </c>
      <c r="H13" s="29">
        <v>1001</v>
      </c>
      <c r="I13" s="4">
        <f>[1]雷古曼!$J6</f>
        <v>2636</v>
      </c>
      <c r="L13" s="30">
        <v>800</v>
      </c>
      <c r="M13" s="4">
        <f>[1]雷古曼!E6</f>
        <v>320</v>
      </c>
      <c r="N13" s="4">
        <f>[1]雷古曼!F6</f>
        <v>48</v>
      </c>
      <c r="O13" s="4">
        <f>[1]雷古曼!G6</f>
        <v>4320</v>
      </c>
      <c r="P13" s="4">
        <v>0</v>
      </c>
      <c r="Q13" s="4">
        <f>[1]雷古曼!H6</f>
        <v>2296</v>
      </c>
      <c r="R13" s="4">
        <v>2.5</v>
      </c>
      <c r="S13" s="4">
        <f>[1]雷古曼!I6</f>
        <v>30</v>
      </c>
      <c r="T13" s="4">
        <v>0</v>
      </c>
      <c r="U13" s="4">
        <v>0</v>
      </c>
      <c r="V13" s="4">
        <v>0</v>
      </c>
    </row>
    <row r="14" spans="1:27" x14ac:dyDescent="0.15">
      <c r="A14" s="4" t="s">
        <v>3068</v>
      </c>
      <c r="D14" s="4">
        <v>1</v>
      </c>
      <c r="E14" s="4">
        <v>6</v>
      </c>
      <c r="H14" s="29">
        <v>1001</v>
      </c>
      <c r="I14" s="4">
        <f>[1]雷古曼!$J7</f>
        <v>2796</v>
      </c>
      <c r="L14" s="30">
        <v>800</v>
      </c>
      <c r="M14" s="4">
        <f>[1]雷古曼!E7</f>
        <v>340</v>
      </c>
      <c r="N14" s="4">
        <f>[1]雷古曼!F7</f>
        <v>58</v>
      </c>
      <c r="O14" s="4">
        <f>[1]雷古曼!G7</f>
        <v>4500</v>
      </c>
      <c r="P14" s="4">
        <v>0</v>
      </c>
      <c r="Q14" s="4">
        <f>[1]雷古曼!H7</f>
        <v>2310</v>
      </c>
      <c r="R14" s="4">
        <v>2.5</v>
      </c>
      <c r="S14" s="4">
        <f>[1]雷古曼!I7</f>
        <v>34</v>
      </c>
      <c r="T14" s="4">
        <v>0</v>
      </c>
      <c r="U14" s="4">
        <v>0</v>
      </c>
      <c r="V14" s="4">
        <v>0</v>
      </c>
    </row>
    <row r="15" spans="1:27" x14ac:dyDescent="0.15">
      <c r="A15" s="4" t="s">
        <v>3068</v>
      </c>
      <c r="D15" s="4">
        <v>1</v>
      </c>
      <c r="E15" s="4">
        <v>7</v>
      </c>
      <c r="H15" s="29">
        <v>1001</v>
      </c>
      <c r="I15" s="4">
        <f>[1]雷古曼!$J8</f>
        <v>2956</v>
      </c>
      <c r="L15" s="30">
        <v>800</v>
      </c>
      <c r="M15" s="4">
        <f>[1]雷古曼!E8</f>
        <v>360</v>
      </c>
      <c r="N15" s="4">
        <f>[1]雷古曼!F8</f>
        <v>68</v>
      </c>
      <c r="O15" s="4">
        <f>[1]雷古曼!G8</f>
        <v>4680</v>
      </c>
      <c r="P15" s="4">
        <v>0</v>
      </c>
      <c r="Q15" s="4">
        <f>[1]雷古曼!H8</f>
        <v>2324</v>
      </c>
      <c r="R15" s="4">
        <v>2.5</v>
      </c>
      <c r="S15" s="4">
        <f>[1]雷古曼!I8</f>
        <v>38</v>
      </c>
      <c r="T15" s="4">
        <v>0</v>
      </c>
      <c r="U15" s="4">
        <v>0</v>
      </c>
      <c r="V15" s="4">
        <v>0</v>
      </c>
    </row>
    <row r="16" spans="1:27" x14ac:dyDescent="0.15">
      <c r="A16" s="4" t="s">
        <v>3068</v>
      </c>
      <c r="D16" s="4">
        <v>1</v>
      </c>
      <c r="E16" s="4">
        <v>8</v>
      </c>
      <c r="H16" s="29">
        <v>1001</v>
      </c>
      <c r="I16" s="4">
        <f>[1]雷古曼!$J9</f>
        <v>3117</v>
      </c>
      <c r="L16" s="30">
        <v>800</v>
      </c>
      <c r="M16" s="4">
        <f>[1]雷古曼!E9</f>
        <v>380</v>
      </c>
      <c r="N16" s="4">
        <f>[1]雷古曼!F9</f>
        <v>78</v>
      </c>
      <c r="O16" s="4">
        <f>[1]雷古曼!G9</f>
        <v>4860</v>
      </c>
      <c r="P16" s="4">
        <v>0</v>
      </c>
      <c r="Q16" s="4">
        <f>[1]雷古曼!H9</f>
        <v>2338</v>
      </c>
      <c r="R16" s="4">
        <v>2.5</v>
      </c>
      <c r="S16" s="4">
        <f>[1]雷古曼!I9</f>
        <v>42</v>
      </c>
      <c r="T16" s="4">
        <v>0</v>
      </c>
      <c r="U16" s="4">
        <v>0</v>
      </c>
      <c r="V16" s="4">
        <v>0</v>
      </c>
    </row>
    <row r="17" spans="1:22" x14ac:dyDescent="0.15">
      <c r="A17" s="4" t="s">
        <v>3068</v>
      </c>
      <c r="D17" s="4">
        <v>1</v>
      </c>
      <c r="E17" s="4">
        <v>9</v>
      </c>
      <c r="H17" s="29">
        <v>1001</v>
      </c>
      <c r="I17" s="4">
        <f>[1]雷古曼!$J10</f>
        <v>3277</v>
      </c>
      <c r="L17" s="30">
        <v>800</v>
      </c>
      <c r="M17" s="4">
        <f>[1]雷古曼!E10</f>
        <v>400</v>
      </c>
      <c r="N17" s="4">
        <f>[1]雷古曼!F10</f>
        <v>88</v>
      </c>
      <c r="O17" s="4">
        <f>[1]雷古曼!G10</f>
        <v>5040</v>
      </c>
      <c r="P17" s="4">
        <v>0</v>
      </c>
      <c r="Q17" s="4">
        <f>[1]雷古曼!H10</f>
        <v>2352</v>
      </c>
      <c r="R17" s="4">
        <v>2.5</v>
      </c>
      <c r="S17" s="4">
        <f>[1]雷古曼!I10</f>
        <v>46</v>
      </c>
      <c r="T17" s="4">
        <v>0</v>
      </c>
      <c r="U17" s="4">
        <v>0</v>
      </c>
      <c r="V17" s="4">
        <v>0</v>
      </c>
    </row>
    <row r="18" spans="1:22" x14ac:dyDescent="0.15">
      <c r="A18" s="4" t="s">
        <v>3068</v>
      </c>
      <c r="D18" s="4">
        <v>1</v>
      </c>
      <c r="E18" s="4">
        <v>10</v>
      </c>
      <c r="H18" s="29">
        <v>1001</v>
      </c>
      <c r="I18" s="4">
        <f>[1]雷古曼!$J11</f>
        <v>3437</v>
      </c>
      <c r="L18" s="30">
        <v>800</v>
      </c>
      <c r="M18" s="4">
        <f>[1]雷古曼!E11</f>
        <v>420</v>
      </c>
      <c r="N18" s="4">
        <f>[1]雷古曼!F11</f>
        <v>98</v>
      </c>
      <c r="O18" s="4">
        <f>[1]雷古曼!G11</f>
        <v>5220</v>
      </c>
      <c r="P18" s="4">
        <v>0</v>
      </c>
      <c r="Q18" s="4">
        <f>[1]雷古曼!H11</f>
        <v>2366</v>
      </c>
      <c r="R18" s="4">
        <v>2.5</v>
      </c>
      <c r="S18" s="4">
        <f>[1]雷古曼!I11</f>
        <v>50</v>
      </c>
      <c r="T18" s="4">
        <v>0</v>
      </c>
      <c r="U18" s="4">
        <v>0</v>
      </c>
      <c r="V18" s="4">
        <v>0</v>
      </c>
    </row>
    <row r="19" spans="1:22" x14ac:dyDescent="0.15">
      <c r="A19" s="4" t="s">
        <v>3068</v>
      </c>
      <c r="D19" s="4">
        <v>1</v>
      </c>
      <c r="E19" s="4">
        <v>11</v>
      </c>
      <c r="H19" s="29">
        <v>1001</v>
      </c>
      <c r="I19" s="4">
        <f>[1]雷古曼!$J12</f>
        <v>3598</v>
      </c>
      <c r="L19" s="30">
        <v>800</v>
      </c>
      <c r="M19" s="4">
        <f>[1]雷古曼!E12</f>
        <v>440</v>
      </c>
      <c r="N19" s="4">
        <f>[1]雷古曼!F12</f>
        <v>108</v>
      </c>
      <c r="O19" s="4">
        <f>[1]雷古曼!G12</f>
        <v>5400</v>
      </c>
      <c r="P19" s="4">
        <v>0</v>
      </c>
      <c r="Q19" s="4">
        <f>[1]雷古曼!H12</f>
        <v>2380</v>
      </c>
      <c r="R19" s="4">
        <v>2.5</v>
      </c>
      <c r="S19" s="4">
        <f>[1]雷古曼!I12</f>
        <v>54</v>
      </c>
      <c r="T19" s="4">
        <v>0</v>
      </c>
      <c r="U19" s="4">
        <v>0</v>
      </c>
      <c r="V19" s="4">
        <v>0</v>
      </c>
    </row>
    <row r="20" spans="1:22" x14ac:dyDescent="0.15">
      <c r="A20" s="4" t="s">
        <v>3068</v>
      </c>
      <c r="D20" s="4">
        <v>1</v>
      </c>
      <c r="E20" s="4">
        <v>12</v>
      </c>
      <c r="H20" s="29">
        <v>1001</v>
      </c>
      <c r="I20" s="4">
        <f>[1]雷古曼!$J13</f>
        <v>3758</v>
      </c>
      <c r="L20" s="30">
        <v>800</v>
      </c>
      <c r="M20" s="4">
        <f>[1]雷古曼!E13</f>
        <v>460</v>
      </c>
      <c r="N20" s="4">
        <f>[1]雷古曼!F13</f>
        <v>118</v>
      </c>
      <c r="O20" s="4">
        <f>[1]雷古曼!G13</f>
        <v>5580</v>
      </c>
      <c r="P20" s="4">
        <v>0</v>
      </c>
      <c r="Q20" s="4">
        <f>[1]雷古曼!H13</f>
        <v>2394</v>
      </c>
      <c r="R20" s="4">
        <v>2.5</v>
      </c>
      <c r="S20" s="4">
        <f>[1]雷古曼!I13</f>
        <v>58</v>
      </c>
      <c r="T20" s="4">
        <v>0</v>
      </c>
      <c r="U20" s="4">
        <v>0</v>
      </c>
      <c r="V20" s="4">
        <v>0</v>
      </c>
    </row>
    <row r="21" spans="1:22" x14ac:dyDescent="0.15">
      <c r="A21" s="4" t="s">
        <v>3068</v>
      </c>
      <c r="D21" s="4">
        <v>1</v>
      </c>
      <c r="E21" s="4">
        <v>13</v>
      </c>
      <c r="H21" s="29">
        <v>1001</v>
      </c>
      <c r="I21" s="4">
        <f>[1]雷古曼!$J14</f>
        <v>3918</v>
      </c>
      <c r="L21" s="30">
        <v>800</v>
      </c>
      <c r="M21" s="4">
        <f>[1]雷古曼!E14</f>
        <v>480</v>
      </c>
      <c r="N21" s="4">
        <f>[1]雷古曼!F14</f>
        <v>128</v>
      </c>
      <c r="O21" s="4">
        <f>[1]雷古曼!G14</f>
        <v>5760</v>
      </c>
      <c r="P21" s="4">
        <v>0</v>
      </c>
      <c r="Q21" s="4">
        <f>[1]雷古曼!H14</f>
        <v>2408</v>
      </c>
      <c r="R21" s="4">
        <v>2.5</v>
      </c>
      <c r="S21" s="4">
        <f>[1]雷古曼!I14</f>
        <v>62</v>
      </c>
      <c r="T21" s="4">
        <v>0</v>
      </c>
      <c r="U21" s="4">
        <v>0</v>
      </c>
      <c r="V21" s="4">
        <v>0</v>
      </c>
    </row>
    <row r="22" spans="1:22" x14ac:dyDescent="0.15">
      <c r="A22" s="4" t="s">
        <v>3068</v>
      </c>
      <c r="D22" s="4">
        <v>1</v>
      </c>
      <c r="E22" s="4">
        <v>14</v>
      </c>
      <c r="H22" s="29">
        <v>1001</v>
      </c>
      <c r="I22" s="4">
        <f>[1]雷古曼!$J15</f>
        <v>4078</v>
      </c>
      <c r="L22" s="30">
        <v>800</v>
      </c>
      <c r="M22" s="4">
        <f>[1]雷古曼!E15</f>
        <v>500</v>
      </c>
      <c r="N22" s="4">
        <f>[1]雷古曼!F15</f>
        <v>138</v>
      </c>
      <c r="O22" s="4">
        <f>[1]雷古曼!G15</f>
        <v>5940</v>
      </c>
      <c r="P22" s="4">
        <v>0</v>
      </c>
      <c r="Q22" s="4">
        <f>[1]雷古曼!H15</f>
        <v>2422</v>
      </c>
      <c r="R22" s="4">
        <v>2.5</v>
      </c>
      <c r="S22" s="4">
        <f>[1]雷古曼!I15</f>
        <v>66</v>
      </c>
      <c r="T22" s="4">
        <v>0</v>
      </c>
      <c r="U22" s="4">
        <v>0</v>
      </c>
      <c r="V22" s="4">
        <v>0</v>
      </c>
    </row>
    <row r="23" spans="1:22" x14ac:dyDescent="0.15">
      <c r="A23" s="4" t="s">
        <v>3068</v>
      </c>
      <c r="D23" s="4">
        <v>1</v>
      </c>
      <c r="E23" s="4">
        <v>15</v>
      </c>
      <c r="H23" s="29">
        <v>1001</v>
      </c>
      <c r="I23" s="4">
        <f>[1]雷古曼!$J16</f>
        <v>4239</v>
      </c>
      <c r="L23" s="30">
        <v>800</v>
      </c>
      <c r="M23" s="4">
        <f>[1]雷古曼!E16</f>
        <v>520</v>
      </c>
      <c r="N23" s="4">
        <f>[1]雷古曼!F16</f>
        <v>148</v>
      </c>
      <c r="O23" s="4">
        <f>[1]雷古曼!G16</f>
        <v>6120</v>
      </c>
      <c r="P23" s="4">
        <v>0</v>
      </c>
      <c r="Q23" s="4">
        <f>[1]雷古曼!H16</f>
        <v>2436</v>
      </c>
      <c r="R23" s="4">
        <v>2.5</v>
      </c>
      <c r="S23" s="4">
        <f>[1]雷古曼!I16</f>
        <v>70</v>
      </c>
      <c r="T23" s="4">
        <v>0</v>
      </c>
      <c r="U23" s="4">
        <v>0</v>
      </c>
      <c r="V23" s="4">
        <v>0</v>
      </c>
    </row>
    <row r="24" spans="1:22" x14ac:dyDescent="0.15">
      <c r="A24" s="4" t="s">
        <v>3068</v>
      </c>
      <c r="D24" s="4">
        <v>1</v>
      </c>
      <c r="E24" s="4">
        <v>16</v>
      </c>
      <c r="H24" s="29">
        <v>1001</v>
      </c>
      <c r="I24" s="4">
        <f>[1]雷古曼!$J17</f>
        <v>4399</v>
      </c>
      <c r="L24" s="30">
        <v>800</v>
      </c>
      <c r="M24" s="4">
        <f>[1]雷古曼!E17</f>
        <v>540</v>
      </c>
      <c r="N24" s="4">
        <f>[1]雷古曼!F17</f>
        <v>158</v>
      </c>
      <c r="O24" s="4">
        <f>[1]雷古曼!G17</f>
        <v>6300</v>
      </c>
      <c r="P24" s="4">
        <v>0</v>
      </c>
      <c r="Q24" s="4">
        <f>[1]雷古曼!H17</f>
        <v>2450</v>
      </c>
      <c r="R24" s="4">
        <v>2.5</v>
      </c>
      <c r="S24" s="4">
        <f>[1]雷古曼!I17</f>
        <v>74</v>
      </c>
      <c r="T24" s="4">
        <v>0</v>
      </c>
      <c r="U24" s="4">
        <v>0</v>
      </c>
      <c r="V24" s="4">
        <v>0</v>
      </c>
    </row>
    <row r="25" spans="1:22" x14ac:dyDescent="0.15">
      <c r="A25" s="4" t="s">
        <v>3068</v>
      </c>
      <c r="D25" s="4">
        <v>1</v>
      </c>
      <c r="E25" s="4">
        <v>17</v>
      </c>
      <c r="H25" s="29">
        <v>1001</v>
      </c>
      <c r="I25" s="4">
        <f>[1]雷古曼!$J18</f>
        <v>4559</v>
      </c>
      <c r="L25" s="30">
        <v>800</v>
      </c>
      <c r="M25" s="4">
        <f>[1]雷古曼!E18</f>
        <v>560</v>
      </c>
      <c r="N25" s="4">
        <f>[1]雷古曼!F18</f>
        <v>168</v>
      </c>
      <c r="O25" s="4">
        <f>[1]雷古曼!G18</f>
        <v>6480</v>
      </c>
      <c r="P25" s="4">
        <v>0</v>
      </c>
      <c r="Q25" s="4">
        <f>[1]雷古曼!H18</f>
        <v>2464</v>
      </c>
      <c r="R25" s="4">
        <v>2.5</v>
      </c>
      <c r="S25" s="4">
        <f>[1]雷古曼!I18</f>
        <v>78</v>
      </c>
      <c r="T25" s="4">
        <v>0</v>
      </c>
      <c r="U25" s="4">
        <v>0</v>
      </c>
      <c r="V25" s="4">
        <v>0</v>
      </c>
    </row>
    <row r="26" spans="1:22" x14ac:dyDescent="0.15">
      <c r="A26" s="4" t="s">
        <v>3068</v>
      </c>
      <c r="D26" s="4">
        <v>1</v>
      </c>
      <c r="E26" s="4">
        <v>18</v>
      </c>
      <c r="H26" s="29">
        <v>1001</v>
      </c>
      <c r="I26" s="4">
        <f>[1]雷古曼!$J19</f>
        <v>4720</v>
      </c>
      <c r="L26" s="30">
        <v>800</v>
      </c>
      <c r="M26" s="4">
        <f>[1]雷古曼!E19</f>
        <v>580</v>
      </c>
      <c r="N26" s="4">
        <f>[1]雷古曼!F19</f>
        <v>178</v>
      </c>
      <c r="O26" s="4">
        <f>[1]雷古曼!G19</f>
        <v>6660</v>
      </c>
      <c r="P26" s="4">
        <v>0</v>
      </c>
      <c r="Q26" s="4">
        <f>[1]雷古曼!H19</f>
        <v>2478</v>
      </c>
      <c r="R26" s="4">
        <v>2.5</v>
      </c>
      <c r="S26" s="4">
        <f>[1]雷古曼!I19</f>
        <v>82</v>
      </c>
      <c r="T26" s="4">
        <v>0</v>
      </c>
      <c r="U26" s="4">
        <v>0</v>
      </c>
      <c r="V26" s="4">
        <v>0</v>
      </c>
    </row>
    <row r="27" spans="1:22" x14ac:dyDescent="0.15">
      <c r="A27" s="4" t="s">
        <v>3068</v>
      </c>
      <c r="D27" s="4">
        <v>1</v>
      </c>
      <c r="E27" s="4">
        <v>19</v>
      </c>
      <c r="H27" s="29">
        <v>1001</v>
      </c>
      <c r="I27" s="4">
        <f>[1]雷古曼!$J20</f>
        <v>4880</v>
      </c>
      <c r="L27" s="30">
        <v>800</v>
      </c>
      <c r="M27" s="4">
        <f>[1]雷古曼!E20</f>
        <v>600</v>
      </c>
      <c r="N27" s="4">
        <f>[1]雷古曼!F20</f>
        <v>188</v>
      </c>
      <c r="O27" s="4">
        <f>[1]雷古曼!G20</f>
        <v>6840</v>
      </c>
      <c r="P27" s="4">
        <v>0</v>
      </c>
      <c r="Q27" s="4">
        <f>[1]雷古曼!H20</f>
        <v>2492</v>
      </c>
      <c r="R27" s="4">
        <v>2.5</v>
      </c>
      <c r="S27" s="4">
        <f>[1]雷古曼!I20</f>
        <v>86</v>
      </c>
      <c r="T27" s="4">
        <v>0</v>
      </c>
      <c r="U27" s="4">
        <v>0</v>
      </c>
      <c r="V27" s="4">
        <v>0</v>
      </c>
    </row>
    <row r="28" spans="1:22" x14ac:dyDescent="0.15">
      <c r="A28" s="4" t="s">
        <v>3068</v>
      </c>
      <c r="D28" s="4">
        <v>1</v>
      </c>
      <c r="E28" s="4">
        <v>20</v>
      </c>
      <c r="H28" s="29">
        <v>1001</v>
      </c>
      <c r="I28" s="4">
        <f>[1]雷古曼!$J21</f>
        <v>5040</v>
      </c>
      <c r="L28" s="30">
        <v>800</v>
      </c>
      <c r="M28" s="4">
        <f>[1]雷古曼!E21</f>
        <v>620</v>
      </c>
      <c r="N28" s="4">
        <f>[1]雷古曼!F21</f>
        <v>198</v>
      </c>
      <c r="O28" s="4">
        <f>[1]雷古曼!G21</f>
        <v>7020</v>
      </c>
      <c r="P28" s="4">
        <v>0</v>
      </c>
      <c r="Q28" s="4">
        <f>[1]雷古曼!H21</f>
        <v>2506</v>
      </c>
      <c r="R28" s="4">
        <v>2.5</v>
      </c>
      <c r="S28" s="4">
        <f>[1]雷古曼!I21</f>
        <v>90</v>
      </c>
      <c r="T28" s="4">
        <v>0</v>
      </c>
      <c r="U28" s="4">
        <v>0</v>
      </c>
      <c r="V28" s="4">
        <v>0</v>
      </c>
    </row>
    <row r="29" spans="1:22" x14ac:dyDescent="0.15">
      <c r="A29" s="4" t="s">
        <v>3068</v>
      </c>
      <c r="D29" s="4">
        <v>1</v>
      </c>
      <c r="E29" s="4">
        <v>21</v>
      </c>
      <c r="H29" s="29">
        <v>1001</v>
      </c>
      <c r="I29" s="4">
        <f>[1]雷古曼!$J22</f>
        <v>5200</v>
      </c>
      <c r="L29" s="30">
        <v>800</v>
      </c>
      <c r="M29" s="4">
        <f>[1]雷古曼!E22</f>
        <v>640</v>
      </c>
      <c r="N29" s="4">
        <f>[1]雷古曼!F22</f>
        <v>208</v>
      </c>
      <c r="O29" s="4">
        <f>[1]雷古曼!G22</f>
        <v>7200</v>
      </c>
      <c r="P29" s="4">
        <v>0</v>
      </c>
      <c r="Q29" s="4">
        <f>[1]雷古曼!H22</f>
        <v>2520</v>
      </c>
      <c r="R29" s="4">
        <v>2.5</v>
      </c>
      <c r="S29" s="4">
        <f>[1]雷古曼!I22</f>
        <v>94</v>
      </c>
      <c r="T29" s="4">
        <v>0</v>
      </c>
      <c r="U29" s="4">
        <v>0</v>
      </c>
      <c r="V29" s="4">
        <v>0</v>
      </c>
    </row>
    <row r="30" spans="1:22" x14ac:dyDescent="0.15">
      <c r="A30" s="4" t="s">
        <v>3068</v>
      </c>
      <c r="D30" s="4">
        <v>1</v>
      </c>
      <c r="E30" s="4">
        <v>22</v>
      </c>
      <c r="H30" s="29">
        <v>1001</v>
      </c>
      <c r="I30" s="4">
        <f>[1]雷古曼!$J23</f>
        <v>5361</v>
      </c>
      <c r="L30" s="30">
        <v>800</v>
      </c>
      <c r="M30" s="4">
        <f>[1]雷古曼!E23</f>
        <v>660</v>
      </c>
      <c r="N30" s="4">
        <f>[1]雷古曼!F23</f>
        <v>218</v>
      </c>
      <c r="O30" s="4">
        <f>[1]雷古曼!G23</f>
        <v>7380</v>
      </c>
      <c r="P30" s="4">
        <v>0</v>
      </c>
      <c r="Q30" s="4">
        <f>[1]雷古曼!H23</f>
        <v>2534</v>
      </c>
      <c r="R30" s="4">
        <v>2.5</v>
      </c>
      <c r="S30" s="4">
        <f>[1]雷古曼!I23</f>
        <v>98</v>
      </c>
      <c r="T30" s="4">
        <v>0</v>
      </c>
      <c r="U30" s="4">
        <v>0</v>
      </c>
      <c r="V30" s="4">
        <v>0</v>
      </c>
    </row>
    <row r="31" spans="1:22" x14ac:dyDescent="0.15">
      <c r="A31" s="4" t="s">
        <v>3068</v>
      </c>
      <c r="D31" s="4">
        <v>1</v>
      </c>
      <c r="E31" s="4">
        <v>23</v>
      </c>
      <c r="H31" s="29">
        <v>1001</v>
      </c>
      <c r="I31" s="4">
        <f>[1]雷古曼!$J24</f>
        <v>5521</v>
      </c>
      <c r="L31" s="30">
        <v>800</v>
      </c>
      <c r="M31" s="4">
        <f>[1]雷古曼!E24</f>
        <v>680</v>
      </c>
      <c r="N31" s="4">
        <f>[1]雷古曼!F24</f>
        <v>228</v>
      </c>
      <c r="O31" s="4">
        <f>[1]雷古曼!G24</f>
        <v>7560</v>
      </c>
      <c r="P31" s="4">
        <v>0</v>
      </c>
      <c r="Q31" s="4">
        <f>[1]雷古曼!H24</f>
        <v>2548</v>
      </c>
      <c r="R31" s="4">
        <v>2.5</v>
      </c>
      <c r="S31" s="4">
        <f>[1]雷古曼!I24</f>
        <v>102</v>
      </c>
      <c r="T31" s="4">
        <v>0</v>
      </c>
      <c r="U31" s="4">
        <v>0</v>
      </c>
      <c r="V31" s="4">
        <v>0</v>
      </c>
    </row>
    <row r="32" spans="1:22" x14ac:dyDescent="0.15">
      <c r="A32" s="4" t="s">
        <v>3068</v>
      </c>
      <c r="D32" s="4">
        <v>1</v>
      </c>
      <c r="E32" s="4">
        <v>24</v>
      </c>
      <c r="H32" s="29">
        <v>1001</v>
      </c>
      <c r="I32" s="4">
        <f>[1]雷古曼!$J25</f>
        <v>5681</v>
      </c>
      <c r="L32" s="30">
        <v>800</v>
      </c>
      <c r="M32" s="4">
        <f>[1]雷古曼!E25</f>
        <v>700</v>
      </c>
      <c r="N32" s="4">
        <f>[1]雷古曼!F25</f>
        <v>238</v>
      </c>
      <c r="O32" s="4">
        <f>[1]雷古曼!G25</f>
        <v>7740</v>
      </c>
      <c r="P32" s="4">
        <v>0</v>
      </c>
      <c r="Q32" s="4">
        <f>[1]雷古曼!H25</f>
        <v>2562</v>
      </c>
      <c r="R32" s="4">
        <v>2.5</v>
      </c>
      <c r="S32" s="4">
        <f>[1]雷古曼!I25</f>
        <v>106</v>
      </c>
      <c r="T32" s="4">
        <v>0</v>
      </c>
      <c r="U32" s="4">
        <v>0</v>
      </c>
      <c r="V32" s="4">
        <v>0</v>
      </c>
    </row>
    <row r="33" spans="1:22" x14ac:dyDescent="0.15">
      <c r="A33" s="4" t="s">
        <v>3068</v>
      </c>
      <c r="D33" s="4">
        <v>1</v>
      </c>
      <c r="E33" s="4">
        <v>25</v>
      </c>
      <c r="H33" s="29">
        <v>1001</v>
      </c>
      <c r="I33" s="4">
        <f>[1]雷古曼!$J26</f>
        <v>5842</v>
      </c>
      <c r="L33" s="30">
        <v>800</v>
      </c>
      <c r="M33" s="4">
        <f>[1]雷古曼!E26</f>
        <v>720</v>
      </c>
      <c r="N33" s="4">
        <f>[1]雷古曼!F26</f>
        <v>248</v>
      </c>
      <c r="O33" s="4">
        <f>[1]雷古曼!G26</f>
        <v>7920</v>
      </c>
      <c r="P33" s="4">
        <v>0</v>
      </c>
      <c r="Q33" s="4">
        <f>[1]雷古曼!H26</f>
        <v>2576</v>
      </c>
      <c r="R33" s="4">
        <v>2.5</v>
      </c>
      <c r="S33" s="4">
        <f>[1]雷古曼!I26</f>
        <v>110</v>
      </c>
      <c r="T33" s="4">
        <v>0</v>
      </c>
      <c r="U33" s="4">
        <v>0</v>
      </c>
      <c r="V33" s="4">
        <v>0</v>
      </c>
    </row>
    <row r="34" spans="1:22" x14ac:dyDescent="0.15">
      <c r="A34" s="4" t="s">
        <v>3068</v>
      </c>
      <c r="D34" s="4">
        <v>1</v>
      </c>
      <c r="E34" s="4">
        <v>26</v>
      </c>
      <c r="H34" s="29">
        <v>1001</v>
      </c>
      <c r="I34" s="4">
        <f>[1]雷古曼!$J27</f>
        <v>6002</v>
      </c>
      <c r="L34" s="30">
        <v>800</v>
      </c>
      <c r="M34" s="4">
        <f>[1]雷古曼!E27</f>
        <v>740</v>
      </c>
      <c r="N34" s="4">
        <f>[1]雷古曼!F27</f>
        <v>258</v>
      </c>
      <c r="O34" s="4">
        <f>[1]雷古曼!G27</f>
        <v>8100</v>
      </c>
      <c r="P34" s="4">
        <v>0</v>
      </c>
      <c r="Q34" s="4">
        <f>[1]雷古曼!H27</f>
        <v>2590</v>
      </c>
      <c r="R34" s="4">
        <v>2.5</v>
      </c>
      <c r="S34" s="4">
        <f>[1]雷古曼!I27</f>
        <v>114</v>
      </c>
      <c r="T34" s="4">
        <v>0</v>
      </c>
      <c r="U34" s="4">
        <v>0</v>
      </c>
      <c r="V34" s="4">
        <v>0</v>
      </c>
    </row>
    <row r="35" spans="1:22" x14ac:dyDescent="0.15">
      <c r="A35" s="4" t="s">
        <v>3068</v>
      </c>
      <c r="D35" s="4">
        <v>1</v>
      </c>
      <c r="E35" s="4">
        <v>27</v>
      </c>
      <c r="H35" s="29">
        <v>1001</v>
      </c>
      <c r="I35" s="4">
        <f>[1]雷古曼!$J28</f>
        <v>6162</v>
      </c>
      <c r="L35" s="30">
        <v>800</v>
      </c>
      <c r="M35" s="4">
        <f>[1]雷古曼!E28</f>
        <v>760</v>
      </c>
      <c r="N35" s="4">
        <f>[1]雷古曼!F28</f>
        <v>268</v>
      </c>
      <c r="O35" s="4">
        <f>[1]雷古曼!G28</f>
        <v>8280</v>
      </c>
      <c r="P35" s="4">
        <v>0</v>
      </c>
      <c r="Q35" s="4">
        <f>[1]雷古曼!H28</f>
        <v>2604</v>
      </c>
      <c r="R35" s="4">
        <v>2.5</v>
      </c>
      <c r="S35" s="4">
        <f>[1]雷古曼!I28</f>
        <v>118</v>
      </c>
      <c r="T35" s="4">
        <v>0</v>
      </c>
      <c r="U35" s="4">
        <v>0</v>
      </c>
      <c r="V35" s="4">
        <v>0</v>
      </c>
    </row>
    <row r="36" spans="1:22" x14ac:dyDescent="0.15">
      <c r="A36" s="4" t="s">
        <v>3068</v>
      </c>
      <c r="D36" s="4">
        <v>1</v>
      </c>
      <c r="E36" s="4">
        <v>28</v>
      </c>
      <c r="H36" s="29">
        <v>1001</v>
      </c>
      <c r="I36" s="4">
        <f>[1]雷古曼!$J29</f>
        <v>6322</v>
      </c>
      <c r="L36" s="30">
        <v>800</v>
      </c>
      <c r="M36" s="4">
        <f>[1]雷古曼!E29</f>
        <v>780</v>
      </c>
      <c r="N36" s="4">
        <f>[1]雷古曼!F29</f>
        <v>278</v>
      </c>
      <c r="O36" s="4">
        <f>[1]雷古曼!G29</f>
        <v>8460</v>
      </c>
      <c r="P36" s="4">
        <v>0</v>
      </c>
      <c r="Q36" s="4">
        <f>[1]雷古曼!H29</f>
        <v>2618</v>
      </c>
      <c r="R36" s="4">
        <v>2.5</v>
      </c>
      <c r="S36" s="4">
        <f>[1]雷古曼!I29</f>
        <v>122</v>
      </c>
      <c r="T36" s="4">
        <v>0</v>
      </c>
      <c r="U36" s="4">
        <v>0</v>
      </c>
      <c r="V36" s="4">
        <v>0</v>
      </c>
    </row>
    <row r="37" spans="1:22" x14ac:dyDescent="0.15">
      <c r="A37" s="4" t="s">
        <v>3068</v>
      </c>
      <c r="D37" s="4">
        <v>1</v>
      </c>
      <c r="E37" s="4">
        <v>29</v>
      </c>
      <c r="H37" s="29">
        <v>1001</v>
      </c>
      <c r="I37" s="4">
        <f>[1]雷古曼!$J30</f>
        <v>6483</v>
      </c>
      <c r="L37" s="30">
        <v>800</v>
      </c>
      <c r="M37" s="4">
        <f>[1]雷古曼!E30</f>
        <v>800</v>
      </c>
      <c r="N37" s="4">
        <f>[1]雷古曼!F30</f>
        <v>288</v>
      </c>
      <c r="O37" s="4">
        <f>[1]雷古曼!G30</f>
        <v>8640</v>
      </c>
      <c r="P37" s="4">
        <v>0</v>
      </c>
      <c r="Q37" s="4">
        <f>[1]雷古曼!H30</f>
        <v>2632</v>
      </c>
      <c r="R37" s="4">
        <v>2.5</v>
      </c>
      <c r="S37" s="4">
        <f>[1]雷古曼!I30</f>
        <v>126</v>
      </c>
      <c r="T37" s="4">
        <v>0</v>
      </c>
      <c r="U37" s="4">
        <v>0</v>
      </c>
      <c r="V37" s="4">
        <v>0</v>
      </c>
    </row>
    <row r="38" spans="1:22" x14ac:dyDescent="0.15">
      <c r="A38" s="4" t="s">
        <v>3068</v>
      </c>
      <c r="D38" s="4">
        <v>1</v>
      </c>
      <c r="E38" s="4">
        <v>30</v>
      </c>
      <c r="H38" s="29">
        <v>1001</v>
      </c>
      <c r="I38" s="4">
        <f>[1]雷古曼!$J31</f>
        <v>6643</v>
      </c>
      <c r="L38" s="30">
        <v>800</v>
      </c>
      <c r="M38" s="4">
        <f>[1]雷古曼!E31</f>
        <v>820</v>
      </c>
      <c r="N38" s="4">
        <f>[1]雷古曼!F31</f>
        <v>298</v>
      </c>
      <c r="O38" s="4">
        <f>[1]雷古曼!G31</f>
        <v>8820</v>
      </c>
      <c r="P38" s="4">
        <v>0</v>
      </c>
      <c r="Q38" s="4">
        <f>[1]雷古曼!H31</f>
        <v>2646</v>
      </c>
      <c r="R38" s="4">
        <v>2.5</v>
      </c>
      <c r="S38" s="4">
        <f>[1]雷古曼!I31</f>
        <v>130</v>
      </c>
      <c r="T38" s="4">
        <v>0</v>
      </c>
      <c r="U38" s="4">
        <v>0</v>
      </c>
      <c r="V38" s="4">
        <v>0</v>
      </c>
    </row>
    <row r="39" spans="1:22" x14ac:dyDescent="0.15">
      <c r="A39" s="4" t="s">
        <v>3068</v>
      </c>
      <c r="D39" s="4">
        <v>1</v>
      </c>
      <c r="E39" s="4">
        <v>31</v>
      </c>
      <c r="H39" s="29">
        <v>1001</v>
      </c>
      <c r="I39" s="4">
        <f>[1]雷古曼!$J32</f>
        <v>6803</v>
      </c>
      <c r="L39" s="30">
        <v>800</v>
      </c>
      <c r="M39" s="4">
        <f>[1]雷古曼!E32</f>
        <v>840</v>
      </c>
      <c r="N39" s="4">
        <f>[1]雷古曼!F32</f>
        <v>308</v>
      </c>
      <c r="O39" s="4">
        <f>[1]雷古曼!G32</f>
        <v>9000</v>
      </c>
      <c r="P39" s="4">
        <v>0</v>
      </c>
      <c r="Q39" s="4">
        <f>[1]雷古曼!H32</f>
        <v>2660</v>
      </c>
      <c r="R39" s="4">
        <v>2.5</v>
      </c>
      <c r="S39" s="4">
        <f>[1]雷古曼!I32</f>
        <v>134</v>
      </c>
      <c r="T39" s="4">
        <v>0</v>
      </c>
      <c r="U39" s="4">
        <v>0</v>
      </c>
      <c r="V39" s="4">
        <v>0</v>
      </c>
    </row>
    <row r="40" spans="1:22" x14ac:dyDescent="0.15">
      <c r="A40" s="4" t="s">
        <v>3068</v>
      </c>
      <c r="D40" s="4">
        <v>1</v>
      </c>
      <c r="E40" s="4">
        <v>32</v>
      </c>
      <c r="H40" s="29">
        <v>1001</v>
      </c>
      <c r="I40" s="4">
        <f>[1]雷古曼!$J33</f>
        <v>6963</v>
      </c>
      <c r="L40" s="30">
        <v>800</v>
      </c>
      <c r="M40" s="4">
        <f>[1]雷古曼!E33</f>
        <v>860</v>
      </c>
      <c r="N40" s="4">
        <f>[1]雷古曼!F33</f>
        <v>318</v>
      </c>
      <c r="O40" s="4">
        <f>[1]雷古曼!G33</f>
        <v>9180</v>
      </c>
      <c r="P40" s="4">
        <v>0</v>
      </c>
      <c r="Q40" s="4">
        <f>[1]雷古曼!H33</f>
        <v>2674</v>
      </c>
      <c r="R40" s="4">
        <v>2.5</v>
      </c>
      <c r="S40" s="4">
        <f>[1]雷古曼!I33</f>
        <v>138</v>
      </c>
      <c r="T40" s="4">
        <v>0</v>
      </c>
      <c r="U40" s="4">
        <v>0</v>
      </c>
      <c r="V40" s="4">
        <v>0</v>
      </c>
    </row>
    <row r="41" spans="1:22" x14ac:dyDescent="0.15">
      <c r="A41" s="4" t="s">
        <v>3068</v>
      </c>
      <c r="D41" s="4">
        <v>1</v>
      </c>
      <c r="E41" s="4">
        <v>33</v>
      </c>
      <c r="H41" s="29">
        <v>1001</v>
      </c>
      <c r="I41" s="4">
        <f>[1]雷古曼!$J34</f>
        <v>7124</v>
      </c>
      <c r="L41" s="30">
        <v>800</v>
      </c>
      <c r="M41" s="4">
        <f>[1]雷古曼!E34</f>
        <v>880</v>
      </c>
      <c r="N41" s="4">
        <f>[1]雷古曼!F34</f>
        <v>328</v>
      </c>
      <c r="O41" s="4">
        <f>[1]雷古曼!G34</f>
        <v>9360</v>
      </c>
      <c r="P41" s="4">
        <v>0</v>
      </c>
      <c r="Q41" s="4">
        <f>[1]雷古曼!H34</f>
        <v>2688</v>
      </c>
      <c r="R41" s="4">
        <v>2.5</v>
      </c>
      <c r="S41" s="4">
        <f>[1]雷古曼!I34</f>
        <v>142</v>
      </c>
      <c r="T41" s="4">
        <v>0</v>
      </c>
      <c r="U41" s="4">
        <v>0</v>
      </c>
      <c r="V41" s="4">
        <v>0</v>
      </c>
    </row>
    <row r="42" spans="1:22" x14ac:dyDescent="0.15">
      <c r="A42" s="4" t="s">
        <v>3068</v>
      </c>
      <c r="D42" s="4">
        <v>1</v>
      </c>
      <c r="E42" s="4">
        <v>34</v>
      </c>
      <c r="H42" s="29">
        <v>1001</v>
      </c>
      <c r="I42" s="4">
        <f>[1]雷古曼!$J35</f>
        <v>7284</v>
      </c>
      <c r="L42" s="30">
        <v>800</v>
      </c>
      <c r="M42" s="4">
        <f>[1]雷古曼!E35</f>
        <v>900</v>
      </c>
      <c r="N42" s="4">
        <f>[1]雷古曼!F35</f>
        <v>338</v>
      </c>
      <c r="O42" s="4">
        <f>[1]雷古曼!G35</f>
        <v>9540</v>
      </c>
      <c r="P42" s="4">
        <v>0</v>
      </c>
      <c r="Q42" s="4">
        <f>[1]雷古曼!H35</f>
        <v>2702</v>
      </c>
      <c r="R42" s="4">
        <v>2.5</v>
      </c>
      <c r="S42" s="4">
        <f>[1]雷古曼!I35</f>
        <v>146</v>
      </c>
      <c r="T42" s="4">
        <v>0</v>
      </c>
      <c r="U42" s="4">
        <v>0</v>
      </c>
      <c r="V42" s="4">
        <v>0</v>
      </c>
    </row>
    <row r="43" spans="1:22" x14ac:dyDescent="0.15">
      <c r="A43" s="4" t="s">
        <v>3068</v>
      </c>
      <c r="D43" s="4">
        <v>1</v>
      </c>
      <c r="E43" s="4">
        <v>35</v>
      </c>
      <c r="H43" s="29">
        <v>1001</v>
      </c>
      <c r="I43" s="4">
        <f>[1]雷古曼!$J36</f>
        <v>7444</v>
      </c>
      <c r="L43" s="30">
        <v>800</v>
      </c>
      <c r="M43" s="4">
        <f>[1]雷古曼!E36</f>
        <v>920</v>
      </c>
      <c r="N43" s="4">
        <f>[1]雷古曼!F36</f>
        <v>348</v>
      </c>
      <c r="O43" s="4">
        <f>[1]雷古曼!G36</f>
        <v>9720</v>
      </c>
      <c r="P43" s="4">
        <v>0</v>
      </c>
      <c r="Q43" s="4">
        <f>[1]雷古曼!H36</f>
        <v>2716</v>
      </c>
      <c r="R43" s="4">
        <v>2.5</v>
      </c>
      <c r="S43" s="4">
        <f>[1]雷古曼!I36</f>
        <v>150</v>
      </c>
      <c r="T43" s="4">
        <v>0</v>
      </c>
      <c r="U43" s="4">
        <v>0</v>
      </c>
      <c r="V43" s="4">
        <v>0</v>
      </c>
    </row>
    <row r="44" spans="1:22" x14ac:dyDescent="0.15">
      <c r="A44" s="4" t="s">
        <v>3068</v>
      </c>
      <c r="D44" s="4">
        <v>1</v>
      </c>
      <c r="E44" s="4">
        <v>36</v>
      </c>
      <c r="H44" s="29">
        <v>1001</v>
      </c>
      <c r="I44" s="4">
        <f>[1]雷古曼!$J37</f>
        <v>7605</v>
      </c>
      <c r="L44" s="30">
        <v>800</v>
      </c>
      <c r="M44" s="4">
        <f>[1]雷古曼!E37</f>
        <v>940</v>
      </c>
      <c r="N44" s="4">
        <f>[1]雷古曼!F37</f>
        <v>358</v>
      </c>
      <c r="O44" s="4">
        <f>[1]雷古曼!G37</f>
        <v>9900</v>
      </c>
      <c r="P44" s="4">
        <v>0</v>
      </c>
      <c r="Q44" s="4">
        <f>[1]雷古曼!H37</f>
        <v>2730</v>
      </c>
      <c r="R44" s="4">
        <v>2.5</v>
      </c>
      <c r="S44" s="4">
        <f>[1]雷古曼!I37</f>
        <v>154</v>
      </c>
      <c r="T44" s="4">
        <v>0</v>
      </c>
      <c r="U44" s="4">
        <v>0</v>
      </c>
      <c r="V44" s="4">
        <v>0</v>
      </c>
    </row>
    <row r="45" spans="1:22" x14ac:dyDescent="0.15">
      <c r="A45" s="4" t="s">
        <v>2662</v>
      </c>
      <c r="D45" s="4">
        <v>1</v>
      </c>
      <c r="E45" s="4">
        <v>37</v>
      </c>
      <c r="H45" s="29">
        <v>1001</v>
      </c>
      <c r="I45" s="4">
        <f>[1]雷古曼!$J38</f>
        <v>7765</v>
      </c>
      <c r="L45" s="30">
        <v>800</v>
      </c>
      <c r="M45" s="4">
        <f>[1]雷古曼!E38</f>
        <v>960</v>
      </c>
      <c r="N45" s="4">
        <f>[1]雷古曼!F38</f>
        <v>368</v>
      </c>
      <c r="O45" s="4">
        <f>[1]雷古曼!G38</f>
        <v>10080</v>
      </c>
      <c r="P45" s="4">
        <v>0</v>
      </c>
      <c r="Q45" s="4">
        <f>[1]雷古曼!H38</f>
        <v>2744</v>
      </c>
      <c r="R45" s="4">
        <v>2.5</v>
      </c>
      <c r="S45" s="4">
        <f>[1]雷古曼!I38</f>
        <v>158</v>
      </c>
      <c r="T45" s="4">
        <v>0</v>
      </c>
      <c r="U45" s="4">
        <v>0</v>
      </c>
      <c r="V45" s="4">
        <v>0</v>
      </c>
    </row>
    <row r="46" spans="1:22" x14ac:dyDescent="0.15">
      <c r="A46" s="4" t="s">
        <v>2662</v>
      </c>
      <c r="D46" s="4">
        <v>1</v>
      </c>
      <c r="E46" s="4">
        <v>38</v>
      </c>
      <c r="H46" s="29">
        <v>1001</v>
      </c>
      <c r="I46" s="4">
        <f>[1]雷古曼!$J39</f>
        <v>7925</v>
      </c>
      <c r="L46" s="30">
        <v>800</v>
      </c>
      <c r="M46" s="4">
        <f>[1]雷古曼!E39</f>
        <v>980</v>
      </c>
      <c r="N46" s="4">
        <f>[1]雷古曼!F39</f>
        <v>378</v>
      </c>
      <c r="O46" s="4">
        <f>[1]雷古曼!G39</f>
        <v>10260</v>
      </c>
      <c r="P46" s="4">
        <v>0</v>
      </c>
      <c r="Q46" s="4">
        <f>[1]雷古曼!H39</f>
        <v>2758</v>
      </c>
      <c r="R46" s="4">
        <v>2.5</v>
      </c>
      <c r="S46" s="4">
        <f>[1]雷古曼!I39</f>
        <v>162</v>
      </c>
      <c r="T46" s="4">
        <v>0</v>
      </c>
      <c r="U46" s="4">
        <v>0</v>
      </c>
      <c r="V46" s="4">
        <v>0</v>
      </c>
    </row>
    <row r="47" spans="1:22" x14ac:dyDescent="0.15">
      <c r="A47" s="4" t="s">
        <v>2662</v>
      </c>
      <c r="D47" s="4">
        <v>1</v>
      </c>
      <c r="E47" s="4">
        <v>39</v>
      </c>
      <c r="H47" s="29">
        <v>1001</v>
      </c>
      <c r="I47" s="4">
        <f>[1]雷古曼!$J40</f>
        <v>8085</v>
      </c>
      <c r="L47" s="30">
        <v>800</v>
      </c>
      <c r="M47" s="4">
        <f>[1]雷古曼!E40</f>
        <v>1000</v>
      </c>
      <c r="N47" s="4">
        <f>[1]雷古曼!F40</f>
        <v>388</v>
      </c>
      <c r="O47" s="4">
        <f>[1]雷古曼!G40</f>
        <v>10440</v>
      </c>
      <c r="P47" s="4">
        <v>0</v>
      </c>
      <c r="Q47" s="4">
        <f>[1]雷古曼!H40</f>
        <v>2772</v>
      </c>
      <c r="R47" s="4">
        <v>2.5</v>
      </c>
      <c r="S47" s="4">
        <f>[1]雷古曼!I40</f>
        <v>166</v>
      </c>
      <c r="T47" s="4">
        <v>0</v>
      </c>
      <c r="U47" s="4">
        <v>0</v>
      </c>
      <c r="V47" s="4">
        <v>0</v>
      </c>
    </row>
    <row r="48" spans="1:22" x14ac:dyDescent="0.15">
      <c r="A48" s="4" t="s">
        <v>2662</v>
      </c>
      <c r="D48" s="4">
        <v>1</v>
      </c>
      <c r="E48" s="4">
        <v>40</v>
      </c>
      <c r="H48" s="29">
        <v>1001</v>
      </c>
      <c r="I48" s="4">
        <f>[1]雷古曼!$J41</f>
        <v>8246</v>
      </c>
      <c r="L48" s="30">
        <v>800</v>
      </c>
      <c r="M48" s="4">
        <f>[1]雷古曼!E41</f>
        <v>1020</v>
      </c>
      <c r="N48" s="4">
        <f>[1]雷古曼!F41</f>
        <v>398</v>
      </c>
      <c r="O48" s="4">
        <f>[1]雷古曼!G41</f>
        <v>10620</v>
      </c>
      <c r="P48" s="4">
        <v>0</v>
      </c>
      <c r="Q48" s="4">
        <f>[1]雷古曼!H41</f>
        <v>2786</v>
      </c>
      <c r="R48" s="4">
        <v>2.5</v>
      </c>
      <c r="S48" s="4">
        <f>[1]雷古曼!I41</f>
        <v>170</v>
      </c>
      <c r="T48" s="4">
        <v>0</v>
      </c>
      <c r="U48" s="4">
        <v>0</v>
      </c>
      <c r="V48" s="4">
        <v>0</v>
      </c>
    </row>
    <row r="49" spans="1:22" x14ac:dyDescent="0.15">
      <c r="A49" s="4" t="s">
        <v>2662</v>
      </c>
      <c r="D49" s="4">
        <v>1</v>
      </c>
      <c r="E49" s="4">
        <v>41</v>
      </c>
      <c r="H49" s="29">
        <v>1001</v>
      </c>
      <c r="I49" s="4">
        <f>[1]雷古曼!$J42</f>
        <v>8406</v>
      </c>
      <c r="L49" s="30">
        <v>800</v>
      </c>
      <c r="M49" s="4">
        <f>[1]雷古曼!E42</f>
        <v>1040</v>
      </c>
      <c r="N49" s="4">
        <f>[1]雷古曼!F42</f>
        <v>408</v>
      </c>
      <c r="O49" s="4">
        <f>[1]雷古曼!G42</f>
        <v>10800</v>
      </c>
      <c r="P49" s="4">
        <v>0</v>
      </c>
      <c r="Q49" s="4">
        <f>[1]雷古曼!H42</f>
        <v>2800</v>
      </c>
      <c r="R49" s="4">
        <v>2.5</v>
      </c>
      <c r="S49" s="4">
        <f>[1]雷古曼!I42</f>
        <v>174</v>
      </c>
      <c r="T49" s="4">
        <v>0</v>
      </c>
      <c r="U49" s="4">
        <v>0</v>
      </c>
      <c r="V49" s="4">
        <v>0</v>
      </c>
    </row>
    <row r="50" spans="1:22" x14ac:dyDescent="0.15">
      <c r="A50" s="4" t="s">
        <v>3069</v>
      </c>
      <c r="D50" s="4">
        <v>1</v>
      </c>
      <c r="E50" s="4">
        <v>42</v>
      </c>
      <c r="H50" s="29">
        <v>1001</v>
      </c>
      <c r="I50" s="4">
        <f>[1]雷古曼!$J43</f>
        <v>8566</v>
      </c>
      <c r="L50" s="30">
        <v>800</v>
      </c>
      <c r="M50" s="4">
        <f>[1]雷古曼!E43</f>
        <v>1060</v>
      </c>
      <c r="N50" s="4">
        <f>[1]雷古曼!F43</f>
        <v>418</v>
      </c>
      <c r="O50" s="4">
        <f>[1]雷古曼!G43</f>
        <v>10980</v>
      </c>
      <c r="P50" s="4">
        <v>0</v>
      </c>
      <c r="Q50" s="4">
        <f>[1]雷古曼!H43</f>
        <v>2814</v>
      </c>
      <c r="R50" s="4">
        <v>2.5</v>
      </c>
      <c r="S50" s="4">
        <f>[1]雷古曼!I43</f>
        <v>178</v>
      </c>
      <c r="T50" s="4">
        <v>0</v>
      </c>
      <c r="U50" s="4">
        <v>0</v>
      </c>
      <c r="V50" s="4">
        <v>0</v>
      </c>
    </row>
    <row r="51" spans="1:22" x14ac:dyDescent="0.15">
      <c r="A51" s="4" t="s">
        <v>3070</v>
      </c>
      <c r="D51" s="4">
        <v>1</v>
      </c>
      <c r="E51" s="4">
        <v>43</v>
      </c>
      <c r="H51" s="29">
        <v>1001</v>
      </c>
      <c r="I51" s="4">
        <f>[1]雷古曼!$J44</f>
        <v>8727</v>
      </c>
      <c r="L51" s="30">
        <v>800</v>
      </c>
      <c r="M51" s="4">
        <f>[1]雷古曼!E44</f>
        <v>1080</v>
      </c>
      <c r="N51" s="4">
        <f>[1]雷古曼!F44</f>
        <v>428</v>
      </c>
      <c r="O51" s="4">
        <f>[1]雷古曼!G44</f>
        <v>11160</v>
      </c>
      <c r="P51" s="4">
        <v>0</v>
      </c>
      <c r="Q51" s="4">
        <f>[1]雷古曼!H44</f>
        <v>2828</v>
      </c>
      <c r="R51" s="4">
        <v>2.5</v>
      </c>
      <c r="S51" s="4">
        <f>[1]雷古曼!I44</f>
        <v>182</v>
      </c>
      <c r="T51" s="4">
        <v>0</v>
      </c>
      <c r="U51" s="4">
        <v>0</v>
      </c>
      <c r="V51" s="4">
        <v>0</v>
      </c>
    </row>
    <row r="52" spans="1:22" x14ac:dyDescent="0.15">
      <c r="A52" s="4" t="s">
        <v>3068</v>
      </c>
      <c r="D52" s="4">
        <v>1</v>
      </c>
      <c r="E52" s="4">
        <v>44</v>
      </c>
      <c r="H52" s="29">
        <v>1001</v>
      </c>
      <c r="I52" s="4">
        <f>[1]雷古曼!$J45</f>
        <v>8887</v>
      </c>
      <c r="L52" s="30">
        <v>800</v>
      </c>
      <c r="M52" s="4">
        <f>[1]雷古曼!E45</f>
        <v>1100</v>
      </c>
      <c r="N52" s="4">
        <f>[1]雷古曼!F45</f>
        <v>438</v>
      </c>
      <c r="O52" s="4">
        <f>[1]雷古曼!G45</f>
        <v>11340</v>
      </c>
      <c r="P52" s="4">
        <v>0</v>
      </c>
      <c r="Q52" s="4">
        <f>[1]雷古曼!H45</f>
        <v>2842</v>
      </c>
      <c r="R52" s="4">
        <v>2.5</v>
      </c>
      <c r="S52" s="4">
        <f>[1]雷古曼!I45</f>
        <v>186</v>
      </c>
      <c r="T52" s="4">
        <v>0</v>
      </c>
      <c r="U52" s="4">
        <v>0</v>
      </c>
      <c r="V52" s="4">
        <v>0</v>
      </c>
    </row>
    <row r="53" spans="1:22" x14ac:dyDescent="0.15">
      <c r="A53" s="4" t="s">
        <v>3068</v>
      </c>
      <c r="D53" s="4">
        <v>1</v>
      </c>
      <c r="E53" s="4">
        <v>45</v>
      </c>
      <c r="H53" s="29">
        <v>1001</v>
      </c>
      <c r="I53" s="4">
        <f>[1]雷古曼!$J46</f>
        <v>9047</v>
      </c>
      <c r="L53" s="30">
        <v>800</v>
      </c>
      <c r="M53" s="4">
        <f>[1]雷古曼!E46</f>
        <v>1120</v>
      </c>
      <c r="N53" s="4">
        <f>[1]雷古曼!F46</f>
        <v>448</v>
      </c>
      <c r="O53" s="4">
        <f>[1]雷古曼!G46</f>
        <v>11520</v>
      </c>
      <c r="P53" s="4">
        <v>0</v>
      </c>
      <c r="Q53" s="4">
        <f>[1]雷古曼!H46</f>
        <v>2856</v>
      </c>
      <c r="R53" s="4">
        <v>2.5</v>
      </c>
      <c r="S53" s="4">
        <f>[1]雷古曼!I46</f>
        <v>190</v>
      </c>
      <c r="T53" s="4">
        <v>0</v>
      </c>
      <c r="U53" s="4">
        <v>0</v>
      </c>
      <c r="V53" s="4">
        <v>0</v>
      </c>
    </row>
    <row r="54" spans="1:22" x14ac:dyDescent="0.15">
      <c r="A54" s="4" t="s">
        <v>3071</v>
      </c>
      <c r="D54" s="4">
        <v>1</v>
      </c>
      <c r="E54" s="4">
        <v>46</v>
      </c>
      <c r="H54" s="29">
        <v>1001</v>
      </c>
      <c r="I54" s="4">
        <f>[1]雷古曼!$J47</f>
        <v>9207</v>
      </c>
      <c r="L54" s="30">
        <v>800</v>
      </c>
      <c r="M54" s="4">
        <f>[1]雷古曼!E47</f>
        <v>1140</v>
      </c>
      <c r="N54" s="4">
        <f>[1]雷古曼!F47</f>
        <v>458</v>
      </c>
      <c r="O54" s="4">
        <f>[1]雷古曼!G47</f>
        <v>11700</v>
      </c>
      <c r="P54" s="4">
        <v>0</v>
      </c>
      <c r="Q54" s="4">
        <f>[1]雷古曼!H47</f>
        <v>2870</v>
      </c>
      <c r="R54" s="4">
        <v>2.5</v>
      </c>
      <c r="S54" s="4">
        <f>[1]雷古曼!I47</f>
        <v>194</v>
      </c>
      <c r="T54" s="4">
        <v>0</v>
      </c>
      <c r="U54" s="4">
        <v>0</v>
      </c>
      <c r="V54" s="4">
        <v>0</v>
      </c>
    </row>
    <row r="55" spans="1:22" x14ac:dyDescent="0.15">
      <c r="A55" s="4" t="s">
        <v>3068</v>
      </c>
      <c r="D55" s="4">
        <v>1</v>
      </c>
      <c r="E55" s="4">
        <v>47</v>
      </c>
      <c r="H55" s="29">
        <v>1001</v>
      </c>
      <c r="I55" s="4">
        <f>[1]雷古曼!$J48</f>
        <v>9368</v>
      </c>
      <c r="L55" s="30">
        <v>800</v>
      </c>
      <c r="M55" s="4">
        <f>[1]雷古曼!E48</f>
        <v>1160</v>
      </c>
      <c r="N55" s="4">
        <f>[1]雷古曼!F48</f>
        <v>468</v>
      </c>
      <c r="O55" s="4">
        <f>[1]雷古曼!G48</f>
        <v>11880</v>
      </c>
      <c r="P55" s="4">
        <v>0</v>
      </c>
      <c r="Q55" s="4">
        <f>[1]雷古曼!H48</f>
        <v>2884</v>
      </c>
      <c r="R55" s="4">
        <v>2.5</v>
      </c>
      <c r="S55" s="4">
        <f>[1]雷古曼!I48</f>
        <v>198</v>
      </c>
      <c r="T55" s="4">
        <v>0</v>
      </c>
      <c r="U55" s="4">
        <v>0</v>
      </c>
      <c r="V55" s="4">
        <v>0</v>
      </c>
    </row>
    <row r="56" spans="1:22" x14ac:dyDescent="0.15">
      <c r="A56" s="4" t="s">
        <v>3068</v>
      </c>
      <c r="D56" s="4">
        <v>1</v>
      </c>
      <c r="E56" s="4">
        <v>48</v>
      </c>
      <c r="H56" s="29">
        <v>1001</v>
      </c>
      <c r="I56" s="4">
        <f>[1]雷古曼!$J49</f>
        <v>9528</v>
      </c>
      <c r="L56" s="30">
        <v>800</v>
      </c>
      <c r="M56" s="4">
        <f>[1]雷古曼!E49</f>
        <v>1180</v>
      </c>
      <c r="N56" s="4">
        <f>[1]雷古曼!F49</f>
        <v>478</v>
      </c>
      <c r="O56" s="4">
        <f>[1]雷古曼!G49</f>
        <v>12060</v>
      </c>
      <c r="P56" s="4">
        <v>0</v>
      </c>
      <c r="Q56" s="4">
        <f>[1]雷古曼!H49</f>
        <v>2898</v>
      </c>
      <c r="R56" s="4">
        <v>2.5</v>
      </c>
      <c r="S56" s="4">
        <f>[1]雷古曼!I49</f>
        <v>202</v>
      </c>
      <c r="T56" s="4">
        <v>0</v>
      </c>
      <c r="U56" s="4">
        <v>0</v>
      </c>
      <c r="V56" s="4">
        <v>0</v>
      </c>
    </row>
    <row r="57" spans="1:22" x14ac:dyDescent="0.15">
      <c r="A57" s="4" t="s">
        <v>2662</v>
      </c>
      <c r="D57" s="4">
        <v>1</v>
      </c>
      <c r="E57" s="4">
        <v>49</v>
      </c>
      <c r="H57" s="29">
        <v>1001</v>
      </c>
      <c r="I57" s="4">
        <f>[1]雷古曼!$J50</f>
        <v>9688</v>
      </c>
      <c r="L57" s="30">
        <v>800</v>
      </c>
      <c r="M57" s="4">
        <f>[1]雷古曼!E50</f>
        <v>1200</v>
      </c>
      <c r="N57" s="4">
        <f>[1]雷古曼!F50</f>
        <v>488</v>
      </c>
      <c r="O57" s="4">
        <f>[1]雷古曼!G50</f>
        <v>12240</v>
      </c>
      <c r="P57" s="4">
        <v>0</v>
      </c>
      <c r="Q57" s="4">
        <f>[1]雷古曼!H50</f>
        <v>2912</v>
      </c>
      <c r="R57" s="4">
        <v>2.5</v>
      </c>
      <c r="S57" s="4">
        <f>[1]雷古曼!I50</f>
        <v>206</v>
      </c>
      <c r="T57" s="4">
        <v>0</v>
      </c>
      <c r="U57" s="4">
        <v>0</v>
      </c>
      <c r="V57" s="4">
        <v>0</v>
      </c>
    </row>
    <row r="58" spans="1:22" x14ac:dyDescent="0.15">
      <c r="A58" s="4" t="s">
        <v>2662</v>
      </c>
      <c r="D58" s="4">
        <v>1</v>
      </c>
      <c r="E58" s="4">
        <v>50</v>
      </c>
      <c r="H58" s="29">
        <v>1001</v>
      </c>
      <c r="I58" s="4">
        <f>[1]雷古曼!$J51</f>
        <v>9849</v>
      </c>
      <c r="L58" s="30">
        <v>800</v>
      </c>
      <c r="M58" s="4">
        <f>[1]雷古曼!E51</f>
        <v>1220</v>
      </c>
      <c r="N58" s="4">
        <f>[1]雷古曼!F51</f>
        <v>498</v>
      </c>
      <c r="O58" s="4">
        <f>[1]雷古曼!G51</f>
        <v>12420</v>
      </c>
      <c r="P58" s="4">
        <v>0</v>
      </c>
      <c r="Q58" s="4">
        <f>[1]雷古曼!H51</f>
        <v>2926</v>
      </c>
      <c r="R58" s="4">
        <v>2.5</v>
      </c>
      <c r="S58" s="4">
        <f>[1]雷古曼!I51</f>
        <v>210</v>
      </c>
      <c r="T58" s="4">
        <v>0</v>
      </c>
      <c r="U58" s="4">
        <v>0</v>
      </c>
      <c r="V58" s="4">
        <v>0</v>
      </c>
    </row>
    <row r="59" spans="1:22" x14ac:dyDescent="0.15">
      <c r="I59" s="4"/>
    </row>
    <row r="60" spans="1:22" x14ac:dyDescent="0.15">
      <c r="A60" s="4" t="s">
        <v>3068</v>
      </c>
      <c r="C60" s="4" t="s">
        <v>3072</v>
      </c>
      <c r="D60" s="4">
        <f>D8+1</f>
        <v>2</v>
      </c>
      <c r="E60" s="4">
        <v>0</v>
      </c>
      <c r="H60" s="29">
        <v>1000</v>
      </c>
      <c r="I60" s="31">
        <v>599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</row>
    <row r="61" spans="1:22" x14ac:dyDescent="0.15">
      <c r="A61" s="4" t="s">
        <v>3068</v>
      </c>
      <c r="D61" s="4">
        <f t="shared" ref="D61:D110" si="0">D9+1</f>
        <v>2</v>
      </c>
      <c r="E61" s="4">
        <v>1</v>
      </c>
      <c r="H61" s="29">
        <v>1001</v>
      </c>
      <c r="I61" s="4">
        <f>[1]雷古曼!$S2</f>
        <v>3176</v>
      </c>
      <c r="L61" s="30">
        <v>800</v>
      </c>
      <c r="M61" s="4">
        <f>[1]雷古曼!N2</f>
        <v>432</v>
      </c>
      <c r="N61" s="4">
        <f>[1]雷古曼!O2</f>
        <v>11</v>
      </c>
      <c r="O61" s="4">
        <f>[1]雷古曼!P2</f>
        <v>4646</v>
      </c>
      <c r="P61" s="4">
        <v>0</v>
      </c>
      <c r="Q61" s="4">
        <f>[1]雷古曼!Q2</f>
        <v>2509</v>
      </c>
      <c r="R61" s="4">
        <v>2.5</v>
      </c>
      <c r="S61" s="4">
        <f>[1]雷古曼!R2</f>
        <v>15</v>
      </c>
      <c r="T61" s="4">
        <v>0</v>
      </c>
      <c r="U61" s="4">
        <v>0</v>
      </c>
      <c r="V61" s="4">
        <v>0</v>
      </c>
    </row>
    <row r="62" spans="1:22" x14ac:dyDescent="0.15">
      <c r="A62" s="4" t="s">
        <v>3073</v>
      </c>
      <c r="D62" s="4">
        <f t="shared" si="0"/>
        <v>2</v>
      </c>
      <c r="E62" s="4">
        <v>2</v>
      </c>
      <c r="H62" s="29">
        <v>1001</v>
      </c>
      <c r="I62" s="4">
        <f>[1]雷古曼!$J3</f>
        <v>2155</v>
      </c>
      <c r="L62" s="30">
        <v>800</v>
      </c>
      <c r="M62" s="4">
        <f>[1]雷古曼!N3</f>
        <v>456</v>
      </c>
      <c r="N62" s="4">
        <f>[1]雷古曼!O3</f>
        <v>21</v>
      </c>
      <c r="O62" s="4">
        <f>[1]雷古曼!P3</f>
        <v>4846</v>
      </c>
      <c r="P62" s="4">
        <v>0</v>
      </c>
      <c r="Q62" s="4">
        <f>[1]雷古曼!Q3</f>
        <v>2523</v>
      </c>
      <c r="R62" s="4">
        <v>2.5</v>
      </c>
      <c r="S62" s="4">
        <f>[1]雷古曼!R3</f>
        <v>19</v>
      </c>
      <c r="T62" s="4">
        <v>0</v>
      </c>
      <c r="U62" s="4">
        <v>0</v>
      </c>
      <c r="V62" s="4">
        <v>0</v>
      </c>
    </row>
    <row r="63" spans="1:22" x14ac:dyDescent="0.15">
      <c r="A63" s="4" t="s">
        <v>3074</v>
      </c>
      <c r="D63" s="4">
        <f t="shared" si="0"/>
        <v>2</v>
      </c>
      <c r="E63" s="4">
        <v>3</v>
      </c>
      <c r="H63" s="29">
        <v>1001</v>
      </c>
      <c r="I63" s="4">
        <f>[1]雷古曼!$J4</f>
        <v>2315</v>
      </c>
      <c r="L63" s="30">
        <v>800</v>
      </c>
      <c r="M63" s="4">
        <f>[1]雷古曼!N4</f>
        <v>480</v>
      </c>
      <c r="N63" s="4">
        <f>[1]雷古曼!O4</f>
        <v>31</v>
      </c>
      <c r="O63" s="4">
        <f>[1]雷古曼!P4</f>
        <v>5046</v>
      </c>
      <c r="P63" s="4">
        <v>0</v>
      </c>
      <c r="Q63" s="4">
        <f>[1]雷古曼!Q4</f>
        <v>2537</v>
      </c>
      <c r="R63" s="4">
        <v>2.5</v>
      </c>
      <c r="S63" s="4">
        <f>[1]雷古曼!R4</f>
        <v>23</v>
      </c>
      <c r="T63" s="4">
        <v>0</v>
      </c>
      <c r="U63" s="4">
        <v>0</v>
      </c>
      <c r="V63" s="4">
        <v>0</v>
      </c>
    </row>
    <row r="64" spans="1:22" x14ac:dyDescent="0.15">
      <c r="A64" s="4" t="s">
        <v>3074</v>
      </c>
      <c r="D64" s="4">
        <f t="shared" si="0"/>
        <v>2</v>
      </c>
      <c r="E64" s="4">
        <v>4</v>
      </c>
      <c r="H64" s="29">
        <v>1001</v>
      </c>
      <c r="I64" s="4">
        <f>[1]雷古曼!$J5</f>
        <v>2476</v>
      </c>
      <c r="L64" s="30">
        <v>800</v>
      </c>
      <c r="M64" s="4">
        <f>[1]雷古曼!N5</f>
        <v>504</v>
      </c>
      <c r="N64" s="4">
        <f>[1]雷古曼!O5</f>
        <v>41</v>
      </c>
      <c r="O64" s="4">
        <f>[1]雷古曼!P5</f>
        <v>5246</v>
      </c>
      <c r="P64" s="4">
        <v>0</v>
      </c>
      <c r="Q64" s="4">
        <f>[1]雷古曼!Q5</f>
        <v>2551</v>
      </c>
      <c r="R64" s="4">
        <v>2.5</v>
      </c>
      <c r="S64" s="4">
        <f>[1]雷古曼!R5</f>
        <v>27</v>
      </c>
      <c r="T64" s="4">
        <v>0</v>
      </c>
      <c r="U64" s="4">
        <v>0</v>
      </c>
      <c r="V64" s="4">
        <v>0</v>
      </c>
    </row>
    <row r="65" spans="1:22" x14ac:dyDescent="0.15">
      <c r="A65" s="4" t="s">
        <v>2662</v>
      </c>
      <c r="D65" s="4">
        <f t="shared" si="0"/>
        <v>2</v>
      </c>
      <c r="E65" s="4">
        <v>5</v>
      </c>
      <c r="H65" s="29">
        <v>1001</v>
      </c>
      <c r="I65" s="4">
        <f>[1]雷古曼!$J6</f>
        <v>2636</v>
      </c>
      <c r="L65" s="30">
        <v>800</v>
      </c>
      <c r="M65" s="4">
        <f>[1]雷古曼!N6</f>
        <v>528</v>
      </c>
      <c r="N65" s="4">
        <f>[1]雷古曼!O6</f>
        <v>51</v>
      </c>
      <c r="O65" s="4">
        <f>[1]雷古曼!P6</f>
        <v>5446</v>
      </c>
      <c r="P65" s="4">
        <v>0</v>
      </c>
      <c r="Q65" s="4">
        <f>[1]雷古曼!Q6</f>
        <v>2565</v>
      </c>
      <c r="R65" s="4">
        <v>2.5</v>
      </c>
      <c r="S65" s="4">
        <f>[1]雷古曼!R6</f>
        <v>31</v>
      </c>
      <c r="T65" s="4">
        <v>0</v>
      </c>
      <c r="U65" s="4">
        <v>0</v>
      </c>
      <c r="V65" s="4">
        <v>0</v>
      </c>
    </row>
    <row r="66" spans="1:22" x14ac:dyDescent="0.15">
      <c r="A66" s="4" t="s">
        <v>2662</v>
      </c>
      <c r="D66" s="4">
        <f t="shared" si="0"/>
        <v>2</v>
      </c>
      <c r="E66" s="4">
        <v>6</v>
      </c>
      <c r="H66" s="29">
        <v>1001</v>
      </c>
      <c r="I66" s="4">
        <f>[1]雷古曼!$J7</f>
        <v>2796</v>
      </c>
      <c r="L66" s="30">
        <v>800</v>
      </c>
      <c r="M66" s="4">
        <f>[1]雷古曼!N7</f>
        <v>552</v>
      </c>
      <c r="N66" s="4">
        <f>[1]雷古曼!O7</f>
        <v>61</v>
      </c>
      <c r="O66" s="4">
        <f>[1]雷古曼!P7</f>
        <v>5646</v>
      </c>
      <c r="P66" s="4">
        <v>0</v>
      </c>
      <c r="Q66" s="4">
        <f>[1]雷古曼!Q7</f>
        <v>2579</v>
      </c>
      <c r="R66" s="4">
        <v>2.5</v>
      </c>
      <c r="S66" s="4">
        <f>[1]雷古曼!R7</f>
        <v>35</v>
      </c>
      <c r="T66" s="4">
        <v>0</v>
      </c>
      <c r="U66" s="4">
        <v>0</v>
      </c>
      <c r="V66" s="4">
        <v>0</v>
      </c>
    </row>
    <row r="67" spans="1:22" x14ac:dyDescent="0.15">
      <c r="A67" s="4" t="s">
        <v>2662</v>
      </c>
      <c r="D67" s="4">
        <f t="shared" si="0"/>
        <v>2</v>
      </c>
      <c r="E67" s="4">
        <v>7</v>
      </c>
      <c r="H67" s="29">
        <v>1001</v>
      </c>
      <c r="I67" s="4">
        <f>[1]雷古曼!$J8</f>
        <v>2956</v>
      </c>
      <c r="L67" s="30">
        <v>800</v>
      </c>
      <c r="M67" s="4">
        <f>[1]雷古曼!N8</f>
        <v>576</v>
      </c>
      <c r="N67" s="4">
        <f>[1]雷古曼!O8</f>
        <v>71</v>
      </c>
      <c r="O67" s="4">
        <f>[1]雷古曼!P8</f>
        <v>5846</v>
      </c>
      <c r="P67" s="4">
        <v>0</v>
      </c>
      <c r="Q67" s="4">
        <f>[1]雷古曼!Q8</f>
        <v>2593</v>
      </c>
      <c r="R67" s="4">
        <v>2.5</v>
      </c>
      <c r="S67" s="4">
        <f>[1]雷古曼!R8</f>
        <v>39</v>
      </c>
      <c r="T67" s="4">
        <v>0</v>
      </c>
      <c r="U67" s="4">
        <v>0</v>
      </c>
      <c r="V67" s="4">
        <v>0</v>
      </c>
    </row>
    <row r="68" spans="1:22" x14ac:dyDescent="0.15">
      <c r="A68" s="4" t="s">
        <v>2662</v>
      </c>
      <c r="D68" s="4">
        <f t="shared" si="0"/>
        <v>2</v>
      </c>
      <c r="E68" s="4">
        <v>8</v>
      </c>
      <c r="H68" s="29">
        <v>1001</v>
      </c>
      <c r="I68" s="4">
        <f>[1]雷古曼!$J9</f>
        <v>3117</v>
      </c>
      <c r="L68" s="30">
        <v>800</v>
      </c>
      <c r="M68" s="4">
        <f>[1]雷古曼!N9</f>
        <v>600</v>
      </c>
      <c r="N68" s="4">
        <f>[1]雷古曼!O9</f>
        <v>81</v>
      </c>
      <c r="O68" s="4">
        <f>[1]雷古曼!P9</f>
        <v>6046</v>
      </c>
      <c r="P68" s="4">
        <v>0</v>
      </c>
      <c r="Q68" s="4">
        <f>[1]雷古曼!Q9</f>
        <v>2607</v>
      </c>
      <c r="R68" s="4">
        <v>2.5</v>
      </c>
      <c r="S68" s="4">
        <f>[1]雷古曼!R9</f>
        <v>43</v>
      </c>
      <c r="T68" s="4">
        <v>0</v>
      </c>
      <c r="U68" s="4">
        <v>0</v>
      </c>
      <c r="V68" s="4">
        <v>0</v>
      </c>
    </row>
    <row r="69" spans="1:22" x14ac:dyDescent="0.15">
      <c r="A69" s="4" t="s">
        <v>2662</v>
      </c>
      <c r="D69" s="4">
        <f t="shared" si="0"/>
        <v>2</v>
      </c>
      <c r="E69" s="4">
        <v>9</v>
      </c>
      <c r="H69" s="29">
        <v>1001</v>
      </c>
      <c r="I69" s="4">
        <f>[1]雷古曼!$J10</f>
        <v>3277</v>
      </c>
      <c r="L69" s="30">
        <v>800</v>
      </c>
      <c r="M69" s="4">
        <f>[1]雷古曼!N10</f>
        <v>624</v>
      </c>
      <c r="N69" s="4">
        <f>[1]雷古曼!O10</f>
        <v>91</v>
      </c>
      <c r="O69" s="4">
        <f>[1]雷古曼!P10</f>
        <v>6246</v>
      </c>
      <c r="P69" s="4">
        <v>0</v>
      </c>
      <c r="Q69" s="4">
        <f>[1]雷古曼!Q10</f>
        <v>2621</v>
      </c>
      <c r="R69" s="4">
        <v>2.5</v>
      </c>
      <c r="S69" s="4">
        <f>[1]雷古曼!R10</f>
        <v>47</v>
      </c>
      <c r="T69" s="4">
        <v>0</v>
      </c>
      <c r="U69" s="4">
        <v>0</v>
      </c>
      <c r="V69" s="4">
        <v>0</v>
      </c>
    </row>
    <row r="70" spans="1:22" x14ac:dyDescent="0.15">
      <c r="A70" s="4" t="s">
        <v>2662</v>
      </c>
      <c r="D70" s="4">
        <f t="shared" si="0"/>
        <v>2</v>
      </c>
      <c r="E70" s="4">
        <v>10</v>
      </c>
      <c r="H70" s="29">
        <v>1001</v>
      </c>
      <c r="I70" s="4">
        <f>[1]雷古曼!$J11</f>
        <v>3437</v>
      </c>
      <c r="L70" s="30">
        <v>800</v>
      </c>
      <c r="M70" s="4">
        <f>[1]雷古曼!N11</f>
        <v>648</v>
      </c>
      <c r="N70" s="4">
        <f>[1]雷古曼!O11</f>
        <v>101</v>
      </c>
      <c r="O70" s="4">
        <f>[1]雷古曼!P11</f>
        <v>6446</v>
      </c>
      <c r="P70" s="4">
        <v>0</v>
      </c>
      <c r="Q70" s="4">
        <f>[1]雷古曼!Q11</f>
        <v>2635</v>
      </c>
      <c r="R70" s="4">
        <v>2.5</v>
      </c>
      <c r="S70" s="4">
        <f>[1]雷古曼!R11</f>
        <v>51</v>
      </c>
      <c r="T70" s="4">
        <v>0</v>
      </c>
      <c r="U70" s="4">
        <v>0</v>
      </c>
      <c r="V70" s="4">
        <v>0</v>
      </c>
    </row>
    <row r="71" spans="1:22" x14ac:dyDescent="0.15">
      <c r="A71" s="4" t="s">
        <v>2662</v>
      </c>
      <c r="D71" s="4">
        <f t="shared" si="0"/>
        <v>2</v>
      </c>
      <c r="E71" s="4">
        <v>11</v>
      </c>
      <c r="H71" s="29">
        <v>1001</v>
      </c>
      <c r="I71" s="4">
        <f>[1]雷古曼!$J12</f>
        <v>3598</v>
      </c>
      <c r="L71" s="30">
        <v>800</v>
      </c>
      <c r="M71" s="4">
        <f>[1]雷古曼!N12</f>
        <v>672</v>
      </c>
      <c r="N71" s="4">
        <f>[1]雷古曼!O12</f>
        <v>111</v>
      </c>
      <c r="O71" s="4">
        <f>[1]雷古曼!P12</f>
        <v>6646</v>
      </c>
      <c r="P71" s="4">
        <v>0</v>
      </c>
      <c r="Q71" s="4">
        <f>[1]雷古曼!Q12</f>
        <v>2649</v>
      </c>
      <c r="R71" s="4">
        <v>2.5</v>
      </c>
      <c r="S71" s="4">
        <f>[1]雷古曼!R12</f>
        <v>55</v>
      </c>
      <c r="T71" s="4">
        <v>0</v>
      </c>
      <c r="U71" s="4">
        <v>0</v>
      </c>
      <c r="V71" s="4">
        <v>0</v>
      </c>
    </row>
    <row r="72" spans="1:22" x14ac:dyDescent="0.15">
      <c r="A72" s="4" t="s">
        <v>2662</v>
      </c>
      <c r="D72" s="4">
        <f t="shared" si="0"/>
        <v>2</v>
      </c>
      <c r="E72" s="4">
        <v>12</v>
      </c>
      <c r="H72" s="29">
        <v>1001</v>
      </c>
      <c r="I72" s="4">
        <f>[1]雷古曼!$J13</f>
        <v>3758</v>
      </c>
      <c r="L72" s="30">
        <v>800</v>
      </c>
      <c r="M72" s="4">
        <f>[1]雷古曼!N13</f>
        <v>696</v>
      </c>
      <c r="N72" s="4">
        <f>[1]雷古曼!O13</f>
        <v>121</v>
      </c>
      <c r="O72" s="4">
        <f>[1]雷古曼!P13</f>
        <v>6846</v>
      </c>
      <c r="P72" s="4">
        <v>0</v>
      </c>
      <c r="Q72" s="4">
        <f>[1]雷古曼!Q13</f>
        <v>2663</v>
      </c>
      <c r="R72" s="4">
        <v>2.5</v>
      </c>
      <c r="S72" s="4">
        <f>[1]雷古曼!R13</f>
        <v>59</v>
      </c>
      <c r="T72" s="4">
        <v>0</v>
      </c>
      <c r="U72" s="4">
        <v>0</v>
      </c>
      <c r="V72" s="4">
        <v>0</v>
      </c>
    </row>
    <row r="73" spans="1:22" x14ac:dyDescent="0.15">
      <c r="A73" s="4" t="s">
        <v>2662</v>
      </c>
      <c r="D73" s="4">
        <f t="shared" si="0"/>
        <v>2</v>
      </c>
      <c r="E73" s="4">
        <v>13</v>
      </c>
      <c r="H73" s="29">
        <v>1001</v>
      </c>
      <c r="I73" s="4">
        <f>[1]雷古曼!$J14</f>
        <v>3918</v>
      </c>
      <c r="L73" s="30">
        <v>800</v>
      </c>
      <c r="M73" s="4">
        <f>[1]雷古曼!N14</f>
        <v>720</v>
      </c>
      <c r="N73" s="4">
        <f>[1]雷古曼!O14</f>
        <v>131</v>
      </c>
      <c r="O73" s="4">
        <f>[1]雷古曼!P14</f>
        <v>7046</v>
      </c>
      <c r="P73" s="4">
        <v>0</v>
      </c>
      <c r="Q73" s="4">
        <f>[1]雷古曼!Q14</f>
        <v>2677</v>
      </c>
      <c r="R73" s="4">
        <v>2.5</v>
      </c>
      <c r="S73" s="4">
        <f>[1]雷古曼!R14</f>
        <v>63</v>
      </c>
      <c r="T73" s="4">
        <v>0</v>
      </c>
      <c r="U73" s="4">
        <v>0</v>
      </c>
      <c r="V73" s="4">
        <v>0</v>
      </c>
    </row>
    <row r="74" spans="1:22" x14ac:dyDescent="0.15">
      <c r="A74" s="4" t="s">
        <v>2662</v>
      </c>
      <c r="D74" s="4">
        <f t="shared" si="0"/>
        <v>2</v>
      </c>
      <c r="E74" s="4">
        <v>14</v>
      </c>
      <c r="H74" s="29">
        <v>1001</v>
      </c>
      <c r="I74" s="4">
        <f>[1]雷古曼!$J15</f>
        <v>4078</v>
      </c>
      <c r="L74" s="30">
        <v>800</v>
      </c>
      <c r="M74" s="4">
        <f>[1]雷古曼!N15</f>
        <v>744</v>
      </c>
      <c r="N74" s="4">
        <f>[1]雷古曼!O15</f>
        <v>141</v>
      </c>
      <c r="O74" s="4">
        <f>[1]雷古曼!P15</f>
        <v>7246</v>
      </c>
      <c r="P74" s="4">
        <v>0</v>
      </c>
      <c r="Q74" s="4">
        <f>[1]雷古曼!Q15</f>
        <v>2691</v>
      </c>
      <c r="R74" s="4">
        <v>2.5</v>
      </c>
      <c r="S74" s="4">
        <f>[1]雷古曼!R15</f>
        <v>67</v>
      </c>
      <c r="T74" s="4">
        <v>0</v>
      </c>
      <c r="U74" s="4">
        <v>0</v>
      </c>
      <c r="V74" s="4">
        <v>0</v>
      </c>
    </row>
    <row r="75" spans="1:22" x14ac:dyDescent="0.15">
      <c r="A75" s="4" t="s">
        <v>2662</v>
      </c>
      <c r="D75" s="4">
        <f t="shared" si="0"/>
        <v>2</v>
      </c>
      <c r="E75" s="4">
        <v>15</v>
      </c>
      <c r="H75" s="29">
        <v>1001</v>
      </c>
      <c r="I75" s="4">
        <f>[1]雷古曼!$J16</f>
        <v>4239</v>
      </c>
      <c r="L75" s="30">
        <v>800</v>
      </c>
      <c r="M75" s="4">
        <f>[1]雷古曼!N16</f>
        <v>768</v>
      </c>
      <c r="N75" s="4">
        <f>[1]雷古曼!O16</f>
        <v>151</v>
      </c>
      <c r="O75" s="4">
        <f>[1]雷古曼!P16</f>
        <v>7446</v>
      </c>
      <c r="P75" s="4">
        <v>0</v>
      </c>
      <c r="Q75" s="4">
        <f>[1]雷古曼!Q16</f>
        <v>2705</v>
      </c>
      <c r="R75" s="4">
        <v>2.5</v>
      </c>
      <c r="S75" s="4">
        <f>[1]雷古曼!R16</f>
        <v>71</v>
      </c>
      <c r="T75" s="4">
        <v>0</v>
      </c>
      <c r="U75" s="4">
        <v>0</v>
      </c>
      <c r="V75" s="4">
        <v>0</v>
      </c>
    </row>
    <row r="76" spans="1:22" x14ac:dyDescent="0.15">
      <c r="A76" s="4" t="s">
        <v>2662</v>
      </c>
      <c r="D76" s="4">
        <f t="shared" si="0"/>
        <v>2</v>
      </c>
      <c r="E76" s="4">
        <v>16</v>
      </c>
      <c r="H76" s="29">
        <v>1001</v>
      </c>
      <c r="I76" s="4">
        <f>[1]雷古曼!$J17</f>
        <v>4399</v>
      </c>
      <c r="L76" s="30">
        <v>800</v>
      </c>
      <c r="M76" s="4">
        <f>[1]雷古曼!N17</f>
        <v>792</v>
      </c>
      <c r="N76" s="4">
        <f>[1]雷古曼!O17</f>
        <v>161</v>
      </c>
      <c r="O76" s="4">
        <f>[1]雷古曼!P17</f>
        <v>7646</v>
      </c>
      <c r="P76" s="4">
        <v>0</v>
      </c>
      <c r="Q76" s="4">
        <f>[1]雷古曼!Q17</f>
        <v>2719</v>
      </c>
      <c r="R76" s="4">
        <v>2.5</v>
      </c>
      <c r="S76" s="4">
        <f>[1]雷古曼!R17</f>
        <v>75</v>
      </c>
      <c r="T76" s="4">
        <v>0</v>
      </c>
      <c r="U76" s="4">
        <v>0</v>
      </c>
      <c r="V76" s="4">
        <v>0</v>
      </c>
    </row>
    <row r="77" spans="1:22" x14ac:dyDescent="0.15">
      <c r="A77" s="4" t="s">
        <v>2662</v>
      </c>
      <c r="D77" s="4">
        <f t="shared" si="0"/>
        <v>2</v>
      </c>
      <c r="E77" s="4">
        <v>17</v>
      </c>
      <c r="H77" s="29">
        <v>1001</v>
      </c>
      <c r="I77" s="4">
        <f>[1]雷古曼!$J18</f>
        <v>4559</v>
      </c>
      <c r="L77" s="30">
        <v>800</v>
      </c>
      <c r="M77" s="4">
        <f>[1]雷古曼!N18</f>
        <v>816</v>
      </c>
      <c r="N77" s="4">
        <f>[1]雷古曼!O18</f>
        <v>171</v>
      </c>
      <c r="O77" s="4">
        <f>[1]雷古曼!P18</f>
        <v>7846</v>
      </c>
      <c r="P77" s="4">
        <v>0</v>
      </c>
      <c r="Q77" s="4">
        <f>[1]雷古曼!Q18</f>
        <v>2733</v>
      </c>
      <c r="R77" s="4">
        <v>2.5</v>
      </c>
      <c r="S77" s="4">
        <f>[1]雷古曼!R18</f>
        <v>79</v>
      </c>
      <c r="T77" s="4">
        <v>0</v>
      </c>
      <c r="U77" s="4">
        <v>0</v>
      </c>
      <c r="V77" s="4">
        <v>0</v>
      </c>
    </row>
    <row r="78" spans="1:22" x14ac:dyDescent="0.15">
      <c r="A78" s="4" t="s">
        <v>2662</v>
      </c>
      <c r="D78" s="4">
        <f t="shared" si="0"/>
        <v>2</v>
      </c>
      <c r="E78" s="4">
        <v>18</v>
      </c>
      <c r="H78" s="29">
        <v>1001</v>
      </c>
      <c r="I78" s="4">
        <f>[1]雷古曼!$J19</f>
        <v>4720</v>
      </c>
      <c r="L78" s="30">
        <v>800</v>
      </c>
      <c r="M78" s="4">
        <f>[1]雷古曼!N19</f>
        <v>840</v>
      </c>
      <c r="N78" s="4">
        <f>[1]雷古曼!O19</f>
        <v>181</v>
      </c>
      <c r="O78" s="4">
        <f>[1]雷古曼!P19</f>
        <v>8046</v>
      </c>
      <c r="P78" s="4">
        <v>0</v>
      </c>
      <c r="Q78" s="4">
        <f>[1]雷古曼!Q19</f>
        <v>2747</v>
      </c>
      <c r="R78" s="4">
        <v>2.5</v>
      </c>
      <c r="S78" s="4">
        <f>[1]雷古曼!R19</f>
        <v>83</v>
      </c>
      <c r="T78" s="4">
        <v>0</v>
      </c>
      <c r="U78" s="4">
        <v>0</v>
      </c>
      <c r="V78" s="4">
        <v>0</v>
      </c>
    </row>
    <row r="79" spans="1:22" x14ac:dyDescent="0.15">
      <c r="A79" s="4" t="s">
        <v>2662</v>
      </c>
      <c r="D79" s="4">
        <f t="shared" si="0"/>
        <v>2</v>
      </c>
      <c r="E79" s="4">
        <v>19</v>
      </c>
      <c r="H79" s="29">
        <v>1001</v>
      </c>
      <c r="I79" s="4">
        <f>[1]雷古曼!$J20</f>
        <v>4880</v>
      </c>
      <c r="L79" s="30">
        <v>800</v>
      </c>
      <c r="M79" s="4">
        <f>[1]雷古曼!N20</f>
        <v>864</v>
      </c>
      <c r="N79" s="4">
        <f>[1]雷古曼!O20</f>
        <v>191</v>
      </c>
      <c r="O79" s="4">
        <f>[1]雷古曼!P20</f>
        <v>8246</v>
      </c>
      <c r="P79" s="4">
        <v>0</v>
      </c>
      <c r="Q79" s="4">
        <f>[1]雷古曼!Q20</f>
        <v>2761</v>
      </c>
      <c r="R79" s="4">
        <v>2.5</v>
      </c>
      <c r="S79" s="4">
        <f>[1]雷古曼!R20</f>
        <v>87</v>
      </c>
      <c r="T79" s="4">
        <v>0</v>
      </c>
      <c r="U79" s="4">
        <v>0</v>
      </c>
      <c r="V79" s="4">
        <v>0</v>
      </c>
    </row>
    <row r="80" spans="1:22" x14ac:dyDescent="0.15">
      <c r="A80" s="4" t="s">
        <v>2662</v>
      </c>
      <c r="D80" s="4">
        <f t="shared" si="0"/>
        <v>2</v>
      </c>
      <c r="E80" s="4">
        <v>20</v>
      </c>
      <c r="H80" s="29">
        <v>1001</v>
      </c>
      <c r="I80" s="4">
        <f>[1]雷古曼!$J21</f>
        <v>5040</v>
      </c>
      <c r="L80" s="30">
        <v>800</v>
      </c>
      <c r="M80" s="4">
        <f>[1]雷古曼!N21</f>
        <v>888</v>
      </c>
      <c r="N80" s="4">
        <f>[1]雷古曼!O21</f>
        <v>201</v>
      </c>
      <c r="O80" s="4">
        <f>[1]雷古曼!P21</f>
        <v>8446</v>
      </c>
      <c r="P80" s="4">
        <v>0</v>
      </c>
      <c r="Q80" s="4">
        <f>[1]雷古曼!Q21</f>
        <v>2775</v>
      </c>
      <c r="R80" s="4">
        <v>2.5</v>
      </c>
      <c r="S80" s="4">
        <f>[1]雷古曼!R21</f>
        <v>91</v>
      </c>
      <c r="T80" s="4">
        <v>0</v>
      </c>
      <c r="U80" s="4">
        <v>0</v>
      </c>
      <c r="V80" s="4">
        <v>0</v>
      </c>
    </row>
    <row r="81" spans="1:22" x14ac:dyDescent="0.15">
      <c r="A81" s="4" t="s">
        <v>2662</v>
      </c>
      <c r="D81" s="4">
        <f t="shared" si="0"/>
        <v>2</v>
      </c>
      <c r="E81" s="4">
        <v>21</v>
      </c>
      <c r="H81" s="29">
        <v>1001</v>
      </c>
      <c r="I81" s="4">
        <f>[1]雷古曼!$J22</f>
        <v>5200</v>
      </c>
      <c r="L81" s="30">
        <v>800</v>
      </c>
      <c r="M81" s="4">
        <f>[1]雷古曼!N22</f>
        <v>912</v>
      </c>
      <c r="N81" s="4">
        <f>[1]雷古曼!O22</f>
        <v>211</v>
      </c>
      <c r="O81" s="4">
        <f>[1]雷古曼!P22</f>
        <v>8646</v>
      </c>
      <c r="P81" s="4">
        <v>0</v>
      </c>
      <c r="Q81" s="4">
        <f>[1]雷古曼!Q22</f>
        <v>2789</v>
      </c>
      <c r="R81" s="4">
        <v>2.5</v>
      </c>
      <c r="S81" s="4">
        <f>[1]雷古曼!R22</f>
        <v>95</v>
      </c>
      <c r="T81" s="4">
        <v>0</v>
      </c>
      <c r="U81" s="4">
        <v>0</v>
      </c>
      <c r="V81" s="4">
        <v>0</v>
      </c>
    </row>
    <row r="82" spans="1:22" x14ac:dyDescent="0.15">
      <c r="A82" s="4" t="s">
        <v>2662</v>
      </c>
      <c r="D82" s="4">
        <f t="shared" si="0"/>
        <v>2</v>
      </c>
      <c r="E82" s="4">
        <v>22</v>
      </c>
      <c r="H82" s="29">
        <v>1001</v>
      </c>
      <c r="I82" s="4">
        <f>[1]雷古曼!$J23</f>
        <v>5361</v>
      </c>
      <c r="L82" s="30">
        <v>800</v>
      </c>
      <c r="M82" s="4">
        <f>[1]雷古曼!N23</f>
        <v>936</v>
      </c>
      <c r="N82" s="4">
        <f>[1]雷古曼!O23</f>
        <v>221</v>
      </c>
      <c r="O82" s="4">
        <f>[1]雷古曼!P23</f>
        <v>8846</v>
      </c>
      <c r="P82" s="4">
        <v>0</v>
      </c>
      <c r="Q82" s="4">
        <f>[1]雷古曼!Q23</f>
        <v>2803</v>
      </c>
      <c r="R82" s="4">
        <v>2.5</v>
      </c>
      <c r="S82" s="4">
        <f>[1]雷古曼!R23</f>
        <v>99</v>
      </c>
      <c r="T82" s="4">
        <v>0</v>
      </c>
      <c r="U82" s="4">
        <v>0</v>
      </c>
      <c r="V82" s="4">
        <v>0</v>
      </c>
    </row>
    <row r="83" spans="1:22" x14ac:dyDescent="0.15">
      <c r="A83" s="4" t="s">
        <v>2662</v>
      </c>
      <c r="D83" s="4">
        <f t="shared" si="0"/>
        <v>2</v>
      </c>
      <c r="E83" s="4">
        <v>23</v>
      </c>
      <c r="H83" s="29">
        <v>1001</v>
      </c>
      <c r="I83" s="4">
        <f>[1]雷古曼!$J24</f>
        <v>5521</v>
      </c>
      <c r="L83" s="30">
        <v>800</v>
      </c>
      <c r="M83" s="4">
        <f>[1]雷古曼!N24</f>
        <v>960</v>
      </c>
      <c r="N83" s="4">
        <f>[1]雷古曼!O24</f>
        <v>231</v>
      </c>
      <c r="O83" s="4">
        <f>[1]雷古曼!P24</f>
        <v>9046</v>
      </c>
      <c r="P83" s="4">
        <v>0</v>
      </c>
      <c r="Q83" s="4">
        <f>[1]雷古曼!Q24</f>
        <v>2817</v>
      </c>
      <c r="R83" s="4">
        <v>2.5</v>
      </c>
      <c r="S83" s="4">
        <f>[1]雷古曼!R24</f>
        <v>103</v>
      </c>
      <c r="T83" s="4">
        <v>0</v>
      </c>
      <c r="U83" s="4">
        <v>0</v>
      </c>
      <c r="V83" s="4">
        <v>0</v>
      </c>
    </row>
    <row r="84" spans="1:22" x14ac:dyDescent="0.15">
      <c r="A84" s="4" t="s">
        <v>2662</v>
      </c>
      <c r="D84" s="4">
        <f t="shared" si="0"/>
        <v>2</v>
      </c>
      <c r="E84" s="4">
        <v>24</v>
      </c>
      <c r="H84" s="29">
        <v>1001</v>
      </c>
      <c r="I84" s="4">
        <f>[1]雷古曼!$J25</f>
        <v>5681</v>
      </c>
      <c r="L84" s="30">
        <v>800</v>
      </c>
      <c r="M84" s="4">
        <f>[1]雷古曼!N25</f>
        <v>984</v>
      </c>
      <c r="N84" s="4">
        <f>[1]雷古曼!O25</f>
        <v>241</v>
      </c>
      <c r="O84" s="4">
        <f>[1]雷古曼!P25</f>
        <v>9246</v>
      </c>
      <c r="P84" s="4">
        <v>0</v>
      </c>
      <c r="Q84" s="4">
        <f>[1]雷古曼!Q25</f>
        <v>2831</v>
      </c>
      <c r="R84" s="4">
        <v>2.5</v>
      </c>
      <c r="S84" s="4">
        <f>[1]雷古曼!R25</f>
        <v>107</v>
      </c>
      <c r="T84" s="4">
        <v>0</v>
      </c>
      <c r="U84" s="4">
        <v>0</v>
      </c>
      <c r="V84" s="4">
        <v>0</v>
      </c>
    </row>
    <row r="85" spans="1:22" x14ac:dyDescent="0.15">
      <c r="A85" s="4" t="s">
        <v>2662</v>
      </c>
      <c r="D85" s="4">
        <f t="shared" si="0"/>
        <v>2</v>
      </c>
      <c r="E85" s="4">
        <v>25</v>
      </c>
      <c r="H85" s="29">
        <v>1001</v>
      </c>
      <c r="I85" s="4">
        <f>[1]雷古曼!$J26</f>
        <v>5842</v>
      </c>
      <c r="L85" s="30">
        <v>800</v>
      </c>
      <c r="M85" s="4">
        <f>[1]雷古曼!N26</f>
        <v>1008</v>
      </c>
      <c r="N85" s="4">
        <f>[1]雷古曼!O26</f>
        <v>251</v>
      </c>
      <c r="O85" s="4">
        <f>[1]雷古曼!P26</f>
        <v>9446</v>
      </c>
      <c r="P85" s="4">
        <v>0</v>
      </c>
      <c r="Q85" s="4">
        <f>[1]雷古曼!Q26</f>
        <v>2845</v>
      </c>
      <c r="R85" s="4">
        <v>2.5</v>
      </c>
      <c r="S85" s="4">
        <f>[1]雷古曼!R26</f>
        <v>111</v>
      </c>
      <c r="T85" s="4">
        <v>0</v>
      </c>
      <c r="U85" s="4">
        <v>0</v>
      </c>
      <c r="V85" s="4">
        <v>0</v>
      </c>
    </row>
    <row r="86" spans="1:22" x14ac:dyDescent="0.15">
      <c r="A86" s="4" t="s">
        <v>2662</v>
      </c>
      <c r="D86" s="4">
        <f t="shared" si="0"/>
        <v>2</v>
      </c>
      <c r="E86" s="4">
        <v>26</v>
      </c>
      <c r="H86" s="29">
        <v>1001</v>
      </c>
      <c r="I86" s="4">
        <f>[1]雷古曼!$J27</f>
        <v>6002</v>
      </c>
      <c r="L86" s="30">
        <v>800</v>
      </c>
      <c r="M86" s="4">
        <f>[1]雷古曼!N27</f>
        <v>1032</v>
      </c>
      <c r="N86" s="4">
        <f>[1]雷古曼!O27</f>
        <v>261</v>
      </c>
      <c r="O86" s="4">
        <f>[1]雷古曼!P27</f>
        <v>9646</v>
      </c>
      <c r="P86" s="4">
        <v>0</v>
      </c>
      <c r="Q86" s="4">
        <f>[1]雷古曼!Q27</f>
        <v>2859</v>
      </c>
      <c r="R86" s="4">
        <v>2.5</v>
      </c>
      <c r="S86" s="4">
        <f>[1]雷古曼!R27</f>
        <v>115</v>
      </c>
      <c r="T86" s="4">
        <v>0</v>
      </c>
      <c r="U86" s="4">
        <v>0</v>
      </c>
      <c r="V86" s="4">
        <v>0</v>
      </c>
    </row>
    <row r="87" spans="1:22" x14ac:dyDescent="0.15">
      <c r="A87" s="4" t="s">
        <v>2662</v>
      </c>
      <c r="D87" s="4">
        <f t="shared" si="0"/>
        <v>2</v>
      </c>
      <c r="E87" s="4">
        <v>27</v>
      </c>
      <c r="H87" s="29">
        <v>1001</v>
      </c>
      <c r="I87" s="4">
        <f>[1]雷古曼!$J28</f>
        <v>6162</v>
      </c>
      <c r="L87" s="30">
        <v>800</v>
      </c>
      <c r="M87" s="4">
        <f>[1]雷古曼!N28</f>
        <v>1056</v>
      </c>
      <c r="N87" s="4">
        <f>[1]雷古曼!O28</f>
        <v>271</v>
      </c>
      <c r="O87" s="4">
        <f>[1]雷古曼!P28</f>
        <v>9846</v>
      </c>
      <c r="P87" s="4">
        <v>0</v>
      </c>
      <c r="Q87" s="4">
        <f>[1]雷古曼!Q28</f>
        <v>2873</v>
      </c>
      <c r="R87" s="4">
        <v>2.5</v>
      </c>
      <c r="S87" s="4">
        <f>[1]雷古曼!R28</f>
        <v>119</v>
      </c>
      <c r="T87" s="4">
        <v>0</v>
      </c>
      <c r="U87" s="4">
        <v>0</v>
      </c>
      <c r="V87" s="4">
        <v>0</v>
      </c>
    </row>
    <row r="88" spans="1:22" x14ac:dyDescent="0.15">
      <c r="A88" s="4" t="s">
        <v>2662</v>
      </c>
      <c r="D88" s="4">
        <f t="shared" si="0"/>
        <v>2</v>
      </c>
      <c r="E88" s="4">
        <v>28</v>
      </c>
      <c r="H88" s="29">
        <v>1001</v>
      </c>
      <c r="I88" s="4">
        <f>[1]雷古曼!$J29</f>
        <v>6322</v>
      </c>
      <c r="L88" s="30">
        <v>800</v>
      </c>
      <c r="M88" s="4">
        <f>[1]雷古曼!N29</f>
        <v>1080</v>
      </c>
      <c r="N88" s="4">
        <f>[1]雷古曼!O29</f>
        <v>281</v>
      </c>
      <c r="O88" s="4">
        <f>[1]雷古曼!P29</f>
        <v>10046</v>
      </c>
      <c r="P88" s="4">
        <v>0</v>
      </c>
      <c r="Q88" s="4">
        <f>[1]雷古曼!Q29</f>
        <v>2887</v>
      </c>
      <c r="R88" s="4">
        <v>2.5</v>
      </c>
      <c r="S88" s="4">
        <f>[1]雷古曼!R29</f>
        <v>123</v>
      </c>
      <c r="T88" s="4">
        <v>0</v>
      </c>
      <c r="U88" s="4">
        <v>0</v>
      </c>
      <c r="V88" s="4">
        <v>0</v>
      </c>
    </row>
    <row r="89" spans="1:22" x14ac:dyDescent="0.15">
      <c r="A89" s="4" t="s">
        <v>2662</v>
      </c>
      <c r="D89" s="4">
        <f t="shared" si="0"/>
        <v>2</v>
      </c>
      <c r="E89" s="4">
        <v>29</v>
      </c>
      <c r="H89" s="29">
        <v>1001</v>
      </c>
      <c r="I89" s="4">
        <f>[1]雷古曼!$J30</f>
        <v>6483</v>
      </c>
      <c r="L89" s="30">
        <v>800</v>
      </c>
      <c r="M89" s="4">
        <f>[1]雷古曼!N30</f>
        <v>1104</v>
      </c>
      <c r="N89" s="4">
        <f>[1]雷古曼!O30</f>
        <v>291</v>
      </c>
      <c r="O89" s="4">
        <f>[1]雷古曼!P30</f>
        <v>10246</v>
      </c>
      <c r="P89" s="4">
        <v>0</v>
      </c>
      <c r="Q89" s="4">
        <f>[1]雷古曼!Q30</f>
        <v>2901</v>
      </c>
      <c r="R89" s="4">
        <v>2.5</v>
      </c>
      <c r="S89" s="4">
        <f>[1]雷古曼!R30</f>
        <v>127</v>
      </c>
      <c r="T89" s="4">
        <v>0</v>
      </c>
      <c r="U89" s="4">
        <v>0</v>
      </c>
      <c r="V89" s="4">
        <v>0</v>
      </c>
    </row>
    <row r="90" spans="1:22" x14ac:dyDescent="0.15">
      <c r="A90" s="4" t="s">
        <v>2662</v>
      </c>
      <c r="D90" s="4">
        <f t="shared" si="0"/>
        <v>2</v>
      </c>
      <c r="E90" s="4">
        <v>30</v>
      </c>
      <c r="H90" s="29">
        <v>1001</v>
      </c>
      <c r="I90" s="4">
        <f>[1]雷古曼!$J31</f>
        <v>6643</v>
      </c>
      <c r="L90" s="30">
        <v>800</v>
      </c>
      <c r="M90" s="4">
        <f>[1]雷古曼!N31</f>
        <v>1128</v>
      </c>
      <c r="N90" s="4">
        <f>[1]雷古曼!O31</f>
        <v>301</v>
      </c>
      <c r="O90" s="4">
        <f>[1]雷古曼!P31</f>
        <v>10446</v>
      </c>
      <c r="P90" s="4">
        <v>0</v>
      </c>
      <c r="Q90" s="4">
        <f>[1]雷古曼!Q31</f>
        <v>2915</v>
      </c>
      <c r="R90" s="4">
        <v>2.5</v>
      </c>
      <c r="S90" s="4">
        <f>[1]雷古曼!R31</f>
        <v>131</v>
      </c>
      <c r="T90" s="4">
        <v>0</v>
      </c>
      <c r="U90" s="4">
        <v>0</v>
      </c>
      <c r="V90" s="4">
        <v>0</v>
      </c>
    </row>
    <row r="91" spans="1:22" x14ac:dyDescent="0.15">
      <c r="A91" s="4" t="s">
        <v>2662</v>
      </c>
      <c r="D91" s="4">
        <f t="shared" si="0"/>
        <v>2</v>
      </c>
      <c r="E91" s="4">
        <v>31</v>
      </c>
      <c r="H91" s="29">
        <v>1001</v>
      </c>
      <c r="I91" s="4">
        <f>[1]雷古曼!$J32</f>
        <v>6803</v>
      </c>
      <c r="L91" s="30">
        <v>800</v>
      </c>
      <c r="M91" s="4">
        <f>[1]雷古曼!N32</f>
        <v>1152</v>
      </c>
      <c r="N91" s="4">
        <f>[1]雷古曼!O32</f>
        <v>311</v>
      </c>
      <c r="O91" s="4">
        <f>[1]雷古曼!P32</f>
        <v>10646</v>
      </c>
      <c r="P91" s="4">
        <v>0</v>
      </c>
      <c r="Q91" s="4">
        <f>[1]雷古曼!Q32</f>
        <v>2929</v>
      </c>
      <c r="R91" s="4">
        <v>2.5</v>
      </c>
      <c r="S91" s="4">
        <f>[1]雷古曼!R32</f>
        <v>135</v>
      </c>
      <c r="T91" s="4">
        <v>0</v>
      </c>
      <c r="U91" s="4">
        <v>0</v>
      </c>
      <c r="V91" s="4">
        <v>0</v>
      </c>
    </row>
    <row r="92" spans="1:22" x14ac:dyDescent="0.15">
      <c r="A92" s="4" t="s">
        <v>2662</v>
      </c>
      <c r="D92" s="4">
        <f t="shared" si="0"/>
        <v>2</v>
      </c>
      <c r="E92" s="4">
        <v>32</v>
      </c>
      <c r="H92" s="29">
        <v>1001</v>
      </c>
      <c r="I92" s="4">
        <f>[1]雷古曼!$J33</f>
        <v>6963</v>
      </c>
      <c r="L92" s="30">
        <v>800</v>
      </c>
      <c r="M92" s="4">
        <f>[1]雷古曼!N33</f>
        <v>1176</v>
      </c>
      <c r="N92" s="4">
        <f>[1]雷古曼!O33</f>
        <v>321</v>
      </c>
      <c r="O92" s="4">
        <f>[1]雷古曼!P33</f>
        <v>10846</v>
      </c>
      <c r="P92" s="4">
        <v>0</v>
      </c>
      <c r="Q92" s="4">
        <f>[1]雷古曼!Q33</f>
        <v>2943</v>
      </c>
      <c r="R92" s="4">
        <v>2.5</v>
      </c>
      <c r="S92" s="4">
        <f>[1]雷古曼!R33</f>
        <v>139</v>
      </c>
      <c r="T92" s="4">
        <v>0</v>
      </c>
      <c r="U92" s="4">
        <v>0</v>
      </c>
      <c r="V92" s="4">
        <v>0</v>
      </c>
    </row>
    <row r="93" spans="1:22" x14ac:dyDescent="0.15">
      <c r="A93" s="4" t="s">
        <v>2662</v>
      </c>
      <c r="D93" s="4">
        <f t="shared" si="0"/>
        <v>2</v>
      </c>
      <c r="E93" s="4">
        <v>33</v>
      </c>
      <c r="H93" s="29">
        <v>1001</v>
      </c>
      <c r="I93" s="4">
        <f>[1]雷古曼!$J34</f>
        <v>7124</v>
      </c>
      <c r="L93" s="30">
        <v>800</v>
      </c>
      <c r="M93" s="4">
        <f>[1]雷古曼!N34</f>
        <v>1200</v>
      </c>
      <c r="N93" s="4">
        <f>[1]雷古曼!O34</f>
        <v>331</v>
      </c>
      <c r="O93" s="4">
        <f>[1]雷古曼!P34</f>
        <v>11046</v>
      </c>
      <c r="P93" s="4">
        <v>0</v>
      </c>
      <c r="Q93" s="4">
        <f>[1]雷古曼!Q34</f>
        <v>2957</v>
      </c>
      <c r="R93" s="4">
        <v>2.5</v>
      </c>
      <c r="S93" s="4">
        <f>[1]雷古曼!R34</f>
        <v>143</v>
      </c>
      <c r="T93" s="4">
        <v>0</v>
      </c>
      <c r="U93" s="4">
        <v>0</v>
      </c>
      <c r="V93" s="4">
        <v>0</v>
      </c>
    </row>
    <row r="94" spans="1:22" x14ac:dyDescent="0.15">
      <c r="A94" s="4" t="s">
        <v>2662</v>
      </c>
      <c r="D94" s="4">
        <f t="shared" si="0"/>
        <v>2</v>
      </c>
      <c r="E94" s="4">
        <v>34</v>
      </c>
      <c r="H94" s="29">
        <v>1001</v>
      </c>
      <c r="I94" s="4">
        <f>[1]雷古曼!$J35</f>
        <v>7284</v>
      </c>
      <c r="L94" s="30">
        <v>800</v>
      </c>
      <c r="M94" s="4">
        <f>[1]雷古曼!N35</f>
        <v>1224</v>
      </c>
      <c r="N94" s="4">
        <f>[1]雷古曼!O35</f>
        <v>341</v>
      </c>
      <c r="O94" s="4">
        <f>[1]雷古曼!P35</f>
        <v>11246</v>
      </c>
      <c r="P94" s="4">
        <v>0</v>
      </c>
      <c r="Q94" s="4">
        <f>[1]雷古曼!Q35</f>
        <v>2971</v>
      </c>
      <c r="R94" s="4">
        <v>2.5</v>
      </c>
      <c r="S94" s="4">
        <f>[1]雷古曼!R35</f>
        <v>147</v>
      </c>
      <c r="T94" s="4">
        <v>0</v>
      </c>
      <c r="U94" s="4">
        <v>0</v>
      </c>
      <c r="V94" s="4">
        <v>0</v>
      </c>
    </row>
    <row r="95" spans="1:22" x14ac:dyDescent="0.15">
      <c r="A95" s="4" t="s">
        <v>2662</v>
      </c>
      <c r="D95" s="4">
        <f t="shared" si="0"/>
        <v>2</v>
      </c>
      <c r="E95" s="4">
        <v>35</v>
      </c>
      <c r="H95" s="29">
        <v>1001</v>
      </c>
      <c r="I95" s="4">
        <f>[1]雷古曼!$J36</f>
        <v>7444</v>
      </c>
      <c r="L95" s="30">
        <v>800</v>
      </c>
      <c r="M95" s="4">
        <f>[1]雷古曼!N36</f>
        <v>1248</v>
      </c>
      <c r="N95" s="4">
        <f>[1]雷古曼!O36</f>
        <v>351</v>
      </c>
      <c r="O95" s="4">
        <f>[1]雷古曼!P36</f>
        <v>11446</v>
      </c>
      <c r="P95" s="4">
        <v>0</v>
      </c>
      <c r="Q95" s="4">
        <f>[1]雷古曼!Q36</f>
        <v>2985</v>
      </c>
      <c r="R95" s="4">
        <v>2.5</v>
      </c>
      <c r="S95" s="4">
        <f>[1]雷古曼!R36</f>
        <v>151</v>
      </c>
      <c r="T95" s="4">
        <v>0</v>
      </c>
      <c r="U95" s="4">
        <v>0</v>
      </c>
      <c r="V95" s="4">
        <v>0</v>
      </c>
    </row>
    <row r="96" spans="1:22" x14ac:dyDescent="0.15">
      <c r="A96" s="4" t="s">
        <v>2662</v>
      </c>
      <c r="D96" s="4">
        <f t="shared" si="0"/>
        <v>2</v>
      </c>
      <c r="E96" s="4">
        <v>36</v>
      </c>
      <c r="H96" s="29">
        <v>1001</v>
      </c>
      <c r="I96" s="4">
        <f>[1]雷古曼!$J37</f>
        <v>7605</v>
      </c>
      <c r="L96" s="30">
        <v>800</v>
      </c>
      <c r="M96" s="4">
        <f>[1]雷古曼!N37</f>
        <v>1272</v>
      </c>
      <c r="N96" s="4">
        <f>[1]雷古曼!O37</f>
        <v>361</v>
      </c>
      <c r="O96" s="4">
        <f>[1]雷古曼!P37</f>
        <v>11646</v>
      </c>
      <c r="P96" s="4">
        <v>0</v>
      </c>
      <c r="Q96" s="4">
        <f>[1]雷古曼!Q37</f>
        <v>2999</v>
      </c>
      <c r="R96" s="4">
        <v>2.5</v>
      </c>
      <c r="S96" s="4">
        <f>[1]雷古曼!R37</f>
        <v>155</v>
      </c>
      <c r="T96" s="4">
        <v>0</v>
      </c>
      <c r="U96" s="4">
        <v>0</v>
      </c>
      <c r="V96" s="4">
        <v>0</v>
      </c>
    </row>
    <row r="97" spans="1:22" x14ac:dyDescent="0.15">
      <c r="A97" s="4" t="s">
        <v>2662</v>
      </c>
      <c r="D97" s="4">
        <f t="shared" si="0"/>
        <v>2</v>
      </c>
      <c r="E97" s="4">
        <v>37</v>
      </c>
      <c r="H97" s="29">
        <v>1001</v>
      </c>
      <c r="I97" s="4">
        <f>[1]雷古曼!$J38</f>
        <v>7765</v>
      </c>
      <c r="L97" s="30">
        <v>800</v>
      </c>
      <c r="M97" s="4">
        <f>[1]雷古曼!N38</f>
        <v>1296</v>
      </c>
      <c r="N97" s="4">
        <f>[1]雷古曼!O38</f>
        <v>371</v>
      </c>
      <c r="O97" s="4">
        <f>[1]雷古曼!P38</f>
        <v>11846</v>
      </c>
      <c r="P97" s="4">
        <v>0</v>
      </c>
      <c r="Q97" s="4">
        <f>[1]雷古曼!Q38</f>
        <v>3013</v>
      </c>
      <c r="R97" s="4">
        <v>2.5</v>
      </c>
      <c r="S97" s="4">
        <f>[1]雷古曼!R38</f>
        <v>159</v>
      </c>
      <c r="T97" s="4">
        <v>0</v>
      </c>
      <c r="U97" s="4">
        <v>0</v>
      </c>
      <c r="V97" s="4">
        <v>0</v>
      </c>
    </row>
    <row r="98" spans="1:22" x14ac:dyDescent="0.15">
      <c r="A98" s="4" t="s">
        <v>2662</v>
      </c>
      <c r="D98" s="4">
        <f t="shared" si="0"/>
        <v>2</v>
      </c>
      <c r="E98" s="4">
        <v>38</v>
      </c>
      <c r="H98" s="29">
        <v>1001</v>
      </c>
      <c r="I98" s="4">
        <f>[1]雷古曼!$J39</f>
        <v>7925</v>
      </c>
      <c r="L98" s="30">
        <v>800</v>
      </c>
      <c r="M98" s="4">
        <f>[1]雷古曼!N39</f>
        <v>1320</v>
      </c>
      <c r="N98" s="4">
        <f>[1]雷古曼!O39</f>
        <v>381</v>
      </c>
      <c r="O98" s="4">
        <f>[1]雷古曼!P39</f>
        <v>12046</v>
      </c>
      <c r="P98" s="4">
        <v>0</v>
      </c>
      <c r="Q98" s="4">
        <f>[1]雷古曼!Q39</f>
        <v>3027</v>
      </c>
      <c r="R98" s="4">
        <v>2.5</v>
      </c>
      <c r="S98" s="4">
        <f>[1]雷古曼!R39</f>
        <v>163</v>
      </c>
      <c r="T98" s="4">
        <v>0</v>
      </c>
      <c r="U98" s="4">
        <v>0</v>
      </c>
      <c r="V98" s="4">
        <v>0</v>
      </c>
    </row>
    <row r="99" spans="1:22" x14ac:dyDescent="0.15">
      <c r="A99" s="4" t="s">
        <v>2662</v>
      </c>
      <c r="D99" s="4">
        <f t="shared" si="0"/>
        <v>2</v>
      </c>
      <c r="E99" s="4">
        <v>39</v>
      </c>
      <c r="H99" s="29">
        <v>1001</v>
      </c>
      <c r="I99" s="4">
        <f>[1]雷古曼!$J40</f>
        <v>8085</v>
      </c>
      <c r="L99" s="30">
        <v>800</v>
      </c>
      <c r="M99" s="4">
        <f>[1]雷古曼!N40</f>
        <v>1344</v>
      </c>
      <c r="N99" s="4">
        <f>[1]雷古曼!O40</f>
        <v>391</v>
      </c>
      <c r="O99" s="4">
        <f>[1]雷古曼!P40</f>
        <v>12246</v>
      </c>
      <c r="P99" s="4">
        <v>0</v>
      </c>
      <c r="Q99" s="4">
        <f>[1]雷古曼!Q40</f>
        <v>3041</v>
      </c>
      <c r="R99" s="4">
        <v>2.5</v>
      </c>
      <c r="S99" s="4">
        <f>[1]雷古曼!R40</f>
        <v>167</v>
      </c>
      <c r="T99" s="4">
        <v>0</v>
      </c>
      <c r="U99" s="4">
        <v>0</v>
      </c>
      <c r="V99" s="4">
        <v>0</v>
      </c>
    </row>
    <row r="100" spans="1:22" x14ac:dyDescent="0.15">
      <c r="A100" s="4" t="s">
        <v>2662</v>
      </c>
      <c r="D100" s="4">
        <f t="shared" si="0"/>
        <v>2</v>
      </c>
      <c r="E100" s="4">
        <v>40</v>
      </c>
      <c r="H100" s="29">
        <v>1001</v>
      </c>
      <c r="I100" s="4">
        <f>[1]雷古曼!$J41</f>
        <v>8246</v>
      </c>
      <c r="L100" s="30">
        <v>800</v>
      </c>
      <c r="M100" s="4">
        <f>[1]雷古曼!N41</f>
        <v>1368</v>
      </c>
      <c r="N100" s="4">
        <f>[1]雷古曼!O41</f>
        <v>401</v>
      </c>
      <c r="O100" s="4">
        <f>[1]雷古曼!P41</f>
        <v>12446</v>
      </c>
      <c r="P100" s="4">
        <v>0</v>
      </c>
      <c r="Q100" s="4">
        <f>[1]雷古曼!Q41</f>
        <v>3055</v>
      </c>
      <c r="R100" s="4">
        <v>2.5</v>
      </c>
      <c r="S100" s="4">
        <f>[1]雷古曼!R41</f>
        <v>171</v>
      </c>
      <c r="T100" s="4">
        <v>0</v>
      </c>
      <c r="U100" s="4">
        <v>0</v>
      </c>
      <c r="V100" s="4">
        <v>0</v>
      </c>
    </row>
    <row r="101" spans="1:22" x14ac:dyDescent="0.15">
      <c r="A101" s="4" t="s">
        <v>2662</v>
      </c>
      <c r="D101" s="4">
        <f t="shared" si="0"/>
        <v>2</v>
      </c>
      <c r="E101" s="4">
        <v>41</v>
      </c>
      <c r="H101" s="29">
        <v>1001</v>
      </c>
      <c r="I101" s="4">
        <f>[1]雷古曼!$J42</f>
        <v>8406</v>
      </c>
      <c r="L101" s="30">
        <v>800</v>
      </c>
      <c r="M101" s="4">
        <f>[1]雷古曼!N42</f>
        <v>1392</v>
      </c>
      <c r="N101" s="4">
        <f>[1]雷古曼!O42</f>
        <v>411</v>
      </c>
      <c r="O101" s="4">
        <f>[1]雷古曼!P42</f>
        <v>12646</v>
      </c>
      <c r="P101" s="4">
        <v>0</v>
      </c>
      <c r="Q101" s="4">
        <f>[1]雷古曼!Q42</f>
        <v>3069</v>
      </c>
      <c r="R101" s="4">
        <v>2.5</v>
      </c>
      <c r="S101" s="4">
        <f>[1]雷古曼!R42</f>
        <v>175</v>
      </c>
      <c r="T101" s="4">
        <v>0</v>
      </c>
      <c r="U101" s="4">
        <v>0</v>
      </c>
      <c r="V101" s="4">
        <v>0</v>
      </c>
    </row>
    <row r="102" spans="1:22" x14ac:dyDescent="0.15">
      <c r="A102" s="4" t="s">
        <v>2662</v>
      </c>
      <c r="D102" s="4">
        <f t="shared" si="0"/>
        <v>2</v>
      </c>
      <c r="E102" s="4">
        <v>42</v>
      </c>
      <c r="H102" s="29">
        <v>1001</v>
      </c>
      <c r="I102" s="4">
        <f>[1]雷古曼!$J43</f>
        <v>8566</v>
      </c>
      <c r="L102" s="30">
        <v>800</v>
      </c>
      <c r="M102" s="4">
        <f>[1]雷古曼!N43</f>
        <v>1416</v>
      </c>
      <c r="N102" s="4">
        <f>[1]雷古曼!O43</f>
        <v>421</v>
      </c>
      <c r="O102" s="4">
        <f>[1]雷古曼!P43</f>
        <v>12846</v>
      </c>
      <c r="P102" s="4">
        <v>0</v>
      </c>
      <c r="Q102" s="4">
        <f>[1]雷古曼!Q43</f>
        <v>3083</v>
      </c>
      <c r="R102" s="4">
        <v>2.5</v>
      </c>
      <c r="S102" s="4">
        <f>[1]雷古曼!R43</f>
        <v>179</v>
      </c>
      <c r="T102" s="4">
        <v>0</v>
      </c>
      <c r="U102" s="4">
        <v>0</v>
      </c>
      <c r="V102" s="4">
        <v>0</v>
      </c>
    </row>
    <row r="103" spans="1:22" x14ac:dyDescent="0.15">
      <c r="A103" s="4" t="s">
        <v>2662</v>
      </c>
      <c r="D103" s="4">
        <f t="shared" si="0"/>
        <v>2</v>
      </c>
      <c r="E103" s="4">
        <v>43</v>
      </c>
      <c r="H103" s="29">
        <v>1001</v>
      </c>
      <c r="I103" s="4">
        <f>[1]雷古曼!$J44</f>
        <v>8727</v>
      </c>
      <c r="L103" s="30">
        <v>800</v>
      </c>
      <c r="M103" s="4">
        <f>[1]雷古曼!N44</f>
        <v>1440</v>
      </c>
      <c r="N103" s="4">
        <f>[1]雷古曼!O44</f>
        <v>431</v>
      </c>
      <c r="O103" s="4">
        <f>[1]雷古曼!P44</f>
        <v>13046</v>
      </c>
      <c r="P103" s="4">
        <v>0</v>
      </c>
      <c r="Q103" s="4">
        <f>[1]雷古曼!Q44</f>
        <v>3097</v>
      </c>
      <c r="R103" s="4">
        <v>2.5</v>
      </c>
      <c r="S103" s="4">
        <f>[1]雷古曼!R44</f>
        <v>183</v>
      </c>
      <c r="T103" s="4">
        <v>0</v>
      </c>
      <c r="U103" s="4">
        <v>0</v>
      </c>
      <c r="V103" s="4">
        <v>0</v>
      </c>
    </row>
    <row r="104" spans="1:22" x14ac:dyDescent="0.15">
      <c r="A104" s="4" t="s">
        <v>2662</v>
      </c>
      <c r="D104" s="4">
        <f t="shared" si="0"/>
        <v>2</v>
      </c>
      <c r="E104" s="4">
        <v>44</v>
      </c>
      <c r="H104" s="29">
        <v>1001</v>
      </c>
      <c r="I104" s="4">
        <f>[1]雷古曼!$J45</f>
        <v>8887</v>
      </c>
      <c r="L104" s="30">
        <v>800</v>
      </c>
      <c r="M104" s="4">
        <f>[1]雷古曼!N45</f>
        <v>1464</v>
      </c>
      <c r="N104" s="4">
        <f>[1]雷古曼!O45</f>
        <v>441</v>
      </c>
      <c r="O104" s="4">
        <f>[1]雷古曼!P45</f>
        <v>13246</v>
      </c>
      <c r="P104" s="4">
        <v>0</v>
      </c>
      <c r="Q104" s="4">
        <f>[1]雷古曼!Q45</f>
        <v>3111</v>
      </c>
      <c r="R104" s="4">
        <v>2.5</v>
      </c>
      <c r="S104" s="4">
        <f>[1]雷古曼!R45</f>
        <v>187</v>
      </c>
      <c r="T104" s="4">
        <v>0</v>
      </c>
      <c r="U104" s="4">
        <v>0</v>
      </c>
      <c r="V104" s="4">
        <v>0</v>
      </c>
    </row>
    <row r="105" spans="1:22" x14ac:dyDescent="0.15">
      <c r="A105" s="4" t="s">
        <v>2662</v>
      </c>
      <c r="D105" s="4">
        <f t="shared" si="0"/>
        <v>2</v>
      </c>
      <c r="E105" s="4">
        <v>45</v>
      </c>
      <c r="H105" s="29">
        <v>1001</v>
      </c>
      <c r="I105" s="4">
        <f>[1]雷古曼!$J46</f>
        <v>9047</v>
      </c>
      <c r="L105" s="30">
        <v>800</v>
      </c>
      <c r="M105" s="4">
        <f>[1]雷古曼!N46</f>
        <v>1488</v>
      </c>
      <c r="N105" s="4">
        <f>[1]雷古曼!O46</f>
        <v>451</v>
      </c>
      <c r="O105" s="4">
        <f>[1]雷古曼!P46</f>
        <v>13446</v>
      </c>
      <c r="P105" s="4">
        <v>0</v>
      </c>
      <c r="Q105" s="4">
        <f>[1]雷古曼!Q46</f>
        <v>3125</v>
      </c>
      <c r="R105" s="4">
        <v>2.5</v>
      </c>
      <c r="S105" s="4">
        <f>[1]雷古曼!R46</f>
        <v>191</v>
      </c>
      <c r="T105" s="4">
        <v>0</v>
      </c>
      <c r="U105" s="4">
        <v>0</v>
      </c>
      <c r="V105" s="4">
        <v>0</v>
      </c>
    </row>
    <row r="106" spans="1:22" x14ac:dyDescent="0.15">
      <c r="A106" s="4" t="s">
        <v>2662</v>
      </c>
      <c r="D106" s="4">
        <f t="shared" si="0"/>
        <v>2</v>
      </c>
      <c r="E106" s="4">
        <v>46</v>
      </c>
      <c r="H106" s="29">
        <v>1001</v>
      </c>
      <c r="I106" s="4">
        <f>[1]雷古曼!$J47</f>
        <v>9207</v>
      </c>
      <c r="L106" s="30">
        <v>800</v>
      </c>
      <c r="M106" s="4">
        <f>[1]雷古曼!N47</f>
        <v>1512</v>
      </c>
      <c r="N106" s="4">
        <f>[1]雷古曼!O47</f>
        <v>461</v>
      </c>
      <c r="O106" s="4">
        <f>[1]雷古曼!P47</f>
        <v>13646</v>
      </c>
      <c r="P106" s="4">
        <v>0</v>
      </c>
      <c r="Q106" s="4">
        <f>[1]雷古曼!Q47</f>
        <v>3139</v>
      </c>
      <c r="R106" s="4">
        <v>2.5</v>
      </c>
      <c r="S106" s="4">
        <f>[1]雷古曼!R47</f>
        <v>195</v>
      </c>
      <c r="T106" s="4">
        <v>0</v>
      </c>
      <c r="U106" s="4">
        <v>0</v>
      </c>
      <c r="V106" s="4">
        <v>0</v>
      </c>
    </row>
    <row r="107" spans="1:22" x14ac:dyDescent="0.15">
      <c r="A107" s="4" t="s">
        <v>2662</v>
      </c>
      <c r="D107" s="4">
        <f t="shared" si="0"/>
        <v>2</v>
      </c>
      <c r="E107" s="4">
        <v>47</v>
      </c>
      <c r="H107" s="29">
        <v>1001</v>
      </c>
      <c r="I107" s="4">
        <f>[1]雷古曼!$J48</f>
        <v>9368</v>
      </c>
      <c r="L107" s="30">
        <v>800</v>
      </c>
      <c r="M107" s="4">
        <f>[1]雷古曼!N48</f>
        <v>1536</v>
      </c>
      <c r="N107" s="4">
        <f>[1]雷古曼!O48</f>
        <v>471</v>
      </c>
      <c r="O107" s="4">
        <f>[1]雷古曼!P48</f>
        <v>13846</v>
      </c>
      <c r="P107" s="4">
        <v>0</v>
      </c>
      <c r="Q107" s="4">
        <f>[1]雷古曼!Q48</f>
        <v>3153</v>
      </c>
      <c r="R107" s="4">
        <v>2.5</v>
      </c>
      <c r="S107" s="4">
        <f>[1]雷古曼!R48</f>
        <v>199</v>
      </c>
      <c r="T107" s="4">
        <v>0</v>
      </c>
      <c r="U107" s="4">
        <v>0</v>
      </c>
      <c r="V107" s="4">
        <v>0</v>
      </c>
    </row>
    <row r="108" spans="1:22" x14ac:dyDescent="0.15">
      <c r="A108" s="4" t="s">
        <v>2662</v>
      </c>
      <c r="D108" s="4">
        <f t="shared" si="0"/>
        <v>2</v>
      </c>
      <c r="E108" s="4">
        <v>48</v>
      </c>
      <c r="H108" s="29">
        <v>1001</v>
      </c>
      <c r="I108" s="4">
        <f>[1]雷古曼!$J49</f>
        <v>9528</v>
      </c>
      <c r="L108" s="30">
        <v>800</v>
      </c>
      <c r="M108" s="4">
        <f>[1]雷古曼!N49</f>
        <v>1560</v>
      </c>
      <c r="N108" s="4">
        <f>[1]雷古曼!O49</f>
        <v>481</v>
      </c>
      <c r="O108" s="4">
        <f>[1]雷古曼!P49</f>
        <v>14046</v>
      </c>
      <c r="P108" s="4">
        <v>0</v>
      </c>
      <c r="Q108" s="4">
        <f>[1]雷古曼!Q49</f>
        <v>3167</v>
      </c>
      <c r="R108" s="4">
        <v>2.5</v>
      </c>
      <c r="S108" s="4">
        <f>[1]雷古曼!R49</f>
        <v>203</v>
      </c>
      <c r="T108" s="4">
        <v>0</v>
      </c>
      <c r="U108" s="4">
        <v>0</v>
      </c>
      <c r="V108" s="4">
        <v>0</v>
      </c>
    </row>
    <row r="109" spans="1:22" x14ac:dyDescent="0.15">
      <c r="A109" s="4" t="s">
        <v>2662</v>
      </c>
      <c r="D109" s="4">
        <f t="shared" si="0"/>
        <v>2</v>
      </c>
      <c r="E109" s="4">
        <v>49</v>
      </c>
      <c r="H109" s="29">
        <v>1001</v>
      </c>
      <c r="I109" s="4">
        <f>[1]雷古曼!$J50</f>
        <v>9688</v>
      </c>
      <c r="L109" s="30">
        <v>800</v>
      </c>
      <c r="M109" s="4">
        <f>[1]雷古曼!N50</f>
        <v>1584</v>
      </c>
      <c r="N109" s="4">
        <f>[1]雷古曼!O50</f>
        <v>491</v>
      </c>
      <c r="O109" s="4">
        <f>[1]雷古曼!P50</f>
        <v>14246</v>
      </c>
      <c r="P109" s="4">
        <v>0</v>
      </c>
      <c r="Q109" s="4">
        <f>[1]雷古曼!Q50</f>
        <v>3181</v>
      </c>
      <c r="R109" s="4">
        <v>2.5</v>
      </c>
      <c r="S109" s="4">
        <f>[1]雷古曼!R50</f>
        <v>207</v>
      </c>
      <c r="T109" s="4">
        <v>0</v>
      </c>
      <c r="U109" s="4">
        <v>0</v>
      </c>
      <c r="V109" s="4">
        <v>0</v>
      </c>
    </row>
    <row r="110" spans="1:22" x14ac:dyDescent="0.15">
      <c r="A110" s="4" t="s">
        <v>2662</v>
      </c>
      <c r="D110" s="4">
        <f t="shared" si="0"/>
        <v>2</v>
      </c>
      <c r="E110" s="4">
        <v>50</v>
      </c>
      <c r="H110" s="29">
        <v>1001</v>
      </c>
      <c r="I110" s="4">
        <f>[1]雷古曼!$J51</f>
        <v>9849</v>
      </c>
      <c r="L110" s="30">
        <v>800</v>
      </c>
      <c r="M110" s="4">
        <f>[1]雷古曼!N51</f>
        <v>1608</v>
      </c>
      <c r="N110" s="4">
        <f>[1]雷古曼!O51</f>
        <v>501</v>
      </c>
      <c r="O110" s="4">
        <f>[1]雷古曼!P51</f>
        <v>14446</v>
      </c>
      <c r="P110" s="4">
        <v>0</v>
      </c>
      <c r="Q110" s="4">
        <f>[1]雷古曼!Q51</f>
        <v>3195</v>
      </c>
      <c r="R110" s="4">
        <v>2.5</v>
      </c>
      <c r="S110" s="4">
        <f>[1]雷古曼!R51</f>
        <v>211</v>
      </c>
      <c r="T110" s="4">
        <v>0</v>
      </c>
      <c r="U110" s="4">
        <v>0</v>
      </c>
      <c r="V110" s="4">
        <v>0</v>
      </c>
    </row>
    <row r="111" spans="1:22" x14ac:dyDescent="0.15">
      <c r="I111" s="4"/>
    </row>
    <row r="112" spans="1:22" x14ac:dyDescent="0.15">
      <c r="A112" s="4" t="s">
        <v>2662</v>
      </c>
      <c r="C112" s="4" t="s">
        <v>3075</v>
      </c>
      <c r="D112" s="4">
        <f t="shared" ref="D112:D162" si="1">D60+1</f>
        <v>3</v>
      </c>
      <c r="E112" s="4">
        <v>0</v>
      </c>
      <c r="H112" s="29">
        <v>1000</v>
      </c>
      <c r="I112" s="31">
        <v>699</v>
      </c>
      <c r="M112" s="4">
        <v>0</v>
      </c>
      <c r="N112" s="4">
        <v>0</v>
      </c>
      <c r="O112" s="4">
        <v>0</v>
      </c>
      <c r="P112" s="4">
        <v>0</v>
      </c>
      <c r="Q112" s="4">
        <v>0</v>
      </c>
      <c r="R112" s="4">
        <v>0</v>
      </c>
      <c r="S112" s="4">
        <v>0</v>
      </c>
      <c r="T112" s="4">
        <v>0</v>
      </c>
      <c r="U112" s="4">
        <v>0</v>
      </c>
      <c r="V112" s="4">
        <v>0</v>
      </c>
    </row>
    <row r="113" spans="1:22" x14ac:dyDescent="0.15">
      <c r="A113" s="4" t="s">
        <v>2662</v>
      </c>
      <c r="D113" s="4">
        <f t="shared" si="1"/>
        <v>3</v>
      </c>
      <c r="E113" s="4">
        <v>1</v>
      </c>
      <c r="H113" s="29">
        <v>1001</v>
      </c>
      <c r="I113" s="4">
        <f>[1]雷古曼!$AB2</f>
        <v>4488</v>
      </c>
      <c r="L113" s="30">
        <v>800</v>
      </c>
      <c r="M113" s="4">
        <f>[1]雷古曼!W2</f>
        <v>576</v>
      </c>
      <c r="N113" s="4">
        <f>[1]雷古曼!X2</f>
        <v>13</v>
      </c>
      <c r="O113" s="4">
        <f>[1]雷古曼!Y2</f>
        <v>7488</v>
      </c>
      <c r="P113" s="4">
        <v>0</v>
      </c>
      <c r="Q113" s="4">
        <f>[1]雷古曼!Z2</f>
        <v>3226</v>
      </c>
      <c r="R113" s="4">
        <v>2.5</v>
      </c>
      <c r="S113" s="4">
        <f>[1]雷古曼!AA2</f>
        <v>20</v>
      </c>
      <c r="T113" s="4">
        <v>0</v>
      </c>
      <c r="U113" s="4">
        <v>0</v>
      </c>
      <c r="V113" s="4">
        <v>0</v>
      </c>
    </row>
    <row r="114" spans="1:22" x14ac:dyDescent="0.15">
      <c r="A114" s="4" t="s">
        <v>2662</v>
      </c>
      <c r="D114" s="4">
        <f t="shared" si="1"/>
        <v>3</v>
      </c>
      <c r="E114" s="4">
        <v>2</v>
      </c>
      <c r="H114" s="29">
        <v>1001</v>
      </c>
      <c r="I114" s="4">
        <f>[1]雷古曼!$AB3</f>
        <v>4686</v>
      </c>
      <c r="L114" s="30">
        <v>800</v>
      </c>
      <c r="M114" s="4">
        <f>[1]雷古曼!W3</f>
        <v>602</v>
      </c>
      <c r="N114" s="4">
        <f>[1]雷古曼!X3</f>
        <v>23</v>
      </c>
      <c r="O114" s="4">
        <f>[1]雷古曼!Y3</f>
        <v>7708</v>
      </c>
      <c r="P114" s="4">
        <v>0</v>
      </c>
      <c r="Q114" s="4">
        <f>[1]雷古曼!Z3</f>
        <v>3240</v>
      </c>
      <c r="R114" s="4">
        <v>2.5</v>
      </c>
      <c r="S114" s="4">
        <f>[1]雷古曼!AA3</f>
        <v>24</v>
      </c>
      <c r="T114" s="4">
        <v>0</v>
      </c>
      <c r="U114" s="4">
        <v>0</v>
      </c>
      <c r="V114" s="4">
        <v>0</v>
      </c>
    </row>
    <row r="115" spans="1:22" x14ac:dyDescent="0.15">
      <c r="A115" s="4" t="s">
        <v>2662</v>
      </c>
      <c r="D115" s="4">
        <f t="shared" si="1"/>
        <v>3</v>
      </c>
      <c r="E115" s="4">
        <v>3</v>
      </c>
      <c r="H115" s="29">
        <v>1001</v>
      </c>
      <c r="I115" s="4">
        <f>[1]雷古曼!$AB4</f>
        <v>4885</v>
      </c>
      <c r="L115" s="30">
        <v>800</v>
      </c>
      <c r="M115" s="4">
        <f>[1]雷古曼!W4</f>
        <v>628</v>
      </c>
      <c r="N115" s="4">
        <f>[1]雷古曼!X4</f>
        <v>33</v>
      </c>
      <c r="O115" s="4">
        <f>[1]雷古曼!Y4</f>
        <v>7928</v>
      </c>
      <c r="P115" s="4">
        <v>0</v>
      </c>
      <c r="Q115" s="4">
        <f>[1]雷古曼!Z4</f>
        <v>3254</v>
      </c>
      <c r="R115" s="4">
        <v>2.5</v>
      </c>
      <c r="S115" s="4">
        <f>[1]雷古曼!AA4</f>
        <v>28</v>
      </c>
      <c r="T115" s="4">
        <v>0</v>
      </c>
      <c r="U115" s="4">
        <v>0</v>
      </c>
      <c r="V115" s="4">
        <v>0</v>
      </c>
    </row>
    <row r="116" spans="1:22" x14ac:dyDescent="0.15">
      <c r="A116" s="4" t="s">
        <v>2662</v>
      </c>
      <c r="D116" s="4">
        <f t="shared" si="1"/>
        <v>3</v>
      </c>
      <c r="E116" s="4">
        <v>4</v>
      </c>
      <c r="H116" s="29">
        <v>1001</v>
      </c>
      <c r="I116" s="4">
        <f>[1]雷古曼!$AB5</f>
        <v>5083</v>
      </c>
      <c r="L116" s="30">
        <v>800</v>
      </c>
      <c r="M116" s="4">
        <f>[1]雷古曼!W5</f>
        <v>654</v>
      </c>
      <c r="N116" s="4">
        <f>[1]雷古曼!X5</f>
        <v>43</v>
      </c>
      <c r="O116" s="4">
        <f>[1]雷古曼!Y5</f>
        <v>8148</v>
      </c>
      <c r="P116" s="4">
        <v>0</v>
      </c>
      <c r="Q116" s="4">
        <f>[1]雷古曼!Z5</f>
        <v>3268</v>
      </c>
      <c r="R116" s="4">
        <v>2.5</v>
      </c>
      <c r="S116" s="4">
        <f>[1]雷古曼!AA5</f>
        <v>32</v>
      </c>
      <c r="T116" s="4">
        <v>0</v>
      </c>
      <c r="U116" s="4">
        <v>0</v>
      </c>
      <c r="V116" s="4">
        <v>0</v>
      </c>
    </row>
    <row r="117" spans="1:22" x14ac:dyDescent="0.15">
      <c r="A117" s="4" t="s">
        <v>2662</v>
      </c>
      <c r="D117" s="4">
        <f t="shared" si="1"/>
        <v>3</v>
      </c>
      <c r="E117" s="4">
        <v>5</v>
      </c>
      <c r="H117" s="29">
        <v>1001</v>
      </c>
      <c r="I117" s="4">
        <f>[1]雷古曼!$AB6</f>
        <v>5281</v>
      </c>
      <c r="L117" s="30">
        <v>800</v>
      </c>
      <c r="M117" s="4">
        <f>[1]雷古曼!W6</f>
        <v>680</v>
      </c>
      <c r="N117" s="4">
        <f>[1]雷古曼!X6</f>
        <v>53</v>
      </c>
      <c r="O117" s="4">
        <f>[1]雷古曼!Y6</f>
        <v>8368</v>
      </c>
      <c r="P117" s="4">
        <v>0</v>
      </c>
      <c r="Q117" s="4">
        <f>[1]雷古曼!Z6</f>
        <v>3282</v>
      </c>
      <c r="R117" s="4">
        <v>2.5</v>
      </c>
      <c r="S117" s="4">
        <f>[1]雷古曼!AA6</f>
        <v>36</v>
      </c>
      <c r="T117" s="4">
        <v>0</v>
      </c>
      <c r="U117" s="4">
        <v>0</v>
      </c>
      <c r="V117" s="4">
        <v>0</v>
      </c>
    </row>
    <row r="118" spans="1:22" x14ac:dyDescent="0.15">
      <c r="A118" s="4" t="s">
        <v>2662</v>
      </c>
      <c r="D118" s="4">
        <f t="shared" si="1"/>
        <v>3</v>
      </c>
      <c r="E118" s="4">
        <v>6</v>
      </c>
      <c r="H118" s="29">
        <v>1001</v>
      </c>
      <c r="I118" s="4">
        <f>[1]雷古曼!$AB7</f>
        <v>5480</v>
      </c>
      <c r="L118" s="30">
        <v>800</v>
      </c>
      <c r="M118" s="4">
        <f>[1]雷古曼!W7</f>
        <v>706</v>
      </c>
      <c r="N118" s="4">
        <f>[1]雷古曼!X7</f>
        <v>63</v>
      </c>
      <c r="O118" s="4">
        <f>[1]雷古曼!Y7</f>
        <v>8588</v>
      </c>
      <c r="P118" s="4">
        <v>0</v>
      </c>
      <c r="Q118" s="4">
        <f>[1]雷古曼!Z7</f>
        <v>3296</v>
      </c>
      <c r="R118" s="4">
        <v>2.5</v>
      </c>
      <c r="S118" s="4">
        <f>[1]雷古曼!AA7</f>
        <v>40</v>
      </c>
      <c r="T118" s="4">
        <v>0</v>
      </c>
      <c r="U118" s="4">
        <v>0</v>
      </c>
      <c r="V118" s="4">
        <v>0</v>
      </c>
    </row>
    <row r="119" spans="1:22" x14ac:dyDescent="0.15">
      <c r="A119" s="4" t="s">
        <v>2662</v>
      </c>
      <c r="D119" s="4">
        <f t="shared" si="1"/>
        <v>3</v>
      </c>
      <c r="E119" s="4">
        <v>7</v>
      </c>
      <c r="H119" s="29">
        <v>1001</v>
      </c>
      <c r="I119" s="4">
        <f>[1]雷古曼!$AB8</f>
        <v>5678</v>
      </c>
      <c r="L119" s="30">
        <v>800</v>
      </c>
      <c r="M119" s="4">
        <f>[1]雷古曼!W8</f>
        <v>732</v>
      </c>
      <c r="N119" s="4">
        <f>[1]雷古曼!X8</f>
        <v>73</v>
      </c>
      <c r="O119" s="4">
        <f>[1]雷古曼!Y8</f>
        <v>8808</v>
      </c>
      <c r="P119" s="4">
        <v>0</v>
      </c>
      <c r="Q119" s="4">
        <f>[1]雷古曼!Z8</f>
        <v>3310</v>
      </c>
      <c r="R119" s="4">
        <v>2.5</v>
      </c>
      <c r="S119" s="4">
        <f>[1]雷古曼!AA8</f>
        <v>44</v>
      </c>
      <c r="T119" s="4">
        <v>0</v>
      </c>
      <c r="U119" s="4">
        <v>0</v>
      </c>
      <c r="V119" s="4">
        <v>0</v>
      </c>
    </row>
    <row r="120" spans="1:22" x14ac:dyDescent="0.15">
      <c r="A120" s="4" t="s">
        <v>2662</v>
      </c>
      <c r="D120" s="4">
        <f t="shared" si="1"/>
        <v>3</v>
      </c>
      <c r="E120" s="4">
        <v>8</v>
      </c>
      <c r="H120" s="29">
        <v>1001</v>
      </c>
      <c r="I120" s="4">
        <f>[1]雷古曼!$AB9</f>
        <v>5876</v>
      </c>
      <c r="L120" s="30">
        <v>800</v>
      </c>
      <c r="M120" s="4">
        <f>[1]雷古曼!W9</f>
        <v>758</v>
      </c>
      <c r="N120" s="4">
        <f>[1]雷古曼!X9</f>
        <v>83</v>
      </c>
      <c r="O120" s="4">
        <f>[1]雷古曼!Y9</f>
        <v>9028</v>
      </c>
      <c r="P120" s="4">
        <v>0</v>
      </c>
      <c r="Q120" s="4">
        <f>[1]雷古曼!Z9</f>
        <v>3324</v>
      </c>
      <c r="R120" s="4">
        <v>2.5</v>
      </c>
      <c r="S120" s="4">
        <f>[1]雷古曼!AA9</f>
        <v>48</v>
      </c>
      <c r="T120" s="4">
        <v>0</v>
      </c>
      <c r="U120" s="4">
        <v>0</v>
      </c>
      <c r="V120" s="4">
        <v>0</v>
      </c>
    </row>
    <row r="121" spans="1:22" x14ac:dyDescent="0.15">
      <c r="A121" s="4" t="s">
        <v>2662</v>
      </c>
      <c r="D121" s="4">
        <f t="shared" si="1"/>
        <v>3</v>
      </c>
      <c r="E121" s="4">
        <v>9</v>
      </c>
      <c r="H121" s="29">
        <v>1001</v>
      </c>
      <c r="I121" s="4">
        <f>[1]雷古曼!$AB10</f>
        <v>6074</v>
      </c>
      <c r="L121" s="30">
        <v>800</v>
      </c>
      <c r="M121" s="4">
        <f>[1]雷古曼!W10</f>
        <v>784</v>
      </c>
      <c r="N121" s="4">
        <f>[1]雷古曼!X10</f>
        <v>93</v>
      </c>
      <c r="O121" s="4">
        <f>[1]雷古曼!Y10</f>
        <v>9248</v>
      </c>
      <c r="P121" s="4">
        <v>0</v>
      </c>
      <c r="Q121" s="4">
        <f>[1]雷古曼!Z10</f>
        <v>3338</v>
      </c>
      <c r="R121" s="4">
        <v>2.5</v>
      </c>
      <c r="S121" s="4">
        <f>[1]雷古曼!AA10</f>
        <v>52</v>
      </c>
      <c r="T121" s="4">
        <v>0</v>
      </c>
      <c r="U121" s="4">
        <v>0</v>
      </c>
      <c r="V121" s="4">
        <v>0</v>
      </c>
    </row>
    <row r="122" spans="1:22" x14ac:dyDescent="0.15">
      <c r="A122" s="4" t="s">
        <v>2662</v>
      </c>
      <c r="D122" s="4">
        <f t="shared" si="1"/>
        <v>3</v>
      </c>
      <c r="E122" s="4">
        <v>10</v>
      </c>
      <c r="H122" s="29">
        <v>1001</v>
      </c>
      <c r="I122" s="4">
        <f>[1]雷古曼!$AB11</f>
        <v>6273</v>
      </c>
      <c r="L122" s="30">
        <v>800</v>
      </c>
      <c r="M122" s="4">
        <f>[1]雷古曼!W11</f>
        <v>810</v>
      </c>
      <c r="N122" s="4">
        <f>[1]雷古曼!X11</f>
        <v>103</v>
      </c>
      <c r="O122" s="4">
        <f>[1]雷古曼!Y11</f>
        <v>9468</v>
      </c>
      <c r="P122" s="4">
        <v>0</v>
      </c>
      <c r="Q122" s="4">
        <f>[1]雷古曼!Z11</f>
        <v>3352</v>
      </c>
      <c r="R122" s="4">
        <v>2.5</v>
      </c>
      <c r="S122" s="4">
        <f>[1]雷古曼!AA11</f>
        <v>56</v>
      </c>
      <c r="T122" s="4">
        <v>0</v>
      </c>
      <c r="U122" s="4">
        <v>0</v>
      </c>
      <c r="V122" s="4">
        <v>0</v>
      </c>
    </row>
    <row r="123" spans="1:22" x14ac:dyDescent="0.15">
      <c r="A123" s="4" t="s">
        <v>2662</v>
      </c>
      <c r="D123" s="4">
        <f t="shared" si="1"/>
        <v>3</v>
      </c>
      <c r="E123" s="4">
        <v>11</v>
      </c>
      <c r="H123" s="29">
        <v>1001</v>
      </c>
      <c r="I123" s="4">
        <f>[1]雷古曼!$AB12</f>
        <v>6471</v>
      </c>
      <c r="L123" s="30">
        <v>800</v>
      </c>
      <c r="M123" s="4">
        <f>[1]雷古曼!W12</f>
        <v>836</v>
      </c>
      <c r="N123" s="4">
        <f>[1]雷古曼!X12</f>
        <v>113</v>
      </c>
      <c r="O123" s="4">
        <f>[1]雷古曼!Y12</f>
        <v>9688</v>
      </c>
      <c r="P123" s="4">
        <v>0</v>
      </c>
      <c r="Q123" s="4">
        <f>[1]雷古曼!Z12</f>
        <v>3366</v>
      </c>
      <c r="R123" s="4">
        <v>2.5</v>
      </c>
      <c r="S123" s="4">
        <f>[1]雷古曼!AA12</f>
        <v>60</v>
      </c>
      <c r="T123" s="4">
        <v>0</v>
      </c>
      <c r="U123" s="4">
        <v>0</v>
      </c>
      <c r="V123" s="4">
        <v>0</v>
      </c>
    </row>
    <row r="124" spans="1:22" x14ac:dyDescent="0.15">
      <c r="A124" s="4" t="s">
        <v>2662</v>
      </c>
      <c r="D124" s="4">
        <f t="shared" si="1"/>
        <v>3</v>
      </c>
      <c r="E124" s="4">
        <v>12</v>
      </c>
      <c r="H124" s="29">
        <v>1001</v>
      </c>
      <c r="I124" s="4">
        <f>[1]雷古曼!$AB13</f>
        <v>6669</v>
      </c>
      <c r="L124" s="30">
        <v>800</v>
      </c>
      <c r="M124" s="4">
        <f>[1]雷古曼!W13</f>
        <v>862</v>
      </c>
      <c r="N124" s="4">
        <f>[1]雷古曼!X13</f>
        <v>123</v>
      </c>
      <c r="O124" s="4">
        <f>[1]雷古曼!Y13</f>
        <v>9908</v>
      </c>
      <c r="P124" s="4">
        <v>0</v>
      </c>
      <c r="Q124" s="4">
        <f>[1]雷古曼!Z13</f>
        <v>3380</v>
      </c>
      <c r="R124" s="4">
        <v>2.5</v>
      </c>
      <c r="S124" s="4">
        <f>[1]雷古曼!AA13</f>
        <v>64</v>
      </c>
      <c r="T124" s="4">
        <v>0</v>
      </c>
      <c r="U124" s="4">
        <v>0</v>
      </c>
      <c r="V124" s="4">
        <v>0</v>
      </c>
    </row>
    <row r="125" spans="1:22" x14ac:dyDescent="0.15">
      <c r="A125" s="4" t="s">
        <v>2662</v>
      </c>
      <c r="D125" s="4">
        <f t="shared" si="1"/>
        <v>3</v>
      </c>
      <c r="E125" s="4">
        <v>13</v>
      </c>
      <c r="H125" s="29">
        <v>1001</v>
      </c>
      <c r="I125" s="4">
        <f>[1]雷古曼!$AB14</f>
        <v>6867</v>
      </c>
      <c r="L125" s="30">
        <v>800</v>
      </c>
      <c r="M125" s="4">
        <f>[1]雷古曼!W14</f>
        <v>888</v>
      </c>
      <c r="N125" s="4">
        <f>[1]雷古曼!X14</f>
        <v>133</v>
      </c>
      <c r="O125" s="4">
        <f>[1]雷古曼!Y14</f>
        <v>10128</v>
      </c>
      <c r="P125" s="4">
        <v>0</v>
      </c>
      <c r="Q125" s="4">
        <f>[1]雷古曼!Z14</f>
        <v>3394</v>
      </c>
      <c r="R125" s="4">
        <v>2.5</v>
      </c>
      <c r="S125" s="4">
        <f>[1]雷古曼!AA14</f>
        <v>68</v>
      </c>
      <c r="T125" s="4">
        <v>0</v>
      </c>
      <c r="U125" s="4">
        <v>0</v>
      </c>
      <c r="V125" s="4">
        <v>0</v>
      </c>
    </row>
    <row r="126" spans="1:22" x14ac:dyDescent="0.15">
      <c r="A126" s="4" t="s">
        <v>2662</v>
      </c>
      <c r="D126" s="4">
        <f t="shared" si="1"/>
        <v>3</v>
      </c>
      <c r="E126" s="4">
        <v>14</v>
      </c>
      <c r="H126" s="29">
        <v>1001</v>
      </c>
      <c r="I126" s="4">
        <f>[1]雷古曼!$AB15</f>
        <v>7066</v>
      </c>
      <c r="L126" s="30">
        <v>800</v>
      </c>
      <c r="M126" s="4">
        <f>[1]雷古曼!W15</f>
        <v>914</v>
      </c>
      <c r="N126" s="4">
        <f>[1]雷古曼!X15</f>
        <v>143</v>
      </c>
      <c r="O126" s="4">
        <f>[1]雷古曼!Y15</f>
        <v>10348</v>
      </c>
      <c r="P126" s="4">
        <v>0</v>
      </c>
      <c r="Q126" s="4">
        <f>[1]雷古曼!Z15</f>
        <v>3408</v>
      </c>
      <c r="R126" s="4">
        <v>2.5</v>
      </c>
      <c r="S126" s="4">
        <f>[1]雷古曼!AA15</f>
        <v>72</v>
      </c>
      <c r="T126" s="4">
        <v>0</v>
      </c>
      <c r="U126" s="4">
        <v>0</v>
      </c>
      <c r="V126" s="4">
        <v>0</v>
      </c>
    </row>
    <row r="127" spans="1:22" x14ac:dyDescent="0.15">
      <c r="A127" s="4" t="s">
        <v>2662</v>
      </c>
      <c r="D127" s="4">
        <f t="shared" si="1"/>
        <v>3</v>
      </c>
      <c r="E127" s="4">
        <v>15</v>
      </c>
      <c r="H127" s="29">
        <v>1001</v>
      </c>
      <c r="I127" s="4">
        <f>[1]雷古曼!$AB16</f>
        <v>7264</v>
      </c>
      <c r="L127" s="30">
        <v>800</v>
      </c>
      <c r="M127" s="4">
        <f>[1]雷古曼!W16</f>
        <v>940</v>
      </c>
      <c r="N127" s="4">
        <f>[1]雷古曼!X16</f>
        <v>153</v>
      </c>
      <c r="O127" s="4">
        <f>[1]雷古曼!Y16</f>
        <v>10568</v>
      </c>
      <c r="P127" s="4">
        <v>0</v>
      </c>
      <c r="Q127" s="4">
        <f>[1]雷古曼!Z16</f>
        <v>3422</v>
      </c>
      <c r="R127" s="4">
        <v>2.5</v>
      </c>
      <c r="S127" s="4">
        <f>[1]雷古曼!AA16</f>
        <v>76</v>
      </c>
      <c r="T127" s="4">
        <v>0</v>
      </c>
      <c r="U127" s="4">
        <v>0</v>
      </c>
      <c r="V127" s="4">
        <v>0</v>
      </c>
    </row>
    <row r="128" spans="1:22" x14ac:dyDescent="0.15">
      <c r="A128" s="4" t="s">
        <v>2662</v>
      </c>
      <c r="D128" s="4">
        <f t="shared" si="1"/>
        <v>3</v>
      </c>
      <c r="E128" s="4">
        <v>16</v>
      </c>
      <c r="H128" s="29">
        <v>1001</v>
      </c>
      <c r="I128" s="4">
        <f>[1]雷古曼!$AB17</f>
        <v>7462</v>
      </c>
      <c r="L128" s="30">
        <v>800</v>
      </c>
      <c r="M128" s="4">
        <f>[1]雷古曼!W17</f>
        <v>966</v>
      </c>
      <c r="N128" s="4">
        <f>[1]雷古曼!X17</f>
        <v>163</v>
      </c>
      <c r="O128" s="4">
        <f>[1]雷古曼!Y17</f>
        <v>10788</v>
      </c>
      <c r="P128" s="4">
        <v>0</v>
      </c>
      <c r="Q128" s="4">
        <f>[1]雷古曼!Z17</f>
        <v>3436</v>
      </c>
      <c r="R128" s="4">
        <v>2.5</v>
      </c>
      <c r="S128" s="4">
        <f>[1]雷古曼!AA17</f>
        <v>80</v>
      </c>
      <c r="T128" s="4">
        <v>0</v>
      </c>
      <c r="U128" s="4">
        <v>0</v>
      </c>
      <c r="V128" s="4">
        <v>0</v>
      </c>
    </row>
    <row r="129" spans="1:22" x14ac:dyDescent="0.15">
      <c r="A129" s="4" t="s">
        <v>2662</v>
      </c>
      <c r="D129" s="4">
        <f t="shared" si="1"/>
        <v>3</v>
      </c>
      <c r="E129" s="4">
        <v>17</v>
      </c>
      <c r="H129" s="29">
        <v>1001</v>
      </c>
      <c r="I129" s="4">
        <f>[1]雷古曼!$AB18</f>
        <v>7661</v>
      </c>
      <c r="L129" s="30">
        <v>800</v>
      </c>
      <c r="M129" s="4">
        <f>[1]雷古曼!W18</f>
        <v>992</v>
      </c>
      <c r="N129" s="4">
        <f>[1]雷古曼!X18</f>
        <v>173</v>
      </c>
      <c r="O129" s="4">
        <f>[1]雷古曼!Y18</f>
        <v>11008</v>
      </c>
      <c r="P129" s="4">
        <v>0</v>
      </c>
      <c r="Q129" s="4">
        <f>[1]雷古曼!Z18</f>
        <v>3450</v>
      </c>
      <c r="R129" s="4">
        <v>2.5</v>
      </c>
      <c r="S129" s="4">
        <f>[1]雷古曼!AA18</f>
        <v>84</v>
      </c>
      <c r="T129" s="4">
        <v>0</v>
      </c>
      <c r="U129" s="4">
        <v>0</v>
      </c>
      <c r="V129" s="4">
        <v>0</v>
      </c>
    </row>
    <row r="130" spans="1:22" x14ac:dyDescent="0.15">
      <c r="A130" s="4" t="s">
        <v>2662</v>
      </c>
      <c r="D130" s="4">
        <f t="shared" si="1"/>
        <v>3</v>
      </c>
      <c r="E130" s="4">
        <v>18</v>
      </c>
      <c r="H130" s="29">
        <v>1001</v>
      </c>
      <c r="I130" s="4">
        <f>[1]雷古曼!$AB19</f>
        <v>7859</v>
      </c>
      <c r="L130" s="30">
        <v>800</v>
      </c>
      <c r="M130" s="4">
        <f>[1]雷古曼!W19</f>
        <v>1018</v>
      </c>
      <c r="N130" s="4">
        <f>[1]雷古曼!X19</f>
        <v>183</v>
      </c>
      <c r="O130" s="4">
        <f>[1]雷古曼!Y19</f>
        <v>11228</v>
      </c>
      <c r="P130" s="4">
        <v>0</v>
      </c>
      <c r="Q130" s="4">
        <f>[1]雷古曼!Z19</f>
        <v>3464</v>
      </c>
      <c r="R130" s="4">
        <v>2.5</v>
      </c>
      <c r="S130" s="4">
        <f>[1]雷古曼!AA19</f>
        <v>88</v>
      </c>
      <c r="T130" s="4">
        <v>0</v>
      </c>
      <c r="U130" s="4">
        <v>0</v>
      </c>
      <c r="V130" s="4">
        <v>0</v>
      </c>
    </row>
    <row r="131" spans="1:22" x14ac:dyDescent="0.15">
      <c r="A131" s="4" t="s">
        <v>2662</v>
      </c>
      <c r="D131" s="4">
        <f t="shared" si="1"/>
        <v>3</v>
      </c>
      <c r="E131" s="4">
        <v>19</v>
      </c>
      <c r="H131" s="29">
        <v>1001</v>
      </c>
      <c r="I131" s="4">
        <f>[1]雷古曼!$AB20</f>
        <v>8057</v>
      </c>
      <c r="L131" s="30">
        <v>800</v>
      </c>
      <c r="M131" s="4">
        <f>[1]雷古曼!W20</f>
        <v>1044</v>
      </c>
      <c r="N131" s="4">
        <f>[1]雷古曼!X20</f>
        <v>193</v>
      </c>
      <c r="O131" s="4">
        <f>[1]雷古曼!Y20</f>
        <v>11448</v>
      </c>
      <c r="P131" s="4">
        <v>0</v>
      </c>
      <c r="Q131" s="4">
        <f>[1]雷古曼!Z20</f>
        <v>3478</v>
      </c>
      <c r="R131" s="4">
        <v>2.5</v>
      </c>
      <c r="S131" s="4">
        <f>[1]雷古曼!AA20</f>
        <v>92</v>
      </c>
      <c r="T131" s="4">
        <v>0</v>
      </c>
      <c r="U131" s="4">
        <v>0</v>
      </c>
      <c r="V131" s="4">
        <v>0</v>
      </c>
    </row>
    <row r="132" spans="1:22" x14ac:dyDescent="0.15">
      <c r="A132" s="4" t="s">
        <v>2662</v>
      </c>
      <c r="D132" s="4">
        <f t="shared" si="1"/>
        <v>3</v>
      </c>
      <c r="E132" s="4">
        <v>20</v>
      </c>
      <c r="H132" s="29">
        <v>1001</v>
      </c>
      <c r="I132" s="4">
        <f>[1]雷古曼!$AB21</f>
        <v>8255</v>
      </c>
      <c r="L132" s="30">
        <v>800</v>
      </c>
      <c r="M132" s="4">
        <f>[1]雷古曼!W21</f>
        <v>1070</v>
      </c>
      <c r="N132" s="4">
        <f>[1]雷古曼!X21</f>
        <v>203</v>
      </c>
      <c r="O132" s="4">
        <f>[1]雷古曼!Y21</f>
        <v>11668</v>
      </c>
      <c r="P132" s="4">
        <v>0</v>
      </c>
      <c r="Q132" s="4">
        <f>[1]雷古曼!Z21</f>
        <v>3492</v>
      </c>
      <c r="R132" s="4">
        <v>2.5</v>
      </c>
      <c r="S132" s="4">
        <f>[1]雷古曼!AA21</f>
        <v>96</v>
      </c>
      <c r="T132" s="4">
        <v>0</v>
      </c>
      <c r="U132" s="4">
        <v>0</v>
      </c>
      <c r="V132" s="4">
        <v>0</v>
      </c>
    </row>
    <row r="133" spans="1:22" x14ac:dyDescent="0.15">
      <c r="A133" s="4" t="s">
        <v>2662</v>
      </c>
      <c r="D133" s="4">
        <f t="shared" si="1"/>
        <v>3</v>
      </c>
      <c r="E133" s="4">
        <v>21</v>
      </c>
      <c r="H133" s="29">
        <v>1001</v>
      </c>
      <c r="I133" s="4">
        <f>[1]雷古曼!$AB22</f>
        <v>8454</v>
      </c>
      <c r="L133" s="30">
        <v>800</v>
      </c>
      <c r="M133" s="4">
        <f>[1]雷古曼!W22</f>
        <v>1096</v>
      </c>
      <c r="N133" s="4">
        <f>[1]雷古曼!X22</f>
        <v>213</v>
      </c>
      <c r="O133" s="4">
        <f>[1]雷古曼!Y22</f>
        <v>11888</v>
      </c>
      <c r="P133" s="4">
        <v>0</v>
      </c>
      <c r="Q133" s="4">
        <f>[1]雷古曼!Z22</f>
        <v>3506</v>
      </c>
      <c r="R133" s="4">
        <v>2.5</v>
      </c>
      <c r="S133" s="4">
        <f>[1]雷古曼!AA22</f>
        <v>100</v>
      </c>
      <c r="T133" s="4">
        <v>0</v>
      </c>
      <c r="U133" s="4">
        <v>0</v>
      </c>
      <c r="V133" s="4">
        <v>0</v>
      </c>
    </row>
    <row r="134" spans="1:22" x14ac:dyDescent="0.15">
      <c r="A134" s="4" t="s">
        <v>2662</v>
      </c>
      <c r="D134" s="4">
        <f t="shared" si="1"/>
        <v>3</v>
      </c>
      <c r="E134" s="4">
        <v>22</v>
      </c>
      <c r="H134" s="29">
        <v>1001</v>
      </c>
      <c r="I134" s="4">
        <f>[1]雷古曼!$AB23</f>
        <v>8652</v>
      </c>
      <c r="L134" s="30">
        <v>800</v>
      </c>
      <c r="M134" s="4">
        <f>[1]雷古曼!W23</f>
        <v>1122</v>
      </c>
      <c r="N134" s="4">
        <f>[1]雷古曼!X23</f>
        <v>223</v>
      </c>
      <c r="O134" s="4">
        <f>[1]雷古曼!Y23</f>
        <v>12108</v>
      </c>
      <c r="P134" s="4">
        <v>0</v>
      </c>
      <c r="Q134" s="4">
        <f>[1]雷古曼!Z23</f>
        <v>3520</v>
      </c>
      <c r="R134" s="4">
        <v>2.5</v>
      </c>
      <c r="S134" s="4">
        <f>[1]雷古曼!AA23</f>
        <v>104</v>
      </c>
      <c r="T134" s="4">
        <v>0</v>
      </c>
      <c r="U134" s="4">
        <v>0</v>
      </c>
      <c r="V134" s="4">
        <v>0</v>
      </c>
    </row>
    <row r="135" spans="1:22" x14ac:dyDescent="0.15">
      <c r="A135" s="4" t="s">
        <v>2662</v>
      </c>
      <c r="D135" s="4">
        <f t="shared" si="1"/>
        <v>3</v>
      </c>
      <c r="E135" s="4">
        <v>23</v>
      </c>
      <c r="H135" s="29">
        <v>1001</v>
      </c>
      <c r="I135" s="4">
        <f>[1]雷古曼!$AB24</f>
        <v>8850</v>
      </c>
      <c r="L135" s="30">
        <v>800</v>
      </c>
      <c r="M135" s="4">
        <f>[1]雷古曼!W24</f>
        <v>1148</v>
      </c>
      <c r="N135" s="4">
        <f>[1]雷古曼!X24</f>
        <v>233</v>
      </c>
      <c r="O135" s="4">
        <f>[1]雷古曼!Y24</f>
        <v>12328</v>
      </c>
      <c r="P135" s="4">
        <v>0</v>
      </c>
      <c r="Q135" s="4">
        <f>[1]雷古曼!Z24</f>
        <v>3534</v>
      </c>
      <c r="R135" s="4">
        <v>2.5</v>
      </c>
      <c r="S135" s="4">
        <f>[1]雷古曼!AA24</f>
        <v>108</v>
      </c>
      <c r="T135" s="4">
        <v>0</v>
      </c>
      <c r="U135" s="4">
        <v>0</v>
      </c>
      <c r="V135" s="4">
        <v>0</v>
      </c>
    </row>
    <row r="136" spans="1:22" x14ac:dyDescent="0.15">
      <c r="A136" s="4" t="s">
        <v>2662</v>
      </c>
      <c r="D136" s="4">
        <f t="shared" si="1"/>
        <v>3</v>
      </c>
      <c r="E136" s="4">
        <v>24</v>
      </c>
      <c r="H136" s="29">
        <v>1001</v>
      </c>
      <c r="I136" s="4">
        <f>[1]雷古曼!$AB25</f>
        <v>9049</v>
      </c>
      <c r="L136" s="30">
        <v>800</v>
      </c>
      <c r="M136" s="4">
        <f>[1]雷古曼!W25</f>
        <v>1174</v>
      </c>
      <c r="N136" s="4">
        <f>[1]雷古曼!X25</f>
        <v>243</v>
      </c>
      <c r="O136" s="4">
        <f>[1]雷古曼!Y25</f>
        <v>12548</v>
      </c>
      <c r="P136" s="4">
        <v>0</v>
      </c>
      <c r="Q136" s="4">
        <f>[1]雷古曼!Z25</f>
        <v>3548</v>
      </c>
      <c r="R136" s="4">
        <v>2.5</v>
      </c>
      <c r="S136" s="4">
        <f>[1]雷古曼!AA25</f>
        <v>112</v>
      </c>
      <c r="T136" s="4">
        <v>0</v>
      </c>
      <c r="U136" s="4">
        <v>0</v>
      </c>
      <c r="V136" s="4">
        <v>0</v>
      </c>
    </row>
    <row r="137" spans="1:22" x14ac:dyDescent="0.15">
      <c r="A137" s="4" t="s">
        <v>2662</v>
      </c>
      <c r="D137" s="4">
        <f t="shared" si="1"/>
        <v>3</v>
      </c>
      <c r="E137" s="4">
        <v>25</v>
      </c>
      <c r="H137" s="29">
        <v>1001</v>
      </c>
      <c r="I137" s="4">
        <f>[1]雷古曼!$AB26</f>
        <v>9247</v>
      </c>
      <c r="L137" s="30">
        <v>800</v>
      </c>
      <c r="M137" s="4">
        <f>[1]雷古曼!W26</f>
        <v>1200</v>
      </c>
      <c r="N137" s="4">
        <f>[1]雷古曼!X26</f>
        <v>253</v>
      </c>
      <c r="O137" s="4">
        <f>[1]雷古曼!Y26</f>
        <v>12768</v>
      </c>
      <c r="P137" s="4">
        <v>0</v>
      </c>
      <c r="Q137" s="4">
        <f>[1]雷古曼!Z26</f>
        <v>3562</v>
      </c>
      <c r="R137" s="4">
        <v>2.5</v>
      </c>
      <c r="S137" s="4">
        <f>[1]雷古曼!AA26</f>
        <v>116</v>
      </c>
      <c r="T137" s="4">
        <v>0</v>
      </c>
      <c r="U137" s="4">
        <v>0</v>
      </c>
      <c r="V137" s="4">
        <v>0</v>
      </c>
    </row>
    <row r="138" spans="1:22" x14ac:dyDescent="0.15">
      <c r="A138" s="4" t="s">
        <v>2662</v>
      </c>
      <c r="D138" s="4">
        <f t="shared" si="1"/>
        <v>3</v>
      </c>
      <c r="E138" s="4">
        <v>26</v>
      </c>
      <c r="H138" s="29">
        <v>1001</v>
      </c>
      <c r="I138" s="4">
        <f>[1]雷古曼!$AB27</f>
        <v>9445</v>
      </c>
      <c r="L138" s="30">
        <v>800</v>
      </c>
      <c r="M138" s="4">
        <f>[1]雷古曼!W27</f>
        <v>1226</v>
      </c>
      <c r="N138" s="4">
        <f>[1]雷古曼!X27</f>
        <v>263</v>
      </c>
      <c r="O138" s="4">
        <f>[1]雷古曼!Y27</f>
        <v>12988</v>
      </c>
      <c r="P138" s="4">
        <v>0</v>
      </c>
      <c r="Q138" s="4">
        <f>[1]雷古曼!Z27</f>
        <v>3576</v>
      </c>
      <c r="R138" s="4">
        <v>2.5</v>
      </c>
      <c r="S138" s="4">
        <f>[1]雷古曼!AA27</f>
        <v>120</v>
      </c>
      <c r="T138" s="4">
        <v>0</v>
      </c>
      <c r="U138" s="4">
        <v>0</v>
      </c>
      <c r="V138" s="4">
        <v>0</v>
      </c>
    </row>
    <row r="139" spans="1:22" x14ac:dyDescent="0.15">
      <c r="A139" s="4" t="s">
        <v>2662</v>
      </c>
      <c r="D139" s="4">
        <f t="shared" si="1"/>
        <v>3</v>
      </c>
      <c r="E139" s="4">
        <v>27</v>
      </c>
      <c r="H139" s="29">
        <v>1001</v>
      </c>
      <c r="I139" s="4">
        <f>[1]雷古曼!$AB28</f>
        <v>9643</v>
      </c>
      <c r="L139" s="30">
        <v>800</v>
      </c>
      <c r="M139" s="4">
        <f>[1]雷古曼!W28</f>
        <v>1252</v>
      </c>
      <c r="N139" s="4">
        <f>[1]雷古曼!X28</f>
        <v>273</v>
      </c>
      <c r="O139" s="4">
        <f>[1]雷古曼!Y28</f>
        <v>13208</v>
      </c>
      <c r="P139" s="4">
        <v>0</v>
      </c>
      <c r="Q139" s="4">
        <f>[1]雷古曼!Z28</f>
        <v>3590</v>
      </c>
      <c r="R139" s="4">
        <v>2.5</v>
      </c>
      <c r="S139" s="4">
        <f>[1]雷古曼!AA28</f>
        <v>124</v>
      </c>
      <c r="T139" s="4">
        <v>0</v>
      </c>
      <c r="U139" s="4">
        <v>0</v>
      </c>
      <c r="V139" s="4">
        <v>0</v>
      </c>
    </row>
    <row r="140" spans="1:22" x14ac:dyDescent="0.15">
      <c r="A140" s="4" t="s">
        <v>2662</v>
      </c>
      <c r="D140" s="4">
        <f t="shared" si="1"/>
        <v>3</v>
      </c>
      <c r="E140" s="4">
        <v>28</v>
      </c>
      <c r="H140" s="29">
        <v>1001</v>
      </c>
      <c r="I140" s="4">
        <f>[1]雷古曼!$AB29</f>
        <v>9842</v>
      </c>
      <c r="L140" s="30">
        <v>800</v>
      </c>
      <c r="M140" s="4">
        <f>[1]雷古曼!W29</f>
        <v>1278</v>
      </c>
      <c r="N140" s="4">
        <f>[1]雷古曼!X29</f>
        <v>283</v>
      </c>
      <c r="O140" s="4">
        <f>[1]雷古曼!Y29</f>
        <v>13428</v>
      </c>
      <c r="P140" s="4">
        <v>0</v>
      </c>
      <c r="Q140" s="4">
        <f>[1]雷古曼!Z29</f>
        <v>3604</v>
      </c>
      <c r="R140" s="4">
        <v>2.5</v>
      </c>
      <c r="S140" s="4">
        <f>[1]雷古曼!AA29</f>
        <v>128</v>
      </c>
      <c r="T140" s="4">
        <v>0</v>
      </c>
      <c r="U140" s="4">
        <v>0</v>
      </c>
      <c r="V140" s="4">
        <v>0</v>
      </c>
    </row>
    <row r="141" spans="1:22" x14ac:dyDescent="0.15">
      <c r="A141" s="4" t="s">
        <v>2662</v>
      </c>
      <c r="D141" s="4">
        <f t="shared" si="1"/>
        <v>3</v>
      </c>
      <c r="E141" s="4">
        <v>29</v>
      </c>
      <c r="H141" s="29">
        <v>1001</v>
      </c>
      <c r="I141" s="4">
        <f>[1]雷古曼!$AB30</f>
        <v>10040</v>
      </c>
      <c r="L141" s="30">
        <v>800</v>
      </c>
      <c r="M141" s="4">
        <f>[1]雷古曼!W30</f>
        <v>1304</v>
      </c>
      <c r="N141" s="4">
        <f>[1]雷古曼!X30</f>
        <v>293</v>
      </c>
      <c r="O141" s="4">
        <f>[1]雷古曼!Y30</f>
        <v>13648</v>
      </c>
      <c r="P141" s="4">
        <v>0</v>
      </c>
      <c r="Q141" s="4">
        <f>[1]雷古曼!Z30</f>
        <v>3618</v>
      </c>
      <c r="R141" s="4">
        <v>2.5</v>
      </c>
      <c r="S141" s="4">
        <f>[1]雷古曼!AA30</f>
        <v>132</v>
      </c>
      <c r="T141" s="4">
        <v>0</v>
      </c>
      <c r="U141" s="4">
        <v>0</v>
      </c>
      <c r="V141" s="4">
        <v>0</v>
      </c>
    </row>
    <row r="142" spans="1:22" x14ac:dyDescent="0.15">
      <c r="A142" s="4" t="s">
        <v>2662</v>
      </c>
      <c r="D142" s="4">
        <f t="shared" si="1"/>
        <v>3</v>
      </c>
      <c r="E142" s="4">
        <v>30</v>
      </c>
      <c r="H142" s="29">
        <v>1001</v>
      </c>
      <c r="I142" s="4">
        <f>[1]雷古曼!$AB31</f>
        <v>10238</v>
      </c>
      <c r="L142" s="30">
        <v>800</v>
      </c>
      <c r="M142" s="4">
        <f>[1]雷古曼!W31</f>
        <v>1330</v>
      </c>
      <c r="N142" s="4">
        <f>[1]雷古曼!X31</f>
        <v>303</v>
      </c>
      <c r="O142" s="4">
        <f>[1]雷古曼!Y31</f>
        <v>13868</v>
      </c>
      <c r="P142" s="4">
        <v>0</v>
      </c>
      <c r="Q142" s="4">
        <f>[1]雷古曼!Z31</f>
        <v>3632</v>
      </c>
      <c r="R142" s="4">
        <v>2.5</v>
      </c>
      <c r="S142" s="4">
        <f>[1]雷古曼!AA31</f>
        <v>136</v>
      </c>
      <c r="T142" s="4">
        <v>0</v>
      </c>
      <c r="U142" s="4">
        <v>0</v>
      </c>
      <c r="V142" s="4">
        <v>0</v>
      </c>
    </row>
    <row r="143" spans="1:22" x14ac:dyDescent="0.15">
      <c r="A143" s="4" t="s">
        <v>2662</v>
      </c>
      <c r="D143" s="4">
        <f t="shared" si="1"/>
        <v>3</v>
      </c>
      <c r="E143" s="4">
        <v>31</v>
      </c>
      <c r="H143" s="29">
        <v>1001</v>
      </c>
      <c r="I143" s="4">
        <f>[1]雷古曼!$AB32</f>
        <v>10437</v>
      </c>
      <c r="L143" s="30">
        <v>800</v>
      </c>
      <c r="M143" s="4">
        <f>[1]雷古曼!W32</f>
        <v>1356</v>
      </c>
      <c r="N143" s="4">
        <f>[1]雷古曼!X32</f>
        <v>313</v>
      </c>
      <c r="O143" s="4">
        <f>[1]雷古曼!Y32</f>
        <v>14088</v>
      </c>
      <c r="P143" s="4">
        <v>0</v>
      </c>
      <c r="Q143" s="4">
        <f>[1]雷古曼!Z32</f>
        <v>3646</v>
      </c>
      <c r="R143" s="4">
        <v>2.5</v>
      </c>
      <c r="S143" s="4">
        <f>[1]雷古曼!AA32</f>
        <v>140</v>
      </c>
      <c r="T143" s="4">
        <v>0</v>
      </c>
      <c r="U143" s="4">
        <v>0</v>
      </c>
      <c r="V143" s="4">
        <v>0</v>
      </c>
    </row>
    <row r="144" spans="1:22" x14ac:dyDescent="0.15">
      <c r="A144" s="4" t="s">
        <v>2662</v>
      </c>
      <c r="D144" s="4">
        <f t="shared" si="1"/>
        <v>3</v>
      </c>
      <c r="E144" s="4">
        <v>32</v>
      </c>
      <c r="H144" s="29">
        <v>1001</v>
      </c>
      <c r="I144" s="4">
        <f>[1]雷古曼!$AB33</f>
        <v>10635</v>
      </c>
      <c r="L144" s="30">
        <v>800</v>
      </c>
      <c r="M144" s="4">
        <f>[1]雷古曼!W33</f>
        <v>1382</v>
      </c>
      <c r="N144" s="4">
        <f>[1]雷古曼!X33</f>
        <v>323</v>
      </c>
      <c r="O144" s="4">
        <f>[1]雷古曼!Y33</f>
        <v>14308</v>
      </c>
      <c r="P144" s="4">
        <v>0</v>
      </c>
      <c r="Q144" s="4">
        <f>[1]雷古曼!Z33</f>
        <v>3660</v>
      </c>
      <c r="R144" s="4">
        <v>2.5</v>
      </c>
      <c r="S144" s="4">
        <f>[1]雷古曼!AA33</f>
        <v>144</v>
      </c>
      <c r="T144" s="4">
        <v>0</v>
      </c>
      <c r="U144" s="4">
        <v>0</v>
      </c>
      <c r="V144" s="4">
        <v>0</v>
      </c>
    </row>
    <row r="145" spans="1:22" x14ac:dyDescent="0.15">
      <c r="A145" s="4" t="s">
        <v>2662</v>
      </c>
      <c r="D145" s="4">
        <f t="shared" si="1"/>
        <v>3</v>
      </c>
      <c r="E145" s="4">
        <v>33</v>
      </c>
      <c r="H145" s="29">
        <v>1001</v>
      </c>
      <c r="I145" s="4">
        <f>[1]雷古曼!$AB34</f>
        <v>10833</v>
      </c>
      <c r="L145" s="30">
        <v>800</v>
      </c>
      <c r="M145" s="4">
        <f>[1]雷古曼!W34</f>
        <v>1408</v>
      </c>
      <c r="N145" s="4">
        <f>[1]雷古曼!X34</f>
        <v>333</v>
      </c>
      <c r="O145" s="4">
        <f>[1]雷古曼!Y34</f>
        <v>14528</v>
      </c>
      <c r="P145" s="4">
        <v>0</v>
      </c>
      <c r="Q145" s="4">
        <f>[1]雷古曼!Z34</f>
        <v>3674</v>
      </c>
      <c r="R145" s="4">
        <v>2.5</v>
      </c>
      <c r="S145" s="4">
        <f>[1]雷古曼!AA34</f>
        <v>148</v>
      </c>
      <c r="T145" s="4">
        <v>0</v>
      </c>
      <c r="U145" s="4">
        <v>0</v>
      </c>
      <c r="V145" s="4">
        <v>0</v>
      </c>
    </row>
    <row r="146" spans="1:22" x14ac:dyDescent="0.15">
      <c r="A146" s="4" t="s">
        <v>2662</v>
      </c>
      <c r="D146" s="4">
        <f t="shared" si="1"/>
        <v>3</v>
      </c>
      <c r="E146" s="4">
        <v>34</v>
      </c>
      <c r="H146" s="29">
        <v>1001</v>
      </c>
      <c r="I146" s="4">
        <f>[1]雷古曼!$AB35</f>
        <v>11031</v>
      </c>
      <c r="L146" s="30">
        <v>800</v>
      </c>
      <c r="M146" s="4">
        <f>[1]雷古曼!W35</f>
        <v>1434</v>
      </c>
      <c r="N146" s="4">
        <f>[1]雷古曼!X35</f>
        <v>343</v>
      </c>
      <c r="O146" s="4">
        <f>[1]雷古曼!Y35</f>
        <v>14748</v>
      </c>
      <c r="P146" s="4">
        <v>0</v>
      </c>
      <c r="Q146" s="4">
        <f>[1]雷古曼!Z35</f>
        <v>3688</v>
      </c>
      <c r="R146" s="4">
        <v>2.5</v>
      </c>
      <c r="S146" s="4">
        <f>[1]雷古曼!AA35</f>
        <v>152</v>
      </c>
      <c r="T146" s="4">
        <v>0</v>
      </c>
      <c r="U146" s="4">
        <v>0</v>
      </c>
      <c r="V146" s="4">
        <v>0</v>
      </c>
    </row>
    <row r="147" spans="1:22" x14ac:dyDescent="0.15">
      <c r="A147" s="4" t="s">
        <v>2662</v>
      </c>
      <c r="D147" s="4">
        <f t="shared" si="1"/>
        <v>3</v>
      </c>
      <c r="E147" s="4">
        <v>35</v>
      </c>
      <c r="H147" s="29">
        <v>1001</v>
      </c>
      <c r="I147" s="4">
        <f>[1]雷古曼!$AB36</f>
        <v>11230</v>
      </c>
      <c r="L147" s="30">
        <v>800</v>
      </c>
      <c r="M147" s="4">
        <f>[1]雷古曼!W36</f>
        <v>1460</v>
      </c>
      <c r="N147" s="4">
        <f>[1]雷古曼!X36</f>
        <v>353</v>
      </c>
      <c r="O147" s="4">
        <f>[1]雷古曼!Y36</f>
        <v>14968</v>
      </c>
      <c r="P147" s="4">
        <v>0</v>
      </c>
      <c r="Q147" s="4">
        <f>[1]雷古曼!Z36</f>
        <v>3702</v>
      </c>
      <c r="R147" s="4">
        <v>2.5</v>
      </c>
      <c r="S147" s="4">
        <f>[1]雷古曼!AA36</f>
        <v>156</v>
      </c>
      <c r="T147" s="4">
        <v>0</v>
      </c>
      <c r="U147" s="4">
        <v>0</v>
      </c>
      <c r="V147" s="4">
        <v>0</v>
      </c>
    </row>
    <row r="148" spans="1:22" x14ac:dyDescent="0.15">
      <c r="A148" s="4" t="s">
        <v>2662</v>
      </c>
      <c r="D148" s="4">
        <f t="shared" si="1"/>
        <v>3</v>
      </c>
      <c r="E148" s="4">
        <v>36</v>
      </c>
      <c r="H148" s="29">
        <v>1001</v>
      </c>
      <c r="I148" s="4">
        <f>[1]雷古曼!$AB37</f>
        <v>11428</v>
      </c>
      <c r="L148" s="30">
        <v>800</v>
      </c>
      <c r="M148" s="4">
        <f>[1]雷古曼!W37</f>
        <v>1486</v>
      </c>
      <c r="N148" s="4">
        <f>[1]雷古曼!X37</f>
        <v>363</v>
      </c>
      <c r="O148" s="4">
        <f>[1]雷古曼!Y37</f>
        <v>15188</v>
      </c>
      <c r="P148" s="4">
        <v>0</v>
      </c>
      <c r="Q148" s="4">
        <f>[1]雷古曼!Z37</f>
        <v>3716</v>
      </c>
      <c r="R148" s="4">
        <v>2.5</v>
      </c>
      <c r="S148" s="4">
        <f>[1]雷古曼!AA37</f>
        <v>160</v>
      </c>
      <c r="T148" s="4">
        <v>0</v>
      </c>
      <c r="U148" s="4">
        <v>0</v>
      </c>
      <c r="V148" s="4">
        <v>0</v>
      </c>
    </row>
    <row r="149" spans="1:22" x14ac:dyDescent="0.15">
      <c r="A149" s="4" t="s">
        <v>2662</v>
      </c>
      <c r="D149" s="4">
        <f t="shared" si="1"/>
        <v>3</v>
      </c>
      <c r="E149" s="4">
        <v>37</v>
      </c>
      <c r="H149" s="29">
        <v>1001</v>
      </c>
      <c r="I149" s="4">
        <f>[1]雷古曼!$AB38</f>
        <v>11626</v>
      </c>
      <c r="L149" s="30">
        <v>800</v>
      </c>
      <c r="M149" s="4">
        <f>[1]雷古曼!W38</f>
        <v>1512</v>
      </c>
      <c r="N149" s="4">
        <f>[1]雷古曼!X38</f>
        <v>373</v>
      </c>
      <c r="O149" s="4">
        <f>[1]雷古曼!Y38</f>
        <v>15408</v>
      </c>
      <c r="P149" s="4">
        <v>0</v>
      </c>
      <c r="Q149" s="4">
        <f>[1]雷古曼!Z38</f>
        <v>3730</v>
      </c>
      <c r="R149" s="4">
        <v>2.5</v>
      </c>
      <c r="S149" s="4">
        <f>[1]雷古曼!AA38</f>
        <v>164</v>
      </c>
      <c r="T149" s="4">
        <v>0</v>
      </c>
      <c r="U149" s="4">
        <v>0</v>
      </c>
      <c r="V149" s="4">
        <v>0</v>
      </c>
    </row>
    <row r="150" spans="1:22" x14ac:dyDescent="0.15">
      <c r="A150" s="4" t="s">
        <v>2662</v>
      </c>
      <c r="D150" s="4">
        <f t="shared" si="1"/>
        <v>3</v>
      </c>
      <c r="E150" s="4">
        <v>38</v>
      </c>
      <c r="H150" s="29">
        <v>1001</v>
      </c>
      <c r="I150" s="4">
        <f>[1]雷古曼!$AB39</f>
        <v>11824</v>
      </c>
      <c r="L150" s="30">
        <v>800</v>
      </c>
      <c r="M150" s="4">
        <f>[1]雷古曼!W39</f>
        <v>1538</v>
      </c>
      <c r="N150" s="4">
        <f>[1]雷古曼!X39</f>
        <v>383</v>
      </c>
      <c r="O150" s="4">
        <f>[1]雷古曼!Y39</f>
        <v>15628</v>
      </c>
      <c r="P150" s="4">
        <v>0</v>
      </c>
      <c r="Q150" s="4">
        <f>[1]雷古曼!Z39</f>
        <v>3744</v>
      </c>
      <c r="R150" s="4">
        <v>2.5</v>
      </c>
      <c r="S150" s="4">
        <f>[1]雷古曼!AA39</f>
        <v>168</v>
      </c>
      <c r="T150" s="4">
        <v>0</v>
      </c>
      <c r="U150" s="4">
        <v>0</v>
      </c>
      <c r="V150" s="4">
        <v>0</v>
      </c>
    </row>
    <row r="151" spans="1:22" x14ac:dyDescent="0.15">
      <c r="A151" s="4" t="s">
        <v>2662</v>
      </c>
      <c r="D151" s="4">
        <f t="shared" si="1"/>
        <v>3</v>
      </c>
      <c r="E151" s="4">
        <v>39</v>
      </c>
      <c r="H151" s="29">
        <v>1001</v>
      </c>
      <c r="I151" s="4">
        <f>[1]雷古曼!$AB40</f>
        <v>12023</v>
      </c>
      <c r="L151" s="30">
        <v>800</v>
      </c>
      <c r="M151" s="4">
        <f>[1]雷古曼!W40</f>
        <v>1564</v>
      </c>
      <c r="N151" s="4">
        <f>[1]雷古曼!X40</f>
        <v>393</v>
      </c>
      <c r="O151" s="4">
        <f>[1]雷古曼!Y40</f>
        <v>15848</v>
      </c>
      <c r="P151" s="4">
        <v>0</v>
      </c>
      <c r="Q151" s="4">
        <f>[1]雷古曼!Z40</f>
        <v>3758</v>
      </c>
      <c r="R151" s="4">
        <v>2.5</v>
      </c>
      <c r="S151" s="4">
        <f>[1]雷古曼!AA40</f>
        <v>172</v>
      </c>
      <c r="T151" s="4">
        <v>0</v>
      </c>
      <c r="U151" s="4">
        <v>0</v>
      </c>
      <c r="V151" s="4">
        <v>0</v>
      </c>
    </row>
    <row r="152" spans="1:22" x14ac:dyDescent="0.15">
      <c r="A152" s="4" t="s">
        <v>2662</v>
      </c>
      <c r="D152" s="4">
        <f t="shared" si="1"/>
        <v>3</v>
      </c>
      <c r="E152" s="4">
        <v>40</v>
      </c>
      <c r="H152" s="29">
        <v>1001</v>
      </c>
      <c r="I152" s="4">
        <f>[1]雷古曼!$AB41</f>
        <v>12221</v>
      </c>
      <c r="L152" s="30">
        <v>800</v>
      </c>
      <c r="M152" s="4">
        <f>[1]雷古曼!W41</f>
        <v>1590</v>
      </c>
      <c r="N152" s="4">
        <f>[1]雷古曼!X41</f>
        <v>403</v>
      </c>
      <c r="O152" s="4">
        <f>[1]雷古曼!Y41</f>
        <v>16068</v>
      </c>
      <c r="P152" s="4">
        <v>0</v>
      </c>
      <c r="Q152" s="4">
        <f>[1]雷古曼!Z41</f>
        <v>3772</v>
      </c>
      <c r="R152" s="4">
        <v>2.5</v>
      </c>
      <c r="S152" s="4">
        <f>[1]雷古曼!AA41</f>
        <v>176</v>
      </c>
      <c r="T152" s="4">
        <v>0</v>
      </c>
      <c r="U152" s="4">
        <v>0</v>
      </c>
      <c r="V152" s="4">
        <v>0</v>
      </c>
    </row>
    <row r="153" spans="1:22" x14ac:dyDescent="0.15">
      <c r="A153" s="4" t="s">
        <v>2662</v>
      </c>
      <c r="D153" s="4">
        <f t="shared" si="1"/>
        <v>3</v>
      </c>
      <c r="E153" s="4">
        <v>41</v>
      </c>
      <c r="H153" s="29">
        <v>1001</v>
      </c>
      <c r="I153" s="4">
        <f>[1]雷古曼!$AB42</f>
        <v>12419</v>
      </c>
      <c r="L153" s="30">
        <v>800</v>
      </c>
      <c r="M153" s="4">
        <f>[1]雷古曼!W42</f>
        <v>1616</v>
      </c>
      <c r="N153" s="4">
        <f>[1]雷古曼!X42</f>
        <v>413</v>
      </c>
      <c r="O153" s="4">
        <f>[1]雷古曼!Y42</f>
        <v>16288</v>
      </c>
      <c r="P153" s="4">
        <v>0</v>
      </c>
      <c r="Q153" s="4">
        <f>[1]雷古曼!Z42</f>
        <v>3786</v>
      </c>
      <c r="R153" s="4">
        <v>2.5</v>
      </c>
      <c r="S153" s="4">
        <f>[1]雷古曼!AA42</f>
        <v>180</v>
      </c>
      <c r="T153" s="4">
        <v>0</v>
      </c>
      <c r="U153" s="4">
        <v>0</v>
      </c>
      <c r="V153" s="4">
        <v>0</v>
      </c>
    </row>
    <row r="154" spans="1:22" x14ac:dyDescent="0.15">
      <c r="A154" s="4" t="s">
        <v>2662</v>
      </c>
      <c r="D154" s="4">
        <f t="shared" si="1"/>
        <v>3</v>
      </c>
      <c r="E154" s="4">
        <v>42</v>
      </c>
      <c r="H154" s="29">
        <v>1001</v>
      </c>
      <c r="I154" s="4">
        <f>[1]雷古曼!$AB43</f>
        <v>12618</v>
      </c>
      <c r="L154" s="30">
        <v>800</v>
      </c>
      <c r="M154" s="4">
        <f>[1]雷古曼!W43</f>
        <v>1642</v>
      </c>
      <c r="N154" s="4">
        <f>[1]雷古曼!X43</f>
        <v>423</v>
      </c>
      <c r="O154" s="4">
        <f>[1]雷古曼!Y43</f>
        <v>16508</v>
      </c>
      <c r="P154" s="4">
        <v>0</v>
      </c>
      <c r="Q154" s="4">
        <f>[1]雷古曼!Z43</f>
        <v>3800</v>
      </c>
      <c r="R154" s="4">
        <v>2.5</v>
      </c>
      <c r="S154" s="4">
        <f>[1]雷古曼!AA43</f>
        <v>184</v>
      </c>
      <c r="T154" s="4">
        <v>0</v>
      </c>
      <c r="U154" s="4">
        <v>0</v>
      </c>
      <c r="V154" s="4">
        <v>0</v>
      </c>
    </row>
    <row r="155" spans="1:22" x14ac:dyDescent="0.15">
      <c r="A155" s="4" t="s">
        <v>2662</v>
      </c>
      <c r="D155" s="4">
        <f t="shared" si="1"/>
        <v>3</v>
      </c>
      <c r="E155" s="4">
        <v>43</v>
      </c>
      <c r="H155" s="29">
        <v>1001</v>
      </c>
      <c r="I155" s="4">
        <f>[1]雷古曼!$AB44</f>
        <v>12816</v>
      </c>
      <c r="L155" s="30">
        <v>800</v>
      </c>
      <c r="M155" s="4">
        <f>[1]雷古曼!W44</f>
        <v>1668</v>
      </c>
      <c r="N155" s="4">
        <f>[1]雷古曼!X44</f>
        <v>433</v>
      </c>
      <c r="O155" s="4">
        <f>[1]雷古曼!Y44</f>
        <v>16728</v>
      </c>
      <c r="P155" s="4">
        <v>0</v>
      </c>
      <c r="Q155" s="4">
        <f>[1]雷古曼!Z44</f>
        <v>3814</v>
      </c>
      <c r="R155" s="4">
        <v>2.5</v>
      </c>
      <c r="S155" s="4">
        <f>[1]雷古曼!AA44</f>
        <v>188</v>
      </c>
      <c r="T155" s="4">
        <v>0</v>
      </c>
      <c r="U155" s="4">
        <v>0</v>
      </c>
      <c r="V155" s="4">
        <v>0</v>
      </c>
    </row>
    <row r="156" spans="1:22" x14ac:dyDescent="0.15">
      <c r="A156" s="4" t="s">
        <v>2662</v>
      </c>
      <c r="D156" s="4">
        <f t="shared" si="1"/>
        <v>3</v>
      </c>
      <c r="E156" s="4">
        <v>44</v>
      </c>
      <c r="H156" s="29">
        <v>1001</v>
      </c>
      <c r="I156" s="4">
        <f>[1]雷古曼!$AB45</f>
        <v>13014</v>
      </c>
      <c r="L156" s="30">
        <v>800</v>
      </c>
      <c r="M156" s="4">
        <f>[1]雷古曼!W45</f>
        <v>1694</v>
      </c>
      <c r="N156" s="4">
        <f>[1]雷古曼!X45</f>
        <v>443</v>
      </c>
      <c r="O156" s="4">
        <f>[1]雷古曼!Y45</f>
        <v>16948</v>
      </c>
      <c r="P156" s="4">
        <v>0</v>
      </c>
      <c r="Q156" s="4">
        <f>[1]雷古曼!Z45</f>
        <v>3828</v>
      </c>
      <c r="R156" s="4">
        <v>2.5</v>
      </c>
      <c r="S156" s="4">
        <f>[1]雷古曼!AA45</f>
        <v>192</v>
      </c>
      <c r="T156" s="4">
        <v>0</v>
      </c>
      <c r="U156" s="4">
        <v>0</v>
      </c>
      <c r="V156" s="4">
        <v>0</v>
      </c>
    </row>
    <row r="157" spans="1:22" x14ac:dyDescent="0.15">
      <c r="A157" s="4" t="s">
        <v>2662</v>
      </c>
      <c r="D157" s="4">
        <f t="shared" si="1"/>
        <v>3</v>
      </c>
      <c r="E157" s="4">
        <v>45</v>
      </c>
      <c r="H157" s="29">
        <v>1001</v>
      </c>
      <c r="I157" s="4">
        <f>[1]雷古曼!$AB46</f>
        <v>13212</v>
      </c>
      <c r="L157" s="30">
        <v>800</v>
      </c>
      <c r="M157" s="4">
        <f>[1]雷古曼!W46</f>
        <v>1720</v>
      </c>
      <c r="N157" s="4">
        <f>[1]雷古曼!X46</f>
        <v>453</v>
      </c>
      <c r="O157" s="4">
        <f>[1]雷古曼!Y46</f>
        <v>17168</v>
      </c>
      <c r="P157" s="4">
        <v>0</v>
      </c>
      <c r="Q157" s="4">
        <f>[1]雷古曼!Z46</f>
        <v>3842</v>
      </c>
      <c r="R157" s="4">
        <v>2.5</v>
      </c>
      <c r="S157" s="4">
        <f>[1]雷古曼!AA46</f>
        <v>196</v>
      </c>
      <c r="T157" s="4">
        <v>0</v>
      </c>
      <c r="U157" s="4">
        <v>0</v>
      </c>
      <c r="V157" s="4">
        <v>0</v>
      </c>
    </row>
    <row r="158" spans="1:22" x14ac:dyDescent="0.15">
      <c r="A158" s="4" t="s">
        <v>2662</v>
      </c>
      <c r="D158" s="4">
        <f t="shared" si="1"/>
        <v>3</v>
      </c>
      <c r="E158" s="4">
        <v>46</v>
      </c>
      <c r="H158" s="29">
        <v>1001</v>
      </c>
      <c r="I158" s="4">
        <f>[1]雷古曼!$AB47</f>
        <v>13411</v>
      </c>
      <c r="L158" s="30">
        <v>800</v>
      </c>
      <c r="M158" s="4">
        <f>[1]雷古曼!W47</f>
        <v>1746</v>
      </c>
      <c r="N158" s="4">
        <f>[1]雷古曼!X47</f>
        <v>463</v>
      </c>
      <c r="O158" s="4">
        <f>[1]雷古曼!Y47</f>
        <v>17388</v>
      </c>
      <c r="P158" s="4">
        <v>0</v>
      </c>
      <c r="Q158" s="4">
        <f>[1]雷古曼!Z47</f>
        <v>3856</v>
      </c>
      <c r="R158" s="4">
        <v>2.5</v>
      </c>
      <c r="S158" s="4">
        <f>[1]雷古曼!AA47</f>
        <v>200</v>
      </c>
      <c r="T158" s="4">
        <v>0</v>
      </c>
      <c r="U158" s="4">
        <v>0</v>
      </c>
      <c r="V158" s="4">
        <v>0</v>
      </c>
    </row>
    <row r="159" spans="1:22" x14ac:dyDescent="0.15">
      <c r="A159" s="4" t="s">
        <v>2662</v>
      </c>
      <c r="D159" s="4">
        <f t="shared" si="1"/>
        <v>3</v>
      </c>
      <c r="E159" s="4">
        <v>47</v>
      </c>
      <c r="H159" s="29">
        <v>1001</v>
      </c>
      <c r="I159" s="4">
        <f>[1]雷古曼!$AB48</f>
        <v>13609</v>
      </c>
      <c r="L159" s="30">
        <v>800</v>
      </c>
      <c r="M159" s="4">
        <f>[1]雷古曼!W48</f>
        <v>1772</v>
      </c>
      <c r="N159" s="4">
        <f>[1]雷古曼!X48</f>
        <v>473</v>
      </c>
      <c r="O159" s="4">
        <f>[1]雷古曼!Y48</f>
        <v>17608</v>
      </c>
      <c r="P159" s="4">
        <v>0</v>
      </c>
      <c r="Q159" s="4">
        <f>[1]雷古曼!Z48</f>
        <v>3870</v>
      </c>
      <c r="R159" s="4">
        <v>2.5</v>
      </c>
      <c r="S159" s="4">
        <f>[1]雷古曼!AA48</f>
        <v>204</v>
      </c>
      <c r="T159" s="4">
        <v>0</v>
      </c>
      <c r="U159" s="4">
        <v>0</v>
      </c>
      <c r="V159" s="4">
        <v>0</v>
      </c>
    </row>
    <row r="160" spans="1:22" x14ac:dyDescent="0.15">
      <c r="A160" s="4" t="s">
        <v>2662</v>
      </c>
      <c r="D160" s="4">
        <f t="shared" si="1"/>
        <v>3</v>
      </c>
      <c r="E160" s="4">
        <v>48</v>
      </c>
      <c r="H160" s="29">
        <v>1001</v>
      </c>
      <c r="I160" s="4">
        <f>[1]雷古曼!$AB49</f>
        <v>13807</v>
      </c>
      <c r="L160" s="30">
        <v>800</v>
      </c>
      <c r="M160" s="4">
        <f>[1]雷古曼!W49</f>
        <v>1798</v>
      </c>
      <c r="N160" s="4">
        <f>[1]雷古曼!X49</f>
        <v>483</v>
      </c>
      <c r="O160" s="4">
        <f>[1]雷古曼!Y49</f>
        <v>17828</v>
      </c>
      <c r="P160" s="4">
        <v>0</v>
      </c>
      <c r="Q160" s="4">
        <f>[1]雷古曼!Z49</f>
        <v>3884</v>
      </c>
      <c r="R160" s="4">
        <v>2.5</v>
      </c>
      <c r="S160" s="4">
        <f>[1]雷古曼!AA49</f>
        <v>208</v>
      </c>
      <c r="T160" s="4">
        <v>0</v>
      </c>
      <c r="U160" s="4">
        <v>0</v>
      </c>
      <c r="V160" s="4">
        <v>0</v>
      </c>
    </row>
    <row r="161" spans="1:27" x14ac:dyDescent="0.15">
      <c r="A161" s="4" t="s">
        <v>2662</v>
      </c>
      <c r="D161" s="4">
        <f t="shared" si="1"/>
        <v>3</v>
      </c>
      <c r="E161" s="4">
        <v>49</v>
      </c>
      <c r="H161" s="29">
        <v>1001</v>
      </c>
      <c r="I161" s="4">
        <f>[1]雷古曼!$AB50</f>
        <v>14006</v>
      </c>
      <c r="L161" s="30">
        <v>800</v>
      </c>
      <c r="M161" s="4">
        <f>[1]雷古曼!W50</f>
        <v>1824</v>
      </c>
      <c r="N161" s="4">
        <f>[1]雷古曼!X50</f>
        <v>493</v>
      </c>
      <c r="O161" s="4">
        <f>[1]雷古曼!Y50</f>
        <v>18048</v>
      </c>
      <c r="P161" s="4">
        <v>0</v>
      </c>
      <c r="Q161" s="4">
        <f>[1]雷古曼!Z50</f>
        <v>3898</v>
      </c>
      <c r="R161" s="4">
        <v>2.5</v>
      </c>
      <c r="S161" s="4">
        <f>[1]雷古曼!AA50</f>
        <v>212</v>
      </c>
      <c r="T161" s="4">
        <v>0</v>
      </c>
      <c r="U161" s="4">
        <v>0</v>
      </c>
      <c r="V161" s="4">
        <v>0</v>
      </c>
    </row>
    <row r="162" spans="1:27" x14ac:dyDescent="0.15">
      <c r="A162" s="4" t="s">
        <v>2662</v>
      </c>
      <c r="D162" s="4">
        <f t="shared" si="1"/>
        <v>3</v>
      </c>
      <c r="E162" s="4">
        <v>50</v>
      </c>
      <c r="H162" s="29">
        <v>1001</v>
      </c>
      <c r="I162" s="4">
        <f>[1]雷古曼!$AB51</f>
        <v>14204</v>
      </c>
      <c r="L162" s="30">
        <v>800</v>
      </c>
      <c r="M162" s="4">
        <f>[1]雷古曼!W51</f>
        <v>1850</v>
      </c>
      <c r="N162" s="4">
        <f>[1]雷古曼!X51</f>
        <v>503</v>
      </c>
      <c r="O162" s="4">
        <f>[1]雷古曼!Y51</f>
        <v>18268</v>
      </c>
      <c r="P162" s="4">
        <v>0</v>
      </c>
      <c r="Q162" s="4">
        <f>[1]雷古曼!Z51</f>
        <v>3912</v>
      </c>
      <c r="R162" s="4">
        <v>2.5</v>
      </c>
      <c r="S162" s="4">
        <f>[1]雷古曼!AA51</f>
        <v>216</v>
      </c>
      <c r="T162" s="4">
        <v>0</v>
      </c>
      <c r="U162" s="4">
        <v>0</v>
      </c>
      <c r="V162" s="4">
        <v>0</v>
      </c>
    </row>
    <row r="163" spans="1:27" x14ac:dyDescent="0.15">
      <c r="I163" s="4"/>
    </row>
    <row r="164" spans="1:27" x14ac:dyDescent="0.15">
      <c r="A164" s="4" t="s">
        <v>2662</v>
      </c>
      <c r="B164" s="4" t="s">
        <v>3076</v>
      </c>
      <c r="C164" s="4" t="s">
        <v>3077</v>
      </c>
      <c r="D164" s="4">
        <v>11</v>
      </c>
      <c r="E164" s="4">
        <v>0</v>
      </c>
      <c r="H164" s="29">
        <v>2400</v>
      </c>
      <c r="I164" s="30">
        <v>1</v>
      </c>
      <c r="L164" s="30">
        <v>104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</row>
    <row r="165" spans="1:27" x14ac:dyDescent="0.15">
      <c r="A165" s="4" t="s">
        <v>2662</v>
      </c>
      <c r="D165" s="4">
        <v>11</v>
      </c>
      <c r="E165" s="4">
        <v>1</v>
      </c>
      <c r="H165" s="29">
        <v>1001</v>
      </c>
      <c r="I165" s="4">
        <f>[1]加比纳!$J2</f>
        <v>1482</v>
      </c>
      <c r="L165" s="30">
        <v>800</v>
      </c>
      <c r="M165" s="4">
        <f>[1]加比纳!E2</f>
        <v>180</v>
      </c>
      <c r="N165" s="4">
        <f>[1]加比纳!F2</f>
        <v>6</v>
      </c>
      <c r="O165" s="4">
        <f>[1]加比纳!G2</f>
        <v>2640</v>
      </c>
      <c r="P165" s="4">
        <v>0</v>
      </c>
      <c r="Q165" s="4">
        <f>[1]加比纳!H2</f>
        <v>1600</v>
      </c>
      <c r="R165" s="4">
        <v>2.5</v>
      </c>
      <c r="S165" s="4">
        <f>[1]加比纳!I2</f>
        <v>10</v>
      </c>
      <c r="T165" s="4">
        <v>0</v>
      </c>
      <c r="U165" s="4">
        <v>0</v>
      </c>
      <c r="V165" s="4">
        <v>0</v>
      </c>
    </row>
    <row r="166" spans="1:27" x14ac:dyDescent="0.15">
      <c r="A166" s="4" t="s">
        <v>2662</v>
      </c>
      <c r="D166" s="4">
        <v>11</v>
      </c>
      <c r="E166" s="4">
        <v>2</v>
      </c>
      <c r="H166" s="29">
        <v>1001</v>
      </c>
      <c r="I166" s="4">
        <f>[1]加比纳!$J3</f>
        <v>1609</v>
      </c>
      <c r="L166" s="30">
        <v>800</v>
      </c>
      <c r="M166" s="4">
        <f>[1]加比纳!E3</f>
        <v>196</v>
      </c>
      <c r="N166" s="4">
        <f>[1]加比纳!F3</f>
        <v>14</v>
      </c>
      <c r="O166" s="4">
        <f>[1]加比纳!G3</f>
        <v>2780</v>
      </c>
      <c r="P166" s="4">
        <v>0</v>
      </c>
      <c r="Q166" s="4">
        <f>[1]加比纳!H3</f>
        <v>1612</v>
      </c>
      <c r="R166" s="4">
        <v>2.5</v>
      </c>
      <c r="S166" s="4">
        <f>[1]加比纳!I3</f>
        <v>13</v>
      </c>
      <c r="T166" s="4">
        <v>0</v>
      </c>
      <c r="U166" s="4">
        <v>0</v>
      </c>
      <c r="V166" s="4">
        <v>0</v>
      </c>
    </row>
    <row r="167" spans="1:27" x14ac:dyDescent="0.15">
      <c r="A167" s="4" t="s">
        <v>2662</v>
      </c>
      <c r="D167" s="4">
        <v>11</v>
      </c>
      <c r="E167" s="4">
        <v>3</v>
      </c>
      <c r="H167" s="29">
        <v>1001</v>
      </c>
      <c r="I167" s="4">
        <f>[1]加比纳!$J4</f>
        <v>1736</v>
      </c>
      <c r="L167" s="30">
        <v>800</v>
      </c>
      <c r="M167" s="4">
        <f>[1]加比纳!E4</f>
        <v>212</v>
      </c>
      <c r="N167" s="4">
        <f>[1]加比纳!F4</f>
        <v>22</v>
      </c>
      <c r="O167" s="4">
        <f>[1]加比纳!G4</f>
        <v>2920</v>
      </c>
      <c r="P167" s="4">
        <v>0</v>
      </c>
      <c r="Q167" s="4">
        <f>[1]加比纳!H4</f>
        <v>1624</v>
      </c>
      <c r="R167" s="4">
        <v>2.5</v>
      </c>
      <c r="S167" s="4">
        <f>[1]加比纳!I4</f>
        <v>16</v>
      </c>
      <c r="T167" s="4">
        <v>0</v>
      </c>
      <c r="U167" s="4">
        <v>0</v>
      </c>
      <c r="V167" s="4">
        <v>0</v>
      </c>
    </row>
    <row r="168" spans="1:27" x14ac:dyDescent="0.15">
      <c r="A168" s="4" t="s">
        <v>2662</v>
      </c>
      <c r="D168" s="4">
        <v>11</v>
      </c>
      <c r="E168" s="4">
        <v>4</v>
      </c>
      <c r="H168" s="29">
        <v>1001</v>
      </c>
      <c r="I168" s="4">
        <f>[1]加比纳!$J5</f>
        <v>1864</v>
      </c>
      <c r="L168" s="30">
        <v>800</v>
      </c>
      <c r="M168" s="4">
        <f>[1]加比纳!E5</f>
        <v>228</v>
      </c>
      <c r="N168" s="4">
        <f>[1]加比纳!F5</f>
        <v>30</v>
      </c>
      <c r="O168" s="4">
        <f>[1]加比纳!G5</f>
        <v>3060</v>
      </c>
      <c r="P168" s="4">
        <v>0</v>
      </c>
      <c r="Q168" s="4">
        <f>[1]加比纳!H5</f>
        <v>1636</v>
      </c>
      <c r="R168" s="4">
        <v>2.5</v>
      </c>
      <c r="S168" s="4">
        <f>[1]加比纳!I5</f>
        <v>19</v>
      </c>
      <c r="T168" s="4">
        <v>0</v>
      </c>
      <c r="U168" s="4">
        <v>0</v>
      </c>
      <c r="V168" s="4">
        <v>0</v>
      </c>
    </row>
    <row r="169" spans="1:27" x14ac:dyDescent="0.15">
      <c r="A169" s="4" t="s">
        <v>2662</v>
      </c>
      <c r="D169" s="4">
        <v>11</v>
      </c>
      <c r="E169" s="4">
        <v>5</v>
      </c>
      <c r="H169" s="29">
        <v>1001</v>
      </c>
      <c r="I169" s="4">
        <f>[1]加比纳!$J6</f>
        <v>1991</v>
      </c>
      <c r="L169" s="30">
        <v>800</v>
      </c>
      <c r="M169" s="4">
        <f>[1]加比纳!E6</f>
        <v>244</v>
      </c>
      <c r="N169" s="4">
        <f>[1]加比纳!F6</f>
        <v>38</v>
      </c>
      <c r="O169" s="4">
        <f>[1]加比纳!G6</f>
        <v>3200</v>
      </c>
      <c r="P169" s="4">
        <v>0</v>
      </c>
      <c r="Q169" s="4">
        <f>[1]加比纳!H6</f>
        <v>1648</v>
      </c>
      <c r="R169" s="4">
        <v>2.5</v>
      </c>
      <c r="S169" s="4">
        <f>[1]加比纳!I6</f>
        <v>22</v>
      </c>
      <c r="T169" s="4">
        <v>0</v>
      </c>
      <c r="U169" s="4">
        <v>0</v>
      </c>
      <c r="V169" s="4">
        <v>0</v>
      </c>
    </row>
    <row r="170" spans="1:27" x14ac:dyDescent="0.15">
      <c r="A170" s="4" t="s">
        <v>2662</v>
      </c>
      <c r="D170" s="4">
        <v>11</v>
      </c>
      <c r="E170" s="4">
        <v>6</v>
      </c>
      <c r="H170" s="29">
        <v>1001</v>
      </c>
      <c r="I170" s="4">
        <f>[1]加比纳!$J7</f>
        <v>2118</v>
      </c>
      <c r="L170" s="30">
        <v>800</v>
      </c>
      <c r="M170" s="4">
        <f>[1]加比纳!E7</f>
        <v>260</v>
      </c>
      <c r="N170" s="4">
        <f>[1]加比纳!F7</f>
        <v>46</v>
      </c>
      <c r="O170" s="4">
        <f>[1]加比纳!G7</f>
        <v>3340</v>
      </c>
      <c r="P170" s="4">
        <v>0</v>
      </c>
      <c r="Q170" s="4">
        <f>[1]加比纳!H7</f>
        <v>1660</v>
      </c>
      <c r="R170" s="4">
        <v>2.5</v>
      </c>
      <c r="S170" s="4">
        <f>[1]加比纳!I7</f>
        <v>25</v>
      </c>
      <c r="T170" s="4">
        <v>0</v>
      </c>
      <c r="U170" s="4">
        <v>0</v>
      </c>
      <c r="V170" s="4">
        <v>0</v>
      </c>
    </row>
    <row r="171" spans="1:27" x14ac:dyDescent="0.15">
      <c r="A171" s="4" t="s">
        <v>2662</v>
      </c>
      <c r="D171" s="4">
        <v>11</v>
      </c>
      <c r="E171" s="4">
        <v>7</v>
      </c>
      <c r="H171" s="29">
        <v>1001</v>
      </c>
      <c r="I171" s="4">
        <f>[1]加比纳!$J8</f>
        <v>2245</v>
      </c>
      <c r="L171" s="30">
        <v>800</v>
      </c>
      <c r="M171" s="4">
        <f>[1]加比纳!E8</f>
        <v>276</v>
      </c>
      <c r="N171" s="4">
        <f>[1]加比纳!F8</f>
        <v>54</v>
      </c>
      <c r="O171" s="4">
        <f>[1]加比纳!G8</f>
        <v>3480</v>
      </c>
      <c r="P171" s="4">
        <v>0</v>
      </c>
      <c r="Q171" s="4">
        <f>[1]加比纳!H8</f>
        <v>1672</v>
      </c>
      <c r="R171" s="4">
        <v>2.5</v>
      </c>
      <c r="S171" s="4">
        <f>[1]加比纳!I8</f>
        <v>28</v>
      </c>
      <c r="T171" s="4">
        <v>0</v>
      </c>
      <c r="U171" s="4">
        <v>0</v>
      </c>
      <c r="V171" s="4">
        <v>0</v>
      </c>
    </row>
    <row r="172" spans="1:27" ht="16.5" x14ac:dyDescent="0.15">
      <c r="A172" s="4" t="s">
        <v>2662</v>
      </c>
      <c r="D172" s="4">
        <v>11</v>
      </c>
      <c r="E172" s="4">
        <v>8</v>
      </c>
      <c r="H172" s="29">
        <v>1001</v>
      </c>
      <c r="I172" s="4">
        <f>[1]加比纳!$J9</f>
        <v>2373</v>
      </c>
      <c r="L172" s="30">
        <v>800</v>
      </c>
      <c r="M172" s="4">
        <f>[1]加比纳!E9</f>
        <v>292</v>
      </c>
      <c r="N172" s="4">
        <f>[1]加比纳!F9</f>
        <v>62</v>
      </c>
      <c r="O172" s="4">
        <f>[1]加比纳!G9</f>
        <v>3620</v>
      </c>
      <c r="P172" s="4">
        <v>0</v>
      </c>
      <c r="Q172" s="4">
        <f>[1]加比纳!H9</f>
        <v>1684</v>
      </c>
      <c r="R172" s="4">
        <v>2.5</v>
      </c>
      <c r="S172" s="4">
        <f>[1]加比纳!I9</f>
        <v>31</v>
      </c>
      <c r="T172" s="4">
        <v>0</v>
      </c>
      <c r="U172" s="4">
        <v>0</v>
      </c>
      <c r="V172" s="4">
        <v>0</v>
      </c>
      <c r="Z172" s="38" t="s">
        <v>3284</v>
      </c>
      <c r="AA172" s="39" t="s">
        <v>3290</v>
      </c>
    </row>
    <row r="173" spans="1:27" ht="16.5" x14ac:dyDescent="0.15">
      <c r="A173" s="4" t="s">
        <v>2662</v>
      </c>
      <c r="D173" s="4">
        <v>11</v>
      </c>
      <c r="E173" s="4">
        <v>9</v>
      </c>
      <c r="H173" s="29">
        <v>1001</v>
      </c>
      <c r="I173" s="4">
        <f>[1]加比纳!$J10</f>
        <v>2500</v>
      </c>
      <c r="L173" s="30">
        <v>800</v>
      </c>
      <c r="M173" s="4">
        <f>[1]加比纳!E10</f>
        <v>308</v>
      </c>
      <c r="N173" s="4">
        <f>[1]加比纳!F10</f>
        <v>70</v>
      </c>
      <c r="O173" s="4">
        <f>[1]加比纳!G10</f>
        <v>3760</v>
      </c>
      <c r="P173" s="4">
        <v>0</v>
      </c>
      <c r="Q173" s="4">
        <f>[1]加比纳!H10</f>
        <v>1696</v>
      </c>
      <c r="R173" s="4">
        <v>2.5</v>
      </c>
      <c r="S173" s="4">
        <f>[1]加比纳!I10</f>
        <v>34</v>
      </c>
      <c r="T173" s="4">
        <v>0</v>
      </c>
      <c r="U173" s="4">
        <v>0</v>
      </c>
      <c r="V173" s="4">
        <v>0</v>
      </c>
      <c r="Z173" s="38" t="s">
        <v>3284</v>
      </c>
      <c r="AA173" s="39" t="s">
        <v>3291</v>
      </c>
    </row>
    <row r="174" spans="1:27" x14ac:dyDescent="0.15">
      <c r="A174" s="4" t="s">
        <v>2662</v>
      </c>
      <c r="D174" s="4">
        <v>11</v>
      </c>
      <c r="E174" s="4">
        <v>10</v>
      </c>
      <c r="H174" s="29">
        <v>1001</v>
      </c>
      <c r="I174" s="4">
        <f>[1]加比纳!$J11</f>
        <v>2627</v>
      </c>
      <c r="L174" s="30">
        <v>800</v>
      </c>
      <c r="M174" s="4">
        <f>[1]加比纳!E11</f>
        <v>324</v>
      </c>
      <c r="N174" s="4">
        <f>[1]加比纳!F11</f>
        <v>78</v>
      </c>
      <c r="O174" s="4">
        <f>[1]加比纳!G11</f>
        <v>3900</v>
      </c>
      <c r="P174" s="4">
        <v>0</v>
      </c>
      <c r="Q174" s="4">
        <f>[1]加比纳!H11</f>
        <v>1708</v>
      </c>
      <c r="R174" s="4">
        <v>2.5</v>
      </c>
      <c r="S174" s="4">
        <f>[1]加比纳!I11</f>
        <v>37</v>
      </c>
      <c r="T174" s="4">
        <v>0</v>
      </c>
      <c r="U174" s="4">
        <v>0</v>
      </c>
      <c r="V174" s="4">
        <v>0</v>
      </c>
    </row>
    <row r="175" spans="1:27" x14ac:dyDescent="0.15">
      <c r="A175" s="4" t="s">
        <v>2662</v>
      </c>
      <c r="D175" s="4">
        <v>11</v>
      </c>
      <c r="E175" s="4">
        <v>11</v>
      </c>
      <c r="H175" s="29">
        <v>1001</v>
      </c>
      <c r="I175" s="4">
        <f>[1]加比纳!$J12</f>
        <v>2754</v>
      </c>
      <c r="L175" s="30">
        <v>800</v>
      </c>
      <c r="M175" s="4">
        <f>[1]加比纳!E12</f>
        <v>340</v>
      </c>
      <c r="N175" s="4">
        <f>[1]加比纳!F12</f>
        <v>86</v>
      </c>
      <c r="O175" s="4">
        <f>[1]加比纳!G12</f>
        <v>4040</v>
      </c>
      <c r="P175" s="4">
        <v>0</v>
      </c>
      <c r="Q175" s="4">
        <f>[1]加比纳!H12</f>
        <v>1720</v>
      </c>
      <c r="R175" s="4">
        <v>2.5</v>
      </c>
      <c r="S175" s="4">
        <f>[1]加比纳!I12</f>
        <v>40</v>
      </c>
      <c r="T175" s="4">
        <v>0</v>
      </c>
      <c r="U175" s="4">
        <v>0</v>
      </c>
      <c r="V175" s="4">
        <v>0</v>
      </c>
    </row>
    <row r="176" spans="1:27" x14ac:dyDescent="0.15">
      <c r="A176" s="4" t="s">
        <v>2662</v>
      </c>
      <c r="D176" s="4">
        <v>11</v>
      </c>
      <c r="E176" s="4">
        <v>12</v>
      </c>
      <c r="H176" s="29">
        <v>1001</v>
      </c>
      <c r="I176" s="4">
        <f>[1]加比纳!$J13</f>
        <v>2882</v>
      </c>
      <c r="L176" s="30">
        <v>800</v>
      </c>
      <c r="M176" s="4">
        <f>[1]加比纳!E13</f>
        <v>356</v>
      </c>
      <c r="N176" s="4">
        <f>[1]加比纳!F13</f>
        <v>94</v>
      </c>
      <c r="O176" s="4">
        <f>[1]加比纳!G13</f>
        <v>4180</v>
      </c>
      <c r="P176" s="4">
        <v>0</v>
      </c>
      <c r="Q176" s="4">
        <f>[1]加比纳!H13</f>
        <v>1732</v>
      </c>
      <c r="R176" s="4">
        <v>2.5</v>
      </c>
      <c r="S176" s="4">
        <f>[1]加比纳!I13</f>
        <v>43</v>
      </c>
      <c r="T176" s="4">
        <v>0</v>
      </c>
      <c r="U176" s="4">
        <v>0</v>
      </c>
      <c r="V176" s="4">
        <v>0</v>
      </c>
    </row>
    <row r="177" spans="1:22" x14ac:dyDescent="0.15">
      <c r="A177" s="4" t="s">
        <v>2662</v>
      </c>
      <c r="D177" s="4">
        <v>11</v>
      </c>
      <c r="E177" s="4">
        <v>13</v>
      </c>
      <c r="H177" s="29">
        <v>1001</v>
      </c>
      <c r="I177" s="4">
        <f>[1]加比纳!$J14</f>
        <v>3009</v>
      </c>
      <c r="L177" s="30">
        <v>800</v>
      </c>
      <c r="M177" s="4">
        <f>[1]加比纳!E14</f>
        <v>372</v>
      </c>
      <c r="N177" s="4">
        <f>[1]加比纳!F14</f>
        <v>102</v>
      </c>
      <c r="O177" s="4">
        <f>[1]加比纳!G14</f>
        <v>4320</v>
      </c>
      <c r="P177" s="4">
        <v>0</v>
      </c>
      <c r="Q177" s="4">
        <f>[1]加比纳!H14</f>
        <v>1744</v>
      </c>
      <c r="R177" s="4">
        <v>2.5</v>
      </c>
      <c r="S177" s="4">
        <f>[1]加比纳!I14</f>
        <v>46</v>
      </c>
      <c r="T177" s="4">
        <v>0</v>
      </c>
      <c r="U177" s="4">
        <v>0</v>
      </c>
      <c r="V177" s="4">
        <v>0</v>
      </c>
    </row>
    <row r="178" spans="1:22" x14ac:dyDescent="0.15">
      <c r="A178" s="4" t="s">
        <v>2662</v>
      </c>
      <c r="D178" s="4">
        <v>11</v>
      </c>
      <c r="E178" s="4">
        <v>14</v>
      </c>
      <c r="H178" s="29">
        <v>1001</v>
      </c>
      <c r="I178" s="4">
        <f>[1]加比纳!$J15</f>
        <v>3136</v>
      </c>
      <c r="L178" s="30">
        <v>800</v>
      </c>
      <c r="M178" s="4">
        <f>[1]加比纳!E15</f>
        <v>388</v>
      </c>
      <c r="N178" s="4">
        <f>[1]加比纳!F15</f>
        <v>110</v>
      </c>
      <c r="O178" s="4">
        <f>[1]加比纳!G15</f>
        <v>4460</v>
      </c>
      <c r="P178" s="4">
        <v>0</v>
      </c>
      <c r="Q178" s="4">
        <f>[1]加比纳!H15</f>
        <v>1756</v>
      </c>
      <c r="R178" s="4">
        <v>2.5</v>
      </c>
      <c r="S178" s="4">
        <f>[1]加比纳!I15</f>
        <v>49</v>
      </c>
      <c r="T178" s="4">
        <v>0</v>
      </c>
      <c r="U178" s="4">
        <v>0</v>
      </c>
      <c r="V178" s="4">
        <v>0</v>
      </c>
    </row>
    <row r="179" spans="1:22" x14ac:dyDescent="0.15">
      <c r="A179" s="4" t="s">
        <v>2662</v>
      </c>
      <c r="D179" s="4">
        <v>11</v>
      </c>
      <c r="E179" s="4">
        <v>15</v>
      </c>
      <c r="H179" s="29">
        <v>1001</v>
      </c>
      <c r="I179" s="4">
        <f>[1]加比纳!$J16</f>
        <v>3263</v>
      </c>
      <c r="L179" s="30">
        <v>800</v>
      </c>
      <c r="M179" s="4">
        <f>[1]加比纳!E16</f>
        <v>404</v>
      </c>
      <c r="N179" s="4">
        <f>[1]加比纳!F16</f>
        <v>118</v>
      </c>
      <c r="O179" s="4">
        <f>[1]加比纳!G16</f>
        <v>4600</v>
      </c>
      <c r="P179" s="4">
        <v>0</v>
      </c>
      <c r="Q179" s="4">
        <f>[1]加比纳!H16</f>
        <v>1768</v>
      </c>
      <c r="R179" s="4">
        <v>2.5</v>
      </c>
      <c r="S179" s="4">
        <f>[1]加比纳!I16</f>
        <v>52</v>
      </c>
      <c r="T179" s="4">
        <v>0</v>
      </c>
      <c r="U179" s="4">
        <v>0</v>
      </c>
      <c r="V179" s="4">
        <v>0</v>
      </c>
    </row>
    <row r="180" spans="1:22" x14ac:dyDescent="0.15">
      <c r="A180" s="4" t="s">
        <v>2662</v>
      </c>
      <c r="D180" s="4">
        <v>11</v>
      </c>
      <c r="E180" s="4">
        <v>16</v>
      </c>
      <c r="H180" s="29">
        <v>1001</v>
      </c>
      <c r="I180" s="4">
        <f>[1]加比纳!$J17</f>
        <v>3391</v>
      </c>
      <c r="L180" s="30">
        <v>800</v>
      </c>
      <c r="M180" s="4">
        <f>[1]加比纳!E17</f>
        <v>420</v>
      </c>
      <c r="N180" s="4">
        <f>[1]加比纳!F17</f>
        <v>126</v>
      </c>
      <c r="O180" s="4">
        <f>[1]加比纳!G17</f>
        <v>4740</v>
      </c>
      <c r="P180" s="4">
        <v>0</v>
      </c>
      <c r="Q180" s="4">
        <f>[1]加比纳!H17</f>
        <v>1780</v>
      </c>
      <c r="R180" s="4">
        <v>2.5</v>
      </c>
      <c r="S180" s="4">
        <f>[1]加比纳!I17</f>
        <v>55</v>
      </c>
      <c r="T180" s="4">
        <v>0</v>
      </c>
      <c r="U180" s="4">
        <v>0</v>
      </c>
      <c r="V180" s="4">
        <v>0</v>
      </c>
    </row>
    <row r="181" spans="1:22" x14ac:dyDescent="0.15">
      <c r="A181" s="4" t="s">
        <v>2662</v>
      </c>
      <c r="D181" s="4">
        <v>11</v>
      </c>
      <c r="E181" s="4">
        <v>17</v>
      </c>
      <c r="H181" s="29">
        <v>1001</v>
      </c>
      <c r="I181" s="4">
        <f>[1]加比纳!$J18</f>
        <v>3518</v>
      </c>
      <c r="L181" s="30">
        <v>800</v>
      </c>
      <c r="M181" s="4">
        <f>[1]加比纳!E18</f>
        <v>436</v>
      </c>
      <c r="N181" s="4">
        <f>[1]加比纳!F18</f>
        <v>134</v>
      </c>
      <c r="O181" s="4">
        <f>[1]加比纳!G18</f>
        <v>4880</v>
      </c>
      <c r="P181" s="4">
        <v>0</v>
      </c>
      <c r="Q181" s="4">
        <f>[1]加比纳!H18</f>
        <v>1792</v>
      </c>
      <c r="R181" s="4">
        <v>2.5</v>
      </c>
      <c r="S181" s="4">
        <f>[1]加比纳!I18</f>
        <v>58</v>
      </c>
      <c r="T181" s="4">
        <v>0</v>
      </c>
      <c r="U181" s="4">
        <v>0</v>
      </c>
      <c r="V181" s="4">
        <v>0</v>
      </c>
    </row>
    <row r="182" spans="1:22" x14ac:dyDescent="0.15">
      <c r="A182" s="4" t="s">
        <v>2662</v>
      </c>
      <c r="D182" s="4">
        <v>11</v>
      </c>
      <c r="E182" s="4">
        <v>18</v>
      </c>
      <c r="H182" s="29">
        <v>1001</v>
      </c>
      <c r="I182" s="4">
        <f>[1]加比纳!$J19</f>
        <v>3645</v>
      </c>
      <c r="L182" s="30">
        <v>800</v>
      </c>
      <c r="M182" s="4">
        <f>[1]加比纳!E19</f>
        <v>452</v>
      </c>
      <c r="N182" s="4">
        <f>[1]加比纳!F19</f>
        <v>142</v>
      </c>
      <c r="O182" s="4">
        <f>[1]加比纳!G19</f>
        <v>5020</v>
      </c>
      <c r="P182" s="4">
        <v>0</v>
      </c>
      <c r="Q182" s="4">
        <f>[1]加比纳!H19</f>
        <v>1804</v>
      </c>
      <c r="R182" s="4">
        <v>2.5</v>
      </c>
      <c r="S182" s="4">
        <f>[1]加比纳!I19</f>
        <v>61</v>
      </c>
      <c r="T182" s="4">
        <v>0</v>
      </c>
      <c r="U182" s="4">
        <v>0</v>
      </c>
      <c r="V182" s="4">
        <v>0</v>
      </c>
    </row>
    <row r="183" spans="1:22" x14ac:dyDescent="0.15">
      <c r="A183" s="4" t="s">
        <v>2662</v>
      </c>
      <c r="D183" s="4">
        <v>11</v>
      </c>
      <c r="E183" s="4">
        <v>19</v>
      </c>
      <c r="H183" s="29">
        <v>1001</v>
      </c>
      <c r="I183" s="4">
        <f>[1]加比纳!$J20</f>
        <v>3772</v>
      </c>
      <c r="L183" s="30">
        <v>800</v>
      </c>
      <c r="M183" s="4">
        <f>[1]加比纳!E20</f>
        <v>468</v>
      </c>
      <c r="N183" s="4">
        <f>[1]加比纳!F20</f>
        <v>150</v>
      </c>
      <c r="O183" s="4">
        <f>[1]加比纳!G20</f>
        <v>5160</v>
      </c>
      <c r="P183" s="4">
        <v>0</v>
      </c>
      <c r="Q183" s="4">
        <f>[1]加比纳!H20</f>
        <v>1816</v>
      </c>
      <c r="R183" s="4">
        <v>2.5</v>
      </c>
      <c r="S183" s="4">
        <f>[1]加比纳!I20</f>
        <v>64</v>
      </c>
      <c r="T183" s="4">
        <v>0</v>
      </c>
      <c r="U183" s="4">
        <v>0</v>
      </c>
      <c r="V183" s="4">
        <v>0</v>
      </c>
    </row>
    <row r="184" spans="1:22" x14ac:dyDescent="0.15">
      <c r="A184" s="4" t="s">
        <v>2662</v>
      </c>
      <c r="D184" s="4">
        <v>11</v>
      </c>
      <c r="E184" s="4">
        <v>20</v>
      </c>
      <c r="H184" s="29">
        <v>1001</v>
      </c>
      <c r="I184" s="4">
        <f>[1]加比纳!$J21</f>
        <v>3900</v>
      </c>
      <c r="L184" s="30">
        <v>800</v>
      </c>
      <c r="M184" s="4">
        <f>[1]加比纳!E21</f>
        <v>484</v>
      </c>
      <c r="N184" s="4">
        <f>[1]加比纳!F21</f>
        <v>158</v>
      </c>
      <c r="O184" s="4">
        <f>[1]加比纳!G21</f>
        <v>5300</v>
      </c>
      <c r="P184" s="4">
        <v>0</v>
      </c>
      <c r="Q184" s="4">
        <f>[1]加比纳!H21</f>
        <v>1828</v>
      </c>
      <c r="R184" s="4">
        <v>2.5</v>
      </c>
      <c r="S184" s="4">
        <f>[1]加比纳!I21</f>
        <v>67</v>
      </c>
      <c r="T184" s="4">
        <v>0</v>
      </c>
      <c r="U184" s="4">
        <v>0</v>
      </c>
      <c r="V184" s="4">
        <v>0</v>
      </c>
    </row>
    <row r="185" spans="1:22" x14ac:dyDescent="0.15">
      <c r="A185" s="4" t="s">
        <v>2662</v>
      </c>
      <c r="D185" s="4">
        <v>11</v>
      </c>
      <c r="E185" s="4">
        <v>21</v>
      </c>
      <c r="H185" s="29">
        <v>1001</v>
      </c>
      <c r="I185" s="4">
        <f>[1]加比纳!$J22</f>
        <v>4027</v>
      </c>
      <c r="L185" s="30">
        <v>800</v>
      </c>
      <c r="M185" s="4">
        <f>[1]加比纳!E22</f>
        <v>500</v>
      </c>
      <c r="N185" s="4">
        <f>[1]加比纳!F22</f>
        <v>166</v>
      </c>
      <c r="O185" s="4">
        <f>[1]加比纳!G22</f>
        <v>5440</v>
      </c>
      <c r="P185" s="4">
        <v>0</v>
      </c>
      <c r="Q185" s="4">
        <f>[1]加比纳!H22</f>
        <v>1840</v>
      </c>
      <c r="R185" s="4">
        <v>2.5</v>
      </c>
      <c r="S185" s="4">
        <f>[1]加比纳!I22</f>
        <v>70</v>
      </c>
      <c r="T185" s="4">
        <v>0</v>
      </c>
      <c r="U185" s="4">
        <v>0</v>
      </c>
      <c r="V185" s="4">
        <v>0</v>
      </c>
    </row>
    <row r="186" spans="1:22" x14ac:dyDescent="0.15">
      <c r="A186" s="4" t="s">
        <v>2662</v>
      </c>
      <c r="D186" s="4">
        <v>11</v>
      </c>
      <c r="E186" s="4">
        <v>22</v>
      </c>
      <c r="H186" s="29">
        <v>1001</v>
      </c>
      <c r="I186" s="4">
        <f>[1]加比纳!$J23</f>
        <v>4154</v>
      </c>
      <c r="L186" s="30">
        <v>800</v>
      </c>
      <c r="M186" s="4">
        <f>[1]加比纳!E23</f>
        <v>516</v>
      </c>
      <c r="N186" s="4">
        <f>[1]加比纳!F23</f>
        <v>174</v>
      </c>
      <c r="O186" s="4">
        <f>[1]加比纳!G23</f>
        <v>5580</v>
      </c>
      <c r="P186" s="4">
        <v>0</v>
      </c>
      <c r="Q186" s="4">
        <f>[1]加比纳!H23</f>
        <v>1852</v>
      </c>
      <c r="R186" s="4">
        <v>2.5</v>
      </c>
      <c r="S186" s="4">
        <f>[1]加比纳!I23</f>
        <v>73</v>
      </c>
      <c r="T186" s="4">
        <v>0</v>
      </c>
      <c r="U186" s="4">
        <v>0</v>
      </c>
      <c r="V186" s="4">
        <v>0</v>
      </c>
    </row>
    <row r="187" spans="1:22" x14ac:dyDescent="0.15">
      <c r="A187" s="4" t="s">
        <v>2662</v>
      </c>
      <c r="D187" s="4">
        <v>11</v>
      </c>
      <c r="E187" s="4">
        <v>23</v>
      </c>
      <c r="H187" s="29">
        <v>1001</v>
      </c>
      <c r="I187" s="4">
        <f>[1]加比纳!$J24</f>
        <v>4281</v>
      </c>
      <c r="L187" s="30">
        <v>800</v>
      </c>
      <c r="M187" s="4">
        <f>[1]加比纳!E24</f>
        <v>532</v>
      </c>
      <c r="N187" s="4">
        <f>[1]加比纳!F24</f>
        <v>182</v>
      </c>
      <c r="O187" s="4">
        <f>[1]加比纳!G24</f>
        <v>5720</v>
      </c>
      <c r="P187" s="4">
        <v>0</v>
      </c>
      <c r="Q187" s="4">
        <f>[1]加比纳!H24</f>
        <v>1864</v>
      </c>
      <c r="R187" s="4">
        <v>2.5</v>
      </c>
      <c r="S187" s="4">
        <f>[1]加比纳!I24</f>
        <v>76</v>
      </c>
      <c r="T187" s="4">
        <v>0</v>
      </c>
      <c r="U187" s="4">
        <v>0</v>
      </c>
      <c r="V187" s="4">
        <v>0</v>
      </c>
    </row>
    <row r="188" spans="1:22" x14ac:dyDescent="0.15">
      <c r="A188" s="4" t="s">
        <v>2662</v>
      </c>
      <c r="D188" s="4">
        <v>11</v>
      </c>
      <c r="E188" s="4">
        <v>24</v>
      </c>
      <c r="H188" s="29">
        <v>1001</v>
      </c>
      <c r="I188" s="4">
        <f>[1]加比纳!$J25</f>
        <v>4409</v>
      </c>
      <c r="L188" s="30">
        <v>800</v>
      </c>
      <c r="M188" s="4">
        <f>[1]加比纳!E25</f>
        <v>548</v>
      </c>
      <c r="N188" s="4">
        <f>[1]加比纳!F25</f>
        <v>190</v>
      </c>
      <c r="O188" s="4">
        <f>[1]加比纳!G25</f>
        <v>5860</v>
      </c>
      <c r="P188" s="4">
        <v>0</v>
      </c>
      <c r="Q188" s="4">
        <f>[1]加比纳!H25</f>
        <v>1876</v>
      </c>
      <c r="R188" s="4">
        <v>2.5</v>
      </c>
      <c r="S188" s="4">
        <f>[1]加比纳!I25</f>
        <v>79</v>
      </c>
      <c r="T188" s="4">
        <v>0</v>
      </c>
      <c r="U188" s="4">
        <v>0</v>
      </c>
      <c r="V188" s="4">
        <v>0</v>
      </c>
    </row>
    <row r="189" spans="1:22" x14ac:dyDescent="0.15">
      <c r="A189" s="4" t="s">
        <v>2662</v>
      </c>
      <c r="D189" s="4">
        <v>11</v>
      </c>
      <c r="E189" s="4">
        <v>25</v>
      </c>
      <c r="H189" s="29">
        <v>1001</v>
      </c>
      <c r="I189" s="4">
        <f>[1]加比纳!$J26</f>
        <v>4536</v>
      </c>
      <c r="L189" s="30">
        <v>800</v>
      </c>
      <c r="M189" s="4">
        <f>[1]加比纳!E26</f>
        <v>564</v>
      </c>
      <c r="N189" s="4">
        <f>[1]加比纳!F26</f>
        <v>198</v>
      </c>
      <c r="O189" s="4">
        <f>[1]加比纳!G26</f>
        <v>6000</v>
      </c>
      <c r="P189" s="4">
        <v>0</v>
      </c>
      <c r="Q189" s="4">
        <f>[1]加比纳!H26</f>
        <v>1888</v>
      </c>
      <c r="R189" s="4">
        <v>2.5</v>
      </c>
      <c r="S189" s="4">
        <f>[1]加比纳!I26</f>
        <v>82</v>
      </c>
      <c r="T189" s="4">
        <v>0</v>
      </c>
      <c r="U189" s="4">
        <v>0</v>
      </c>
      <c r="V189" s="4">
        <v>0</v>
      </c>
    </row>
    <row r="190" spans="1:22" x14ac:dyDescent="0.15">
      <c r="A190" s="4" t="s">
        <v>2662</v>
      </c>
      <c r="D190" s="4">
        <v>11</v>
      </c>
      <c r="E190" s="4">
        <v>26</v>
      </c>
      <c r="H190" s="29">
        <v>1001</v>
      </c>
      <c r="I190" s="4">
        <f>[1]加比纳!$J27</f>
        <v>4663</v>
      </c>
      <c r="L190" s="30">
        <v>800</v>
      </c>
      <c r="M190" s="4">
        <f>[1]加比纳!E27</f>
        <v>580</v>
      </c>
      <c r="N190" s="4">
        <f>[1]加比纳!F27</f>
        <v>206</v>
      </c>
      <c r="O190" s="4">
        <f>[1]加比纳!G27</f>
        <v>6140</v>
      </c>
      <c r="P190" s="4">
        <v>0</v>
      </c>
      <c r="Q190" s="4">
        <f>[1]加比纳!H27</f>
        <v>1900</v>
      </c>
      <c r="R190" s="4">
        <v>2.5</v>
      </c>
      <c r="S190" s="4">
        <f>[1]加比纳!I27</f>
        <v>85</v>
      </c>
      <c r="T190" s="4">
        <v>0</v>
      </c>
      <c r="U190" s="4">
        <v>0</v>
      </c>
      <c r="V190" s="4">
        <v>0</v>
      </c>
    </row>
    <row r="191" spans="1:22" x14ac:dyDescent="0.15">
      <c r="A191" s="4" t="s">
        <v>2662</v>
      </c>
      <c r="D191" s="4">
        <v>11</v>
      </c>
      <c r="E191" s="4">
        <v>27</v>
      </c>
      <c r="H191" s="29">
        <v>1001</v>
      </c>
      <c r="I191" s="4">
        <f>[1]加比纳!$J28</f>
        <v>4790</v>
      </c>
      <c r="L191" s="30">
        <v>800</v>
      </c>
      <c r="M191" s="4">
        <f>[1]加比纳!E28</f>
        <v>596</v>
      </c>
      <c r="N191" s="4">
        <f>[1]加比纳!F28</f>
        <v>214</v>
      </c>
      <c r="O191" s="4">
        <f>[1]加比纳!G28</f>
        <v>6280</v>
      </c>
      <c r="P191" s="4">
        <v>0</v>
      </c>
      <c r="Q191" s="4">
        <f>[1]加比纳!H28</f>
        <v>1912</v>
      </c>
      <c r="R191" s="4">
        <v>2.5</v>
      </c>
      <c r="S191" s="4">
        <f>[1]加比纳!I28</f>
        <v>88</v>
      </c>
      <c r="T191" s="4">
        <v>0</v>
      </c>
      <c r="U191" s="4">
        <v>0</v>
      </c>
      <c r="V191" s="4">
        <v>0</v>
      </c>
    </row>
    <row r="192" spans="1:22" x14ac:dyDescent="0.15">
      <c r="A192" s="4" t="s">
        <v>2662</v>
      </c>
      <c r="D192" s="4">
        <v>11</v>
      </c>
      <c r="E192" s="4">
        <v>28</v>
      </c>
      <c r="H192" s="29">
        <v>1001</v>
      </c>
      <c r="I192" s="4">
        <f>[1]加比纳!$J29</f>
        <v>4917</v>
      </c>
      <c r="L192" s="30">
        <v>800</v>
      </c>
      <c r="M192" s="4">
        <f>[1]加比纳!E29</f>
        <v>612</v>
      </c>
      <c r="N192" s="4">
        <f>[1]加比纳!F29</f>
        <v>222</v>
      </c>
      <c r="O192" s="4">
        <f>[1]加比纳!G29</f>
        <v>6420</v>
      </c>
      <c r="P192" s="4">
        <v>0</v>
      </c>
      <c r="Q192" s="4">
        <f>[1]加比纳!H29</f>
        <v>1924</v>
      </c>
      <c r="R192" s="4">
        <v>2.5</v>
      </c>
      <c r="S192" s="4">
        <f>[1]加比纳!I29</f>
        <v>91</v>
      </c>
      <c r="T192" s="4">
        <v>0</v>
      </c>
      <c r="U192" s="4">
        <v>0</v>
      </c>
      <c r="V192" s="4">
        <v>0</v>
      </c>
    </row>
    <row r="193" spans="1:22" x14ac:dyDescent="0.15">
      <c r="A193" s="4" t="s">
        <v>2662</v>
      </c>
      <c r="D193" s="4">
        <v>11</v>
      </c>
      <c r="E193" s="4">
        <v>29</v>
      </c>
      <c r="H193" s="29">
        <v>1001</v>
      </c>
      <c r="I193" s="4">
        <f>[1]加比纳!$J30</f>
        <v>5045</v>
      </c>
      <c r="L193" s="30">
        <v>800</v>
      </c>
      <c r="M193" s="4">
        <f>[1]加比纳!E30</f>
        <v>628</v>
      </c>
      <c r="N193" s="4">
        <f>[1]加比纳!F30</f>
        <v>230</v>
      </c>
      <c r="O193" s="4">
        <f>[1]加比纳!G30</f>
        <v>6560</v>
      </c>
      <c r="P193" s="4">
        <v>0</v>
      </c>
      <c r="Q193" s="4">
        <f>[1]加比纳!H30</f>
        <v>1936</v>
      </c>
      <c r="R193" s="4">
        <v>2.5</v>
      </c>
      <c r="S193" s="4">
        <f>[1]加比纳!I30</f>
        <v>94</v>
      </c>
      <c r="T193" s="4">
        <v>0</v>
      </c>
      <c r="U193" s="4">
        <v>0</v>
      </c>
      <c r="V193" s="4">
        <v>0</v>
      </c>
    </row>
    <row r="194" spans="1:22" x14ac:dyDescent="0.15">
      <c r="A194" s="4" t="s">
        <v>2662</v>
      </c>
      <c r="D194" s="4">
        <v>11</v>
      </c>
      <c r="E194" s="4">
        <v>30</v>
      </c>
      <c r="H194" s="29">
        <v>1001</v>
      </c>
      <c r="I194" s="4">
        <f>[1]加比纳!$J31</f>
        <v>5172</v>
      </c>
      <c r="L194" s="30">
        <v>800</v>
      </c>
      <c r="M194" s="4">
        <f>[1]加比纳!E31</f>
        <v>644</v>
      </c>
      <c r="N194" s="4">
        <f>[1]加比纳!F31</f>
        <v>238</v>
      </c>
      <c r="O194" s="4">
        <f>[1]加比纳!G31</f>
        <v>6700</v>
      </c>
      <c r="P194" s="4">
        <v>0</v>
      </c>
      <c r="Q194" s="4">
        <f>[1]加比纳!H31</f>
        <v>1948</v>
      </c>
      <c r="R194" s="4">
        <v>2.5</v>
      </c>
      <c r="S194" s="4">
        <f>[1]加比纳!I31</f>
        <v>97</v>
      </c>
      <c r="T194" s="4">
        <v>0</v>
      </c>
      <c r="U194" s="4">
        <v>0</v>
      </c>
      <c r="V194" s="4">
        <v>0</v>
      </c>
    </row>
    <row r="195" spans="1:22" x14ac:dyDescent="0.15">
      <c r="A195" s="4" t="s">
        <v>2662</v>
      </c>
      <c r="D195" s="4">
        <v>11</v>
      </c>
      <c r="E195" s="4">
        <v>31</v>
      </c>
      <c r="H195" s="29">
        <v>1001</v>
      </c>
      <c r="I195" s="4">
        <f>[1]加比纳!$J32</f>
        <v>5299</v>
      </c>
      <c r="L195" s="30">
        <v>800</v>
      </c>
      <c r="M195" s="4">
        <f>[1]加比纳!E32</f>
        <v>660</v>
      </c>
      <c r="N195" s="4">
        <f>[1]加比纳!F32</f>
        <v>246</v>
      </c>
      <c r="O195" s="4">
        <f>[1]加比纳!G32</f>
        <v>6840</v>
      </c>
      <c r="P195" s="4">
        <v>0</v>
      </c>
      <c r="Q195" s="4">
        <f>[1]加比纳!H32</f>
        <v>1960</v>
      </c>
      <c r="R195" s="4">
        <v>2.5</v>
      </c>
      <c r="S195" s="4">
        <f>[1]加比纳!I32</f>
        <v>100</v>
      </c>
      <c r="T195" s="4">
        <v>0</v>
      </c>
      <c r="U195" s="4">
        <v>0</v>
      </c>
      <c r="V195" s="4">
        <v>0</v>
      </c>
    </row>
    <row r="196" spans="1:22" x14ac:dyDescent="0.15">
      <c r="A196" s="4" t="s">
        <v>2662</v>
      </c>
      <c r="D196" s="4">
        <v>11</v>
      </c>
      <c r="E196" s="4">
        <v>32</v>
      </c>
      <c r="H196" s="29">
        <v>1001</v>
      </c>
      <c r="I196" s="4">
        <f>[1]加比纳!$J33</f>
        <v>5426</v>
      </c>
      <c r="L196" s="30">
        <v>800</v>
      </c>
      <c r="M196" s="4">
        <f>[1]加比纳!E33</f>
        <v>676</v>
      </c>
      <c r="N196" s="4">
        <f>[1]加比纳!F33</f>
        <v>254</v>
      </c>
      <c r="O196" s="4">
        <f>[1]加比纳!G33</f>
        <v>6980</v>
      </c>
      <c r="P196" s="4">
        <v>0</v>
      </c>
      <c r="Q196" s="4">
        <f>[1]加比纳!H33</f>
        <v>1972</v>
      </c>
      <c r="R196" s="4">
        <v>2.5</v>
      </c>
      <c r="S196" s="4">
        <f>[1]加比纳!I33</f>
        <v>103</v>
      </c>
      <c r="T196" s="4">
        <v>0</v>
      </c>
      <c r="U196" s="4">
        <v>0</v>
      </c>
      <c r="V196" s="4">
        <v>0</v>
      </c>
    </row>
    <row r="197" spans="1:22" x14ac:dyDescent="0.15">
      <c r="A197" s="4" t="s">
        <v>2662</v>
      </c>
      <c r="D197" s="4">
        <v>11</v>
      </c>
      <c r="E197" s="4">
        <v>33</v>
      </c>
      <c r="H197" s="29">
        <v>1001</v>
      </c>
      <c r="I197" s="4">
        <f>[1]加比纳!$J34</f>
        <v>5554</v>
      </c>
      <c r="L197" s="30">
        <v>800</v>
      </c>
      <c r="M197" s="4">
        <f>[1]加比纳!E34</f>
        <v>692</v>
      </c>
      <c r="N197" s="4">
        <f>[1]加比纳!F34</f>
        <v>262</v>
      </c>
      <c r="O197" s="4">
        <f>[1]加比纳!G34</f>
        <v>7120</v>
      </c>
      <c r="P197" s="4">
        <v>0</v>
      </c>
      <c r="Q197" s="4">
        <f>[1]加比纳!H34</f>
        <v>1984</v>
      </c>
      <c r="R197" s="4">
        <v>2.5</v>
      </c>
      <c r="S197" s="4">
        <f>[1]加比纳!I34</f>
        <v>106</v>
      </c>
      <c r="T197" s="4">
        <v>0</v>
      </c>
      <c r="U197" s="4">
        <v>0</v>
      </c>
      <c r="V197" s="4">
        <v>0</v>
      </c>
    </row>
    <row r="198" spans="1:22" x14ac:dyDescent="0.15">
      <c r="A198" s="4" t="s">
        <v>2662</v>
      </c>
      <c r="D198" s="4">
        <v>11</v>
      </c>
      <c r="E198" s="4">
        <v>34</v>
      </c>
      <c r="H198" s="29">
        <v>1001</v>
      </c>
      <c r="I198" s="4">
        <f>[1]加比纳!$J35</f>
        <v>5681</v>
      </c>
      <c r="L198" s="30">
        <v>800</v>
      </c>
      <c r="M198" s="4">
        <f>[1]加比纳!E35</f>
        <v>708</v>
      </c>
      <c r="N198" s="4">
        <f>[1]加比纳!F35</f>
        <v>270</v>
      </c>
      <c r="O198" s="4">
        <f>[1]加比纳!G35</f>
        <v>7260</v>
      </c>
      <c r="P198" s="4">
        <v>0</v>
      </c>
      <c r="Q198" s="4">
        <f>[1]加比纳!H35</f>
        <v>1996</v>
      </c>
      <c r="R198" s="4">
        <v>2.5</v>
      </c>
      <c r="S198" s="4">
        <f>[1]加比纳!I35</f>
        <v>109</v>
      </c>
      <c r="T198" s="4">
        <v>0</v>
      </c>
      <c r="U198" s="4">
        <v>0</v>
      </c>
      <c r="V198" s="4">
        <v>0</v>
      </c>
    </row>
    <row r="199" spans="1:22" x14ac:dyDescent="0.15">
      <c r="A199" s="4" t="s">
        <v>2662</v>
      </c>
      <c r="D199" s="4">
        <v>11</v>
      </c>
      <c r="E199" s="4">
        <v>35</v>
      </c>
      <c r="H199" s="29">
        <v>1001</v>
      </c>
      <c r="I199" s="4">
        <f>[1]加比纳!$J36</f>
        <v>5808</v>
      </c>
      <c r="L199" s="30">
        <v>800</v>
      </c>
      <c r="M199" s="4">
        <f>[1]加比纳!E36</f>
        <v>724</v>
      </c>
      <c r="N199" s="4">
        <f>[1]加比纳!F36</f>
        <v>278</v>
      </c>
      <c r="O199" s="4">
        <f>[1]加比纳!G36</f>
        <v>7400</v>
      </c>
      <c r="P199" s="4">
        <v>0</v>
      </c>
      <c r="Q199" s="4">
        <f>[1]加比纳!H36</f>
        <v>2008</v>
      </c>
      <c r="R199" s="4">
        <v>2.5</v>
      </c>
      <c r="S199" s="4">
        <f>[1]加比纳!I36</f>
        <v>112</v>
      </c>
      <c r="T199" s="4">
        <v>0</v>
      </c>
      <c r="U199" s="4">
        <v>0</v>
      </c>
      <c r="V199" s="4">
        <v>0</v>
      </c>
    </row>
    <row r="200" spans="1:22" x14ac:dyDescent="0.15">
      <c r="A200" s="4" t="s">
        <v>2662</v>
      </c>
      <c r="D200" s="4">
        <v>11</v>
      </c>
      <c r="E200" s="4">
        <v>36</v>
      </c>
      <c r="H200" s="29">
        <v>1001</v>
      </c>
      <c r="I200" s="4">
        <f>[1]加比纳!$J37</f>
        <v>5935</v>
      </c>
      <c r="L200" s="30">
        <v>800</v>
      </c>
      <c r="M200" s="4">
        <f>[1]加比纳!E37</f>
        <v>740</v>
      </c>
      <c r="N200" s="4">
        <f>[1]加比纳!F37</f>
        <v>286</v>
      </c>
      <c r="O200" s="4">
        <f>[1]加比纳!G37</f>
        <v>7540</v>
      </c>
      <c r="P200" s="4">
        <v>0</v>
      </c>
      <c r="Q200" s="4">
        <f>[1]加比纳!H37</f>
        <v>2020</v>
      </c>
      <c r="R200" s="4">
        <v>2.5</v>
      </c>
      <c r="S200" s="4">
        <f>[1]加比纳!I37</f>
        <v>115</v>
      </c>
      <c r="T200" s="4">
        <v>0</v>
      </c>
      <c r="U200" s="4">
        <v>0</v>
      </c>
      <c r="V200" s="4">
        <v>0</v>
      </c>
    </row>
    <row r="201" spans="1:22" x14ac:dyDescent="0.15">
      <c r="A201" s="4" t="s">
        <v>2662</v>
      </c>
      <c r="D201" s="4">
        <v>11</v>
      </c>
      <c r="E201" s="4">
        <v>37</v>
      </c>
      <c r="H201" s="29">
        <v>1001</v>
      </c>
      <c r="I201" s="4">
        <f>[1]加比纳!$J38</f>
        <v>6063</v>
      </c>
      <c r="L201" s="30">
        <v>800</v>
      </c>
      <c r="M201" s="4">
        <f>[1]加比纳!E38</f>
        <v>756</v>
      </c>
      <c r="N201" s="4">
        <f>[1]加比纳!F38</f>
        <v>294</v>
      </c>
      <c r="O201" s="4">
        <f>[1]加比纳!G38</f>
        <v>7680</v>
      </c>
      <c r="P201" s="4">
        <v>0</v>
      </c>
      <c r="Q201" s="4">
        <f>[1]加比纳!H38</f>
        <v>2032</v>
      </c>
      <c r="R201" s="4">
        <v>2.5</v>
      </c>
      <c r="S201" s="4">
        <f>[1]加比纳!I38</f>
        <v>118</v>
      </c>
      <c r="T201" s="4">
        <v>0</v>
      </c>
      <c r="U201" s="4">
        <v>0</v>
      </c>
      <c r="V201" s="4">
        <v>0</v>
      </c>
    </row>
    <row r="202" spans="1:22" x14ac:dyDescent="0.15">
      <c r="A202" s="4" t="s">
        <v>2662</v>
      </c>
      <c r="D202" s="4">
        <v>11</v>
      </c>
      <c r="E202" s="4">
        <v>38</v>
      </c>
      <c r="H202" s="29">
        <v>1001</v>
      </c>
      <c r="I202" s="4">
        <f>[1]加比纳!$J39</f>
        <v>6190</v>
      </c>
      <c r="L202" s="30">
        <v>800</v>
      </c>
      <c r="M202" s="4">
        <f>[1]加比纳!E39</f>
        <v>772</v>
      </c>
      <c r="N202" s="4">
        <f>[1]加比纳!F39</f>
        <v>302</v>
      </c>
      <c r="O202" s="4">
        <f>[1]加比纳!G39</f>
        <v>7820</v>
      </c>
      <c r="P202" s="4">
        <v>0</v>
      </c>
      <c r="Q202" s="4">
        <f>[1]加比纳!H39</f>
        <v>2044</v>
      </c>
      <c r="R202" s="4">
        <v>2.5</v>
      </c>
      <c r="S202" s="4">
        <f>[1]加比纳!I39</f>
        <v>121</v>
      </c>
      <c r="T202" s="4">
        <v>0</v>
      </c>
      <c r="U202" s="4">
        <v>0</v>
      </c>
      <c r="V202" s="4">
        <v>0</v>
      </c>
    </row>
    <row r="203" spans="1:22" x14ac:dyDescent="0.15">
      <c r="A203" s="4" t="s">
        <v>2662</v>
      </c>
      <c r="D203" s="4">
        <v>11</v>
      </c>
      <c r="E203" s="4">
        <v>39</v>
      </c>
      <c r="H203" s="29">
        <v>1001</v>
      </c>
      <c r="I203" s="4">
        <f>[1]加比纳!$J40</f>
        <v>6317</v>
      </c>
      <c r="L203" s="30">
        <v>800</v>
      </c>
      <c r="M203" s="4">
        <f>[1]加比纳!E40</f>
        <v>788</v>
      </c>
      <c r="N203" s="4">
        <f>[1]加比纳!F40</f>
        <v>310</v>
      </c>
      <c r="O203" s="4">
        <f>[1]加比纳!G40</f>
        <v>7960</v>
      </c>
      <c r="P203" s="4">
        <v>0</v>
      </c>
      <c r="Q203" s="4">
        <f>[1]加比纳!H40</f>
        <v>2056</v>
      </c>
      <c r="R203" s="4">
        <v>2.5</v>
      </c>
      <c r="S203" s="4">
        <f>[1]加比纳!I40</f>
        <v>124</v>
      </c>
      <c r="T203" s="4">
        <v>0</v>
      </c>
      <c r="U203" s="4">
        <v>0</v>
      </c>
      <c r="V203" s="4">
        <v>0</v>
      </c>
    </row>
    <row r="204" spans="1:22" x14ac:dyDescent="0.15">
      <c r="A204" s="4" t="s">
        <v>2662</v>
      </c>
      <c r="D204" s="4">
        <v>11</v>
      </c>
      <c r="E204" s="4">
        <v>40</v>
      </c>
      <c r="H204" s="29">
        <v>1001</v>
      </c>
      <c r="I204" s="4">
        <f>[1]加比纳!$J41</f>
        <v>6444</v>
      </c>
      <c r="L204" s="30">
        <v>800</v>
      </c>
      <c r="M204" s="4">
        <f>[1]加比纳!E41</f>
        <v>804</v>
      </c>
      <c r="N204" s="4">
        <f>[1]加比纳!F41</f>
        <v>318</v>
      </c>
      <c r="O204" s="4">
        <f>[1]加比纳!G41</f>
        <v>8100</v>
      </c>
      <c r="P204" s="4">
        <v>0</v>
      </c>
      <c r="Q204" s="4">
        <f>[1]加比纳!H41</f>
        <v>2068</v>
      </c>
      <c r="R204" s="4">
        <v>2.5</v>
      </c>
      <c r="S204" s="4">
        <f>[1]加比纳!I41</f>
        <v>127</v>
      </c>
      <c r="T204" s="4">
        <v>0</v>
      </c>
      <c r="U204" s="4">
        <v>0</v>
      </c>
      <c r="V204" s="4">
        <v>0</v>
      </c>
    </row>
    <row r="205" spans="1:22" x14ac:dyDescent="0.15">
      <c r="A205" s="4" t="s">
        <v>2662</v>
      </c>
      <c r="D205" s="4">
        <v>11</v>
      </c>
      <c r="E205" s="4">
        <v>41</v>
      </c>
      <c r="H205" s="29">
        <v>1001</v>
      </c>
      <c r="I205" s="4">
        <f>[1]加比纳!$J42</f>
        <v>6572</v>
      </c>
      <c r="L205" s="30">
        <v>800</v>
      </c>
      <c r="M205" s="4">
        <f>[1]加比纳!E42</f>
        <v>820</v>
      </c>
      <c r="N205" s="4">
        <f>[1]加比纳!F42</f>
        <v>326</v>
      </c>
      <c r="O205" s="4">
        <f>[1]加比纳!G42</f>
        <v>8240</v>
      </c>
      <c r="P205" s="4">
        <v>0</v>
      </c>
      <c r="Q205" s="4">
        <f>[1]加比纳!H42</f>
        <v>2080</v>
      </c>
      <c r="R205" s="4">
        <v>2.5</v>
      </c>
      <c r="S205" s="4">
        <f>[1]加比纳!I42</f>
        <v>130</v>
      </c>
      <c r="T205" s="4">
        <v>0</v>
      </c>
      <c r="U205" s="4">
        <v>0</v>
      </c>
      <c r="V205" s="4">
        <v>0</v>
      </c>
    </row>
    <row r="206" spans="1:22" x14ac:dyDescent="0.15">
      <c r="A206" s="4" t="s">
        <v>2662</v>
      </c>
      <c r="D206" s="4">
        <v>11</v>
      </c>
      <c r="E206" s="4">
        <v>42</v>
      </c>
      <c r="H206" s="29">
        <v>1001</v>
      </c>
      <c r="I206" s="4">
        <f>[1]加比纳!$J43</f>
        <v>6699</v>
      </c>
      <c r="L206" s="30">
        <v>800</v>
      </c>
      <c r="M206" s="4">
        <f>[1]加比纳!E43</f>
        <v>836</v>
      </c>
      <c r="N206" s="4">
        <f>[1]加比纳!F43</f>
        <v>334</v>
      </c>
      <c r="O206" s="4">
        <f>[1]加比纳!G43</f>
        <v>8380</v>
      </c>
      <c r="P206" s="4">
        <v>0</v>
      </c>
      <c r="Q206" s="4">
        <f>[1]加比纳!H43</f>
        <v>2092</v>
      </c>
      <c r="R206" s="4">
        <v>2.5</v>
      </c>
      <c r="S206" s="4">
        <f>[1]加比纳!I43</f>
        <v>133</v>
      </c>
      <c r="T206" s="4">
        <v>0</v>
      </c>
      <c r="U206" s="4">
        <v>0</v>
      </c>
      <c r="V206" s="4">
        <v>0</v>
      </c>
    </row>
    <row r="207" spans="1:22" x14ac:dyDescent="0.15">
      <c r="A207" s="4" t="s">
        <v>2662</v>
      </c>
      <c r="D207" s="4">
        <v>11</v>
      </c>
      <c r="E207" s="4">
        <v>43</v>
      </c>
      <c r="H207" s="29">
        <v>1001</v>
      </c>
      <c r="I207" s="4">
        <f>[1]加比纳!$J44</f>
        <v>6826</v>
      </c>
      <c r="L207" s="30">
        <v>800</v>
      </c>
      <c r="M207" s="4">
        <f>[1]加比纳!E44</f>
        <v>852</v>
      </c>
      <c r="N207" s="4">
        <f>[1]加比纳!F44</f>
        <v>342</v>
      </c>
      <c r="O207" s="4">
        <f>[1]加比纳!G44</f>
        <v>8520</v>
      </c>
      <c r="P207" s="4">
        <v>0</v>
      </c>
      <c r="Q207" s="4">
        <f>[1]加比纳!H44</f>
        <v>2104</v>
      </c>
      <c r="R207" s="4">
        <v>2.5</v>
      </c>
      <c r="S207" s="4">
        <f>[1]加比纳!I44</f>
        <v>136</v>
      </c>
      <c r="T207" s="4">
        <v>0</v>
      </c>
      <c r="U207" s="4">
        <v>0</v>
      </c>
      <c r="V207" s="4">
        <v>0</v>
      </c>
    </row>
    <row r="208" spans="1:22" x14ac:dyDescent="0.15">
      <c r="A208" s="4" t="s">
        <v>2662</v>
      </c>
      <c r="D208" s="4">
        <v>11</v>
      </c>
      <c r="E208" s="4">
        <v>44</v>
      </c>
      <c r="H208" s="29">
        <v>1001</v>
      </c>
      <c r="I208" s="4">
        <f>[1]加比纳!$J45</f>
        <v>6953</v>
      </c>
      <c r="L208" s="30">
        <v>800</v>
      </c>
      <c r="M208" s="4">
        <f>[1]加比纳!E45</f>
        <v>868</v>
      </c>
      <c r="N208" s="4">
        <f>[1]加比纳!F45</f>
        <v>350</v>
      </c>
      <c r="O208" s="4">
        <f>[1]加比纳!G45</f>
        <v>8660</v>
      </c>
      <c r="P208" s="4">
        <v>0</v>
      </c>
      <c r="Q208" s="4">
        <f>[1]加比纳!H45</f>
        <v>2116</v>
      </c>
      <c r="R208" s="4">
        <v>2.5</v>
      </c>
      <c r="S208" s="4">
        <f>[1]加比纳!I45</f>
        <v>139</v>
      </c>
      <c r="T208" s="4">
        <v>0</v>
      </c>
      <c r="U208" s="4">
        <v>0</v>
      </c>
      <c r="V208" s="4">
        <v>0</v>
      </c>
    </row>
    <row r="209" spans="1:22" x14ac:dyDescent="0.15">
      <c r="A209" s="4" t="s">
        <v>2662</v>
      </c>
      <c r="D209" s="4">
        <v>11</v>
      </c>
      <c r="E209" s="4">
        <v>45</v>
      </c>
      <c r="H209" s="29">
        <v>1001</v>
      </c>
      <c r="I209" s="4">
        <f>[1]加比纳!$J46</f>
        <v>7081</v>
      </c>
      <c r="L209" s="30">
        <v>800</v>
      </c>
      <c r="M209" s="4">
        <f>[1]加比纳!E46</f>
        <v>884</v>
      </c>
      <c r="N209" s="4">
        <f>[1]加比纳!F46</f>
        <v>358</v>
      </c>
      <c r="O209" s="4">
        <f>[1]加比纳!G46</f>
        <v>8800</v>
      </c>
      <c r="P209" s="4">
        <v>0</v>
      </c>
      <c r="Q209" s="4">
        <f>[1]加比纳!H46</f>
        <v>2128</v>
      </c>
      <c r="R209" s="4">
        <v>2.5</v>
      </c>
      <c r="S209" s="4">
        <f>[1]加比纳!I46</f>
        <v>142</v>
      </c>
      <c r="T209" s="4">
        <v>0</v>
      </c>
      <c r="U209" s="4">
        <v>0</v>
      </c>
      <c r="V209" s="4">
        <v>0</v>
      </c>
    </row>
    <row r="210" spans="1:22" x14ac:dyDescent="0.15">
      <c r="A210" s="4" t="s">
        <v>2662</v>
      </c>
      <c r="D210" s="4">
        <v>11</v>
      </c>
      <c r="E210" s="4">
        <v>46</v>
      </c>
      <c r="H210" s="29">
        <v>1001</v>
      </c>
      <c r="I210" s="4">
        <f>[1]加比纳!$J47</f>
        <v>7208</v>
      </c>
      <c r="L210" s="30">
        <v>800</v>
      </c>
      <c r="M210" s="4">
        <f>[1]加比纳!E47</f>
        <v>900</v>
      </c>
      <c r="N210" s="4">
        <f>[1]加比纳!F47</f>
        <v>366</v>
      </c>
      <c r="O210" s="4">
        <f>[1]加比纳!G47</f>
        <v>8940</v>
      </c>
      <c r="P210" s="4">
        <v>0</v>
      </c>
      <c r="Q210" s="4">
        <f>[1]加比纳!H47</f>
        <v>2140</v>
      </c>
      <c r="R210" s="4">
        <v>2.5</v>
      </c>
      <c r="S210" s="4">
        <f>[1]加比纳!I47</f>
        <v>145</v>
      </c>
      <c r="T210" s="4">
        <v>0</v>
      </c>
      <c r="U210" s="4">
        <v>0</v>
      </c>
      <c r="V210" s="4">
        <v>0</v>
      </c>
    </row>
    <row r="211" spans="1:22" x14ac:dyDescent="0.15">
      <c r="A211" s="4" t="s">
        <v>2662</v>
      </c>
      <c r="D211" s="4">
        <v>11</v>
      </c>
      <c r="E211" s="4">
        <v>47</v>
      </c>
      <c r="H211" s="29">
        <v>1001</v>
      </c>
      <c r="I211" s="4">
        <f>[1]加比纳!$J48</f>
        <v>7335</v>
      </c>
      <c r="L211" s="30">
        <v>800</v>
      </c>
      <c r="M211" s="4">
        <f>[1]加比纳!E48</f>
        <v>916</v>
      </c>
      <c r="N211" s="4">
        <f>[1]加比纳!F48</f>
        <v>374</v>
      </c>
      <c r="O211" s="4">
        <f>[1]加比纳!G48</f>
        <v>9080</v>
      </c>
      <c r="P211" s="4">
        <v>0</v>
      </c>
      <c r="Q211" s="4">
        <f>[1]加比纳!H48</f>
        <v>2152</v>
      </c>
      <c r="R211" s="4">
        <v>2.5</v>
      </c>
      <c r="S211" s="4">
        <f>[1]加比纳!I48</f>
        <v>148</v>
      </c>
      <c r="T211" s="4">
        <v>0</v>
      </c>
      <c r="U211" s="4">
        <v>0</v>
      </c>
      <c r="V211" s="4">
        <v>0</v>
      </c>
    </row>
    <row r="212" spans="1:22" x14ac:dyDescent="0.15">
      <c r="A212" s="4" t="s">
        <v>2662</v>
      </c>
      <c r="D212" s="4">
        <v>11</v>
      </c>
      <c r="E212" s="4">
        <v>48</v>
      </c>
      <c r="H212" s="29">
        <v>1001</v>
      </c>
      <c r="I212" s="4">
        <f>[1]加比纳!$J49</f>
        <v>7462</v>
      </c>
      <c r="L212" s="30">
        <v>800</v>
      </c>
      <c r="M212" s="4">
        <f>[1]加比纳!E49</f>
        <v>932</v>
      </c>
      <c r="N212" s="4">
        <f>[1]加比纳!F49</f>
        <v>382</v>
      </c>
      <c r="O212" s="4">
        <f>[1]加比纳!G49</f>
        <v>9220</v>
      </c>
      <c r="P212" s="4">
        <v>0</v>
      </c>
      <c r="Q212" s="4">
        <f>[1]加比纳!H49</f>
        <v>2164</v>
      </c>
      <c r="R212" s="4">
        <v>2.5</v>
      </c>
      <c r="S212" s="4">
        <f>[1]加比纳!I49</f>
        <v>151</v>
      </c>
      <c r="T212" s="4">
        <v>0</v>
      </c>
      <c r="U212" s="4">
        <v>0</v>
      </c>
      <c r="V212" s="4">
        <v>0</v>
      </c>
    </row>
    <row r="213" spans="1:22" x14ac:dyDescent="0.15">
      <c r="A213" s="4" t="s">
        <v>2662</v>
      </c>
      <c r="D213" s="4">
        <v>11</v>
      </c>
      <c r="E213" s="4">
        <v>49</v>
      </c>
      <c r="H213" s="29">
        <v>1001</v>
      </c>
      <c r="I213" s="4">
        <f>[1]加比纳!$J50</f>
        <v>7590</v>
      </c>
      <c r="L213" s="30">
        <v>800</v>
      </c>
      <c r="M213" s="4">
        <f>[1]加比纳!E50</f>
        <v>948</v>
      </c>
      <c r="N213" s="4">
        <f>[1]加比纳!F50</f>
        <v>390</v>
      </c>
      <c r="O213" s="4">
        <f>[1]加比纳!G50</f>
        <v>9360</v>
      </c>
      <c r="P213" s="4">
        <v>0</v>
      </c>
      <c r="Q213" s="4">
        <f>[1]加比纳!H50</f>
        <v>2176</v>
      </c>
      <c r="R213" s="4">
        <v>2.5</v>
      </c>
      <c r="S213" s="4">
        <f>[1]加比纳!I50</f>
        <v>154</v>
      </c>
      <c r="T213" s="4">
        <v>0</v>
      </c>
      <c r="U213" s="4">
        <v>0</v>
      </c>
      <c r="V213" s="4">
        <v>0</v>
      </c>
    </row>
    <row r="214" spans="1:22" x14ac:dyDescent="0.15">
      <c r="A214" s="4" t="s">
        <v>2662</v>
      </c>
      <c r="D214" s="4">
        <v>11</v>
      </c>
      <c r="E214" s="4">
        <v>50</v>
      </c>
      <c r="H214" s="29">
        <v>1001</v>
      </c>
      <c r="I214" s="4">
        <f>[1]加比纳!$J51</f>
        <v>7717</v>
      </c>
      <c r="L214" s="30">
        <v>800</v>
      </c>
      <c r="M214" s="4">
        <f>[1]加比纳!E51</f>
        <v>964</v>
      </c>
      <c r="N214" s="4">
        <f>[1]加比纳!F51</f>
        <v>398</v>
      </c>
      <c r="O214" s="4">
        <f>[1]加比纳!G51</f>
        <v>9500</v>
      </c>
      <c r="P214" s="4">
        <v>0</v>
      </c>
      <c r="Q214" s="4">
        <f>[1]加比纳!H51</f>
        <v>2188</v>
      </c>
      <c r="R214" s="4">
        <v>2.5</v>
      </c>
      <c r="S214" s="4">
        <f>[1]加比纳!I51</f>
        <v>157</v>
      </c>
      <c r="T214" s="4">
        <v>0</v>
      </c>
      <c r="U214" s="4">
        <v>0</v>
      </c>
      <c r="V214" s="4">
        <v>0</v>
      </c>
    </row>
    <row r="215" spans="1:22" x14ac:dyDescent="0.15">
      <c r="I215" s="4"/>
    </row>
    <row r="216" spans="1:22" x14ac:dyDescent="0.15">
      <c r="A216" s="4" t="s">
        <v>2662</v>
      </c>
      <c r="C216" s="4" t="s">
        <v>3078</v>
      </c>
      <c r="D216" s="4">
        <f>D164+1</f>
        <v>12</v>
      </c>
      <c r="E216" s="4">
        <v>0</v>
      </c>
      <c r="H216" s="29">
        <v>1000</v>
      </c>
      <c r="I216" s="31">
        <v>499</v>
      </c>
      <c r="M216" s="4">
        <v>0</v>
      </c>
      <c r="N216" s="4">
        <v>0</v>
      </c>
      <c r="O216" s="4">
        <v>0</v>
      </c>
      <c r="P216" s="4">
        <v>0</v>
      </c>
      <c r="Q216" s="4">
        <v>0</v>
      </c>
      <c r="R216" s="4">
        <v>0</v>
      </c>
      <c r="S216" s="4">
        <v>0</v>
      </c>
      <c r="T216" s="4">
        <v>0</v>
      </c>
      <c r="U216" s="4">
        <v>0</v>
      </c>
      <c r="V216" s="4">
        <v>0</v>
      </c>
    </row>
    <row r="217" spans="1:22" x14ac:dyDescent="0.15">
      <c r="A217" s="4" t="s">
        <v>2662</v>
      </c>
      <c r="D217" s="4">
        <f t="shared" ref="D217:D266" si="2">D165+1</f>
        <v>12</v>
      </c>
      <c r="E217" s="4">
        <v>1</v>
      </c>
      <c r="H217" s="29">
        <v>1001</v>
      </c>
      <c r="I217" s="4">
        <f>[1]加比纳!$S2</f>
        <v>2279</v>
      </c>
      <c r="L217" s="30">
        <v>800</v>
      </c>
      <c r="M217" s="4">
        <f>[1]加比纳!N2</f>
        <v>288</v>
      </c>
      <c r="N217" s="4">
        <f>[1]加比纳!O2</f>
        <v>9</v>
      </c>
      <c r="O217" s="4">
        <f>[1]加比纳!P2</f>
        <v>3802</v>
      </c>
      <c r="P217" s="4">
        <v>0</v>
      </c>
      <c r="Q217" s="4">
        <f>[1]加比纳!Q2</f>
        <v>2352</v>
      </c>
      <c r="R217" s="4">
        <v>2.5</v>
      </c>
      <c r="S217" s="4">
        <f>[1]加比纳!R2</f>
        <v>14</v>
      </c>
      <c r="T217" s="4">
        <v>0</v>
      </c>
      <c r="U217" s="4">
        <v>0</v>
      </c>
      <c r="V217" s="4">
        <v>0</v>
      </c>
    </row>
    <row r="218" spans="1:22" x14ac:dyDescent="0.15">
      <c r="A218" s="4" t="s">
        <v>2662</v>
      </c>
      <c r="D218" s="4">
        <f t="shared" si="2"/>
        <v>12</v>
      </c>
      <c r="E218" s="4">
        <v>2</v>
      </c>
      <c r="H218" s="29">
        <v>1001</v>
      </c>
      <c r="I218" s="4">
        <f>[1]加比纳!$S3</f>
        <v>2421</v>
      </c>
      <c r="L218" s="30">
        <v>800</v>
      </c>
      <c r="M218" s="4">
        <f>[1]加比纳!N3</f>
        <v>306</v>
      </c>
      <c r="N218" s="4">
        <f>[1]加比纳!O3</f>
        <v>17</v>
      </c>
      <c r="O218" s="4">
        <f>[1]加比纳!P3</f>
        <v>3962</v>
      </c>
      <c r="P218" s="4">
        <v>0</v>
      </c>
      <c r="Q218" s="4">
        <f>[1]加比纳!Q3</f>
        <v>2364</v>
      </c>
      <c r="R218" s="4">
        <v>2.5</v>
      </c>
      <c r="S218" s="4">
        <f>[1]加比纳!R3</f>
        <v>17</v>
      </c>
      <c r="T218" s="4">
        <v>0</v>
      </c>
      <c r="U218" s="4">
        <v>0</v>
      </c>
      <c r="V218" s="4">
        <v>0</v>
      </c>
    </row>
    <row r="219" spans="1:22" x14ac:dyDescent="0.15">
      <c r="A219" s="4" t="s">
        <v>2662</v>
      </c>
      <c r="D219" s="4">
        <f t="shared" si="2"/>
        <v>12</v>
      </c>
      <c r="E219" s="4">
        <v>3</v>
      </c>
      <c r="H219" s="29">
        <v>1001</v>
      </c>
      <c r="I219" s="4">
        <f>[1]加比纳!$S4</f>
        <v>2562</v>
      </c>
      <c r="L219" s="30">
        <v>800</v>
      </c>
      <c r="M219" s="4">
        <f>[1]加比纳!N4</f>
        <v>324</v>
      </c>
      <c r="N219" s="4">
        <f>[1]加比纳!O4</f>
        <v>25</v>
      </c>
      <c r="O219" s="4">
        <f>[1]加比纳!P4</f>
        <v>4122</v>
      </c>
      <c r="P219" s="4">
        <v>0</v>
      </c>
      <c r="Q219" s="4">
        <f>[1]加比纳!Q4</f>
        <v>2376</v>
      </c>
      <c r="R219" s="4">
        <v>2.5</v>
      </c>
      <c r="S219" s="4">
        <f>[1]加比纳!R4</f>
        <v>20</v>
      </c>
      <c r="T219" s="4">
        <v>0</v>
      </c>
      <c r="U219" s="4">
        <v>0</v>
      </c>
      <c r="V219" s="4">
        <v>0</v>
      </c>
    </row>
    <row r="220" spans="1:22" x14ac:dyDescent="0.15">
      <c r="A220" s="4" t="s">
        <v>2662</v>
      </c>
      <c r="D220" s="4">
        <f t="shared" si="2"/>
        <v>12</v>
      </c>
      <c r="E220" s="4">
        <v>4</v>
      </c>
      <c r="H220" s="29">
        <v>1001</v>
      </c>
      <c r="I220" s="4">
        <f>[1]加比纳!$S5</f>
        <v>2703</v>
      </c>
      <c r="L220" s="30">
        <v>800</v>
      </c>
      <c r="M220" s="4">
        <f>[1]加比纳!N5</f>
        <v>342</v>
      </c>
      <c r="N220" s="4">
        <f>[1]加比纳!O5</f>
        <v>33</v>
      </c>
      <c r="O220" s="4">
        <f>[1]加比纳!P5</f>
        <v>4282</v>
      </c>
      <c r="P220" s="4">
        <v>0</v>
      </c>
      <c r="Q220" s="4">
        <f>[1]加比纳!Q5</f>
        <v>2388</v>
      </c>
      <c r="R220" s="4">
        <v>2.5</v>
      </c>
      <c r="S220" s="4">
        <f>[1]加比纳!R5</f>
        <v>23</v>
      </c>
      <c r="T220" s="4">
        <v>0</v>
      </c>
      <c r="U220" s="4">
        <v>0</v>
      </c>
      <c r="V220" s="4">
        <v>0</v>
      </c>
    </row>
    <row r="221" spans="1:22" x14ac:dyDescent="0.15">
      <c r="A221" s="4" t="s">
        <v>2662</v>
      </c>
      <c r="D221" s="4">
        <f t="shared" si="2"/>
        <v>12</v>
      </c>
      <c r="E221" s="4">
        <v>5</v>
      </c>
      <c r="H221" s="29">
        <v>1001</v>
      </c>
      <c r="I221" s="4">
        <f>[1]加比纳!$S6</f>
        <v>2844</v>
      </c>
      <c r="L221" s="30">
        <v>800</v>
      </c>
      <c r="M221" s="4">
        <f>[1]加比纳!N6</f>
        <v>360</v>
      </c>
      <c r="N221" s="4">
        <f>[1]加比纳!O6</f>
        <v>41</v>
      </c>
      <c r="O221" s="4">
        <f>[1]加比纳!P6</f>
        <v>4442</v>
      </c>
      <c r="P221" s="4">
        <v>0</v>
      </c>
      <c r="Q221" s="4">
        <f>[1]加比纳!Q6</f>
        <v>2400</v>
      </c>
      <c r="R221" s="4">
        <v>2.5</v>
      </c>
      <c r="S221" s="4">
        <f>[1]加比纳!R6</f>
        <v>26</v>
      </c>
      <c r="T221" s="4">
        <v>0</v>
      </c>
      <c r="U221" s="4">
        <v>0</v>
      </c>
      <c r="V221" s="4">
        <v>0</v>
      </c>
    </row>
    <row r="222" spans="1:22" x14ac:dyDescent="0.15">
      <c r="A222" s="4" t="s">
        <v>2662</v>
      </c>
      <c r="D222" s="4">
        <f t="shared" si="2"/>
        <v>12</v>
      </c>
      <c r="E222" s="4">
        <v>6</v>
      </c>
      <c r="H222" s="29">
        <v>1001</v>
      </c>
      <c r="I222" s="4">
        <f>[1]加比纳!$S7</f>
        <v>2986</v>
      </c>
      <c r="L222" s="30">
        <v>800</v>
      </c>
      <c r="M222" s="4">
        <f>[1]加比纳!N7</f>
        <v>378</v>
      </c>
      <c r="N222" s="4">
        <f>[1]加比纳!O7</f>
        <v>49</v>
      </c>
      <c r="O222" s="4">
        <f>[1]加比纳!P7</f>
        <v>4602</v>
      </c>
      <c r="P222" s="4">
        <v>0</v>
      </c>
      <c r="Q222" s="4">
        <f>[1]加比纳!Q7</f>
        <v>2412</v>
      </c>
      <c r="R222" s="4">
        <v>2.5</v>
      </c>
      <c r="S222" s="4">
        <f>[1]加比纳!R7</f>
        <v>29</v>
      </c>
      <c r="T222" s="4">
        <v>0</v>
      </c>
      <c r="U222" s="4">
        <v>0</v>
      </c>
      <c r="V222" s="4">
        <v>0</v>
      </c>
    </row>
    <row r="223" spans="1:22" x14ac:dyDescent="0.15">
      <c r="A223" s="4" t="s">
        <v>2662</v>
      </c>
      <c r="D223" s="4">
        <f t="shared" si="2"/>
        <v>12</v>
      </c>
      <c r="E223" s="4">
        <v>7</v>
      </c>
      <c r="H223" s="29">
        <v>1001</v>
      </c>
      <c r="I223" s="4">
        <f>[1]加比纳!$S8</f>
        <v>3127</v>
      </c>
      <c r="L223" s="30">
        <v>800</v>
      </c>
      <c r="M223" s="4">
        <f>[1]加比纳!N8</f>
        <v>396</v>
      </c>
      <c r="N223" s="4">
        <f>[1]加比纳!O8</f>
        <v>57</v>
      </c>
      <c r="O223" s="4">
        <f>[1]加比纳!P8</f>
        <v>4762</v>
      </c>
      <c r="P223" s="4">
        <v>0</v>
      </c>
      <c r="Q223" s="4">
        <f>[1]加比纳!Q8</f>
        <v>2424</v>
      </c>
      <c r="R223" s="4">
        <v>2.5</v>
      </c>
      <c r="S223" s="4">
        <f>[1]加比纳!R8</f>
        <v>32</v>
      </c>
      <c r="T223" s="4">
        <v>0</v>
      </c>
      <c r="U223" s="4">
        <v>0</v>
      </c>
      <c r="V223" s="4">
        <v>0</v>
      </c>
    </row>
    <row r="224" spans="1:22" x14ac:dyDescent="0.15">
      <c r="A224" s="4" t="s">
        <v>2662</v>
      </c>
      <c r="D224" s="4">
        <f t="shared" si="2"/>
        <v>12</v>
      </c>
      <c r="E224" s="4">
        <v>8</v>
      </c>
      <c r="H224" s="29">
        <v>1001</v>
      </c>
      <c r="I224" s="4">
        <f>[1]加比纳!$S9</f>
        <v>3268</v>
      </c>
      <c r="L224" s="30">
        <v>800</v>
      </c>
      <c r="M224" s="4">
        <f>[1]加比纳!N9</f>
        <v>414</v>
      </c>
      <c r="N224" s="4">
        <f>[1]加比纳!O9</f>
        <v>65</v>
      </c>
      <c r="O224" s="4">
        <f>[1]加比纳!P9</f>
        <v>4922</v>
      </c>
      <c r="P224" s="4">
        <v>0</v>
      </c>
      <c r="Q224" s="4">
        <f>[1]加比纳!Q9</f>
        <v>2436</v>
      </c>
      <c r="R224" s="4">
        <v>2.5</v>
      </c>
      <c r="S224" s="4">
        <f>[1]加比纳!R9</f>
        <v>35</v>
      </c>
      <c r="T224" s="4">
        <v>0</v>
      </c>
      <c r="U224" s="4">
        <v>0</v>
      </c>
      <c r="V224" s="4">
        <v>0</v>
      </c>
    </row>
    <row r="225" spans="1:22" x14ac:dyDescent="0.15">
      <c r="A225" s="4" t="s">
        <v>2662</v>
      </c>
      <c r="D225" s="4">
        <f t="shared" si="2"/>
        <v>12</v>
      </c>
      <c r="E225" s="4">
        <v>9</v>
      </c>
      <c r="H225" s="29">
        <v>1001</v>
      </c>
      <c r="I225" s="4">
        <f>[1]加比纳!$S10</f>
        <v>3409</v>
      </c>
      <c r="L225" s="30">
        <v>800</v>
      </c>
      <c r="M225" s="4">
        <f>[1]加比纳!N10</f>
        <v>432</v>
      </c>
      <c r="N225" s="4">
        <f>[1]加比纳!O10</f>
        <v>73</v>
      </c>
      <c r="O225" s="4">
        <f>[1]加比纳!P10</f>
        <v>5082</v>
      </c>
      <c r="P225" s="4">
        <v>0</v>
      </c>
      <c r="Q225" s="4">
        <f>[1]加比纳!Q10</f>
        <v>2448</v>
      </c>
      <c r="R225" s="4">
        <v>2.5</v>
      </c>
      <c r="S225" s="4">
        <f>[1]加比纳!R10</f>
        <v>38</v>
      </c>
      <c r="T225" s="4">
        <v>0</v>
      </c>
      <c r="U225" s="4">
        <v>0</v>
      </c>
      <c r="V225" s="4">
        <v>0</v>
      </c>
    </row>
    <row r="226" spans="1:22" x14ac:dyDescent="0.15">
      <c r="A226" s="4" t="s">
        <v>2662</v>
      </c>
      <c r="D226" s="4">
        <f t="shared" si="2"/>
        <v>12</v>
      </c>
      <c r="E226" s="4">
        <v>10</v>
      </c>
      <c r="H226" s="29">
        <v>1001</v>
      </c>
      <c r="I226" s="4">
        <f>[1]加比纳!$S11</f>
        <v>3551</v>
      </c>
      <c r="L226" s="30">
        <v>800</v>
      </c>
      <c r="M226" s="4">
        <f>[1]加比纳!N11</f>
        <v>450</v>
      </c>
      <c r="N226" s="4">
        <f>[1]加比纳!O11</f>
        <v>81</v>
      </c>
      <c r="O226" s="4">
        <f>[1]加比纳!P11</f>
        <v>5242</v>
      </c>
      <c r="P226" s="4">
        <v>0</v>
      </c>
      <c r="Q226" s="4">
        <f>[1]加比纳!Q11</f>
        <v>2460</v>
      </c>
      <c r="R226" s="4">
        <v>2.5</v>
      </c>
      <c r="S226" s="4">
        <f>[1]加比纳!R11</f>
        <v>41</v>
      </c>
      <c r="T226" s="4">
        <v>0</v>
      </c>
      <c r="U226" s="4">
        <v>0</v>
      </c>
      <c r="V226" s="4">
        <v>0</v>
      </c>
    </row>
    <row r="227" spans="1:22" x14ac:dyDescent="0.15">
      <c r="A227" s="4" t="s">
        <v>2662</v>
      </c>
      <c r="D227" s="4">
        <f t="shared" si="2"/>
        <v>12</v>
      </c>
      <c r="E227" s="4">
        <v>11</v>
      </c>
      <c r="H227" s="29">
        <v>1001</v>
      </c>
      <c r="I227" s="4">
        <f>[1]加比纳!$S12</f>
        <v>3692</v>
      </c>
      <c r="L227" s="30">
        <v>800</v>
      </c>
      <c r="M227" s="4">
        <f>[1]加比纳!N12</f>
        <v>468</v>
      </c>
      <c r="N227" s="4">
        <f>[1]加比纳!O12</f>
        <v>89</v>
      </c>
      <c r="O227" s="4">
        <f>[1]加比纳!P12</f>
        <v>5402</v>
      </c>
      <c r="P227" s="4">
        <v>0</v>
      </c>
      <c r="Q227" s="4">
        <f>[1]加比纳!Q12</f>
        <v>2472</v>
      </c>
      <c r="R227" s="4">
        <v>2.5</v>
      </c>
      <c r="S227" s="4">
        <f>[1]加比纳!R12</f>
        <v>44</v>
      </c>
      <c r="T227" s="4">
        <v>0</v>
      </c>
      <c r="U227" s="4">
        <v>0</v>
      </c>
      <c r="V227" s="4">
        <v>0</v>
      </c>
    </row>
    <row r="228" spans="1:22" x14ac:dyDescent="0.15">
      <c r="A228" s="4" t="s">
        <v>2662</v>
      </c>
      <c r="D228" s="4">
        <f t="shared" si="2"/>
        <v>12</v>
      </c>
      <c r="E228" s="4">
        <v>12</v>
      </c>
      <c r="H228" s="29">
        <v>1001</v>
      </c>
      <c r="I228" s="4">
        <f>[1]加比纳!$S13</f>
        <v>3833</v>
      </c>
      <c r="L228" s="30">
        <v>800</v>
      </c>
      <c r="M228" s="4">
        <f>[1]加比纳!N13</f>
        <v>486</v>
      </c>
      <c r="N228" s="4">
        <f>[1]加比纳!O13</f>
        <v>97</v>
      </c>
      <c r="O228" s="4">
        <f>[1]加比纳!P13</f>
        <v>5562</v>
      </c>
      <c r="P228" s="4">
        <v>0</v>
      </c>
      <c r="Q228" s="4">
        <f>[1]加比纳!Q13</f>
        <v>2484</v>
      </c>
      <c r="R228" s="4">
        <v>2.5</v>
      </c>
      <c r="S228" s="4">
        <f>[1]加比纳!R13</f>
        <v>47</v>
      </c>
      <c r="T228" s="4">
        <v>0</v>
      </c>
      <c r="U228" s="4">
        <v>0</v>
      </c>
      <c r="V228" s="4">
        <v>0</v>
      </c>
    </row>
    <row r="229" spans="1:22" x14ac:dyDescent="0.15">
      <c r="A229" s="4" t="s">
        <v>2662</v>
      </c>
      <c r="D229" s="4">
        <f t="shared" si="2"/>
        <v>12</v>
      </c>
      <c r="E229" s="4">
        <v>13</v>
      </c>
      <c r="H229" s="29">
        <v>1001</v>
      </c>
      <c r="I229" s="4">
        <f>[1]加比纳!$S14</f>
        <v>3974</v>
      </c>
      <c r="L229" s="30">
        <v>800</v>
      </c>
      <c r="M229" s="4">
        <f>[1]加比纳!N14</f>
        <v>504</v>
      </c>
      <c r="N229" s="4">
        <f>[1]加比纳!O14</f>
        <v>105</v>
      </c>
      <c r="O229" s="4">
        <f>[1]加比纳!P14</f>
        <v>5722</v>
      </c>
      <c r="P229" s="4">
        <v>0</v>
      </c>
      <c r="Q229" s="4">
        <f>[1]加比纳!Q14</f>
        <v>2496</v>
      </c>
      <c r="R229" s="4">
        <v>2.5</v>
      </c>
      <c r="S229" s="4">
        <f>[1]加比纳!R14</f>
        <v>50</v>
      </c>
      <c r="T229" s="4">
        <v>0</v>
      </c>
      <c r="U229" s="4">
        <v>0</v>
      </c>
      <c r="V229" s="4">
        <v>0</v>
      </c>
    </row>
    <row r="230" spans="1:22" x14ac:dyDescent="0.15">
      <c r="A230" s="4" t="s">
        <v>2662</v>
      </c>
      <c r="D230" s="4">
        <f t="shared" si="2"/>
        <v>12</v>
      </c>
      <c r="E230" s="4">
        <v>14</v>
      </c>
      <c r="H230" s="29">
        <v>1001</v>
      </c>
      <c r="I230" s="4">
        <f>[1]加比纳!$S15</f>
        <v>4116</v>
      </c>
      <c r="L230" s="30">
        <v>800</v>
      </c>
      <c r="M230" s="4">
        <f>[1]加比纳!N15</f>
        <v>522</v>
      </c>
      <c r="N230" s="4">
        <f>[1]加比纳!O15</f>
        <v>113</v>
      </c>
      <c r="O230" s="4">
        <f>[1]加比纳!P15</f>
        <v>5882</v>
      </c>
      <c r="P230" s="4">
        <v>0</v>
      </c>
      <c r="Q230" s="4">
        <f>[1]加比纳!Q15</f>
        <v>2508</v>
      </c>
      <c r="R230" s="4">
        <v>2.5</v>
      </c>
      <c r="S230" s="4">
        <f>[1]加比纳!R15</f>
        <v>53</v>
      </c>
      <c r="T230" s="4">
        <v>0</v>
      </c>
      <c r="U230" s="4">
        <v>0</v>
      </c>
      <c r="V230" s="4">
        <v>0</v>
      </c>
    </row>
    <row r="231" spans="1:22" x14ac:dyDescent="0.15">
      <c r="A231" s="4" t="s">
        <v>2662</v>
      </c>
      <c r="D231" s="4">
        <f t="shared" si="2"/>
        <v>12</v>
      </c>
      <c r="E231" s="4">
        <v>15</v>
      </c>
      <c r="H231" s="29">
        <v>1001</v>
      </c>
      <c r="I231" s="4">
        <f>[1]加比纳!$S16</f>
        <v>4257</v>
      </c>
      <c r="L231" s="30">
        <v>800</v>
      </c>
      <c r="M231" s="4">
        <f>[1]加比纳!N16</f>
        <v>540</v>
      </c>
      <c r="N231" s="4">
        <f>[1]加比纳!O16</f>
        <v>121</v>
      </c>
      <c r="O231" s="4">
        <f>[1]加比纳!P16</f>
        <v>6042</v>
      </c>
      <c r="P231" s="4">
        <v>0</v>
      </c>
      <c r="Q231" s="4">
        <f>[1]加比纳!Q16</f>
        <v>2520</v>
      </c>
      <c r="R231" s="4">
        <v>2.5</v>
      </c>
      <c r="S231" s="4">
        <f>[1]加比纳!R16</f>
        <v>56</v>
      </c>
      <c r="T231" s="4">
        <v>0</v>
      </c>
      <c r="U231" s="4">
        <v>0</v>
      </c>
      <c r="V231" s="4">
        <v>0</v>
      </c>
    </row>
    <row r="232" spans="1:22" x14ac:dyDescent="0.15">
      <c r="A232" s="4" t="s">
        <v>2662</v>
      </c>
      <c r="D232" s="4">
        <f t="shared" si="2"/>
        <v>12</v>
      </c>
      <c r="E232" s="4">
        <v>16</v>
      </c>
      <c r="H232" s="29">
        <v>1001</v>
      </c>
      <c r="I232" s="4">
        <f>[1]加比纳!$S17</f>
        <v>4398</v>
      </c>
      <c r="L232" s="30">
        <v>800</v>
      </c>
      <c r="M232" s="4">
        <f>[1]加比纳!N17</f>
        <v>558</v>
      </c>
      <c r="N232" s="4">
        <f>[1]加比纳!O17</f>
        <v>129</v>
      </c>
      <c r="O232" s="4">
        <f>[1]加比纳!P17</f>
        <v>6202</v>
      </c>
      <c r="P232" s="4">
        <v>0</v>
      </c>
      <c r="Q232" s="4">
        <f>[1]加比纳!Q17</f>
        <v>2532</v>
      </c>
      <c r="R232" s="4">
        <v>2.5</v>
      </c>
      <c r="S232" s="4">
        <f>[1]加比纳!R17</f>
        <v>59</v>
      </c>
      <c r="T232" s="4">
        <v>0</v>
      </c>
      <c r="U232" s="4">
        <v>0</v>
      </c>
      <c r="V232" s="4">
        <v>0</v>
      </c>
    </row>
    <row r="233" spans="1:22" x14ac:dyDescent="0.15">
      <c r="A233" s="4" t="s">
        <v>2662</v>
      </c>
      <c r="D233" s="4">
        <f t="shared" si="2"/>
        <v>12</v>
      </c>
      <c r="E233" s="4">
        <v>17</v>
      </c>
      <c r="H233" s="29">
        <v>1001</v>
      </c>
      <c r="I233" s="4">
        <f>[1]加比纳!$S18</f>
        <v>4539</v>
      </c>
      <c r="L233" s="30">
        <v>800</v>
      </c>
      <c r="M233" s="4">
        <f>[1]加比纳!N18</f>
        <v>576</v>
      </c>
      <c r="N233" s="4">
        <f>[1]加比纳!O18</f>
        <v>137</v>
      </c>
      <c r="O233" s="4">
        <f>[1]加比纳!P18</f>
        <v>6362</v>
      </c>
      <c r="P233" s="4">
        <v>0</v>
      </c>
      <c r="Q233" s="4">
        <f>[1]加比纳!Q18</f>
        <v>2544</v>
      </c>
      <c r="R233" s="4">
        <v>2.5</v>
      </c>
      <c r="S233" s="4">
        <f>[1]加比纳!R18</f>
        <v>62</v>
      </c>
      <c r="T233" s="4">
        <v>0</v>
      </c>
      <c r="U233" s="4">
        <v>0</v>
      </c>
      <c r="V233" s="4">
        <v>0</v>
      </c>
    </row>
    <row r="234" spans="1:22" x14ac:dyDescent="0.15">
      <c r="A234" s="4" t="s">
        <v>2662</v>
      </c>
      <c r="D234" s="4">
        <f t="shared" si="2"/>
        <v>12</v>
      </c>
      <c r="E234" s="4">
        <v>18</v>
      </c>
      <c r="H234" s="29">
        <v>1001</v>
      </c>
      <c r="I234" s="4">
        <f>[1]加比纳!$S19</f>
        <v>4681</v>
      </c>
      <c r="L234" s="30">
        <v>800</v>
      </c>
      <c r="M234" s="4">
        <f>[1]加比纳!N19</f>
        <v>594</v>
      </c>
      <c r="N234" s="4">
        <f>[1]加比纳!O19</f>
        <v>145</v>
      </c>
      <c r="O234" s="4">
        <f>[1]加比纳!P19</f>
        <v>6522</v>
      </c>
      <c r="P234" s="4">
        <v>0</v>
      </c>
      <c r="Q234" s="4">
        <f>[1]加比纳!Q19</f>
        <v>2556</v>
      </c>
      <c r="R234" s="4">
        <v>2.5</v>
      </c>
      <c r="S234" s="4">
        <f>[1]加比纳!R19</f>
        <v>65</v>
      </c>
      <c r="T234" s="4">
        <v>0</v>
      </c>
      <c r="U234" s="4">
        <v>0</v>
      </c>
      <c r="V234" s="4">
        <v>0</v>
      </c>
    </row>
    <row r="235" spans="1:22" x14ac:dyDescent="0.15">
      <c r="A235" s="4" t="s">
        <v>2662</v>
      </c>
      <c r="D235" s="4">
        <f t="shared" si="2"/>
        <v>12</v>
      </c>
      <c r="E235" s="4">
        <v>19</v>
      </c>
      <c r="H235" s="29">
        <v>1001</v>
      </c>
      <c r="I235" s="4">
        <f>[1]加比纳!$S20</f>
        <v>4822</v>
      </c>
      <c r="L235" s="30">
        <v>800</v>
      </c>
      <c r="M235" s="4">
        <f>[1]加比纳!N20</f>
        <v>612</v>
      </c>
      <c r="N235" s="4">
        <f>[1]加比纳!O20</f>
        <v>153</v>
      </c>
      <c r="O235" s="4">
        <f>[1]加比纳!P20</f>
        <v>6682</v>
      </c>
      <c r="P235" s="4">
        <v>0</v>
      </c>
      <c r="Q235" s="4">
        <f>[1]加比纳!Q20</f>
        <v>2568</v>
      </c>
      <c r="R235" s="4">
        <v>2.5</v>
      </c>
      <c r="S235" s="4">
        <f>[1]加比纳!R20</f>
        <v>68</v>
      </c>
      <c r="T235" s="4">
        <v>0</v>
      </c>
      <c r="U235" s="4">
        <v>0</v>
      </c>
      <c r="V235" s="4">
        <v>0</v>
      </c>
    </row>
    <row r="236" spans="1:22" x14ac:dyDescent="0.15">
      <c r="A236" s="4" t="s">
        <v>2662</v>
      </c>
      <c r="D236" s="4">
        <f t="shared" si="2"/>
        <v>12</v>
      </c>
      <c r="E236" s="4">
        <v>20</v>
      </c>
      <c r="H236" s="29">
        <v>1001</v>
      </c>
      <c r="I236" s="4">
        <f>[1]加比纳!$S21</f>
        <v>4963</v>
      </c>
      <c r="L236" s="30">
        <v>800</v>
      </c>
      <c r="M236" s="4">
        <f>[1]加比纳!N21</f>
        <v>630</v>
      </c>
      <c r="N236" s="4">
        <f>[1]加比纳!O21</f>
        <v>161</v>
      </c>
      <c r="O236" s="4">
        <f>[1]加比纳!P21</f>
        <v>6842</v>
      </c>
      <c r="P236" s="4">
        <v>0</v>
      </c>
      <c r="Q236" s="4">
        <f>[1]加比纳!Q21</f>
        <v>2580</v>
      </c>
      <c r="R236" s="4">
        <v>2.5</v>
      </c>
      <c r="S236" s="4">
        <f>[1]加比纳!R21</f>
        <v>71</v>
      </c>
      <c r="T236" s="4">
        <v>0</v>
      </c>
      <c r="U236" s="4">
        <v>0</v>
      </c>
      <c r="V236" s="4">
        <v>0</v>
      </c>
    </row>
    <row r="237" spans="1:22" x14ac:dyDescent="0.15">
      <c r="A237" s="4" t="s">
        <v>2662</v>
      </c>
      <c r="D237" s="4">
        <f t="shared" si="2"/>
        <v>12</v>
      </c>
      <c r="E237" s="4">
        <v>21</v>
      </c>
      <c r="H237" s="29">
        <v>1001</v>
      </c>
      <c r="I237" s="4">
        <f>[1]加比纳!$S22</f>
        <v>5104</v>
      </c>
      <c r="L237" s="30">
        <v>800</v>
      </c>
      <c r="M237" s="4">
        <f>[1]加比纳!N22</f>
        <v>648</v>
      </c>
      <c r="N237" s="4">
        <f>[1]加比纳!O22</f>
        <v>169</v>
      </c>
      <c r="O237" s="4">
        <f>[1]加比纳!P22</f>
        <v>7002</v>
      </c>
      <c r="P237" s="4">
        <v>0</v>
      </c>
      <c r="Q237" s="4">
        <f>[1]加比纳!Q22</f>
        <v>2592</v>
      </c>
      <c r="R237" s="4">
        <v>2.5</v>
      </c>
      <c r="S237" s="4">
        <f>[1]加比纳!R22</f>
        <v>74</v>
      </c>
      <c r="T237" s="4">
        <v>0</v>
      </c>
      <c r="U237" s="4">
        <v>0</v>
      </c>
      <c r="V237" s="4">
        <v>0</v>
      </c>
    </row>
    <row r="238" spans="1:22" x14ac:dyDescent="0.15">
      <c r="A238" s="4" t="s">
        <v>2662</v>
      </c>
      <c r="D238" s="4">
        <f t="shared" si="2"/>
        <v>12</v>
      </c>
      <c r="E238" s="4">
        <v>22</v>
      </c>
      <c r="H238" s="29">
        <v>1001</v>
      </c>
      <c r="I238" s="4">
        <f>[1]加比纳!$S23</f>
        <v>5245</v>
      </c>
      <c r="L238" s="30">
        <v>800</v>
      </c>
      <c r="M238" s="4">
        <f>[1]加比纳!N23</f>
        <v>666</v>
      </c>
      <c r="N238" s="4">
        <f>[1]加比纳!O23</f>
        <v>177</v>
      </c>
      <c r="O238" s="4">
        <f>[1]加比纳!P23</f>
        <v>7162</v>
      </c>
      <c r="P238" s="4">
        <v>0</v>
      </c>
      <c r="Q238" s="4">
        <f>[1]加比纳!Q23</f>
        <v>2604</v>
      </c>
      <c r="R238" s="4">
        <v>2.5</v>
      </c>
      <c r="S238" s="4">
        <f>[1]加比纳!R23</f>
        <v>77</v>
      </c>
      <c r="T238" s="4">
        <v>0</v>
      </c>
      <c r="U238" s="4">
        <v>0</v>
      </c>
      <c r="V238" s="4">
        <v>0</v>
      </c>
    </row>
    <row r="239" spans="1:22" x14ac:dyDescent="0.15">
      <c r="A239" s="4" t="s">
        <v>2662</v>
      </c>
      <c r="D239" s="4">
        <f t="shared" si="2"/>
        <v>12</v>
      </c>
      <c r="E239" s="4">
        <v>23</v>
      </c>
      <c r="H239" s="29">
        <v>1001</v>
      </c>
      <c r="I239" s="4">
        <f>[1]加比纳!$S24</f>
        <v>5387</v>
      </c>
      <c r="L239" s="30">
        <v>800</v>
      </c>
      <c r="M239" s="4">
        <f>[1]加比纳!N24</f>
        <v>684</v>
      </c>
      <c r="N239" s="4">
        <f>[1]加比纳!O24</f>
        <v>185</v>
      </c>
      <c r="O239" s="4">
        <f>[1]加比纳!P24</f>
        <v>7322</v>
      </c>
      <c r="P239" s="4">
        <v>0</v>
      </c>
      <c r="Q239" s="4">
        <f>[1]加比纳!Q24</f>
        <v>2616</v>
      </c>
      <c r="R239" s="4">
        <v>2.5</v>
      </c>
      <c r="S239" s="4">
        <f>[1]加比纳!R24</f>
        <v>80</v>
      </c>
      <c r="T239" s="4">
        <v>0</v>
      </c>
      <c r="U239" s="4">
        <v>0</v>
      </c>
      <c r="V239" s="4">
        <v>0</v>
      </c>
    </row>
    <row r="240" spans="1:22" x14ac:dyDescent="0.15">
      <c r="A240" s="4" t="s">
        <v>2662</v>
      </c>
      <c r="D240" s="4">
        <f t="shared" si="2"/>
        <v>12</v>
      </c>
      <c r="E240" s="4">
        <v>24</v>
      </c>
      <c r="H240" s="29">
        <v>1001</v>
      </c>
      <c r="I240" s="4">
        <f>[1]加比纳!$S25</f>
        <v>5528</v>
      </c>
      <c r="L240" s="30">
        <v>800</v>
      </c>
      <c r="M240" s="4">
        <f>[1]加比纳!N25</f>
        <v>702</v>
      </c>
      <c r="N240" s="4">
        <f>[1]加比纳!O25</f>
        <v>193</v>
      </c>
      <c r="O240" s="4">
        <f>[1]加比纳!P25</f>
        <v>7482</v>
      </c>
      <c r="P240" s="4">
        <v>0</v>
      </c>
      <c r="Q240" s="4">
        <f>[1]加比纳!Q25</f>
        <v>2628</v>
      </c>
      <c r="R240" s="4">
        <v>2.5</v>
      </c>
      <c r="S240" s="4">
        <f>[1]加比纳!R25</f>
        <v>83</v>
      </c>
      <c r="T240" s="4">
        <v>0</v>
      </c>
      <c r="U240" s="4">
        <v>0</v>
      </c>
      <c r="V240" s="4">
        <v>0</v>
      </c>
    </row>
    <row r="241" spans="1:22" x14ac:dyDescent="0.15">
      <c r="A241" s="4" t="s">
        <v>2662</v>
      </c>
      <c r="D241" s="4">
        <f t="shared" si="2"/>
        <v>12</v>
      </c>
      <c r="E241" s="4">
        <v>25</v>
      </c>
      <c r="H241" s="29">
        <v>1001</v>
      </c>
      <c r="I241" s="4">
        <f>[1]加比纳!$S26</f>
        <v>5669</v>
      </c>
      <c r="L241" s="30">
        <v>800</v>
      </c>
      <c r="M241" s="4">
        <f>[1]加比纳!N26</f>
        <v>720</v>
      </c>
      <c r="N241" s="4">
        <f>[1]加比纳!O26</f>
        <v>201</v>
      </c>
      <c r="O241" s="4">
        <f>[1]加比纳!P26</f>
        <v>7642</v>
      </c>
      <c r="P241" s="4">
        <v>0</v>
      </c>
      <c r="Q241" s="4">
        <f>[1]加比纳!Q26</f>
        <v>2640</v>
      </c>
      <c r="R241" s="4">
        <v>2.5</v>
      </c>
      <c r="S241" s="4">
        <f>[1]加比纳!R26</f>
        <v>86</v>
      </c>
      <c r="T241" s="4">
        <v>0</v>
      </c>
      <c r="U241" s="4">
        <v>0</v>
      </c>
      <c r="V241" s="4">
        <v>0</v>
      </c>
    </row>
    <row r="242" spans="1:22" x14ac:dyDescent="0.15">
      <c r="A242" s="4" t="s">
        <v>2662</v>
      </c>
      <c r="D242" s="4">
        <f t="shared" si="2"/>
        <v>12</v>
      </c>
      <c r="E242" s="4">
        <v>26</v>
      </c>
      <c r="H242" s="29">
        <v>1001</v>
      </c>
      <c r="I242" s="4">
        <f>[1]加比纳!$S27</f>
        <v>5810</v>
      </c>
      <c r="L242" s="30">
        <v>800</v>
      </c>
      <c r="M242" s="4">
        <f>[1]加比纳!N27</f>
        <v>738</v>
      </c>
      <c r="N242" s="4">
        <f>[1]加比纳!O27</f>
        <v>209</v>
      </c>
      <c r="O242" s="4">
        <f>[1]加比纳!P27</f>
        <v>7802</v>
      </c>
      <c r="P242" s="4">
        <v>0</v>
      </c>
      <c r="Q242" s="4">
        <f>[1]加比纳!Q27</f>
        <v>2652</v>
      </c>
      <c r="R242" s="4">
        <v>2.5</v>
      </c>
      <c r="S242" s="4">
        <f>[1]加比纳!R27</f>
        <v>89</v>
      </c>
      <c r="T242" s="4">
        <v>0</v>
      </c>
      <c r="U242" s="4">
        <v>0</v>
      </c>
      <c r="V242" s="4">
        <v>0</v>
      </c>
    </row>
    <row r="243" spans="1:22" x14ac:dyDescent="0.15">
      <c r="A243" s="4" t="s">
        <v>2662</v>
      </c>
      <c r="D243" s="4">
        <f t="shared" si="2"/>
        <v>12</v>
      </c>
      <c r="E243" s="4">
        <v>27</v>
      </c>
      <c r="H243" s="29">
        <v>1001</v>
      </c>
      <c r="I243" s="4">
        <f>[1]加比纳!$S28</f>
        <v>5952</v>
      </c>
      <c r="L243" s="30">
        <v>800</v>
      </c>
      <c r="M243" s="4">
        <f>[1]加比纳!N28</f>
        <v>756</v>
      </c>
      <c r="N243" s="4">
        <f>[1]加比纳!O28</f>
        <v>217</v>
      </c>
      <c r="O243" s="4">
        <f>[1]加比纳!P28</f>
        <v>7962</v>
      </c>
      <c r="P243" s="4">
        <v>0</v>
      </c>
      <c r="Q243" s="4">
        <f>[1]加比纳!Q28</f>
        <v>2664</v>
      </c>
      <c r="R243" s="4">
        <v>2.5</v>
      </c>
      <c r="S243" s="4">
        <f>[1]加比纳!R28</f>
        <v>92</v>
      </c>
      <c r="T243" s="4">
        <v>0</v>
      </c>
      <c r="U243" s="4">
        <v>0</v>
      </c>
      <c r="V243" s="4">
        <v>0</v>
      </c>
    </row>
    <row r="244" spans="1:22" x14ac:dyDescent="0.15">
      <c r="A244" s="4" t="s">
        <v>2662</v>
      </c>
      <c r="D244" s="4">
        <f t="shared" si="2"/>
        <v>12</v>
      </c>
      <c r="E244" s="4">
        <v>28</v>
      </c>
      <c r="H244" s="29">
        <v>1001</v>
      </c>
      <c r="I244" s="4">
        <f>[1]加比纳!$S29</f>
        <v>6093</v>
      </c>
      <c r="L244" s="30">
        <v>800</v>
      </c>
      <c r="M244" s="4">
        <f>[1]加比纳!N29</f>
        <v>774</v>
      </c>
      <c r="N244" s="4">
        <f>[1]加比纳!O29</f>
        <v>225</v>
      </c>
      <c r="O244" s="4">
        <f>[1]加比纳!P29</f>
        <v>8122</v>
      </c>
      <c r="P244" s="4">
        <v>0</v>
      </c>
      <c r="Q244" s="4">
        <f>[1]加比纳!Q29</f>
        <v>2676</v>
      </c>
      <c r="R244" s="4">
        <v>2.5</v>
      </c>
      <c r="S244" s="4">
        <f>[1]加比纳!R29</f>
        <v>95</v>
      </c>
      <c r="T244" s="4">
        <v>0</v>
      </c>
      <c r="U244" s="4">
        <v>0</v>
      </c>
      <c r="V244" s="4">
        <v>0</v>
      </c>
    </row>
    <row r="245" spans="1:22" x14ac:dyDescent="0.15">
      <c r="A245" s="4" t="s">
        <v>2662</v>
      </c>
      <c r="D245" s="4">
        <f t="shared" si="2"/>
        <v>12</v>
      </c>
      <c r="E245" s="4">
        <v>29</v>
      </c>
      <c r="H245" s="29">
        <v>1001</v>
      </c>
      <c r="I245" s="4">
        <f>[1]加比纳!$S30</f>
        <v>6234</v>
      </c>
      <c r="L245" s="30">
        <v>800</v>
      </c>
      <c r="M245" s="4">
        <f>[1]加比纳!N30</f>
        <v>792</v>
      </c>
      <c r="N245" s="4">
        <f>[1]加比纳!O30</f>
        <v>233</v>
      </c>
      <c r="O245" s="4">
        <f>[1]加比纳!P30</f>
        <v>8282</v>
      </c>
      <c r="P245" s="4">
        <v>0</v>
      </c>
      <c r="Q245" s="4">
        <f>[1]加比纳!Q30</f>
        <v>2688</v>
      </c>
      <c r="R245" s="4">
        <v>2.5</v>
      </c>
      <c r="S245" s="4">
        <f>[1]加比纳!R30</f>
        <v>98</v>
      </c>
      <c r="T245" s="4">
        <v>0</v>
      </c>
      <c r="U245" s="4">
        <v>0</v>
      </c>
      <c r="V245" s="4">
        <v>0</v>
      </c>
    </row>
    <row r="246" spans="1:22" x14ac:dyDescent="0.15">
      <c r="A246" s="4" t="s">
        <v>2662</v>
      </c>
      <c r="D246" s="4">
        <f t="shared" si="2"/>
        <v>12</v>
      </c>
      <c r="E246" s="4">
        <v>30</v>
      </c>
      <c r="H246" s="29">
        <v>1001</v>
      </c>
      <c r="I246" s="4">
        <f>[1]加比纳!$S31</f>
        <v>6375</v>
      </c>
      <c r="L246" s="30">
        <v>800</v>
      </c>
      <c r="M246" s="4">
        <f>[1]加比纳!N31</f>
        <v>810</v>
      </c>
      <c r="N246" s="4">
        <f>[1]加比纳!O31</f>
        <v>241</v>
      </c>
      <c r="O246" s="4">
        <f>[1]加比纳!P31</f>
        <v>8442</v>
      </c>
      <c r="P246" s="4">
        <v>0</v>
      </c>
      <c r="Q246" s="4">
        <f>[1]加比纳!Q31</f>
        <v>2700</v>
      </c>
      <c r="R246" s="4">
        <v>2.5</v>
      </c>
      <c r="S246" s="4">
        <f>[1]加比纳!R31</f>
        <v>101</v>
      </c>
      <c r="T246" s="4">
        <v>0</v>
      </c>
      <c r="U246" s="4">
        <v>0</v>
      </c>
      <c r="V246" s="4">
        <v>0</v>
      </c>
    </row>
    <row r="247" spans="1:22" x14ac:dyDescent="0.15">
      <c r="A247" s="4" t="s">
        <v>2662</v>
      </c>
      <c r="D247" s="4">
        <f t="shared" si="2"/>
        <v>12</v>
      </c>
      <c r="E247" s="4">
        <v>31</v>
      </c>
      <c r="H247" s="29">
        <v>1001</v>
      </c>
      <c r="I247" s="4">
        <f>[1]加比纳!$S32</f>
        <v>6517</v>
      </c>
      <c r="L247" s="30">
        <v>800</v>
      </c>
      <c r="M247" s="4">
        <f>[1]加比纳!N32</f>
        <v>828</v>
      </c>
      <c r="N247" s="4">
        <f>[1]加比纳!O32</f>
        <v>249</v>
      </c>
      <c r="O247" s="4">
        <f>[1]加比纳!P32</f>
        <v>8602</v>
      </c>
      <c r="P247" s="4">
        <v>0</v>
      </c>
      <c r="Q247" s="4">
        <f>[1]加比纳!Q32</f>
        <v>2712</v>
      </c>
      <c r="R247" s="4">
        <v>2.5</v>
      </c>
      <c r="S247" s="4">
        <f>[1]加比纳!R32</f>
        <v>104</v>
      </c>
      <c r="T247" s="4">
        <v>0</v>
      </c>
      <c r="U247" s="4">
        <v>0</v>
      </c>
      <c r="V247" s="4">
        <v>0</v>
      </c>
    </row>
    <row r="248" spans="1:22" x14ac:dyDescent="0.15">
      <c r="A248" s="4" t="s">
        <v>2662</v>
      </c>
      <c r="D248" s="4">
        <f t="shared" si="2"/>
        <v>12</v>
      </c>
      <c r="E248" s="4">
        <v>32</v>
      </c>
      <c r="H248" s="29">
        <v>1001</v>
      </c>
      <c r="I248" s="4">
        <f>[1]加比纳!$S33</f>
        <v>6658</v>
      </c>
      <c r="L248" s="30">
        <v>800</v>
      </c>
      <c r="M248" s="4">
        <f>[1]加比纳!N33</f>
        <v>846</v>
      </c>
      <c r="N248" s="4">
        <f>[1]加比纳!O33</f>
        <v>257</v>
      </c>
      <c r="O248" s="4">
        <f>[1]加比纳!P33</f>
        <v>8762</v>
      </c>
      <c r="P248" s="4">
        <v>0</v>
      </c>
      <c r="Q248" s="4">
        <f>[1]加比纳!Q33</f>
        <v>2724</v>
      </c>
      <c r="R248" s="4">
        <v>2.5</v>
      </c>
      <c r="S248" s="4">
        <f>[1]加比纳!R33</f>
        <v>107</v>
      </c>
      <c r="T248" s="4">
        <v>0</v>
      </c>
      <c r="U248" s="4">
        <v>0</v>
      </c>
      <c r="V248" s="4">
        <v>0</v>
      </c>
    </row>
    <row r="249" spans="1:22" x14ac:dyDescent="0.15">
      <c r="A249" s="4" t="s">
        <v>2662</v>
      </c>
      <c r="D249" s="4">
        <f t="shared" si="2"/>
        <v>12</v>
      </c>
      <c r="E249" s="4">
        <v>33</v>
      </c>
      <c r="H249" s="29">
        <v>1001</v>
      </c>
      <c r="I249" s="4">
        <f>[1]加比纳!$S34</f>
        <v>6799</v>
      </c>
      <c r="L249" s="30">
        <v>800</v>
      </c>
      <c r="M249" s="4">
        <f>[1]加比纳!N34</f>
        <v>864</v>
      </c>
      <c r="N249" s="4">
        <f>[1]加比纳!O34</f>
        <v>265</v>
      </c>
      <c r="O249" s="4">
        <f>[1]加比纳!P34</f>
        <v>8922</v>
      </c>
      <c r="P249" s="4">
        <v>0</v>
      </c>
      <c r="Q249" s="4">
        <f>[1]加比纳!Q34</f>
        <v>2736</v>
      </c>
      <c r="R249" s="4">
        <v>2.5</v>
      </c>
      <c r="S249" s="4">
        <f>[1]加比纳!R34</f>
        <v>110</v>
      </c>
      <c r="T249" s="4">
        <v>0</v>
      </c>
      <c r="U249" s="4">
        <v>0</v>
      </c>
      <c r="V249" s="4">
        <v>0</v>
      </c>
    </row>
    <row r="250" spans="1:22" x14ac:dyDescent="0.15">
      <c r="A250" s="4" t="s">
        <v>2662</v>
      </c>
      <c r="D250" s="4">
        <f t="shared" si="2"/>
        <v>12</v>
      </c>
      <c r="E250" s="4">
        <v>34</v>
      </c>
      <c r="H250" s="29">
        <v>1001</v>
      </c>
      <c r="I250" s="4">
        <f>[1]加比纳!$S35</f>
        <v>6940</v>
      </c>
      <c r="L250" s="30">
        <v>800</v>
      </c>
      <c r="M250" s="4">
        <f>[1]加比纳!N35</f>
        <v>882</v>
      </c>
      <c r="N250" s="4">
        <f>[1]加比纳!O35</f>
        <v>273</v>
      </c>
      <c r="O250" s="4">
        <f>[1]加比纳!P35</f>
        <v>9082</v>
      </c>
      <c r="P250" s="4">
        <v>0</v>
      </c>
      <c r="Q250" s="4">
        <f>[1]加比纳!Q35</f>
        <v>2748</v>
      </c>
      <c r="R250" s="4">
        <v>2.5</v>
      </c>
      <c r="S250" s="4">
        <f>[1]加比纳!R35</f>
        <v>113</v>
      </c>
      <c r="T250" s="4">
        <v>0</v>
      </c>
      <c r="U250" s="4">
        <v>0</v>
      </c>
      <c r="V250" s="4">
        <v>0</v>
      </c>
    </row>
    <row r="251" spans="1:22" x14ac:dyDescent="0.15">
      <c r="A251" s="4" t="s">
        <v>2662</v>
      </c>
      <c r="D251" s="4">
        <f t="shared" si="2"/>
        <v>12</v>
      </c>
      <c r="E251" s="4">
        <v>35</v>
      </c>
      <c r="H251" s="29">
        <v>1001</v>
      </c>
      <c r="I251" s="4">
        <f>[1]加比纳!$S36</f>
        <v>7082</v>
      </c>
      <c r="L251" s="30">
        <v>800</v>
      </c>
      <c r="M251" s="4">
        <f>[1]加比纳!N36</f>
        <v>900</v>
      </c>
      <c r="N251" s="4">
        <f>[1]加比纳!O36</f>
        <v>281</v>
      </c>
      <c r="O251" s="4">
        <f>[1]加比纳!P36</f>
        <v>9242</v>
      </c>
      <c r="P251" s="4">
        <v>0</v>
      </c>
      <c r="Q251" s="4">
        <f>[1]加比纳!Q36</f>
        <v>2760</v>
      </c>
      <c r="R251" s="4">
        <v>2.5</v>
      </c>
      <c r="S251" s="4">
        <f>[1]加比纳!R36</f>
        <v>116</v>
      </c>
      <c r="T251" s="4">
        <v>0</v>
      </c>
      <c r="U251" s="4">
        <v>0</v>
      </c>
      <c r="V251" s="4">
        <v>0</v>
      </c>
    </row>
    <row r="252" spans="1:22" x14ac:dyDescent="0.15">
      <c r="A252" s="4" t="s">
        <v>2662</v>
      </c>
      <c r="D252" s="4">
        <f t="shared" si="2"/>
        <v>12</v>
      </c>
      <c r="E252" s="4">
        <v>36</v>
      </c>
      <c r="H252" s="29">
        <v>1001</v>
      </c>
      <c r="I252" s="4">
        <f>[1]加比纳!$S37</f>
        <v>7223</v>
      </c>
      <c r="L252" s="30">
        <v>800</v>
      </c>
      <c r="M252" s="4">
        <f>[1]加比纳!N37</f>
        <v>918</v>
      </c>
      <c r="N252" s="4">
        <f>[1]加比纳!O37</f>
        <v>289</v>
      </c>
      <c r="O252" s="4">
        <f>[1]加比纳!P37</f>
        <v>9402</v>
      </c>
      <c r="P252" s="4">
        <v>0</v>
      </c>
      <c r="Q252" s="4">
        <f>[1]加比纳!Q37</f>
        <v>2772</v>
      </c>
      <c r="R252" s="4">
        <v>2.5</v>
      </c>
      <c r="S252" s="4">
        <f>[1]加比纳!R37</f>
        <v>119</v>
      </c>
      <c r="T252" s="4">
        <v>0</v>
      </c>
      <c r="U252" s="4">
        <v>0</v>
      </c>
      <c r="V252" s="4">
        <v>0</v>
      </c>
    </row>
    <row r="253" spans="1:22" x14ac:dyDescent="0.15">
      <c r="A253" s="4" t="s">
        <v>2662</v>
      </c>
      <c r="D253" s="4">
        <f t="shared" si="2"/>
        <v>12</v>
      </c>
      <c r="E253" s="4">
        <v>37</v>
      </c>
      <c r="H253" s="29">
        <v>1001</v>
      </c>
      <c r="I253" s="4">
        <f>[1]加比纳!$S38</f>
        <v>7364</v>
      </c>
      <c r="L253" s="30">
        <v>800</v>
      </c>
      <c r="M253" s="4">
        <f>[1]加比纳!N38</f>
        <v>936</v>
      </c>
      <c r="N253" s="4">
        <f>[1]加比纳!O38</f>
        <v>297</v>
      </c>
      <c r="O253" s="4">
        <f>[1]加比纳!P38</f>
        <v>9562</v>
      </c>
      <c r="P253" s="4">
        <v>0</v>
      </c>
      <c r="Q253" s="4">
        <f>[1]加比纳!Q38</f>
        <v>2784</v>
      </c>
      <c r="R253" s="4">
        <v>2.5</v>
      </c>
      <c r="S253" s="4">
        <f>[1]加比纳!R38</f>
        <v>122</v>
      </c>
      <c r="T253" s="4">
        <v>0</v>
      </c>
      <c r="U253" s="4">
        <v>0</v>
      </c>
      <c r="V253" s="4">
        <v>0</v>
      </c>
    </row>
    <row r="254" spans="1:22" x14ac:dyDescent="0.15">
      <c r="A254" s="4" t="s">
        <v>2662</v>
      </c>
      <c r="D254" s="4">
        <f t="shared" si="2"/>
        <v>12</v>
      </c>
      <c r="E254" s="4">
        <v>38</v>
      </c>
      <c r="H254" s="29">
        <v>1001</v>
      </c>
      <c r="I254" s="4">
        <f>[1]加比纳!$S39</f>
        <v>7505</v>
      </c>
      <c r="L254" s="30">
        <v>800</v>
      </c>
      <c r="M254" s="4">
        <f>[1]加比纳!N39</f>
        <v>954</v>
      </c>
      <c r="N254" s="4">
        <f>[1]加比纳!O39</f>
        <v>305</v>
      </c>
      <c r="O254" s="4">
        <f>[1]加比纳!P39</f>
        <v>9722</v>
      </c>
      <c r="P254" s="4">
        <v>0</v>
      </c>
      <c r="Q254" s="4">
        <f>[1]加比纳!Q39</f>
        <v>2796</v>
      </c>
      <c r="R254" s="4">
        <v>2.5</v>
      </c>
      <c r="S254" s="4">
        <f>[1]加比纳!R39</f>
        <v>125</v>
      </c>
      <c r="T254" s="4">
        <v>0</v>
      </c>
      <c r="U254" s="4">
        <v>0</v>
      </c>
      <c r="V254" s="4">
        <v>0</v>
      </c>
    </row>
    <row r="255" spans="1:22" x14ac:dyDescent="0.15">
      <c r="A255" s="4" t="s">
        <v>2662</v>
      </c>
      <c r="D255" s="4">
        <f t="shared" si="2"/>
        <v>12</v>
      </c>
      <c r="E255" s="4">
        <v>39</v>
      </c>
      <c r="H255" s="29">
        <v>1001</v>
      </c>
      <c r="I255" s="4">
        <f>[1]加比纳!$S40</f>
        <v>7647</v>
      </c>
      <c r="L255" s="30">
        <v>800</v>
      </c>
      <c r="M255" s="4">
        <f>[1]加比纳!N40</f>
        <v>972</v>
      </c>
      <c r="N255" s="4">
        <f>[1]加比纳!O40</f>
        <v>313</v>
      </c>
      <c r="O255" s="4">
        <f>[1]加比纳!P40</f>
        <v>9882</v>
      </c>
      <c r="P255" s="4">
        <v>0</v>
      </c>
      <c r="Q255" s="4">
        <f>[1]加比纳!Q40</f>
        <v>2808</v>
      </c>
      <c r="R255" s="4">
        <v>2.5</v>
      </c>
      <c r="S255" s="4">
        <f>[1]加比纳!R40</f>
        <v>128</v>
      </c>
      <c r="T255" s="4">
        <v>0</v>
      </c>
      <c r="U255" s="4">
        <v>0</v>
      </c>
      <c r="V255" s="4">
        <v>0</v>
      </c>
    </row>
    <row r="256" spans="1:22" x14ac:dyDescent="0.15">
      <c r="A256" s="4" t="s">
        <v>2662</v>
      </c>
      <c r="D256" s="4">
        <f t="shared" si="2"/>
        <v>12</v>
      </c>
      <c r="E256" s="4">
        <v>40</v>
      </c>
      <c r="H256" s="29">
        <v>1001</v>
      </c>
      <c r="I256" s="4">
        <f>[1]加比纳!$S41</f>
        <v>7788</v>
      </c>
      <c r="L256" s="30">
        <v>800</v>
      </c>
      <c r="M256" s="4">
        <f>[1]加比纳!N41</f>
        <v>990</v>
      </c>
      <c r="N256" s="4">
        <f>[1]加比纳!O41</f>
        <v>321</v>
      </c>
      <c r="O256" s="4">
        <f>[1]加比纳!P41</f>
        <v>10042</v>
      </c>
      <c r="P256" s="4">
        <v>0</v>
      </c>
      <c r="Q256" s="4">
        <f>[1]加比纳!Q41</f>
        <v>2820</v>
      </c>
      <c r="R256" s="4">
        <v>2.5</v>
      </c>
      <c r="S256" s="4">
        <f>[1]加比纳!R41</f>
        <v>131</v>
      </c>
      <c r="T256" s="4">
        <v>0</v>
      </c>
      <c r="U256" s="4">
        <v>0</v>
      </c>
      <c r="V256" s="4">
        <v>0</v>
      </c>
    </row>
    <row r="257" spans="1:22" x14ac:dyDescent="0.15">
      <c r="A257" s="4" t="s">
        <v>2662</v>
      </c>
      <c r="D257" s="4">
        <f t="shared" si="2"/>
        <v>12</v>
      </c>
      <c r="E257" s="4">
        <v>41</v>
      </c>
      <c r="H257" s="29">
        <v>1001</v>
      </c>
      <c r="I257" s="4">
        <f>[1]加比纳!$S42</f>
        <v>7929</v>
      </c>
      <c r="L257" s="30">
        <v>800</v>
      </c>
      <c r="M257" s="4">
        <f>[1]加比纳!N42</f>
        <v>1008</v>
      </c>
      <c r="N257" s="4">
        <f>[1]加比纳!O42</f>
        <v>329</v>
      </c>
      <c r="O257" s="4">
        <f>[1]加比纳!P42</f>
        <v>10202</v>
      </c>
      <c r="P257" s="4">
        <v>0</v>
      </c>
      <c r="Q257" s="4">
        <f>[1]加比纳!Q42</f>
        <v>2832</v>
      </c>
      <c r="R257" s="4">
        <v>2.5</v>
      </c>
      <c r="S257" s="4">
        <f>[1]加比纳!R42</f>
        <v>134</v>
      </c>
      <c r="T257" s="4">
        <v>0</v>
      </c>
      <c r="U257" s="4">
        <v>0</v>
      </c>
      <c r="V257" s="4">
        <v>0</v>
      </c>
    </row>
    <row r="258" spans="1:22" x14ac:dyDescent="0.15">
      <c r="A258" s="4" t="s">
        <v>2662</v>
      </c>
      <c r="D258" s="4">
        <f t="shared" si="2"/>
        <v>12</v>
      </c>
      <c r="E258" s="4">
        <v>42</v>
      </c>
      <c r="H258" s="29">
        <v>1001</v>
      </c>
      <c r="I258" s="4">
        <f>[1]加比纳!$S43</f>
        <v>8070</v>
      </c>
      <c r="L258" s="30">
        <v>800</v>
      </c>
      <c r="M258" s="4">
        <f>[1]加比纳!N43</f>
        <v>1026</v>
      </c>
      <c r="N258" s="4">
        <f>[1]加比纳!O43</f>
        <v>337</v>
      </c>
      <c r="O258" s="4">
        <f>[1]加比纳!P43</f>
        <v>10362</v>
      </c>
      <c r="P258" s="4">
        <v>0</v>
      </c>
      <c r="Q258" s="4">
        <f>[1]加比纳!Q43</f>
        <v>2844</v>
      </c>
      <c r="R258" s="4">
        <v>2.5</v>
      </c>
      <c r="S258" s="4">
        <f>[1]加比纳!R43</f>
        <v>137</v>
      </c>
      <c r="T258" s="4">
        <v>0</v>
      </c>
      <c r="U258" s="4">
        <v>0</v>
      </c>
      <c r="V258" s="4">
        <v>0</v>
      </c>
    </row>
    <row r="259" spans="1:22" x14ac:dyDescent="0.15">
      <c r="A259" s="4" t="s">
        <v>2662</v>
      </c>
      <c r="D259" s="4">
        <f t="shared" si="2"/>
        <v>12</v>
      </c>
      <c r="E259" s="4">
        <v>43</v>
      </c>
      <c r="H259" s="29">
        <v>1001</v>
      </c>
      <c r="I259" s="4">
        <f>[1]加比纳!$S44</f>
        <v>8212</v>
      </c>
      <c r="L259" s="30">
        <v>800</v>
      </c>
      <c r="M259" s="4">
        <f>[1]加比纳!N44</f>
        <v>1044</v>
      </c>
      <c r="N259" s="4">
        <f>[1]加比纳!O44</f>
        <v>345</v>
      </c>
      <c r="O259" s="4">
        <f>[1]加比纳!P44</f>
        <v>10522</v>
      </c>
      <c r="P259" s="4">
        <v>0</v>
      </c>
      <c r="Q259" s="4">
        <f>[1]加比纳!Q44</f>
        <v>2856</v>
      </c>
      <c r="R259" s="4">
        <v>2.5</v>
      </c>
      <c r="S259" s="4">
        <f>[1]加比纳!R44</f>
        <v>140</v>
      </c>
      <c r="T259" s="4">
        <v>0</v>
      </c>
      <c r="U259" s="4">
        <v>0</v>
      </c>
      <c r="V259" s="4">
        <v>0</v>
      </c>
    </row>
    <row r="260" spans="1:22" x14ac:dyDescent="0.15">
      <c r="A260" s="4" t="s">
        <v>2662</v>
      </c>
      <c r="D260" s="4">
        <f t="shared" si="2"/>
        <v>12</v>
      </c>
      <c r="E260" s="4">
        <v>44</v>
      </c>
      <c r="H260" s="29">
        <v>1001</v>
      </c>
      <c r="I260" s="4">
        <f>[1]加比纳!$S45</f>
        <v>8353</v>
      </c>
      <c r="L260" s="30">
        <v>800</v>
      </c>
      <c r="M260" s="4">
        <f>[1]加比纳!N45</f>
        <v>1062</v>
      </c>
      <c r="N260" s="4">
        <f>[1]加比纳!O45</f>
        <v>353</v>
      </c>
      <c r="O260" s="4">
        <f>[1]加比纳!P45</f>
        <v>10682</v>
      </c>
      <c r="P260" s="4">
        <v>0</v>
      </c>
      <c r="Q260" s="4">
        <f>[1]加比纳!Q45</f>
        <v>2868</v>
      </c>
      <c r="R260" s="4">
        <v>2.5</v>
      </c>
      <c r="S260" s="4">
        <f>[1]加比纳!R45</f>
        <v>143</v>
      </c>
      <c r="T260" s="4">
        <v>0</v>
      </c>
      <c r="U260" s="4">
        <v>0</v>
      </c>
      <c r="V260" s="4">
        <v>0</v>
      </c>
    </row>
    <row r="261" spans="1:22" x14ac:dyDescent="0.15">
      <c r="A261" s="4" t="s">
        <v>2662</v>
      </c>
      <c r="D261" s="4">
        <f t="shared" si="2"/>
        <v>12</v>
      </c>
      <c r="E261" s="4">
        <v>45</v>
      </c>
      <c r="H261" s="29">
        <v>1001</v>
      </c>
      <c r="I261" s="4">
        <f>[1]加比纳!$S46</f>
        <v>8494</v>
      </c>
      <c r="L261" s="30">
        <v>800</v>
      </c>
      <c r="M261" s="4">
        <f>[1]加比纳!N46</f>
        <v>1080</v>
      </c>
      <c r="N261" s="4">
        <f>[1]加比纳!O46</f>
        <v>361</v>
      </c>
      <c r="O261" s="4">
        <f>[1]加比纳!P46</f>
        <v>10842</v>
      </c>
      <c r="P261" s="4">
        <v>0</v>
      </c>
      <c r="Q261" s="4">
        <f>[1]加比纳!Q46</f>
        <v>2880</v>
      </c>
      <c r="R261" s="4">
        <v>2.5</v>
      </c>
      <c r="S261" s="4">
        <f>[1]加比纳!R46</f>
        <v>146</v>
      </c>
      <c r="T261" s="4">
        <v>0</v>
      </c>
      <c r="U261" s="4">
        <v>0</v>
      </c>
      <c r="V261" s="4">
        <v>0</v>
      </c>
    </row>
    <row r="262" spans="1:22" x14ac:dyDescent="0.15">
      <c r="A262" s="4" t="s">
        <v>2662</v>
      </c>
      <c r="D262" s="4">
        <f t="shared" si="2"/>
        <v>12</v>
      </c>
      <c r="E262" s="4">
        <v>46</v>
      </c>
      <c r="H262" s="29">
        <v>1001</v>
      </c>
      <c r="I262" s="4">
        <f>[1]加比纳!$S47</f>
        <v>8635</v>
      </c>
      <c r="L262" s="30">
        <v>800</v>
      </c>
      <c r="M262" s="4">
        <f>[1]加比纳!N47</f>
        <v>1098</v>
      </c>
      <c r="N262" s="4">
        <f>[1]加比纳!O47</f>
        <v>369</v>
      </c>
      <c r="O262" s="4">
        <f>[1]加比纳!P47</f>
        <v>11002</v>
      </c>
      <c r="P262" s="4">
        <v>0</v>
      </c>
      <c r="Q262" s="4">
        <f>[1]加比纳!Q47</f>
        <v>2892</v>
      </c>
      <c r="R262" s="4">
        <v>2.5</v>
      </c>
      <c r="S262" s="4">
        <f>[1]加比纳!R47</f>
        <v>149</v>
      </c>
      <c r="T262" s="4">
        <v>0</v>
      </c>
      <c r="U262" s="4">
        <v>0</v>
      </c>
      <c r="V262" s="4">
        <v>0</v>
      </c>
    </row>
    <row r="263" spans="1:22" x14ac:dyDescent="0.15">
      <c r="A263" s="4" t="s">
        <v>2662</v>
      </c>
      <c r="D263" s="4">
        <f t="shared" si="2"/>
        <v>12</v>
      </c>
      <c r="E263" s="4">
        <v>47</v>
      </c>
      <c r="H263" s="29">
        <v>1001</v>
      </c>
      <c r="I263" s="4">
        <f>[1]加比纳!$S48</f>
        <v>8776</v>
      </c>
      <c r="L263" s="30">
        <v>800</v>
      </c>
      <c r="M263" s="4">
        <f>[1]加比纳!N48</f>
        <v>1116</v>
      </c>
      <c r="N263" s="4">
        <f>[1]加比纳!O48</f>
        <v>377</v>
      </c>
      <c r="O263" s="4">
        <f>[1]加比纳!P48</f>
        <v>11162</v>
      </c>
      <c r="P263" s="4">
        <v>0</v>
      </c>
      <c r="Q263" s="4">
        <f>[1]加比纳!Q48</f>
        <v>2904</v>
      </c>
      <c r="R263" s="4">
        <v>2.5</v>
      </c>
      <c r="S263" s="4">
        <f>[1]加比纳!R48</f>
        <v>152</v>
      </c>
      <c r="T263" s="4">
        <v>0</v>
      </c>
      <c r="U263" s="4">
        <v>0</v>
      </c>
      <c r="V263" s="4">
        <v>0</v>
      </c>
    </row>
    <row r="264" spans="1:22" x14ac:dyDescent="0.15">
      <c r="A264" s="4" t="s">
        <v>2662</v>
      </c>
      <c r="D264" s="4">
        <f t="shared" si="2"/>
        <v>12</v>
      </c>
      <c r="E264" s="4">
        <v>48</v>
      </c>
      <c r="H264" s="29">
        <v>1001</v>
      </c>
      <c r="I264" s="4">
        <f>[1]加比纳!$S49</f>
        <v>8918</v>
      </c>
      <c r="L264" s="30">
        <v>800</v>
      </c>
      <c r="M264" s="4">
        <f>[1]加比纳!N49</f>
        <v>1134</v>
      </c>
      <c r="N264" s="4">
        <f>[1]加比纳!O49</f>
        <v>385</v>
      </c>
      <c r="O264" s="4">
        <f>[1]加比纳!P49</f>
        <v>11322</v>
      </c>
      <c r="P264" s="4">
        <v>0</v>
      </c>
      <c r="Q264" s="4">
        <f>[1]加比纳!Q49</f>
        <v>2916</v>
      </c>
      <c r="R264" s="4">
        <v>2.5</v>
      </c>
      <c r="S264" s="4">
        <f>[1]加比纳!R49</f>
        <v>155</v>
      </c>
      <c r="T264" s="4">
        <v>0</v>
      </c>
      <c r="U264" s="4">
        <v>0</v>
      </c>
      <c r="V264" s="4">
        <v>0</v>
      </c>
    </row>
    <row r="265" spans="1:22" x14ac:dyDescent="0.15">
      <c r="A265" s="4" t="s">
        <v>2662</v>
      </c>
      <c r="D265" s="4">
        <f t="shared" si="2"/>
        <v>12</v>
      </c>
      <c r="E265" s="4">
        <v>49</v>
      </c>
      <c r="H265" s="29">
        <v>1001</v>
      </c>
      <c r="I265" s="4">
        <f>[1]加比纳!$S50</f>
        <v>9059</v>
      </c>
      <c r="L265" s="30">
        <v>800</v>
      </c>
      <c r="M265" s="4">
        <f>[1]加比纳!N50</f>
        <v>1152</v>
      </c>
      <c r="N265" s="4">
        <f>[1]加比纳!O50</f>
        <v>393</v>
      </c>
      <c r="O265" s="4">
        <f>[1]加比纳!P50</f>
        <v>11482</v>
      </c>
      <c r="P265" s="4">
        <v>0</v>
      </c>
      <c r="Q265" s="4">
        <f>[1]加比纳!Q50</f>
        <v>2928</v>
      </c>
      <c r="R265" s="4">
        <v>2.5</v>
      </c>
      <c r="S265" s="4">
        <f>[1]加比纳!R50</f>
        <v>158</v>
      </c>
      <c r="T265" s="4">
        <v>0</v>
      </c>
      <c r="U265" s="4">
        <v>0</v>
      </c>
      <c r="V265" s="4">
        <v>0</v>
      </c>
    </row>
    <row r="266" spans="1:22" x14ac:dyDescent="0.15">
      <c r="A266" s="4" t="s">
        <v>2662</v>
      </c>
      <c r="D266" s="4">
        <f t="shared" si="2"/>
        <v>12</v>
      </c>
      <c r="E266" s="4">
        <v>50</v>
      </c>
      <c r="H266" s="29">
        <v>1001</v>
      </c>
      <c r="I266" s="4">
        <f>[1]加比纳!$S51</f>
        <v>9200</v>
      </c>
      <c r="L266" s="30">
        <v>800</v>
      </c>
      <c r="M266" s="4">
        <f>[1]加比纳!N51</f>
        <v>1170</v>
      </c>
      <c r="N266" s="4">
        <f>[1]加比纳!O51</f>
        <v>401</v>
      </c>
      <c r="O266" s="4">
        <f>[1]加比纳!P51</f>
        <v>11642</v>
      </c>
      <c r="P266" s="4">
        <v>0</v>
      </c>
      <c r="Q266" s="4">
        <f>[1]加比纳!Q51</f>
        <v>2940</v>
      </c>
      <c r="R266" s="4">
        <v>2.5</v>
      </c>
      <c r="S266" s="4">
        <f>[1]加比纳!R51</f>
        <v>161</v>
      </c>
      <c r="T266" s="4">
        <v>0</v>
      </c>
      <c r="U266" s="4">
        <v>0</v>
      </c>
      <c r="V266" s="4">
        <v>0</v>
      </c>
    </row>
    <row r="267" spans="1:22" x14ac:dyDescent="0.15">
      <c r="I267" s="4"/>
    </row>
    <row r="268" spans="1:22" x14ac:dyDescent="0.15">
      <c r="A268" s="4" t="s">
        <v>2662</v>
      </c>
      <c r="C268" s="4" t="s">
        <v>3079</v>
      </c>
      <c r="D268" s="4">
        <f t="shared" ref="D268:D318" si="3">D216+1</f>
        <v>13</v>
      </c>
      <c r="E268" s="4">
        <v>0</v>
      </c>
      <c r="H268" s="29">
        <v>1000</v>
      </c>
      <c r="I268" s="31">
        <v>599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</row>
    <row r="269" spans="1:22" x14ac:dyDescent="0.15">
      <c r="A269" s="4" t="s">
        <v>2662</v>
      </c>
      <c r="D269" s="4">
        <f t="shared" si="3"/>
        <v>13</v>
      </c>
      <c r="E269" s="4">
        <v>1</v>
      </c>
      <c r="H269" s="29">
        <v>1001</v>
      </c>
      <c r="I269" s="4">
        <f>[1]加比纳!$AB2</f>
        <v>3051</v>
      </c>
      <c r="L269" s="30">
        <v>800</v>
      </c>
      <c r="M269" s="4">
        <f>[1]加比纳!W2</f>
        <v>384</v>
      </c>
      <c r="N269" s="4">
        <f>[1]加比纳!X2</f>
        <v>11</v>
      </c>
      <c r="O269" s="4">
        <f>[1]加比纳!Y2</f>
        <v>5184</v>
      </c>
      <c r="P269" s="4">
        <v>0</v>
      </c>
      <c r="Q269" s="4">
        <f>[1]加比纳!Z2</f>
        <v>2688</v>
      </c>
      <c r="R269" s="4">
        <v>2.5</v>
      </c>
      <c r="S269" s="4">
        <f>[1]加比纳!AA2</f>
        <v>18</v>
      </c>
      <c r="T269" s="4">
        <v>0</v>
      </c>
      <c r="U269" s="4">
        <v>0</v>
      </c>
      <c r="V269" s="4">
        <v>0</v>
      </c>
    </row>
    <row r="270" spans="1:22" x14ac:dyDescent="0.15">
      <c r="A270" s="4" t="s">
        <v>2662</v>
      </c>
      <c r="D270" s="4">
        <f t="shared" si="3"/>
        <v>13</v>
      </c>
      <c r="E270" s="4">
        <v>2</v>
      </c>
      <c r="H270" s="29">
        <v>1001</v>
      </c>
      <c r="I270" s="4">
        <f>[1]加比纳!$AB3</f>
        <v>3212</v>
      </c>
      <c r="L270" s="30">
        <v>800</v>
      </c>
      <c r="M270" s="4">
        <f>[1]加比纳!W3</f>
        <v>406</v>
      </c>
      <c r="N270" s="4">
        <f>[1]加比纳!X3</f>
        <v>19</v>
      </c>
      <c r="O270" s="4">
        <f>[1]加比纳!Y3</f>
        <v>5344</v>
      </c>
      <c r="P270" s="4">
        <v>0</v>
      </c>
      <c r="Q270" s="4">
        <f>[1]加比纳!Z3</f>
        <v>2700</v>
      </c>
      <c r="R270" s="4">
        <v>2.5</v>
      </c>
      <c r="S270" s="4">
        <f>[1]加比纳!AA3</f>
        <v>21</v>
      </c>
      <c r="T270" s="4">
        <v>0</v>
      </c>
      <c r="U270" s="4">
        <v>0</v>
      </c>
      <c r="V270" s="4">
        <v>0</v>
      </c>
    </row>
    <row r="271" spans="1:22" x14ac:dyDescent="0.15">
      <c r="A271" s="4" t="s">
        <v>2662</v>
      </c>
      <c r="D271" s="4">
        <f t="shared" si="3"/>
        <v>13</v>
      </c>
      <c r="E271" s="4">
        <v>3</v>
      </c>
      <c r="H271" s="29">
        <v>1001</v>
      </c>
      <c r="I271" s="4">
        <f>[1]加比纳!$AB4</f>
        <v>3373</v>
      </c>
      <c r="L271" s="30">
        <v>800</v>
      </c>
      <c r="M271" s="4">
        <f>[1]加比纳!W4</f>
        <v>428</v>
      </c>
      <c r="N271" s="4">
        <f>[1]加比纳!X4</f>
        <v>27</v>
      </c>
      <c r="O271" s="4">
        <f>[1]加比纳!Y4</f>
        <v>5504</v>
      </c>
      <c r="P271" s="4">
        <v>0</v>
      </c>
      <c r="Q271" s="4">
        <f>[1]加比纳!Z4</f>
        <v>2712</v>
      </c>
      <c r="R271" s="4">
        <v>2.5</v>
      </c>
      <c r="S271" s="4">
        <f>[1]加比纳!AA4</f>
        <v>24</v>
      </c>
      <c r="T271" s="4">
        <v>0</v>
      </c>
      <c r="U271" s="4">
        <v>0</v>
      </c>
      <c r="V271" s="4">
        <v>0</v>
      </c>
    </row>
    <row r="272" spans="1:22" x14ac:dyDescent="0.15">
      <c r="A272" s="4" t="s">
        <v>2662</v>
      </c>
      <c r="D272" s="4">
        <f t="shared" si="3"/>
        <v>13</v>
      </c>
      <c r="E272" s="4">
        <v>4</v>
      </c>
      <c r="H272" s="29">
        <v>1001</v>
      </c>
      <c r="I272" s="4">
        <f>[1]加比纳!$AB5</f>
        <v>3534</v>
      </c>
      <c r="L272" s="30">
        <v>800</v>
      </c>
      <c r="M272" s="4">
        <f>[1]加比纳!W5</f>
        <v>450</v>
      </c>
      <c r="N272" s="4">
        <f>[1]加比纳!X5</f>
        <v>35</v>
      </c>
      <c r="O272" s="4">
        <f>[1]加比纳!Y5</f>
        <v>5664</v>
      </c>
      <c r="P272" s="4">
        <v>0</v>
      </c>
      <c r="Q272" s="4">
        <f>[1]加比纳!Z5</f>
        <v>2724</v>
      </c>
      <c r="R272" s="4">
        <v>2.5</v>
      </c>
      <c r="S272" s="4">
        <f>[1]加比纳!AA5</f>
        <v>27</v>
      </c>
      <c r="T272" s="4">
        <v>0</v>
      </c>
      <c r="U272" s="4">
        <v>0</v>
      </c>
      <c r="V272" s="4">
        <v>0</v>
      </c>
    </row>
    <row r="273" spans="1:22" x14ac:dyDescent="0.15">
      <c r="A273" s="4" t="s">
        <v>2662</v>
      </c>
      <c r="D273" s="4">
        <f t="shared" si="3"/>
        <v>13</v>
      </c>
      <c r="E273" s="4">
        <v>5</v>
      </c>
      <c r="H273" s="29">
        <v>1001</v>
      </c>
      <c r="I273" s="4">
        <f>[1]加比纳!$AB6</f>
        <v>3696</v>
      </c>
      <c r="L273" s="30">
        <v>800</v>
      </c>
      <c r="M273" s="4">
        <f>[1]加比纳!W6</f>
        <v>472</v>
      </c>
      <c r="N273" s="4">
        <f>[1]加比纳!X6</f>
        <v>43</v>
      </c>
      <c r="O273" s="4">
        <f>[1]加比纳!Y6</f>
        <v>5824</v>
      </c>
      <c r="P273" s="4">
        <v>0</v>
      </c>
      <c r="Q273" s="4">
        <f>[1]加比纳!Z6</f>
        <v>2736</v>
      </c>
      <c r="R273" s="4">
        <v>2.5</v>
      </c>
      <c r="S273" s="4">
        <f>[1]加比纳!AA6</f>
        <v>30</v>
      </c>
      <c r="T273" s="4">
        <v>0</v>
      </c>
      <c r="U273" s="4">
        <v>0</v>
      </c>
      <c r="V273" s="4">
        <v>0</v>
      </c>
    </row>
    <row r="274" spans="1:22" x14ac:dyDescent="0.15">
      <c r="A274" s="4" t="s">
        <v>2662</v>
      </c>
      <c r="D274" s="4">
        <f t="shared" si="3"/>
        <v>13</v>
      </c>
      <c r="E274" s="4">
        <v>6</v>
      </c>
      <c r="H274" s="29">
        <v>1001</v>
      </c>
      <c r="I274" s="4">
        <f>[1]加比纳!$AB7</f>
        <v>3857</v>
      </c>
      <c r="L274" s="30">
        <v>800</v>
      </c>
      <c r="M274" s="4">
        <f>[1]加比纳!W7</f>
        <v>494</v>
      </c>
      <c r="N274" s="4">
        <f>[1]加比纳!X7</f>
        <v>51</v>
      </c>
      <c r="O274" s="4">
        <f>[1]加比纳!Y7</f>
        <v>5984</v>
      </c>
      <c r="P274" s="4">
        <v>0</v>
      </c>
      <c r="Q274" s="4">
        <f>[1]加比纳!Z7</f>
        <v>2748</v>
      </c>
      <c r="R274" s="4">
        <v>2.5</v>
      </c>
      <c r="S274" s="4">
        <f>[1]加比纳!AA7</f>
        <v>33</v>
      </c>
      <c r="T274" s="4">
        <v>0</v>
      </c>
      <c r="U274" s="4">
        <v>0</v>
      </c>
      <c r="V274" s="4">
        <v>0</v>
      </c>
    </row>
    <row r="275" spans="1:22" x14ac:dyDescent="0.15">
      <c r="A275" s="4" t="s">
        <v>2662</v>
      </c>
      <c r="D275" s="4">
        <f t="shared" si="3"/>
        <v>13</v>
      </c>
      <c r="E275" s="4">
        <v>7</v>
      </c>
      <c r="H275" s="29">
        <v>1001</v>
      </c>
      <c r="I275" s="4">
        <f>[1]加比纳!$AB8</f>
        <v>4018</v>
      </c>
      <c r="L275" s="30">
        <v>800</v>
      </c>
      <c r="M275" s="4">
        <f>[1]加比纳!W8</f>
        <v>516</v>
      </c>
      <c r="N275" s="4">
        <f>[1]加比纳!X8</f>
        <v>59</v>
      </c>
      <c r="O275" s="4">
        <f>[1]加比纳!Y8</f>
        <v>6144</v>
      </c>
      <c r="P275" s="4">
        <v>0</v>
      </c>
      <c r="Q275" s="4">
        <f>[1]加比纳!Z8</f>
        <v>2760</v>
      </c>
      <c r="R275" s="4">
        <v>2.5</v>
      </c>
      <c r="S275" s="4">
        <f>[1]加比纳!AA8</f>
        <v>36</v>
      </c>
      <c r="T275" s="4">
        <v>0</v>
      </c>
      <c r="U275" s="4">
        <v>0</v>
      </c>
      <c r="V275" s="4">
        <v>0</v>
      </c>
    </row>
    <row r="276" spans="1:22" x14ac:dyDescent="0.15">
      <c r="A276" s="4" t="s">
        <v>2662</v>
      </c>
      <c r="D276" s="4">
        <f t="shared" si="3"/>
        <v>13</v>
      </c>
      <c r="E276" s="4">
        <v>8</v>
      </c>
      <c r="H276" s="29">
        <v>1001</v>
      </c>
      <c r="I276" s="4">
        <f>[1]加比纳!$AB9</f>
        <v>4179</v>
      </c>
      <c r="L276" s="30">
        <v>800</v>
      </c>
      <c r="M276" s="4">
        <f>[1]加比纳!W9</f>
        <v>538</v>
      </c>
      <c r="N276" s="4">
        <f>[1]加比纳!X9</f>
        <v>67</v>
      </c>
      <c r="O276" s="4">
        <f>[1]加比纳!Y9</f>
        <v>6304</v>
      </c>
      <c r="P276" s="4">
        <v>0</v>
      </c>
      <c r="Q276" s="4">
        <f>[1]加比纳!Z9</f>
        <v>2772</v>
      </c>
      <c r="R276" s="4">
        <v>2.5</v>
      </c>
      <c r="S276" s="4">
        <f>[1]加比纳!AA9</f>
        <v>39</v>
      </c>
      <c r="T276" s="4">
        <v>0</v>
      </c>
      <c r="U276" s="4">
        <v>0</v>
      </c>
      <c r="V276" s="4">
        <v>0</v>
      </c>
    </row>
    <row r="277" spans="1:22" x14ac:dyDescent="0.15">
      <c r="A277" s="4" t="s">
        <v>2662</v>
      </c>
      <c r="D277" s="4">
        <f t="shared" si="3"/>
        <v>13</v>
      </c>
      <c r="E277" s="4">
        <v>9</v>
      </c>
      <c r="H277" s="29">
        <v>1001</v>
      </c>
      <c r="I277" s="4">
        <f>[1]加比纳!$AB10</f>
        <v>4340</v>
      </c>
      <c r="L277" s="30">
        <v>800</v>
      </c>
      <c r="M277" s="4">
        <f>[1]加比纳!W10</f>
        <v>560</v>
      </c>
      <c r="N277" s="4">
        <f>[1]加比纳!X10</f>
        <v>75</v>
      </c>
      <c r="O277" s="4">
        <f>[1]加比纳!Y10</f>
        <v>6464</v>
      </c>
      <c r="P277" s="4">
        <v>0</v>
      </c>
      <c r="Q277" s="4">
        <f>[1]加比纳!Z10</f>
        <v>2784</v>
      </c>
      <c r="R277" s="4">
        <v>2.5</v>
      </c>
      <c r="S277" s="4">
        <f>[1]加比纳!AA10</f>
        <v>42</v>
      </c>
      <c r="T277" s="4">
        <v>0</v>
      </c>
      <c r="U277" s="4">
        <v>0</v>
      </c>
      <c r="V277" s="4">
        <v>0</v>
      </c>
    </row>
    <row r="278" spans="1:22" x14ac:dyDescent="0.15">
      <c r="A278" s="4" t="s">
        <v>2662</v>
      </c>
      <c r="D278" s="4">
        <f t="shared" si="3"/>
        <v>13</v>
      </c>
      <c r="E278" s="4">
        <v>10</v>
      </c>
      <c r="H278" s="29">
        <v>1001</v>
      </c>
      <c r="I278" s="4">
        <f>[1]加比纳!$AB11</f>
        <v>4502</v>
      </c>
      <c r="L278" s="30">
        <v>800</v>
      </c>
      <c r="M278" s="4">
        <f>[1]加比纳!W11</f>
        <v>582</v>
      </c>
      <c r="N278" s="4">
        <f>[1]加比纳!X11</f>
        <v>83</v>
      </c>
      <c r="O278" s="4">
        <f>[1]加比纳!Y11</f>
        <v>6624</v>
      </c>
      <c r="P278" s="4">
        <v>0</v>
      </c>
      <c r="Q278" s="4">
        <f>[1]加比纳!Z11</f>
        <v>2796</v>
      </c>
      <c r="R278" s="4">
        <v>2.5</v>
      </c>
      <c r="S278" s="4">
        <f>[1]加比纳!AA11</f>
        <v>45</v>
      </c>
      <c r="T278" s="4">
        <v>0</v>
      </c>
      <c r="U278" s="4">
        <v>0</v>
      </c>
      <c r="V278" s="4">
        <v>0</v>
      </c>
    </row>
    <row r="279" spans="1:22" x14ac:dyDescent="0.15">
      <c r="A279" s="4" t="s">
        <v>2662</v>
      </c>
      <c r="D279" s="4">
        <f t="shared" si="3"/>
        <v>13</v>
      </c>
      <c r="E279" s="4">
        <v>11</v>
      </c>
      <c r="H279" s="29">
        <v>1001</v>
      </c>
      <c r="I279" s="4">
        <f>[1]加比纳!$AB12</f>
        <v>4663</v>
      </c>
      <c r="L279" s="30">
        <v>800</v>
      </c>
      <c r="M279" s="4">
        <f>[1]加比纳!W12</f>
        <v>604</v>
      </c>
      <c r="N279" s="4">
        <f>[1]加比纳!X12</f>
        <v>91</v>
      </c>
      <c r="O279" s="4">
        <f>[1]加比纳!Y12</f>
        <v>6784</v>
      </c>
      <c r="P279" s="4">
        <v>0</v>
      </c>
      <c r="Q279" s="4">
        <f>[1]加比纳!Z12</f>
        <v>2808</v>
      </c>
      <c r="R279" s="4">
        <v>2.5</v>
      </c>
      <c r="S279" s="4">
        <f>[1]加比纳!AA12</f>
        <v>48</v>
      </c>
      <c r="T279" s="4">
        <v>0</v>
      </c>
      <c r="U279" s="4">
        <v>0</v>
      </c>
      <c r="V279" s="4">
        <v>0</v>
      </c>
    </row>
    <row r="280" spans="1:22" x14ac:dyDescent="0.15">
      <c r="A280" s="4" t="s">
        <v>2662</v>
      </c>
      <c r="D280" s="4">
        <f t="shared" si="3"/>
        <v>13</v>
      </c>
      <c r="E280" s="4">
        <v>12</v>
      </c>
      <c r="H280" s="29">
        <v>1001</v>
      </c>
      <c r="I280" s="4">
        <f>[1]加比纳!$AB13</f>
        <v>4824</v>
      </c>
      <c r="L280" s="30">
        <v>800</v>
      </c>
      <c r="M280" s="4">
        <f>[1]加比纳!W13</f>
        <v>626</v>
      </c>
      <c r="N280" s="4">
        <f>[1]加比纳!X13</f>
        <v>99</v>
      </c>
      <c r="O280" s="4">
        <f>[1]加比纳!Y13</f>
        <v>6944</v>
      </c>
      <c r="P280" s="4">
        <v>0</v>
      </c>
      <c r="Q280" s="4">
        <f>[1]加比纳!Z13</f>
        <v>2820</v>
      </c>
      <c r="R280" s="4">
        <v>2.5</v>
      </c>
      <c r="S280" s="4">
        <f>[1]加比纳!AA13</f>
        <v>51</v>
      </c>
      <c r="T280" s="4">
        <v>0</v>
      </c>
      <c r="U280" s="4">
        <v>0</v>
      </c>
      <c r="V280" s="4">
        <v>0</v>
      </c>
    </row>
    <row r="281" spans="1:22" x14ac:dyDescent="0.15">
      <c r="A281" s="4" t="s">
        <v>2662</v>
      </c>
      <c r="D281" s="4">
        <f t="shared" si="3"/>
        <v>13</v>
      </c>
      <c r="E281" s="4">
        <v>13</v>
      </c>
      <c r="H281" s="29">
        <v>1001</v>
      </c>
      <c r="I281" s="4">
        <f>[1]加比纳!$AB14</f>
        <v>4985</v>
      </c>
      <c r="L281" s="30">
        <v>800</v>
      </c>
      <c r="M281" s="4">
        <f>[1]加比纳!W14</f>
        <v>648</v>
      </c>
      <c r="N281" s="4">
        <f>[1]加比纳!X14</f>
        <v>107</v>
      </c>
      <c r="O281" s="4">
        <f>[1]加比纳!Y14</f>
        <v>7104</v>
      </c>
      <c r="P281" s="4">
        <v>0</v>
      </c>
      <c r="Q281" s="4">
        <f>[1]加比纳!Z14</f>
        <v>2832</v>
      </c>
      <c r="R281" s="4">
        <v>2.5</v>
      </c>
      <c r="S281" s="4">
        <f>[1]加比纳!AA14</f>
        <v>54</v>
      </c>
      <c r="T281" s="4">
        <v>0</v>
      </c>
      <c r="U281" s="4">
        <v>0</v>
      </c>
      <c r="V281" s="4">
        <v>0</v>
      </c>
    </row>
    <row r="282" spans="1:22" x14ac:dyDescent="0.15">
      <c r="A282" s="4" t="s">
        <v>2662</v>
      </c>
      <c r="D282" s="4">
        <f t="shared" si="3"/>
        <v>13</v>
      </c>
      <c r="E282" s="4">
        <v>14</v>
      </c>
      <c r="H282" s="29">
        <v>1001</v>
      </c>
      <c r="I282" s="4">
        <f>[1]加比纳!$AB15</f>
        <v>5147</v>
      </c>
      <c r="L282" s="30">
        <v>800</v>
      </c>
      <c r="M282" s="4">
        <f>[1]加比纳!W15</f>
        <v>670</v>
      </c>
      <c r="N282" s="4">
        <f>[1]加比纳!X15</f>
        <v>115</v>
      </c>
      <c r="O282" s="4">
        <f>[1]加比纳!Y15</f>
        <v>7264</v>
      </c>
      <c r="P282" s="4">
        <v>0</v>
      </c>
      <c r="Q282" s="4">
        <f>[1]加比纳!Z15</f>
        <v>2844</v>
      </c>
      <c r="R282" s="4">
        <v>2.5</v>
      </c>
      <c r="S282" s="4">
        <f>[1]加比纳!AA15</f>
        <v>57</v>
      </c>
      <c r="T282" s="4">
        <v>0</v>
      </c>
      <c r="U282" s="4">
        <v>0</v>
      </c>
      <c r="V282" s="4">
        <v>0</v>
      </c>
    </row>
    <row r="283" spans="1:22" x14ac:dyDescent="0.15">
      <c r="A283" s="4" t="s">
        <v>2662</v>
      </c>
      <c r="D283" s="4">
        <f t="shared" si="3"/>
        <v>13</v>
      </c>
      <c r="E283" s="4">
        <v>15</v>
      </c>
      <c r="H283" s="29">
        <v>1001</v>
      </c>
      <c r="I283" s="4">
        <f>[1]加比纳!$AB16</f>
        <v>5308</v>
      </c>
      <c r="L283" s="30">
        <v>800</v>
      </c>
      <c r="M283" s="4">
        <f>[1]加比纳!W16</f>
        <v>692</v>
      </c>
      <c r="N283" s="4">
        <f>[1]加比纳!X16</f>
        <v>123</v>
      </c>
      <c r="O283" s="4">
        <f>[1]加比纳!Y16</f>
        <v>7424</v>
      </c>
      <c r="P283" s="4">
        <v>0</v>
      </c>
      <c r="Q283" s="4">
        <f>[1]加比纳!Z16</f>
        <v>2856</v>
      </c>
      <c r="R283" s="4">
        <v>2.5</v>
      </c>
      <c r="S283" s="4">
        <f>[1]加比纳!AA16</f>
        <v>60</v>
      </c>
      <c r="T283" s="4">
        <v>0</v>
      </c>
      <c r="U283" s="4">
        <v>0</v>
      </c>
      <c r="V283" s="4">
        <v>0</v>
      </c>
    </row>
    <row r="284" spans="1:22" x14ac:dyDescent="0.15">
      <c r="A284" s="4" t="s">
        <v>2662</v>
      </c>
      <c r="D284" s="4">
        <f t="shared" si="3"/>
        <v>13</v>
      </c>
      <c r="E284" s="4">
        <v>16</v>
      </c>
      <c r="H284" s="29">
        <v>1001</v>
      </c>
      <c r="I284" s="4">
        <f>[1]加比纳!$AB17</f>
        <v>5469</v>
      </c>
      <c r="L284" s="30">
        <v>800</v>
      </c>
      <c r="M284" s="4">
        <f>[1]加比纳!W17</f>
        <v>714</v>
      </c>
      <c r="N284" s="4">
        <f>[1]加比纳!X17</f>
        <v>131</v>
      </c>
      <c r="O284" s="4">
        <f>[1]加比纳!Y17</f>
        <v>7584</v>
      </c>
      <c r="P284" s="4">
        <v>0</v>
      </c>
      <c r="Q284" s="4">
        <f>[1]加比纳!Z17</f>
        <v>2868</v>
      </c>
      <c r="R284" s="4">
        <v>2.5</v>
      </c>
      <c r="S284" s="4">
        <f>[1]加比纳!AA17</f>
        <v>63</v>
      </c>
      <c r="T284" s="4">
        <v>0</v>
      </c>
      <c r="U284" s="4">
        <v>0</v>
      </c>
      <c r="V284" s="4">
        <v>0</v>
      </c>
    </row>
    <row r="285" spans="1:22" x14ac:dyDescent="0.15">
      <c r="A285" s="4" t="s">
        <v>2662</v>
      </c>
      <c r="D285" s="4">
        <f t="shared" si="3"/>
        <v>13</v>
      </c>
      <c r="E285" s="4">
        <v>17</v>
      </c>
      <c r="H285" s="29">
        <v>1001</v>
      </c>
      <c r="I285" s="4">
        <f>[1]加比纳!$AB18</f>
        <v>5630</v>
      </c>
      <c r="L285" s="30">
        <v>800</v>
      </c>
      <c r="M285" s="4">
        <f>[1]加比纳!W18</f>
        <v>736</v>
      </c>
      <c r="N285" s="4">
        <f>[1]加比纳!X18</f>
        <v>139</v>
      </c>
      <c r="O285" s="4">
        <f>[1]加比纳!Y18</f>
        <v>7744</v>
      </c>
      <c r="P285" s="4">
        <v>0</v>
      </c>
      <c r="Q285" s="4">
        <f>[1]加比纳!Z18</f>
        <v>2880</v>
      </c>
      <c r="R285" s="4">
        <v>2.5</v>
      </c>
      <c r="S285" s="4">
        <f>[1]加比纳!AA18</f>
        <v>66</v>
      </c>
      <c r="T285" s="4">
        <v>0</v>
      </c>
      <c r="U285" s="4">
        <v>0</v>
      </c>
      <c r="V285" s="4">
        <v>0</v>
      </c>
    </row>
    <row r="286" spans="1:22" x14ac:dyDescent="0.15">
      <c r="A286" s="4" t="s">
        <v>2662</v>
      </c>
      <c r="D286" s="4">
        <f t="shared" si="3"/>
        <v>13</v>
      </c>
      <c r="E286" s="4">
        <v>18</v>
      </c>
      <c r="H286" s="29">
        <v>1001</v>
      </c>
      <c r="I286" s="4">
        <f>[1]加比纳!$AB19</f>
        <v>5792</v>
      </c>
      <c r="L286" s="30">
        <v>800</v>
      </c>
      <c r="M286" s="4">
        <f>[1]加比纳!W19</f>
        <v>758</v>
      </c>
      <c r="N286" s="4">
        <f>[1]加比纳!X19</f>
        <v>147</v>
      </c>
      <c r="O286" s="4">
        <f>[1]加比纳!Y19</f>
        <v>7904</v>
      </c>
      <c r="P286" s="4">
        <v>0</v>
      </c>
      <c r="Q286" s="4">
        <f>[1]加比纳!Z19</f>
        <v>2892</v>
      </c>
      <c r="R286" s="4">
        <v>2.5</v>
      </c>
      <c r="S286" s="4">
        <f>[1]加比纳!AA19</f>
        <v>69</v>
      </c>
      <c r="T286" s="4">
        <v>0</v>
      </c>
      <c r="U286" s="4">
        <v>0</v>
      </c>
      <c r="V286" s="4">
        <v>0</v>
      </c>
    </row>
    <row r="287" spans="1:22" x14ac:dyDescent="0.15">
      <c r="A287" s="4" t="s">
        <v>2662</v>
      </c>
      <c r="D287" s="4">
        <f t="shared" si="3"/>
        <v>13</v>
      </c>
      <c r="E287" s="4">
        <v>19</v>
      </c>
      <c r="H287" s="29">
        <v>1001</v>
      </c>
      <c r="I287" s="4">
        <f>[1]加比纳!$AB20</f>
        <v>5953</v>
      </c>
      <c r="L287" s="30">
        <v>800</v>
      </c>
      <c r="M287" s="4">
        <f>[1]加比纳!W20</f>
        <v>780</v>
      </c>
      <c r="N287" s="4">
        <f>[1]加比纳!X20</f>
        <v>155</v>
      </c>
      <c r="O287" s="4">
        <f>[1]加比纳!Y20</f>
        <v>8064</v>
      </c>
      <c r="P287" s="4">
        <v>0</v>
      </c>
      <c r="Q287" s="4">
        <f>[1]加比纳!Z20</f>
        <v>2904</v>
      </c>
      <c r="R287" s="4">
        <v>2.5</v>
      </c>
      <c r="S287" s="4">
        <f>[1]加比纳!AA20</f>
        <v>72</v>
      </c>
      <c r="T287" s="4">
        <v>0</v>
      </c>
      <c r="U287" s="4">
        <v>0</v>
      </c>
      <c r="V287" s="4">
        <v>0</v>
      </c>
    </row>
    <row r="288" spans="1:22" x14ac:dyDescent="0.15">
      <c r="A288" s="4" t="s">
        <v>2662</v>
      </c>
      <c r="D288" s="4">
        <f t="shared" si="3"/>
        <v>13</v>
      </c>
      <c r="E288" s="4">
        <v>20</v>
      </c>
      <c r="H288" s="29">
        <v>1001</v>
      </c>
      <c r="I288" s="4">
        <f>[1]加比纳!$AB21</f>
        <v>6114</v>
      </c>
      <c r="L288" s="30">
        <v>800</v>
      </c>
      <c r="M288" s="4">
        <f>[1]加比纳!W21</f>
        <v>802</v>
      </c>
      <c r="N288" s="4">
        <f>[1]加比纳!X21</f>
        <v>163</v>
      </c>
      <c r="O288" s="4">
        <f>[1]加比纳!Y21</f>
        <v>8224</v>
      </c>
      <c r="P288" s="4">
        <v>0</v>
      </c>
      <c r="Q288" s="4">
        <f>[1]加比纳!Z21</f>
        <v>2916</v>
      </c>
      <c r="R288" s="4">
        <v>2.5</v>
      </c>
      <c r="S288" s="4">
        <f>[1]加比纳!AA21</f>
        <v>75</v>
      </c>
      <c r="T288" s="4">
        <v>0</v>
      </c>
      <c r="U288" s="4">
        <v>0</v>
      </c>
      <c r="V288" s="4">
        <v>0</v>
      </c>
    </row>
    <row r="289" spans="1:22" x14ac:dyDescent="0.15">
      <c r="A289" s="4" t="s">
        <v>2662</v>
      </c>
      <c r="D289" s="4">
        <f t="shared" si="3"/>
        <v>13</v>
      </c>
      <c r="E289" s="4">
        <v>21</v>
      </c>
      <c r="H289" s="29">
        <v>1001</v>
      </c>
      <c r="I289" s="4">
        <f>[1]加比纳!$AB22</f>
        <v>6275</v>
      </c>
      <c r="L289" s="30">
        <v>800</v>
      </c>
      <c r="M289" s="4">
        <f>[1]加比纳!W22</f>
        <v>824</v>
      </c>
      <c r="N289" s="4">
        <f>[1]加比纳!X22</f>
        <v>171</v>
      </c>
      <c r="O289" s="4">
        <f>[1]加比纳!Y22</f>
        <v>8384</v>
      </c>
      <c r="P289" s="4">
        <v>0</v>
      </c>
      <c r="Q289" s="4">
        <f>[1]加比纳!Z22</f>
        <v>2928</v>
      </c>
      <c r="R289" s="4">
        <v>2.5</v>
      </c>
      <c r="S289" s="4">
        <f>[1]加比纳!AA22</f>
        <v>78</v>
      </c>
      <c r="T289" s="4">
        <v>0</v>
      </c>
      <c r="U289" s="4">
        <v>0</v>
      </c>
      <c r="V289" s="4">
        <v>0</v>
      </c>
    </row>
    <row r="290" spans="1:22" x14ac:dyDescent="0.15">
      <c r="A290" s="4" t="s">
        <v>2662</v>
      </c>
      <c r="D290" s="4">
        <f t="shared" si="3"/>
        <v>13</v>
      </c>
      <c r="E290" s="4">
        <v>22</v>
      </c>
      <c r="H290" s="29">
        <v>1001</v>
      </c>
      <c r="I290" s="4">
        <f>[1]加比纳!$AB23</f>
        <v>6437</v>
      </c>
      <c r="L290" s="30">
        <v>800</v>
      </c>
      <c r="M290" s="4">
        <f>[1]加比纳!W23</f>
        <v>846</v>
      </c>
      <c r="N290" s="4">
        <f>[1]加比纳!X23</f>
        <v>179</v>
      </c>
      <c r="O290" s="4">
        <f>[1]加比纳!Y23</f>
        <v>8544</v>
      </c>
      <c r="P290" s="4">
        <v>0</v>
      </c>
      <c r="Q290" s="4">
        <f>[1]加比纳!Z23</f>
        <v>2940</v>
      </c>
      <c r="R290" s="4">
        <v>2.5</v>
      </c>
      <c r="S290" s="4">
        <f>[1]加比纳!AA23</f>
        <v>81</v>
      </c>
      <c r="T290" s="4">
        <v>0</v>
      </c>
      <c r="U290" s="4">
        <v>0</v>
      </c>
      <c r="V290" s="4">
        <v>0</v>
      </c>
    </row>
    <row r="291" spans="1:22" x14ac:dyDescent="0.15">
      <c r="A291" s="4" t="s">
        <v>2662</v>
      </c>
      <c r="D291" s="4">
        <f t="shared" si="3"/>
        <v>13</v>
      </c>
      <c r="E291" s="4">
        <v>23</v>
      </c>
      <c r="H291" s="29">
        <v>1001</v>
      </c>
      <c r="I291" s="4">
        <f>[1]加比纳!$AB24</f>
        <v>6598</v>
      </c>
      <c r="L291" s="30">
        <v>800</v>
      </c>
      <c r="M291" s="4">
        <f>[1]加比纳!W24</f>
        <v>868</v>
      </c>
      <c r="N291" s="4">
        <f>[1]加比纳!X24</f>
        <v>187</v>
      </c>
      <c r="O291" s="4">
        <f>[1]加比纳!Y24</f>
        <v>8704</v>
      </c>
      <c r="P291" s="4">
        <v>0</v>
      </c>
      <c r="Q291" s="4">
        <f>[1]加比纳!Z24</f>
        <v>2952</v>
      </c>
      <c r="R291" s="4">
        <v>2.5</v>
      </c>
      <c r="S291" s="4">
        <f>[1]加比纳!AA24</f>
        <v>84</v>
      </c>
      <c r="T291" s="4">
        <v>0</v>
      </c>
      <c r="U291" s="4">
        <v>0</v>
      </c>
      <c r="V291" s="4">
        <v>0</v>
      </c>
    </row>
    <row r="292" spans="1:22" x14ac:dyDescent="0.15">
      <c r="A292" s="4" t="s">
        <v>2662</v>
      </c>
      <c r="D292" s="4">
        <f t="shared" si="3"/>
        <v>13</v>
      </c>
      <c r="E292" s="4">
        <v>24</v>
      </c>
      <c r="H292" s="29">
        <v>1001</v>
      </c>
      <c r="I292" s="4">
        <f>[1]加比纳!$AB25</f>
        <v>6759</v>
      </c>
      <c r="L292" s="30">
        <v>800</v>
      </c>
      <c r="M292" s="4">
        <f>[1]加比纳!W25</f>
        <v>890</v>
      </c>
      <c r="N292" s="4">
        <f>[1]加比纳!X25</f>
        <v>195</v>
      </c>
      <c r="O292" s="4">
        <f>[1]加比纳!Y25</f>
        <v>8864</v>
      </c>
      <c r="P292" s="4">
        <v>0</v>
      </c>
      <c r="Q292" s="4">
        <f>[1]加比纳!Z25</f>
        <v>2964</v>
      </c>
      <c r="R292" s="4">
        <v>2.5</v>
      </c>
      <c r="S292" s="4">
        <f>[1]加比纳!AA25</f>
        <v>87</v>
      </c>
      <c r="T292" s="4">
        <v>0</v>
      </c>
      <c r="U292" s="4">
        <v>0</v>
      </c>
      <c r="V292" s="4">
        <v>0</v>
      </c>
    </row>
    <row r="293" spans="1:22" x14ac:dyDescent="0.15">
      <c r="A293" s="4" t="s">
        <v>2662</v>
      </c>
      <c r="D293" s="4">
        <f t="shared" si="3"/>
        <v>13</v>
      </c>
      <c r="E293" s="4">
        <v>25</v>
      </c>
      <c r="H293" s="29">
        <v>1001</v>
      </c>
      <c r="I293" s="4">
        <f>[1]加比纳!$AB26</f>
        <v>6920</v>
      </c>
      <c r="L293" s="30">
        <v>800</v>
      </c>
      <c r="M293" s="4">
        <f>[1]加比纳!W26</f>
        <v>912</v>
      </c>
      <c r="N293" s="4">
        <f>[1]加比纳!X26</f>
        <v>203</v>
      </c>
      <c r="O293" s="4">
        <f>[1]加比纳!Y26</f>
        <v>9024</v>
      </c>
      <c r="P293" s="4">
        <v>0</v>
      </c>
      <c r="Q293" s="4">
        <f>[1]加比纳!Z26</f>
        <v>2976</v>
      </c>
      <c r="R293" s="4">
        <v>2.5</v>
      </c>
      <c r="S293" s="4">
        <f>[1]加比纳!AA26</f>
        <v>90</v>
      </c>
      <c r="T293" s="4">
        <v>0</v>
      </c>
      <c r="U293" s="4">
        <v>0</v>
      </c>
      <c r="V293" s="4">
        <v>0</v>
      </c>
    </row>
    <row r="294" spans="1:22" x14ac:dyDescent="0.15">
      <c r="A294" s="4" t="s">
        <v>2662</v>
      </c>
      <c r="D294" s="4">
        <f t="shared" si="3"/>
        <v>13</v>
      </c>
      <c r="E294" s="4">
        <v>26</v>
      </c>
      <c r="H294" s="29">
        <v>1001</v>
      </c>
      <c r="I294" s="4">
        <f>[1]加比纳!$AB27</f>
        <v>7082</v>
      </c>
      <c r="L294" s="30">
        <v>800</v>
      </c>
      <c r="M294" s="4">
        <f>[1]加比纳!W27</f>
        <v>934</v>
      </c>
      <c r="N294" s="4">
        <f>[1]加比纳!X27</f>
        <v>211</v>
      </c>
      <c r="O294" s="4">
        <f>[1]加比纳!Y27</f>
        <v>9184</v>
      </c>
      <c r="P294" s="4">
        <v>0</v>
      </c>
      <c r="Q294" s="4">
        <f>[1]加比纳!Z27</f>
        <v>2988</v>
      </c>
      <c r="R294" s="4">
        <v>2.5</v>
      </c>
      <c r="S294" s="4">
        <f>[1]加比纳!AA27</f>
        <v>93</v>
      </c>
      <c r="T294" s="4">
        <v>0</v>
      </c>
      <c r="U294" s="4">
        <v>0</v>
      </c>
      <c r="V294" s="4">
        <v>0</v>
      </c>
    </row>
    <row r="295" spans="1:22" x14ac:dyDescent="0.15">
      <c r="A295" s="4" t="s">
        <v>2662</v>
      </c>
      <c r="D295" s="4">
        <f t="shared" si="3"/>
        <v>13</v>
      </c>
      <c r="E295" s="4">
        <v>27</v>
      </c>
      <c r="H295" s="29">
        <v>1001</v>
      </c>
      <c r="I295" s="4">
        <f>[1]加比纳!$AB28</f>
        <v>7243</v>
      </c>
      <c r="L295" s="30">
        <v>800</v>
      </c>
      <c r="M295" s="4">
        <f>[1]加比纳!W28</f>
        <v>956</v>
      </c>
      <c r="N295" s="4">
        <f>[1]加比纳!X28</f>
        <v>219</v>
      </c>
      <c r="O295" s="4">
        <f>[1]加比纳!Y28</f>
        <v>9344</v>
      </c>
      <c r="P295" s="4">
        <v>0</v>
      </c>
      <c r="Q295" s="4">
        <f>[1]加比纳!Z28</f>
        <v>3000</v>
      </c>
      <c r="R295" s="4">
        <v>2.5</v>
      </c>
      <c r="S295" s="4">
        <f>[1]加比纳!AA28</f>
        <v>96</v>
      </c>
      <c r="T295" s="4">
        <v>0</v>
      </c>
      <c r="U295" s="4">
        <v>0</v>
      </c>
      <c r="V295" s="4">
        <v>0</v>
      </c>
    </row>
    <row r="296" spans="1:22" x14ac:dyDescent="0.15">
      <c r="A296" s="4" t="s">
        <v>2662</v>
      </c>
      <c r="D296" s="4">
        <f t="shared" si="3"/>
        <v>13</v>
      </c>
      <c r="E296" s="4">
        <v>28</v>
      </c>
      <c r="H296" s="29">
        <v>1001</v>
      </c>
      <c r="I296" s="4">
        <f>[1]加比纳!$AB29</f>
        <v>7404</v>
      </c>
      <c r="L296" s="30">
        <v>800</v>
      </c>
      <c r="M296" s="4">
        <f>[1]加比纳!W29</f>
        <v>978</v>
      </c>
      <c r="N296" s="4">
        <f>[1]加比纳!X29</f>
        <v>227</v>
      </c>
      <c r="O296" s="4">
        <f>[1]加比纳!Y29</f>
        <v>9504</v>
      </c>
      <c r="P296" s="4">
        <v>0</v>
      </c>
      <c r="Q296" s="4">
        <f>[1]加比纳!Z29</f>
        <v>3012</v>
      </c>
      <c r="R296" s="4">
        <v>2.5</v>
      </c>
      <c r="S296" s="4">
        <f>[1]加比纳!AA29</f>
        <v>99</v>
      </c>
      <c r="T296" s="4">
        <v>0</v>
      </c>
      <c r="U296" s="4">
        <v>0</v>
      </c>
      <c r="V296" s="4">
        <v>0</v>
      </c>
    </row>
    <row r="297" spans="1:22" x14ac:dyDescent="0.15">
      <c r="A297" s="4" t="s">
        <v>2662</v>
      </c>
      <c r="D297" s="4">
        <f t="shared" si="3"/>
        <v>13</v>
      </c>
      <c r="E297" s="4">
        <v>29</v>
      </c>
      <c r="H297" s="29">
        <v>1001</v>
      </c>
      <c r="I297" s="4">
        <f>[1]加比纳!$AB30</f>
        <v>7565</v>
      </c>
      <c r="L297" s="30">
        <v>800</v>
      </c>
      <c r="M297" s="4">
        <f>[1]加比纳!W30</f>
        <v>1000</v>
      </c>
      <c r="N297" s="4">
        <f>[1]加比纳!X30</f>
        <v>235</v>
      </c>
      <c r="O297" s="4">
        <f>[1]加比纳!Y30</f>
        <v>9664</v>
      </c>
      <c r="P297" s="4">
        <v>0</v>
      </c>
      <c r="Q297" s="4">
        <f>[1]加比纳!Z30</f>
        <v>3024</v>
      </c>
      <c r="R297" s="4">
        <v>2.5</v>
      </c>
      <c r="S297" s="4">
        <f>[1]加比纳!AA30</f>
        <v>102</v>
      </c>
      <c r="T297" s="4">
        <v>0</v>
      </c>
      <c r="U297" s="4">
        <v>0</v>
      </c>
      <c r="V297" s="4">
        <v>0</v>
      </c>
    </row>
    <row r="298" spans="1:22" x14ac:dyDescent="0.15">
      <c r="A298" s="4" t="s">
        <v>2662</v>
      </c>
      <c r="D298" s="4">
        <f t="shared" si="3"/>
        <v>13</v>
      </c>
      <c r="E298" s="4">
        <v>30</v>
      </c>
      <c r="H298" s="29">
        <v>1001</v>
      </c>
      <c r="I298" s="4">
        <f>[1]加比纳!$AB31</f>
        <v>7727</v>
      </c>
      <c r="L298" s="30">
        <v>800</v>
      </c>
      <c r="M298" s="4">
        <f>[1]加比纳!W31</f>
        <v>1022</v>
      </c>
      <c r="N298" s="4">
        <f>[1]加比纳!X31</f>
        <v>243</v>
      </c>
      <c r="O298" s="4">
        <f>[1]加比纳!Y31</f>
        <v>9824</v>
      </c>
      <c r="P298" s="4">
        <v>0</v>
      </c>
      <c r="Q298" s="4">
        <f>[1]加比纳!Z31</f>
        <v>3036</v>
      </c>
      <c r="R298" s="4">
        <v>2.5</v>
      </c>
      <c r="S298" s="4">
        <f>[1]加比纳!AA31</f>
        <v>105</v>
      </c>
      <c r="T298" s="4">
        <v>0</v>
      </c>
      <c r="U298" s="4">
        <v>0</v>
      </c>
      <c r="V298" s="4">
        <v>0</v>
      </c>
    </row>
    <row r="299" spans="1:22" x14ac:dyDescent="0.15">
      <c r="A299" s="4" t="s">
        <v>2662</v>
      </c>
      <c r="D299" s="4">
        <f t="shared" si="3"/>
        <v>13</v>
      </c>
      <c r="E299" s="4">
        <v>31</v>
      </c>
      <c r="H299" s="29">
        <v>1001</v>
      </c>
      <c r="I299" s="4">
        <f>[1]加比纳!$AB32</f>
        <v>7888</v>
      </c>
      <c r="L299" s="30">
        <v>800</v>
      </c>
      <c r="M299" s="4">
        <f>[1]加比纳!W32</f>
        <v>1044</v>
      </c>
      <c r="N299" s="4">
        <f>[1]加比纳!X32</f>
        <v>251</v>
      </c>
      <c r="O299" s="4">
        <f>[1]加比纳!Y32</f>
        <v>9984</v>
      </c>
      <c r="P299" s="4">
        <v>0</v>
      </c>
      <c r="Q299" s="4">
        <f>[1]加比纳!Z32</f>
        <v>3048</v>
      </c>
      <c r="R299" s="4">
        <v>2.5</v>
      </c>
      <c r="S299" s="4">
        <f>[1]加比纳!AA32</f>
        <v>108</v>
      </c>
      <c r="T299" s="4">
        <v>0</v>
      </c>
      <c r="U299" s="4">
        <v>0</v>
      </c>
      <c r="V299" s="4">
        <v>0</v>
      </c>
    </row>
    <row r="300" spans="1:22" x14ac:dyDescent="0.15">
      <c r="A300" s="4" t="s">
        <v>2662</v>
      </c>
      <c r="D300" s="4">
        <f t="shared" si="3"/>
        <v>13</v>
      </c>
      <c r="E300" s="4">
        <v>32</v>
      </c>
      <c r="H300" s="29">
        <v>1001</v>
      </c>
      <c r="I300" s="4">
        <f>[1]加比纳!$AB33</f>
        <v>8049</v>
      </c>
      <c r="L300" s="30">
        <v>800</v>
      </c>
      <c r="M300" s="4">
        <f>[1]加比纳!W33</f>
        <v>1066</v>
      </c>
      <c r="N300" s="4">
        <f>[1]加比纳!X33</f>
        <v>259</v>
      </c>
      <c r="O300" s="4">
        <f>[1]加比纳!Y33</f>
        <v>10144</v>
      </c>
      <c r="P300" s="4">
        <v>0</v>
      </c>
      <c r="Q300" s="4">
        <f>[1]加比纳!Z33</f>
        <v>3060</v>
      </c>
      <c r="R300" s="4">
        <v>2.5</v>
      </c>
      <c r="S300" s="4">
        <f>[1]加比纳!AA33</f>
        <v>111</v>
      </c>
      <c r="T300" s="4">
        <v>0</v>
      </c>
      <c r="U300" s="4">
        <v>0</v>
      </c>
      <c r="V300" s="4">
        <v>0</v>
      </c>
    </row>
    <row r="301" spans="1:22" x14ac:dyDescent="0.15">
      <c r="A301" s="4" t="s">
        <v>2662</v>
      </c>
      <c r="D301" s="4">
        <f t="shared" si="3"/>
        <v>13</v>
      </c>
      <c r="E301" s="4">
        <v>33</v>
      </c>
      <c r="H301" s="29">
        <v>1001</v>
      </c>
      <c r="I301" s="4">
        <f>[1]加比纳!$AB34</f>
        <v>8210</v>
      </c>
      <c r="L301" s="30">
        <v>800</v>
      </c>
      <c r="M301" s="4">
        <f>[1]加比纳!W34</f>
        <v>1088</v>
      </c>
      <c r="N301" s="4">
        <f>[1]加比纳!X34</f>
        <v>267</v>
      </c>
      <c r="O301" s="4">
        <f>[1]加比纳!Y34</f>
        <v>10304</v>
      </c>
      <c r="P301" s="4">
        <v>0</v>
      </c>
      <c r="Q301" s="4">
        <f>[1]加比纳!Z34</f>
        <v>3072</v>
      </c>
      <c r="R301" s="4">
        <v>2.5</v>
      </c>
      <c r="S301" s="4">
        <f>[1]加比纳!AA34</f>
        <v>114</v>
      </c>
      <c r="T301" s="4">
        <v>0</v>
      </c>
      <c r="U301" s="4">
        <v>0</v>
      </c>
      <c r="V301" s="4">
        <v>0</v>
      </c>
    </row>
    <row r="302" spans="1:22" x14ac:dyDescent="0.15">
      <c r="A302" s="4" t="s">
        <v>2662</v>
      </c>
      <c r="D302" s="4">
        <f t="shared" si="3"/>
        <v>13</v>
      </c>
      <c r="E302" s="4">
        <v>34</v>
      </c>
      <c r="H302" s="29">
        <v>1001</v>
      </c>
      <c r="I302" s="4">
        <f>[1]加比纳!$AB35</f>
        <v>8371</v>
      </c>
      <c r="L302" s="30">
        <v>800</v>
      </c>
      <c r="M302" s="4">
        <f>[1]加比纳!W35</f>
        <v>1110</v>
      </c>
      <c r="N302" s="4">
        <f>[1]加比纳!X35</f>
        <v>275</v>
      </c>
      <c r="O302" s="4">
        <f>[1]加比纳!Y35</f>
        <v>10464</v>
      </c>
      <c r="P302" s="4">
        <v>0</v>
      </c>
      <c r="Q302" s="4">
        <f>[1]加比纳!Z35</f>
        <v>3084</v>
      </c>
      <c r="R302" s="4">
        <v>2.5</v>
      </c>
      <c r="S302" s="4">
        <f>[1]加比纳!AA35</f>
        <v>117</v>
      </c>
      <c r="T302" s="4">
        <v>0</v>
      </c>
      <c r="U302" s="4">
        <v>0</v>
      </c>
      <c r="V302" s="4">
        <v>0</v>
      </c>
    </row>
    <row r="303" spans="1:22" x14ac:dyDescent="0.15">
      <c r="A303" s="4" t="s">
        <v>2662</v>
      </c>
      <c r="D303" s="4">
        <f t="shared" si="3"/>
        <v>13</v>
      </c>
      <c r="E303" s="4">
        <v>35</v>
      </c>
      <c r="H303" s="29">
        <v>1001</v>
      </c>
      <c r="I303" s="4">
        <f>[1]加比纳!$AB36</f>
        <v>8533</v>
      </c>
      <c r="L303" s="30">
        <v>800</v>
      </c>
      <c r="M303" s="4">
        <f>[1]加比纳!W36</f>
        <v>1132</v>
      </c>
      <c r="N303" s="4">
        <f>[1]加比纳!X36</f>
        <v>283</v>
      </c>
      <c r="O303" s="4">
        <f>[1]加比纳!Y36</f>
        <v>10624</v>
      </c>
      <c r="P303" s="4">
        <v>0</v>
      </c>
      <c r="Q303" s="4">
        <f>[1]加比纳!Z36</f>
        <v>3096</v>
      </c>
      <c r="R303" s="4">
        <v>2.5</v>
      </c>
      <c r="S303" s="4">
        <f>[1]加比纳!AA36</f>
        <v>120</v>
      </c>
      <c r="T303" s="4">
        <v>0</v>
      </c>
      <c r="U303" s="4">
        <v>0</v>
      </c>
      <c r="V303" s="4">
        <v>0</v>
      </c>
    </row>
    <row r="304" spans="1:22" x14ac:dyDescent="0.15">
      <c r="A304" s="4" t="s">
        <v>2662</v>
      </c>
      <c r="D304" s="4">
        <f t="shared" si="3"/>
        <v>13</v>
      </c>
      <c r="E304" s="4">
        <v>36</v>
      </c>
      <c r="H304" s="29">
        <v>1001</v>
      </c>
      <c r="I304" s="4">
        <f>[1]加比纳!$AB37</f>
        <v>8694</v>
      </c>
      <c r="L304" s="30">
        <v>800</v>
      </c>
      <c r="M304" s="4">
        <f>[1]加比纳!W37</f>
        <v>1154</v>
      </c>
      <c r="N304" s="4">
        <f>[1]加比纳!X37</f>
        <v>291</v>
      </c>
      <c r="O304" s="4">
        <f>[1]加比纳!Y37</f>
        <v>10784</v>
      </c>
      <c r="P304" s="4">
        <v>0</v>
      </c>
      <c r="Q304" s="4">
        <f>[1]加比纳!Z37</f>
        <v>3108</v>
      </c>
      <c r="R304" s="4">
        <v>2.5</v>
      </c>
      <c r="S304" s="4">
        <f>[1]加比纳!AA37</f>
        <v>123</v>
      </c>
      <c r="T304" s="4">
        <v>0</v>
      </c>
      <c r="U304" s="4">
        <v>0</v>
      </c>
      <c r="V304" s="4">
        <v>0</v>
      </c>
    </row>
    <row r="305" spans="1:22" x14ac:dyDescent="0.15">
      <c r="A305" s="4" t="s">
        <v>2662</v>
      </c>
      <c r="D305" s="4">
        <f t="shared" si="3"/>
        <v>13</v>
      </c>
      <c r="E305" s="4">
        <v>37</v>
      </c>
      <c r="H305" s="29">
        <v>1001</v>
      </c>
      <c r="I305" s="4">
        <f>[1]加比纳!$AB38</f>
        <v>8855</v>
      </c>
      <c r="L305" s="30">
        <v>800</v>
      </c>
      <c r="M305" s="4">
        <f>[1]加比纳!W38</f>
        <v>1176</v>
      </c>
      <c r="N305" s="4">
        <f>[1]加比纳!X38</f>
        <v>299</v>
      </c>
      <c r="O305" s="4">
        <f>[1]加比纳!Y38</f>
        <v>10944</v>
      </c>
      <c r="P305" s="4">
        <v>0</v>
      </c>
      <c r="Q305" s="4">
        <f>[1]加比纳!Z38</f>
        <v>3120</v>
      </c>
      <c r="R305" s="4">
        <v>2.5</v>
      </c>
      <c r="S305" s="4">
        <f>[1]加比纳!AA38</f>
        <v>126</v>
      </c>
      <c r="T305" s="4">
        <v>0</v>
      </c>
      <c r="U305" s="4">
        <v>0</v>
      </c>
      <c r="V305" s="4">
        <v>0</v>
      </c>
    </row>
    <row r="306" spans="1:22" x14ac:dyDescent="0.15">
      <c r="A306" s="4" t="s">
        <v>2662</v>
      </c>
      <c r="D306" s="4">
        <f t="shared" si="3"/>
        <v>13</v>
      </c>
      <c r="E306" s="4">
        <v>38</v>
      </c>
      <c r="H306" s="29">
        <v>1001</v>
      </c>
      <c r="I306" s="4">
        <f>[1]加比纳!$AB39</f>
        <v>9016</v>
      </c>
      <c r="L306" s="30">
        <v>800</v>
      </c>
      <c r="M306" s="4">
        <f>[1]加比纳!W39</f>
        <v>1198</v>
      </c>
      <c r="N306" s="4">
        <f>[1]加比纳!X39</f>
        <v>307</v>
      </c>
      <c r="O306" s="4">
        <f>[1]加比纳!Y39</f>
        <v>11104</v>
      </c>
      <c r="P306" s="4">
        <v>0</v>
      </c>
      <c r="Q306" s="4">
        <f>[1]加比纳!Z39</f>
        <v>3132</v>
      </c>
      <c r="R306" s="4">
        <v>2.5</v>
      </c>
      <c r="S306" s="4">
        <f>[1]加比纳!AA39</f>
        <v>129</v>
      </c>
      <c r="T306" s="4">
        <v>0</v>
      </c>
      <c r="U306" s="4">
        <v>0</v>
      </c>
      <c r="V306" s="4">
        <v>0</v>
      </c>
    </row>
    <row r="307" spans="1:22" x14ac:dyDescent="0.15">
      <c r="A307" s="4" t="s">
        <v>2662</v>
      </c>
      <c r="D307" s="4">
        <f t="shared" si="3"/>
        <v>13</v>
      </c>
      <c r="E307" s="4">
        <v>39</v>
      </c>
      <c r="H307" s="29">
        <v>1001</v>
      </c>
      <c r="I307" s="4">
        <f>[1]加比纳!$AB40</f>
        <v>9178</v>
      </c>
      <c r="L307" s="30">
        <v>800</v>
      </c>
      <c r="M307" s="4">
        <f>[1]加比纳!W40</f>
        <v>1220</v>
      </c>
      <c r="N307" s="4">
        <f>[1]加比纳!X40</f>
        <v>315</v>
      </c>
      <c r="O307" s="4">
        <f>[1]加比纳!Y40</f>
        <v>11264</v>
      </c>
      <c r="P307" s="4">
        <v>0</v>
      </c>
      <c r="Q307" s="4">
        <f>[1]加比纳!Z40</f>
        <v>3144</v>
      </c>
      <c r="R307" s="4">
        <v>2.5</v>
      </c>
      <c r="S307" s="4">
        <f>[1]加比纳!AA40</f>
        <v>132</v>
      </c>
      <c r="T307" s="4">
        <v>0</v>
      </c>
      <c r="U307" s="4">
        <v>0</v>
      </c>
      <c r="V307" s="4">
        <v>0</v>
      </c>
    </row>
    <row r="308" spans="1:22" x14ac:dyDescent="0.15">
      <c r="A308" s="4" t="s">
        <v>2662</v>
      </c>
      <c r="D308" s="4">
        <f t="shared" si="3"/>
        <v>13</v>
      </c>
      <c r="E308" s="4">
        <v>40</v>
      </c>
      <c r="H308" s="29">
        <v>1001</v>
      </c>
      <c r="I308" s="4">
        <f>[1]加比纳!$AB41</f>
        <v>9339</v>
      </c>
      <c r="L308" s="30">
        <v>800</v>
      </c>
      <c r="M308" s="4">
        <f>[1]加比纳!W41</f>
        <v>1242</v>
      </c>
      <c r="N308" s="4">
        <f>[1]加比纳!X41</f>
        <v>323</v>
      </c>
      <c r="O308" s="4">
        <f>[1]加比纳!Y41</f>
        <v>11424</v>
      </c>
      <c r="P308" s="4">
        <v>0</v>
      </c>
      <c r="Q308" s="4">
        <f>[1]加比纳!Z41</f>
        <v>3156</v>
      </c>
      <c r="R308" s="4">
        <v>2.5</v>
      </c>
      <c r="S308" s="4">
        <f>[1]加比纳!AA41</f>
        <v>135</v>
      </c>
      <c r="T308" s="4">
        <v>0</v>
      </c>
      <c r="U308" s="4">
        <v>0</v>
      </c>
      <c r="V308" s="4">
        <v>0</v>
      </c>
    </row>
    <row r="309" spans="1:22" x14ac:dyDescent="0.15">
      <c r="A309" s="4" t="s">
        <v>2662</v>
      </c>
      <c r="D309" s="4">
        <f t="shared" si="3"/>
        <v>13</v>
      </c>
      <c r="E309" s="4">
        <v>41</v>
      </c>
      <c r="H309" s="29">
        <v>1001</v>
      </c>
      <c r="I309" s="4">
        <f>[1]加比纳!$AB42</f>
        <v>9500</v>
      </c>
      <c r="L309" s="30">
        <v>800</v>
      </c>
      <c r="M309" s="4">
        <f>[1]加比纳!W42</f>
        <v>1264</v>
      </c>
      <c r="N309" s="4">
        <f>[1]加比纳!X42</f>
        <v>331</v>
      </c>
      <c r="O309" s="4">
        <f>[1]加比纳!Y42</f>
        <v>11584</v>
      </c>
      <c r="P309" s="4">
        <v>0</v>
      </c>
      <c r="Q309" s="4">
        <f>[1]加比纳!Z42</f>
        <v>3168</v>
      </c>
      <c r="R309" s="4">
        <v>2.5</v>
      </c>
      <c r="S309" s="4">
        <f>[1]加比纳!AA42</f>
        <v>138</v>
      </c>
      <c r="T309" s="4">
        <v>0</v>
      </c>
      <c r="U309" s="4">
        <v>0</v>
      </c>
      <c r="V309" s="4">
        <v>0</v>
      </c>
    </row>
    <row r="310" spans="1:22" x14ac:dyDescent="0.15">
      <c r="A310" s="4" t="s">
        <v>2662</v>
      </c>
      <c r="D310" s="4">
        <f t="shared" si="3"/>
        <v>13</v>
      </c>
      <c r="E310" s="4">
        <v>42</v>
      </c>
      <c r="H310" s="29">
        <v>1001</v>
      </c>
      <c r="I310" s="4">
        <f>[1]加比纳!$AB43</f>
        <v>9661</v>
      </c>
      <c r="L310" s="30">
        <v>800</v>
      </c>
      <c r="M310" s="4">
        <f>[1]加比纳!W43</f>
        <v>1286</v>
      </c>
      <c r="N310" s="4">
        <f>[1]加比纳!X43</f>
        <v>339</v>
      </c>
      <c r="O310" s="4">
        <f>[1]加比纳!Y43</f>
        <v>11744</v>
      </c>
      <c r="P310" s="4">
        <v>0</v>
      </c>
      <c r="Q310" s="4">
        <f>[1]加比纳!Z43</f>
        <v>3180</v>
      </c>
      <c r="R310" s="4">
        <v>2.5</v>
      </c>
      <c r="S310" s="4">
        <f>[1]加比纳!AA43</f>
        <v>141</v>
      </c>
      <c r="T310" s="4">
        <v>0</v>
      </c>
      <c r="U310" s="4">
        <v>0</v>
      </c>
      <c r="V310" s="4">
        <v>0</v>
      </c>
    </row>
    <row r="311" spans="1:22" x14ac:dyDescent="0.15">
      <c r="A311" s="4" t="s">
        <v>2662</v>
      </c>
      <c r="D311" s="4">
        <f t="shared" si="3"/>
        <v>13</v>
      </c>
      <c r="E311" s="4">
        <v>43</v>
      </c>
      <c r="H311" s="29">
        <v>1001</v>
      </c>
      <c r="I311" s="4">
        <f>[1]加比纳!$AB44</f>
        <v>9823</v>
      </c>
      <c r="L311" s="30">
        <v>800</v>
      </c>
      <c r="M311" s="4">
        <f>[1]加比纳!W44</f>
        <v>1308</v>
      </c>
      <c r="N311" s="4">
        <f>[1]加比纳!X44</f>
        <v>347</v>
      </c>
      <c r="O311" s="4">
        <f>[1]加比纳!Y44</f>
        <v>11904</v>
      </c>
      <c r="P311" s="4">
        <v>0</v>
      </c>
      <c r="Q311" s="4">
        <f>[1]加比纳!Z44</f>
        <v>3192</v>
      </c>
      <c r="R311" s="4">
        <v>2.5</v>
      </c>
      <c r="S311" s="4">
        <f>[1]加比纳!AA44</f>
        <v>144</v>
      </c>
      <c r="T311" s="4">
        <v>0</v>
      </c>
      <c r="U311" s="4">
        <v>0</v>
      </c>
      <c r="V311" s="4">
        <v>0</v>
      </c>
    </row>
    <row r="312" spans="1:22" x14ac:dyDescent="0.15">
      <c r="A312" s="4" t="s">
        <v>2662</v>
      </c>
      <c r="D312" s="4">
        <f t="shared" si="3"/>
        <v>13</v>
      </c>
      <c r="E312" s="4">
        <v>44</v>
      </c>
      <c r="H312" s="29">
        <v>1001</v>
      </c>
      <c r="I312" s="4">
        <f>[1]加比纳!$AB45</f>
        <v>9984</v>
      </c>
      <c r="L312" s="30">
        <v>800</v>
      </c>
      <c r="M312" s="4">
        <f>[1]加比纳!W45</f>
        <v>1330</v>
      </c>
      <c r="N312" s="4">
        <f>[1]加比纳!X45</f>
        <v>355</v>
      </c>
      <c r="O312" s="4">
        <f>[1]加比纳!Y45</f>
        <v>12064</v>
      </c>
      <c r="P312" s="4">
        <v>0</v>
      </c>
      <c r="Q312" s="4">
        <f>[1]加比纳!Z45</f>
        <v>3204</v>
      </c>
      <c r="R312" s="4">
        <v>2.5</v>
      </c>
      <c r="S312" s="4">
        <f>[1]加比纳!AA45</f>
        <v>147</v>
      </c>
      <c r="T312" s="4">
        <v>0</v>
      </c>
      <c r="U312" s="4">
        <v>0</v>
      </c>
      <c r="V312" s="4">
        <v>0</v>
      </c>
    </row>
    <row r="313" spans="1:22" x14ac:dyDescent="0.15">
      <c r="A313" s="4" t="s">
        <v>2662</v>
      </c>
      <c r="D313" s="4">
        <f t="shared" si="3"/>
        <v>13</v>
      </c>
      <c r="E313" s="4">
        <v>45</v>
      </c>
      <c r="H313" s="29">
        <v>1001</v>
      </c>
      <c r="I313" s="4">
        <f>[1]加比纳!$AB46</f>
        <v>10145</v>
      </c>
      <c r="L313" s="30">
        <v>800</v>
      </c>
      <c r="M313" s="4">
        <f>[1]加比纳!W46</f>
        <v>1352</v>
      </c>
      <c r="N313" s="4">
        <f>[1]加比纳!X46</f>
        <v>363</v>
      </c>
      <c r="O313" s="4">
        <f>[1]加比纳!Y46</f>
        <v>12224</v>
      </c>
      <c r="P313" s="4">
        <v>0</v>
      </c>
      <c r="Q313" s="4">
        <f>[1]加比纳!Z46</f>
        <v>3216</v>
      </c>
      <c r="R313" s="4">
        <v>2.5</v>
      </c>
      <c r="S313" s="4">
        <f>[1]加比纳!AA46</f>
        <v>150</v>
      </c>
      <c r="T313" s="4">
        <v>0</v>
      </c>
      <c r="U313" s="4">
        <v>0</v>
      </c>
      <c r="V313" s="4">
        <v>0</v>
      </c>
    </row>
    <row r="314" spans="1:22" x14ac:dyDescent="0.15">
      <c r="A314" s="4" t="s">
        <v>2662</v>
      </c>
      <c r="D314" s="4">
        <f t="shared" si="3"/>
        <v>13</v>
      </c>
      <c r="E314" s="4">
        <v>46</v>
      </c>
      <c r="H314" s="29">
        <v>1001</v>
      </c>
      <c r="I314" s="4">
        <f>[1]加比纳!$AB47</f>
        <v>10306</v>
      </c>
      <c r="L314" s="30">
        <v>800</v>
      </c>
      <c r="M314" s="4">
        <f>[1]加比纳!W47</f>
        <v>1374</v>
      </c>
      <c r="N314" s="4">
        <f>[1]加比纳!X47</f>
        <v>371</v>
      </c>
      <c r="O314" s="4">
        <f>[1]加比纳!Y47</f>
        <v>12384</v>
      </c>
      <c r="P314" s="4">
        <v>0</v>
      </c>
      <c r="Q314" s="4">
        <f>[1]加比纳!Z47</f>
        <v>3228</v>
      </c>
      <c r="R314" s="4">
        <v>2.5</v>
      </c>
      <c r="S314" s="4">
        <f>[1]加比纳!AA47</f>
        <v>153</v>
      </c>
      <c r="T314" s="4">
        <v>0</v>
      </c>
      <c r="U314" s="4">
        <v>0</v>
      </c>
      <c r="V314" s="4">
        <v>0</v>
      </c>
    </row>
    <row r="315" spans="1:22" x14ac:dyDescent="0.15">
      <c r="A315" s="4" t="s">
        <v>2662</v>
      </c>
      <c r="D315" s="4">
        <f t="shared" si="3"/>
        <v>13</v>
      </c>
      <c r="E315" s="4">
        <v>47</v>
      </c>
      <c r="H315" s="29">
        <v>1001</v>
      </c>
      <c r="I315" s="4">
        <f>[1]加比纳!$AB48</f>
        <v>10468</v>
      </c>
      <c r="L315" s="30">
        <v>800</v>
      </c>
      <c r="M315" s="4">
        <f>[1]加比纳!W48</f>
        <v>1396</v>
      </c>
      <c r="N315" s="4">
        <f>[1]加比纳!X48</f>
        <v>379</v>
      </c>
      <c r="O315" s="4">
        <f>[1]加比纳!Y48</f>
        <v>12544</v>
      </c>
      <c r="P315" s="4">
        <v>0</v>
      </c>
      <c r="Q315" s="4">
        <f>[1]加比纳!Z48</f>
        <v>3240</v>
      </c>
      <c r="R315" s="4">
        <v>2.5</v>
      </c>
      <c r="S315" s="4">
        <f>[1]加比纳!AA48</f>
        <v>156</v>
      </c>
      <c r="T315" s="4">
        <v>0</v>
      </c>
      <c r="U315" s="4">
        <v>0</v>
      </c>
      <c r="V315" s="4">
        <v>0</v>
      </c>
    </row>
    <row r="316" spans="1:22" x14ac:dyDescent="0.15">
      <c r="A316" s="4" t="s">
        <v>2662</v>
      </c>
      <c r="D316" s="4">
        <f t="shared" si="3"/>
        <v>13</v>
      </c>
      <c r="E316" s="4">
        <v>48</v>
      </c>
      <c r="H316" s="29">
        <v>1001</v>
      </c>
      <c r="I316" s="4">
        <f>[1]加比纳!$AB49</f>
        <v>10629</v>
      </c>
      <c r="L316" s="30">
        <v>800</v>
      </c>
      <c r="M316" s="4">
        <f>[1]加比纳!W49</f>
        <v>1418</v>
      </c>
      <c r="N316" s="4">
        <f>[1]加比纳!X49</f>
        <v>387</v>
      </c>
      <c r="O316" s="4">
        <f>[1]加比纳!Y49</f>
        <v>12704</v>
      </c>
      <c r="P316" s="4">
        <v>0</v>
      </c>
      <c r="Q316" s="4">
        <f>[1]加比纳!Z49</f>
        <v>3252</v>
      </c>
      <c r="R316" s="4">
        <v>2.5</v>
      </c>
      <c r="S316" s="4">
        <f>[1]加比纳!AA49</f>
        <v>159</v>
      </c>
      <c r="T316" s="4">
        <v>0</v>
      </c>
      <c r="U316" s="4">
        <v>0</v>
      </c>
      <c r="V316" s="4">
        <v>0</v>
      </c>
    </row>
    <row r="317" spans="1:22" x14ac:dyDescent="0.15">
      <c r="A317" s="4" t="s">
        <v>2662</v>
      </c>
      <c r="D317" s="4">
        <f t="shared" si="3"/>
        <v>13</v>
      </c>
      <c r="E317" s="4">
        <v>49</v>
      </c>
      <c r="H317" s="29">
        <v>1001</v>
      </c>
      <c r="I317" s="4">
        <f>[1]加比纳!$AB50</f>
        <v>10790</v>
      </c>
      <c r="L317" s="30">
        <v>800</v>
      </c>
      <c r="M317" s="4">
        <f>[1]加比纳!W50</f>
        <v>1440</v>
      </c>
      <c r="N317" s="4">
        <f>[1]加比纳!X50</f>
        <v>395</v>
      </c>
      <c r="O317" s="4">
        <f>[1]加比纳!Y50</f>
        <v>12864</v>
      </c>
      <c r="P317" s="4">
        <v>0</v>
      </c>
      <c r="Q317" s="4">
        <f>[1]加比纳!Z50</f>
        <v>3264</v>
      </c>
      <c r="R317" s="4">
        <v>2.5</v>
      </c>
      <c r="S317" s="4">
        <f>[1]加比纳!AA50</f>
        <v>162</v>
      </c>
      <c r="T317" s="4">
        <v>0</v>
      </c>
      <c r="U317" s="4">
        <v>0</v>
      </c>
      <c r="V317" s="4">
        <v>0</v>
      </c>
    </row>
    <row r="318" spans="1:22" x14ac:dyDescent="0.15">
      <c r="A318" s="4" t="s">
        <v>2662</v>
      </c>
      <c r="D318" s="4">
        <f t="shared" si="3"/>
        <v>13</v>
      </c>
      <c r="E318" s="4">
        <v>50</v>
      </c>
      <c r="H318" s="29">
        <v>1001</v>
      </c>
      <c r="I318" s="4">
        <f>[1]加比纳!$AB51</f>
        <v>10951</v>
      </c>
      <c r="L318" s="30">
        <v>800</v>
      </c>
      <c r="M318" s="4">
        <f>[1]加比纳!W51</f>
        <v>1462</v>
      </c>
      <c r="N318" s="4">
        <f>[1]加比纳!X51</f>
        <v>403</v>
      </c>
      <c r="O318" s="4">
        <f>[1]加比纳!Y51</f>
        <v>13024</v>
      </c>
      <c r="P318" s="4">
        <v>0</v>
      </c>
      <c r="Q318" s="4">
        <f>[1]加比纳!Z51</f>
        <v>3276</v>
      </c>
      <c r="R318" s="4">
        <v>2.5</v>
      </c>
      <c r="S318" s="4">
        <f>[1]加比纳!AA51</f>
        <v>165</v>
      </c>
      <c r="T318" s="4">
        <v>0</v>
      </c>
      <c r="U318" s="4">
        <v>0</v>
      </c>
      <c r="V318" s="4">
        <v>0</v>
      </c>
    </row>
    <row r="319" spans="1:22" x14ac:dyDescent="0.15">
      <c r="I319" s="4"/>
    </row>
    <row r="320" spans="1:22" x14ac:dyDescent="0.15">
      <c r="A320" s="4" t="s">
        <v>2662</v>
      </c>
      <c r="B320" s="4" t="s">
        <v>3080</v>
      </c>
      <c r="C320" s="4" t="s">
        <v>3081</v>
      </c>
      <c r="D320" s="4">
        <v>21</v>
      </c>
      <c r="E320" s="4">
        <v>0</v>
      </c>
      <c r="H320" s="29">
        <v>2100</v>
      </c>
      <c r="I320" s="30">
        <v>1</v>
      </c>
      <c r="L320" s="30">
        <v>101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</row>
    <row r="321" spans="1:27" x14ac:dyDescent="0.15">
      <c r="A321" s="4" t="s">
        <v>2662</v>
      </c>
      <c r="D321" s="4">
        <v>21</v>
      </c>
      <c r="E321" s="4">
        <v>1</v>
      </c>
      <c r="H321" s="29">
        <v>1001</v>
      </c>
      <c r="I321" s="4">
        <f>[1]吉亚多!$J2</f>
        <v>463</v>
      </c>
      <c r="L321" s="30">
        <v>800</v>
      </c>
      <c r="M321" s="4">
        <f>[1]吉亚多!E2</f>
        <v>48</v>
      </c>
      <c r="N321" s="4">
        <f>[1]吉亚多!F2</f>
        <v>3</v>
      </c>
      <c r="O321" s="4">
        <f>[1]吉亚多!G2</f>
        <v>960</v>
      </c>
      <c r="P321" s="4">
        <v>0</v>
      </c>
      <c r="Q321" s="4">
        <f>[1]吉亚多!H2</f>
        <v>960</v>
      </c>
      <c r="R321" s="4">
        <v>2.5</v>
      </c>
      <c r="S321" s="4">
        <f>[1]吉亚多!I2</f>
        <v>6</v>
      </c>
      <c r="T321" s="4">
        <v>0</v>
      </c>
      <c r="U321" s="4">
        <v>0</v>
      </c>
      <c r="V321" s="4">
        <v>0</v>
      </c>
    </row>
    <row r="322" spans="1:27" ht="16.5" x14ac:dyDescent="0.15">
      <c r="A322" s="4" t="s">
        <v>2662</v>
      </c>
      <c r="D322" s="4">
        <v>21</v>
      </c>
      <c r="E322" s="4">
        <v>2</v>
      </c>
      <c r="H322" s="29">
        <v>1001</v>
      </c>
      <c r="I322" s="4">
        <f>[1]吉亚多!$J3</f>
        <v>504</v>
      </c>
      <c r="L322" s="30">
        <v>800</v>
      </c>
      <c r="M322" s="4">
        <f>[1]吉亚多!E3</f>
        <v>54</v>
      </c>
      <c r="N322" s="4">
        <f>[1]吉亚多!F3</f>
        <v>5</v>
      </c>
      <c r="O322" s="4">
        <f>[1]吉亚多!G3</f>
        <v>994</v>
      </c>
      <c r="P322" s="4">
        <v>0</v>
      </c>
      <c r="Q322" s="4">
        <f>[1]吉亚多!H3</f>
        <v>966</v>
      </c>
      <c r="R322" s="4">
        <v>2.5</v>
      </c>
      <c r="S322" s="4">
        <f>[1]吉亚多!I3</f>
        <v>6</v>
      </c>
      <c r="T322" s="4">
        <v>0</v>
      </c>
      <c r="U322" s="4">
        <v>0</v>
      </c>
      <c r="V322" s="4">
        <v>0</v>
      </c>
      <c r="Z322" s="38" t="s">
        <v>3278</v>
      </c>
      <c r="AA322" s="39" t="s">
        <v>3287</v>
      </c>
    </row>
    <row r="323" spans="1:27" ht="16.5" x14ac:dyDescent="0.15">
      <c r="A323" s="4" t="s">
        <v>2662</v>
      </c>
      <c r="D323" s="4">
        <v>21</v>
      </c>
      <c r="E323" s="4">
        <v>3</v>
      </c>
      <c r="H323" s="29">
        <v>1001</v>
      </c>
      <c r="I323" s="4">
        <f>[1]吉亚多!$J4</f>
        <v>545</v>
      </c>
      <c r="L323" s="30">
        <v>800</v>
      </c>
      <c r="M323" s="4">
        <f>[1]吉亚多!E4</f>
        <v>60</v>
      </c>
      <c r="N323" s="4">
        <f>[1]吉亚多!F4</f>
        <v>7</v>
      </c>
      <c r="O323" s="4">
        <f>[1]吉亚多!G4</f>
        <v>1028</v>
      </c>
      <c r="P323" s="4">
        <v>0</v>
      </c>
      <c r="Q323" s="4">
        <f>[1]吉亚多!H4</f>
        <v>972</v>
      </c>
      <c r="R323" s="4">
        <v>2.5</v>
      </c>
      <c r="S323" s="4">
        <f>[1]吉亚多!I4</f>
        <v>6</v>
      </c>
      <c r="T323" s="4">
        <v>0</v>
      </c>
      <c r="U323" s="4">
        <v>0</v>
      </c>
      <c r="V323" s="4">
        <v>0</v>
      </c>
      <c r="Z323" s="38" t="s">
        <v>3279</v>
      </c>
      <c r="AA323" s="39" t="s">
        <v>3288</v>
      </c>
    </row>
    <row r="324" spans="1:27" x14ac:dyDescent="0.15">
      <c r="A324" s="4" t="s">
        <v>2662</v>
      </c>
      <c r="D324" s="4">
        <v>21</v>
      </c>
      <c r="E324" s="4">
        <v>4</v>
      </c>
      <c r="H324" s="29">
        <v>1001</v>
      </c>
      <c r="I324" s="4">
        <f>[1]吉亚多!$J5</f>
        <v>586</v>
      </c>
      <c r="L324" s="30">
        <v>800</v>
      </c>
      <c r="M324" s="4">
        <f>[1]吉亚多!E5</f>
        <v>66</v>
      </c>
      <c r="N324" s="4">
        <f>[1]吉亚多!F5</f>
        <v>9</v>
      </c>
      <c r="O324" s="4">
        <f>[1]吉亚多!G5</f>
        <v>1062</v>
      </c>
      <c r="P324" s="4">
        <v>0</v>
      </c>
      <c r="Q324" s="4">
        <f>[1]吉亚多!H5</f>
        <v>978</v>
      </c>
      <c r="R324" s="4">
        <v>2.5</v>
      </c>
      <c r="S324" s="4">
        <f>[1]吉亚多!I5</f>
        <v>6</v>
      </c>
      <c r="T324" s="4">
        <v>0</v>
      </c>
      <c r="U324" s="4">
        <v>0</v>
      </c>
      <c r="V324" s="4">
        <v>0</v>
      </c>
    </row>
    <row r="325" spans="1:27" x14ac:dyDescent="0.15">
      <c r="A325" s="4" t="s">
        <v>2662</v>
      </c>
      <c r="D325" s="4">
        <v>21</v>
      </c>
      <c r="E325" s="4">
        <v>5</v>
      </c>
      <c r="H325" s="29">
        <v>1001</v>
      </c>
      <c r="I325" s="4">
        <f>[1]吉亚多!$J6</f>
        <v>627</v>
      </c>
      <c r="L325" s="30">
        <v>800</v>
      </c>
      <c r="M325" s="4">
        <f>[1]吉亚多!E6</f>
        <v>72</v>
      </c>
      <c r="N325" s="4">
        <f>[1]吉亚多!F6</f>
        <v>11</v>
      </c>
      <c r="O325" s="4">
        <f>[1]吉亚多!G6</f>
        <v>1096</v>
      </c>
      <c r="P325" s="4">
        <v>0</v>
      </c>
      <c r="Q325" s="4">
        <f>[1]吉亚多!H6</f>
        <v>984</v>
      </c>
      <c r="R325" s="4">
        <v>2.5</v>
      </c>
      <c r="S325" s="4">
        <f>[1]吉亚多!I6</f>
        <v>6</v>
      </c>
      <c r="T325" s="4">
        <v>0</v>
      </c>
      <c r="U325" s="4">
        <v>0</v>
      </c>
      <c r="V325" s="4">
        <v>0</v>
      </c>
    </row>
    <row r="326" spans="1:27" x14ac:dyDescent="0.15">
      <c r="A326" s="4" t="s">
        <v>2662</v>
      </c>
      <c r="D326" s="4">
        <v>21</v>
      </c>
      <c r="E326" s="4">
        <v>6</v>
      </c>
      <c r="H326" s="29">
        <v>1001</v>
      </c>
      <c r="I326" s="4">
        <f>[1]吉亚多!$J7</f>
        <v>668</v>
      </c>
      <c r="L326" s="30">
        <v>800</v>
      </c>
      <c r="M326" s="4">
        <f>[1]吉亚多!E7</f>
        <v>78</v>
      </c>
      <c r="N326" s="4">
        <f>[1]吉亚多!F7</f>
        <v>13</v>
      </c>
      <c r="O326" s="4">
        <f>[1]吉亚多!G7</f>
        <v>1130</v>
      </c>
      <c r="P326" s="4">
        <v>0</v>
      </c>
      <c r="Q326" s="4">
        <f>[1]吉亚多!H7</f>
        <v>990</v>
      </c>
      <c r="R326" s="4">
        <v>2.5</v>
      </c>
      <c r="S326" s="4">
        <f>[1]吉亚多!I7</f>
        <v>6</v>
      </c>
      <c r="T326" s="4">
        <v>0</v>
      </c>
      <c r="U326" s="4">
        <v>0</v>
      </c>
      <c r="V326" s="4">
        <v>0</v>
      </c>
    </row>
    <row r="327" spans="1:27" x14ac:dyDescent="0.15">
      <c r="A327" s="4" t="s">
        <v>2662</v>
      </c>
      <c r="D327" s="4">
        <v>21</v>
      </c>
      <c r="E327" s="4">
        <v>7</v>
      </c>
      <c r="H327" s="29">
        <v>1001</v>
      </c>
      <c r="I327" s="4">
        <f>[1]吉亚多!$J8</f>
        <v>709</v>
      </c>
      <c r="L327" s="30">
        <v>800</v>
      </c>
      <c r="M327" s="4">
        <f>[1]吉亚多!E8</f>
        <v>84</v>
      </c>
      <c r="N327" s="4">
        <f>[1]吉亚多!F8</f>
        <v>15</v>
      </c>
      <c r="O327" s="4">
        <f>[1]吉亚多!G8</f>
        <v>1164</v>
      </c>
      <c r="P327" s="4">
        <v>0</v>
      </c>
      <c r="Q327" s="4">
        <f>[1]吉亚多!H8</f>
        <v>996</v>
      </c>
      <c r="R327" s="4">
        <v>2.5</v>
      </c>
      <c r="S327" s="4">
        <f>[1]吉亚多!I8</f>
        <v>6</v>
      </c>
      <c r="T327" s="4">
        <v>0</v>
      </c>
      <c r="U327" s="4">
        <v>0</v>
      </c>
      <c r="V327" s="4">
        <v>0</v>
      </c>
    </row>
    <row r="328" spans="1:27" x14ac:dyDescent="0.15">
      <c r="A328" s="4" t="s">
        <v>2662</v>
      </c>
      <c r="D328" s="4">
        <v>21</v>
      </c>
      <c r="E328" s="4">
        <v>8</v>
      </c>
      <c r="H328" s="29">
        <v>1001</v>
      </c>
      <c r="I328" s="4">
        <f>[1]吉亚多!$J9</f>
        <v>750</v>
      </c>
      <c r="L328" s="30">
        <v>800</v>
      </c>
      <c r="M328" s="4">
        <f>[1]吉亚多!E9</f>
        <v>90</v>
      </c>
      <c r="N328" s="4">
        <f>[1]吉亚多!F9</f>
        <v>17</v>
      </c>
      <c r="O328" s="4">
        <f>[1]吉亚多!G9</f>
        <v>1198</v>
      </c>
      <c r="P328" s="4">
        <v>0</v>
      </c>
      <c r="Q328" s="4">
        <f>[1]吉亚多!H9</f>
        <v>1002</v>
      </c>
      <c r="R328" s="4">
        <v>2.5</v>
      </c>
      <c r="S328" s="4">
        <f>[1]吉亚多!I9</f>
        <v>6</v>
      </c>
      <c r="T328" s="4">
        <v>0</v>
      </c>
      <c r="U328" s="4">
        <v>0</v>
      </c>
      <c r="V328" s="4">
        <v>0</v>
      </c>
    </row>
    <row r="329" spans="1:27" x14ac:dyDescent="0.15">
      <c r="A329" s="4" t="s">
        <v>2662</v>
      </c>
      <c r="D329" s="4">
        <v>21</v>
      </c>
      <c r="E329" s="4">
        <v>9</v>
      </c>
      <c r="H329" s="29">
        <v>1001</v>
      </c>
      <c r="I329" s="4">
        <f>[1]吉亚多!$J10</f>
        <v>791</v>
      </c>
      <c r="L329" s="30">
        <v>800</v>
      </c>
      <c r="M329" s="4">
        <f>[1]吉亚多!E10</f>
        <v>96</v>
      </c>
      <c r="N329" s="4">
        <f>[1]吉亚多!F10</f>
        <v>19</v>
      </c>
      <c r="O329" s="4">
        <f>[1]吉亚多!G10</f>
        <v>1232</v>
      </c>
      <c r="P329" s="4">
        <v>0</v>
      </c>
      <c r="Q329" s="4">
        <f>[1]吉亚多!H10</f>
        <v>1008</v>
      </c>
      <c r="R329" s="4">
        <v>2.5</v>
      </c>
      <c r="S329" s="4">
        <f>[1]吉亚多!I10</f>
        <v>6</v>
      </c>
      <c r="T329" s="4">
        <v>0</v>
      </c>
      <c r="U329" s="4">
        <v>0</v>
      </c>
      <c r="V329" s="4">
        <v>0</v>
      </c>
    </row>
    <row r="330" spans="1:27" x14ac:dyDescent="0.15">
      <c r="A330" s="4" t="s">
        <v>2662</v>
      </c>
      <c r="D330" s="4">
        <v>21</v>
      </c>
      <c r="E330" s="4">
        <v>10</v>
      </c>
      <c r="H330" s="29">
        <v>1001</v>
      </c>
      <c r="I330" s="4">
        <f>[1]吉亚多!$J11</f>
        <v>831</v>
      </c>
      <c r="L330" s="30">
        <v>800</v>
      </c>
      <c r="M330" s="4">
        <f>[1]吉亚多!E11</f>
        <v>102</v>
      </c>
      <c r="N330" s="4">
        <f>[1]吉亚多!F11</f>
        <v>21</v>
      </c>
      <c r="O330" s="4">
        <f>[1]吉亚多!G11</f>
        <v>1266</v>
      </c>
      <c r="P330" s="4">
        <v>0</v>
      </c>
      <c r="Q330" s="4">
        <f>[1]吉亚多!H11</f>
        <v>1014</v>
      </c>
      <c r="R330" s="4">
        <v>2.5</v>
      </c>
      <c r="S330" s="4">
        <f>[1]吉亚多!I11</f>
        <v>6</v>
      </c>
      <c r="T330" s="4">
        <v>0</v>
      </c>
      <c r="U330" s="4">
        <v>0</v>
      </c>
      <c r="V330" s="4">
        <v>0</v>
      </c>
    </row>
    <row r="331" spans="1:27" x14ac:dyDescent="0.15">
      <c r="A331" s="4" t="s">
        <v>2662</v>
      </c>
      <c r="D331" s="4">
        <v>21</v>
      </c>
      <c r="E331" s="4">
        <v>11</v>
      </c>
      <c r="H331" s="29">
        <v>1001</v>
      </c>
      <c r="I331" s="4">
        <f>[1]吉亚多!$J12</f>
        <v>872</v>
      </c>
      <c r="L331" s="30">
        <v>800</v>
      </c>
      <c r="M331" s="4">
        <f>[1]吉亚多!E12</f>
        <v>108</v>
      </c>
      <c r="N331" s="4">
        <f>[1]吉亚多!F12</f>
        <v>23</v>
      </c>
      <c r="O331" s="4">
        <f>[1]吉亚多!G12</f>
        <v>1300</v>
      </c>
      <c r="P331" s="4">
        <v>0</v>
      </c>
      <c r="Q331" s="4">
        <f>[1]吉亚多!H12</f>
        <v>1020</v>
      </c>
      <c r="R331" s="4">
        <v>2.5</v>
      </c>
      <c r="S331" s="4">
        <f>[1]吉亚多!I12</f>
        <v>6</v>
      </c>
      <c r="T331" s="4">
        <v>0</v>
      </c>
      <c r="U331" s="4">
        <v>0</v>
      </c>
      <c r="V331" s="4">
        <v>0</v>
      </c>
    </row>
    <row r="332" spans="1:27" x14ac:dyDescent="0.15">
      <c r="A332" s="4" t="s">
        <v>2662</v>
      </c>
      <c r="D332" s="4">
        <v>21</v>
      </c>
      <c r="E332" s="4">
        <v>12</v>
      </c>
      <c r="H332" s="29">
        <v>1001</v>
      </c>
      <c r="I332" s="4">
        <f>[1]吉亚多!$J13</f>
        <v>913</v>
      </c>
      <c r="L332" s="30">
        <v>800</v>
      </c>
      <c r="M332" s="4">
        <f>[1]吉亚多!E13</f>
        <v>114</v>
      </c>
      <c r="N332" s="4">
        <f>[1]吉亚多!F13</f>
        <v>25</v>
      </c>
      <c r="O332" s="4">
        <f>[1]吉亚多!G13</f>
        <v>1334</v>
      </c>
      <c r="P332" s="4">
        <v>0</v>
      </c>
      <c r="Q332" s="4">
        <f>[1]吉亚多!H13</f>
        <v>1026</v>
      </c>
      <c r="R332" s="4">
        <v>2.5</v>
      </c>
      <c r="S332" s="4">
        <f>[1]吉亚多!I13</f>
        <v>6</v>
      </c>
      <c r="T332" s="4">
        <v>0</v>
      </c>
      <c r="U332" s="4">
        <v>0</v>
      </c>
      <c r="V332" s="4">
        <v>0</v>
      </c>
    </row>
    <row r="333" spans="1:27" x14ac:dyDescent="0.15">
      <c r="A333" s="4" t="s">
        <v>2662</v>
      </c>
      <c r="D333" s="4">
        <v>21</v>
      </c>
      <c r="E333" s="4">
        <v>13</v>
      </c>
      <c r="H333" s="29">
        <v>1001</v>
      </c>
      <c r="I333" s="4">
        <f>[1]吉亚多!$J14</f>
        <v>954</v>
      </c>
      <c r="L333" s="30">
        <v>800</v>
      </c>
      <c r="M333" s="4">
        <f>[1]吉亚多!E14</f>
        <v>120</v>
      </c>
      <c r="N333" s="4">
        <f>[1]吉亚多!F14</f>
        <v>27</v>
      </c>
      <c r="O333" s="4">
        <f>[1]吉亚多!G14</f>
        <v>1368</v>
      </c>
      <c r="P333" s="4">
        <v>0</v>
      </c>
      <c r="Q333" s="4">
        <f>[1]吉亚多!H14</f>
        <v>1032</v>
      </c>
      <c r="R333" s="4">
        <v>2.5</v>
      </c>
      <c r="S333" s="4">
        <f>[1]吉亚多!I14</f>
        <v>6</v>
      </c>
      <c r="T333" s="4">
        <v>0</v>
      </c>
      <c r="U333" s="4">
        <v>0</v>
      </c>
      <c r="V333" s="4">
        <v>0</v>
      </c>
    </row>
    <row r="334" spans="1:27" x14ac:dyDescent="0.15">
      <c r="A334" s="4" t="s">
        <v>2662</v>
      </c>
      <c r="D334" s="4">
        <v>21</v>
      </c>
      <c r="E334" s="4">
        <v>14</v>
      </c>
      <c r="H334" s="29">
        <v>1001</v>
      </c>
      <c r="I334" s="4">
        <f>[1]吉亚多!$J15</f>
        <v>995</v>
      </c>
      <c r="L334" s="30">
        <v>800</v>
      </c>
      <c r="M334" s="4">
        <f>[1]吉亚多!E15</f>
        <v>126</v>
      </c>
      <c r="N334" s="4">
        <f>[1]吉亚多!F15</f>
        <v>29</v>
      </c>
      <c r="O334" s="4">
        <f>[1]吉亚多!G15</f>
        <v>1402</v>
      </c>
      <c r="P334" s="4">
        <v>0</v>
      </c>
      <c r="Q334" s="4">
        <f>[1]吉亚多!H15</f>
        <v>1038</v>
      </c>
      <c r="R334" s="4">
        <v>2.5</v>
      </c>
      <c r="S334" s="4">
        <f>[1]吉亚多!I15</f>
        <v>6</v>
      </c>
      <c r="T334" s="4">
        <v>0</v>
      </c>
      <c r="U334" s="4">
        <v>0</v>
      </c>
      <c r="V334" s="4">
        <v>0</v>
      </c>
    </row>
    <row r="335" spans="1:27" x14ac:dyDescent="0.15">
      <c r="A335" s="4" t="s">
        <v>2662</v>
      </c>
      <c r="D335" s="4">
        <v>21</v>
      </c>
      <c r="E335" s="4">
        <v>15</v>
      </c>
      <c r="H335" s="29">
        <v>1001</v>
      </c>
      <c r="I335" s="4">
        <f>[1]吉亚多!$J16</f>
        <v>1036</v>
      </c>
      <c r="L335" s="30">
        <v>800</v>
      </c>
      <c r="M335" s="4">
        <f>[1]吉亚多!E16</f>
        <v>132</v>
      </c>
      <c r="N335" s="4">
        <f>[1]吉亚多!F16</f>
        <v>31</v>
      </c>
      <c r="O335" s="4">
        <f>[1]吉亚多!G16</f>
        <v>1436</v>
      </c>
      <c r="P335" s="4">
        <v>0</v>
      </c>
      <c r="Q335" s="4">
        <f>[1]吉亚多!H16</f>
        <v>1044</v>
      </c>
      <c r="R335" s="4">
        <v>2.5</v>
      </c>
      <c r="S335" s="4">
        <f>[1]吉亚多!I16</f>
        <v>6</v>
      </c>
      <c r="T335" s="4">
        <v>0</v>
      </c>
      <c r="U335" s="4">
        <v>0</v>
      </c>
      <c r="V335" s="4">
        <v>0</v>
      </c>
    </row>
    <row r="336" spans="1:27" x14ac:dyDescent="0.15">
      <c r="A336" s="4" t="s">
        <v>2662</v>
      </c>
      <c r="D336" s="4">
        <v>21</v>
      </c>
      <c r="E336" s="4">
        <v>16</v>
      </c>
      <c r="H336" s="29">
        <v>1001</v>
      </c>
      <c r="I336" s="4">
        <f>[1]吉亚多!$J17</f>
        <v>1077</v>
      </c>
      <c r="L336" s="30">
        <v>800</v>
      </c>
      <c r="M336" s="4">
        <f>[1]吉亚多!E17</f>
        <v>138</v>
      </c>
      <c r="N336" s="4">
        <f>[1]吉亚多!F17</f>
        <v>33</v>
      </c>
      <c r="O336" s="4">
        <f>[1]吉亚多!G17</f>
        <v>1470</v>
      </c>
      <c r="P336" s="4">
        <v>0</v>
      </c>
      <c r="Q336" s="4">
        <f>[1]吉亚多!H17</f>
        <v>1050</v>
      </c>
      <c r="R336" s="4">
        <v>2.5</v>
      </c>
      <c r="S336" s="4">
        <f>[1]吉亚多!I17</f>
        <v>6</v>
      </c>
      <c r="T336" s="4">
        <v>0</v>
      </c>
      <c r="U336" s="4">
        <v>0</v>
      </c>
      <c r="V336" s="4">
        <v>0</v>
      </c>
    </row>
    <row r="337" spans="1:22" x14ac:dyDescent="0.15">
      <c r="A337" s="4" t="s">
        <v>2662</v>
      </c>
      <c r="D337" s="4">
        <v>21</v>
      </c>
      <c r="E337" s="4">
        <v>17</v>
      </c>
      <c r="H337" s="29">
        <v>1001</v>
      </c>
      <c r="I337" s="4">
        <f>[1]吉亚多!$J18</f>
        <v>1118</v>
      </c>
      <c r="L337" s="30">
        <v>800</v>
      </c>
      <c r="M337" s="4">
        <f>[1]吉亚多!E18</f>
        <v>144</v>
      </c>
      <c r="N337" s="4">
        <f>[1]吉亚多!F18</f>
        <v>35</v>
      </c>
      <c r="O337" s="4">
        <f>[1]吉亚多!G18</f>
        <v>1504</v>
      </c>
      <c r="P337" s="4">
        <v>0</v>
      </c>
      <c r="Q337" s="4">
        <f>[1]吉亚多!H18</f>
        <v>1056</v>
      </c>
      <c r="R337" s="4">
        <v>2.5</v>
      </c>
      <c r="S337" s="4">
        <f>[1]吉亚多!I18</f>
        <v>6</v>
      </c>
      <c r="T337" s="4">
        <v>0</v>
      </c>
      <c r="U337" s="4">
        <v>0</v>
      </c>
      <c r="V337" s="4">
        <v>0</v>
      </c>
    </row>
    <row r="338" spans="1:22" x14ac:dyDescent="0.15">
      <c r="A338" s="4" t="s">
        <v>2662</v>
      </c>
      <c r="D338" s="4">
        <v>21</v>
      </c>
      <c r="E338" s="4">
        <v>18</v>
      </c>
      <c r="H338" s="29">
        <v>1001</v>
      </c>
      <c r="I338" s="4">
        <f>[1]吉亚多!$J19</f>
        <v>1159</v>
      </c>
      <c r="L338" s="30">
        <v>800</v>
      </c>
      <c r="M338" s="4">
        <f>[1]吉亚多!E19</f>
        <v>150</v>
      </c>
      <c r="N338" s="4">
        <f>[1]吉亚多!F19</f>
        <v>37</v>
      </c>
      <c r="O338" s="4">
        <f>[1]吉亚多!G19</f>
        <v>1538</v>
      </c>
      <c r="P338" s="4">
        <v>0</v>
      </c>
      <c r="Q338" s="4">
        <f>[1]吉亚多!H19</f>
        <v>1062</v>
      </c>
      <c r="R338" s="4">
        <v>2.5</v>
      </c>
      <c r="S338" s="4">
        <f>[1]吉亚多!I19</f>
        <v>6</v>
      </c>
      <c r="T338" s="4">
        <v>0</v>
      </c>
      <c r="U338" s="4">
        <v>0</v>
      </c>
      <c r="V338" s="4">
        <v>0</v>
      </c>
    </row>
    <row r="339" spans="1:22" x14ac:dyDescent="0.15">
      <c r="A339" s="4" t="s">
        <v>2662</v>
      </c>
      <c r="D339" s="4">
        <v>21</v>
      </c>
      <c r="E339" s="4">
        <v>19</v>
      </c>
      <c r="H339" s="29">
        <v>1001</v>
      </c>
      <c r="I339" s="4">
        <f>[1]吉亚多!$J20</f>
        <v>1200</v>
      </c>
      <c r="L339" s="30">
        <v>800</v>
      </c>
      <c r="M339" s="4">
        <f>[1]吉亚多!E20</f>
        <v>156</v>
      </c>
      <c r="N339" s="4">
        <f>[1]吉亚多!F20</f>
        <v>39</v>
      </c>
      <c r="O339" s="4">
        <f>[1]吉亚多!G20</f>
        <v>1572</v>
      </c>
      <c r="P339" s="4">
        <v>0</v>
      </c>
      <c r="Q339" s="4">
        <f>[1]吉亚多!H20</f>
        <v>1068</v>
      </c>
      <c r="R339" s="4">
        <v>2.5</v>
      </c>
      <c r="S339" s="4">
        <f>[1]吉亚多!I20</f>
        <v>6</v>
      </c>
      <c r="T339" s="4">
        <v>0</v>
      </c>
      <c r="U339" s="4">
        <v>0</v>
      </c>
      <c r="V339" s="4">
        <v>0</v>
      </c>
    </row>
    <row r="340" spans="1:22" x14ac:dyDescent="0.15">
      <c r="A340" s="4" t="s">
        <v>2662</v>
      </c>
      <c r="D340" s="4">
        <v>21</v>
      </c>
      <c r="E340" s="4">
        <v>20</v>
      </c>
      <c r="H340" s="29">
        <v>1001</v>
      </c>
      <c r="I340" s="4">
        <f>[1]吉亚多!$J21</f>
        <v>1241</v>
      </c>
      <c r="L340" s="30">
        <v>800</v>
      </c>
      <c r="M340" s="4">
        <f>[1]吉亚多!E21</f>
        <v>162</v>
      </c>
      <c r="N340" s="4">
        <f>[1]吉亚多!F21</f>
        <v>41</v>
      </c>
      <c r="O340" s="4">
        <f>[1]吉亚多!G21</f>
        <v>1606</v>
      </c>
      <c r="P340" s="4">
        <v>0</v>
      </c>
      <c r="Q340" s="4">
        <f>[1]吉亚多!H21</f>
        <v>1074</v>
      </c>
      <c r="R340" s="4">
        <v>2.5</v>
      </c>
      <c r="S340" s="4">
        <f>[1]吉亚多!I21</f>
        <v>6</v>
      </c>
      <c r="T340" s="4">
        <v>0</v>
      </c>
      <c r="U340" s="4">
        <v>0</v>
      </c>
      <c r="V340" s="4">
        <v>0</v>
      </c>
    </row>
    <row r="341" spans="1:22" x14ac:dyDescent="0.15">
      <c r="A341" s="4" t="s">
        <v>2662</v>
      </c>
      <c r="D341" s="4">
        <v>21</v>
      </c>
      <c r="E341" s="4">
        <v>21</v>
      </c>
      <c r="H341" s="29">
        <v>1001</v>
      </c>
      <c r="I341" s="4">
        <f>[1]吉亚多!$J22</f>
        <v>1282</v>
      </c>
      <c r="L341" s="30">
        <v>800</v>
      </c>
      <c r="M341" s="4">
        <f>[1]吉亚多!E22</f>
        <v>168</v>
      </c>
      <c r="N341" s="4">
        <f>[1]吉亚多!F22</f>
        <v>43</v>
      </c>
      <c r="O341" s="4">
        <f>[1]吉亚多!G22</f>
        <v>1640</v>
      </c>
      <c r="P341" s="4">
        <v>0</v>
      </c>
      <c r="Q341" s="4">
        <f>[1]吉亚多!H22</f>
        <v>1080</v>
      </c>
      <c r="R341" s="4">
        <v>2.5</v>
      </c>
      <c r="S341" s="4">
        <f>[1]吉亚多!I22</f>
        <v>6</v>
      </c>
      <c r="T341" s="4">
        <v>0</v>
      </c>
      <c r="U341" s="4">
        <v>0</v>
      </c>
      <c r="V341" s="4">
        <v>0</v>
      </c>
    </row>
    <row r="342" spans="1:22" x14ac:dyDescent="0.15">
      <c r="A342" s="4" t="s">
        <v>2662</v>
      </c>
      <c r="D342" s="4">
        <v>21</v>
      </c>
      <c r="E342" s="4">
        <v>22</v>
      </c>
      <c r="H342" s="29">
        <v>1001</v>
      </c>
      <c r="I342" s="4">
        <f>[1]吉亚多!$J23</f>
        <v>1323</v>
      </c>
      <c r="L342" s="30">
        <v>800</v>
      </c>
      <c r="M342" s="4">
        <f>[1]吉亚多!E23</f>
        <v>174</v>
      </c>
      <c r="N342" s="4">
        <f>[1]吉亚多!F23</f>
        <v>45</v>
      </c>
      <c r="O342" s="4">
        <f>[1]吉亚多!G23</f>
        <v>1674</v>
      </c>
      <c r="P342" s="4">
        <v>0</v>
      </c>
      <c r="Q342" s="4">
        <f>[1]吉亚多!H23</f>
        <v>1086</v>
      </c>
      <c r="R342" s="4">
        <v>2.5</v>
      </c>
      <c r="S342" s="4">
        <f>[1]吉亚多!I23</f>
        <v>6</v>
      </c>
      <c r="T342" s="4">
        <v>0</v>
      </c>
      <c r="U342" s="4">
        <v>0</v>
      </c>
      <c r="V342" s="4">
        <v>0</v>
      </c>
    </row>
    <row r="343" spans="1:22" x14ac:dyDescent="0.15">
      <c r="A343" s="4" t="s">
        <v>2662</v>
      </c>
      <c r="D343" s="4">
        <v>21</v>
      </c>
      <c r="E343" s="4">
        <v>23</v>
      </c>
      <c r="H343" s="29">
        <v>1001</v>
      </c>
      <c r="I343" s="4">
        <f>[1]吉亚多!$J24</f>
        <v>1363</v>
      </c>
      <c r="L343" s="30">
        <v>800</v>
      </c>
      <c r="M343" s="4">
        <f>[1]吉亚多!E24</f>
        <v>180</v>
      </c>
      <c r="N343" s="4">
        <f>[1]吉亚多!F24</f>
        <v>47</v>
      </c>
      <c r="O343" s="4">
        <f>[1]吉亚多!G24</f>
        <v>1708</v>
      </c>
      <c r="P343" s="4">
        <v>0</v>
      </c>
      <c r="Q343" s="4">
        <f>[1]吉亚多!H24</f>
        <v>1092</v>
      </c>
      <c r="R343" s="4">
        <v>2.5</v>
      </c>
      <c r="S343" s="4">
        <f>[1]吉亚多!I24</f>
        <v>6</v>
      </c>
      <c r="T343" s="4">
        <v>0</v>
      </c>
      <c r="U343" s="4">
        <v>0</v>
      </c>
      <c r="V343" s="4">
        <v>0</v>
      </c>
    </row>
    <row r="344" spans="1:22" x14ac:dyDescent="0.15">
      <c r="A344" s="4" t="s">
        <v>2662</v>
      </c>
      <c r="D344" s="4">
        <v>21</v>
      </c>
      <c r="E344" s="4">
        <v>24</v>
      </c>
      <c r="H344" s="29">
        <v>1001</v>
      </c>
      <c r="I344" s="4">
        <f>[1]吉亚多!$J25</f>
        <v>1404</v>
      </c>
      <c r="L344" s="30">
        <v>800</v>
      </c>
      <c r="M344" s="4">
        <f>[1]吉亚多!E25</f>
        <v>186</v>
      </c>
      <c r="N344" s="4">
        <f>[1]吉亚多!F25</f>
        <v>49</v>
      </c>
      <c r="O344" s="4">
        <f>[1]吉亚多!G25</f>
        <v>1742</v>
      </c>
      <c r="P344" s="4">
        <v>0</v>
      </c>
      <c r="Q344" s="4">
        <f>[1]吉亚多!H25</f>
        <v>1098</v>
      </c>
      <c r="R344" s="4">
        <v>2.5</v>
      </c>
      <c r="S344" s="4">
        <f>[1]吉亚多!I25</f>
        <v>6</v>
      </c>
      <c r="T344" s="4">
        <v>0</v>
      </c>
      <c r="U344" s="4">
        <v>0</v>
      </c>
      <c r="V344" s="4">
        <v>0</v>
      </c>
    </row>
    <row r="345" spans="1:22" x14ac:dyDescent="0.15">
      <c r="A345" s="4" t="s">
        <v>2662</v>
      </c>
      <c r="D345" s="4">
        <v>21</v>
      </c>
      <c r="E345" s="4">
        <v>25</v>
      </c>
      <c r="H345" s="29">
        <v>1001</v>
      </c>
      <c r="I345" s="4">
        <f>[1]吉亚多!$J26</f>
        <v>1445</v>
      </c>
      <c r="L345" s="30">
        <v>800</v>
      </c>
      <c r="M345" s="4">
        <f>[1]吉亚多!E26</f>
        <v>192</v>
      </c>
      <c r="N345" s="4">
        <f>[1]吉亚多!F26</f>
        <v>51</v>
      </c>
      <c r="O345" s="4">
        <f>[1]吉亚多!G26</f>
        <v>1776</v>
      </c>
      <c r="P345" s="4">
        <v>0</v>
      </c>
      <c r="Q345" s="4">
        <f>[1]吉亚多!H26</f>
        <v>1104</v>
      </c>
      <c r="R345" s="4">
        <v>2.5</v>
      </c>
      <c r="S345" s="4">
        <f>[1]吉亚多!I26</f>
        <v>6</v>
      </c>
      <c r="T345" s="4">
        <v>0</v>
      </c>
      <c r="U345" s="4">
        <v>0</v>
      </c>
      <c r="V345" s="4">
        <v>0</v>
      </c>
    </row>
    <row r="346" spans="1:22" x14ac:dyDescent="0.15">
      <c r="A346" s="4" t="s">
        <v>2662</v>
      </c>
      <c r="D346" s="4">
        <v>21</v>
      </c>
      <c r="E346" s="4">
        <v>26</v>
      </c>
      <c r="H346" s="29">
        <v>1001</v>
      </c>
      <c r="I346" s="4">
        <f>[1]吉亚多!$J27</f>
        <v>1486</v>
      </c>
      <c r="L346" s="30">
        <v>800</v>
      </c>
      <c r="M346" s="4">
        <f>[1]吉亚多!E27</f>
        <v>198</v>
      </c>
      <c r="N346" s="4">
        <f>[1]吉亚多!F27</f>
        <v>53</v>
      </c>
      <c r="O346" s="4">
        <f>[1]吉亚多!G27</f>
        <v>1810</v>
      </c>
      <c r="P346" s="4">
        <v>0</v>
      </c>
      <c r="Q346" s="4">
        <f>[1]吉亚多!H27</f>
        <v>1110</v>
      </c>
      <c r="R346" s="4">
        <v>2.5</v>
      </c>
      <c r="S346" s="4">
        <f>[1]吉亚多!I27</f>
        <v>6</v>
      </c>
      <c r="T346" s="4">
        <v>0</v>
      </c>
      <c r="U346" s="4">
        <v>0</v>
      </c>
      <c r="V346" s="4">
        <v>0</v>
      </c>
    </row>
    <row r="347" spans="1:22" x14ac:dyDescent="0.15">
      <c r="A347" s="4" t="s">
        <v>2662</v>
      </c>
      <c r="D347" s="4">
        <v>21</v>
      </c>
      <c r="E347" s="4">
        <v>27</v>
      </c>
      <c r="H347" s="29">
        <v>1001</v>
      </c>
      <c r="I347" s="4">
        <f>[1]吉亚多!$J28</f>
        <v>1527</v>
      </c>
      <c r="L347" s="30">
        <v>800</v>
      </c>
      <c r="M347" s="4">
        <f>[1]吉亚多!E28</f>
        <v>204</v>
      </c>
      <c r="N347" s="4">
        <f>[1]吉亚多!F28</f>
        <v>55</v>
      </c>
      <c r="O347" s="4">
        <f>[1]吉亚多!G28</f>
        <v>1844</v>
      </c>
      <c r="P347" s="4">
        <v>0</v>
      </c>
      <c r="Q347" s="4">
        <f>[1]吉亚多!H28</f>
        <v>1116</v>
      </c>
      <c r="R347" s="4">
        <v>2.5</v>
      </c>
      <c r="S347" s="4">
        <f>[1]吉亚多!I28</f>
        <v>6</v>
      </c>
      <c r="T347" s="4">
        <v>0</v>
      </c>
      <c r="U347" s="4">
        <v>0</v>
      </c>
      <c r="V347" s="4">
        <v>0</v>
      </c>
    </row>
    <row r="348" spans="1:22" x14ac:dyDescent="0.15">
      <c r="A348" s="4" t="s">
        <v>2662</v>
      </c>
      <c r="D348" s="4">
        <v>21</v>
      </c>
      <c r="E348" s="4">
        <v>28</v>
      </c>
      <c r="H348" s="29">
        <v>1001</v>
      </c>
      <c r="I348" s="4">
        <f>[1]吉亚多!$J29</f>
        <v>1568</v>
      </c>
      <c r="L348" s="30">
        <v>800</v>
      </c>
      <c r="M348" s="4">
        <f>[1]吉亚多!E29</f>
        <v>210</v>
      </c>
      <c r="N348" s="4">
        <f>[1]吉亚多!F29</f>
        <v>57</v>
      </c>
      <c r="O348" s="4">
        <f>[1]吉亚多!G29</f>
        <v>1878</v>
      </c>
      <c r="P348" s="4">
        <v>0</v>
      </c>
      <c r="Q348" s="4">
        <f>[1]吉亚多!H29</f>
        <v>1122</v>
      </c>
      <c r="R348" s="4">
        <v>2.5</v>
      </c>
      <c r="S348" s="4">
        <f>[1]吉亚多!I29</f>
        <v>6</v>
      </c>
      <c r="T348" s="4">
        <v>0</v>
      </c>
      <c r="U348" s="4">
        <v>0</v>
      </c>
      <c r="V348" s="4">
        <v>0</v>
      </c>
    </row>
    <row r="349" spans="1:22" x14ac:dyDescent="0.15">
      <c r="A349" s="4" t="s">
        <v>2662</v>
      </c>
      <c r="D349" s="4">
        <v>21</v>
      </c>
      <c r="E349" s="4">
        <v>29</v>
      </c>
      <c r="H349" s="29">
        <v>1001</v>
      </c>
      <c r="I349" s="4">
        <f>[1]吉亚多!$J30</f>
        <v>1609</v>
      </c>
      <c r="L349" s="30">
        <v>800</v>
      </c>
      <c r="M349" s="4">
        <f>[1]吉亚多!E30</f>
        <v>216</v>
      </c>
      <c r="N349" s="4">
        <f>[1]吉亚多!F30</f>
        <v>59</v>
      </c>
      <c r="O349" s="4">
        <f>[1]吉亚多!G30</f>
        <v>1912</v>
      </c>
      <c r="P349" s="4">
        <v>0</v>
      </c>
      <c r="Q349" s="4">
        <f>[1]吉亚多!H30</f>
        <v>1128</v>
      </c>
      <c r="R349" s="4">
        <v>2.5</v>
      </c>
      <c r="S349" s="4">
        <f>[1]吉亚多!I30</f>
        <v>6</v>
      </c>
      <c r="T349" s="4">
        <v>0</v>
      </c>
      <c r="U349" s="4">
        <v>0</v>
      </c>
      <c r="V349" s="4">
        <v>0</v>
      </c>
    </row>
    <row r="350" spans="1:22" x14ac:dyDescent="0.15">
      <c r="A350" s="4" t="s">
        <v>2662</v>
      </c>
      <c r="D350" s="4">
        <v>21</v>
      </c>
      <c r="E350" s="4">
        <v>30</v>
      </c>
      <c r="H350" s="29">
        <v>1001</v>
      </c>
      <c r="I350" s="4">
        <f>[1]吉亚多!$J31</f>
        <v>1650</v>
      </c>
      <c r="L350" s="30">
        <v>800</v>
      </c>
      <c r="M350" s="4">
        <f>[1]吉亚多!E31</f>
        <v>222</v>
      </c>
      <c r="N350" s="4">
        <f>[1]吉亚多!F31</f>
        <v>61</v>
      </c>
      <c r="O350" s="4">
        <f>[1]吉亚多!G31</f>
        <v>1946</v>
      </c>
      <c r="P350" s="4">
        <v>0</v>
      </c>
      <c r="Q350" s="4">
        <f>[1]吉亚多!H31</f>
        <v>1134</v>
      </c>
      <c r="R350" s="4">
        <v>2.5</v>
      </c>
      <c r="S350" s="4">
        <f>[1]吉亚多!I31</f>
        <v>6</v>
      </c>
      <c r="T350" s="4">
        <v>0</v>
      </c>
      <c r="U350" s="4">
        <v>0</v>
      </c>
      <c r="V350" s="4">
        <v>0</v>
      </c>
    </row>
    <row r="351" spans="1:22" x14ac:dyDescent="0.15">
      <c r="A351" s="4" t="s">
        <v>2662</v>
      </c>
      <c r="D351" s="4">
        <v>21</v>
      </c>
      <c r="E351" s="4">
        <v>31</v>
      </c>
      <c r="H351" s="29">
        <v>1001</v>
      </c>
      <c r="I351" s="4">
        <f>[1]吉亚多!$J32</f>
        <v>1691</v>
      </c>
      <c r="L351" s="30">
        <v>800</v>
      </c>
      <c r="M351" s="4">
        <f>[1]吉亚多!E32</f>
        <v>228</v>
      </c>
      <c r="N351" s="4">
        <f>[1]吉亚多!F32</f>
        <v>63</v>
      </c>
      <c r="O351" s="4">
        <f>[1]吉亚多!G32</f>
        <v>1980</v>
      </c>
      <c r="P351" s="4">
        <v>0</v>
      </c>
      <c r="Q351" s="4">
        <f>[1]吉亚多!H32</f>
        <v>1140</v>
      </c>
      <c r="R351" s="4">
        <v>2.5</v>
      </c>
      <c r="S351" s="4">
        <f>[1]吉亚多!I32</f>
        <v>6</v>
      </c>
      <c r="T351" s="4">
        <v>0</v>
      </c>
      <c r="U351" s="4">
        <v>0</v>
      </c>
      <c r="V351" s="4">
        <v>0</v>
      </c>
    </row>
    <row r="352" spans="1:22" x14ac:dyDescent="0.15">
      <c r="A352" s="4" t="s">
        <v>2662</v>
      </c>
      <c r="D352" s="4">
        <v>21</v>
      </c>
      <c r="E352" s="4">
        <v>32</v>
      </c>
      <c r="H352" s="29">
        <v>1001</v>
      </c>
      <c r="I352" s="4">
        <f>[1]吉亚多!$J33</f>
        <v>1732</v>
      </c>
      <c r="L352" s="30">
        <v>800</v>
      </c>
      <c r="M352" s="4">
        <f>[1]吉亚多!E33</f>
        <v>234</v>
      </c>
      <c r="N352" s="4">
        <f>[1]吉亚多!F33</f>
        <v>65</v>
      </c>
      <c r="O352" s="4">
        <f>[1]吉亚多!G33</f>
        <v>2014</v>
      </c>
      <c r="P352" s="4">
        <v>0</v>
      </c>
      <c r="Q352" s="4">
        <f>[1]吉亚多!H33</f>
        <v>1146</v>
      </c>
      <c r="R352" s="4">
        <v>2.5</v>
      </c>
      <c r="S352" s="4">
        <f>[1]吉亚多!I33</f>
        <v>6</v>
      </c>
      <c r="T352" s="4">
        <v>0</v>
      </c>
      <c r="U352" s="4">
        <v>0</v>
      </c>
      <c r="V352" s="4">
        <v>0</v>
      </c>
    </row>
    <row r="353" spans="1:22" x14ac:dyDescent="0.15">
      <c r="A353" s="4" t="s">
        <v>2662</v>
      </c>
      <c r="D353" s="4">
        <v>21</v>
      </c>
      <c r="E353" s="4">
        <v>33</v>
      </c>
      <c r="H353" s="29">
        <v>1001</v>
      </c>
      <c r="I353" s="4">
        <f>[1]吉亚多!$J34</f>
        <v>1773</v>
      </c>
      <c r="L353" s="30">
        <v>800</v>
      </c>
      <c r="M353" s="4">
        <f>[1]吉亚多!E34</f>
        <v>240</v>
      </c>
      <c r="N353" s="4">
        <f>[1]吉亚多!F34</f>
        <v>67</v>
      </c>
      <c r="O353" s="4">
        <f>[1]吉亚多!G34</f>
        <v>2048</v>
      </c>
      <c r="P353" s="4">
        <v>0</v>
      </c>
      <c r="Q353" s="4">
        <f>[1]吉亚多!H34</f>
        <v>1152</v>
      </c>
      <c r="R353" s="4">
        <v>2.5</v>
      </c>
      <c r="S353" s="4">
        <f>[1]吉亚多!I34</f>
        <v>6</v>
      </c>
      <c r="T353" s="4">
        <v>0</v>
      </c>
      <c r="U353" s="4">
        <v>0</v>
      </c>
      <c r="V353" s="4">
        <v>0</v>
      </c>
    </row>
    <row r="354" spans="1:22" x14ac:dyDescent="0.15">
      <c r="A354" s="4" t="s">
        <v>2662</v>
      </c>
      <c r="D354" s="4">
        <v>21</v>
      </c>
      <c r="E354" s="4">
        <v>34</v>
      </c>
      <c r="H354" s="29">
        <v>1001</v>
      </c>
      <c r="I354" s="4">
        <f>[1]吉亚多!$J35</f>
        <v>1814</v>
      </c>
      <c r="L354" s="30">
        <v>800</v>
      </c>
      <c r="M354" s="4">
        <f>[1]吉亚多!E35</f>
        <v>246</v>
      </c>
      <c r="N354" s="4">
        <f>[1]吉亚多!F35</f>
        <v>69</v>
      </c>
      <c r="O354" s="4">
        <f>[1]吉亚多!G35</f>
        <v>2082</v>
      </c>
      <c r="P354" s="4">
        <v>0</v>
      </c>
      <c r="Q354" s="4">
        <f>[1]吉亚多!H35</f>
        <v>1158</v>
      </c>
      <c r="R354" s="4">
        <v>2.5</v>
      </c>
      <c r="S354" s="4">
        <f>[1]吉亚多!I35</f>
        <v>6</v>
      </c>
      <c r="T354" s="4">
        <v>0</v>
      </c>
      <c r="U354" s="4">
        <v>0</v>
      </c>
      <c r="V354" s="4">
        <v>0</v>
      </c>
    </row>
    <row r="355" spans="1:22" x14ac:dyDescent="0.15">
      <c r="A355" s="4" t="s">
        <v>2662</v>
      </c>
      <c r="D355" s="4">
        <v>21</v>
      </c>
      <c r="E355" s="4">
        <v>35</v>
      </c>
      <c r="H355" s="29">
        <v>1001</v>
      </c>
      <c r="I355" s="4">
        <f>[1]吉亚多!$J36</f>
        <v>1854</v>
      </c>
      <c r="L355" s="30">
        <v>800</v>
      </c>
      <c r="M355" s="4">
        <f>[1]吉亚多!E36</f>
        <v>252</v>
      </c>
      <c r="N355" s="4">
        <f>[1]吉亚多!F36</f>
        <v>71</v>
      </c>
      <c r="O355" s="4">
        <f>[1]吉亚多!G36</f>
        <v>2116</v>
      </c>
      <c r="P355" s="4">
        <v>0</v>
      </c>
      <c r="Q355" s="4">
        <f>[1]吉亚多!H36</f>
        <v>1164</v>
      </c>
      <c r="R355" s="4">
        <v>2.5</v>
      </c>
      <c r="S355" s="4">
        <f>[1]吉亚多!I36</f>
        <v>6</v>
      </c>
      <c r="T355" s="4">
        <v>0</v>
      </c>
      <c r="U355" s="4">
        <v>0</v>
      </c>
      <c r="V355" s="4">
        <v>0</v>
      </c>
    </row>
    <row r="356" spans="1:22" x14ac:dyDescent="0.15">
      <c r="A356" s="4" t="s">
        <v>2662</v>
      </c>
      <c r="D356" s="4">
        <v>21</v>
      </c>
      <c r="E356" s="4">
        <v>36</v>
      </c>
      <c r="H356" s="29">
        <v>1001</v>
      </c>
      <c r="I356" s="4">
        <f>[1]吉亚多!$J37</f>
        <v>1895</v>
      </c>
      <c r="L356" s="30">
        <v>800</v>
      </c>
      <c r="M356" s="4">
        <f>[1]吉亚多!E37</f>
        <v>258</v>
      </c>
      <c r="N356" s="4">
        <f>[1]吉亚多!F37</f>
        <v>73</v>
      </c>
      <c r="O356" s="4">
        <f>[1]吉亚多!G37</f>
        <v>2150</v>
      </c>
      <c r="P356" s="4">
        <v>0</v>
      </c>
      <c r="Q356" s="4">
        <f>[1]吉亚多!H37</f>
        <v>1170</v>
      </c>
      <c r="R356" s="4">
        <v>2.5</v>
      </c>
      <c r="S356" s="4">
        <f>[1]吉亚多!I37</f>
        <v>6</v>
      </c>
      <c r="T356" s="4">
        <v>0</v>
      </c>
      <c r="U356" s="4">
        <v>0</v>
      </c>
      <c r="V356" s="4">
        <v>0</v>
      </c>
    </row>
    <row r="357" spans="1:22" x14ac:dyDescent="0.15">
      <c r="A357" s="4" t="s">
        <v>2662</v>
      </c>
      <c r="D357" s="4">
        <v>21</v>
      </c>
      <c r="E357" s="4">
        <v>37</v>
      </c>
      <c r="H357" s="29">
        <v>1001</v>
      </c>
      <c r="I357" s="4">
        <f>[1]吉亚多!$J38</f>
        <v>1936</v>
      </c>
      <c r="L357" s="30">
        <v>800</v>
      </c>
      <c r="M357" s="4">
        <f>[1]吉亚多!E38</f>
        <v>264</v>
      </c>
      <c r="N357" s="4">
        <f>[1]吉亚多!F38</f>
        <v>75</v>
      </c>
      <c r="O357" s="4">
        <f>[1]吉亚多!G38</f>
        <v>2184</v>
      </c>
      <c r="P357" s="4">
        <v>0</v>
      </c>
      <c r="Q357" s="4">
        <f>[1]吉亚多!H38</f>
        <v>1176</v>
      </c>
      <c r="R357" s="4">
        <v>2.5</v>
      </c>
      <c r="S357" s="4">
        <f>[1]吉亚多!I38</f>
        <v>6</v>
      </c>
      <c r="T357" s="4">
        <v>0</v>
      </c>
      <c r="U357" s="4">
        <v>0</v>
      </c>
      <c r="V357" s="4">
        <v>0</v>
      </c>
    </row>
    <row r="358" spans="1:22" x14ac:dyDescent="0.15">
      <c r="A358" s="4" t="s">
        <v>2662</v>
      </c>
      <c r="D358" s="4">
        <v>21</v>
      </c>
      <c r="E358" s="4">
        <v>38</v>
      </c>
      <c r="H358" s="29">
        <v>1001</v>
      </c>
      <c r="I358" s="4">
        <f>[1]吉亚多!$J39</f>
        <v>1977</v>
      </c>
      <c r="L358" s="30">
        <v>800</v>
      </c>
      <c r="M358" s="4">
        <f>[1]吉亚多!E39</f>
        <v>270</v>
      </c>
      <c r="N358" s="4">
        <f>[1]吉亚多!F39</f>
        <v>77</v>
      </c>
      <c r="O358" s="4">
        <f>[1]吉亚多!G39</f>
        <v>2218</v>
      </c>
      <c r="P358" s="4">
        <v>0</v>
      </c>
      <c r="Q358" s="4">
        <f>[1]吉亚多!H39</f>
        <v>1182</v>
      </c>
      <c r="R358" s="4">
        <v>2.5</v>
      </c>
      <c r="S358" s="4">
        <f>[1]吉亚多!I39</f>
        <v>6</v>
      </c>
      <c r="T358" s="4">
        <v>0</v>
      </c>
      <c r="U358" s="4">
        <v>0</v>
      </c>
      <c r="V358" s="4">
        <v>0</v>
      </c>
    </row>
    <row r="359" spans="1:22" x14ac:dyDescent="0.15">
      <c r="A359" s="4" t="s">
        <v>2662</v>
      </c>
      <c r="D359" s="4">
        <v>21</v>
      </c>
      <c r="E359" s="4">
        <v>39</v>
      </c>
      <c r="H359" s="29">
        <v>1001</v>
      </c>
      <c r="I359" s="4">
        <f>[1]吉亚多!$J40</f>
        <v>2018</v>
      </c>
      <c r="L359" s="30">
        <v>800</v>
      </c>
      <c r="M359" s="4">
        <f>[1]吉亚多!E40</f>
        <v>276</v>
      </c>
      <c r="N359" s="4">
        <f>[1]吉亚多!F40</f>
        <v>79</v>
      </c>
      <c r="O359" s="4">
        <f>[1]吉亚多!G40</f>
        <v>2252</v>
      </c>
      <c r="P359" s="4">
        <v>0</v>
      </c>
      <c r="Q359" s="4">
        <f>[1]吉亚多!H40</f>
        <v>1188</v>
      </c>
      <c r="R359" s="4">
        <v>2.5</v>
      </c>
      <c r="S359" s="4">
        <f>[1]吉亚多!I40</f>
        <v>6</v>
      </c>
      <c r="T359" s="4">
        <v>0</v>
      </c>
      <c r="U359" s="4">
        <v>0</v>
      </c>
      <c r="V359" s="4">
        <v>0</v>
      </c>
    </row>
    <row r="360" spans="1:22" x14ac:dyDescent="0.15">
      <c r="A360" s="4" t="s">
        <v>2662</v>
      </c>
      <c r="D360" s="4">
        <v>21</v>
      </c>
      <c r="E360" s="4">
        <v>40</v>
      </c>
      <c r="H360" s="29">
        <v>1001</v>
      </c>
      <c r="I360" s="4">
        <f>[1]吉亚多!$J41</f>
        <v>2059</v>
      </c>
      <c r="L360" s="30">
        <v>800</v>
      </c>
      <c r="M360" s="4">
        <f>[1]吉亚多!E41</f>
        <v>282</v>
      </c>
      <c r="N360" s="4">
        <f>[1]吉亚多!F41</f>
        <v>81</v>
      </c>
      <c r="O360" s="4">
        <f>[1]吉亚多!G41</f>
        <v>2286</v>
      </c>
      <c r="P360" s="4">
        <v>0</v>
      </c>
      <c r="Q360" s="4">
        <f>[1]吉亚多!H41</f>
        <v>1194</v>
      </c>
      <c r="R360" s="4">
        <v>2.5</v>
      </c>
      <c r="S360" s="4">
        <f>[1]吉亚多!I41</f>
        <v>6</v>
      </c>
      <c r="T360" s="4">
        <v>0</v>
      </c>
      <c r="U360" s="4">
        <v>0</v>
      </c>
      <c r="V360" s="4">
        <v>0</v>
      </c>
    </row>
    <row r="361" spans="1:22" x14ac:dyDescent="0.15">
      <c r="A361" s="4" t="s">
        <v>2662</v>
      </c>
      <c r="D361" s="4">
        <v>21</v>
      </c>
      <c r="E361" s="4">
        <v>41</v>
      </c>
      <c r="H361" s="29">
        <v>1001</v>
      </c>
      <c r="I361" s="4">
        <f>[1]吉亚多!$J42</f>
        <v>2100</v>
      </c>
      <c r="L361" s="30">
        <v>800</v>
      </c>
      <c r="M361" s="4">
        <f>[1]吉亚多!E42</f>
        <v>288</v>
      </c>
      <c r="N361" s="4">
        <f>[1]吉亚多!F42</f>
        <v>83</v>
      </c>
      <c r="O361" s="4">
        <f>[1]吉亚多!G42</f>
        <v>2320</v>
      </c>
      <c r="P361" s="4">
        <v>0</v>
      </c>
      <c r="Q361" s="4">
        <f>[1]吉亚多!H42</f>
        <v>1200</v>
      </c>
      <c r="R361" s="4">
        <v>2.5</v>
      </c>
      <c r="S361" s="4">
        <f>[1]吉亚多!I42</f>
        <v>6</v>
      </c>
      <c r="T361" s="4">
        <v>0</v>
      </c>
      <c r="U361" s="4">
        <v>0</v>
      </c>
      <c r="V361" s="4">
        <v>0</v>
      </c>
    </row>
    <row r="362" spans="1:22" x14ac:dyDescent="0.15">
      <c r="A362" s="4" t="s">
        <v>2662</v>
      </c>
      <c r="D362" s="4">
        <v>21</v>
      </c>
      <c r="E362" s="4">
        <v>42</v>
      </c>
      <c r="H362" s="29">
        <v>1001</v>
      </c>
      <c r="I362" s="4">
        <f>[1]吉亚多!$J43</f>
        <v>2141</v>
      </c>
      <c r="L362" s="30">
        <v>800</v>
      </c>
      <c r="M362" s="4">
        <f>[1]吉亚多!E43</f>
        <v>294</v>
      </c>
      <c r="N362" s="4">
        <f>[1]吉亚多!F43</f>
        <v>85</v>
      </c>
      <c r="O362" s="4">
        <f>[1]吉亚多!G43</f>
        <v>2354</v>
      </c>
      <c r="P362" s="4">
        <v>0</v>
      </c>
      <c r="Q362" s="4">
        <f>[1]吉亚多!H43</f>
        <v>1206</v>
      </c>
      <c r="R362" s="4">
        <v>2.5</v>
      </c>
      <c r="S362" s="4">
        <f>[1]吉亚多!I43</f>
        <v>6</v>
      </c>
      <c r="T362" s="4">
        <v>0</v>
      </c>
      <c r="U362" s="4">
        <v>0</v>
      </c>
      <c r="V362" s="4">
        <v>0</v>
      </c>
    </row>
    <row r="363" spans="1:22" x14ac:dyDescent="0.15">
      <c r="A363" s="4" t="s">
        <v>2662</v>
      </c>
      <c r="D363" s="4">
        <v>21</v>
      </c>
      <c r="E363" s="4">
        <v>43</v>
      </c>
      <c r="H363" s="29">
        <v>1001</v>
      </c>
      <c r="I363" s="4">
        <f>[1]吉亚多!$J44</f>
        <v>2182</v>
      </c>
      <c r="L363" s="30">
        <v>800</v>
      </c>
      <c r="M363" s="4">
        <f>[1]吉亚多!E44</f>
        <v>300</v>
      </c>
      <c r="N363" s="4">
        <f>[1]吉亚多!F44</f>
        <v>87</v>
      </c>
      <c r="O363" s="4">
        <f>[1]吉亚多!G44</f>
        <v>2388</v>
      </c>
      <c r="P363" s="4">
        <v>0</v>
      </c>
      <c r="Q363" s="4">
        <f>[1]吉亚多!H44</f>
        <v>1212</v>
      </c>
      <c r="R363" s="4">
        <v>2.5</v>
      </c>
      <c r="S363" s="4">
        <f>[1]吉亚多!I44</f>
        <v>6</v>
      </c>
      <c r="T363" s="4">
        <v>0</v>
      </c>
      <c r="U363" s="4">
        <v>0</v>
      </c>
      <c r="V363" s="4">
        <v>0</v>
      </c>
    </row>
    <row r="364" spans="1:22" x14ac:dyDescent="0.15">
      <c r="A364" s="4" t="s">
        <v>2662</v>
      </c>
      <c r="D364" s="4">
        <v>21</v>
      </c>
      <c r="E364" s="4">
        <v>44</v>
      </c>
      <c r="H364" s="29">
        <v>1001</v>
      </c>
      <c r="I364" s="4">
        <f>[1]吉亚多!$J45</f>
        <v>2223</v>
      </c>
      <c r="L364" s="30">
        <v>800</v>
      </c>
      <c r="M364" s="4">
        <f>[1]吉亚多!E45</f>
        <v>306</v>
      </c>
      <c r="N364" s="4">
        <f>[1]吉亚多!F45</f>
        <v>89</v>
      </c>
      <c r="O364" s="4">
        <f>[1]吉亚多!G45</f>
        <v>2422</v>
      </c>
      <c r="P364" s="4">
        <v>0</v>
      </c>
      <c r="Q364" s="4">
        <f>[1]吉亚多!H45</f>
        <v>1218</v>
      </c>
      <c r="R364" s="4">
        <v>2.5</v>
      </c>
      <c r="S364" s="4">
        <f>[1]吉亚多!I45</f>
        <v>6</v>
      </c>
      <c r="T364" s="4">
        <v>0</v>
      </c>
      <c r="U364" s="4">
        <v>0</v>
      </c>
      <c r="V364" s="4">
        <v>0</v>
      </c>
    </row>
    <row r="365" spans="1:22" x14ac:dyDescent="0.15">
      <c r="A365" s="4" t="s">
        <v>2662</v>
      </c>
      <c r="D365" s="4">
        <v>21</v>
      </c>
      <c r="E365" s="4">
        <v>45</v>
      </c>
      <c r="H365" s="29">
        <v>1001</v>
      </c>
      <c r="I365" s="4">
        <f>[1]吉亚多!$J46</f>
        <v>2264</v>
      </c>
      <c r="L365" s="30">
        <v>800</v>
      </c>
      <c r="M365" s="4">
        <f>[1]吉亚多!E46</f>
        <v>312</v>
      </c>
      <c r="N365" s="4">
        <f>[1]吉亚多!F46</f>
        <v>91</v>
      </c>
      <c r="O365" s="4">
        <f>[1]吉亚多!G46</f>
        <v>2456</v>
      </c>
      <c r="P365" s="4">
        <v>0</v>
      </c>
      <c r="Q365" s="4">
        <f>[1]吉亚多!H46</f>
        <v>1224</v>
      </c>
      <c r="R365" s="4">
        <v>2.5</v>
      </c>
      <c r="S365" s="4">
        <f>[1]吉亚多!I46</f>
        <v>6</v>
      </c>
      <c r="T365" s="4">
        <v>0</v>
      </c>
      <c r="U365" s="4">
        <v>0</v>
      </c>
      <c r="V365" s="4">
        <v>0</v>
      </c>
    </row>
    <row r="366" spans="1:22" x14ac:dyDescent="0.15">
      <c r="A366" s="4" t="s">
        <v>2662</v>
      </c>
      <c r="D366" s="4">
        <v>21</v>
      </c>
      <c r="E366" s="4">
        <v>46</v>
      </c>
      <c r="H366" s="29">
        <v>1001</v>
      </c>
      <c r="I366" s="4">
        <f>[1]吉亚多!$J47</f>
        <v>2305</v>
      </c>
      <c r="L366" s="30">
        <v>800</v>
      </c>
      <c r="M366" s="4">
        <f>[1]吉亚多!E47</f>
        <v>318</v>
      </c>
      <c r="N366" s="4">
        <f>[1]吉亚多!F47</f>
        <v>93</v>
      </c>
      <c r="O366" s="4">
        <f>[1]吉亚多!G47</f>
        <v>2490</v>
      </c>
      <c r="P366" s="4">
        <v>0</v>
      </c>
      <c r="Q366" s="4">
        <f>[1]吉亚多!H47</f>
        <v>1230</v>
      </c>
      <c r="R366" s="4">
        <v>2.5</v>
      </c>
      <c r="S366" s="4">
        <f>[1]吉亚多!I47</f>
        <v>6</v>
      </c>
      <c r="T366" s="4">
        <v>0</v>
      </c>
      <c r="U366" s="4">
        <v>0</v>
      </c>
      <c r="V366" s="4">
        <v>0</v>
      </c>
    </row>
    <row r="367" spans="1:22" x14ac:dyDescent="0.15">
      <c r="A367" s="4" t="s">
        <v>2662</v>
      </c>
      <c r="D367" s="4">
        <v>21</v>
      </c>
      <c r="E367" s="4">
        <v>47</v>
      </c>
      <c r="H367" s="29">
        <v>1001</v>
      </c>
      <c r="I367" s="4">
        <f>[1]吉亚多!$J48</f>
        <v>2346</v>
      </c>
      <c r="L367" s="30">
        <v>800</v>
      </c>
      <c r="M367" s="4">
        <f>[1]吉亚多!E48</f>
        <v>324</v>
      </c>
      <c r="N367" s="4">
        <f>[1]吉亚多!F48</f>
        <v>95</v>
      </c>
      <c r="O367" s="4">
        <f>[1]吉亚多!G48</f>
        <v>2524</v>
      </c>
      <c r="P367" s="4">
        <v>0</v>
      </c>
      <c r="Q367" s="4">
        <f>[1]吉亚多!H48</f>
        <v>1236</v>
      </c>
      <c r="R367" s="4">
        <v>2.5</v>
      </c>
      <c r="S367" s="4">
        <f>[1]吉亚多!I48</f>
        <v>6</v>
      </c>
      <c r="T367" s="4">
        <v>0</v>
      </c>
      <c r="U367" s="4">
        <v>0</v>
      </c>
      <c r="V367" s="4">
        <v>0</v>
      </c>
    </row>
    <row r="368" spans="1:22" x14ac:dyDescent="0.15">
      <c r="A368" s="4" t="s">
        <v>2662</v>
      </c>
      <c r="D368" s="4">
        <v>21</v>
      </c>
      <c r="E368" s="4">
        <v>48</v>
      </c>
      <c r="H368" s="29">
        <v>1001</v>
      </c>
      <c r="I368" s="4">
        <f>[1]吉亚多!$J49</f>
        <v>2386</v>
      </c>
      <c r="L368" s="30">
        <v>800</v>
      </c>
      <c r="M368" s="4">
        <f>[1]吉亚多!E49</f>
        <v>330</v>
      </c>
      <c r="N368" s="4">
        <f>[1]吉亚多!F49</f>
        <v>97</v>
      </c>
      <c r="O368" s="4">
        <f>[1]吉亚多!G49</f>
        <v>2558</v>
      </c>
      <c r="P368" s="4">
        <v>0</v>
      </c>
      <c r="Q368" s="4">
        <f>[1]吉亚多!H49</f>
        <v>1242</v>
      </c>
      <c r="R368" s="4">
        <v>2.5</v>
      </c>
      <c r="S368" s="4">
        <f>[1]吉亚多!I49</f>
        <v>6</v>
      </c>
      <c r="T368" s="4">
        <v>0</v>
      </c>
      <c r="U368" s="4">
        <v>0</v>
      </c>
      <c r="V368" s="4">
        <v>0</v>
      </c>
    </row>
    <row r="369" spans="1:22" x14ac:dyDescent="0.15">
      <c r="A369" s="4" t="s">
        <v>2662</v>
      </c>
      <c r="D369" s="4">
        <v>21</v>
      </c>
      <c r="E369" s="4">
        <v>49</v>
      </c>
      <c r="H369" s="29">
        <v>1001</v>
      </c>
      <c r="I369" s="4">
        <f>[1]吉亚多!$J50</f>
        <v>2427</v>
      </c>
      <c r="L369" s="30">
        <v>800</v>
      </c>
      <c r="M369" s="4">
        <f>[1]吉亚多!E50</f>
        <v>336</v>
      </c>
      <c r="N369" s="4">
        <f>[1]吉亚多!F50</f>
        <v>99</v>
      </c>
      <c r="O369" s="4">
        <f>[1]吉亚多!G50</f>
        <v>2592</v>
      </c>
      <c r="P369" s="4">
        <v>0</v>
      </c>
      <c r="Q369" s="4">
        <f>[1]吉亚多!H50</f>
        <v>1248</v>
      </c>
      <c r="R369" s="4">
        <v>2.5</v>
      </c>
      <c r="S369" s="4">
        <f>[1]吉亚多!I50</f>
        <v>6</v>
      </c>
      <c r="T369" s="4">
        <v>0</v>
      </c>
      <c r="U369" s="4">
        <v>0</v>
      </c>
      <c r="V369" s="4">
        <v>0</v>
      </c>
    </row>
    <row r="370" spans="1:22" x14ac:dyDescent="0.15">
      <c r="A370" s="4" t="s">
        <v>2662</v>
      </c>
      <c r="D370" s="4">
        <v>21</v>
      </c>
      <c r="E370" s="4">
        <v>50</v>
      </c>
      <c r="H370" s="29">
        <v>1001</v>
      </c>
      <c r="I370" s="4">
        <f>[1]吉亚多!$J51</f>
        <v>2468</v>
      </c>
      <c r="L370" s="30">
        <v>800</v>
      </c>
      <c r="M370" s="4">
        <f>[1]吉亚多!E51</f>
        <v>342</v>
      </c>
      <c r="N370" s="4">
        <f>[1]吉亚多!F51</f>
        <v>101</v>
      </c>
      <c r="O370" s="4">
        <f>[1]吉亚多!G51</f>
        <v>2626</v>
      </c>
      <c r="P370" s="4">
        <v>0</v>
      </c>
      <c r="Q370" s="4">
        <f>[1]吉亚多!H51</f>
        <v>1254</v>
      </c>
      <c r="R370" s="4">
        <v>2.5</v>
      </c>
      <c r="S370" s="4">
        <f>[1]吉亚多!I51</f>
        <v>6</v>
      </c>
      <c r="T370" s="4">
        <v>0</v>
      </c>
      <c r="U370" s="4">
        <v>0</v>
      </c>
      <c r="V370" s="4">
        <v>0</v>
      </c>
    </row>
    <row r="371" spans="1:22" x14ac:dyDescent="0.15">
      <c r="I371" s="4"/>
    </row>
    <row r="372" spans="1:22" x14ac:dyDescent="0.15">
      <c r="A372" s="4" t="s">
        <v>2662</v>
      </c>
      <c r="C372" s="4" t="s">
        <v>3082</v>
      </c>
      <c r="D372" s="4">
        <f>D320+1</f>
        <v>22</v>
      </c>
      <c r="E372" s="4">
        <v>0</v>
      </c>
      <c r="H372" s="29">
        <v>2101</v>
      </c>
      <c r="I372" s="31">
        <v>1</v>
      </c>
      <c r="L372" s="30">
        <v>109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</row>
    <row r="373" spans="1:22" x14ac:dyDescent="0.15">
      <c r="A373" s="4" t="s">
        <v>2662</v>
      </c>
      <c r="D373" s="4">
        <f t="shared" ref="D373:D422" si="4">D321+1</f>
        <v>22</v>
      </c>
      <c r="E373" s="4">
        <v>1</v>
      </c>
      <c r="H373" s="29">
        <v>1001</v>
      </c>
      <c r="I373" s="4">
        <f>[1]吉亚多!$S2</f>
        <v>1577</v>
      </c>
      <c r="L373" s="30">
        <v>800</v>
      </c>
      <c r="M373" s="4">
        <f>[1]吉亚多!N2</f>
        <v>202</v>
      </c>
      <c r="N373" s="4">
        <f>[1]吉亚多!O2</f>
        <v>6</v>
      </c>
      <c r="O373" s="4">
        <f>[1]吉亚多!P2</f>
        <v>2534</v>
      </c>
      <c r="P373" s="4">
        <v>0</v>
      </c>
      <c r="Q373" s="4">
        <f>[1]吉亚多!Q2</f>
        <v>1882</v>
      </c>
      <c r="R373" s="4">
        <v>2.5</v>
      </c>
      <c r="S373" s="4">
        <f>[1]吉亚多!R2</f>
        <v>11</v>
      </c>
      <c r="T373" s="4">
        <v>0</v>
      </c>
      <c r="U373" s="4">
        <v>0</v>
      </c>
      <c r="V373" s="4">
        <v>0</v>
      </c>
    </row>
    <row r="374" spans="1:22" x14ac:dyDescent="0.15">
      <c r="A374" s="4" t="s">
        <v>2662</v>
      </c>
      <c r="D374" s="4">
        <f t="shared" si="4"/>
        <v>22</v>
      </c>
      <c r="E374" s="4">
        <v>2</v>
      </c>
      <c r="H374" s="29">
        <v>1001</v>
      </c>
      <c r="I374" s="4">
        <f>[1]吉亚多!$S3</f>
        <v>1633</v>
      </c>
      <c r="L374" s="30">
        <v>800</v>
      </c>
      <c r="M374" s="4">
        <f>[1]吉亚多!N3</f>
        <v>210</v>
      </c>
      <c r="N374" s="4">
        <f>[1]吉亚多!O3</f>
        <v>8</v>
      </c>
      <c r="O374" s="4">
        <f>[1]吉亚多!P3</f>
        <v>2588</v>
      </c>
      <c r="P374" s="4">
        <v>0</v>
      </c>
      <c r="Q374" s="4">
        <f>[1]吉亚多!Q3</f>
        <v>1888</v>
      </c>
      <c r="R374" s="4">
        <v>2.5</v>
      </c>
      <c r="S374" s="4">
        <f>[1]吉亚多!R3</f>
        <v>12</v>
      </c>
      <c r="T374" s="4">
        <v>0</v>
      </c>
      <c r="U374" s="4">
        <v>0</v>
      </c>
      <c r="V374" s="4">
        <v>0</v>
      </c>
    </row>
    <row r="375" spans="1:22" x14ac:dyDescent="0.15">
      <c r="A375" s="4" t="s">
        <v>2662</v>
      </c>
      <c r="D375" s="4">
        <f t="shared" si="4"/>
        <v>22</v>
      </c>
      <c r="E375" s="4">
        <v>3</v>
      </c>
      <c r="H375" s="29">
        <v>1001</v>
      </c>
      <c r="I375" s="4">
        <f>[1]吉亚多!$S4</f>
        <v>1689</v>
      </c>
      <c r="L375" s="30">
        <v>800</v>
      </c>
      <c r="M375" s="4">
        <f>[1]吉亚多!N4</f>
        <v>218</v>
      </c>
      <c r="N375" s="4">
        <f>[1]吉亚多!O4</f>
        <v>10</v>
      </c>
      <c r="O375" s="4">
        <f>[1]吉亚多!P4</f>
        <v>2642</v>
      </c>
      <c r="P375" s="4">
        <v>0</v>
      </c>
      <c r="Q375" s="4">
        <f>[1]吉亚多!Q4</f>
        <v>1894</v>
      </c>
      <c r="R375" s="4">
        <v>2.5</v>
      </c>
      <c r="S375" s="4">
        <f>[1]吉亚多!R4</f>
        <v>13</v>
      </c>
      <c r="T375" s="4">
        <v>0</v>
      </c>
      <c r="U375" s="4">
        <v>0</v>
      </c>
      <c r="V375" s="4">
        <v>0</v>
      </c>
    </row>
    <row r="376" spans="1:22" x14ac:dyDescent="0.15">
      <c r="A376" s="4" t="s">
        <v>2662</v>
      </c>
      <c r="D376" s="4">
        <f t="shared" si="4"/>
        <v>22</v>
      </c>
      <c r="E376" s="4">
        <v>4</v>
      </c>
      <c r="H376" s="29">
        <v>1001</v>
      </c>
      <c r="I376" s="4">
        <f>[1]吉亚多!$S5</f>
        <v>1745</v>
      </c>
      <c r="L376" s="30">
        <v>800</v>
      </c>
      <c r="M376" s="4">
        <f>[1]吉亚多!N5</f>
        <v>226</v>
      </c>
      <c r="N376" s="4">
        <f>[1]吉亚多!O5</f>
        <v>12</v>
      </c>
      <c r="O376" s="4">
        <f>[1]吉亚多!P5</f>
        <v>2696</v>
      </c>
      <c r="P376" s="4">
        <v>0</v>
      </c>
      <c r="Q376" s="4">
        <f>[1]吉亚多!Q5</f>
        <v>1900</v>
      </c>
      <c r="R376" s="4">
        <v>2.5</v>
      </c>
      <c r="S376" s="4">
        <f>[1]吉亚多!R5</f>
        <v>14</v>
      </c>
      <c r="T376" s="4">
        <v>0</v>
      </c>
      <c r="U376" s="4">
        <v>0</v>
      </c>
      <c r="V376" s="4">
        <v>0</v>
      </c>
    </row>
    <row r="377" spans="1:22" x14ac:dyDescent="0.15">
      <c r="A377" s="4" t="s">
        <v>2662</v>
      </c>
      <c r="D377" s="4">
        <f t="shared" si="4"/>
        <v>22</v>
      </c>
      <c r="E377" s="4">
        <v>5</v>
      </c>
      <c r="H377" s="29">
        <v>1001</v>
      </c>
      <c r="I377" s="4">
        <f>[1]吉亚多!$S6</f>
        <v>1801</v>
      </c>
      <c r="L377" s="30">
        <v>800</v>
      </c>
      <c r="M377" s="4">
        <f>[1]吉亚多!N6</f>
        <v>234</v>
      </c>
      <c r="N377" s="4">
        <f>[1]吉亚多!O6</f>
        <v>14</v>
      </c>
      <c r="O377" s="4">
        <f>[1]吉亚多!P6</f>
        <v>2750</v>
      </c>
      <c r="P377" s="4">
        <v>0</v>
      </c>
      <c r="Q377" s="4">
        <f>[1]吉亚多!Q6</f>
        <v>1906</v>
      </c>
      <c r="R377" s="4">
        <v>2.5</v>
      </c>
      <c r="S377" s="4">
        <f>[1]吉亚多!R6</f>
        <v>15</v>
      </c>
      <c r="T377" s="4">
        <v>0</v>
      </c>
      <c r="U377" s="4">
        <v>0</v>
      </c>
      <c r="V377" s="4">
        <v>0</v>
      </c>
    </row>
    <row r="378" spans="1:22" x14ac:dyDescent="0.15">
      <c r="A378" s="4" t="s">
        <v>2662</v>
      </c>
      <c r="D378" s="4">
        <f t="shared" si="4"/>
        <v>22</v>
      </c>
      <c r="E378" s="4">
        <v>6</v>
      </c>
      <c r="H378" s="29">
        <v>1001</v>
      </c>
      <c r="I378" s="4">
        <f>[1]吉亚多!$S7</f>
        <v>1857</v>
      </c>
      <c r="L378" s="30">
        <v>800</v>
      </c>
      <c r="M378" s="4">
        <f>[1]吉亚多!N7</f>
        <v>242</v>
      </c>
      <c r="N378" s="4">
        <f>[1]吉亚多!O7</f>
        <v>16</v>
      </c>
      <c r="O378" s="4">
        <f>[1]吉亚多!P7</f>
        <v>2804</v>
      </c>
      <c r="P378" s="4">
        <v>0</v>
      </c>
      <c r="Q378" s="4">
        <f>[1]吉亚多!Q7</f>
        <v>1912</v>
      </c>
      <c r="R378" s="4">
        <v>2.5</v>
      </c>
      <c r="S378" s="4">
        <f>[1]吉亚多!R7</f>
        <v>16</v>
      </c>
      <c r="T378" s="4">
        <v>0</v>
      </c>
      <c r="U378" s="4">
        <v>0</v>
      </c>
      <c r="V378" s="4">
        <v>0</v>
      </c>
    </row>
    <row r="379" spans="1:22" x14ac:dyDescent="0.15">
      <c r="A379" s="4" t="s">
        <v>2662</v>
      </c>
      <c r="D379" s="4">
        <f t="shared" si="4"/>
        <v>22</v>
      </c>
      <c r="E379" s="4">
        <v>7</v>
      </c>
      <c r="H379" s="29">
        <v>1001</v>
      </c>
      <c r="I379" s="4">
        <f>[1]吉亚多!$S8</f>
        <v>1913</v>
      </c>
      <c r="L379" s="30">
        <v>800</v>
      </c>
      <c r="M379" s="4">
        <f>[1]吉亚多!N8</f>
        <v>250</v>
      </c>
      <c r="N379" s="4">
        <f>[1]吉亚多!O8</f>
        <v>18</v>
      </c>
      <c r="O379" s="4">
        <f>[1]吉亚多!P8</f>
        <v>2858</v>
      </c>
      <c r="P379" s="4">
        <v>0</v>
      </c>
      <c r="Q379" s="4">
        <f>[1]吉亚多!Q8</f>
        <v>1918</v>
      </c>
      <c r="R379" s="4">
        <v>2.5</v>
      </c>
      <c r="S379" s="4">
        <f>[1]吉亚多!R8</f>
        <v>17</v>
      </c>
      <c r="T379" s="4">
        <v>0</v>
      </c>
      <c r="U379" s="4">
        <v>0</v>
      </c>
      <c r="V379" s="4">
        <v>0</v>
      </c>
    </row>
    <row r="380" spans="1:22" x14ac:dyDescent="0.15">
      <c r="A380" s="4" t="s">
        <v>2662</v>
      </c>
      <c r="D380" s="4">
        <f t="shared" si="4"/>
        <v>22</v>
      </c>
      <c r="E380" s="4">
        <v>8</v>
      </c>
      <c r="H380" s="29">
        <v>1001</v>
      </c>
      <c r="I380" s="4">
        <f>[1]吉亚多!$S9</f>
        <v>1969</v>
      </c>
      <c r="L380" s="30">
        <v>800</v>
      </c>
      <c r="M380" s="4">
        <f>[1]吉亚多!N9</f>
        <v>258</v>
      </c>
      <c r="N380" s="4">
        <f>[1]吉亚多!O9</f>
        <v>20</v>
      </c>
      <c r="O380" s="4">
        <f>[1]吉亚多!P9</f>
        <v>2912</v>
      </c>
      <c r="P380" s="4">
        <v>0</v>
      </c>
      <c r="Q380" s="4">
        <f>[1]吉亚多!Q9</f>
        <v>1924</v>
      </c>
      <c r="R380" s="4">
        <v>2.5</v>
      </c>
      <c r="S380" s="4">
        <f>[1]吉亚多!R9</f>
        <v>18</v>
      </c>
      <c r="T380" s="4">
        <v>0</v>
      </c>
      <c r="U380" s="4">
        <v>0</v>
      </c>
      <c r="V380" s="4">
        <v>0</v>
      </c>
    </row>
    <row r="381" spans="1:22" x14ac:dyDescent="0.15">
      <c r="A381" s="4" t="s">
        <v>2662</v>
      </c>
      <c r="D381" s="4">
        <f t="shared" si="4"/>
        <v>22</v>
      </c>
      <c r="E381" s="4">
        <v>9</v>
      </c>
      <c r="H381" s="29">
        <v>1001</v>
      </c>
      <c r="I381" s="4">
        <f>[1]吉亚多!$S10</f>
        <v>2025</v>
      </c>
      <c r="L381" s="30">
        <v>800</v>
      </c>
      <c r="M381" s="4">
        <f>[1]吉亚多!N10</f>
        <v>266</v>
      </c>
      <c r="N381" s="4">
        <f>[1]吉亚多!O10</f>
        <v>22</v>
      </c>
      <c r="O381" s="4">
        <f>[1]吉亚多!P10</f>
        <v>2966</v>
      </c>
      <c r="P381" s="4">
        <v>0</v>
      </c>
      <c r="Q381" s="4">
        <f>[1]吉亚多!Q10</f>
        <v>1930</v>
      </c>
      <c r="R381" s="4">
        <v>2.5</v>
      </c>
      <c r="S381" s="4">
        <f>[1]吉亚多!R10</f>
        <v>19</v>
      </c>
      <c r="T381" s="4">
        <v>0</v>
      </c>
      <c r="U381" s="4">
        <v>0</v>
      </c>
      <c r="V381" s="4">
        <v>0</v>
      </c>
    </row>
    <row r="382" spans="1:22" x14ac:dyDescent="0.15">
      <c r="A382" s="4" t="s">
        <v>2662</v>
      </c>
      <c r="D382" s="4">
        <f t="shared" si="4"/>
        <v>22</v>
      </c>
      <c r="E382" s="4">
        <v>10</v>
      </c>
      <c r="H382" s="29">
        <v>1001</v>
      </c>
      <c r="I382" s="4">
        <f>[1]吉亚多!$S11</f>
        <v>2081</v>
      </c>
      <c r="L382" s="30">
        <v>800</v>
      </c>
      <c r="M382" s="4">
        <f>[1]吉亚多!N11</f>
        <v>274</v>
      </c>
      <c r="N382" s="4">
        <f>[1]吉亚多!O11</f>
        <v>24</v>
      </c>
      <c r="O382" s="4">
        <f>[1]吉亚多!P11</f>
        <v>3020</v>
      </c>
      <c r="P382" s="4">
        <v>0</v>
      </c>
      <c r="Q382" s="4">
        <f>[1]吉亚多!Q11</f>
        <v>1936</v>
      </c>
      <c r="R382" s="4">
        <v>2.5</v>
      </c>
      <c r="S382" s="4">
        <f>[1]吉亚多!R11</f>
        <v>20</v>
      </c>
      <c r="T382" s="4">
        <v>0</v>
      </c>
      <c r="U382" s="4">
        <v>0</v>
      </c>
      <c r="V382" s="4">
        <v>0</v>
      </c>
    </row>
    <row r="383" spans="1:22" x14ac:dyDescent="0.15">
      <c r="A383" s="4" t="s">
        <v>2662</v>
      </c>
      <c r="D383" s="4">
        <f t="shared" si="4"/>
        <v>22</v>
      </c>
      <c r="E383" s="4">
        <v>11</v>
      </c>
      <c r="H383" s="29">
        <v>1001</v>
      </c>
      <c r="I383" s="4">
        <f>[1]吉亚多!$S12</f>
        <v>2137</v>
      </c>
      <c r="L383" s="30">
        <v>800</v>
      </c>
      <c r="M383" s="4">
        <f>[1]吉亚多!N12</f>
        <v>282</v>
      </c>
      <c r="N383" s="4">
        <f>[1]吉亚多!O12</f>
        <v>26</v>
      </c>
      <c r="O383" s="4">
        <f>[1]吉亚多!P12</f>
        <v>3074</v>
      </c>
      <c r="P383" s="4">
        <v>0</v>
      </c>
      <c r="Q383" s="4">
        <f>[1]吉亚多!Q12</f>
        <v>1942</v>
      </c>
      <c r="R383" s="4">
        <v>2.5</v>
      </c>
      <c r="S383" s="4">
        <f>[1]吉亚多!R12</f>
        <v>21</v>
      </c>
      <c r="T383" s="4">
        <v>0</v>
      </c>
      <c r="U383" s="4">
        <v>0</v>
      </c>
      <c r="V383" s="4">
        <v>0</v>
      </c>
    </row>
    <row r="384" spans="1:22" x14ac:dyDescent="0.15">
      <c r="A384" s="4" t="s">
        <v>2662</v>
      </c>
      <c r="D384" s="4">
        <f t="shared" si="4"/>
        <v>22</v>
      </c>
      <c r="E384" s="4">
        <v>12</v>
      </c>
      <c r="H384" s="29">
        <v>1001</v>
      </c>
      <c r="I384" s="4">
        <f>[1]吉亚多!$S13</f>
        <v>2193</v>
      </c>
      <c r="L384" s="30">
        <v>800</v>
      </c>
      <c r="M384" s="4">
        <f>[1]吉亚多!N13</f>
        <v>290</v>
      </c>
      <c r="N384" s="4">
        <f>[1]吉亚多!O13</f>
        <v>28</v>
      </c>
      <c r="O384" s="4">
        <f>[1]吉亚多!P13</f>
        <v>3128</v>
      </c>
      <c r="P384" s="4">
        <v>0</v>
      </c>
      <c r="Q384" s="4">
        <f>[1]吉亚多!Q13</f>
        <v>1948</v>
      </c>
      <c r="R384" s="4">
        <v>2.5</v>
      </c>
      <c r="S384" s="4">
        <f>[1]吉亚多!R13</f>
        <v>22</v>
      </c>
      <c r="T384" s="4">
        <v>0</v>
      </c>
      <c r="U384" s="4">
        <v>0</v>
      </c>
      <c r="V384" s="4">
        <v>0</v>
      </c>
    </row>
    <row r="385" spans="1:22" x14ac:dyDescent="0.15">
      <c r="A385" s="4" t="s">
        <v>2662</v>
      </c>
      <c r="D385" s="4">
        <f t="shared" si="4"/>
        <v>22</v>
      </c>
      <c r="E385" s="4">
        <v>13</v>
      </c>
      <c r="H385" s="29">
        <v>1001</v>
      </c>
      <c r="I385" s="4">
        <f>[1]吉亚多!$S14</f>
        <v>2248</v>
      </c>
      <c r="L385" s="30">
        <v>800</v>
      </c>
      <c r="M385" s="4">
        <f>[1]吉亚多!N14</f>
        <v>298</v>
      </c>
      <c r="N385" s="4">
        <f>[1]吉亚多!O14</f>
        <v>30</v>
      </c>
      <c r="O385" s="4">
        <f>[1]吉亚多!P14</f>
        <v>3182</v>
      </c>
      <c r="P385" s="4">
        <v>0</v>
      </c>
      <c r="Q385" s="4">
        <f>[1]吉亚多!Q14</f>
        <v>1954</v>
      </c>
      <c r="R385" s="4">
        <v>2.5</v>
      </c>
      <c r="S385" s="4">
        <f>[1]吉亚多!R14</f>
        <v>23</v>
      </c>
      <c r="T385" s="4">
        <v>0</v>
      </c>
      <c r="U385" s="4">
        <v>0</v>
      </c>
      <c r="V385" s="4">
        <v>0</v>
      </c>
    </row>
    <row r="386" spans="1:22" x14ac:dyDescent="0.15">
      <c r="A386" s="4" t="s">
        <v>2662</v>
      </c>
      <c r="D386" s="4">
        <f t="shared" si="4"/>
        <v>22</v>
      </c>
      <c r="E386" s="4">
        <v>14</v>
      </c>
      <c r="H386" s="29">
        <v>1001</v>
      </c>
      <c r="I386" s="4">
        <f>[1]吉亚多!$S15</f>
        <v>2304</v>
      </c>
      <c r="L386" s="30">
        <v>800</v>
      </c>
      <c r="M386" s="4">
        <f>[1]吉亚多!N15</f>
        <v>306</v>
      </c>
      <c r="N386" s="4">
        <f>[1]吉亚多!O15</f>
        <v>32</v>
      </c>
      <c r="O386" s="4">
        <f>[1]吉亚多!P15</f>
        <v>3236</v>
      </c>
      <c r="P386" s="4">
        <v>0</v>
      </c>
      <c r="Q386" s="4">
        <f>[1]吉亚多!Q15</f>
        <v>1960</v>
      </c>
      <c r="R386" s="4">
        <v>2.5</v>
      </c>
      <c r="S386" s="4">
        <f>[1]吉亚多!R15</f>
        <v>24</v>
      </c>
      <c r="T386" s="4">
        <v>0</v>
      </c>
      <c r="U386" s="4">
        <v>0</v>
      </c>
      <c r="V386" s="4">
        <v>0</v>
      </c>
    </row>
    <row r="387" spans="1:22" x14ac:dyDescent="0.15">
      <c r="A387" s="4" t="s">
        <v>2662</v>
      </c>
      <c r="D387" s="4">
        <f t="shared" si="4"/>
        <v>22</v>
      </c>
      <c r="E387" s="4">
        <v>15</v>
      </c>
      <c r="H387" s="29">
        <v>1001</v>
      </c>
      <c r="I387" s="4">
        <f>[1]吉亚多!$S16</f>
        <v>2360</v>
      </c>
      <c r="L387" s="30">
        <v>800</v>
      </c>
      <c r="M387" s="4">
        <f>[1]吉亚多!N16</f>
        <v>314</v>
      </c>
      <c r="N387" s="4">
        <f>[1]吉亚多!O16</f>
        <v>34</v>
      </c>
      <c r="O387" s="4">
        <f>[1]吉亚多!P16</f>
        <v>3290</v>
      </c>
      <c r="P387" s="4">
        <v>0</v>
      </c>
      <c r="Q387" s="4">
        <f>[1]吉亚多!Q16</f>
        <v>1966</v>
      </c>
      <c r="R387" s="4">
        <v>2.5</v>
      </c>
      <c r="S387" s="4">
        <f>[1]吉亚多!R16</f>
        <v>25</v>
      </c>
      <c r="T387" s="4">
        <v>0</v>
      </c>
      <c r="U387" s="4">
        <v>0</v>
      </c>
      <c r="V387" s="4">
        <v>0</v>
      </c>
    </row>
    <row r="388" spans="1:22" x14ac:dyDescent="0.15">
      <c r="A388" s="4" t="s">
        <v>2662</v>
      </c>
      <c r="D388" s="4">
        <f t="shared" si="4"/>
        <v>22</v>
      </c>
      <c r="E388" s="4">
        <v>16</v>
      </c>
      <c r="H388" s="29">
        <v>1001</v>
      </c>
      <c r="I388" s="4">
        <f>[1]吉亚多!$S17</f>
        <v>2416</v>
      </c>
      <c r="L388" s="30">
        <v>800</v>
      </c>
      <c r="M388" s="4">
        <f>[1]吉亚多!N17</f>
        <v>322</v>
      </c>
      <c r="N388" s="4">
        <f>[1]吉亚多!O17</f>
        <v>36</v>
      </c>
      <c r="O388" s="4">
        <f>[1]吉亚多!P17</f>
        <v>3344</v>
      </c>
      <c r="P388" s="4">
        <v>0</v>
      </c>
      <c r="Q388" s="4">
        <f>[1]吉亚多!Q17</f>
        <v>1972</v>
      </c>
      <c r="R388" s="4">
        <v>2.5</v>
      </c>
      <c r="S388" s="4">
        <f>[1]吉亚多!R17</f>
        <v>26</v>
      </c>
      <c r="T388" s="4">
        <v>0</v>
      </c>
      <c r="U388" s="4">
        <v>0</v>
      </c>
      <c r="V388" s="4">
        <v>0</v>
      </c>
    </row>
    <row r="389" spans="1:22" x14ac:dyDescent="0.15">
      <c r="A389" s="4" t="s">
        <v>2662</v>
      </c>
      <c r="D389" s="4">
        <f t="shared" si="4"/>
        <v>22</v>
      </c>
      <c r="E389" s="4">
        <v>17</v>
      </c>
      <c r="H389" s="29">
        <v>1001</v>
      </c>
      <c r="I389" s="4">
        <f>[1]吉亚多!$S18</f>
        <v>2472</v>
      </c>
      <c r="L389" s="30">
        <v>800</v>
      </c>
      <c r="M389" s="4">
        <f>[1]吉亚多!N18</f>
        <v>330</v>
      </c>
      <c r="N389" s="4">
        <f>[1]吉亚多!O18</f>
        <v>38</v>
      </c>
      <c r="O389" s="4">
        <f>[1]吉亚多!P18</f>
        <v>3398</v>
      </c>
      <c r="P389" s="4">
        <v>0</v>
      </c>
      <c r="Q389" s="4">
        <f>[1]吉亚多!Q18</f>
        <v>1978</v>
      </c>
      <c r="R389" s="4">
        <v>2.5</v>
      </c>
      <c r="S389" s="4">
        <f>[1]吉亚多!R18</f>
        <v>27</v>
      </c>
      <c r="T389" s="4">
        <v>0</v>
      </c>
      <c r="U389" s="4">
        <v>0</v>
      </c>
      <c r="V389" s="4">
        <v>0</v>
      </c>
    </row>
    <row r="390" spans="1:22" x14ac:dyDescent="0.15">
      <c r="A390" s="4" t="s">
        <v>2662</v>
      </c>
      <c r="D390" s="4">
        <f t="shared" si="4"/>
        <v>22</v>
      </c>
      <c r="E390" s="4">
        <v>18</v>
      </c>
      <c r="H390" s="29">
        <v>1001</v>
      </c>
      <c r="I390" s="4">
        <f>[1]吉亚多!$S19</f>
        <v>2528</v>
      </c>
      <c r="L390" s="30">
        <v>800</v>
      </c>
      <c r="M390" s="4">
        <f>[1]吉亚多!N19</f>
        <v>338</v>
      </c>
      <c r="N390" s="4">
        <f>[1]吉亚多!O19</f>
        <v>40</v>
      </c>
      <c r="O390" s="4">
        <f>[1]吉亚多!P19</f>
        <v>3452</v>
      </c>
      <c r="P390" s="4">
        <v>0</v>
      </c>
      <c r="Q390" s="4">
        <f>[1]吉亚多!Q19</f>
        <v>1984</v>
      </c>
      <c r="R390" s="4">
        <v>2.5</v>
      </c>
      <c r="S390" s="4">
        <f>[1]吉亚多!R19</f>
        <v>28</v>
      </c>
      <c r="T390" s="4">
        <v>0</v>
      </c>
      <c r="U390" s="4">
        <v>0</v>
      </c>
      <c r="V390" s="4">
        <v>0</v>
      </c>
    </row>
    <row r="391" spans="1:22" x14ac:dyDescent="0.15">
      <c r="A391" s="4" t="s">
        <v>2662</v>
      </c>
      <c r="D391" s="4">
        <f t="shared" si="4"/>
        <v>22</v>
      </c>
      <c r="E391" s="4">
        <v>19</v>
      </c>
      <c r="H391" s="29">
        <v>1001</v>
      </c>
      <c r="I391" s="4">
        <f>[1]吉亚多!$S20</f>
        <v>2584</v>
      </c>
      <c r="L391" s="30">
        <v>800</v>
      </c>
      <c r="M391" s="4">
        <f>[1]吉亚多!N20</f>
        <v>346</v>
      </c>
      <c r="N391" s="4">
        <f>[1]吉亚多!O20</f>
        <v>42</v>
      </c>
      <c r="O391" s="4">
        <f>[1]吉亚多!P20</f>
        <v>3506</v>
      </c>
      <c r="P391" s="4">
        <v>0</v>
      </c>
      <c r="Q391" s="4">
        <f>[1]吉亚多!Q20</f>
        <v>1990</v>
      </c>
      <c r="R391" s="4">
        <v>2.5</v>
      </c>
      <c r="S391" s="4">
        <f>[1]吉亚多!R20</f>
        <v>29</v>
      </c>
      <c r="T391" s="4">
        <v>0</v>
      </c>
      <c r="U391" s="4">
        <v>0</v>
      </c>
      <c r="V391" s="4">
        <v>0</v>
      </c>
    </row>
    <row r="392" spans="1:22" x14ac:dyDescent="0.15">
      <c r="A392" s="4" t="s">
        <v>2662</v>
      </c>
      <c r="D392" s="4">
        <f t="shared" si="4"/>
        <v>22</v>
      </c>
      <c r="E392" s="4">
        <v>20</v>
      </c>
      <c r="H392" s="29">
        <v>1001</v>
      </c>
      <c r="I392" s="4">
        <f>[1]吉亚多!$S21</f>
        <v>2640</v>
      </c>
      <c r="L392" s="30">
        <v>800</v>
      </c>
      <c r="M392" s="4">
        <f>[1]吉亚多!N21</f>
        <v>354</v>
      </c>
      <c r="N392" s="4">
        <f>[1]吉亚多!O21</f>
        <v>44</v>
      </c>
      <c r="O392" s="4">
        <f>[1]吉亚多!P21</f>
        <v>3560</v>
      </c>
      <c r="P392" s="4">
        <v>0</v>
      </c>
      <c r="Q392" s="4">
        <f>[1]吉亚多!Q21</f>
        <v>1996</v>
      </c>
      <c r="R392" s="4">
        <v>2.5</v>
      </c>
      <c r="S392" s="4">
        <f>[1]吉亚多!R21</f>
        <v>30</v>
      </c>
      <c r="T392" s="4">
        <v>0</v>
      </c>
      <c r="U392" s="4">
        <v>0</v>
      </c>
      <c r="V392" s="4">
        <v>0</v>
      </c>
    </row>
    <row r="393" spans="1:22" x14ac:dyDescent="0.15">
      <c r="A393" s="4" t="s">
        <v>2662</v>
      </c>
      <c r="D393" s="4">
        <f t="shared" si="4"/>
        <v>22</v>
      </c>
      <c r="E393" s="4">
        <v>21</v>
      </c>
      <c r="H393" s="29">
        <v>1001</v>
      </c>
      <c r="I393" s="4">
        <f>[1]吉亚多!$S22</f>
        <v>2696</v>
      </c>
      <c r="L393" s="30">
        <v>800</v>
      </c>
      <c r="M393" s="4">
        <f>[1]吉亚多!N22</f>
        <v>362</v>
      </c>
      <c r="N393" s="4">
        <f>[1]吉亚多!O22</f>
        <v>46</v>
      </c>
      <c r="O393" s="4">
        <f>[1]吉亚多!P22</f>
        <v>3614</v>
      </c>
      <c r="P393" s="4">
        <v>0</v>
      </c>
      <c r="Q393" s="4">
        <f>[1]吉亚多!Q22</f>
        <v>2002</v>
      </c>
      <c r="R393" s="4">
        <v>2.5</v>
      </c>
      <c r="S393" s="4">
        <f>[1]吉亚多!R22</f>
        <v>31</v>
      </c>
      <c r="T393" s="4">
        <v>0</v>
      </c>
      <c r="U393" s="4">
        <v>0</v>
      </c>
      <c r="V393" s="4">
        <v>0</v>
      </c>
    </row>
    <row r="394" spans="1:22" x14ac:dyDescent="0.15">
      <c r="A394" s="4" t="s">
        <v>2662</v>
      </c>
      <c r="D394" s="4">
        <f t="shared" si="4"/>
        <v>22</v>
      </c>
      <c r="E394" s="4">
        <v>22</v>
      </c>
      <c r="H394" s="29">
        <v>1001</v>
      </c>
      <c r="I394" s="4">
        <f>[1]吉亚多!$S23</f>
        <v>2752</v>
      </c>
      <c r="L394" s="30">
        <v>800</v>
      </c>
      <c r="M394" s="4">
        <f>[1]吉亚多!N23</f>
        <v>370</v>
      </c>
      <c r="N394" s="4">
        <f>[1]吉亚多!O23</f>
        <v>48</v>
      </c>
      <c r="O394" s="4">
        <f>[1]吉亚多!P23</f>
        <v>3668</v>
      </c>
      <c r="P394" s="4">
        <v>0</v>
      </c>
      <c r="Q394" s="4">
        <f>[1]吉亚多!Q23</f>
        <v>2008</v>
      </c>
      <c r="R394" s="4">
        <v>2.5</v>
      </c>
      <c r="S394" s="4">
        <f>[1]吉亚多!R23</f>
        <v>32</v>
      </c>
      <c r="T394" s="4">
        <v>0</v>
      </c>
      <c r="U394" s="4">
        <v>0</v>
      </c>
      <c r="V394" s="4">
        <v>0</v>
      </c>
    </row>
    <row r="395" spans="1:22" x14ac:dyDescent="0.15">
      <c r="A395" s="4" t="s">
        <v>2662</v>
      </c>
      <c r="D395" s="4">
        <f t="shared" si="4"/>
        <v>22</v>
      </c>
      <c r="E395" s="4">
        <v>23</v>
      </c>
      <c r="H395" s="29">
        <v>1001</v>
      </c>
      <c r="I395" s="4">
        <f>[1]吉亚多!$S24</f>
        <v>2808</v>
      </c>
      <c r="L395" s="30">
        <v>800</v>
      </c>
      <c r="M395" s="4">
        <f>[1]吉亚多!N24</f>
        <v>378</v>
      </c>
      <c r="N395" s="4">
        <f>[1]吉亚多!O24</f>
        <v>50</v>
      </c>
      <c r="O395" s="4">
        <f>[1]吉亚多!P24</f>
        <v>3722</v>
      </c>
      <c r="P395" s="4">
        <v>0</v>
      </c>
      <c r="Q395" s="4">
        <f>[1]吉亚多!Q24</f>
        <v>2014</v>
      </c>
      <c r="R395" s="4">
        <v>2.5</v>
      </c>
      <c r="S395" s="4">
        <f>[1]吉亚多!R24</f>
        <v>33</v>
      </c>
      <c r="T395" s="4">
        <v>0</v>
      </c>
      <c r="U395" s="4">
        <v>0</v>
      </c>
      <c r="V395" s="4">
        <v>0</v>
      </c>
    </row>
    <row r="396" spans="1:22" x14ac:dyDescent="0.15">
      <c r="A396" s="4" t="s">
        <v>2662</v>
      </c>
      <c r="D396" s="4">
        <f t="shared" si="4"/>
        <v>22</v>
      </c>
      <c r="E396" s="4">
        <v>24</v>
      </c>
      <c r="H396" s="29">
        <v>1001</v>
      </c>
      <c r="I396" s="4">
        <f>[1]吉亚多!$S25</f>
        <v>2864</v>
      </c>
      <c r="L396" s="30">
        <v>800</v>
      </c>
      <c r="M396" s="4">
        <f>[1]吉亚多!N25</f>
        <v>386</v>
      </c>
      <c r="N396" s="4">
        <f>[1]吉亚多!O25</f>
        <v>52</v>
      </c>
      <c r="O396" s="4">
        <f>[1]吉亚多!P25</f>
        <v>3776</v>
      </c>
      <c r="P396" s="4">
        <v>0</v>
      </c>
      <c r="Q396" s="4">
        <f>[1]吉亚多!Q25</f>
        <v>2020</v>
      </c>
      <c r="R396" s="4">
        <v>2.5</v>
      </c>
      <c r="S396" s="4">
        <f>[1]吉亚多!R25</f>
        <v>34</v>
      </c>
      <c r="T396" s="4">
        <v>0</v>
      </c>
      <c r="U396" s="4">
        <v>0</v>
      </c>
      <c r="V396" s="4">
        <v>0</v>
      </c>
    </row>
    <row r="397" spans="1:22" x14ac:dyDescent="0.15">
      <c r="A397" s="4" t="s">
        <v>2662</v>
      </c>
      <c r="D397" s="4">
        <f t="shared" si="4"/>
        <v>22</v>
      </c>
      <c r="E397" s="4">
        <v>25</v>
      </c>
      <c r="H397" s="29">
        <v>1001</v>
      </c>
      <c r="I397" s="4">
        <f>[1]吉亚多!$S26</f>
        <v>2920</v>
      </c>
      <c r="L397" s="30">
        <v>800</v>
      </c>
      <c r="M397" s="4">
        <f>[1]吉亚多!N26</f>
        <v>394</v>
      </c>
      <c r="N397" s="4">
        <f>[1]吉亚多!O26</f>
        <v>54</v>
      </c>
      <c r="O397" s="4">
        <f>[1]吉亚多!P26</f>
        <v>3830</v>
      </c>
      <c r="P397" s="4">
        <v>0</v>
      </c>
      <c r="Q397" s="4">
        <f>[1]吉亚多!Q26</f>
        <v>2026</v>
      </c>
      <c r="R397" s="4">
        <v>2.5</v>
      </c>
      <c r="S397" s="4">
        <f>[1]吉亚多!R26</f>
        <v>35</v>
      </c>
      <c r="T397" s="4">
        <v>0</v>
      </c>
      <c r="U397" s="4">
        <v>0</v>
      </c>
      <c r="V397" s="4">
        <v>0</v>
      </c>
    </row>
    <row r="398" spans="1:22" x14ac:dyDescent="0.15">
      <c r="A398" s="4" t="s">
        <v>2662</v>
      </c>
      <c r="D398" s="4">
        <f t="shared" si="4"/>
        <v>22</v>
      </c>
      <c r="E398" s="4">
        <v>26</v>
      </c>
      <c r="H398" s="29">
        <v>1001</v>
      </c>
      <c r="I398" s="4">
        <f>[1]吉亚多!$S27</f>
        <v>2975</v>
      </c>
      <c r="L398" s="30">
        <v>800</v>
      </c>
      <c r="M398" s="4">
        <f>[1]吉亚多!N27</f>
        <v>402</v>
      </c>
      <c r="N398" s="4">
        <f>[1]吉亚多!O27</f>
        <v>56</v>
      </c>
      <c r="O398" s="4">
        <f>[1]吉亚多!P27</f>
        <v>3884</v>
      </c>
      <c r="P398" s="4">
        <v>0</v>
      </c>
      <c r="Q398" s="4">
        <f>[1]吉亚多!Q27</f>
        <v>2032</v>
      </c>
      <c r="R398" s="4">
        <v>2.5</v>
      </c>
      <c r="S398" s="4">
        <f>[1]吉亚多!R27</f>
        <v>36</v>
      </c>
      <c r="T398" s="4">
        <v>0</v>
      </c>
      <c r="U398" s="4">
        <v>0</v>
      </c>
      <c r="V398" s="4">
        <v>0</v>
      </c>
    </row>
    <row r="399" spans="1:22" x14ac:dyDescent="0.15">
      <c r="A399" s="4" t="s">
        <v>2662</v>
      </c>
      <c r="D399" s="4">
        <f t="shared" si="4"/>
        <v>22</v>
      </c>
      <c r="E399" s="4">
        <v>27</v>
      </c>
      <c r="H399" s="29">
        <v>1001</v>
      </c>
      <c r="I399" s="4">
        <f>[1]吉亚多!$S28</f>
        <v>3031</v>
      </c>
      <c r="L399" s="30">
        <v>800</v>
      </c>
      <c r="M399" s="4">
        <f>[1]吉亚多!N28</f>
        <v>410</v>
      </c>
      <c r="N399" s="4">
        <f>[1]吉亚多!O28</f>
        <v>58</v>
      </c>
      <c r="O399" s="4">
        <f>[1]吉亚多!P28</f>
        <v>3938</v>
      </c>
      <c r="P399" s="4">
        <v>0</v>
      </c>
      <c r="Q399" s="4">
        <f>[1]吉亚多!Q28</f>
        <v>2038</v>
      </c>
      <c r="R399" s="4">
        <v>2.5</v>
      </c>
      <c r="S399" s="4">
        <f>[1]吉亚多!R28</f>
        <v>37</v>
      </c>
      <c r="T399" s="4">
        <v>0</v>
      </c>
      <c r="U399" s="4">
        <v>0</v>
      </c>
      <c r="V399" s="4">
        <v>0</v>
      </c>
    </row>
    <row r="400" spans="1:22" x14ac:dyDescent="0.15">
      <c r="A400" s="4" t="s">
        <v>2662</v>
      </c>
      <c r="D400" s="4">
        <f t="shared" si="4"/>
        <v>22</v>
      </c>
      <c r="E400" s="4">
        <v>28</v>
      </c>
      <c r="H400" s="29">
        <v>1001</v>
      </c>
      <c r="I400" s="4">
        <f>[1]吉亚多!$S29</f>
        <v>3087</v>
      </c>
      <c r="L400" s="30">
        <v>800</v>
      </c>
      <c r="M400" s="4">
        <f>[1]吉亚多!N29</f>
        <v>418</v>
      </c>
      <c r="N400" s="4">
        <f>[1]吉亚多!O29</f>
        <v>60</v>
      </c>
      <c r="O400" s="4">
        <f>[1]吉亚多!P29</f>
        <v>3992</v>
      </c>
      <c r="P400" s="4">
        <v>0</v>
      </c>
      <c r="Q400" s="4">
        <f>[1]吉亚多!Q29</f>
        <v>2044</v>
      </c>
      <c r="R400" s="4">
        <v>2.5</v>
      </c>
      <c r="S400" s="4">
        <f>[1]吉亚多!R29</f>
        <v>38</v>
      </c>
      <c r="T400" s="4">
        <v>0</v>
      </c>
      <c r="U400" s="4">
        <v>0</v>
      </c>
      <c r="V400" s="4">
        <v>0</v>
      </c>
    </row>
    <row r="401" spans="1:22" x14ac:dyDescent="0.15">
      <c r="A401" s="4" t="s">
        <v>2662</v>
      </c>
      <c r="D401" s="4">
        <f t="shared" si="4"/>
        <v>22</v>
      </c>
      <c r="E401" s="4">
        <v>29</v>
      </c>
      <c r="H401" s="29">
        <v>1001</v>
      </c>
      <c r="I401" s="4">
        <f>[1]吉亚多!$S30</f>
        <v>3143</v>
      </c>
      <c r="L401" s="30">
        <v>800</v>
      </c>
      <c r="M401" s="4">
        <f>[1]吉亚多!N30</f>
        <v>426</v>
      </c>
      <c r="N401" s="4">
        <f>[1]吉亚多!O30</f>
        <v>62</v>
      </c>
      <c r="O401" s="4">
        <f>[1]吉亚多!P30</f>
        <v>4046</v>
      </c>
      <c r="P401" s="4">
        <v>0</v>
      </c>
      <c r="Q401" s="4">
        <f>[1]吉亚多!Q30</f>
        <v>2050</v>
      </c>
      <c r="R401" s="4">
        <v>2.5</v>
      </c>
      <c r="S401" s="4">
        <f>[1]吉亚多!R30</f>
        <v>39</v>
      </c>
      <c r="T401" s="4">
        <v>0</v>
      </c>
      <c r="U401" s="4">
        <v>0</v>
      </c>
      <c r="V401" s="4">
        <v>0</v>
      </c>
    </row>
    <row r="402" spans="1:22" x14ac:dyDescent="0.15">
      <c r="A402" s="4" t="s">
        <v>2662</v>
      </c>
      <c r="D402" s="4">
        <f t="shared" si="4"/>
        <v>22</v>
      </c>
      <c r="E402" s="4">
        <v>30</v>
      </c>
      <c r="H402" s="29">
        <v>1001</v>
      </c>
      <c r="I402" s="4">
        <f>[1]吉亚多!$S31</f>
        <v>3199</v>
      </c>
      <c r="L402" s="30">
        <v>800</v>
      </c>
      <c r="M402" s="4">
        <f>[1]吉亚多!N31</f>
        <v>434</v>
      </c>
      <c r="N402" s="4">
        <f>[1]吉亚多!O31</f>
        <v>64</v>
      </c>
      <c r="O402" s="4">
        <f>[1]吉亚多!P31</f>
        <v>4100</v>
      </c>
      <c r="P402" s="4">
        <v>0</v>
      </c>
      <c r="Q402" s="4">
        <f>[1]吉亚多!Q31</f>
        <v>2056</v>
      </c>
      <c r="R402" s="4">
        <v>2.5</v>
      </c>
      <c r="S402" s="4">
        <f>[1]吉亚多!R31</f>
        <v>40</v>
      </c>
      <c r="T402" s="4">
        <v>0</v>
      </c>
      <c r="U402" s="4">
        <v>0</v>
      </c>
      <c r="V402" s="4">
        <v>0</v>
      </c>
    </row>
    <row r="403" spans="1:22" x14ac:dyDescent="0.15">
      <c r="A403" s="4" t="s">
        <v>2662</v>
      </c>
      <c r="D403" s="4">
        <f t="shared" si="4"/>
        <v>22</v>
      </c>
      <c r="E403" s="4">
        <v>31</v>
      </c>
      <c r="H403" s="29">
        <v>1001</v>
      </c>
      <c r="I403" s="4">
        <f>[1]吉亚多!$S32</f>
        <v>3255</v>
      </c>
      <c r="L403" s="30">
        <v>800</v>
      </c>
      <c r="M403" s="4">
        <f>[1]吉亚多!N32</f>
        <v>442</v>
      </c>
      <c r="N403" s="4">
        <f>[1]吉亚多!O32</f>
        <v>66</v>
      </c>
      <c r="O403" s="4">
        <f>[1]吉亚多!P32</f>
        <v>4154</v>
      </c>
      <c r="P403" s="4">
        <v>0</v>
      </c>
      <c r="Q403" s="4">
        <f>[1]吉亚多!Q32</f>
        <v>2062</v>
      </c>
      <c r="R403" s="4">
        <v>2.5</v>
      </c>
      <c r="S403" s="4">
        <f>[1]吉亚多!R32</f>
        <v>41</v>
      </c>
      <c r="T403" s="4">
        <v>0</v>
      </c>
      <c r="U403" s="4">
        <v>0</v>
      </c>
      <c r="V403" s="4">
        <v>0</v>
      </c>
    </row>
    <row r="404" spans="1:22" x14ac:dyDescent="0.15">
      <c r="A404" s="4" t="s">
        <v>2662</v>
      </c>
      <c r="D404" s="4">
        <f t="shared" si="4"/>
        <v>22</v>
      </c>
      <c r="E404" s="4">
        <v>32</v>
      </c>
      <c r="H404" s="29">
        <v>1001</v>
      </c>
      <c r="I404" s="4">
        <f>[1]吉亚多!$S33</f>
        <v>3311</v>
      </c>
      <c r="L404" s="30">
        <v>800</v>
      </c>
      <c r="M404" s="4">
        <f>[1]吉亚多!N33</f>
        <v>450</v>
      </c>
      <c r="N404" s="4">
        <f>[1]吉亚多!O33</f>
        <v>68</v>
      </c>
      <c r="O404" s="4">
        <f>[1]吉亚多!P33</f>
        <v>4208</v>
      </c>
      <c r="P404" s="4">
        <v>0</v>
      </c>
      <c r="Q404" s="4">
        <f>[1]吉亚多!Q33</f>
        <v>2068</v>
      </c>
      <c r="R404" s="4">
        <v>2.5</v>
      </c>
      <c r="S404" s="4">
        <f>[1]吉亚多!R33</f>
        <v>42</v>
      </c>
      <c r="T404" s="4">
        <v>0</v>
      </c>
      <c r="U404" s="4">
        <v>0</v>
      </c>
      <c r="V404" s="4">
        <v>0</v>
      </c>
    </row>
    <row r="405" spans="1:22" x14ac:dyDescent="0.15">
      <c r="A405" s="4" t="s">
        <v>2662</v>
      </c>
      <c r="D405" s="4">
        <f t="shared" si="4"/>
        <v>22</v>
      </c>
      <c r="E405" s="4">
        <v>33</v>
      </c>
      <c r="H405" s="29">
        <v>1001</v>
      </c>
      <c r="I405" s="4">
        <f>[1]吉亚多!$S34</f>
        <v>3367</v>
      </c>
      <c r="L405" s="30">
        <v>800</v>
      </c>
      <c r="M405" s="4">
        <f>[1]吉亚多!N34</f>
        <v>458</v>
      </c>
      <c r="N405" s="4">
        <f>[1]吉亚多!O34</f>
        <v>70</v>
      </c>
      <c r="O405" s="4">
        <f>[1]吉亚多!P34</f>
        <v>4262</v>
      </c>
      <c r="P405" s="4">
        <v>0</v>
      </c>
      <c r="Q405" s="4">
        <f>[1]吉亚多!Q34</f>
        <v>2074</v>
      </c>
      <c r="R405" s="4">
        <v>2.5</v>
      </c>
      <c r="S405" s="4">
        <f>[1]吉亚多!R34</f>
        <v>43</v>
      </c>
      <c r="T405" s="4">
        <v>0</v>
      </c>
      <c r="U405" s="4">
        <v>0</v>
      </c>
      <c r="V405" s="4">
        <v>0</v>
      </c>
    </row>
    <row r="406" spans="1:22" x14ac:dyDescent="0.15">
      <c r="A406" s="4" t="s">
        <v>2662</v>
      </c>
      <c r="D406" s="4">
        <f t="shared" si="4"/>
        <v>22</v>
      </c>
      <c r="E406" s="4">
        <v>34</v>
      </c>
      <c r="H406" s="29">
        <v>1001</v>
      </c>
      <c r="I406" s="4">
        <f>[1]吉亚多!$S35</f>
        <v>3423</v>
      </c>
      <c r="L406" s="30">
        <v>800</v>
      </c>
      <c r="M406" s="4">
        <f>[1]吉亚多!N35</f>
        <v>466</v>
      </c>
      <c r="N406" s="4">
        <f>[1]吉亚多!O35</f>
        <v>72</v>
      </c>
      <c r="O406" s="4">
        <f>[1]吉亚多!P35</f>
        <v>4316</v>
      </c>
      <c r="P406" s="4">
        <v>0</v>
      </c>
      <c r="Q406" s="4">
        <f>[1]吉亚多!Q35</f>
        <v>2080</v>
      </c>
      <c r="R406" s="4">
        <v>2.5</v>
      </c>
      <c r="S406" s="4">
        <f>[1]吉亚多!R35</f>
        <v>44</v>
      </c>
      <c r="T406" s="4">
        <v>0</v>
      </c>
      <c r="U406" s="4">
        <v>0</v>
      </c>
      <c r="V406" s="4">
        <v>0</v>
      </c>
    </row>
    <row r="407" spans="1:22" x14ac:dyDescent="0.15">
      <c r="A407" s="4" t="s">
        <v>2662</v>
      </c>
      <c r="D407" s="4">
        <f t="shared" si="4"/>
        <v>22</v>
      </c>
      <c r="E407" s="4">
        <v>35</v>
      </c>
      <c r="H407" s="29">
        <v>1001</v>
      </c>
      <c r="I407" s="4">
        <f>[1]吉亚多!$S36</f>
        <v>3479</v>
      </c>
      <c r="L407" s="30">
        <v>800</v>
      </c>
      <c r="M407" s="4">
        <f>[1]吉亚多!N36</f>
        <v>474</v>
      </c>
      <c r="N407" s="4">
        <f>[1]吉亚多!O36</f>
        <v>74</v>
      </c>
      <c r="O407" s="4">
        <f>[1]吉亚多!P36</f>
        <v>4370</v>
      </c>
      <c r="P407" s="4">
        <v>0</v>
      </c>
      <c r="Q407" s="4">
        <f>[1]吉亚多!Q36</f>
        <v>2086</v>
      </c>
      <c r="R407" s="4">
        <v>2.5</v>
      </c>
      <c r="S407" s="4">
        <f>[1]吉亚多!R36</f>
        <v>45</v>
      </c>
      <c r="T407" s="4">
        <v>0</v>
      </c>
      <c r="U407" s="4">
        <v>0</v>
      </c>
      <c r="V407" s="4">
        <v>0</v>
      </c>
    </row>
    <row r="408" spans="1:22" x14ac:dyDescent="0.15">
      <c r="A408" s="4" t="s">
        <v>2662</v>
      </c>
      <c r="D408" s="4">
        <f t="shared" si="4"/>
        <v>22</v>
      </c>
      <c r="E408" s="4">
        <v>36</v>
      </c>
      <c r="H408" s="29">
        <v>1001</v>
      </c>
      <c r="I408" s="4">
        <f>[1]吉亚多!$S37</f>
        <v>3535</v>
      </c>
      <c r="L408" s="30">
        <v>800</v>
      </c>
      <c r="M408" s="4">
        <f>[1]吉亚多!N37</f>
        <v>482</v>
      </c>
      <c r="N408" s="4">
        <f>[1]吉亚多!O37</f>
        <v>76</v>
      </c>
      <c r="O408" s="4">
        <f>[1]吉亚多!P37</f>
        <v>4424</v>
      </c>
      <c r="P408" s="4">
        <v>0</v>
      </c>
      <c r="Q408" s="4">
        <f>[1]吉亚多!Q37</f>
        <v>2092</v>
      </c>
      <c r="R408" s="4">
        <v>2.5</v>
      </c>
      <c r="S408" s="4">
        <f>[1]吉亚多!R37</f>
        <v>46</v>
      </c>
      <c r="T408" s="4">
        <v>0</v>
      </c>
      <c r="U408" s="4">
        <v>0</v>
      </c>
      <c r="V408" s="4">
        <v>0</v>
      </c>
    </row>
    <row r="409" spans="1:22" x14ac:dyDescent="0.15">
      <c r="A409" s="4" t="s">
        <v>2662</v>
      </c>
      <c r="D409" s="4">
        <f t="shared" si="4"/>
        <v>22</v>
      </c>
      <c r="E409" s="4">
        <v>37</v>
      </c>
      <c r="H409" s="29">
        <v>1001</v>
      </c>
      <c r="I409" s="4">
        <f>[1]吉亚多!$S38</f>
        <v>3591</v>
      </c>
      <c r="L409" s="30">
        <v>800</v>
      </c>
      <c r="M409" s="4">
        <f>[1]吉亚多!N38</f>
        <v>490</v>
      </c>
      <c r="N409" s="4">
        <f>[1]吉亚多!O38</f>
        <v>78</v>
      </c>
      <c r="O409" s="4">
        <f>[1]吉亚多!P38</f>
        <v>4478</v>
      </c>
      <c r="P409" s="4">
        <v>0</v>
      </c>
      <c r="Q409" s="4">
        <f>[1]吉亚多!Q38</f>
        <v>2098</v>
      </c>
      <c r="R409" s="4">
        <v>2.5</v>
      </c>
      <c r="S409" s="4">
        <f>[1]吉亚多!R38</f>
        <v>47</v>
      </c>
      <c r="T409" s="4">
        <v>0</v>
      </c>
      <c r="U409" s="4">
        <v>0</v>
      </c>
      <c r="V409" s="4">
        <v>0</v>
      </c>
    </row>
    <row r="410" spans="1:22" x14ac:dyDescent="0.15">
      <c r="A410" s="4" t="s">
        <v>2662</v>
      </c>
      <c r="D410" s="4">
        <f t="shared" si="4"/>
        <v>22</v>
      </c>
      <c r="E410" s="4">
        <v>38</v>
      </c>
      <c r="H410" s="29">
        <v>1001</v>
      </c>
      <c r="I410" s="4">
        <f>[1]吉亚多!$S39</f>
        <v>3646</v>
      </c>
      <c r="L410" s="30">
        <v>800</v>
      </c>
      <c r="M410" s="4">
        <f>[1]吉亚多!N39</f>
        <v>498</v>
      </c>
      <c r="N410" s="4">
        <f>[1]吉亚多!O39</f>
        <v>80</v>
      </c>
      <c r="O410" s="4">
        <f>[1]吉亚多!P39</f>
        <v>4532</v>
      </c>
      <c r="P410" s="4">
        <v>0</v>
      </c>
      <c r="Q410" s="4">
        <f>[1]吉亚多!Q39</f>
        <v>2104</v>
      </c>
      <c r="R410" s="4">
        <v>2.5</v>
      </c>
      <c r="S410" s="4">
        <f>[1]吉亚多!R39</f>
        <v>48</v>
      </c>
      <c r="T410" s="4">
        <v>0</v>
      </c>
      <c r="U410" s="4">
        <v>0</v>
      </c>
      <c r="V410" s="4">
        <v>0</v>
      </c>
    </row>
    <row r="411" spans="1:22" x14ac:dyDescent="0.15">
      <c r="A411" s="4" t="s">
        <v>2662</v>
      </c>
      <c r="D411" s="4">
        <f t="shared" si="4"/>
        <v>22</v>
      </c>
      <c r="E411" s="4">
        <v>39</v>
      </c>
      <c r="H411" s="29">
        <v>1001</v>
      </c>
      <c r="I411" s="4">
        <f>[1]吉亚多!$S40</f>
        <v>3702</v>
      </c>
      <c r="L411" s="30">
        <v>800</v>
      </c>
      <c r="M411" s="4">
        <f>[1]吉亚多!N40</f>
        <v>506</v>
      </c>
      <c r="N411" s="4">
        <f>[1]吉亚多!O40</f>
        <v>82</v>
      </c>
      <c r="O411" s="4">
        <f>[1]吉亚多!P40</f>
        <v>4586</v>
      </c>
      <c r="P411" s="4">
        <v>0</v>
      </c>
      <c r="Q411" s="4">
        <f>[1]吉亚多!Q40</f>
        <v>2110</v>
      </c>
      <c r="R411" s="4">
        <v>2.5</v>
      </c>
      <c r="S411" s="4">
        <f>[1]吉亚多!R40</f>
        <v>49</v>
      </c>
      <c r="T411" s="4">
        <v>0</v>
      </c>
      <c r="U411" s="4">
        <v>0</v>
      </c>
      <c r="V411" s="4">
        <v>0</v>
      </c>
    </row>
    <row r="412" spans="1:22" x14ac:dyDescent="0.15">
      <c r="A412" s="4" t="s">
        <v>2662</v>
      </c>
      <c r="D412" s="4">
        <f t="shared" si="4"/>
        <v>22</v>
      </c>
      <c r="E412" s="4">
        <v>40</v>
      </c>
      <c r="H412" s="29">
        <v>1001</v>
      </c>
      <c r="I412" s="4">
        <f>[1]吉亚多!$S41</f>
        <v>3758</v>
      </c>
      <c r="L412" s="30">
        <v>800</v>
      </c>
      <c r="M412" s="4">
        <f>[1]吉亚多!N41</f>
        <v>514</v>
      </c>
      <c r="N412" s="4">
        <f>[1]吉亚多!O41</f>
        <v>84</v>
      </c>
      <c r="O412" s="4">
        <f>[1]吉亚多!P41</f>
        <v>4640</v>
      </c>
      <c r="P412" s="4">
        <v>0</v>
      </c>
      <c r="Q412" s="4">
        <f>[1]吉亚多!Q41</f>
        <v>2116</v>
      </c>
      <c r="R412" s="4">
        <v>2.5</v>
      </c>
      <c r="S412" s="4">
        <f>[1]吉亚多!R41</f>
        <v>50</v>
      </c>
      <c r="T412" s="4">
        <v>0</v>
      </c>
      <c r="U412" s="4">
        <v>0</v>
      </c>
      <c r="V412" s="4">
        <v>0</v>
      </c>
    </row>
    <row r="413" spans="1:22" x14ac:dyDescent="0.15">
      <c r="A413" s="4" t="s">
        <v>2662</v>
      </c>
      <c r="D413" s="4">
        <f t="shared" si="4"/>
        <v>22</v>
      </c>
      <c r="E413" s="4">
        <v>41</v>
      </c>
      <c r="H413" s="29">
        <v>1001</v>
      </c>
      <c r="I413" s="4">
        <f>[1]吉亚多!$S42</f>
        <v>3814</v>
      </c>
      <c r="L413" s="30">
        <v>800</v>
      </c>
      <c r="M413" s="4">
        <f>[1]吉亚多!N42</f>
        <v>522</v>
      </c>
      <c r="N413" s="4">
        <f>[1]吉亚多!O42</f>
        <v>86</v>
      </c>
      <c r="O413" s="4">
        <f>[1]吉亚多!P42</f>
        <v>4694</v>
      </c>
      <c r="P413" s="4">
        <v>0</v>
      </c>
      <c r="Q413" s="4">
        <f>[1]吉亚多!Q42</f>
        <v>2122</v>
      </c>
      <c r="R413" s="4">
        <v>2.5</v>
      </c>
      <c r="S413" s="4">
        <f>[1]吉亚多!R42</f>
        <v>51</v>
      </c>
      <c r="T413" s="4">
        <v>0</v>
      </c>
      <c r="U413" s="4">
        <v>0</v>
      </c>
      <c r="V413" s="4">
        <v>0</v>
      </c>
    </row>
    <row r="414" spans="1:22" x14ac:dyDescent="0.15">
      <c r="A414" s="4" t="s">
        <v>2662</v>
      </c>
      <c r="D414" s="4">
        <f t="shared" si="4"/>
        <v>22</v>
      </c>
      <c r="E414" s="4">
        <v>42</v>
      </c>
      <c r="H414" s="29">
        <v>1001</v>
      </c>
      <c r="I414" s="4">
        <f>[1]吉亚多!$S43</f>
        <v>3870</v>
      </c>
      <c r="L414" s="30">
        <v>800</v>
      </c>
      <c r="M414" s="4">
        <f>[1]吉亚多!N43</f>
        <v>530</v>
      </c>
      <c r="N414" s="4">
        <f>[1]吉亚多!O43</f>
        <v>88</v>
      </c>
      <c r="O414" s="4">
        <f>[1]吉亚多!P43</f>
        <v>4748</v>
      </c>
      <c r="P414" s="4">
        <v>0</v>
      </c>
      <c r="Q414" s="4">
        <f>[1]吉亚多!Q43</f>
        <v>2128</v>
      </c>
      <c r="R414" s="4">
        <v>2.5</v>
      </c>
      <c r="S414" s="4">
        <f>[1]吉亚多!R43</f>
        <v>52</v>
      </c>
      <c r="T414" s="4">
        <v>0</v>
      </c>
      <c r="U414" s="4">
        <v>0</v>
      </c>
      <c r="V414" s="4">
        <v>0</v>
      </c>
    </row>
    <row r="415" spans="1:22" x14ac:dyDescent="0.15">
      <c r="A415" s="4" t="s">
        <v>2662</v>
      </c>
      <c r="D415" s="4">
        <f t="shared" si="4"/>
        <v>22</v>
      </c>
      <c r="E415" s="4">
        <v>43</v>
      </c>
      <c r="H415" s="29">
        <v>1001</v>
      </c>
      <c r="I415" s="4">
        <f>[1]吉亚多!$S44</f>
        <v>3926</v>
      </c>
      <c r="L415" s="30">
        <v>800</v>
      </c>
      <c r="M415" s="4">
        <f>[1]吉亚多!N44</f>
        <v>538</v>
      </c>
      <c r="N415" s="4">
        <f>[1]吉亚多!O44</f>
        <v>90</v>
      </c>
      <c r="O415" s="4">
        <f>[1]吉亚多!P44</f>
        <v>4802</v>
      </c>
      <c r="P415" s="4">
        <v>0</v>
      </c>
      <c r="Q415" s="4">
        <f>[1]吉亚多!Q44</f>
        <v>2134</v>
      </c>
      <c r="R415" s="4">
        <v>2.5</v>
      </c>
      <c r="S415" s="4">
        <f>[1]吉亚多!R44</f>
        <v>53</v>
      </c>
      <c r="T415" s="4">
        <v>0</v>
      </c>
      <c r="U415" s="4">
        <v>0</v>
      </c>
      <c r="V415" s="4">
        <v>0</v>
      </c>
    </row>
    <row r="416" spans="1:22" x14ac:dyDescent="0.15">
      <c r="A416" s="4" t="s">
        <v>2662</v>
      </c>
      <c r="D416" s="4">
        <f t="shared" si="4"/>
        <v>22</v>
      </c>
      <c r="E416" s="4">
        <v>44</v>
      </c>
      <c r="H416" s="29">
        <v>1001</v>
      </c>
      <c r="I416" s="4">
        <f>[1]吉亚多!$S45</f>
        <v>3982</v>
      </c>
      <c r="L416" s="30">
        <v>800</v>
      </c>
      <c r="M416" s="4">
        <f>[1]吉亚多!N45</f>
        <v>546</v>
      </c>
      <c r="N416" s="4">
        <f>[1]吉亚多!O45</f>
        <v>92</v>
      </c>
      <c r="O416" s="4">
        <f>[1]吉亚多!P45</f>
        <v>4856</v>
      </c>
      <c r="P416" s="4">
        <v>0</v>
      </c>
      <c r="Q416" s="4">
        <f>[1]吉亚多!Q45</f>
        <v>2140</v>
      </c>
      <c r="R416" s="4">
        <v>2.5</v>
      </c>
      <c r="S416" s="4">
        <f>[1]吉亚多!R45</f>
        <v>54</v>
      </c>
      <c r="T416" s="4">
        <v>0</v>
      </c>
      <c r="U416" s="4">
        <v>0</v>
      </c>
      <c r="V416" s="4">
        <v>0</v>
      </c>
    </row>
    <row r="417" spans="1:22" x14ac:dyDescent="0.15">
      <c r="A417" s="4" t="s">
        <v>2662</v>
      </c>
      <c r="D417" s="4">
        <f t="shared" si="4"/>
        <v>22</v>
      </c>
      <c r="E417" s="4">
        <v>45</v>
      </c>
      <c r="H417" s="29">
        <v>1001</v>
      </c>
      <c r="I417" s="4">
        <f>[1]吉亚多!$S46</f>
        <v>4038</v>
      </c>
      <c r="L417" s="30">
        <v>800</v>
      </c>
      <c r="M417" s="4">
        <f>[1]吉亚多!N46</f>
        <v>554</v>
      </c>
      <c r="N417" s="4">
        <f>[1]吉亚多!O46</f>
        <v>94</v>
      </c>
      <c r="O417" s="4">
        <f>[1]吉亚多!P46</f>
        <v>4910</v>
      </c>
      <c r="P417" s="4">
        <v>0</v>
      </c>
      <c r="Q417" s="4">
        <f>[1]吉亚多!Q46</f>
        <v>2146</v>
      </c>
      <c r="R417" s="4">
        <v>2.5</v>
      </c>
      <c r="S417" s="4">
        <f>[1]吉亚多!R46</f>
        <v>55</v>
      </c>
      <c r="T417" s="4">
        <v>0</v>
      </c>
      <c r="U417" s="4">
        <v>0</v>
      </c>
      <c r="V417" s="4">
        <v>0</v>
      </c>
    </row>
    <row r="418" spans="1:22" x14ac:dyDescent="0.15">
      <c r="A418" s="4" t="s">
        <v>2662</v>
      </c>
      <c r="D418" s="4">
        <f t="shared" si="4"/>
        <v>22</v>
      </c>
      <c r="E418" s="4">
        <v>46</v>
      </c>
      <c r="H418" s="29">
        <v>1001</v>
      </c>
      <c r="I418" s="4">
        <f>[1]吉亚多!$S47</f>
        <v>4094</v>
      </c>
      <c r="L418" s="30">
        <v>800</v>
      </c>
      <c r="M418" s="4">
        <f>[1]吉亚多!N47</f>
        <v>562</v>
      </c>
      <c r="N418" s="4">
        <f>[1]吉亚多!O47</f>
        <v>96</v>
      </c>
      <c r="O418" s="4">
        <f>[1]吉亚多!P47</f>
        <v>4964</v>
      </c>
      <c r="P418" s="4">
        <v>0</v>
      </c>
      <c r="Q418" s="4">
        <f>[1]吉亚多!Q47</f>
        <v>2152</v>
      </c>
      <c r="R418" s="4">
        <v>2.5</v>
      </c>
      <c r="S418" s="4">
        <f>[1]吉亚多!R47</f>
        <v>56</v>
      </c>
      <c r="T418" s="4">
        <v>0</v>
      </c>
      <c r="U418" s="4">
        <v>0</v>
      </c>
      <c r="V418" s="4">
        <v>0</v>
      </c>
    </row>
    <row r="419" spans="1:22" x14ac:dyDescent="0.15">
      <c r="A419" s="4" t="s">
        <v>2662</v>
      </c>
      <c r="D419" s="4">
        <f t="shared" si="4"/>
        <v>22</v>
      </c>
      <c r="E419" s="4">
        <v>47</v>
      </c>
      <c r="H419" s="29">
        <v>1001</v>
      </c>
      <c r="I419" s="4">
        <f>[1]吉亚多!$S48</f>
        <v>4150</v>
      </c>
      <c r="L419" s="30">
        <v>800</v>
      </c>
      <c r="M419" s="4">
        <f>[1]吉亚多!N48</f>
        <v>570</v>
      </c>
      <c r="N419" s="4">
        <f>[1]吉亚多!O48</f>
        <v>98</v>
      </c>
      <c r="O419" s="4">
        <f>[1]吉亚多!P48</f>
        <v>5018</v>
      </c>
      <c r="P419" s="4">
        <v>0</v>
      </c>
      <c r="Q419" s="4">
        <f>[1]吉亚多!Q48</f>
        <v>2158</v>
      </c>
      <c r="R419" s="4">
        <v>2.5</v>
      </c>
      <c r="S419" s="4">
        <f>[1]吉亚多!R48</f>
        <v>57</v>
      </c>
      <c r="T419" s="4">
        <v>0</v>
      </c>
      <c r="U419" s="4">
        <v>0</v>
      </c>
      <c r="V419" s="4">
        <v>0</v>
      </c>
    </row>
    <row r="420" spans="1:22" x14ac:dyDescent="0.15">
      <c r="A420" s="4" t="s">
        <v>2662</v>
      </c>
      <c r="D420" s="4">
        <f t="shared" si="4"/>
        <v>22</v>
      </c>
      <c r="E420" s="4">
        <v>48</v>
      </c>
      <c r="H420" s="29">
        <v>1001</v>
      </c>
      <c r="I420" s="4">
        <f>[1]吉亚多!$S49</f>
        <v>4206</v>
      </c>
      <c r="L420" s="30">
        <v>800</v>
      </c>
      <c r="M420" s="4">
        <f>[1]吉亚多!N49</f>
        <v>578</v>
      </c>
      <c r="N420" s="4">
        <f>[1]吉亚多!O49</f>
        <v>100</v>
      </c>
      <c r="O420" s="4">
        <f>[1]吉亚多!P49</f>
        <v>5072</v>
      </c>
      <c r="P420" s="4">
        <v>0</v>
      </c>
      <c r="Q420" s="4">
        <f>[1]吉亚多!Q49</f>
        <v>2164</v>
      </c>
      <c r="R420" s="4">
        <v>2.5</v>
      </c>
      <c r="S420" s="4">
        <f>[1]吉亚多!R49</f>
        <v>58</v>
      </c>
      <c r="T420" s="4">
        <v>0</v>
      </c>
      <c r="U420" s="4">
        <v>0</v>
      </c>
      <c r="V420" s="4">
        <v>0</v>
      </c>
    </row>
    <row r="421" spans="1:22" x14ac:dyDescent="0.15">
      <c r="A421" s="4" t="s">
        <v>2662</v>
      </c>
      <c r="D421" s="4">
        <f t="shared" si="4"/>
        <v>22</v>
      </c>
      <c r="E421" s="4">
        <v>49</v>
      </c>
      <c r="H421" s="29">
        <v>1001</v>
      </c>
      <c r="I421" s="4">
        <f>[1]吉亚多!$S50</f>
        <v>4262</v>
      </c>
      <c r="L421" s="30">
        <v>800</v>
      </c>
      <c r="M421" s="4">
        <f>[1]吉亚多!N50</f>
        <v>586</v>
      </c>
      <c r="N421" s="4">
        <f>[1]吉亚多!O50</f>
        <v>102</v>
      </c>
      <c r="O421" s="4">
        <f>[1]吉亚多!P50</f>
        <v>5126</v>
      </c>
      <c r="P421" s="4">
        <v>0</v>
      </c>
      <c r="Q421" s="4">
        <f>[1]吉亚多!Q50</f>
        <v>2170</v>
      </c>
      <c r="R421" s="4">
        <v>2.5</v>
      </c>
      <c r="S421" s="4">
        <f>[1]吉亚多!R50</f>
        <v>59</v>
      </c>
      <c r="T421" s="4">
        <v>0</v>
      </c>
      <c r="U421" s="4">
        <v>0</v>
      </c>
      <c r="V421" s="4">
        <v>0</v>
      </c>
    </row>
    <row r="422" spans="1:22" x14ac:dyDescent="0.15">
      <c r="A422" s="4" t="s">
        <v>2662</v>
      </c>
      <c r="D422" s="4">
        <f t="shared" si="4"/>
        <v>22</v>
      </c>
      <c r="E422" s="4">
        <v>50</v>
      </c>
      <c r="H422" s="29">
        <v>1001</v>
      </c>
      <c r="I422" s="4">
        <f>[1]吉亚多!$S51</f>
        <v>4318</v>
      </c>
      <c r="L422" s="30">
        <v>800</v>
      </c>
      <c r="M422" s="4">
        <f>[1]吉亚多!N51</f>
        <v>594</v>
      </c>
      <c r="N422" s="4">
        <f>[1]吉亚多!O51</f>
        <v>104</v>
      </c>
      <c r="O422" s="4">
        <f>[1]吉亚多!P51</f>
        <v>5180</v>
      </c>
      <c r="P422" s="4">
        <v>0</v>
      </c>
      <c r="Q422" s="4">
        <f>[1]吉亚多!Q51</f>
        <v>2176</v>
      </c>
      <c r="R422" s="4">
        <v>2.5</v>
      </c>
      <c r="S422" s="4">
        <f>[1]吉亚多!R51</f>
        <v>60</v>
      </c>
      <c r="T422" s="4">
        <v>0</v>
      </c>
      <c r="U422" s="4">
        <v>0</v>
      </c>
      <c r="V422" s="4">
        <v>0</v>
      </c>
    </row>
    <row r="423" spans="1:22" x14ac:dyDescent="0.15">
      <c r="I423" s="4"/>
    </row>
    <row r="424" spans="1:22" x14ac:dyDescent="0.15">
      <c r="A424" s="4" t="s">
        <v>2662</v>
      </c>
      <c r="C424" s="4" t="s">
        <v>3083</v>
      </c>
      <c r="D424" s="4">
        <f t="shared" ref="D424:D474" si="5">D372+1</f>
        <v>23</v>
      </c>
      <c r="E424" s="4">
        <v>0</v>
      </c>
      <c r="H424" s="29">
        <v>1000</v>
      </c>
      <c r="I424" s="31">
        <v>299</v>
      </c>
      <c r="M424" s="4">
        <v>0</v>
      </c>
      <c r="N424" s="4">
        <v>0</v>
      </c>
      <c r="O424" s="4">
        <v>0</v>
      </c>
      <c r="P424" s="4">
        <v>0</v>
      </c>
      <c r="Q424" s="4">
        <v>0</v>
      </c>
      <c r="R424" s="4">
        <v>0</v>
      </c>
      <c r="S424" s="4">
        <v>0</v>
      </c>
      <c r="T424" s="4">
        <v>0</v>
      </c>
      <c r="U424" s="4">
        <v>0</v>
      </c>
      <c r="V424" s="4">
        <v>0</v>
      </c>
    </row>
    <row r="425" spans="1:22" x14ac:dyDescent="0.15">
      <c r="A425" s="4" t="s">
        <v>2662</v>
      </c>
      <c r="D425" s="4">
        <f t="shared" si="5"/>
        <v>23</v>
      </c>
      <c r="E425" s="4">
        <v>1</v>
      </c>
      <c r="H425" s="29">
        <v>1001</v>
      </c>
      <c r="I425" s="4">
        <f>[1]吉亚多!$AB2</f>
        <v>1911</v>
      </c>
      <c r="L425" s="30">
        <v>800</v>
      </c>
      <c r="M425" s="4">
        <f>[1]吉亚多!W2</f>
        <v>230</v>
      </c>
      <c r="N425" s="4">
        <f>[1]吉亚多!X2</f>
        <v>7</v>
      </c>
      <c r="O425" s="4">
        <f>[1]吉亚多!Y2</f>
        <v>3456</v>
      </c>
      <c r="P425" s="4">
        <v>0</v>
      </c>
      <c r="Q425" s="4">
        <f>[1]吉亚多!Z2</f>
        <v>2150</v>
      </c>
      <c r="R425" s="4">
        <v>2.5</v>
      </c>
      <c r="S425" s="4">
        <f>[1]吉亚多!AA2</f>
        <v>13</v>
      </c>
      <c r="T425" s="4">
        <v>0</v>
      </c>
      <c r="U425" s="4">
        <v>0</v>
      </c>
      <c r="V425" s="4">
        <v>0</v>
      </c>
    </row>
    <row r="426" spans="1:22" x14ac:dyDescent="0.15">
      <c r="A426" s="4" t="s">
        <v>2662</v>
      </c>
      <c r="D426" s="4">
        <f t="shared" si="5"/>
        <v>23</v>
      </c>
      <c r="E426" s="4">
        <v>2</v>
      </c>
      <c r="H426" s="29">
        <v>1001</v>
      </c>
      <c r="I426" s="4">
        <f>[1]吉亚多!$AB3</f>
        <v>1981</v>
      </c>
      <c r="L426" s="30">
        <v>800</v>
      </c>
      <c r="M426" s="4">
        <f>[1]吉亚多!W3</f>
        <v>240</v>
      </c>
      <c r="N426" s="4">
        <f>[1]吉亚多!X3</f>
        <v>9</v>
      </c>
      <c r="O426" s="4">
        <f>[1]吉亚多!Y3</f>
        <v>3530</v>
      </c>
      <c r="P426" s="4">
        <v>0</v>
      </c>
      <c r="Q426" s="4">
        <f>[1]吉亚多!Z3</f>
        <v>2156</v>
      </c>
      <c r="R426" s="4">
        <v>2.5</v>
      </c>
      <c r="S426" s="4">
        <f>[1]吉亚多!AA3</f>
        <v>14</v>
      </c>
      <c r="T426" s="4">
        <v>0</v>
      </c>
      <c r="U426" s="4">
        <v>0</v>
      </c>
      <c r="V426" s="4">
        <v>0</v>
      </c>
    </row>
    <row r="427" spans="1:22" x14ac:dyDescent="0.15">
      <c r="A427" s="4" t="s">
        <v>2662</v>
      </c>
      <c r="D427" s="4">
        <f t="shared" si="5"/>
        <v>23</v>
      </c>
      <c r="E427" s="4">
        <v>3</v>
      </c>
      <c r="H427" s="29">
        <v>1001</v>
      </c>
      <c r="I427" s="4">
        <f>[1]吉亚多!$AB4</f>
        <v>2051</v>
      </c>
      <c r="L427" s="30">
        <v>800</v>
      </c>
      <c r="M427" s="4">
        <f>[1]吉亚多!W4</f>
        <v>250</v>
      </c>
      <c r="N427" s="4">
        <f>[1]吉亚多!X4</f>
        <v>11</v>
      </c>
      <c r="O427" s="4">
        <f>[1]吉亚多!Y4</f>
        <v>3604</v>
      </c>
      <c r="P427" s="4">
        <v>0</v>
      </c>
      <c r="Q427" s="4">
        <f>[1]吉亚多!Z4</f>
        <v>2162</v>
      </c>
      <c r="R427" s="4">
        <v>2.5</v>
      </c>
      <c r="S427" s="4">
        <f>[1]吉亚多!AA4</f>
        <v>15</v>
      </c>
      <c r="T427" s="4">
        <v>0</v>
      </c>
      <c r="U427" s="4">
        <v>0</v>
      </c>
      <c r="V427" s="4">
        <v>0</v>
      </c>
    </row>
    <row r="428" spans="1:22" x14ac:dyDescent="0.15">
      <c r="A428" s="4" t="s">
        <v>2662</v>
      </c>
      <c r="D428" s="4">
        <f t="shared" si="5"/>
        <v>23</v>
      </c>
      <c r="E428" s="4">
        <v>4</v>
      </c>
      <c r="H428" s="29">
        <v>1001</v>
      </c>
      <c r="I428" s="4">
        <f>[1]吉亚多!$AB5</f>
        <v>2121</v>
      </c>
      <c r="L428" s="30">
        <v>800</v>
      </c>
      <c r="M428" s="4">
        <f>[1]吉亚多!W5</f>
        <v>260</v>
      </c>
      <c r="N428" s="4">
        <f>[1]吉亚多!X5</f>
        <v>13</v>
      </c>
      <c r="O428" s="4">
        <f>[1]吉亚多!Y5</f>
        <v>3678</v>
      </c>
      <c r="P428" s="4">
        <v>0</v>
      </c>
      <c r="Q428" s="4">
        <f>[1]吉亚多!Z5</f>
        <v>2168</v>
      </c>
      <c r="R428" s="4">
        <v>2.5</v>
      </c>
      <c r="S428" s="4">
        <f>[1]吉亚多!AA5</f>
        <v>16</v>
      </c>
      <c r="T428" s="4">
        <v>0</v>
      </c>
      <c r="U428" s="4">
        <v>0</v>
      </c>
      <c r="V428" s="4">
        <v>0</v>
      </c>
    </row>
    <row r="429" spans="1:22" x14ac:dyDescent="0.15">
      <c r="A429" s="4" t="s">
        <v>2662</v>
      </c>
      <c r="D429" s="4">
        <f t="shared" si="5"/>
        <v>23</v>
      </c>
      <c r="E429" s="4">
        <v>5</v>
      </c>
      <c r="H429" s="29">
        <v>1001</v>
      </c>
      <c r="I429" s="4">
        <f>[1]吉亚多!$AB6</f>
        <v>2191</v>
      </c>
      <c r="L429" s="30">
        <v>800</v>
      </c>
      <c r="M429" s="4">
        <f>[1]吉亚多!W6</f>
        <v>270</v>
      </c>
      <c r="N429" s="4">
        <f>[1]吉亚多!X6</f>
        <v>15</v>
      </c>
      <c r="O429" s="4">
        <f>[1]吉亚多!Y6</f>
        <v>3752</v>
      </c>
      <c r="P429" s="4">
        <v>0</v>
      </c>
      <c r="Q429" s="4">
        <f>[1]吉亚多!Z6</f>
        <v>2174</v>
      </c>
      <c r="R429" s="4">
        <v>2.5</v>
      </c>
      <c r="S429" s="4">
        <f>[1]吉亚多!AA6</f>
        <v>17</v>
      </c>
      <c r="T429" s="4">
        <v>0</v>
      </c>
      <c r="U429" s="4">
        <v>0</v>
      </c>
      <c r="V429" s="4">
        <v>0</v>
      </c>
    </row>
    <row r="430" spans="1:22" x14ac:dyDescent="0.15">
      <c r="A430" s="4" t="s">
        <v>2662</v>
      </c>
      <c r="D430" s="4">
        <f t="shared" si="5"/>
        <v>23</v>
      </c>
      <c r="E430" s="4">
        <v>6</v>
      </c>
      <c r="H430" s="29">
        <v>1001</v>
      </c>
      <c r="I430" s="4">
        <f>[1]吉亚多!$AB7</f>
        <v>2261</v>
      </c>
      <c r="L430" s="30">
        <v>800</v>
      </c>
      <c r="M430" s="4">
        <f>[1]吉亚多!W7</f>
        <v>280</v>
      </c>
      <c r="N430" s="4">
        <f>[1]吉亚多!X7</f>
        <v>17</v>
      </c>
      <c r="O430" s="4">
        <f>[1]吉亚多!Y7</f>
        <v>3826</v>
      </c>
      <c r="P430" s="4">
        <v>0</v>
      </c>
      <c r="Q430" s="4">
        <f>[1]吉亚多!Z7</f>
        <v>2180</v>
      </c>
      <c r="R430" s="4">
        <v>2.5</v>
      </c>
      <c r="S430" s="4">
        <f>[1]吉亚多!AA7</f>
        <v>18</v>
      </c>
      <c r="T430" s="4">
        <v>0</v>
      </c>
      <c r="U430" s="4">
        <v>0</v>
      </c>
      <c r="V430" s="4">
        <v>0</v>
      </c>
    </row>
    <row r="431" spans="1:22" x14ac:dyDescent="0.15">
      <c r="A431" s="4" t="s">
        <v>2662</v>
      </c>
      <c r="D431" s="4">
        <f t="shared" si="5"/>
        <v>23</v>
      </c>
      <c r="E431" s="4">
        <v>7</v>
      </c>
      <c r="H431" s="29">
        <v>1001</v>
      </c>
      <c r="I431" s="4">
        <f>[1]吉亚多!$AB8</f>
        <v>2331</v>
      </c>
      <c r="L431" s="30">
        <v>800</v>
      </c>
      <c r="M431" s="4">
        <f>[1]吉亚多!W8</f>
        <v>290</v>
      </c>
      <c r="N431" s="4">
        <f>[1]吉亚多!X8</f>
        <v>19</v>
      </c>
      <c r="O431" s="4">
        <f>[1]吉亚多!Y8</f>
        <v>3900</v>
      </c>
      <c r="P431" s="4">
        <v>0</v>
      </c>
      <c r="Q431" s="4">
        <f>[1]吉亚多!Z8</f>
        <v>2186</v>
      </c>
      <c r="R431" s="4">
        <v>2.5</v>
      </c>
      <c r="S431" s="4">
        <f>[1]吉亚多!AA8</f>
        <v>19</v>
      </c>
      <c r="T431" s="4">
        <v>0</v>
      </c>
      <c r="U431" s="4">
        <v>0</v>
      </c>
      <c r="V431" s="4">
        <v>0</v>
      </c>
    </row>
    <row r="432" spans="1:22" x14ac:dyDescent="0.15">
      <c r="A432" s="4" t="s">
        <v>2662</v>
      </c>
      <c r="D432" s="4">
        <f t="shared" si="5"/>
        <v>23</v>
      </c>
      <c r="E432" s="4">
        <v>8</v>
      </c>
      <c r="H432" s="29">
        <v>1001</v>
      </c>
      <c r="I432" s="4">
        <f>[1]吉亚多!$AB9</f>
        <v>2401</v>
      </c>
      <c r="L432" s="30">
        <v>800</v>
      </c>
      <c r="M432" s="4">
        <f>[1]吉亚多!W9</f>
        <v>300</v>
      </c>
      <c r="N432" s="4">
        <f>[1]吉亚多!X9</f>
        <v>21</v>
      </c>
      <c r="O432" s="4">
        <f>[1]吉亚多!Y9</f>
        <v>3974</v>
      </c>
      <c r="P432" s="4">
        <v>0</v>
      </c>
      <c r="Q432" s="4">
        <f>[1]吉亚多!Z9</f>
        <v>2192</v>
      </c>
      <c r="R432" s="4">
        <v>2.5</v>
      </c>
      <c r="S432" s="4">
        <f>[1]吉亚多!AA9</f>
        <v>20</v>
      </c>
      <c r="T432" s="4">
        <v>0</v>
      </c>
      <c r="U432" s="4">
        <v>0</v>
      </c>
      <c r="V432" s="4">
        <v>0</v>
      </c>
    </row>
    <row r="433" spans="1:22" x14ac:dyDescent="0.15">
      <c r="A433" s="4" t="s">
        <v>2662</v>
      </c>
      <c r="D433" s="4">
        <f t="shared" si="5"/>
        <v>23</v>
      </c>
      <c r="E433" s="4">
        <v>9</v>
      </c>
      <c r="H433" s="29">
        <v>1001</v>
      </c>
      <c r="I433" s="4">
        <f>[1]吉亚多!$AB10</f>
        <v>2471</v>
      </c>
      <c r="L433" s="30">
        <v>800</v>
      </c>
      <c r="M433" s="4">
        <f>[1]吉亚多!W10</f>
        <v>310</v>
      </c>
      <c r="N433" s="4">
        <f>[1]吉亚多!X10</f>
        <v>23</v>
      </c>
      <c r="O433" s="4">
        <f>[1]吉亚多!Y10</f>
        <v>4048</v>
      </c>
      <c r="P433" s="4">
        <v>0</v>
      </c>
      <c r="Q433" s="4">
        <f>[1]吉亚多!Z10</f>
        <v>2198</v>
      </c>
      <c r="R433" s="4">
        <v>2.5</v>
      </c>
      <c r="S433" s="4">
        <f>[1]吉亚多!AA10</f>
        <v>21</v>
      </c>
      <c r="T433" s="4">
        <v>0</v>
      </c>
      <c r="U433" s="4">
        <v>0</v>
      </c>
      <c r="V433" s="4">
        <v>0</v>
      </c>
    </row>
    <row r="434" spans="1:22" x14ac:dyDescent="0.15">
      <c r="A434" s="4" t="s">
        <v>2662</v>
      </c>
      <c r="D434" s="4">
        <f t="shared" si="5"/>
        <v>23</v>
      </c>
      <c r="E434" s="4">
        <v>10</v>
      </c>
      <c r="H434" s="29">
        <v>1001</v>
      </c>
      <c r="I434" s="4">
        <f>[1]吉亚多!$AB11</f>
        <v>2540</v>
      </c>
      <c r="L434" s="30">
        <v>800</v>
      </c>
      <c r="M434" s="4">
        <f>[1]吉亚多!W11</f>
        <v>320</v>
      </c>
      <c r="N434" s="4">
        <f>[1]吉亚多!X11</f>
        <v>25</v>
      </c>
      <c r="O434" s="4">
        <f>[1]吉亚多!Y11</f>
        <v>4122</v>
      </c>
      <c r="P434" s="4">
        <v>0</v>
      </c>
      <c r="Q434" s="4">
        <f>[1]吉亚多!Z11</f>
        <v>2204</v>
      </c>
      <c r="R434" s="4">
        <v>2.5</v>
      </c>
      <c r="S434" s="4">
        <f>[1]吉亚多!AA11</f>
        <v>22</v>
      </c>
      <c r="T434" s="4">
        <v>0</v>
      </c>
      <c r="U434" s="4">
        <v>0</v>
      </c>
      <c r="V434" s="4">
        <v>0</v>
      </c>
    </row>
    <row r="435" spans="1:22" x14ac:dyDescent="0.15">
      <c r="A435" s="4" t="s">
        <v>2662</v>
      </c>
      <c r="D435" s="4">
        <f t="shared" si="5"/>
        <v>23</v>
      </c>
      <c r="E435" s="4">
        <v>11</v>
      </c>
      <c r="H435" s="29">
        <v>1001</v>
      </c>
      <c r="I435" s="4">
        <f>[1]吉亚多!$AB12</f>
        <v>2610</v>
      </c>
      <c r="L435" s="30">
        <v>800</v>
      </c>
      <c r="M435" s="4">
        <f>[1]吉亚多!W12</f>
        <v>330</v>
      </c>
      <c r="N435" s="4">
        <f>[1]吉亚多!X12</f>
        <v>27</v>
      </c>
      <c r="O435" s="4">
        <f>[1]吉亚多!Y12</f>
        <v>4196</v>
      </c>
      <c r="P435" s="4">
        <v>0</v>
      </c>
      <c r="Q435" s="4">
        <f>[1]吉亚多!Z12</f>
        <v>2210</v>
      </c>
      <c r="R435" s="4">
        <v>2.5</v>
      </c>
      <c r="S435" s="4">
        <f>[1]吉亚多!AA12</f>
        <v>23</v>
      </c>
      <c r="T435" s="4">
        <v>0</v>
      </c>
      <c r="U435" s="4">
        <v>0</v>
      </c>
      <c r="V435" s="4">
        <v>0</v>
      </c>
    </row>
    <row r="436" spans="1:22" x14ac:dyDescent="0.15">
      <c r="A436" s="4" t="s">
        <v>2662</v>
      </c>
      <c r="D436" s="4">
        <f t="shared" si="5"/>
        <v>23</v>
      </c>
      <c r="E436" s="4">
        <v>12</v>
      </c>
      <c r="H436" s="29">
        <v>1001</v>
      </c>
      <c r="I436" s="4">
        <f>[1]吉亚多!$AB13</f>
        <v>2680</v>
      </c>
      <c r="L436" s="30">
        <v>800</v>
      </c>
      <c r="M436" s="4">
        <f>[1]吉亚多!W13</f>
        <v>340</v>
      </c>
      <c r="N436" s="4">
        <f>[1]吉亚多!X13</f>
        <v>29</v>
      </c>
      <c r="O436" s="4">
        <f>[1]吉亚多!Y13</f>
        <v>4270</v>
      </c>
      <c r="P436" s="4">
        <v>0</v>
      </c>
      <c r="Q436" s="4">
        <f>[1]吉亚多!Z13</f>
        <v>2216</v>
      </c>
      <c r="R436" s="4">
        <v>2.5</v>
      </c>
      <c r="S436" s="4">
        <f>[1]吉亚多!AA13</f>
        <v>24</v>
      </c>
      <c r="T436" s="4">
        <v>0</v>
      </c>
      <c r="U436" s="4">
        <v>0</v>
      </c>
      <c r="V436" s="4">
        <v>0</v>
      </c>
    </row>
    <row r="437" spans="1:22" x14ac:dyDescent="0.15">
      <c r="A437" s="4" t="s">
        <v>2662</v>
      </c>
      <c r="D437" s="4">
        <f t="shared" si="5"/>
        <v>23</v>
      </c>
      <c r="E437" s="4">
        <v>13</v>
      </c>
      <c r="H437" s="29">
        <v>1001</v>
      </c>
      <c r="I437" s="4">
        <f>[1]吉亚多!$AB14</f>
        <v>2750</v>
      </c>
      <c r="L437" s="30">
        <v>800</v>
      </c>
      <c r="M437" s="4">
        <f>[1]吉亚多!W14</f>
        <v>350</v>
      </c>
      <c r="N437" s="4">
        <f>[1]吉亚多!X14</f>
        <v>31</v>
      </c>
      <c r="O437" s="4">
        <f>[1]吉亚多!Y14</f>
        <v>4344</v>
      </c>
      <c r="P437" s="4">
        <v>0</v>
      </c>
      <c r="Q437" s="4">
        <f>[1]吉亚多!Z14</f>
        <v>2222</v>
      </c>
      <c r="R437" s="4">
        <v>2.5</v>
      </c>
      <c r="S437" s="4">
        <f>[1]吉亚多!AA14</f>
        <v>25</v>
      </c>
      <c r="T437" s="4">
        <v>0</v>
      </c>
      <c r="U437" s="4">
        <v>0</v>
      </c>
      <c r="V437" s="4">
        <v>0</v>
      </c>
    </row>
    <row r="438" spans="1:22" x14ac:dyDescent="0.15">
      <c r="A438" s="4" t="s">
        <v>2662</v>
      </c>
      <c r="D438" s="4">
        <f t="shared" si="5"/>
        <v>23</v>
      </c>
      <c r="E438" s="4">
        <v>14</v>
      </c>
      <c r="H438" s="29">
        <v>1001</v>
      </c>
      <c r="I438" s="4">
        <f>[1]吉亚多!$AB15</f>
        <v>2820</v>
      </c>
      <c r="L438" s="30">
        <v>800</v>
      </c>
      <c r="M438" s="4">
        <f>[1]吉亚多!W15</f>
        <v>360</v>
      </c>
      <c r="N438" s="4">
        <f>[1]吉亚多!X15</f>
        <v>33</v>
      </c>
      <c r="O438" s="4">
        <f>[1]吉亚多!Y15</f>
        <v>4418</v>
      </c>
      <c r="P438" s="4">
        <v>0</v>
      </c>
      <c r="Q438" s="4">
        <f>[1]吉亚多!Z15</f>
        <v>2228</v>
      </c>
      <c r="R438" s="4">
        <v>2.5</v>
      </c>
      <c r="S438" s="4">
        <f>[1]吉亚多!AA15</f>
        <v>26</v>
      </c>
      <c r="T438" s="4">
        <v>0</v>
      </c>
      <c r="U438" s="4">
        <v>0</v>
      </c>
      <c r="V438" s="4">
        <v>0</v>
      </c>
    </row>
    <row r="439" spans="1:22" x14ac:dyDescent="0.15">
      <c r="A439" s="4" t="s">
        <v>2662</v>
      </c>
      <c r="D439" s="4">
        <f t="shared" si="5"/>
        <v>23</v>
      </c>
      <c r="E439" s="4">
        <v>15</v>
      </c>
      <c r="H439" s="29">
        <v>1001</v>
      </c>
      <c r="I439" s="4">
        <f>[1]吉亚多!$AB16</f>
        <v>2890</v>
      </c>
      <c r="L439" s="30">
        <v>800</v>
      </c>
      <c r="M439" s="4">
        <f>[1]吉亚多!W16</f>
        <v>370</v>
      </c>
      <c r="N439" s="4">
        <f>[1]吉亚多!X16</f>
        <v>35</v>
      </c>
      <c r="O439" s="4">
        <f>[1]吉亚多!Y16</f>
        <v>4492</v>
      </c>
      <c r="P439" s="4">
        <v>0</v>
      </c>
      <c r="Q439" s="4">
        <f>[1]吉亚多!Z16</f>
        <v>2234</v>
      </c>
      <c r="R439" s="4">
        <v>2.5</v>
      </c>
      <c r="S439" s="4">
        <f>[1]吉亚多!AA16</f>
        <v>27</v>
      </c>
      <c r="T439" s="4">
        <v>0</v>
      </c>
      <c r="U439" s="4">
        <v>0</v>
      </c>
      <c r="V439" s="4">
        <v>0</v>
      </c>
    </row>
    <row r="440" spans="1:22" x14ac:dyDescent="0.15">
      <c r="A440" s="4" t="s">
        <v>2662</v>
      </c>
      <c r="D440" s="4">
        <f t="shared" si="5"/>
        <v>23</v>
      </c>
      <c r="E440" s="4">
        <v>16</v>
      </c>
      <c r="H440" s="29">
        <v>1001</v>
      </c>
      <c r="I440" s="4">
        <f>[1]吉亚多!$AB17</f>
        <v>2960</v>
      </c>
      <c r="L440" s="30">
        <v>800</v>
      </c>
      <c r="M440" s="4">
        <f>[1]吉亚多!W17</f>
        <v>380</v>
      </c>
      <c r="N440" s="4">
        <f>[1]吉亚多!X17</f>
        <v>37</v>
      </c>
      <c r="O440" s="4">
        <f>[1]吉亚多!Y17</f>
        <v>4566</v>
      </c>
      <c r="P440" s="4">
        <v>0</v>
      </c>
      <c r="Q440" s="4">
        <f>[1]吉亚多!Z17</f>
        <v>2240</v>
      </c>
      <c r="R440" s="4">
        <v>2.5</v>
      </c>
      <c r="S440" s="4">
        <f>[1]吉亚多!AA17</f>
        <v>28</v>
      </c>
      <c r="T440" s="4">
        <v>0</v>
      </c>
      <c r="U440" s="4">
        <v>0</v>
      </c>
      <c r="V440" s="4">
        <v>0</v>
      </c>
    </row>
    <row r="441" spans="1:22" x14ac:dyDescent="0.15">
      <c r="A441" s="4" t="s">
        <v>2662</v>
      </c>
      <c r="D441" s="4">
        <f t="shared" si="5"/>
        <v>23</v>
      </c>
      <c r="E441" s="4">
        <v>17</v>
      </c>
      <c r="H441" s="29">
        <v>1001</v>
      </c>
      <c r="I441" s="4">
        <f>[1]吉亚多!$AB18</f>
        <v>3030</v>
      </c>
      <c r="L441" s="30">
        <v>800</v>
      </c>
      <c r="M441" s="4">
        <f>[1]吉亚多!W18</f>
        <v>390</v>
      </c>
      <c r="N441" s="4">
        <f>[1]吉亚多!X18</f>
        <v>39</v>
      </c>
      <c r="O441" s="4">
        <f>[1]吉亚多!Y18</f>
        <v>4640</v>
      </c>
      <c r="P441" s="4">
        <v>0</v>
      </c>
      <c r="Q441" s="4">
        <f>[1]吉亚多!Z18</f>
        <v>2246</v>
      </c>
      <c r="R441" s="4">
        <v>2.5</v>
      </c>
      <c r="S441" s="4">
        <f>[1]吉亚多!AA18</f>
        <v>29</v>
      </c>
      <c r="T441" s="4">
        <v>0</v>
      </c>
      <c r="U441" s="4">
        <v>0</v>
      </c>
      <c r="V441" s="4">
        <v>0</v>
      </c>
    </row>
    <row r="442" spans="1:22" x14ac:dyDescent="0.15">
      <c r="A442" s="4" t="s">
        <v>2662</v>
      </c>
      <c r="D442" s="4">
        <f t="shared" si="5"/>
        <v>23</v>
      </c>
      <c r="E442" s="4">
        <v>18</v>
      </c>
      <c r="H442" s="29">
        <v>1001</v>
      </c>
      <c r="I442" s="4">
        <f>[1]吉亚多!$AB19</f>
        <v>3100</v>
      </c>
      <c r="L442" s="30">
        <v>800</v>
      </c>
      <c r="M442" s="4">
        <f>[1]吉亚多!W19</f>
        <v>400</v>
      </c>
      <c r="N442" s="4">
        <f>[1]吉亚多!X19</f>
        <v>41</v>
      </c>
      <c r="O442" s="4">
        <f>[1]吉亚多!Y19</f>
        <v>4714</v>
      </c>
      <c r="P442" s="4">
        <v>0</v>
      </c>
      <c r="Q442" s="4">
        <f>[1]吉亚多!Z19</f>
        <v>2252</v>
      </c>
      <c r="R442" s="4">
        <v>2.5</v>
      </c>
      <c r="S442" s="4">
        <f>[1]吉亚多!AA19</f>
        <v>30</v>
      </c>
      <c r="T442" s="4">
        <v>0</v>
      </c>
      <c r="U442" s="4">
        <v>0</v>
      </c>
      <c r="V442" s="4">
        <v>0</v>
      </c>
    </row>
    <row r="443" spans="1:22" x14ac:dyDescent="0.15">
      <c r="A443" s="4" t="s">
        <v>2662</v>
      </c>
      <c r="D443" s="4">
        <f t="shared" si="5"/>
        <v>23</v>
      </c>
      <c r="E443" s="4">
        <v>19</v>
      </c>
      <c r="H443" s="29">
        <v>1001</v>
      </c>
      <c r="I443" s="4">
        <f>[1]吉亚多!$AB20</f>
        <v>3170</v>
      </c>
      <c r="L443" s="30">
        <v>800</v>
      </c>
      <c r="M443" s="4">
        <f>[1]吉亚多!W20</f>
        <v>410</v>
      </c>
      <c r="N443" s="4">
        <f>[1]吉亚多!X20</f>
        <v>43</v>
      </c>
      <c r="O443" s="4">
        <f>[1]吉亚多!Y20</f>
        <v>4788</v>
      </c>
      <c r="P443" s="4">
        <v>0</v>
      </c>
      <c r="Q443" s="4">
        <f>[1]吉亚多!Z20</f>
        <v>2258</v>
      </c>
      <c r="R443" s="4">
        <v>2.5</v>
      </c>
      <c r="S443" s="4">
        <f>[1]吉亚多!AA20</f>
        <v>31</v>
      </c>
      <c r="T443" s="4">
        <v>0</v>
      </c>
      <c r="U443" s="4">
        <v>0</v>
      </c>
      <c r="V443" s="4">
        <v>0</v>
      </c>
    </row>
    <row r="444" spans="1:22" x14ac:dyDescent="0.15">
      <c r="A444" s="4" t="s">
        <v>2662</v>
      </c>
      <c r="D444" s="4">
        <f t="shared" si="5"/>
        <v>23</v>
      </c>
      <c r="E444" s="4">
        <v>20</v>
      </c>
      <c r="H444" s="29">
        <v>1001</v>
      </c>
      <c r="I444" s="4">
        <f>[1]吉亚多!$AB21</f>
        <v>3240</v>
      </c>
      <c r="L444" s="30">
        <v>800</v>
      </c>
      <c r="M444" s="4">
        <f>[1]吉亚多!W21</f>
        <v>420</v>
      </c>
      <c r="N444" s="4">
        <f>[1]吉亚多!X21</f>
        <v>45</v>
      </c>
      <c r="O444" s="4">
        <f>[1]吉亚多!Y21</f>
        <v>4862</v>
      </c>
      <c r="P444" s="4">
        <v>0</v>
      </c>
      <c r="Q444" s="4">
        <f>[1]吉亚多!Z21</f>
        <v>2264</v>
      </c>
      <c r="R444" s="4">
        <v>2.5</v>
      </c>
      <c r="S444" s="4">
        <f>[1]吉亚多!AA21</f>
        <v>32</v>
      </c>
      <c r="T444" s="4">
        <v>0</v>
      </c>
      <c r="U444" s="4">
        <v>0</v>
      </c>
      <c r="V444" s="4">
        <v>0</v>
      </c>
    </row>
    <row r="445" spans="1:22" x14ac:dyDescent="0.15">
      <c r="A445" s="4" t="s">
        <v>2662</v>
      </c>
      <c r="D445" s="4">
        <f t="shared" si="5"/>
        <v>23</v>
      </c>
      <c r="E445" s="4">
        <v>21</v>
      </c>
      <c r="H445" s="29">
        <v>1001</v>
      </c>
      <c r="I445" s="4">
        <f>[1]吉亚多!$AB22</f>
        <v>3310</v>
      </c>
      <c r="L445" s="30">
        <v>800</v>
      </c>
      <c r="M445" s="4">
        <f>[1]吉亚多!W22</f>
        <v>430</v>
      </c>
      <c r="N445" s="4">
        <f>[1]吉亚多!X22</f>
        <v>47</v>
      </c>
      <c r="O445" s="4">
        <f>[1]吉亚多!Y22</f>
        <v>4936</v>
      </c>
      <c r="P445" s="4">
        <v>0</v>
      </c>
      <c r="Q445" s="4">
        <f>[1]吉亚多!Z22</f>
        <v>2270</v>
      </c>
      <c r="R445" s="4">
        <v>2.5</v>
      </c>
      <c r="S445" s="4">
        <f>[1]吉亚多!AA22</f>
        <v>33</v>
      </c>
      <c r="T445" s="4">
        <v>0</v>
      </c>
      <c r="U445" s="4">
        <v>0</v>
      </c>
      <c r="V445" s="4">
        <v>0</v>
      </c>
    </row>
    <row r="446" spans="1:22" x14ac:dyDescent="0.15">
      <c r="A446" s="4" t="s">
        <v>2662</v>
      </c>
      <c r="D446" s="4">
        <f t="shared" si="5"/>
        <v>23</v>
      </c>
      <c r="E446" s="4">
        <v>22</v>
      </c>
      <c r="H446" s="29">
        <v>1001</v>
      </c>
      <c r="I446" s="4">
        <f>[1]吉亚多!$AB23</f>
        <v>3380</v>
      </c>
      <c r="L446" s="30">
        <v>800</v>
      </c>
      <c r="M446" s="4">
        <f>[1]吉亚多!W23</f>
        <v>440</v>
      </c>
      <c r="N446" s="4">
        <f>[1]吉亚多!X23</f>
        <v>49</v>
      </c>
      <c r="O446" s="4">
        <f>[1]吉亚多!Y23</f>
        <v>5010</v>
      </c>
      <c r="P446" s="4">
        <v>0</v>
      </c>
      <c r="Q446" s="4">
        <f>[1]吉亚多!Z23</f>
        <v>2276</v>
      </c>
      <c r="R446" s="4">
        <v>2.5</v>
      </c>
      <c r="S446" s="4">
        <f>[1]吉亚多!AA23</f>
        <v>34</v>
      </c>
      <c r="T446" s="4">
        <v>0</v>
      </c>
      <c r="U446" s="4">
        <v>0</v>
      </c>
      <c r="V446" s="4">
        <v>0</v>
      </c>
    </row>
    <row r="447" spans="1:22" x14ac:dyDescent="0.15">
      <c r="A447" s="4" t="s">
        <v>2662</v>
      </c>
      <c r="D447" s="4">
        <f t="shared" si="5"/>
        <v>23</v>
      </c>
      <c r="E447" s="4">
        <v>23</v>
      </c>
      <c r="H447" s="29">
        <v>1001</v>
      </c>
      <c r="I447" s="4">
        <f>[1]吉亚多!$AB24</f>
        <v>3449</v>
      </c>
      <c r="L447" s="30">
        <v>800</v>
      </c>
      <c r="M447" s="4">
        <f>[1]吉亚多!W24</f>
        <v>450</v>
      </c>
      <c r="N447" s="4">
        <f>[1]吉亚多!X24</f>
        <v>51</v>
      </c>
      <c r="O447" s="4">
        <f>[1]吉亚多!Y24</f>
        <v>5084</v>
      </c>
      <c r="P447" s="4">
        <v>0</v>
      </c>
      <c r="Q447" s="4">
        <f>[1]吉亚多!Z24</f>
        <v>2282</v>
      </c>
      <c r="R447" s="4">
        <v>2.5</v>
      </c>
      <c r="S447" s="4">
        <f>[1]吉亚多!AA24</f>
        <v>35</v>
      </c>
      <c r="T447" s="4">
        <v>0</v>
      </c>
      <c r="U447" s="4">
        <v>0</v>
      </c>
      <c r="V447" s="4">
        <v>0</v>
      </c>
    </row>
    <row r="448" spans="1:22" x14ac:dyDescent="0.15">
      <c r="A448" s="4" t="s">
        <v>2662</v>
      </c>
      <c r="D448" s="4">
        <f t="shared" si="5"/>
        <v>23</v>
      </c>
      <c r="E448" s="4">
        <v>24</v>
      </c>
      <c r="H448" s="29">
        <v>1001</v>
      </c>
      <c r="I448" s="4">
        <f>[1]吉亚多!$AB25</f>
        <v>3519</v>
      </c>
      <c r="L448" s="30">
        <v>800</v>
      </c>
      <c r="M448" s="4">
        <f>[1]吉亚多!W25</f>
        <v>460</v>
      </c>
      <c r="N448" s="4">
        <f>[1]吉亚多!X25</f>
        <v>53</v>
      </c>
      <c r="O448" s="4">
        <f>[1]吉亚多!Y25</f>
        <v>5158</v>
      </c>
      <c r="P448" s="4">
        <v>0</v>
      </c>
      <c r="Q448" s="4">
        <f>[1]吉亚多!Z25</f>
        <v>2288</v>
      </c>
      <c r="R448" s="4">
        <v>2.5</v>
      </c>
      <c r="S448" s="4">
        <f>[1]吉亚多!AA25</f>
        <v>36</v>
      </c>
      <c r="T448" s="4">
        <v>0</v>
      </c>
      <c r="U448" s="4">
        <v>0</v>
      </c>
      <c r="V448" s="4">
        <v>0</v>
      </c>
    </row>
    <row r="449" spans="1:22" x14ac:dyDescent="0.15">
      <c r="A449" s="4" t="s">
        <v>2662</v>
      </c>
      <c r="D449" s="4">
        <f t="shared" si="5"/>
        <v>23</v>
      </c>
      <c r="E449" s="4">
        <v>25</v>
      </c>
      <c r="H449" s="29">
        <v>1001</v>
      </c>
      <c r="I449" s="4">
        <f>[1]吉亚多!$AB26</f>
        <v>3589</v>
      </c>
      <c r="L449" s="30">
        <v>800</v>
      </c>
      <c r="M449" s="4">
        <f>[1]吉亚多!W26</f>
        <v>470</v>
      </c>
      <c r="N449" s="4">
        <f>[1]吉亚多!X26</f>
        <v>55</v>
      </c>
      <c r="O449" s="4">
        <f>[1]吉亚多!Y26</f>
        <v>5232</v>
      </c>
      <c r="P449" s="4">
        <v>0</v>
      </c>
      <c r="Q449" s="4">
        <f>[1]吉亚多!Z26</f>
        <v>2294</v>
      </c>
      <c r="R449" s="4">
        <v>2.5</v>
      </c>
      <c r="S449" s="4">
        <f>[1]吉亚多!AA26</f>
        <v>37</v>
      </c>
      <c r="T449" s="4">
        <v>0</v>
      </c>
      <c r="U449" s="4">
        <v>0</v>
      </c>
      <c r="V449" s="4">
        <v>0</v>
      </c>
    </row>
    <row r="450" spans="1:22" x14ac:dyDescent="0.15">
      <c r="A450" s="4" t="s">
        <v>2662</v>
      </c>
      <c r="D450" s="4">
        <f t="shared" si="5"/>
        <v>23</v>
      </c>
      <c r="E450" s="4">
        <v>26</v>
      </c>
      <c r="H450" s="29">
        <v>1001</v>
      </c>
      <c r="I450" s="4">
        <f>[1]吉亚多!$AB27</f>
        <v>3659</v>
      </c>
      <c r="L450" s="30">
        <v>800</v>
      </c>
      <c r="M450" s="4">
        <f>[1]吉亚多!W27</f>
        <v>480</v>
      </c>
      <c r="N450" s="4">
        <f>[1]吉亚多!X27</f>
        <v>57</v>
      </c>
      <c r="O450" s="4">
        <f>[1]吉亚多!Y27</f>
        <v>5306</v>
      </c>
      <c r="P450" s="4">
        <v>0</v>
      </c>
      <c r="Q450" s="4">
        <f>[1]吉亚多!Z27</f>
        <v>2300</v>
      </c>
      <c r="R450" s="4">
        <v>2.5</v>
      </c>
      <c r="S450" s="4">
        <f>[1]吉亚多!AA27</f>
        <v>38</v>
      </c>
      <c r="T450" s="4">
        <v>0</v>
      </c>
      <c r="U450" s="4">
        <v>0</v>
      </c>
      <c r="V450" s="4">
        <v>0</v>
      </c>
    </row>
    <row r="451" spans="1:22" x14ac:dyDescent="0.15">
      <c r="A451" s="4" t="s">
        <v>2662</v>
      </c>
      <c r="D451" s="4">
        <f t="shared" si="5"/>
        <v>23</v>
      </c>
      <c r="E451" s="4">
        <v>27</v>
      </c>
      <c r="H451" s="29">
        <v>1001</v>
      </c>
      <c r="I451" s="4">
        <f>[1]吉亚多!$AB28</f>
        <v>3729</v>
      </c>
      <c r="L451" s="30">
        <v>800</v>
      </c>
      <c r="M451" s="4">
        <f>[1]吉亚多!W28</f>
        <v>490</v>
      </c>
      <c r="N451" s="4">
        <f>[1]吉亚多!X28</f>
        <v>59</v>
      </c>
      <c r="O451" s="4">
        <f>[1]吉亚多!Y28</f>
        <v>5380</v>
      </c>
      <c r="P451" s="4">
        <v>0</v>
      </c>
      <c r="Q451" s="4">
        <f>[1]吉亚多!Z28</f>
        <v>2306</v>
      </c>
      <c r="R451" s="4">
        <v>2.5</v>
      </c>
      <c r="S451" s="4">
        <f>[1]吉亚多!AA28</f>
        <v>39</v>
      </c>
      <c r="T451" s="4">
        <v>0</v>
      </c>
      <c r="U451" s="4">
        <v>0</v>
      </c>
      <c r="V451" s="4">
        <v>0</v>
      </c>
    </row>
    <row r="452" spans="1:22" x14ac:dyDescent="0.15">
      <c r="A452" s="4" t="s">
        <v>2662</v>
      </c>
      <c r="D452" s="4">
        <f t="shared" si="5"/>
        <v>23</v>
      </c>
      <c r="E452" s="4">
        <v>28</v>
      </c>
      <c r="H452" s="29">
        <v>1001</v>
      </c>
      <c r="I452" s="4">
        <f>[1]吉亚多!$AB29</f>
        <v>3799</v>
      </c>
      <c r="L452" s="30">
        <v>800</v>
      </c>
      <c r="M452" s="4">
        <f>[1]吉亚多!W29</f>
        <v>500</v>
      </c>
      <c r="N452" s="4">
        <f>[1]吉亚多!X29</f>
        <v>61</v>
      </c>
      <c r="O452" s="4">
        <f>[1]吉亚多!Y29</f>
        <v>5454</v>
      </c>
      <c r="P452" s="4">
        <v>0</v>
      </c>
      <c r="Q452" s="4">
        <f>[1]吉亚多!Z29</f>
        <v>2312</v>
      </c>
      <c r="R452" s="4">
        <v>2.5</v>
      </c>
      <c r="S452" s="4">
        <f>[1]吉亚多!AA29</f>
        <v>40</v>
      </c>
      <c r="T452" s="4">
        <v>0</v>
      </c>
      <c r="U452" s="4">
        <v>0</v>
      </c>
      <c r="V452" s="4">
        <v>0</v>
      </c>
    </row>
    <row r="453" spans="1:22" x14ac:dyDescent="0.15">
      <c r="A453" s="4" t="s">
        <v>2662</v>
      </c>
      <c r="D453" s="4">
        <f t="shared" si="5"/>
        <v>23</v>
      </c>
      <c r="E453" s="4">
        <v>29</v>
      </c>
      <c r="H453" s="29">
        <v>1001</v>
      </c>
      <c r="I453" s="4">
        <f>[1]吉亚多!$AB30</f>
        <v>3869</v>
      </c>
      <c r="L453" s="30">
        <v>800</v>
      </c>
      <c r="M453" s="4">
        <f>[1]吉亚多!W30</f>
        <v>510</v>
      </c>
      <c r="N453" s="4">
        <f>[1]吉亚多!X30</f>
        <v>63</v>
      </c>
      <c r="O453" s="4">
        <f>[1]吉亚多!Y30</f>
        <v>5528</v>
      </c>
      <c r="P453" s="4">
        <v>0</v>
      </c>
      <c r="Q453" s="4">
        <f>[1]吉亚多!Z30</f>
        <v>2318</v>
      </c>
      <c r="R453" s="4">
        <v>2.5</v>
      </c>
      <c r="S453" s="4">
        <f>[1]吉亚多!AA30</f>
        <v>41</v>
      </c>
      <c r="T453" s="4">
        <v>0</v>
      </c>
      <c r="U453" s="4">
        <v>0</v>
      </c>
      <c r="V453" s="4">
        <v>0</v>
      </c>
    </row>
    <row r="454" spans="1:22" x14ac:dyDescent="0.15">
      <c r="A454" s="4" t="s">
        <v>2662</v>
      </c>
      <c r="D454" s="4">
        <f t="shared" si="5"/>
        <v>23</v>
      </c>
      <c r="E454" s="4">
        <v>30</v>
      </c>
      <c r="H454" s="29">
        <v>1001</v>
      </c>
      <c r="I454" s="4">
        <f>[1]吉亚多!$AB31</f>
        <v>3939</v>
      </c>
      <c r="L454" s="30">
        <v>800</v>
      </c>
      <c r="M454" s="4">
        <f>[1]吉亚多!W31</f>
        <v>520</v>
      </c>
      <c r="N454" s="4">
        <f>[1]吉亚多!X31</f>
        <v>65</v>
      </c>
      <c r="O454" s="4">
        <f>[1]吉亚多!Y31</f>
        <v>5602</v>
      </c>
      <c r="P454" s="4">
        <v>0</v>
      </c>
      <c r="Q454" s="4">
        <f>[1]吉亚多!Z31</f>
        <v>2324</v>
      </c>
      <c r="R454" s="4">
        <v>2.5</v>
      </c>
      <c r="S454" s="4">
        <f>[1]吉亚多!AA31</f>
        <v>42</v>
      </c>
      <c r="T454" s="4">
        <v>0</v>
      </c>
      <c r="U454" s="4">
        <v>0</v>
      </c>
      <c r="V454" s="4">
        <v>0</v>
      </c>
    </row>
    <row r="455" spans="1:22" x14ac:dyDescent="0.15">
      <c r="A455" s="4" t="s">
        <v>2662</v>
      </c>
      <c r="D455" s="4">
        <f t="shared" si="5"/>
        <v>23</v>
      </c>
      <c r="E455" s="4">
        <v>31</v>
      </c>
      <c r="H455" s="29">
        <v>1001</v>
      </c>
      <c r="I455" s="4">
        <f>[1]吉亚多!$AB32</f>
        <v>4009</v>
      </c>
      <c r="L455" s="30">
        <v>800</v>
      </c>
      <c r="M455" s="4">
        <f>[1]吉亚多!W32</f>
        <v>530</v>
      </c>
      <c r="N455" s="4">
        <f>[1]吉亚多!X32</f>
        <v>67</v>
      </c>
      <c r="O455" s="4">
        <f>[1]吉亚多!Y32</f>
        <v>5676</v>
      </c>
      <c r="P455" s="4">
        <v>0</v>
      </c>
      <c r="Q455" s="4">
        <f>[1]吉亚多!Z32</f>
        <v>2330</v>
      </c>
      <c r="R455" s="4">
        <v>2.5</v>
      </c>
      <c r="S455" s="4">
        <f>[1]吉亚多!AA32</f>
        <v>43</v>
      </c>
      <c r="T455" s="4">
        <v>0</v>
      </c>
      <c r="U455" s="4">
        <v>0</v>
      </c>
      <c r="V455" s="4">
        <v>0</v>
      </c>
    </row>
    <row r="456" spans="1:22" x14ac:dyDescent="0.15">
      <c r="A456" s="4" t="s">
        <v>2662</v>
      </c>
      <c r="D456" s="4">
        <f t="shared" si="5"/>
        <v>23</v>
      </c>
      <c r="E456" s="4">
        <v>32</v>
      </c>
      <c r="H456" s="29">
        <v>1001</v>
      </c>
      <c r="I456" s="4">
        <f>[1]吉亚多!$AB33</f>
        <v>4079</v>
      </c>
      <c r="L456" s="30">
        <v>800</v>
      </c>
      <c r="M456" s="4">
        <f>[1]吉亚多!W33</f>
        <v>540</v>
      </c>
      <c r="N456" s="4">
        <f>[1]吉亚多!X33</f>
        <v>69</v>
      </c>
      <c r="O456" s="4">
        <f>[1]吉亚多!Y33</f>
        <v>5750</v>
      </c>
      <c r="P456" s="4">
        <v>0</v>
      </c>
      <c r="Q456" s="4">
        <f>[1]吉亚多!Z33</f>
        <v>2336</v>
      </c>
      <c r="R456" s="4">
        <v>2.5</v>
      </c>
      <c r="S456" s="4">
        <f>[1]吉亚多!AA33</f>
        <v>44</v>
      </c>
      <c r="T456" s="4">
        <v>0</v>
      </c>
      <c r="U456" s="4">
        <v>0</v>
      </c>
      <c r="V456" s="4">
        <v>0</v>
      </c>
    </row>
    <row r="457" spans="1:22" x14ac:dyDescent="0.15">
      <c r="A457" s="4" t="s">
        <v>2662</v>
      </c>
      <c r="D457" s="4">
        <f t="shared" si="5"/>
        <v>23</v>
      </c>
      <c r="E457" s="4">
        <v>33</v>
      </c>
      <c r="H457" s="29">
        <v>1001</v>
      </c>
      <c r="I457" s="4">
        <f>[1]吉亚多!$AB34</f>
        <v>4149</v>
      </c>
      <c r="L457" s="30">
        <v>800</v>
      </c>
      <c r="M457" s="4">
        <f>[1]吉亚多!W34</f>
        <v>550</v>
      </c>
      <c r="N457" s="4">
        <f>[1]吉亚多!X34</f>
        <v>71</v>
      </c>
      <c r="O457" s="4">
        <f>[1]吉亚多!Y34</f>
        <v>5824</v>
      </c>
      <c r="P457" s="4">
        <v>0</v>
      </c>
      <c r="Q457" s="4">
        <f>[1]吉亚多!Z34</f>
        <v>2342</v>
      </c>
      <c r="R457" s="4">
        <v>2.5</v>
      </c>
      <c r="S457" s="4">
        <f>[1]吉亚多!AA34</f>
        <v>45</v>
      </c>
      <c r="T457" s="4">
        <v>0</v>
      </c>
      <c r="U457" s="4">
        <v>0</v>
      </c>
      <c r="V457" s="4">
        <v>0</v>
      </c>
    </row>
    <row r="458" spans="1:22" x14ac:dyDescent="0.15">
      <c r="A458" s="4" t="s">
        <v>2662</v>
      </c>
      <c r="D458" s="4">
        <f t="shared" si="5"/>
        <v>23</v>
      </c>
      <c r="E458" s="4">
        <v>34</v>
      </c>
      <c r="H458" s="29">
        <v>1001</v>
      </c>
      <c r="I458" s="4">
        <f>[1]吉亚多!$AB35</f>
        <v>4219</v>
      </c>
      <c r="L458" s="30">
        <v>800</v>
      </c>
      <c r="M458" s="4">
        <f>[1]吉亚多!W35</f>
        <v>560</v>
      </c>
      <c r="N458" s="4">
        <f>[1]吉亚多!X35</f>
        <v>73</v>
      </c>
      <c r="O458" s="4">
        <f>[1]吉亚多!Y35</f>
        <v>5898</v>
      </c>
      <c r="P458" s="4">
        <v>0</v>
      </c>
      <c r="Q458" s="4">
        <f>[1]吉亚多!Z35</f>
        <v>2348</v>
      </c>
      <c r="R458" s="4">
        <v>2.5</v>
      </c>
      <c r="S458" s="4">
        <f>[1]吉亚多!AA35</f>
        <v>46</v>
      </c>
      <c r="T458" s="4">
        <v>0</v>
      </c>
      <c r="U458" s="4">
        <v>0</v>
      </c>
      <c r="V458" s="4">
        <v>0</v>
      </c>
    </row>
    <row r="459" spans="1:22" x14ac:dyDescent="0.15">
      <c r="A459" s="4" t="s">
        <v>2662</v>
      </c>
      <c r="D459" s="4">
        <f t="shared" si="5"/>
        <v>23</v>
      </c>
      <c r="E459" s="4">
        <v>35</v>
      </c>
      <c r="H459" s="29">
        <v>1001</v>
      </c>
      <c r="I459" s="4">
        <f>[1]吉亚多!$AB36</f>
        <v>4288</v>
      </c>
      <c r="L459" s="30">
        <v>800</v>
      </c>
      <c r="M459" s="4">
        <f>[1]吉亚多!W36</f>
        <v>570</v>
      </c>
      <c r="N459" s="4">
        <f>[1]吉亚多!X36</f>
        <v>75</v>
      </c>
      <c r="O459" s="4">
        <f>[1]吉亚多!Y36</f>
        <v>5972</v>
      </c>
      <c r="P459" s="4">
        <v>0</v>
      </c>
      <c r="Q459" s="4">
        <f>[1]吉亚多!Z36</f>
        <v>2354</v>
      </c>
      <c r="R459" s="4">
        <v>2.5</v>
      </c>
      <c r="S459" s="4">
        <f>[1]吉亚多!AA36</f>
        <v>47</v>
      </c>
      <c r="T459" s="4">
        <v>0</v>
      </c>
      <c r="U459" s="4">
        <v>0</v>
      </c>
      <c r="V459" s="4">
        <v>0</v>
      </c>
    </row>
    <row r="460" spans="1:22" x14ac:dyDescent="0.15">
      <c r="A460" s="4" t="s">
        <v>2662</v>
      </c>
      <c r="D460" s="4">
        <f t="shared" si="5"/>
        <v>23</v>
      </c>
      <c r="E460" s="4">
        <v>36</v>
      </c>
      <c r="H460" s="29">
        <v>1001</v>
      </c>
      <c r="I460" s="4">
        <f>[1]吉亚多!$AB37</f>
        <v>4358</v>
      </c>
      <c r="L460" s="30">
        <v>800</v>
      </c>
      <c r="M460" s="4">
        <f>[1]吉亚多!W37</f>
        <v>580</v>
      </c>
      <c r="N460" s="4">
        <f>[1]吉亚多!X37</f>
        <v>77</v>
      </c>
      <c r="O460" s="4">
        <f>[1]吉亚多!Y37</f>
        <v>6046</v>
      </c>
      <c r="P460" s="4">
        <v>0</v>
      </c>
      <c r="Q460" s="4">
        <f>[1]吉亚多!Z37</f>
        <v>2360</v>
      </c>
      <c r="R460" s="4">
        <v>2.5</v>
      </c>
      <c r="S460" s="4">
        <f>[1]吉亚多!AA37</f>
        <v>48</v>
      </c>
      <c r="T460" s="4">
        <v>0</v>
      </c>
      <c r="U460" s="4">
        <v>0</v>
      </c>
      <c r="V460" s="4">
        <v>0</v>
      </c>
    </row>
    <row r="461" spans="1:22" x14ac:dyDescent="0.15">
      <c r="A461" s="4" t="s">
        <v>2662</v>
      </c>
      <c r="D461" s="4">
        <f t="shared" si="5"/>
        <v>23</v>
      </c>
      <c r="E461" s="4">
        <v>37</v>
      </c>
      <c r="H461" s="29">
        <v>1001</v>
      </c>
      <c r="I461" s="4">
        <f>[1]吉亚多!$AB38</f>
        <v>4428</v>
      </c>
      <c r="L461" s="30">
        <v>800</v>
      </c>
      <c r="M461" s="4">
        <f>[1]吉亚多!W38</f>
        <v>590</v>
      </c>
      <c r="N461" s="4">
        <f>[1]吉亚多!X38</f>
        <v>79</v>
      </c>
      <c r="O461" s="4">
        <f>[1]吉亚多!Y38</f>
        <v>6120</v>
      </c>
      <c r="P461" s="4">
        <v>0</v>
      </c>
      <c r="Q461" s="4">
        <f>[1]吉亚多!Z38</f>
        <v>2366</v>
      </c>
      <c r="R461" s="4">
        <v>2.5</v>
      </c>
      <c r="S461" s="4">
        <f>[1]吉亚多!AA38</f>
        <v>49</v>
      </c>
      <c r="T461" s="4">
        <v>0</v>
      </c>
      <c r="U461" s="4">
        <v>0</v>
      </c>
      <c r="V461" s="4">
        <v>0</v>
      </c>
    </row>
    <row r="462" spans="1:22" x14ac:dyDescent="0.15">
      <c r="A462" s="4" t="s">
        <v>2662</v>
      </c>
      <c r="D462" s="4">
        <f t="shared" si="5"/>
        <v>23</v>
      </c>
      <c r="E462" s="4">
        <v>38</v>
      </c>
      <c r="H462" s="29">
        <v>1001</v>
      </c>
      <c r="I462" s="4">
        <f>[1]吉亚多!$AB39</f>
        <v>4498</v>
      </c>
      <c r="L462" s="30">
        <v>800</v>
      </c>
      <c r="M462" s="4">
        <f>[1]吉亚多!W39</f>
        <v>600</v>
      </c>
      <c r="N462" s="4">
        <f>[1]吉亚多!X39</f>
        <v>81</v>
      </c>
      <c r="O462" s="4">
        <f>[1]吉亚多!Y39</f>
        <v>6194</v>
      </c>
      <c r="P462" s="4">
        <v>0</v>
      </c>
      <c r="Q462" s="4">
        <f>[1]吉亚多!Z39</f>
        <v>2372</v>
      </c>
      <c r="R462" s="4">
        <v>2.5</v>
      </c>
      <c r="S462" s="4">
        <f>[1]吉亚多!AA39</f>
        <v>50</v>
      </c>
      <c r="T462" s="4">
        <v>0</v>
      </c>
      <c r="U462" s="4">
        <v>0</v>
      </c>
      <c r="V462" s="4">
        <v>0</v>
      </c>
    </row>
    <row r="463" spans="1:22" x14ac:dyDescent="0.15">
      <c r="A463" s="4" t="s">
        <v>2662</v>
      </c>
      <c r="D463" s="4">
        <f t="shared" si="5"/>
        <v>23</v>
      </c>
      <c r="E463" s="4">
        <v>39</v>
      </c>
      <c r="H463" s="29">
        <v>1001</v>
      </c>
      <c r="I463" s="4">
        <f>[1]吉亚多!$AB40</f>
        <v>4568</v>
      </c>
      <c r="L463" s="30">
        <v>800</v>
      </c>
      <c r="M463" s="4">
        <f>[1]吉亚多!W40</f>
        <v>610</v>
      </c>
      <c r="N463" s="4">
        <f>[1]吉亚多!X40</f>
        <v>83</v>
      </c>
      <c r="O463" s="4">
        <f>[1]吉亚多!Y40</f>
        <v>6268</v>
      </c>
      <c r="P463" s="4">
        <v>0</v>
      </c>
      <c r="Q463" s="4">
        <f>[1]吉亚多!Z40</f>
        <v>2378</v>
      </c>
      <c r="R463" s="4">
        <v>2.5</v>
      </c>
      <c r="S463" s="4">
        <f>[1]吉亚多!AA40</f>
        <v>51</v>
      </c>
      <c r="T463" s="4">
        <v>0</v>
      </c>
      <c r="U463" s="4">
        <v>0</v>
      </c>
      <c r="V463" s="4">
        <v>0</v>
      </c>
    </row>
    <row r="464" spans="1:22" x14ac:dyDescent="0.15">
      <c r="A464" s="4" t="s">
        <v>2662</v>
      </c>
      <c r="D464" s="4">
        <f t="shared" si="5"/>
        <v>23</v>
      </c>
      <c r="E464" s="4">
        <v>40</v>
      </c>
      <c r="H464" s="29">
        <v>1001</v>
      </c>
      <c r="I464" s="4">
        <f>[1]吉亚多!$AB41</f>
        <v>4638</v>
      </c>
      <c r="L464" s="30">
        <v>800</v>
      </c>
      <c r="M464" s="4">
        <f>[1]吉亚多!W41</f>
        <v>620</v>
      </c>
      <c r="N464" s="4">
        <f>[1]吉亚多!X41</f>
        <v>85</v>
      </c>
      <c r="O464" s="4">
        <f>[1]吉亚多!Y41</f>
        <v>6342</v>
      </c>
      <c r="P464" s="4">
        <v>0</v>
      </c>
      <c r="Q464" s="4">
        <f>[1]吉亚多!Z41</f>
        <v>2384</v>
      </c>
      <c r="R464" s="4">
        <v>2.5</v>
      </c>
      <c r="S464" s="4">
        <f>[1]吉亚多!AA41</f>
        <v>52</v>
      </c>
      <c r="T464" s="4">
        <v>0</v>
      </c>
      <c r="U464" s="4">
        <v>0</v>
      </c>
      <c r="V464" s="4">
        <v>0</v>
      </c>
    </row>
    <row r="465" spans="1:27" x14ac:dyDescent="0.15">
      <c r="A465" s="4" t="s">
        <v>2662</v>
      </c>
      <c r="D465" s="4">
        <f t="shared" si="5"/>
        <v>23</v>
      </c>
      <c r="E465" s="4">
        <v>41</v>
      </c>
      <c r="H465" s="29">
        <v>1001</v>
      </c>
      <c r="I465" s="4">
        <f>[1]吉亚多!$AB42</f>
        <v>4708</v>
      </c>
      <c r="L465" s="30">
        <v>800</v>
      </c>
      <c r="M465" s="4">
        <f>[1]吉亚多!W42</f>
        <v>630</v>
      </c>
      <c r="N465" s="4">
        <f>[1]吉亚多!X42</f>
        <v>87</v>
      </c>
      <c r="O465" s="4">
        <f>[1]吉亚多!Y42</f>
        <v>6416</v>
      </c>
      <c r="P465" s="4">
        <v>0</v>
      </c>
      <c r="Q465" s="4">
        <f>[1]吉亚多!Z42</f>
        <v>2390</v>
      </c>
      <c r="R465" s="4">
        <v>2.5</v>
      </c>
      <c r="S465" s="4">
        <f>[1]吉亚多!AA42</f>
        <v>53</v>
      </c>
      <c r="T465" s="4">
        <v>0</v>
      </c>
      <c r="U465" s="4">
        <v>0</v>
      </c>
      <c r="V465" s="4">
        <v>0</v>
      </c>
    </row>
    <row r="466" spans="1:27" x14ac:dyDescent="0.15">
      <c r="A466" s="4" t="s">
        <v>2662</v>
      </c>
      <c r="D466" s="4">
        <f t="shared" si="5"/>
        <v>23</v>
      </c>
      <c r="E466" s="4">
        <v>42</v>
      </c>
      <c r="H466" s="29">
        <v>1001</v>
      </c>
      <c r="I466" s="4">
        <f>[1]吉亚多!$AB43</f>
        <v>4778</v>
      </c>
      <c r="L466" s="30">
        <v>800</v>
      </c>
      <c r="M466" s="4">
        <f>[1]吉亚多!W43</f>
        <v>640</v>
      </c>
      <c r="N466" s="4">
        <f>[1]吉亚多!X43</f>
        <v>89</v>
      </c>
      <c r="O466" s="4">
        <f>[1]吉亚多!Y43</f>
        <v>6490</v>
      </c>
      <c r="P466" s="4">
        <v>0</v>
      </c>
      <c r="Q466" s="4">
        <f>[1]吉亚多!Z43</f>
        <v>2396</v>
      </c>
      <c r="R466" s="4">
        <v>2.5</v>
      </c>
      <c r="S466" s="4">
        <f>[1]吉亚多!AA43</f>
        <v>54</v>
      </c>
      <c r="T466" s="4">
        <v>0</v>
      </c>
      <c r="U466" s="4">
        <v>0</v>
      </c>
      <c r="V466" s="4">
        <v>0</v>
      </c>
    </row>
    <row r="467" spans="1:27" x14ac:dyDescent="0.15">
      <c r="A467" s="4" t="s">
        <v>2662</v>
      </c>
      <c r="D467" s="4">
        <f t="shared" si="5"/>
        <v>23</v>
      </c>
      <c r="E467" s="4">
        <v>43</v>
      </c>
      <c r="H467" s="29">
        <v>1001</v>
      </c>
      <c r="I467" s="4">
        <f>[1]吉亚多!$AB44</f>
        <v>4848</v>
      </c>
      <c r="L467" s="30">
        <v>800</v>
      </c>
      <c r="M467" s="4">
        <f>[1]吉亚多!W44</f>
        <v>650</v>
      </c>
      <c r="N467" s="4">
        <f>[1]吉亚多!X44</f>
        <v>91</v>
      </c>
      <c r="O467" s="4">
        <f>[1]吉亚多!Y44</f>
        <v>6564</v>
      </c>
      <c r="P467" s="4">
        <v>0</v>
      </c>
      <c r="Q467" s="4">
        <f>[1]吉亚多!Z44</f>
        <v>2402</v>
      </c>
      <c r="R467" s="4">
        <v>2.5</v>
      </c>
      <c r="S467" s="4">
        <f>[1]吉亚多!AA44</f>
        <v>55</v>
      </c>
      <c r="T467" s="4">
        <v>0</v>
      </c>
      <c r="U467" s="4">
        <v>0</v>
      </c>
      <c r="V467" s="4">
        <v>0</v>
      </c>
    </row>
    <row r="468" spans="1:27" x14ac:dyDescent="0.15">
      <c r="A468" s="4" t="s">
        <v>2662</v>
      </c>
      <c r="D468" s="4">
        <f t="shared" si="5"/>
        <v>23</v>
      </c>
      <c r="E468" s="4">
        <v>44</v>
      </c>
      <c r="H468" s="29">
        <v>1001</v>
      </c>
      <c r="I468" s="4">
        <f>[1]吉亚多!$AB45</f>
        <v>4918</v>
      </c>
      <c r="L468" s="30">
        <v>800</v>
      </c>
      <c r="M468" s="4">
        <f>[1]吉亚多!W45</f>
        <v>660</v>
      </c>
      <c r="N468" s="4">
        <f>[1]吉亚多!X45</f>
        <v>93</v>
      </c>
      <c r="O468" s="4">
        <f>[1]吉亚多!Y45</f>
        <v>6638</v>
      </c>
      <c r="P468" s="4">
        <v>0</v>
      </c>
      <c r="Q468" s="4">
        <f>[1]吉亚多!Z45</f>
        <v>2408</v>
      </c>
      <c r="R468" s="4">
        <v>2.5</v>
      </c>
      <c r="S468" s="4">
        <f>[1]吉亚多!AA45</f>
        <v>56</v>
      </c>
      <c r="T468" s="4">
        <v>0</v>
      </c>
      <c r="U468" s="4">
        <v>0</v>
      </c>
      <c r="V468" s="4">
        <v>0</v>
      </c>
    </row>
    <row r="469" spans="1:27" x14ac:dyDescent="0.15">
      <c r="A469" s="4" t="s">
        <v>2662</v>
      </c>
      <c r="D469" s="4">
        <f t="shared" si="5"/>
        <v>23</v>
      </c>
      <c r="E469" s="4">
        <v>45</v>
      </c>
      <c r="H469" s="29">
        <v>1001</v>
      </c>
      <c r="I469" s="4">
        <f>[1]吉亚多!$AB46</f>
        <v>4988</v>
      </c>
      <c r="L469" s="30">
        <v>800</v>
      </c>
      <c r="M469" s="4">
        <f>[1]吉亚多!W46</f>
        <v>670</v>
      </c>
      <c r="N469" s="4">
        <f>[1]吉亚多!X46</f>
        <v>95</v>
      </c>
      <c r="O469" s="4">
        <f>[1]吉亚多!Y46</f>
        <v>6712</v>
      </c>
      <c r="P469" s="4">
        <v>0</v>
      </c>
      <c r="Q469" s="4">
        <f>[1]吉亚多!Z46</f>
        <v>2414</v>
      </c>
      <c r="R469" s="4">
        <v>2.5</v>
      </c>
      <c r="S469" s="4">
        <f>[1]吉亚多!AA46</f>
        <v>57</v>
      </c>
      <c r="T469" s="4">
        <v>0</v>
      </c>
      <c r="U469" s="4">
        <v>0</v>
      </c>
      <c r="V469" s="4">
        <v>0</v>
      </c>
    </row>
    <row r="470" spans="1:27" x14ac:dyDescent="0.15">
      <c r="A470" s="4" t="s">
        <v>2662</v>
      </c>
      <c r="D470" s="4">
        <f t="shared" si="5"/>
        <v>23</v>
      </c>
      <c r="E470" s="4">
        <v>46</v>
      </c>
      <c r="H470" s="29">
        <v>1001</v>
      </c>
      <c r="I470" s="4">
        <f>[1]吉亚多!$AB47</f>
        <v>5058</v>
      </c>
      <c r="L470" s="30">
        <v>800</v>
      </c>
      <c r="M470" s="4">
        <f>[1]吉亚多!W47</f>
        <v>680</v>
      </c>
      <c r="N470" s="4">
        <f>[1]吉亚多!X47</f>
        <v>97</v>
      </c>
      <c r="O470" s="4">
        <f>[1]吉亚多!Y47</f>
        <v>6786</v>
      </c>
      <c r="P470" s="4">
        <v>0</v>
      </c>
      <c r="Q470" s="4">
        <f>[1]吉亚多!Z47</f>
        <v>2420</v>
      </c>
      <c r="R470" s="4">
        <v>2.5</v>
      </c>
      <c r="S470" s="4">
        <f>[1]吉亚多!AA47</f>
        <v>58</v>
      </c>
      <c r="T470" s="4">
        <v>0</v>
      </c>
      <c r="U470" s="4">
        <v>0</v>
      </c>
      <c r="V470" s="4">
        <v>0</v>
      </c>
    </row>
    <row r="471" spans="1:27" x14ac:dyDescent="0.15">
      <c r="A471" s="4" t="s">
        <v>2662</v>
      </c>
      <c r="D471" s="4">
        <f t="shared" si="5"/>
        <v>23</v>
      </c>
      <c r="E471" s="4">
        <v>47</v>
      </c>
      <c r="H471" s="29">
        <v>1001</v>
      </c>
      <c r="I471" s="4">
        <f>[1]吉亚多!$AB48</f>
        <v>5128</v>
      </c>
      <c r="L471" s="30">
        <v>800</v>
      </c>
      <c r="M471" s="4">
        <f>[1]吉亚多!W48</f>
        <v>690</v>
      </c>
      <c r="N471" s="4">
        <f>[1]吉亚多!X48</f>
        <v>99</v>
      </c>
      <c r="O471" s="4">
        <f>[1]吉亚多!Y48</f>
        <v>6860</v>
      </c>
      <c r="P471" s="4">
        <v>0</v>
      </c>
      <c r="Q471" s="4">
        <f>[1]吉亚多!Z48</f>
        <v>2426</v>
      </c>
      <c r="R471" s="4">
        <v>2.5</v>
      </c>
      <c r="S471" s="4">
        <f>[1]吉亚多!AA48</f>
        <v>59</v>
      </c>
      <c r="T471" s="4">
        <v>0</v>
      </c>
      <c r="U471" s="4">
        <v>0</v>
      </c>
      <c r="V471" s="4">
        <v>0</v>
      </c>
    </row>
    <row r="472" spans="1:27" x14ac:dyDescent="0.15">
      <c r="A472" s="4" t="s">
        <v>2662</v>
      </c>
      <c r="D472" s="4">
        <f t="shared" si="5"/>
        <v>23</v>
      </c>
      <c r="E472" s="4">
        <v>48</v>
      </c>
      <c r="H472" s="29">
        <v>1001</v>
      </c>
      <c r="I472" s="4">
        <f>[1]吉亚多!$AB49</f>
        <v>5197</v>
      </c>
      <c r="L472" s="30">
        <v>800</v>
      </c>
      <c r="M472" s="4">
        <f>[1]吉亚多!W49</f>
        <v>700</v>
      </c>
      <c r="N472" s="4">
        <f>[1]吉亚多!X49</f>
        <v>101</v>
      </c>
      <c r="O472" s="4">
        <f>[1]吉亚多!Y49</f>
        <v>6934</v>
      </c>
      <c r="P472" s="4">
        <v>0</v>
      </c>
      <c r="Q472" s="4">
        <f>[1]吉亚多!Z49</f>
        <v>2432</v>
      </c>
      <c r="R472" s="4">
        <v>2.5</v>
      </c>
      <c r="S472" s="4">
        <f>[1]吉亚多!AA49</f>
        <v>60</v>
      </c>
      <c r="T472" s="4">
        <v>0</v>
      </c>
      <c r="U472" s="4">
        <v>0</v>
      </c>
      <c r="V472" s="4">
        <v>0</v>
      </c>
    </row>
    <row r="473" spans="1:27" x14ac:dyDescent="0.15">
      <c r="A473" s="4" t="s">
        <v>2662</v>
      </c>
      <c r="D473" s="4">
        <f t="shared" si="5"/>
        <v>23</v>
      </c>
      <c r="E473" s="4">
        <v>49</v>
      </c>
      <c r="H473" s="29">
        <v>1001</v>
      </c>
      <c r="I473" s="4">
        <f>[1]吉亚多!$AB50</f>
        <v>5267</v>
      </c>
      <c r="L473" s="30">
        <v>800</v>
      </c>
      <c r="M473" s="4">
        <f>[1]吉亚多!W50</f>
        <v>710</v>
      </c>
      <c r="N473" s="4">
        <f>[1]吉亚多!X50</f>
        <v>103</v>
      </c>
      <c r="O473" s="4">
        <f>[1]吉亚多!Y50</f>
        <v>7008</v>
      </c>
      <c r="P473" s="4">
        <v>0</v>
      </c>
      <c r="Q473" s="4">
        <f>[1]吉亚多!Z50</f>
        <v>2438</v>
      </c>
      <c r="R473" s="4">
        <v>2.5</v>
      </c>
      <c r="S473" s="4">
        <f>[1]吉亚多!AA50</f>
        <v>61</v>
      </c>
      <c r="T473" s="4">
        <v>0</v>
      </c>
      <c r="U473" s="4">
        <v>0</v>
      </c>
      <c r="V473" s="4">
        <v>0</v>
      </c>
    </row>
    <row r="474" spans="1:27" x14ac:dyDescent="0.15">
      <c r="A474" s="4" t="s">
        <v>2662</v>
      </c>
      <c r="D474" s="4">
        <f t="shared" si="5"/>
        <v>23</v>
      </c>
      <c r="E474" s="4">
        <v>50</v>
      </c>
      <c r="H474" s="29">
        <v>1001</v>
      </c>
      <c r="I474" s="4">
        <f>[1]吉亚多!$AB51</f>
        <v>5337</v>
      </c>
      <c r="L474" s="30">
        <v>800</v>
      </c>
      <c r="M474" s="4">
        <f>[1]吉亚多!W51</f>
        <v>720</v>
      </c>
      <c r="N474" s="4">
        <f>[1]吉亚多!X51</f>
        <v>105</v>
      </c>
      <c r="O474" s="4">
        <f>[1]吉亚多!Y51</f>
        <v>7082</v>
      </c>
      <c r="P474" s="4">
        <v>0</v>
      </c>
      <c r="Q474" s="4">
        <f>[1]吉亚多!Z51</f>
        <v>2444</v>
      </c>
      <c r="R474" s="4">
        <v>2.5</v>
      </c>
      <c r="S474" s="4">
        <f>[1]吉亚多!AA51</f>
        <v>62</v>
      </c>
      <c r="T474" s="4">
        <v>0</v>
      </c>
      <c r="U474" s="4">
        <v>0</v>
      </c>
      <c r="V474" s="4">
        <v>0</v>
      </c>
    </row>
    <row r="475" spans="1:27" x14ac:dyDescent="0.15">
      <c r="I475" s="4"/>
    </row>
    <row r="476" spans="1:27" x14ac:dyDescent="0.15">
      <c r="A476" s="4" t="s">
        <v>2662</v>
      </c>
      <c r="B476" s="4" t="s">
        <v>3084</v>
      </c>
      <c r="C476" s="4" t="s">
        <v>3085</v>
      </c>
      <c r="D476" s="4">
        <v>31</v>
      </c>
      <c r="E476" s="4">
        <v>0</v>
      </c>
      <c r="H476" s="29">
        <v>0</v>
      </c>
      <c r="I476" s="30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0</v>
      </c>
      <c r="T476" s="4">
        <v>0</v>
      </c>
      <c r="U476" s="4">
        <v>0</v>
      </c>
      <c r="V476" s="4">
        <v>0</v>
      </c>
    </row>
    <row r="477" spans="1:27" x14ac:dyDescent="0.15">
      <c r="A477" s="4" t="s">
        <v>2662</v>
      </c>
      <c r="D477" s="4">
        <v>31</v>
      </c>
      <c r="E477" s="4">
        <v>1</v>
      </c>
      <c r="H477" s="29">
        <v>1001</v>
      </c>
      <c r="I477" s="4">
        <f>[1]森美拉!$J2</f>
        <v>295</v>
      </c>
      <c r="L477" s="30">
        <v>800</v>
      </c>
      <c r="M477" s="4">
        <f>[1]森美拉!E2</f>
        <v>30</v>
      </c>
      <c r="N477" s="4">
        <f>[1]森美拉!F2</f>
        <v>2</v>
      </c>
      <c r="O477" s="4">
        <f>[1]森美拉!G2</f>
        <v>600</v>
      </c>
      <c r="P477" s="4">
        <v>0</v>
      </c>
      <c r="Q477" s="4">
        <f>[1]森美拉!H2</f>
        <v>800</v>
      </c>
      <c r="R477" s="4">
        <v>2.5</v>
      </c>
      <c r="S477" s="4">
        <f>[1]森美拉!I2</f>
        <v>5</v>
      </c>
      <c r="T477" s="4">
        <v>0</v>
      </c>
      <c r="U477" s="4">
        <v>0</v>
      </c>
      <c r="V477" s="4">
        <v>0</v>
      </c>
    </row>
    <row r="478" spans="1:27" x14ac:dyDescent="0.15">
      <c r="A478" s="4" t="s">
        <v>2662</v>
      </c>
      <c r="D478" s="4">
        <v>31</v>
      </c>
      <c r="E478" s="4">
        <v>2</v>
      </c>
      <c r="H478" s="29">
        <v>1001</v>
      </c>
      <c r="I478" s="4">
        <f>[1]森美拉!$J3</f>
        <v>323</v>
      </c>
      <c r="L478" s="30">
        <v>800</v>
      </c>
      <c r="M478" s="4">
        <f>[1]森美拉!E3</f>
        <v>34</v>
      </c>
      <c r="N478" s="4">
        <f>[1]森美拉!F3</f>
        <v>3</v>
      </c>
      <c r="O478" s="4">
        <f>[1]森美拉!G3</f>
        <v>624</v>
      </c>
      <c r="P478" s="4">
        <v>0</v>
      </c>
      <c r="Q478" s="4">
        <f>[1]森美拉!H3</f>
        <v>805</v>
      </c>
      <c r="R478" s="4">
        <v>2.5</v>
      </c>
      <c r="S478" s="4">
        <f>[1]森美拉!I3</f>
        <v>6</v>
      </c>
      <c r="T478" s="4">
        <v>0</v>
      </c>
      <c r="U478" s="4">
        <v>0</v>
      </c>
      <c r="V478" s="4">
        <v>0</v>
      </c>
    </row>
    <row r="479" spans="1:27" x14ac:dyDescent="0.15">
      <c r="A479" s="4" t="s">
        <v>2662</v>
      </c>
      <c r="D479" s="4">
        <v>31</v>
      </c>
      <c r="E479" s="4">
        <v>3</v>
      </c>
      <c r="H479" s="29">
        <v>1001</v>
      </c>
      <c r="I479" s="4">
        <f>[1]森美拉!$J4</f>
        <v>351</v>
      </c>
      <c r="L479" s="30">
        <v>800</v>
      </c>
      <c r="M479" s="4">
        <f>[1]森美拉!E4</f>
        <v>38</v>
      </c>
      <c r="N479" s="4">
        <f>[1]森美拉!F4</f>
        <v>4</v>
      </c>
      <c r="O479" s="4">
        <f>[1]森美拉!G4</f>
        <v>648</v>
      </c>
      <c r="P479" s="4">
        <v>0</v>
      </c>
      <c r="Q479" s="4">
        <f>[1]森美拉!H4</f>
        <v>810</v>
      </c>
      <c r="R479" s="4">
        <v>2.5</v>
      </c>
      <c r="S479" s="4">
        <f>[1]森美拉!I4</f>
        <v>7</v>
      </c>
      <c r="T479" s="4">
        <v>0</v>
      </c>
      <c r="U479" s="4">
        <v>0</v>
      </c>
      <c r="V479" s="4">
        <v>0</v>
      </c>
    </row>
    <row r="480" spans="1:27" ht="16.5" x14ac:dyDescent="0.15">
      <c r="A480" s="4" t="s">
        <v>2662</v>
      </c>
      <c r="D480" s="4">
        <v>31</v>
      </c>
      <c r="E480" s="4">
        <v>4</v>
      </c>
      <c r="H480" s="29">
        <v>1001</v>
      </c>
      <c r="I480" s="4">
        <f>[1]森美拉!$J5</f>
        <v>379</v>
      </c>
      <c r="L480" s="30">
        <v>800</v>
      </c>
      <c r="M480" s="4">
        <f>[1]森美拉!E5</f>
        <v>42</v>
      </c>
      <c r="N480" s="4">
        <f>[1]森美拉!F5</f>
        <v>5</v>
      </c>
      <c r="O480" s="4">
        <f>[1]森美拉!G5</f>
        <v>672</v>
      </c>
      <c r="P480" s="4">
        <v>0</v>
      </c>
      <c r="Q480" s="4">
        <f>[1]森美拉!H5</f>
        <v>815</v>
      </c>
      <c r="R480" s="4">
        <v>2.5</v>
      </c>
      <c r="S480" s="4">
        <f>[1]森美拉!I5</f>
        <v>8</v>
      </c>
      <c r="T480" s="4">
        <v>0</v>
      </c>
      <c r="U480" s="4">
        <v>0</v>
      </c>
      <c r="V480" s="4">
        <v>0</v>
      </c>
      <c r="Z480" s="38" t="s">
        <v>3277</v>
      </c>
      <c r="AA480" s="39" t="s">
        <v>3286</v>
      </c>
    </row>
    <row r="481" spans="1:27" ht="16.5" x14ac:dyDescent="0.15">
      <c r="A481" s="4" t="s">
        <v>2662</v>
      </c>
      <c r="D481" s="4">
        <v>31</v>
      </c>
      <c r="E481" s="4">
        <v>5</v>
      </c>
      <c r="H481" s="29">
        <v>1001</v>
      </c>
      <c r="I481" s="4">
        <f>[1]森美拉!$J6</f>
        <v>407</v>
      </c>
      <c r="L481" s="30">
        <v>800</v>
      </c>
      <c r="M481" s="4">
        <f>[1]森美拉!E6</f>
        <v>46</v>
      </c>
      <c r="N481" s="4">
        <f>[1]森美拉!F6</f>
        <v>6</v>
      </c>
      <c r="O481" s="4">
        <f>[1]森美拉!G6</f>
        <v>696</v>
      </c>
      <c r="P481" s="4">
        <v>0</v>
      </c>
      <c r="Q481" s="4">
        <f>[1]森美拉!H6</f>
        <v>820</v>
      </c>
      <c r="R481" s="4">
        <v>2.5</v>
      </c>
      <c r="S481" s="4">
        <f>[1]森美拉!I6</f>
        <v>9</v>
      </c>
      <c r="T481" s="4">
        <v>0</v>
      </c>
      <c r="U481" s="4">
        <v>0</v>
      </c>
      <c r="V481" s="4">
        <v>0</v>
      </c>
      <c r="Z481" s="38" t="s">
        <v>3276</v>
      </c>
      <c r="AA481" s="39" t="s">
        <v>3287</v>
      </c>
    </row>
    <row r="482" spans="1:27" x14ac:dyDescent="0.15">
      <c r="A482" s="4" t="s">
        <v>2662</v>
      </c>
      <c r="D482" s="4">
        <v>31</v>
      </c>
      <c r="E482" s="4">
        <v>6</v>
      </c>
      <c r="H482" s="29">
        <v>1001</v>
      </c>
      <c r="I482" s="4">
        <f>[1]森美拉!$J7</f>
        <v>435</v>
      </c>
      <c r="L482" s="30">
        <v>800</v>
      </c>
      <c r="M482" s="4">
        <f>[1]森美拉!E7</f>
        <v>50</v>
      </c>
      <c r="N482" s="4">
        <f>[1]森美拉!F7</f>
        <v>7</v>
      </c>
      <c r="O482" s="4">
        <f>[1]森美拉!G7</f>
        <v>720</v>
      </c>
      <c r="P482" s="4">
        <v>0</v>
      </c>
      <c r="Q482" s="4">
        <f>[1]森美拉!H7</f>
        <v>825</v>
      </c>
      <c r="R482" s="4">
        <v>2.5</v>
      </c>
      <c r="S482" s="4">
        <f>[1]森美拉!I7</f>
        <v>10</v>
      </c>
      <c r="T482" s="4">
        <v>0</v>
      </c>
      <c r="U482" s="4">
        <v>0</v>
      </c>
      <c r="V482" s="4">
        <v>0</v>
      </c>
    </row>
    <row r="483" spans="1:27" x14ac:dyDescent="0.15">
      <c r="A483" s="4" t="s">
        <v>2662</v>
      </c>
      <c r="D483" s="4">
        <v>31</v>
      </c>
      <c r="E483" s="4">
        <v>7</v>
      </c>
      <c r="H483" s="29">
        <v>1001</v>
      </c>
      <c r="I483" s="4">
        <f>[1]森美拉!$J8</f>
        <v>462</v>
      </c>
      <c r="L483" s="30">
        <v>800</v>
      </c>
      <c r="M483" s="4">
        <f>[1]森美拉!E8</f>
        <v>54</v>
      </c>
      <c r="N483" s="4">
        <f>[1]森美拉!F8</f>
        <v>8</v>
      </c>
      <c r="O483" s="4">
        <f>[1]森美拉!G8</f>
        <v>744</v>
      </c>
      <c r="P483" s="4">
        <v>0</v>
      </c>
      <c r="Q483" s="4">
        <f>[1]森美拉!H8</f>
        <v>830</v>
      </c>
      <c r="R483" s="4">
        <v>2.5</v>
      </c>
      <c r="S483" s="4">
        <f>[1]森美拉!I8</f>
        <v>11</v>
      </c>
      <c r="T483" s="4">
        <v>0</v>
      </c>
      <c r="U483" s="4">
        <v>0</v>
      </c>
      <c r="V483" s="4">
        <v>0</v>
      </c>
    </row>
    <row r="484" spans="1:27" x14ac:dyDescent="0.15">
      <c r="A484" s="4" t="s">
        <v>2662</v>
      </c>
      <c r="D484" s="4">
        <v>31</v>
      </c>
      <c r="E484" s="4">
        <v>8</v>
      </c>
      <c r="H484" s="29">
        <v>1001</v>
      </c>
      <c r="I484" s="4">
        <f>[1]森美拉!$J9</f>
        <v>490</v>
      </c>
      <c r="L484" s="30">
        <v>800</v>
      </c>
      <c r="M484" s="4">
        <f>[1]森美拉!E9</f>
        <v>58</v>
      </c>
      <c r="N484" s="4">
        <f>[1]森美拉!F9</f>
        <v>9</v>
      </c>
      <c r="O484" s="4">
        <f>[1]森美拉!G9</f>
        <v>768</v>
      </c>
      <c r="P484" s="4">
        <v>0</v>
      </c>
      <c r="Q484" s="4">
        <f>[1]森美拉!H9</f>
        <v>835</v>
      </c>
      <c r="R484" s="4">
        <v>2.5</v>
      </c>
      <c r="S484" s="4">
        <f>[1]森美拉!I9</f>
        <v>12</v>
      </c>
      <c r="T484" s="4">
        <v>0</v>
      </c>
      <c r="U484" s="4">
        <v>0</v>
      </c>
      <c r="V484" s="4">
        <v>0</v>
      </c>
    </row>
    <row r="485" spans="1:27" x14ac:dyDescent="0.15">
      <c r="A485" s="4" t="s">
        <v>2662</v>
      </c>
      <c r="D485" s="4">
        <v>31</v>
      </c>
      <c r="E485" s="4">
        <v>9</v>
      </c>
      <c r="H485" s="29">
        <v>1001</v>
      </c>
      <c r="I485" s="4">
        <f>[1]森美拉!$J10</f>
        <v>518</v>
      </c>
      <c r="L485" s="30">
        <v>800</v>
      </c>
      <c r="M485" s="4">
        <f>[1]森美拉!E10</f>
        <v>62</v>
      </c>
      <c r="N485" s="4">
        <f>[1]森美拉!F10</f>
        <v>10</v>
      </c>
      <c r="O485" s="4">
        <f>[1]森美拉!G10</f>
        <v>792</v>
      </c>
      <c r="P485" s="4">
        <v>0</v>
      </c>
      <c r="Q485" s="4">
        <f>[1]森美拉!H10</f>
        <v>840</v>
      </c>
      <c r="R485" s="4">
        <v>2.5</v>
      </c>
      <c r="S485" s="4">
        <f>[1]森美拉!I10</f>
        <v>13</v>
      </c>
      <c r="T485" s="4">
        <v>0</v>
      </c>
      <c r="U485" s="4">
        <v>0</v>
      </c>
      <c r="V485" s="4">
        <v>0</v>
      </c>
    </row>
    <row r="486" spans="1:27" x14ac:dyDescent="0.15">
      <c r="A486" s="4" t="s">
        <v>2662</v>
      </c>
      <c r="D486" s="4">
        <v>31</v>
      </c>
      <c r="E486" s="4">
        <v>10</v>
      </c>
      <c r="H486" s="29">
        <v>1001</v>
      </c>
      <c r="I486" s="4">
        <f>[1]森美拉!$J11</f>
        <v>546</v>
      </c>
      <c r="L486" s="30">
        <v>800</v>
      </c>
      <c r="M486" s="4">
        <f>[1]森美拉!E11</f>
        <v>66</v>
      </c>
      <c r="N486" s="4">
        <f>[1]森美拉!F11</f>
        <v>11</v>
      </c>
      <c r="O486" s="4">
        <f>[1]森美拉!G11</f>
        <v>816</v>
      </c>
      <c r="P486" s="4">
        <v>0</v>
      </c>
      <c r="Q486" s="4">
        <f>[1]森美拉!H11</f>
        <v>845</v>
      </c>
      <c r="R486" s="4">
        <v>2.5</v>
      </c>
      <c r="S486" s="4">
        <f>[1]森美拉!I11</f>
        <v>14</v>
      </c>
      <c r="T486" s="4">
        <v>0</v>
      </c>
      <c r="U486" s="4">
        <v>0</v>
      </c>
      <c r="V486" s="4">
        <v>0</v>
      </c>
    </row>
    <row r="487" spans="1:27" x14ac:dyDescent="0.15">
      <c r="A487" s="4" t="s">
        <v>2662</v>
      </c>
      <c r="D487" s="4">
        <v>31</v>
      </c>
      <c r="E487" s="4">
        <v>11</v>
      </c>
      <c r="H487" s="29">
        <v>1001</v>
      </c>
      <c r="I487" s="4">
        <f>[1]森美拉!$J12</f>
        <v>574</v>
      </c>
      <c r="L487" s="30">
        <v>800</v>
      </c>
      <c r="M487" s="4">
        <f>[1]森美拉!E12</f>
        <v>70</v>
      </c>
      <c r="N487" s="4">
        <f>[1]森美拉!F12</f>
        <v>12</v>
      </c>
      <c r="O487" s="4">
        <f>[1]森美拉!G12</f>
        <v>840</v>
      </c>
      <c r="P487" s="4">
        <v>0</v>
      </c>
      <c r="Q487" s="4">
        <f>[1]森美拉!H12</f>
        <v>850</v>
      </c>
      <c r="R487" s="4">
        <v>2.5</v>
      </c>
      <c r="S487" s="4">
        <f>[1]森美拉!I12</f>
        <v>15</v>
      </c>
      <c r="T487" s="4">
        <v>0</v>
      </c>
      <c r="U487" s="4">
        <v>0</v>
      </c>
      <c r="V487" s="4">
        <v>0</v>
      </c>
    </row>
    <row r="488" spans="1:27" x14ac:dyDescent="0.15">
      <c r="A488" s="4" t="s">
        <v>2662</v>
      </c>
      <c r="D488" s="4">
        <v>31</v>
      </c>
      <c r="E488" s="4">
        <v>12</v>
      </c>
      <c r="H488" s="29">
        <v>1001</v>
      </c>
      <c r="I488" s="4">
        <f>[1]森美拉!$J13</f>
        <v>602</v>
      </c>
      <c r="L488" s="30">
        <v>800</v>
      </c>
      <c r="M488" s="4">
        <f>[1]森美拉!E13</f>
        <v>74</v>
      </c>
      <c r="N488" s="4">
        <f>[1]森美拉!F13</f>
        <v>13</v>
      </c>
      <c r="O488" s="4">
        <f>[1]森美拉!G13</f>
        <v>864</v>
      </c>
      <c r="P488" s="4">
        <v>0</v>
      </c>
      <c r="Q488" s="4">
        <f>[1]森美拉!H13</f>
        <v>855</v>
      </c>
      <c r="R488" s="4">
        <v>2.5</v>
      </c>
      <c r="S488" s="4">
        <f>[1]森美拉!I13</f>
        <v>16</v>
      </c>
      <c r="T488" s="4">
        <v>0</v>
      </c>
      <c r="U488" s="4">
        <v>0</v>
      </c>
      <c r="V488" s="4">
        <v>0</v>
      </c>
    </row>
    <row r="489" spans="1:27" x14ac:dyDescent="0.15">
      <c r="A489" s="4" t="s">
        <v>2662</v>
      </c>
      <c r="D489" s="4">
        <v>31</v>
      </c>
      <c r="E489" s="4">
        <v>13</v>
      </c>
      <c r="H489" s="29">
        <v>1001</v>
      </c>
      <c r="I489" s="4">
        <f>[1]森美拉!$J14</f>
        <v>630</v>
      </c>
      <c r="L489" s="30">
        <v>800</v>
      </c>
      <c r="M489" s="4">
        <f>[1]森美拉!E14</f>
        <v>78</v>
      </c>
      <c r="N489" s="4">
        <f>[1]森美拉!F14</f>
        <v>14</v>
      </c>
      <c r="O489" s="4">
        <f>[1]森美拉!G14</f>
        <v>888</v>
      </c>
      <c r="P489" s="4">
        <v>0</v>
      </c>
      <c r="Q489" s="4">
        <f>[1]森美拉!H14</f>
        <v>860</v>
      </c>
      <c r="R489" s="4">
        <v>2.5</v>
      </c>
      <c r="S489" s="4">
        <f>[1]森美拉!I14</f>
        <v>17</v>
      </c>
      <c r="T489" s="4">
        <v>0</v>
      </c>
      <c r="U489" s="4">
        <v>0</v>
      </c>
      <c r="V489" s="4">
        <v>0</v>
      </c>
    </row>
    <row r="490" spans="1:27" x14ac:dyDescent="0.15">
      <c r="A490" s="4" t="s">
        <v>2662</v>
      </c>
      <c r="D490" s="4">
        <v>31</v>
      </c>
      <c r="E490" s="4">
        <v>14</v>
      </c>
      <c r="H490" s="29">
        <v>1001</v>
      </c>
      <c r="I490" s="4">
        <f>[1]森美拉!$J15</f>
        <v>658</v>
      </c>
      <c r="L490" s="30">
        <v>800</v>
      </c>
      <c r="M490" s="4">
        <f>[1]森美拉!E15</f>
        <v>82</v>
      </c>
      <c r="N490" s="4">
        <f>[1]森美拉!F15</f>
        <v>15</v>
      </c>
      <c r="O490" s="4">
        <f>[1]森美拉!G15</f>
        <v>912</v>
      </c>
      <c r="P490" s="4">
        <v>0</v>
      </c>
      <c r="Q490" s="4">
        <f>[1]森美拉!H15</f>
        <v>865</v>
      </c>
      <c r="R490" s="4">
        <v>2.5</v>
      </c>
      <c r="S490" s="4">
        <f>[1]森美拉!I15</f>
        <v>18</v>
      </c>
      <c r="T490" s="4">
        <v>0</v>
      </c>
      <c r="U490" s="4">
        <v>0</v>
      </c>
      <c r="V490" s="4">
        <v>0</v>
      </c>
    </row>
    <row r="491" spans="1:27" x14ac:dyDescent="0.15">
      <c r="A491" s="4" t="s">
        <v>2662</v>
      </c>
      <c r="D491" s="4">
        <v>31</v>
      </c>
      <c r="E491" s="4">
        <v>15</v>
      </c>
      <c r="H491" s="29">
        <v>1001</v>
      </c>
      <c r="I491" s="4">
        <f>[1]森美拉!$J16</f>
        <v>686</v>
      </c>
      <c r="L491" s="30">
        <v>800</v>
      </c>
      <c r="M491" s="4">
        <f>[1]森美拉!E16</f>
        <v>86</v>
      </c>
      <c r="N491" s="4">
        <f>[1]森美拉!F16</f>
        <v>16</v>
      </c>
      <c r="O491" s="4">
        <f>[1]森美拉!G16</f>
        <v>936</v>
      </c>
      <c r="P491" s="4">
        <v>0</v>
      </c>
      <c r="Q491" s="4">
        <f>[1]森美拉!H16</f>
        <v>870</v>
      </c>
      <c r="R491" s="4">
        <v>2.5</v>
      </c>
      <c r="S491" s="4">
        <f>[1]森美拉!I16</f>
        <v>19</v>
      </c>
      <c r="T491" s="4">
        <v>0</v>
      </c>
      <c r="U491" s="4">
        <v>0</v>
      </c>
      <c r="V491" s="4">
        <v>0</v>
      </c>
    </row>
    <row r="492" spans="1:27" x14ac:dyDescent="0.15">
      <c r="A492" s="4" t="s">
        <v>2662</v>
      </c>
      <c r="D492" s="4">
        <v>31</v>
      </c>
      <c r="E492" s="4">
        <v>16</v>
      </c>
      <c r="H492" s="29">
        <v>1001</v>
      </c>
      <c r="I492" s="4">
        <f>[1]森美拉!$J17</f>
        <v>714</v>
      </c>
      <c r="L492" s="30">
        <v>800</v>
      </c>
      <c r="M492" s="4">
        <f>[1]森美拉!E17</f>
        <v>90</v>
      </c>
      <c r="N492" s="4">
        <f>[1]森美拉!F17</f>
        <v>17</v>
      </c>
      <c r="O492" s="4">
        <f>[1]森美拉!G17</f>
        <v>960</v>
      </c>
      <c r="P492" s="4">
        <v>0</v>
      </c>
      <c r="Q492" s="4">
        <f>[1]森美拉!H17</f>
        <v>875</v>
      </c>
      <c r="R492" s="4">
        <v>2.5</v>
      </c>
      <c r="S492" s="4">
        <f>[1]森美拉!I17</f>
        <v>20</v>
      </c>
      <c r="T492" s="4">
        <v>0</v>
      </c>
      <c r="U492" s="4">
        <v>0</v>
      </c>
      <c r="V492" s="4">
        <v>0</v>
      </c>
    </row>
    <row r="493" spans="1:27" x14ac:dyDescent="0.15">
      <c r="A493" s="4" t="s">
        <v>2662</v>
      </c>
      <c r="D493" s="4">
        <v>31</v>
      </c>
      <c r="E493" s="4">
        <v>17</v>
      </c>
      <c r="H493" s="29">
        <v>1001</v>
      </c>
      <c r="I493" s="4">
        <f>[1]森美拉!$J18</f>
        <v>741</v>
      </c>
      <c r="L493" s="30">
        <v>800</v>
      </c>
      <c r="M493" s="4">
        <f>[1]森美拉!E18</f>
        <v>94</v>
      </c>
      <c r="N493" s="4">
        <f>[1]森美拉!F18</f>
        <v>18</v>
      </c>
      <c r="O493" s="4">
        <f>[1]森美拉!G18</f>
        <v>984</v>
      </c>
      <c r="P493" s="4">
        <v>0</v>
      </c>
      <c r="Q493" s="4">
        <f>[1]森美拉!H18</f>
        <v>880</v>
      </c>
      <c r="R493" s="4">
        <v>2.5</v>
      </c>
      <c r="S493" s="4">
        <f>[1]森美拉!I18</f>
        <v>21</v>
      </c>
      <c r="T493" s="4">
        <v>0</v>
      </c>
      <c r="U493" s="4">
        <v>0</v>
      </c>
      <c r="V493" s="4">
        <v>0</v>
      </c>
    </row>
    <row r="494" spans="1:27" x14ac:dyDescent="0.15">
      <c r="A494" s="4" t="s">
        <v>2662</v>
      </c>
      <c r="D494" s="4">
        <v>31</v>
      </c>
      <c r="E494" s="4">
        <v>18</v>
      </c>
      <c r="H494" s="29">
        <v>1001</v>
      </c>
      <c r="I494" s="4">
        <f>[1]森美拉!$J19</f>
        <v>769</v>
      </c>
      <c r="L494" s="30">
        <v>800</v>
      </c>
      <c r="M494" s="4">
        <f>[1]森美拉!E19</f>
        <v>98</v>
      </c>
      <c r="N494" s="4">
        <f>[1]森美拉!F19</f>
        <v>19</v>
      </c>
      <c r="O494" s="4">
        <f>[1]森美拉!G19</f>
        <v>1008</v>
      </c>
      <c r="P494" s="4">
        <v>0</v>
      </c>
      <c r="Q494" s="4">
        <f>[1]森美拉!H19</f>
        <v>885</v>
      </c>
      <c r="R494" s="4">
        <v>2.5</v>
      </c>
      <c r="S494" s="4">
        <f>[1]森美拉!I19</f>
        <v>22</v>
      </c>
      <c r="T494" s="4">
        <v>0</v>
      </c>
      <c r="U494" s="4">
        <v>0</v>
      </c>
      <c r="V494" s="4">
        <v>0</v>
      </c>
    </row>
    <row r="495" spans="1:27" x14ac:dyDescent="0.15">
      <c r="A495" s="4" t="s">
        <v>2662</v>
      </c>
      <c r="D495" s="4">
        <v>31</v>
      </c>
      <c r="E495" s="4">
        <v>19</v>
      </c>
      <c r="H495" s="29">
        <v>1001</v>
      </c>
      <c r="I495" s="4">
        <f>[1]森美拉!$J20</f>
        <v>797</v>
      </c>
      <c r="L495" s="30">
        <v>800</v>
      </c>
      <c r="M495" s="4">
        <f>[1]森美拉!E20</f>
        <v>102</v>
      </c>
      <c r="N495" s="4">
        <f>[1]森美拉!F20</f>
        <v>20</v>
      </c>
      <c r="O495" s="4">
        <f>[1]森美拉!G20</f>
        <v>1032</v>
      </c>
      <c r="P495" s="4">
        <v>0</v>
      </c>
      <c r="Q495" s="4">
        <f>[1]森美拉!H20</f>
        <v>890</v>
      </c>
      <c r="R495" s="4">
        <v>2.5</v>
      </c>
      <c r="S495" s="4">
        <f>[1]森美拉!I20</f>
        <v>23</v>
      </c>
      <c r="T495" s="4">
        <v>0</v>
      </c>
      <c r="U495" s="4">
        <v>0</v>
      </c>
      <c r="V495" s="4">
        <v>0</v>
      </c>
    </row>
    <row r="496" spans="1:27" x14ac:dyDescent="0.15">
      <c r="A496" s="4" t="s">
        <v>2662</v>
      </c>
      <c r="D496" s="4">
        <v>31</v>
      </c>
      <c r="E496" s="4">
        <v>20</v>
      </c>
      <c r="H496" s="29">
        <v>1001</v>
      </c>
      <c r="I496" s="4">
        <f>[1]森美拉!$J21</f>
        <v>825</v>
      </c>
      <c r="L496" s="30">
        <v>800</v>
      </c>
      <c r="M496" s="4">
        <f>[1]森美拉!E21</f>
        <v>106</v>
      </c>
      <c r="N496" s="4">
        <f>[1]森美拉!F21</f>
        <v>21</v>
      </c>
      <c r="O496" s="4">
        <f>[1]森美拉!G21</f>
        <v>1056</v>
      </c>
      <c r="P496" s="4">
        <v>0</v>
      </c>
      <c r="Q496" s="4">
        <f>[1]森美拉!H21</f>
        <v>895</v>
      </c>
      <c r="R496" s="4">
        <v>2.5</v>
      </c>
      <c r="S496" s="4">
        <f>[1]森美拉!I21</f>
        <v>24</v>
      </c>
      <c r="T496" s="4">
        <v>0</v>
      </c>
      <c r="U496" s="4">
        <v>0</v>
      </c>
      <c r="V496" s="4">
        <v>0</v>
      </c>
    </row>
    <row r="497" spans="1:22" x14ac:dyDescent="0.15">
      <c r="A497" s="4" t="s">
        <v>2662</v>
      </c>
      <c r="D497" s="4">
        <v>31</v>
      </c>
      <c r="E497" s="4">
        <v>21</v>
      </c>
      <c r="H497" s="29">
        <v>1001</v>
      </c>
      <c r="I497" s="4">
        <f>[1]森美拉!$J22</f>
        <v>853</v>
      </c>
      <c r="L497" s="30">
        <v>800</v>
      </c>
      <c r="M497" s="4">
        <f>[1]森美拉!E22</f>
        <v>110</v>
      </c>
      <c r="N497" s="4">
        <f>[1]森美拉!F22</f>
        <v>22</v>
      </c>
      <c r="O497" s="4">
        <f>[1]森美拉!G22</f>
        <v>1080</v>
      </c>
      <c r="P497" s="4">
        <v>0</v>
      </c>
      <c r="Q497" s="4">
        <f>[1]森美拉!H22</f>
        <v>900</v>
      </c>
      <c r="R497" s="4">
        <v>2.5</v>
      </c>
      <c r="S497" s="4">
        <f>[1]森美拉!I22</f>
        <v>25</v>
      </c>
      <c r="T497" s="4">
        <v>0</v>
      </c>
      <c r="U497" s="4">
        <v>0</v>
      </c>
      <c r="V497" s="4">
        <v>0</v>
      </c>
    </row>
    <row r="498" spans="1:22" x14ac:dyDescent="0.15">
      <c r="A498" s="4" t="s">
        <v>2662</v>
      </c>
      <c r="D498" s="4">
        <v>31</v>
      </c>
      <c r="E498" s="4">
        <v>22</v>
      </c>
      <c r="H498" s="29">
        <v>1001</v>
      </c>
      <c r="I498" s="4">
        <f>[1]森美拉!$J23</f>
        <v>881</v>
      </c>
      <c r="L498" s="30">
        <v>800</v>
      </c>
      <c r="M498" s="4">
        <f>[1]森美拉!E23</f>
        <v>114</v>
      </c>
      <c r="N498" s="4">
        <f>[1]森美拉!F23</f>
        <v>23</v>
      </c>
      <c r="O498" s="4">
        <f>[1]森美拉!G23</f>
        <v>1104</v>
      </c>
      <c r="P498" s="4">
        <v>0</v>
      </c>
      <c r="Q498" s="4">
        <f>[1]森美拉!H23</f>
        <v>905</v>
      </c>
      <c r="R498" s="4">
        <v>2.5</v>
      </c>
      <c r="S498" s="4">
        <f>[1]森美拉!I23</f>
        <v>26</v>
      </c>
      <c r="T498" s="4">
        <v>0</v>
      </c>
      <c r="U498" s="4">
        <v>0</v>
      </c>
      <c r="V498" s="4">
        <v>0</v>
      </c>
    </row>
    <row r="499" spans="1:22" x14ac:dyDescent="0.15">
      <c r="A499" s="4" t="s">
        <v>2662</v>
      </c>
      <c r="D499" s="4">
        <v>31</v>
      </c>
      <c r="E499" s="4">
        <v>23</v>
      </c>
      <c r="H499" s="29">
        <v>1001</v>
      </c>
      <c r="I499" s="4">
        <f>[1]森美拉!$J24</f>
        <v>909</v>
      </c>
      <c r="L499" s="30">
        <v>800</v>
      </c>
      <c r="M499" s="4">
        <f>[1]森美拉!E24</f>
        <v>118</v>
      </c>
      <c r="N499" s="4">
        <f>[1]森美拉!F24</f>
        <v>24</v>
      </c>
      <c r="O499" s="4">
        <f>[1]森美拉!G24</f>
        <v>1128</v>
      </c>
      <c r="P499" s="4">
        <v>0</v>
      </c>
      <c r="Q499" s="4">
        <f>[1]森美拉!H24</f>
        <v>910</v>
      </c>
      <c r="R499" s="4">
        <v>2.5</v>
      </c>
      <c r="S499" s="4">
        <f>[1]森美拉!I24</f>
        <v>27</v>
      </c>
      <c r="T499" s="4">
        <v>0</v>
      </c>
      <c r="U499" s="4">
        <v>0</v>
      </c>
      <c r="V499" s="4">
        <v>0</v>
      </c>
    </row>
    <row r="500" spans="1:22" x14ac:dyDescent="0.15">
      <c r="A500" s="4" t="s">
        <v>2662</v>
      </c>
      <c r="D500" s="4">
        <v>31</v>
      </c>
      <c r="E500" s="4">
        <v>24</v>
      </c>
      <c r="H500" s="29">
        <v>1001</v>
      </c>
      <c r="I500" s="4">
        <f>[1]森美拉!$J25</f>
        <v>937</v>
      </c>
      <c r="L500" s="30">
        <v>800</v>
      </c>
      <c r="M500" s="4">
        <f>[1]森美拉!E25</f>
        <v>122</v>
      </c>
      <c r="N500" s="4">
        <f>[1]森美拉!F25</f>
        <v>25</v>
      </c>
      <c r="O500" s="4">
        <f>[1]森美拉!G25</f>
        <v>1152</v>
      </c>
      <c r="P500" s="4">
        <v>0</v>
      </c>
      <c r="Q500" s="4">
        <f>[1]森美拉!H25</f>
        <v>915</v>
      </c>
      <c r="R500" s="4">
        <v>2.5</v>
      </c>
      <c r="S500" s="4">
        <f>[1]森美拉!I25</f>
        <v>28</v>
      </c>
      <c r="T500" s="4">
        <v>0</v>
      </c>
      <c r="U500" s="4">
        <v>0</v>
      </c>
      <c r="V500" s="4">
        <v>0</v>
      </c>
    </row>
    <row r="501" spans="1:22" x14ac:dyDescent="0.15">
      <c r="A501" s="4" t="s">
        <v>2662</v>
      </c>
      <c r="D501" s="4">
        <v>31</v>
      </c>
      <c r="E501" s="4">
        <v>25</v>
      </c>
      <c r="H501" s="29">
        <v>1001</v>
      </c>
      <c r="I501" s="4">
        <f>[1]森美拉!$J26</f>
        <v>965</v>
      </c>
      <c r="L501" s="30">
        <v>800</v>
      </c>
      <c r="M501" s="4">
        <f>[1]森美拉!E26</f>
        <v>126</v>
      </c>
      <c r="N501" s="4">
        <f>[1]森美拉!F26</f>
        <v>26</v>
      </c>
      <c r="O501" s="4">
        <f>[1]森美拉!G26</f>
        <v>1176</v>
      </c>
      <c r="P501" s="4">
        <v>0</v>
      </c>
      <c r="Q501" s="4">
        <f>[1]森美拉!H26</f>
        <v>920</v>
      </c>
      <c r="R501" s="4">
        <v>2.5</v>
      </c>
      <c r="S501" s="4">
        <f>[1]森美拉!I26</f>
        <v>29</v>
      </c>
      <c r="T501" s="4">
        <v>0</v>
      </c>
      <c r="U501" s="4">
        <v>0</v>
      </c>
      <c r="V501" s="4">
        <v>0</v>
      </c>
    </row>
    <row r="502" spans="1:22" x14ac:dyDescent="0.15">
      <c r="A502" s="4" t="s">
        <v>2662</v>
      </c>
      <c r="D502" s="4">
        <v>31</v>
      </c>
      <c r="E502" s="4">
        <v>26</v>
      </c>
      <c r="H502" s="29">
        <v>1001</v>
      </c>
      <c r="I502" s="4">
        <f>[1]森美拉!$J27</f>
        <v>993</v>
      </c>
      <c r="L502" s="30">
        <v>800</v>
      </c>
      <c r="M502" s="4">
        <f>[1]森美拉!E27</f>
        <v>130</v>
      </c>
      <c r="N502" s="4">
        <f>[1]森美拉!F27</f>
        <v>27</v>
      </c>
      <c r="O502" s="4">
        <f>[1]森美拉!G27</f>
        <v>1200</v>
      </c>
      <c r="P502" s="4">
        <v>0</v>
      </c>
      <c r="Q502" s="4">
        <f>[1]森美拉!H27</f>
        <v>925</v>
      </c>
      <c r="R502" s="4">
        <v>2.5</v>
      </c>
      <c r="S502" s="4">
        <f>[1]森美拉!I27</f>
        <v>30</v>
      </c>
      <c r="T502" s="4">
        <v>0</v>
      </c>
      <c r="U502" s="4">
        <v>0</v>
      </c>
      <c r="V502" s="4">
        <v>0</v>
      </c>
    </row>
    <row r="503" spans="1:22" x14ac:dyDescent="0.15">
      <c r="A503" s="4" t="s">
        <v>2662</v>
      </c>
      <c r="D503" s="4">
        <v>31</v>
      </c>
      <c r="E503" s="4">
        <v>27</v>
      </c>
      <c r="H503" s="29">
        <v>1001</v>
      </c>
      <c r="I503" s="4">
        <f>[1]森美拉!$J28</f>
        <v>1020</v>
      </c>
      <c r="L503" s="30">
        <v>800</v>
      </c>
      <c r="M503" s="4">
        <f>[1]森美拉!E28</f>
        <v>134</v>
      </c>
      <c r="N503" s="4">
        <f>[1]森美拉!F28</f>
        <v>28</v>
      </c>
      <c r="O503" s="4">
        <f>[1]森美拉!G28</f>
        <v>1224</v>
      </c>
      <c r="P503" s="4">
        <v>0</v>
      </c>
      <c r="Q503" s="4">
        <f>[1]森美拉!H28</f>
        <v>930</v>
      </c>
      <c r="R503" s="4">
        <v>2.5</v>
      </c>
      <c r="S503" s="4">
        <f>[1]森美拉!I28</f>
        <v>31</v>
      </c>
      <c r="T503" s="4">
        <v>0</v>
      </c>
      <c r="U503" s="4">
        <v>0</v>
      </c>
      <c r="V503" s="4">
        <v>0</v>
      </c>
    </row>
    <row r="504" spans="1:22" x14ac:dyDescent="0.15">
      <c r="A504" s="4" t="s">
        <v>2662</v>
      </c>
      <c r="D504" s="4">
        <v>31</v>
      </c>
      <c r="E504" s="4">
        <v>28</v>
      </c>
      <c r="H504" s="29">
        <v>1001</v>
      </c>
      <c r="I504" s="4">
        <f>[1]森美拉!$J29</f>
        <v>1048</v>
      </c>
      <c r="L504" s="30">
        <v>800</v>
      </c>
      <c r="M504" s="4">
        <f>[1]森美拉!E29</f>
        <v>138</v>
      </c>
      <c r="N504" s="4">
        <f>[1]森美拉!F29</f>
        <v>29</v>
      </c>
      <c r="O504" s="4">
        <f>[1]森美拉!G29</f>
        <v>1248</v>
      </c>
      <c r="P504" s="4">
        <v>0</v>
      </c>
      <c r="Q504" s="4">
        <f>[1]森美拉!H29</f>
        <v>935</v>
      </c>
      <c r="R504" s="4">
        <v>2.5</v>
      </c>
      <c r="S504" s="4">
        <f>[1]森美拉!I29</f>
        <v>32</v>
      </c>
      <c r="T504" s="4">
        <v>0</v>
      </c>
      <c r="U504" s="4">
        <v>0</v>
      </c>
      <c r="V504" s="4">
        <v>0</v>
      </c>
    </row>
    <row r="505" spans="1:22" x14ac:dyDescent="0.15">
      <c r="A505" s="4" t="s">
        <v>2662</v>
      </c>
      <c r="D505" s="4">
        <v>31</v>
      </c>
      <c r="E505" s="4">
        <v>29</v>
      </c>
      <c r="H505" s="29">
        <v>1001</v>
      </c>
      <c r="I505" s="4">
        <f>[1]森美拉!$J30</f>
        <v>1076</v>
      </c>
      <c r="L505" s="30">
        <v>800</v>
      </c>
      <c r="M505" s="4">
        <f>[1]森美拉!E30</f>
        <v>142</v>
      </c>
      <c r="N505" s="4">
        <f>[1]森美拉!F30</f>
        <v>30</v>
      </c>
      <c r="O505" s="4">
        <f>[1]森美拉!G30</f>
        <v>1272</v>
      </c>
      <c r="P505" s="4">
        <v>0</v>
      </c>
      <c r="Q505" s="4">
        <f>[1]森美拉!H30</f>
        <v>940</v>
      </c>
      <c r="R505" s="4">
        <v>2.5</v>
      </c>
      <c r="S505" s="4">
        <f>[1]森美拉!I30</f>
        <v>33</v>
      </c>
      <c r="T505" s="4">
        <v>0</v>
      </c>
      <c r="U505" s="4">
        <v>0</v>
      </c>
      <c r="V505" s="4">
        <v>0</v>
      </c>
    </row>
    <row r="506" spans="1:22" x14ac:dyDescent="0.15">
      <c r="A506" s="4" t="s">
        <v>2662</v>
      </c>
      <c r="D506" s="4">
        <v>31</v>
      </c>
      <c r="E506" s="4">
        <v>30</v>
      </c>
      <c r="H506" s="29">
        <v>1001</v>
      </c>
      <c r="I506" s="4">
        <f>[1]森美拉!$J31</f>
        <v>1104</v>
      </c>
      <c r="L506" s="30">
        <v>800</v>
      </c>
      <c r="M506" s="4">
        <f>[1]森美拉!E31</f>
        <v>146</v>
      </c>
      <c r="N506" s="4">
        <f>[1]森美拉!F31</f>
        <v>31</v>
      </c>
      <c r="O506" s="4">
        <f>[1]森美拉!G31</f>
        <v>1296</v>
      </c>
      <c r="P506" s="4">
        <v>0</v>
      </c>
      <c r="Q506" s="4">
        <f>[1]森美拉!H31</f>
        <v>945</v>
      </c>
      <c r="R506" s="4">
        <v>2.5</v>
      </c>
      <c r="S506" s="4">
        <f>[1]森美拉!I31</f>
        <v>34</v>
      </c>
      <c r="T506" s="4">
        <v>0</v>
      </c>
      <c r="U506" s="4">
        <v>0</v>
      </c>
      <c r="V506" s="4">
        <v>0</v>
      </c>
    </row>
    <row r="507" spans="1:22" x14ac:dyDescent="0.15">
      <c r="A507" s="4" t="s">
        <v>2662</v>
      </c>
      <c r="D507" s="4">
        <v>31</v>
      </c>
      <c r="E507" s="4">
        <v>31</v>
      </c>
      <c r="H507" s="29">
        <v>1001</v>
      </c>
      <c r="I507" s="4">
        <f>[1]森美拉!$J32</f>
        <v>1132</v>
      </c>
      <c r="L507" s="30">
        <v>800</v>
      </c>
      <c r="M507" s="4">
        <f>[1]森美拉!E32</f>
        <v>150</v>
      </c>
      <c r="N507" s="4">
        <f>[1]森美拉!F32</f>
        <v>32</v>
      </c>
      <c r="O507" s="4">
        <f>[1]森美拉!G32</f>
        <v>1320</v>
      </c>
      <c r="P507" s="4">
        <v>0</v>
      </c>
      <c r="Q507" s="4">
        <f>[1]森美拉!H32</f>
        <v>950</v>
      </c>
      <c r="R507" s="4">
        <v>2.5</v>
      </c>
      <c r="S507" s="4">
        <f>[1]森美拉!I32</f>
        <v>35</v>
      </c>
      <c r="T507" s="4">
        <v>0</v>
      </c>
      <c r="U507" s="4">
        <v>0</v>
      </c>
      <c r="V507" s="4">
        <v>0</v>
      </c>
    </row>
    <row r="508" spans="1:22" x14ac:dyDescent="0.15">
      <c r="A508" s="4" t="s">
        <v>2662</v>
      </c>
      <c r="D508" s="4">
        <v>31</v>
      </c>
      <c r="E508" s="4">
        <v>32</v>
      </c>
      <c r="H508" s="29">
        <v>1001</v>
      </c>
      <c r="I508" s="4">
        <f>[1]森美拉!$J33</f>
        <v>1160</v>
      </c>
      <c r="L508" s="30">
        <v>800</v>
      </c>
      <c r="M508" s="4">
        <f>[1]森美拉!E33</f>
        <v>154</v>
      </c>
      <c r="N508" s="4">
        <f>[1]森美拉!F33</f>
        <v>33</v>
      </c>
      <c r="O508" s="4">
        <f>[1]森美拉!G33</f>
        <v>1344</v>
      </c>
      <c r="P508" s="4">
        <v>0</v>
      </c>
      <c r="Q508" s="4">
        <f>[1]森美拉!H33</f>
        <v>955</v>
      </c>
      <c r="R508" s="4">
        <v>2.5</v>
      </c>
      <c r="S508" s="4">
        <f>[1]森美拉!I33</f>
        <v>36</v>
      </c>
      <c r="T508" s="4">
        <v>0</v>
      </c>
      <c r="U508" s="4">
        <v>0</v>
      </c>
      <c r="V508" s="4">
        <v>0</v>
      </c>
    </row>
    <row r="509" spans="1:22" x14ac:dyDescent="0.15">
      <c r="A509" s="4" t="s">
        <v>2662</v>
      </c>
      <c r="D509" s="4">
        <v>31</v>
      </c>
      <c r="E509" s="4">
        <v>33</v>
      </c>
      <c r="H509" s="29">
        <v>1001</v>
      </c>
      <c r="I509" s="4">
        <f>[1]森美拉!$J34</f>
        <v>1188</v>
      </c>
      <c r="L509" s="30">
        <v>800</v>
      </c>
      <c r="M509" s="4">
        <f>[1]森美拉!E34</f>
        <v>158</v>
      </c>
      <c r="N509" s="4">
        <f>[1]森美拉!F34</f>
        <v>34</v>
      </c>
      <c r="O509" s="4">
        <f>[1]森美拉!G34</f>
        <v>1368</v>
      </c>
      <c r="P509" s="4">
        <v>0</v>
      </c>
      <c r="Q509" s="4">
        <f>[1]森美拉!H34</f>
        <v>960</v>
      </c>
      <c r="R509" s="4">
        <v>2.5</v>
      </c>
      <c r="S509" s="4">
        <f>[1]森美拉!I34</f>
        <v>37</v>
      </c>
      <c r="T509" s="4">
        <v>0</v>
      </c>
      <c r="U509" s="4">
        <v>0</v>
      </c>
      <c r="V509" s="4">
        <v>0</v>
      </c>
    </row>
    <row r="510" spans="1:22" x14ac:dyDescent="0.15">
      <c r="A510" s="4" t="s">
        <v>2662</v>
      </c>
      <c r="D510" s="4">
        <v>31</v>
      </c>
      <c r="E510" s="4">
        <v>34</v>
      </c>
      <c r="H510" s="29">
        <v>1001</v>
      </c>
      <c r="I510" s="4">
        <f>[1]森美拉!$J35</f>
        <v>1216</v>
      </c>
      <c r="L510" s="30">
        <v>800</v>
      </c>
      <c r="M510" s="4">
        <f>[1]森美拉!E35</f>
        <v>162</v>
      </c>
      <c r="N510" s="4">
        <f>[1]森美拉!F35</f>
        <v>35</v>
      </c>
      <c r="O510" s="4">
        <f>[1]森美拉!G35</f>
        <v>1392</v>
      </c>
      <c r="P510" s="4">
        <v>0</v>
      </c>
      <c r="Q510" s="4">
        <f>[1]森美拉!H35</f>
        <v>965</v>
      </c>
      <c r="R510" s="4">
        <v>2.5</v>
      </c>
      <c r="S510" s="4">
        <f>[1]森美拉!I35</f>
        <v>38</v>
      </c>
      <c r="T510" s="4">
        <v>0</v>
      </c>
      <c r="U510" s="4">
        <v>0</v>
      </c>
      <c r="V510" s="4">
        <v>0</v>
      </c>
    </row>
    <row r="511" spans="1:22" x14ac:dyDescent="0.15">
      <c r="A511" s="4" t="s">
        <v>2662</v>
      </c>
      <c r="D511" s="4">
        <v>31</v>
      </c>
      <c r="E511" s="4">
        <v>35</v>
      </c>
      <c r="H511" s="29">
        <v>1001</v>
      </c>
      <c r="I511" s="4">
        <f>[1]森美拉!$J36</f>
        <v>1244</v>
      </c>
      <c r="L511" s="30">
        <v>800</v>
      </c>
      <c r="M511" s="4">
        <f>[1]森美拉!E36</f>
        <v>166</v>
      </c>
      <c r="N511" s="4">
        <f>[1]森美拉!F36</f>
        <v>36</v>
      </c>
      <c r="O511" s="4">
        <f>[1]森美拉!G36</f>
        <v>1416</v>
      </c>
      <c r="P511" s="4">
        <v>0</v>
      </c>
      <c r="Q511" s="4">
        <f>[1]森美拉!H36</f>
        <v>970</v>
      </c>
      <c r="R511" s="4">
        <v>2.5</v>
      </c>
      <c r="S511" s="4">
        <f>[1]森美拉!I36</f>
        <v>39</v>
      </c>
      <c r="T511" s="4">
        <v>0</v>
      </c>
      <c r="U511" s="4">
        <v>0</v>
      </c>
      <c r="V511" s="4">
        <v>0</v>
      </c>
    </row>
    <row r="512" spans="1:22" x14ac:dyDescent="0.15">
      <c r="A512" s="4" t="s">
        <v>2662</v>
      </c>
      <c r="D512" s="4">
        <v>31</v>
      </c>
      <c r="E512" s="4">
        <v>36</v>
      </c>
      <c r="H512" s="29">
        <v>1001</v>
      </c>
      <c r="I512" s="4">
        <f>[1]森美拉!$J37</f>
        <v>1272</v>
      </c>
      <c r="L512" s="30">
        <v>800</v>
      </c>
      <c r="M512" s="4">
        <f>[1]森美拉!E37</f>
        <v>170</v>
      </c>
      <c r="N512" s="4">
        <f>[1]森美拉!F37</f>
        <v>37</v>
      </c>
      <c r="O512" s="4">
        <f>[1]森美拉!G37</f>
        <v>1440</v>
      </c>
      <c r="P512" s="4">
        <v>0</v>
      </c>
      <c r="Q512" s="4">
        <f>[1]森美拉!H37</f>
        <v>975</v>
      </c>
      <c r="R512" s="4">
        <v>2.5</v>
      </c>
      <c r="S512" s="4">
        <f>[1]森美拉!I37</f>
        <v>40</v>
      </c>
      <c r="T512" s="4">
        <v>0</v>
      </c>
      <c r="U512" s="4">
        <v>0</v>
      </c>
      <c r="V512" s="4">
        <v>0</v>
      </c>
    </row>
    <row r="513" spans="1:22" x14ac:dyDescent="0.15">
      <c r="A513" s="4" t="s">
        <v>2662</v>
      </c>
      <c r="D513" s="4">
        <v>31</v>
      </c>
      <c r="E513" s="4">
        <v>37</v>
      </c>
      <c r="H513" s="29">
        <v>1001</v>
      </c>
      <c r="I513" s="4">
        <f>[1]森美拉!$J38</f>
        <v>1299</v>
      </c>
      <c r="L513" s="30">
        <v>800</v>
      </c>
      <c r="M513" s="4">
        <f>[1]森美拉!E38</f>
        <v>174</v>
      </c>
      <c r="N513" s="4">
        <f>[1]森美拉!F38</f>
        <v>38</v>
      </c>
      <c r="O513" s="4">
        <f>[1]森美拉!G38</f>
        <v>1464</v>
      </c>
      <c r="P513" s="4">
        <v>0</v>
      </c>
      <c r="Q513" s="4">
        <f>[1]森美拉!H38</f>
        <v>980</v>
      </c>
      <c r="R513" s="4">
        <v>2.5</v>
      </c>
      <c r="S513" s="4">
        <f>[1]森美拉!I38</f>
        <v>41</v>
      </c>
      <c r="T513" s="4">
        <v>0</v>
      </c>
      <c r="U513" s="4">
        <v>0</v>
      </c>
      <c r="V513" s="4">
        <v>0</v>
      </c>
    </row>
    <row r="514" spans="1:22" x14ac:dyDescent="0.15">
      <c r="A514" s="4" t="s">
        <v>2662</v>
      </c>
      <c r="D514" s="4">
        <v>31</v>
      </c>
      <c r="E514" s="4">
        <v>38</v>
      </c>
      <c r="H514" s="29">
        <v>1001</v>
      </c>
      <c r="I514" s="4">
        <f>[1]森美拉!$J39</f>
        <v>1327</v>
      </c>
      <c r="L514" s="30">
        <v>800</v>
      </c>
      <c r="M514" s="4">
        <f>[1]森美拉!E39</f>
        <v>178</v>
      </c>
      <c r="N514" s="4">
        <f>[1]森美拉!F39</f>
        <v>39</v>
      </c>
      <c r="O514" s="4">
        <f>[1]森美拉!G39</f>
        <v>1488</v>
      </c>
      <c r="P514" s="4">
        <v>0</v>
      </c>
      <c r="Q514" s="4">
        <f>[1]森美拉!H39</f>
        <v>985</v>
      </c>
      <c r="R514" s="4">
        <v>2.5</v>
      </c>
      <c r="S514" s="4">
        <f>[1]森美拉!I39</f>
        <v>42</v>
      </c>
      <c r="T514" s="4">
        <v>0</v>
      </c>
      <c r="U514" s="4">
        <v>0</v>
      </c>
      <c r="V514" s="4">
        <v>0</v>
      </c>
    </row>
    <row r="515" spans="1:22" x14ac:dyDescent="0.15">
      <c r="A515" s="4" t="s">
        <v>2662</v>
      </c>
      <c r="D515" s="4">
        <v>31</v>
      </c>
      <c r="E515" s="4">
        <v>39</v>
      </c>
      <c r="H515" s="29">
        <v>1001</v>
      </c>
      <c r="I515" s="4">
        <f>[1]森美拉!$J40</f>
        <v>1355</v>
      </c>
      <c r="L515" s="30">
        <v>800</v>
      </c>
      <c r="M515" s="4">
        <f>[1]森美拉!E40</f>
        <v>182</v>
      </c>
      <c r="N515" s="4">
        <f>[1]森美拉!F40</f>
        <v>40</v>
      </c>
      <c r="O515" s="4">
        <f>[1]森美拉!G40</f>
        <v>1512</v>
      </c>
      <c r="P515" s="4">
        <v>0</v>
      </c>
      <c r="Q515" s="4">
        <f>[1]森美拉!H40</f>
        <v>990</v>
      </c>
      <c r="R515" s="4">
        <v>2.5</v>
      </c>
      <c r="S515" s="4">
        <f>[1]森美拉!I40</f>
        <v>43</v>
      </c>
      <c r="T515" s="4">
        <v>0</v>
      </c>
      <c r="U515" s="4">
        <v>0</v>
      </c>
      <c r="V515" s="4">
        <v>0</v>
      </c>
    </row>
    <row r="516" spans="1:22" x14ac:dyDescent="0.15">
      <c r="A516" s="4" t="s">
        <v>2662</v>
      </c>
      <c r="D516" s="4">
        <v>31</v>
      </c>
      <c r="E516" s="4">
        <v>40</v>
      </c>
      <c r="H516" s="29">
        <v>1001</v>
      </c>
      <c r="I516" s="4">
        <f>[1]森美拉!$J41</f>
        <v>1383</v>
      </c>
      <c r="L516" s="30">
        <v>800</v>
      </c>
      <c r="M516" s="4">
        <f>[1]森美拉!E41</f>
        <v>186</v>
      </c>
      <c r="N516" s="4">
        <f>[1]森美拉!F41</f>
        <v>41</v>
      </c>
      <c r="O516" s="4">
        <f>[1]森美拉!G41</f>
        <v>1536</v>
      </c>
      <c r="P516" s="4">
        <v>0</v>
      </c>
      <c r="Q516" s="4">
        <f>[1]森美拉!H41</f>
        <v>995</v>
      </c>
      <c r="R516" s="4">
        <v>2.5</v>
      </c>
      <c r="S516" s="4">
        <f>[1]森美拉!I41</f>
        <v>44</v>
      </c>
      <c r="T516" s="4">
        <v>0</v>
      </c>
      <c r="U516" s="4">
        <v>0</v>
      </c>
      <c r="V516" s="4">
        <v>0</v>
      </c>
    </row>
    <row r="517" spans="1:22" x14ac:dyDescent="0.15">
      <c r="A517" s="4" t="s">
        <v>2662</v>
      </c>
      <c r="D517" s="4">
        <v>31</v>
      </c>
      <c r="E517" s="4">
        <v>41</v>
      </c>
      <c r="H517" s="29">
        <v>1001</v>
      </c>
      <c r="I517" s="4">
        <f>[1]森美拉!$J42</f>
        <v>1411</v>
      </c>
      <c r="L517" s="30">
        <v>800</v>
      </c>
      <c r="M517" s="4">
        <f>[1]森美拉!E42</f>
        <v>190</v>
      </c>
      <c r="N517" s="4">
        <f>[1]森美拉!F42</f>
        <v>42</v>
      </c>
      <c r="O517" s="4">
        <f>[1]森美拉!G42</f>
        <v>1560</v>
      </c>
      <c r="P517" s="4">
        <v>0</v>
      </c>
      <c r="Q517" s="4">
        <f>[1]森美拉!H42</f>
        <v>1000</v>
      </c>
      <c r="R517" s="4">
        <v>2.5</v>
      </c>
      <c r="S517" s="4">
        <f>[1]森美拉!I42</f>
        <v>45</v>
      </c>
      <c r="T517" s="4">
        <v>0</v>
      </c>
      <c r="U517" s="4">
        <v>0</v>
      </c>
      <c r="V517" s="4">
        <v>0</v>
      </c>
    </row>
    <row r="518" spans="1:22" x14ac:dyDescent="0.15">
      <c r="A518" s="4" t="s">
        <v>2662</v>
      </c>
      <c r="D518" s="4">
        <v>31</v>
      </c>
      <c r="E518" s="4">
        <v>42</v>
      </c>
      <c r="H518" s="29">
        <v>1001</v>
      </c>
      <c r="I518" s="4">
        <f>[1]森美拉!$J43</f>
        <v>1439</v>
      </c>
      <c r="L518" s="30">
        <v>800</v>
      </c>
      <c r="M518" s="4">
        <f>[1]森美拉!E43</f>
        <v>194</v>
      </c>
      <c r="N518" s="4">
        <f>[1]森美拉!F43</f>
        <v>43</v>
      </c>
      <c r="O518" s="4">
        <f>[1]森美拉!G43</f>
        <v>1584</v>
      </c>
      <c r="P518" s="4">
        <v>0</v>
      </c>
      <c r="Q518" s="4">
        <f>[1]森美拉!H43</f>
        <v>1005</v>
      </c>
      <c r="R518" s="4">
        <v>2.5</v>
      </c>
      <c r="S518" s="4">
        <f>[1]森美拉!I43</f>
        <v>46</v>
      </c>
      <c r="T518" s="4">
        <v>0</v>
      </c>
      <c r="U518" s="4">
        <v>0</v>
      </c>
      <c r="V518" s="4">
        <v>0</v>
      </c>
    </row>
    <row r="519" spans="1:22" x14ac:dyDescent="0.15">
      <c r="A519" s="4" t="s">
        <v>2662</v>
      </c>
      <c r="D519" s="4">
        <v>31</v>
      </c>
      <c r="E519" s="4">
        <v>43</v>
      </c>
      <c r="H519" s="29">
        <v>1001</v>
      </c>
      <c r="I519" s="4">
        <f>[1]森美拉!$J44</f>
        <v>1467</v>
      </c>
      <c r="L519" s="30">
        <v>800</v>
      </c>
      <c r="M519" s="4">
        <f>[1]森美拉!E44</f>
        <v>198</v>
      </c>
      <c r="N519" s="4">
        <f>[1]森美拉!F44</f>
        <v>44</v>
      </c>
      <c r="O519" s="4">
        <f>[1]森美拉!G44</f>
        <v>1608</v>
      </c>
      <c r="P519" s="4">
        <v>0</v>
      </c>
      <c r="Q519" s="4">
        <f>[1]森美拉!H44</f>
        <v>1010</v>
      </c>
      <c r="R519" s="4">
        <v>2.5</v>
      </c>
      <c r="S519" s="4">
        <f>[1]森美拉!I44</f>
        <v>47</v>
      </c>
      <c r="T519" s="4">
        <v>0</v>
      </c>
      <c r="U519" s="4">
        <v>0</v>
      </c>
      <c r="V519" s="4">
        <v>0</v>
      </c>
    </row>
    <row r="520" spans="1:22" x14ac:dyDescent="0.15">
      <c r="A520" s="4" t="s">
        <v>2662</v>
      </c>
      <c r="D520" s="4">
        <v>31</v>
      </c>
      <c r="E520" s="4">
        <v>44</v>
      </c>
      <c r="H520" s="29">
        <v>1001</v>
      </c>
      <c r="I520" s="4">
        <f>[1]森美拉!$J45</f>
        <v>1495</v>
      </c>
      <c r="L520" s="30">
        <v>800</v>
      </c>
      <c r="M520" s="4">
        <f>[1]森美拉!E45</f>
        <v>202</v>
      </c>
      <c r="N520" s="4">
        <f>[1]森美拉!F45</f>
        <v>45</v>
      </c>
      <c r="O520" s="4">
        <f>[1]森美拉!G45</f>
        <v>1632</v>
      </c>
      <c r="P520" s="4">
        <v>0</v>
      </c>
      <c r="Q520" s="4">
        <f>[1]森美拉!H45</f>
        <v>1015</v>
      </c>
      <c r="R520" s="4">
        <v>2.5</v>
      </c>
      <c r="S520" s="4">
        <f>[1]森美拉!I45</f>
        <v>48</v>
      </c>
      <c r="T520" s="4">
        <v>0</v>
      </c>
      <c r="U520" s="4">
        <v>0</v>
      </c>
      <c r="V520" s="4">
        <v>0</v>
      </c>
    </row>
    <row r="521" spans="1:22" x14ac:dyDescent="0.15">
      <c r="A521" s="4" t="s">
        <v>2662</v>
      </c>
      <c r="D521" s="4">
        <v>31</v>
      </c>
      <c r="E521" s="4">
        <v>45</v>
      </c>
      <c r="H521" s="29">
        <v>1001</v>
      </c>
      <c r="I521" s="4">
        <f>[1]森美拉!$J46</f>
        <v>1523</v>
      </c>
      <c r="L521" s="30">
        <v>800</v>
      </c>
      <c r="M521" s="4">
        <f>[1]森美拉!E46</f>
        <v>206</v>
      </c>
      <c r="N521" s="4">
        <f>[1]森美拉!F46</f>
        <v>46</v>
      </c>
      <c r="O521" s="4">
        <f>[1]森美拉!G46</f>
        <v>1656</v>
      </c>
      <c r="P521" s="4">
        <v>0</v>
      </c>
      <c r="Q521" s="4">
        <f>[1]森美拉!H46</f>
        <v>1020</v>
      </c>
      <c r="R521" s="4">
        <v>2.5</v>
      </c>
      <c r="S521" s="4">
        <f>[1]森美拉!I46</f>
        <v>49</v>
      </c>
      <c r="T521" s="4">
        <v>0</v>
      </c>
      <c r="U521" s="4">
        <v>0</v>
      </c>
      <c r="V521" s="4">
        <v>0</v>
      </c>
    </row>
    <row r="522" spans="1:22" x14ac:dyDescent="0.15">
      <c r="A522" s="4" t="s">
        <v>2662</v>
      </c>
      <c r="D522" s="4">
        <v>31</v>
      </c>
      <c r="E522" s="4">
        <v>46</v>
      </c>
      <c r="H522" s="29">
        <v>1001</v>
      </c>
      <c r="I522" s="4">
        <f>[1]森美拉!$J47</f>
        <v>1551</v>
      </c>
      <c r="L522" s="30">
        <v>800</v>
      </c>
      <c r="M522" s="4">
        <f>[1]森美拉!E47</f>
        <v>210</v>
      </c>
      <c r="N522" s="4">
        <f>[1]森美拉!F47</f>
        <v>47</v>
      </c>
      <c r="O522" s="4">
        <f>[1]森美拉!G47</f>
        <v>1680</v>
      </c>
      <c r="P522" s="4">
        <v>0</v>
      </c>
      <c r="Q522" s="4">
        <f>[1]森美拉!H47</f>
        <v>1025</v>
      </c>
      <c r="R522" s="4">
        <v>2.5</v>
      </c>
      <c r="S522" s="4">
        <f>[1]森美拉!I47</f>
        <v>50</v>
      </c>
      <c r="T522" s="4">
        <v>0</v>
      </c>
      <c r="U522" s="4">
        <v>0</v>
      </c>
      <c r="V522" s="4">
        <v>0</v>
      </c>
    </row>
    <row r="523" spans="1:22" x14ac:dyDescent="0.15">
      <c r="A523" s="4" t="s">
        <v>2662</v>
      </c>
      <c r="D523" s="4">
        <v>31</v>
      </c>
      <c r="E523" s="4">
        <v>47</v>
      </c>
      <c r="H523" s="29">
        <v>1001</v>
      </c>
      <c r="I523" s="4">
        <f>[1]森美拉!$J48</f>
        <v>1578</v>
      </c>
      <c r="L523" s="30">
        <v>800</v>
      </c>
      <c r="M523" s="4">
        <f>[1]森美拉!E48</f>
        <v>214</v>
      </c>
      <c r="N523" s="4">
        <f>[1]森美拉!F48</f>
        <v>48</v>
      </c>
      <c r="O523" s="4">
        <f>[1]森美拉!G48</f>
        <v>1704</v>
      </c>
      <c r="P523" s="4">
        <v>0</v>
      </c>
      <c r="Q523" s="4">
        <f>[1]森美拉!H48</f>
        <v>1030</v>
      </c>
      <c r="R523" s="4">
        <v>2.5</v>
      </c>
      <c r="S523" s="4">
        <f>[1]森美拉!I48</f>
        <v>51</v>
      </c>
      <c r="T523" s="4">
        <v>0</v>
      </c>
      <c r="U523" s="4">
        <v>0</v>
      </c>
      <c r="V523" s="4">
        <v>0</v>
      </c>
    </row>
    <row r="524" spans="1:22" x14ac:dyDescent="0.15">
      <c r="A524" s="4" t="s">
        <v>2662</v>
      </c>
      <c r="D524" s="4">
        <v>31</v>
      </c>
      <c r="E524" s="4">
        <v>48</v>
      </c>
      <c r="H524" s="29">
        <v>1001</v>
      </c>
      <c r="I524" s="4">
        <f>[1]森美拉!$J49</f>
        <v>1606</v>
      </c>
      <c r="L524" s="30">
        <v>800</v>
      </c>
      <c r="M524" s="4">
        <f>[1]森美拉!E49</f>
        <v>218</v>
      </c>
      <c r="N524" s="4">
        <f>[1]森美拉!F49</f>
        <v>49</v>
      </c>
      <c r="O524" s="4">
        <f>[1]森美拉!G49</f>
        <v>1728</v>
      </c>
      <c r="P524" s="4">
        <v>0</v>
      </c>
      <c r="Q524" s="4">
        <f>[1]森美拉!H49</f>
        <v>1035</v>
      </c>
      <c r="R524" s="4">
        <v>2.5</v>
      </c>
      <c r="S524" s="4">
        <f>[1]森美拉!I49</f>
        <v>52</v>
      </c>
      <c r="T524" s="4">
        <v>0</v>
      </c>
      <c r="U524" s="4">
        <v>0</v>
      </c>
      <c r="V524" s="4">
        <v>0</v>
      </c>
    </row>
    <row r="525" spans="1:22" x14ac:dyDescent="0.15">
      <c r="A525" s="4" t="s">
        <v>2662</v>
      </c>
      <c r="D525" s="4">
        <v>31</v>
      </c>
      <c r="E525" s="4">
        <v>49</v>
      </c>
      <c r="H525" s="29">
        <v>1001</v>
      </c>
      <c r="I525" s="4">
        <f>[1]森美拉!$J50</f>
        <v>1634</v>
      </c>
      <c r="L525" s="30">
        <v>800</v>
      </c>
      <c r="M525" s="4">
        <f>[1]森美拉!E50</f>
        <v>222</v>
      </c>
      <c r="N525" s="4">
        <f>[1]森美拉!F50</f>
        <v>50</v>
      </c>
      <c r="O525" s="4">
        <f>[1]森美拉!G50</f>
        <v>1752</v>
      </c>
      <c r="P525" s="4">
        <v>0</v>
      </c>
      <c r="Q525" s="4">
        <f>[1]森美拉!H50</f>
        <v>1040</v>
      </c>
      <c r="R525" s="4">
        <v>2.5</v>
      </c>
      <c r="S525" s="4">
        <f>[1]森美拉!I50</f>
        <v>53</v>
      </c>
      <c r="T525" s="4">
        <v>0</v>
      </c>
      <c r="U525" s="4">
        <v>0</v>
      </c>
      <c r="V525" s="4">
        <v>0</v>
      </c>
    </row>
    <row r="526" spans="1:22" x14ac:dyDescent="0.15">
      <c r="A526" s="4" t="s">
        <v>2662</v>
      </c>
      <c r="D526" s="4">
        <v>31</v>
      </c>
      <c r="E526" s="4">
        <v>50</v>
      </c>
      <c r="H526" s="29">
        <v>1001</v>
      </c>
      <c r="I526" s="4">
        <f>[1]森美拉!$J51</f>
        <v>1662</v>
      </c>
      <c r="L526" s="30">
        <v>800</v>
      </c>
      <c r="M526" s="4">
        <f>[1]森美拉!E51</f>
        <v>226</v>
      </c>
      <c r="N526" s="4">
        <f>[1]森美拉!F51</f>
        <v>51</v>
      </c>
      <c r="O526" s="4">
        <f>[1]森美拉!G51</f>
        <v>1776</v>
      </c>
      <c r="P526" s="4">
        <v>0</v>
      </c>
      <c r="Q526" s="4">
        <f>[1]森美拉!H51</f>
        <v>1045</v>
      </c>
      <c r="R526" s="4">
        <v>2.5</v>
      </c>
      <c r="S526" s="4">
        <f>[1]森美拉!I51</f>
        <v>54</v>
      </c>
      <c r="T526" s="4">
        <v>0</v>
      </c>
      <c r="U526" s="4">
        <v>0</v>
      </c>
      <c r="V526" s="4">
        <v>0</v>
      </c>
    </row>
    <row r="527" spans="1:22" x14ac:dyDescent="0.15">
      <c r="I527" s="4"/>
    </row>
    <row r="528" spans="1:22" x14ac:dyDescent="0.15">
      <c r="A528" s="4" t="s">
        <v>2662</v>
      </c>
      <c r="C528" s="4" t="s">
        <v>3086</v>
      </c>
      <c r="D528" s="4">
        <f>D476+1</f>
        <v>32</v>
      </c>
      <c r="E528" s="4">
        <v>0</v>
      </c>
      <c r="H528" s="29">
        <v>2001</v>
      </c>
      <c r="I528" s="31">
        <v>1</v>
      </c>
      <c r="L528" s="30">
        <v>109</v>
      </c>
      <c r="M528" s="4">
        <v>0</v>
      </c>
      <c r="N528" s="4">
        <v>0</v>
      </c>
      <c r="O528" s="4">
        <v>0</v>
      </c>
      <c r="P528" s="4">
        <v>0</v>
      </c>
      <c r="Q528" s="4">
        <v>0</v>
      </c>
      <c r="R528" s="4">
        <v>0</v>
      </c>
      <c r="S528" s="4">
        <v>0</v>
      </c>
      <c r="T528" s="4">
        <v>0</v>
      </c>
      <c r="U528" s="4">
        <v>0</v>
      </c>
      <c r="V528" s="4">
        <v>0</v>
      </c>
    </row>
    <row r="529" spans="1:22" x14ac:dyDescent="0.15">
      <c r="A529" s="4" t="s">
        <v>2662</v>
      </c>
      <c r="D529" s="4">
        <f t="shared" ref="D529:D578" si="6">D477+1</f>
        <v>32</v>
      </c>
      <c r="E529" s="4">
        <v>1</v>
      </c>
      <c r="H529" s="29">
        <v>1001</v>
      </c>
      <c r="I529" s="4">
        <f>[1]森美拉!$S2</f>
        <v>1194</v>
      </c>
      <c r="L529" s="30">
        <v>800</v>
      </c>
      <c r="M529" s="4">
        <f>[1]森美拉!N2</f>
        <v>144</v>
      </c>
      <c r="N529" s="4">
        <f>[1]森美拉!O2</f>
        <v>5</v>
      </c>
      <c r="O529" s="4">
        <f>[1]森美拉!P2</f>
        <v>2112</v>
      </c>
      <c r="P529" s="4">
        <v>0</v>
      </c>
      <c r="Q529" s="4">
        <f>[1]森美拉!Q2</f>
        <v>1568</v>
      </c>
      <c r="R529" s="4">
        <v>2.5</v>
      </c>
      <c r="S529" s="4">
        <f>[1]森美拉!R2</f>
        <v>10</v>
      </c>
      <c r="T529" s="4">
        <v>0</v>
      </c>
      <c r="U529" s="4">
        <v>0</v>
      </c>
      <c r="V529" s="4">
        <v>0</v>
      </c>
    </row>
    <row r="530" spans="1:22" x14ac:dyDescent="0.15">
      <c r="A530" s="4" t="s">
        <v>2662</v>
      </c>
      <c r="D530" s="4">
        <f t="shared" si="6"/>
        <v>32</v>
      </c>
      <c r="E530" s="4">
        <v>2</v>
      </c>
      <c r="H530" s="29">
        <v>1001</v>
      </c>
      <c r="I530" s="4">
        <f>[1]森美拉!$S3</f>
        <v>1236</v>
      </c>
      <c r="L530" s="30">
        <v>800</v>
      </c>
      <c r="M530" s="4">
        <f>[1]森美拉!N3</f>
        <v>150</v>
      </c>
      <c r="N530" s="4">
        <f>[1]森美拉!O3</f>
        <v>6</v>
      </c>
      <c r="O530" s="4">
        <f>[1]森美拉!P3</f>
        <v>2158</v>
      </c>
      <c r="P530" s="4">
        <v>0</v>
      </c>
      <c r="Q530" s="4">
        <f>[1]森美拉!Q3</f>
        <v>1573</v>
      </c>
      <c r="R530" s="4">
        <v>2.5</v>
      </c>
      <c r="S530" s="4">
        <f>[1]森美拉!R3</f>
        <v>11</v>
      </c>
      <c r="T530" s="4">
        <v>0</v>
      </c>
      <c r="U530" s="4">
        <v>0</v>
      </c>
      <c r="V530" s="4">
        <v>0</v>
      </c>
    </row>
    <row r="531" spans="1:22" x14ac:dyDescent="0.15">
      <c r="A531" s="4" t="s">
        <v>2662</v>
      </c>
      <c r="D531" s="4">
        <f t="shared" si="6"/>
        <v>32</v>
      </c>
      <c r="E531" s="4">
        <v>3</v>
      </c>
      <c r="H531" s="29">
        <v>1001</v>
      </c>
      <c r="I531" s="4">
        <f>[1]森美拉!$S4</f>
        <v>1278</v>
      </c>
      <c r="L531" s="30">
        <v>800</v>
      </c>
      <c r="M531" s="4">
        <f>[1]森美拉!N4</f>
        <v>156</v>
      </c>
      <c r="N531" s="4">
        <f>[1]森美拉!O4</f>
        <v>7</v>
      </c>
      <c r="O531" s="4">
        <f>[1]森美拉!P4</f>
        <v>2204</v>
      </c>
      <c r="P531" s="4">
        <v>0</v>
      </c>
      <c r="Q531" s="4">
        <f>[1]森美拉!Q4</f>
        <v>1578</v>
      </c>
      <c r="R531" s="4">
        <v>2.5</v>
      </c>
      <c r="S531" s="4">
        <f>[1]森美拉!R4</f>
        <v>12</v>
      </c>
      <c r="T531" s="4">
        <v>0</v>
      </c>
      <c r="U531" s="4">
        <v>0</v>
      </c>
      <c r="V531" s="4">
        <v>0</v>
      </c>
    </row>
    <row r="532" spans="1:22" x14ac:dyDescent="0.15">
      <c r="A532" s="4" t="s">
        <v>2662</v>
      </c>
      <c r="D532" s="4">
        <f t="shared" si="6"/>
        <v>32</v>
      </c>
      <c r="E532" s="4">
        <v>4</v>
      </c>
      <c r="H532" s="29">
        <v>1001</v>
      </c>
      <c r="I532" s="4">
        <f>[1]森美拉!$S5</f>
        <v>1321</v>
      </c>
      <c r="L532" s="30">
        <v>800</v>
      </c>
      <c r="M532" s="4">
        <f>[1]森美拉!N5</f>
        <v>162</v>
      </c>
      <c r="N532" s="4">
        <f>[1]森美拉!O5</f>
        <v>8</v>
      </c>
      <c r="O532" s="4">
        <f>[1]森美拉!P5</f>
        <v>2250</v>
      </c>
      <c r="P532" s="4">
        <v>0</v>
      </c>
      <c r="Q532" s="4">
        <f>[1]森美拉!Q5</f>
        <v>1583</v>
      </c>
      <c r="R532" s="4">
        <v>2.5</v>
      </c>
      <c r="S532" s="4">
        <f>[1]森美拉!R5</f>
        <v>13</v>
      </c>
      <c r="T532" s="4">
        <v>0</v>
      </c>
      <c r="U532" s="4">
        <v>0</v>
      </c>
      <c r="V532" s="4">
        <v>0</v>
      </c>
    </row>
    <row r="533" spans="1:22" x14ac:dyDescent="0.15">
      <c r="A533" s="4" t="s">
        <v>2662</v>
      </c>
      <c r="D533" s="4">
        <f t="shared" si="6"/>
        <v>32</v>
      </c>
      <c r="E533" s="4">
        <v>5</v>
      </c>
      <c r="H533" s="29">
        <v>1001</v>
      </c>
      <c r="I533" s="4">
        <f>[1]森美拉!$S6</f>
        <v>1363</v>
      </c>
      <c r="L533" s="30">
        <v>800</v>
      </c>
      <c r="M533" s="4">
        <f>[1]森美拉!N6</f>
        <v>168</v>
      </c>
      <c r="N533" s="4">
        <f>[1]森美拉!O6</f>
        <v>9</v>
      </c>
      <c r="O533" s="4">
        <f>[1]森美拉!P6</f>
        <v>2296</v>
      </c>
      <c r="P533" s="4">
        <v>0</v>
      </c>
      <c r="Q533" s="4">
        <f>[1]森美拉!Q6</f>
        <v>1588</v>
      </c>
      <c r="R533" s="4">
        <v>2.5</v>
      </c>
      <c r="S533" s="4">
        <f>[1]森美拉!R6</f>
        <v>14</v>
      </c>
      <c r="T533" s="4">
        <v>0</v>
      </c>
      <c r="U533" s="4">
        <v>0</v>
      </c>
      <c r="V533" s="4">
        <v>0</v>
      </c>
    </row>
    <row r="534" spans="1:22" x14ac:dyDescent="0.15">
      <c r="A534" s="4" t="s">
        <v>2662</v>
      </c>
      <c r="D534" s="4">
        <f t="shared" si="6"/>
        <v>32</v>
      </c>
      <c r="E534" s="4">
        <v>6</v>
      </c>
      <c r="H534" s="29">
        <v>1001</v>
      </c>
      <c r="I534" s="4">
        <f>[1]森美拉!$S7</f>
        <v>1405</v>
      </c>
      <c r="L534" s="30">
        <v>800</v>
      </c>
      <c r="M534" s="4">
        <f>[1]森美拉!N7</f>
        <v>174</v>
      </c>
      <c r="N534" s="4">
        <f>[1]森美拉!O7</f>
        <v>10</v>
      </c>
      <c r="O534" s="4">
        <f>[1]森美拉!P7</f>
        <v>2342</v>
      </c>
      <c r="P534" s="4">
        <v>0</v>
      </c>
      <c r="Q534" s="4">
        <f>[1]森美拉!Q7</f>
        <v>1593</v>
      </c>
      <c r="R534" s="4">
        <v>2.5</v>
      </c>
      <c r="S534" s="4">
        <f>[1]森美拉!R7</f>
        <v>15</v>
      </c>
      <c r="T534" s="4">
        <v>0</v>
      </c>
      <c r="U534" s="4">
        <v>0</v>
      </c>
      <c r="V534" s="4">
        <v>0</v>
      </c>
    </row>
    <row r="535" spans="1:22" x14ac:dyDescent="0.15">
      <c r="A535" s="4" t="s">
        <v>2662</v>
      </c>
      <c r="D535" s="4">
        <f t="shared" si="6"/>
        <v>32</v>
      </c>
      <c r="E535" s="4">
        <v>7</v>
      </c>
      <c r="H535" s="29">
        <v>1001</v>
      </c>
      <c r="I535" s="4">
        <f>[1]森美拉!$S8</f>
        <v>1448</v>
      </c>
      <c r="L535" s="30">
        <v>800</v>
      </c>
      <c r="M535" s="4">
        <f>[1]森美拉!N8</f>
        <v>180</v>
      </c>
      <c r="N535" s="4">
        <f>[1]森美拉!O8</f>
        <v>11</v>
      </c>
      <c r="O535" s="4">
        <f>[1]森美拉!P8</f>
        <v>2388</v>
      </c>
      <c r="P535" s="4">
        <v>0</v>
      </c>
      <c r="Q535" s="4">
        <f>[1]森美拉!Q8</f>
        <v>1598</v>
      </c>
      <c r="R535" s="4">
        <v>2.5</v>
      </c>
      <c r="S535" s="4">
        <f>[1]森美拉!R8</f>
        <v>16</v>
      </c>
      <c r="T535" s="4">
        <v>0</v>
      </c>
      <c r="U535" s="4">
        <v>0</v>
      </c>
      <c r="V535" s="4">
        <v>0</v>
      </c>
    </row>
    <row r="536" spans="1:22" x14ac:dyDescent="0.15">
      <c r="A536" s="4" t="s">
        <v>2662</v>
      </c>
      <c r="D536" s="4">
        <f t="shared" si="6"/>
        <v>32</v>
      </c>
      <c r="E536" s="4">
        <v>8</v>
      </c>
      <c r="H536" s="29">
        <v>1001</v>
      </c>
      <c r="I536" s="4">
        <f>[1]森美拉!$S9</f>
        <v>1490</v>
      </c>
      <c r="L536" s="30">
        <v>800</v>
      </c>
      <c r="M536" s="4">
        <f>[1]森美拉!N9</f>
        <v>186</v>
      </c>
      <c r="N536" s="4">
        <f>[1]森美拉!O9</f>
        <v>12</v>
      </c>
      <c r="O536" s="4">
        <f>[1]森美拉!P9</f>
        <v>2434</v>
      </c>
      <c r="P536" s="4">
        <v>0</v>
      </c>
      <c r="Q536" s="4">
        <f>[1]森美拉!Q9</f>
        <v>1603</v>
      </c>
      <c r="R536" s="4">
        <v>2.5</v>
      </c>
      <c r="S536" s="4">
        <f>[1]森美拉!R9</f>
        <v>17</v>
      </c>
      <c r="T536" s="4">
        <v>0</v>
      </c>
      <c r="U536" s="4">
        <v>0</v>
      </c>
      <c r="V536" s="4">
        <v>0</v>
      </c>
    </row>
    <row r="537" spans="1:22" x14ac:dyDescent="0.15">
      <c r="A537" s="4" t="s">
        <v>2662</v>
      </c>
      <c r="D537" s="4">
        <f t="shared" si="6"/>
        <v>32</v>
      </c>
      <c r="E537" s="4">
        <v>9</v>
      </c>
      <c r="H537" s="29">
        <v>1001</v>
      </c>
      <c r="I537" s="4">
        <f>[1]森美拉!$S10</f>
        <v>1532</v>
      </c>
      <c r="L537" s="30">
        <v>800</v>
      </c>
      <c r="M537" s="4">
        <f>[1]森美拉!N10</f>
        <v>192</v>
      </c>
      <c r="N537" s="4">
        <f>[1]森美拉!O10</f>
        <v>13</v>
      </c>
      <c r="O537" s="4">
        <f>[1]森美拉!P10</f>
        <v>2480</v>
      </c>
      <c r="P537" s="4">
        <v>0</v>
      </c>
      <c r="Q537" s="4">
        <f>[1]森美拉!Q10</f>
        <v>1608</v>
      </c>
      <c r="R537" s="4">
        <v>2.5</v>
      </c>
      <c r="S537" s="4">
        <f>[1]森美拉!R10</f>
        <v>18</v>
      </c>
      <c r="T537" s="4">
        <v>0</v>
      </c>
      <c r="U537" s="4">
        <v>0</v>
      </c>
      <c r="V537" s="4">
        <v>0</v>
      </c>
    </row>
    <row r="538" spans="1:22" x14ac:dyDescent="0.15">
      <c r="A538" s="4" t="s">
        <v>2662</v>
      </c>
      <c r="D538" s="4">
        <f t="shared" si="6"/>
        <v>32</v>
      </c>
      <c r="E538" s="4">
        <v>10</v>
      </c>
      <c r="H538" s="29">
        <v>1001</v>
      </c>
      <c r="I538" s="4">
        <f>[1]森美拉!$S11</f>
        <v>1574</v>
      </c>
      <c r="L538" s="30">
        <v>800</v>
      </c>
      <c r="M538" s="4">
        <f>[1]森美拉!N11</f>
        <v>198</v>
      </c>
      <c r="N538" s="4">
        <f>[1]森美拉!O11</f>
        <v>14</v>
      </c>
      <c r="O538" s="4">
        <f>[1]森美拉!P11</f>
        <v>2526</v>
      </c>
      <c r="P538" s="4">
        <v>0</v>
      </c>
      <c r="Q538" s="4">
        <f>[1]森美拉!Q11</f>
        <v>1613</v>
      </c>
      <c r="R538" s="4">
        <v>2.5</v>
      </c>
      <c r="S538" s="4">
        <f>[1]森美拉!R11</f>
        <v>19</v>
      </c>
      <c r="T538" s="4">
        <v>0</v>
      </c>
      <c r="U538" s="4">
        <v>0</v>
      </c>
      <c r="V538" s="4">
        <v>0</v>
      </c>
    </row>
    <row r="539" spans="1:22" x14ac:dyDescent="0.15">
      <c r="A539" s="4" t="s">
        <v>2662</v>
      </c>
      <c r="D539" s="4">
        <f t="shared" si="6"/>
        <v>32</v>
      </c>
      <c r="E539" s="4">
        <v>11</v>
      </c>
      <c r="H539" s="29">
        <v>1001</v>
      </c>
      <c r="I539" s="4">
        <f>[1]森美拉!$S12</f>
        <v>1617</v>
      </c>
      <c r="L539" s="30">
        <v>800</v>
      </c>
      <c r="M539" s="4">
        <f>[1]森美拉!N12</f>
        <v>204</v>
      </c>
      <c r="N539" s="4">
        <f>[1]森美拉!O12</f>
        <v>15</v>
      </c>
      <c r="O539" s="4">
        <f>[1]森美拉!P12</f>
        <v>2572</v>
      </c>
      <c r="P539" s="4">
        <v>0</v>
      </c>
      <c r="Q539" s="4">
        <f>[1]森美拉!Q12</f>
        <v>1618</v>
      </c>
      <c r="R539" s="4">
        <v>2.5</v>
      </c>
      <c r="S539" s="4">
        <f>[1]森美拉!R12</f>
        <v>20</v>
      </c>
      <c r="T539" s="4">
        <v>0</v>
      </c>
      <c r="U539" s="4">
        <v>0</v>
      </c>
      <c r="V539" s="4">
        <v>0</v>
      </c>
    </row>
    <row r="540" spans="1:22" x14ac:dyDescent="0.15">
      <c r="A540" s="4" t="s">
        <v>2662</v>
      </c>
      <c r="D540" s="4">
        <f t="shared" si="6"/>
        <v>32</v>
      </c>
      <c r="E540" s="4">
        <v>12</v>
      </c>
      <c r="H540" s="29">
        <v>1001</v>
      </c>
      <c r="I540" s="4">
        <f>[1]森美拉!$S13</f>
        <v>1659</v>
      </c>
      <c r="L540" s="30">
        <v>800</v>
      </c>
      <c r="M540" s="4">
        <f>[1]森美拉!N13</f>
        <v>210</v>
      </c>
      <c r="N540" s="4">
        <f>[1]森美拉!O13</f>
        <v>16</v>
      </c>
      <c r="O540" s="4">
        <f>[1]森美拉!P13</f>
        <v>2618</v>
      </c>
      <c r="P540" s="4">
        <v>0</v>
      </c>
      <c r="Q540" s="4">
        <f>[1]森美拉!Q13</f>
        <v>1623</v>
      </c>
      <c r="R540" s="4">
        <v>2.5</v>
      </c>
      <c r="S540" s="4">
        <f>[1]森美拉!R13</f>
        <v>21</v>
      </c>
      <c r="T540" s="4">
        <v>0</v>
      </c>
      <c r="U540" s="4">
        <v>0</v>
      </c>
      <c r="V540" s="4">
        <v>0</v>
      </c>
    </row>
    <row r="541" spans="1:22" x14ac:dyDescent="0.15">
      <c r="A541" s="4" t="s">
        <v>2662</v>
      </c>
      <c r="D541" s="4">
        <f t="shared" si="6"/>
        <v>32</v>
      </c>
      <c r="E541" s="4">
        <v>13</v>
      </c>
      <c r="H541" s="29">
        <v>1001</v>
      </c>
      <c r="I541" s="4">
        <f>[1]森美拉!$S14</f>
        <v>1701</v>
      </c>
      <c r="L541" s="30">
        <v>800</v>
      </c>
      <c r="M541" s="4">
        <f>[1]森美拉!N14</f>
        <v>216</v>
      </c>
      <c r="N541" s="4">
        <f>[1]森美拉!O14</f>
        <v>17</v>
      </c>
      <c r="O541" s="4">
        <f>[1]森美拉!P14</f>
        <v>2664</v>
      </c>
      <c r="P541" s="4">
        <v>0</v>
      </c>
      <c r="Q541" s="4">
        <f>[1]森美拉!Q14</f>
        <v>1628</v>
      </c>
      <c r="R541" s="4">
        <v>2.5</v>
      </c>
      <c r="S541" s="4">
        <f>[1]森美拉!R14</f>
        <v>22</v>
      </c>
      <c r="T541" s="4">
        <v>0</v>
      </c>
      <c r="U541" s="4">
        <v>0</v>
      </c>
      <c r="V541" s="4">
        <v>0</v>
      </c>
    </row>
    <row r="542" spans="1:22" x14ac:dyDescent="0.15">
      <c r="A542" s="4" t="s">
        <v>2662</v>
      </c>
      <c r="D542" s="4">
        <f t="shared" si="6"/>
        <v>32</v>
      </c>
      <c r="E542" s="4">
        <v>14</v>
      </c>
      <c r="H542" s="29">
        <v>1001</v>
      </c>
      <c r="I542" s="4">
        <f>[1]森美拉!$S15</f>
        <v>1744</v>
      </c>
      <c r="L542" s="30">
        <v>800</v>
      </c>
      <c r="M542" s="4">
        <f>[1]森美拉!N15</f>
        <v>222</v>
      </c>
      <c r="N542" s="4">
        <f>[1]森美拉!O15</f>
        <v>18</v>
      </c>
      <c r="O542" s="4">
        <f>[1]森美拉!P15</f>
        <v>2710</v>
      </c>
      <c r="P542" s="4">
        <v>0</v>
      </c>
      <c r="Q542" s="4">
        <f>[1]森美拉!Q15</f>
        <v>1633</v>
      </c>
      <c r="R542" s="4">
        <v>2.5</v>
      </c>
      <c r="S542" s="4">
        <f>[1]森美拉!R15</f>
        <v>23</v>
      </c>
      <c r="T542" s="4">
        <v>0</v>
      </c>
      <c r="U542" s="4">
        <v>0</v>
      </c>
      <c r="V542" s="4">
        <v>0</v>
      </c>
    </row>
    <row r="543" spans="1:22" x14ac:dyDescent="0.15">
      <c r="A543" s="4" t="s">
        <v>2662</v>
      </c>
      <c r="D543" s="4">
        <f t="shared" si="6"/>
        <v>32</v>
      </c>
      <c r="E543" s="4">
        <v>15</v>
      </c>
      <c r="H543" s="29">
        <v>1001</v>
      </c>
      <c r="I543" s="4">
        <f>[1]森美拉!$S16</f>
        <v>1786</v>
      </c>
      <c r="L543" s="30">
        <v>800</v>
      </c>
      <c r="M543" s="4">
        <f>[1]森美拉!N16</f>
        <v>228</v>
      </c>
      <c r="N543" s="4">
        <f>[1]森美拉!O16</f>
        <v>19</v>
      </c>
      <c r="O543" s="4">
        <f>[1]森美拉!P16</f>
        <v>2756</v>
      </c>
      <c r="P543" s="4">
        <v>0</v>
      </c>
      <c r="Q543" s="4">
        <f>[1]森美拉!Q16</f>
        <v>1638</v>
      </c>
      <c r="R543" s="4">
        <v>2.5</v>
      </c>
      <c r="S543" s="4">
        <f>[1]森美拉!R16</f>
        <v>24</v>
      </c>
      <c r="T543" s="4">
        <v>0</v>
      </c>
      <c r="U543" s="4">
        <v>0</v>
      </c>
      <c r="V543" s="4">
        <v>0</v>
      </c>
    </row>
    <row r="544" spans="1:22" x14ac:dyDescent="0.15">
      <c r="A544" s="4" t="s">
        <v>2662</v>
      </c>
      <c r="D544" s="4">
        <f t="shared" si="6"/>
        <v>32</v>
      </c>
      <c r="E544" s="4">
        <v>16</v>
      </c>
      <c r="H544" s="29">
        <v>1001</v>
      </c>
      <c r="I544" s="4">
        <f>[1]森美拉!$S17</f>
        <v>1828</v>
      </c>
      <c r="L544" s="30">
        <v>800</v>
      </c>
      <c r="M544" s="4">
        <f>[1]森美拉!N17</f>
        <v>234</v>
      </c>
      <c r="N544" s="4">
        <f>[1]森美拉!O17</f>
        <v>20</v>
      </c>
      <c r="O544" s="4">
        <f>[1]森美拉!P17</f>
        <v>2802</v>
      </c>
      <c r="P544" s="4">
        <v>0</v>
      </c>
      <c r="Q544" s="4">
        <f>[1]森美拉!Q17</f>
        <v>1643</v>
      </c>
      <c r="R544" s="4">
        <v>2.5</v>
      </c>
      <c r="S544" s="4">
        <f>[1]森美拉!R17</f>
        <v>25</v>
      </c>
      <c r="T544" s="4">
        <v>0</v>
      </c>
      <c r="U544" s="4">
        <v>0</v>
      </c>
      <c r="V544" s="4">
        <v>0</v>
      </c>
    </row>
    <row r="545" spans="1:22" x14ac:dyDescent="0.15">
      <c r="A545" s="4" t="s">
        <v>2662</v>
      </c>
      <c r="D545" s="4">
        <f t="shared" si="6"/>
        <v>32</v>
      </c>
      <c r="E545" s="4">
        <v>17</v>
      </c>
      <c r="H545" s="29">
        <v>1001</v>
      </c>
      <c r="I545" s="4">
        <f>[1]森美拉!$S18</f>
        <v>1871</v>
      </c>
      <c r="L545" s="30">
        <v>800</v>
      </c>
      <c r="M545" s="4">
        <f>[1]森美拉!N18</f>
        <v>240</v>
      </c>
      <c r="N545" s="4">
        <f>[1]森美拉!O18</f>
        <v>21</v>
      </c>
      <c r="O545" s="4">
        <f>[1]森美拉!P18</f>
        <v>2848</v>
      </c>
      <c r="P545" s="4">
        <v>0</v>
      </c>
      <c r="Q545" s="4">
        <f>[1]森美拉!Q18</f>
        <v>1648</v>
      </c>
      <c r="R545" s="4">
        <v>2.5</v>
      </c>
      <c r="S545" s="4">
        <f>[1]森美拉!R18</f>
        <v>26</v>
      </c>
      <c r="T545" s="4">
        <v>0</v>
      </c>
      <c r="U545" s="4">
        <v>0</v>
      </c>
      <c r="V545" s="4">
        <v>0</v>
      </c>
    </row>
    <row r="546" spans="1:22" x14ac:dyDescent="0.15">
      <c r="A546" s="4" t="s">
        <v>2662</v>
      </c>
      <c r="D546" s="4">
        <f t="shared" si="6"/>
        <v>32</v>
      </c>
      <c r="E546" s="4">
        <v>18</v>
      </c>
      <c r="H546" s="29">
        <v>1001</v>
      </c>
      <c r="I546" s="4">
        <f>[1]森美拉!$S19</f>
        <v>1913</v>
      </c>
      <c r="L546" s="30">
        <v>800</v>
      </c>
      <c r="M546" s="4">
        <f>[1]森美拉!N19</f>
        <v>246</v>
      </c>
      <c r="N546" s="4">
        <f>[1]森美拉!O19</f>
        <v>22</v>
      </c>
      <c r="O546" s="4">
        <f>[1]森美拉!P19</f>
        <v>2894</v>
      </c>
      <c r="P546" s="4">
        <v>0</v>
      </c>
      <c r="Q546" s="4">
        <f>[1]森美拉!Q19</f>
        <v>1653</v>
      </c>
      <c r="R546" s="4">
        <v>2.5</v>
      </c>
      <c r="S546" s="4">
        <f>[1]森美拉!R19</f>
        <v>27</v>
      </c>
      <c r="T546" s="4">
        <v>0</v>
      </c>
      <c r="U546" s="4">
        <v>0</v>
      </c>
      <c r="V546" s="4">
        <v>0</v>
      </c>
    </row>
    <row r="547" spans="1:22" x14ac:dyDescent="0.15">
      <c r="A547" s="4" t="s">
        <v>2662</v>
      </c>
      <c r="D547" s="4">
        <f t="shared" si="6"/>
        <v>32</v>
      </c>
      <c r="E547" s="4">
        <v>19</v>
      </c>
      <c r="H547" s="29">
        <v>1001</v>
      </c>
      <c r="I547" s="4">
        <f>[1]森美拉!$S20</f>
        <v>1955</v>
      </c>
      <c r="L547" s="30">
        <v>800</v>
      </c>
      <c r="M547" s="4">
        <f>[1]森美拉!N20</f>
        <v>252</v>
      </c>
      <c r="N547" s="4">
        <f>[1]森美拉!O20</f>
        <v>23</v>
      </c>
      <c r="O547" s="4">
        <f>[1]森美拉!P20</f>
        <v>2940</v>
      </c>
      <c r="P547" s="4">
        <v>0</v>
      </c>
      <c r="Q547" s="4">
        <f>[1]森美拉!Q20</f>
        <v>1658</v>
      </c>
      <c r="R547" s="4">
        <v>2.5</v>
      </c>
      <c r="S547" s="4">
        <f>[1]森美拉!R20</f>
        <v>28</v>
      </c>
      <c r="T547" s="4">
        <v>0</v>
      </c>
      <c r="U547" s="4">
        <v>0</v>
      </c>
      <c r="V547" s="4">
        <v>0</v>
      </c>
    </row>
    <row r="548" spans="1:22" x14ac:dyDescent="0.15">
      <c r="A548" s="4" t="s">
        <v>2662</v>
      </c>
      <c r="D548" s="4">
        <f t="shared" si="6"/>
        <v>32</v>
      </c>
      <c r="E548" s="4">
        <v>20</v>
      </c>
      <c r="H548" s="29">
        <v>1001</v>
      </c>
      <c r="I548" s="4">
        <f>[1]森美拉!$S21</f>
        <v>1997</v>
      </c>
      <c r="L548" s="30">
        <v>800</v>
      </c>
      <c r="M548" s="4">
        <f>[1]森美拉!N21</f>
        <v>258</v>
      </c>
      <c r="N548" s="4">
        <f>[1]森美拉!O21</f>
        <v>24</v>
      </c>
      <c r="O548" s="4">
        <f>[1]森美拉!P21</f>
        <v>2986</v>
      </c>
      <c r="P548" s="4">
        <v>0</v>
      </c>
      <c r="Q548" s="4">
        <f>[1]森美拉!Q21</f>
        <v>1663</v>
      </c>
      <c r="R548" s="4">
        <v>2.5</v>
      </c>
      <c r="S548" s="4">
        <f>[1]森美拉!R21</f>
        <v>29</v>
      </c>
      <c r="T548" s="4">
        <v>0</v>
      </c>
      <c r="U548" s="4">
        <v>0</v>
      </c>
      <c r="V548" s="4">
        <v>0</v>
      </c>
    </row>
    <row r="549" spans="1:22" x14ac:dyDescent="0.15">
      <c r="A549" s="4" t="s">
        <v>2662</v>
      </c>
      <c r="D549" s="4">
        <f t="shared" si="6"/>
        <v>32</v>
      </c>
      <c r="E549" s="4">
        <v>21</v>
      </c>
      <c r="H549" s="29">
        <v>1001</v>
      </c>
      <c r="I549" s="4">
        <f>[1]森美拉!$S22</f>
        <v>2040</v>
      </c>
      <c r="L549" s="30">
        <v>800</v>
      </c>
      <c r="M549" s="4">
        <f>[1]森美拉!N22</f>
        <v>264</v>
      </c>
      <c r="N549" s="4">
        <f>[1]森美拉!O22</f>
        <v>25</v>
      </c>
      <c r="O549" s="4">
        <f>[1]森美拉!P22</f>
        <v>3032</v>
      </c>
      <c r="P549" s="4">
        <v>0</v>
      </c>
      <c r="Q549" s="4">
        <f>[1]森美拉!Q22</f>
        <v>1668</v>
      </c>
      <c r="R549" s="4">
        <v>2.5</v>
      </c>
      <c r="S549" s="4">
        <f>[1]森美拉!R22</f>
        <v>30</v>
      </c>
      <c r="T549" s="4">
        <v>0</v>
      </c>
      <c r="U549" s="4">
        <v>0</v>
      </c>
      <c r="V549" s="4">
        <v>0</v>
      </c>
    </row>
    <row r="550" spans="1:22" x14ac:dyDescent="0.15">
      <c r="A550" s="4" t="s">
        <v>2662</v>
      </c>
      <c r="D550" s="4">
        <f t="shared" si="6"/>
        <v>32</v>
      </c>
      <c r="E550" s="4">
        <v>22</v>
      </c>
      <c r="H550" s="29">
        <v>1001</v>
      </c>
      <c r="I550" s="4">
        <f>[1]森美拉!$S23</f>
        <v>2082</v>
      </c>
      <c r="L550" s="30">
        <v>800</v>
      </c>
      <c r="M550" s="4">
        <f>[1]森美拉!N23</f>
        <v>270</v>
      </c>
      <c r="N550" s="4">
        <f>[1]森美拉!O23</f>
        <v>26</v>
      </c>
      <c r="O550" s="4">
        <f>[1]森美拉!P23</f>
        <v>3078</v>
      </c>
      <c r="P550" s="4">
        <v>0</v>
      </c>
      <c r="Q550" s="4">
        <f>[1]森美拉!Q23</f>
        <v>1673</v>
      </c>
      <c r="R550" s="4">
        <v>2.5</v>
      </c>
      <c r="S550" s="4">
        <f>[1]森美拉!R23</f>
        <v>31</v>
      </c>
      <c r="T550" s="4">
        <v>0</v>
      </c>
      <c r="U550" s="4">
        <v>0</v>
      </c>
      <c r="V550" s="4">
        <v>0</v>
      </c>
    </row>
    <row r="551" spans="1:22" x14ac:dyDescent="0.15">
      <c r="A551" s="4" t="s">
        <v>2662</v>
      </c>
      <c r="D551" s="4">
        <f t="shared" si="6"/>
        <v>32</v>
      </c>
      <c r="E551" s="4">
        <v>23</v>
      </c>
      <c r="H551" s="29">
        <v>1001</v>
      </c>
      <c r="I551" s="4">
        <f>[1]森美拉!$S24</f>
        <v>2124</v>
      </c>
      <c r="L551" s="30">
        <v>800</v>
      </c>
      <c r="M551" s="4">
        <f>[1]森美拉!N24</f>
        <v>276</v>
      </c>
      <c r="N551" s="4">
        <f>[1]森美拉!O24</f>
        <v>27</v>
      </c>
      <c r="O551" s="4">
        <f>[1]森美拉!P24</f>
        <v>3124</v>
      </c>
      <c r="P551" s="4">
        <v>0</v>
      </c>
      <c r="Q551" s="4">
        <f>[1]森美拉!Q24</f>
        <v>1678</v>
      </c>
      <c r="R551" s="4">
        <v>2.5</v>
      </c>
      <c r="S551" s="4">
        <f>[1]森美拉!R24</f>
        <v>32</v>
      </c>
      <c r="T551" s="4">
        <v>0</v>
      </c>
      <c r="U551" s="4">
        <v>0</v>
      </c>
      <c r="V551" s="4">
        <v>0</v>
      </c>
    </row>
    <row r="552" spans="1:22" x14ac:dyDescent="0.15">
      <c r="A552" s="4" t="s">
        <v>2662</v>
      </c>
      <c r="D552" s="4">
        <f t="shared" si="6"/>
        <v>32</v>
      </c>
      <c r="E552" s="4">
        <v>24</v>
      </c>
      <c r="H552" s="29">
        <v>1001</v>
      </c>
      <c r="I552" s="4">
        <f>[1]森美拉!$S25</f>
        <v>2167</v>
      </c>
      <c r="L552" s="30">
        <v>800</v>
      </c>
      <c r="M552" s="4">
        <f>[1]森美拉!N25</f>
        <v>282</v>
      </c>
      <c r="N552" s="4">
        <f>[1]森美拉!O25</f>
        <v>28</v>
      </c>
      <c r="O552" s="4">
        <f>[1]森美拉!P25</f>
        <v>3170</v>
      </c>
      <c r="P552" s="4">
        <v>0</v>
      </c>
      <c r="Q552" s="4">
        <f>[1]森美拉!Q25</f>
        <v>1683</v>
      </c>
      <c r="R552" s="4">
        <v>2.5</v>
      </c>
      <c r="S552" s="4">
        <f>[1]森美拉!R25</f>
        <v>33</v>
      </c>
      <c r="T552" s="4">
        <v>0</v>
      </c>
      <c r="U552" s="4">
        <v>0</v>
      </c>
      <c r="V552" s="4">
        <v>0</v>
      </c>
    </row>
    <row r="553" spans="1:22" x14ac:dyDescent="0.15">
      <c r="A553" s="4" t="s">
        <v>2662</v>
      </c>
      <c r="D553" s="4">
        <f t="shared" si="6"/>
        <v>32</v>
      </c>
      <c r="E553" s="4">
        <v>25</v>
      </c>
      <c r="H553" s="29">
        <v>1001</v>
      </c>
      <c r="I553" s="4">
        <f>[1]森美拉!$S26</f>
        <v>2209</v>
      </c>
      <c r="L553" s="30">
        <v>800</v>
      </c>
      <c r="M553" s="4">
        <f>[1]森美拉!N26</f>
        <v>288</v>
      </c>
      <c r="N553" s="4">
        <f>[1]森美拉!O26</f>
        <v>29</v>
      </c>
      <c r="O553" s="4">
        <f>[1]森美拉!P26</f>
        <v>3216</v>
      </c>
      <c r="P553" s="4">
        <v>0</v>
      </c>
      <c r="Q553" s="4">
        <f>[1]森美拉!Q26</f>
        <v>1688</v>
      </c>
      <c r="R553" s="4">
        <v>2.5</v>
      </c>
      <c r="S553" s="4">
        <f>[1]森美拉!R26</f>
        <v>34</v>
      </c>
      <c r="T553" s="4">
        <v>0</v>
      </c>
      <c r="U553" s="4">
        <v>0</v>
      </c>
      <c r="V553" s="4">
        <v>0</v>
      </c>
    </row>
    <row r="554" spans="1:22" x14ac:dyDescent="0.15">
      <c r="A554" s="4" t="s">
        <v>2662</v>
      </c>
      <c r="D554" s="4">
        <f t="shared" si="6"/>
        <v>32</v>
      </c>
      <c r="E554" s="4">
        <v>26</v>
      </c>
      <c r="H554" s="29">
        <v>1001</v>
      </c>
      <c r="I554" s="4">
        <f>[1]森美拉!$S27</f>
        <v>2251</v>
      </c>
      <c r="L554" s="30">
        <v>800</v>
      </c>
      <c r="M554" s="4">
        <f>[1]森美拉!N27</f>
        <v>294</v>
      </c>
      <c r="N554" s="4">
        <f>[1]森美拉!O27</f>
        <v>30</v>
      </c>
      <c r="O554" s="4">
        <f>[1]森美拉!P27</f>
        <v>3262</v>
      </c>
      <c r="P554" s="4">
        <v>0</v>
      </c>
      <c r="Q554" s="4">
        <f>[1]森美拉!Q27</f>
        <v>1693</v>
      </c>
      <c r="R554" s="4">
        <v>2.5</v>
      </c>
      <c r="S554" s="4">
        <f>[1]森美拉!R27</f>
        <v>35</v>
      </c>
      <c r="T554" s="4">
        <v>0</v>
      </c>
      <c r="U554" s="4">
        <v>0</v>
      </c>
      <c r="V554" s="4">
        <v>0</v>
      </c>
    </row>
    <row r="555" spans="1:22" x14ac:dyDescent="0.15">
      <c r="A555" s="4" t="s">
        <v>2662</v>
      </c>
      <c r="D555" s="4">
        <f t="shared" si="6"/>
        <v>32</v>
      </c>
      <c r="E555" s="4">
        <v>27</v>
      </c>
      <c r="H555" s="29">
        <v>1001</v>
      </c>
      <c r="I555" s="4">
        <f>[1]森美拉!$S28</f>
        <v>2294</v>
      </c>
      <c r="L555" s="30">
        <v>800</v>
      </c>
      <c r="M555" s="4">
        <f>[1]森美拉!N28</f>
        <v>300</v>
      </c>
      <c r="N555" s="4">
        <f>[1]森美拉!O28</f>
        <v>31</v>
      </c>
      <c r="O555" s="4">
        <f>[1]森美拉!P28</f>
        <v>3308</v>
      </c>
      <c r="P555" s="4">
        <v>0</v>
      </c>
      <c r="Q555" s="4">
        <f>[1]森美拉!Q28</f>
        <v>1698</v>
      </c>
      <c r="R555" s="4">
        <v>2.5</v>
      </c>
      <c r="S555" s="4">
        <f>[1]森美拉!R28</f>
        <v>36</v>
      </c>
      <c r="T555" s="4">
        <v>0</v>
      </c>
      <c r="U555" s="4">
        <v>0</v>
      </c>
      <c r="V555" s="4">
        <v>0</v>
      </c>
    </row>
    <row r="556" spans="1:22" x14ac:dyDescent="0.15">
      <c r="A556" s="4" t="s">
        <v>2662</v>
      </c>
      <c r="D556" s="4">
        <f t="shared" si="6"/>
        <v>32</v>
      </c>
      <c r="E556" s="4">
        <v>28</v>
      </c>
      <c r="H556" s="29">
        <v>1001</v>
      </c>
      <c r="I556" s="4">
        <f>[1]森美拉!$S29</f>
        <v>2336</v>
      </c>
      <c r="L556" s="30">
        <v>800</v>
      </c>
      <c r="M556" s="4">
        <f>[1]森美拉!N29</f>
        <v>306</v>
      </c>
      <c r="N556" s="4">
        <f>[1]森美拉!O29</f>
        <v>32</v>
      </c>
      <c r="O556" s="4">
        <f>[1]森美拉!P29</f>
        <v>3354</v>
      </c>
      <c r="P556" s="4">
        <v>0</v>
      </c>
      <c r="Q556" s="4">
        <f>[1]森美拉!Q29</f>
        <v>1703</v>
      </c>
      <c r="R556" s="4">
        <v>2.5</v>
      </c>
      <c r="S556" s="4">
        <f>[1]森美拉!R29</f>
        <v>37</v>
      </c>
      <c r="T556" s="4">
        <v>0</v>
      </c>
      <c r="U556" s="4">
        <v>0</v>
      </c>
      <c r="V556" s="4">
        <v>0</v>
      </c>
    </row>
    <row r="557" spans="1:22" x14ac:dyDescent="0.15">
      <c r="A557" s="4" t="s">
        <v>2662</v>
      </c>
      <c r="D557" s="4">
        <f t="shared" si="6"/>
        <v>32</v>
      </c>
      <c r="E557" s="4">
        <v>29</v>
      </c>
      <c r="H557" s="29">
        <v>1001</v>
      </c>
      <c r="I557" s="4">
        <f>[1]森美拉!$S30</f>
        <v>2378</v>
      </c>
      <c r="L557" s="30">
        <v>800</v>
      </c>
      <c r="M557" s="4">
        <f>[1]森美拉!N30</f>
        <v>312</v>
      </c>
      <c r="N557" s="4">
        <f>[1]森美拉!O30</f>
        <v>33</v>
      </c>
      <c r="O557" s="4">
        <f>[1]森美拉!P30</f>
        <v>3400</v>
      </c>
      <c r="P557" s="4">
        <v>0</v>
      </c>
      <c r="Q557" s="4">
        <f>[1]森美拉!Q30</f>
        <v>1708</v>
      </c>
      <c r="R557" s="4">
        <v>2.5</v>
      </c>
      <c r="S557" s="4">
        <f>[1]森美拉!R30</f>
        <v>38</v>
      </c>
      <c r="T557" s="4">
        <v>0</v>
      </c>
      <c r="U557" s="4">
        <v>0</v>
      </c>
      <c r="V557" s="4">
        <v>0</v>
      </c>
    </row>
    <row r="558" spans="1:22" x14ac:dyDescent="0.15">
      <c r="A558" s="4" t="s">
        <v>2662</v>
      </c>
      <c r="D558" s="4">
        <f t="shared" si="6"/>
        <v>32</v>
      </c>
      <c r="E558" s="4">
        <v>30</v>
      </c>
      <c r="H558" s="29">
        <v>1001</v>
      </c>
      <c r="I558" s="4">
        <f>[1]森美拉!$S31</f>
        <v>2420</v>
      </c>
      <c r="L558" s="30">
        <v>800</v>
      </c>
      <c r="M558" s="4">
        <f>[1]森美拉!N31</f>
        <v>318</v>
      </c>
      <c r="N558" s="4">
        <f>[1]森美拉!O31</f>
        <v>34</v>
      </c>
      <c r="O558" s="4">
        <f>[1]森美拉!P31</f>
        <v>3446</v>
      </c>
      <c r="P558" s="4">
        <v>0</v>
      </c>
      <c r="Q558" s="4">
        <f>[1]森美拉!Q31</f>
        <v>1713</v>
      </c>
      <c r="R558" s="4">
        <v>2.5</v>
      </c>
      <c r="S558" s="4">
        <f>[1]森美拉!R31</f>
        <v>39</v>
      </c>
      <c r="T558" s="4">
        <v>0</v>
      </c>
      <c r="U558" s="4">
        <v>0</v>
      </c>
      <c r="V558" s="4">
        <v>0</v>
      </c>
    </row>
    <row r="559" spans="1:22" x14ac:dyDescent="0.15">
      <c r="A559" s="4" t="s">
        <v>2662</v>
      </c>
      <c r="D559" s="4">
        <f t="shared" si="6"/>
        <v>32</v>
      </c>
      <c r="E559" s="4">
        <v>31</v>
      </c>
      <c r="H559" s="29">
        <v>1001</v>
      </c>
      <c r="I559" s="4">
        <f>[1]森美拉!$S32</f>
        <v>2463</v>
      </c>
      <c r="L559" s="30">
        <v>800</v>
      </c>
      <c r="M559" s="4">
        <f>[1]森美拉!N32</f>
        <v>324</v>
      </c>
      <c r="N559" s="4">
        <f>[1]森美拉!O32</f>
        <v>35</v>
      </c>
      <c r="O559" s="4">
        <f>[1]森美拉!P32</f>
        <v>3492</v>
      </c>
      <c r="P559" s="4">
        <v>0</v>
      </c>
      <c r="Q559" s="4">
        <f>[1]森美拉!Q32</f>
        <v>1718</v>
      </c>
      <c r="R559" s="4">
        <v>2.5</v>
      </c>
      <c r="S559" s="4">
        <f>[1]森美拉!R32</f>
        <v>40</v>
      </c>
      <c r="T559" s="4">
        <v>0</v>
      </c>
      <c r="U559" s="4">
        <v>0</v>
      </c>
      <c r="V559" s="4">
        <v>0</v>
      </c>
    </row>
    <row r="560" spans="1:22" x14ac:dyDescent="0.15">
      <c r="A560" s="4" t="s">
        <v>2662</v>
      </c>
      <c r="D560" s="4">
        <f t="shared" si="6"/>
        <v>32</v>
      </c>
      <c r="E560" s="4">
        <v>32</v>
      </c>
      <c r="H560" s="29">
        <v>1001</v>
      </c>
      <c r="I560" s="4">
        <f>[1]森美拉!$S33</f>
        <v>2505</v>
      </c>
      <c r="L560" s="30">
        <v>800</v>
      </c>
      <c r="M560" s="4">
        <f>[1]森美拉!N33</f>
        <v>330</v>
      </c>
      <c r="N560" s="4">
        <f>[1]森美拉!O33</f>
        <v>36</v>
      </c>
      <c r="O560" s="4">
        <f>[1]森美拉!P33</f>
        <v>3538</v>
      </c>
      <c r="P560" s="4">
        <v>0</v>
      </c>
      <c r="Q560" s="4">
        <f>[1]森美拉!Q33</f>
        <v>1723</v>
      </c>
      <c r="R560" s="4">
        <v>2.5</v>
      </c>
      <c r="S560" s="4">
        <f>[1]森美拉!R33</f>
        <v>41</v>
      </c>
      <c r="T560" s="4">
        <v>0</v>
      </c>
      <c r="U560" s="4">
        <v>0</v>
      </c>
      <c r="V560" s="4">
        <v>0</v>
      </c>
    </row>
    <row r="561" spans="1:22" x14ac:dyDescent="0.15">
      <c r="A561" s="4" t="s">
        <v>2662</v>
      </c>
      <c r="D561" s="4">
        <f t="shared" si="6"/>
        <v>32</v>
      </c>
      <c r="E561" s="4">
        <v>33</v>
      </c>
      <c r="H561" s="29">
        <v>1001</v>
      </c>
      <c r="I561" s="4">
        <f>[1]森美拉!$S34</f>
        <v>2547</v>
      </c>
      <c r="L561" s="30">
        <v>800</v>
      </c>
      <c r="M561" s="4">
        <f>[1]森美拉!N34</f>
        <v>336</v>
      </c>
      <c r="N561" s="4">
        <f>[1]森美拉!O34</f>
        <v>37</v>
      </c>
      <c r="O561" s="4">
        <f>[1]森美拉!P34</f>
        <v>3584</v>
      </c>
      <c r="P561" s="4">
        <v>0</v>
      </c>
      <c r="Q561" s="4">
        <f>[1]森美拉!Q34</f>
        <v>1728</v>
      </c>
      <c r="R561" s="4">
        <v>2.5</v>
      </c>
      <c r="S561" s="4">
        <f>[1]森美拉!R34</f>
        <v>42</v>
      </c>
      <c r="T561" s="4">
        <v>0</v>
      </c>
      <c r="U561" s="4">
        <v>0</v>
      </c>
      <c r="V561" s="4">
        <v>0</v>
      </c>
    </row>
    <row r="562" spans="1:22" x14ac:dyDescent="0.15">
      <c r="A562" s="4" t="s">
        <v>2662</v>
      </c>
      <c r="D562" s="4">
        <f t="shared" si="6"/>
        <v>32</v>
      </c>
      <c r="E562" s="4">
        <v>34</v>
      </c>
      <c r="H562" s="29">
        <v>1001</v>
      </c>
      <c r="I562" s="4">
        <f>[1]森美拉!$S35</f>
        <v>2590</v>
      </c>
      <c r="L562" s="30">
        <v>800</v>
      </c>
      <c r="M562" s="4">
        <f>[1]森美拉!N35</f>
        <v>342</v>
      </c>
      <c r="N562" s="4">
        <f>[1]森美拉!O35</f>
        <v>38</v>
      </c>
      <c r="O562" s="4">
        <f>[1]森美拉!P35</f>
        <v>3630</v>
      </c>
      <c r="P562" s="4">
        <v>0</v>
      </c>
      <c r="Q562" s="4">
        <f>[1]森美拉!Q35</f>
        <v>1733</v>
      </c>
      <c r="R562" s="4">
        <v>2.5</v>
      </c>
      <c r="S562" s="4">
        <f>[1]森美拉!R35</f>
        <v>43</v>
      </c>
      <c r="T562" s="4">
        <v>0</v>
      </c>
      <c r="U562" s="4">
        <v>0</v>
      </c>
      <c r="V562" s="4">
        <v>0</v>
      </c>
    </row>
    <row r="563" spans="1:22" x14ac:dyDescent="0.15">
      <c r="A563" s="4" t="s">
        <v>2662</v>
      </c>
      <c r="D563" s="4">
        <f t="shared" si="6"/>
        <v>32</v>
      </c>
      <c r="E563" s="4">
        <v>35</v>
      </c>
      <c r="H563" s="29">
        <v>1001</v>
      </c>
      <c r="I563" s="4">
        <f>[1]森美拉!$S36</f>
        <v>2632</v>
      </c>
      <c r="L563" s="30">
        <v>800</v>
      </c>
      <c r="M563" s="4">
        <f>[1]森美拉!N36</f>
        <v>348</v>
      </c>
      <c r="N563" s="4">
        <f>[1]森美拉!O36</f>
        <v>39</v>
      </c>
      <c r="O563" s="4">
        <f>[1]森美拉!P36</f>
        <v>3676</v>
      </c>
      <c r="P563" s="4">
        <v>0</v>
      </c>
      <c r="Q563" s="4">
        <f>[1]森美拉!Q36</f>
        <v>1738</v>
      </c>
      <c r="R563" s="4">
        <v>2.5</v>
      </c>
      <c r="S563" s="4">
        <f>[1]森美拉!R36</f>
        <v>44</v>
      </c>
      <c r="T563" s="4">
        <v>0</v>
      </c>
      <c r="U563" s="4">
        <v>0</v>
      </c>
      <c r="V563" s="4">
        <v>0</v>
      </c>
    </row>
    <row r="564" spans="1:22" x14ac:dyDescent="0.15">
      <c r="A564" s="4" t="s">
        <v>2662</v>
      </c>
      <c r="D564" s="4">
        <f t="shared" si="6"/>
        <v>32</v>
      </c>
      <c r="E564" s="4">
        <v>36</v>
      </c>
      <c r="H564" s="29">
        <v>1001</v>
      </c>
      <c r="I564" s="4">
        <f>[1]森美拉!$S37</f>
        <v>2674</v>
      </c>
      <c r="L564" s="30">
        <v>800</v>
      </c>
      <c r="M564" s="4">
        <f>[1]森美拉!N37</f>
        <v>354</v>
      </c>
      <c r="N564" s="4">
        <f>[1]森美拉!O37</f>
        <v>40</v>
      </c>
      <c r="O564" s="4">
        <f>[1]森美拉!P37</f>
        <v>3722</v>
      </c>
      <c r="P564" s="4">
        <v>0</v>
      </c>
      <c r="Q564" s="4">
        <f>[1]森美拉!Q37</f>
        <v>1743</v>
      </c>
      <c r="R564" s="4">
        <v>2.5</v>
      </c>
      <c r="S564" s="4">
        <f>[1]森美拉!R37</f>
        <v>45</v>
      </c>
      <c r="T564" s="4">
        <v>0</v>
      </c>
      <c r="U564" s="4">
        <v>0</v>
      </c>
      <c r="V564" s="4">
        <v>0</v>
      </c>
    </row>
    <row r="565" spans="1:22" x14ac:dyDescent="0.15">
      <c r="A565" s="4" t="s">
        <v>2662</v>
      </c>
      <c r="D565" s="4">
        <f t="shared" si="6"/>
        <v>32</v>
      </c>
      <c r="E565" s="4">
        <v>37</v>
      </c>
      <c r="H565" s="29">
        <v>1001</v>
      </c>
      <c r="I565" s="4">
        <f>[1]森美拉!$S38</f>
        <v>2717</v>
      </c>
      <c r="L565" s="30">
        <v>800</v>
      </c>
      <c r="M565" s="4">
        <f>[1]森美拉!N38</f>
        <v>360</v>
      </c>
      <c r="N565" s="4">
        <f>[1]森美拉!O38</f>
        <v>41</v>
      </c>
      <c r="O565" s="4">
        <f>[1]森美拉!P38</f>
        <v>3768</v>
      </c>
      <c r="P565" s="4">
        <v>0</v>
      </c>
      <c r="Q565" s="4">
        <f>[1]森美拉!Q38</f>
        <v>1748</v>
      </c>
      <c r="R565" s="4">
        <v>2.5</v>
      </c>
      <c r="S565" s="4">
        <f>[1]森美拉!R38</f>
        <v>46</v>
      </c>
      <c r="T565" s="4">
        <v>0</v>
      </c>
      <c r="U565" s="4">
        <v>0</v>
      </c>
      <c r="V565" s="4">
        <v>0</v>
      </c>
    </row>
    <row r="566" spans="1:22" x14ac:dyDescent="0.15">
      <c r="A566" s="4" t="s">
        <v>2662</v>
      </c>
      <c r="D566" s="4">
        <f t="shared" si="6"/>
        <v>32</v>
      </c>
      <c r="E566" s="4">
        <v>38</v>
      </c>
      <c r="H566" s="29">
        <v>1001</v>
      </c>
      <c r="I566" s="4">
        <f>[1]森美拉!$S39</f>
        <v>2759</v>
      </c>
      <c r="L566" s="30">
        <v>800</v>
      </c>
      <c r="M566" s="4">
        <f>[1]森美拉!N39</f>
        <v>366</v>
      </c>
      <c r="N566" s="4">
        <f>[1]森美拉!O39</f>
        <v>42</v>
      </c>
      <c r="O566" s="4">
        <f>[1]森美拉!P39</f>
        <v>3814</v>
      </c>
      <c r="P566" s="4">
        <v>0</v>
      </c>
      <c r="Q566" s="4">
        <f>[1]森美拉!Q39</f>
        <v>1753</v>
      </c>
      <c r="R566" s="4">
        <v>2.5</v>
      </c>
      <c r="S566" s="4">
        <f>[1]森美拉!R39</f>
        <v>47</v>
      </c>
      <c r="T566" s="4">
        <v>0</v>
      </c>
      <c r="U566" s="4">
        <v>0</v>
      </c>
      <c r="V566" s="4">
        <v>0</v>
      </c>
    </row>
    <row r="567" spans="1:22" x14ac:dyDescent="0.15">
      <c r="A567" s="4" t="s">
        <v>2662</v>
      </c>
      <c r="D567" s="4">
        <f t="shared" si="6"/>
        <v>32</v>
      </c>
      <c r="E567" s="4">
        <v>39</v>
      </c>
      <c r="H567" s="29">
        <v>1001</v>
      </c>
      <c r="I567" s="4">
        <f>[1]森美拉!$S40</f>
        <v>2801</v>
      </c>
      <c r="L567" s="30">
        <v>800</v>
      </c>
      <c r="M567" s="4">
        <f>[1]森美拉!N40</f>
        <v>372</v>
      </c>
      <c r="N567" s="4">
        <f>[1]森美拉!O40</f>
        <v>43</v>
      </c>
      <c r="O567" s="4">
        <f>[1]森美拉!P40</f>
        <v>3860</v>
      </c>
      <c r="P567" s="4">
        <v>0</v>
      </c>
      <c r="Q567" s="4">
        <f>[1]森美拉!Q40</f>
        <v>1758</v>
      </c>
      <c r="R567" s="4">
        <v>2.5</v>
      </c>
      <c r="S567" s="4">
        <f>[1]森美拉!R40</f>
        <v>48</v>
      </c>
      <c r="T567" s="4">
        <v>0</v>
      </c>
      <c r="U567" s="4">
        <v>0</v>
      </c>
      <c r="V567" s="4">
        <v>0</v>
      </c>
    </row>
    <row r="568" spans="1:22" x14ac:dyDescent="0.15">
      <c r="A568" s="4" t="s">
        <v>2662</v>
      </c>
      <c r="D568" s="4">
        <f t="shared" si="6"/>
        <v>32</v>
      </c>
      <c r="E568" s="4">
        <v>40</v>
      </c>
      <c r="H568" s="29">
        <v>1001</v>
      </c>
      <c r="I568" s="4">
        <f>[1]森美拉!$S41</f>
        <v>2843</v>
      </c>
      <c r="L568" s="30">
        <v>800</v>
      </c>
      <c r="M568" s="4">
        <f>[1]森美拉!N41</f>
        <v>378</v>
      </c>
      <c r="N568" s="4">
        <f>[1]森美拉!O41</f>
        <v>44</v>
      </c>
      <c r="O568" s="4">
        <f>[1]森美拉!P41</f>
        <v>3906</v>
      </c>
      <c r="P568" s="4">
        <v>0</v>
      </c>
      <c r="Q568" s="4">
        <f>[1]森美拉!Q41</f>
        <v>1763</v>
      </c>
      <c r="R568" s="4">
        <v>2.5</v>
      </c>
      <c r="S568" s="4">
        <f>[1]森美拉!R41</f>
        <v>49</v>
      </c>
      <c r="T568" s="4">
        <v>0</v>
      </c>
      <c r="U568" s="4">
        <v>0</v>
      </c>
      <c r="V568" s="4">
        <v>0</v>
      </c>
    </row>
    <row r="569" spans="1:22" x14ac:dyDescent="0.15">
      <c r="A569" s="4" t="s">
        <v>2662</v>
      </c>
      <c r="D569" s="4">
        <f t="shared" si="6"/>
        <v>32</v>
      </c>
      <c r="E569" s="4">
        <v>41</v>
      </c>
      <c r="H569" s="29">
        <v>1001</v>
      </c>
      <c r="I569" s="4">
        <f>[1]森美拉!$S42</f>
        <v>2886</v>
      </c>
      <c r="L569" s="30">
        <v>800</v>
      </c>
      <c r="M569" s="4">
        <f>[1]森美拉!N42</f>
        <v>384</v>
      </c>
      <c r="N569" s="4">
        <f>[1]森美拉!O42</f>
        <v>45</v>
      </c>
      <c r="O569" s="4">
        <f>[1]森美拉!P42</f>
        <v>3952</v>
      </c>
      <c r="P569" s="4">
        <v>0</v>
      </c>
      <c r="Q569" s="4">
        <f>[1]森美拉!Q42</f>
        <v>1768</v>
      </c>
      <c r="R569" s="4">
        <v>2.5</v>
      </c>
      <c r="S569" s="4">
        <f>[1]森美拉!R42</f>
        <v>50</v>
      </c>
      <c r="T569" s="4">
        <v>0</v>
      </c>
      <c r="U569" s="4">
        <v>0</v>
      </c>
      <c r="V569" s="4">
        <v>0</v>
      </c>
    </row>
    <row r="570" spans="1:22" x14ac:dyDescent="0.15">
      <c r="A570" s="4" t="s">
        <v>2662</v>
      </c>
      <c r="D570" s="4">
        <f t="shared" si="6"/>
        <v>32</v>
      </c>
      <c r="E570" s="4">
        <v>42</v>
      </c>
      <c r="H570" s="29">
        <v>1001</v>
      </c>
      <c r="I570" s="4">
        <f>[1]森美拉!$S43</f>
        <v>2928</v>
      </c>
      <c r="L570" s="30">
        <v>800</v>
      </c>
      <c r="M570" s="4">
        <f>[1]森美拉!N43</f>
        <v>390</v>
      </c>
      <c r="N570" s="4">
        <f>[1]森美拉!O43</f>
        <v>46</v>
      </c>
      <c r="O570" s="4">
        <f>[1]森美拉!P43</f>
        <v>3998</v>
      </c>
      <c r="P570" s="4">
        <v>0</v>
      </c>
      <c r="Q570" s="4">
        <f>[1]森美拉!Q43</f>
        <v>1773</v>
      </c>
      <c r="R570" s="4">
        <v>2.5</v>
      </c>
      <c r="S570" s="4">
        <f>[1]森美拉!R43</f>
        <v>51</v>
      </c>
      <c r="T570" s="4">
        <v>0</v>
      </c>
      <c r="U570" s="4">
        <v>0</v>
      </c>
      <c r="V570" s="4">
        <v>0</v>
      </c>
    </row>
    <row r="571" spans="1:22" x14ac:dyDescent="0.15">
      <c r="A571" s="4" t="s">
        <v>2662</v>
      </c>
      <c r="D571" s="4">
        <f t="shared" si="6"/>
        <v>32</v>
      </c>
      <c r="E571" s="4">
        <v>43</v>
      </c>
      <c r="H571" s="29">
        <v>1001</v>
      </c>
      <c r="I571" s="4">
        <f>[1]森美拉!$S44</f>
        <v>2970</v>
      </c>
      <c r="L571" s="30">
        <v>800</v>
      </c>
      <c r="M571" s="4">
        <f>[1]森美拉!N44</f>
        <v>396</v>
      </c>
      <c r="N571" s="4">
        <f>[1]森美拉!O44</f>
        <v>47</v>
      </c>
      <c r="O571" s="4">
        <f>[1]森美拉!P44</f>
        <v>4044</v>
      </c>
      <c r="P571" s="4">
        <v>0</v>
      </c>
      <c r="Q571" s="4">
        <f>[1]森美拉!Q44</f>
        <v>1778</v>
      </c>
      <c r="R571" s="4">
        <v>2.5</v>
      </c>
      <c r="S571" s="4">
        <f>[1]森美拉!R44</f>
        <v>52</v>
      </c>
      <c r="T571" s="4">
        <v>0</v>
      </c>
      <c r="U571" s="4">
        <v>0</v>
      </c>
      <c r="V571" s="4">
        <v>0</v>
      </c>
    </row>
    <row r="572" spans="1:22" x14ac:dyDescent="0.15">
      <c r="A572" s="4" t="s">
        <v>2662</v>
      </c>
      <c r="D572" s="4">
        <f t="shared" si="6"/>
        <v>32</v>
      </c>
      <c r="E572" s="4">
        <v>44</v>
      </c>
      <c r="H572" s="29">
        <v>1001</v>
      </c>
      <c r="I572" s="4">
        <f>[1]森美拉!$S45</f>
        <v>3013</v>
      </c>
      <c r="L572" s="30">
        <v>800</v>
      </c>
      <c r="M572" s="4">
        <f>[1]森美拉!N45</f>
        <v>402</v>
      </c>
      <c r="N572" s="4">
        <f>[1]森美拉!O45</f>
        <v>48</v>
      </c>
      <c r="O572" s="4">
        <f>[1]森美拉!P45</f>
        <v>4090</v>
      </c>
      <c r="P572" s="4">
        <v>0</v>
      </c>
      <c r="Q572" s="4">
        <f>[1]森美拉!Q45</f>
        <v>1783</v>
      </c>
      <c r="R572" s="4">
        <v>2.5</v>
      </c>
      <c r="S572" s="4">
        <f>[1]森美拉!R45</f>
        <v>53</v>
      </c>
      <c r="T572" s="4">
        <v>0</v>
      </c>
      <c r="U572" s="4">
        <v>0</v>
      </c>
      <c r="V572" s="4">
        <v>0</v>
      </c>
    </row>
    <row r="573" spans="1:22" x14ac:dyDescent="0.15">
      <c r="A573" s="4" t="s">
        <v>2662</v>
      </c>
      <c r="D573" s="4">
        <f t="shared" si="6"/>
        <v>32</v>
      </c>
      <c r="E573" s="4">
        <v>45</v>
      </c>
      <c r="H573" s="29">
        <v>1001</v>
      </c>
      <c r="I573" s="4">
        <f>[1]森美拉!$S46</f>
        <v>3055</v>
      </c>
      <c r="L573" s="30">
        <v>800</v>
      </c>
      <c r="M573" s="4">
        <f>[1]森美拉!N46</f>
        <v>408</v>
      </c>
      <c r="N573" s="4">
        <f>[1]森美拉!O46</f>
        <v>49</v>
      </c>
      <c r="O573" s="4">
        <f>[1]森美拉!P46</f>
        <v>4136</v>
      </c>
      <c r="P573" s="4">
        <v>0</v>
      </c>
      <c r="Q573" s="4">
        <f>[1]森美拉!Q46</f>
        <v>1788</v>
      </c>
      <c r="R573" s="4">
        <v>2.5</v>
      </c>
      <c r="S573" s="4">
        <f>[1]森美拉!R46</f>
        <v>54</v>
      </c>
      <c r="T573" s="4">
        <v>0</v>
      </c>
      <c r="U573" s="4">
        <v>0</v>
      </c>
      <c r="V573" s="4">
        <v>0</v>
      </c>
    </row>
    <row r="574" spans="1:22" x14ac:dyDescent="0.15">
      <c r="A574" s="4" t="s">
        <v>2662</v>
      </c>
      <c r="D574" s="4">
        <f t="shared" si="6"/>
        <v>32</v>
      </c>
      <c r="E574" s="4">
        <v>46</v>
      </c>
      <c r="H574" s="29">
        <v>1001</v>
      </c>
      <c r="I574" s="4">
        <f>[1]森美拉!$S47</f>
        <v>3097</v>
      </c>
      <c r="L574" s="30">
        <v>800</v>
      </c>
      <c r="M574" s="4">
        <f>[1]森美拉!N47</f>
        <v>414</v>
      </c>
      <c r="N574" s="4">
        <f>[1]森美拉!O47</f>
        <v>50</v>
      </c>
      <c r="O574" s="4">
        <f>[1]森美拉!P47</f>
        <v>4182</v>
      </c>
      <c r="P574" s="4">
        <v>0</v>
      </c>
      <c r="Q574" s="4">
        <f>[1]森美拉!Q47</f>
        <v>1793</v>
      </c>
      <c r="R574" s="4">
        <v>2.5</v>
      </c>
      <c r="S574" s="4">
        <f>[1]森美拉!R47</f>
        <v>55</v>
      </c>
      <c r="T574" s="4">
        <v>0</v>
      </c>
      <c r="U574" s="4">
        <v>0</v>
      </c>
      <c r="V574" s="4">
        <v>0</v>
      </c>
    </row>
    <row r="575" spans="1:22" x14ac:dyDescent="0.15">
      <c r="A575" s="4" t="s">
        <v>2662</v>
      </c>
      <c r="D575" s="4">
        <f t="shared" si="6"/>
        <v>32</v>
      </c>
      <c r="E575" s="4">
        <v>47</v>
      </c>
      <c r="H575" s="29">
        <v>1001</v>
      </c>
      <c r="I575" s="4">
        <f>[1]森美拉!$S48</f>
        <v>3140</v>
      </c>
      <c r="L575" s="30">
        <v>800</v>
      </c>
      <c r="M575" s="4">
        <f>[1]森美拉!N48</f>
        <v>420</v>
      </c>
      <c r="N575" s="4">
        <f>[1]森美拉!O48</f>
        <v>51</v>
      </c>
      <c r="O575" s="4">
        <f>[1]森美拉!P48</f>
        <v>4228</v>
      </c>
      <c r="P575" s="4">
        <v>0</v>
      </c>
      <c r="Q575" s="4">
        <f>[1]森美拉!Q48</f>
        <v>1798</v>
      </c>
      <c r="R575" s="4">
        <v>2.5</v>
      </c>
      <c r="S575" s="4">
        <f>[1]森美拉!R48</f>
        <v>56</v>
      </c>
      <c r="T575" s="4">
        <v>0</v>
      </c>
      <c r="U575" s="4">
        <v>0</v>
      </c>
      <c r="V575" s="4">
        <v>0</v>
      </c>
    </row>
    <row r="576" spans="1:22" x14ac:dyDescent="0.15">
      <c r="A576" s="4" t="s">
        <v>2662</v>
      </c>
      <c r="D576" s="4">
        <f t="shared" si="6"/>
        <v>32</v>
      </c>
      <c r="E576" s="4">
        <v>48</v>
      </c>
      <c r="H576" s="29">
        <v>1001</v>
      </c>
      <c r="I576" s="4">
        <f>[1]森美拉!$S49</f>
        <v>3182</v>
      </c>
      <c r="L576" s="30">
        <v>800</v>
      </c>
      <c r="M576" s="4">
        <f>[1]森美拉!N49</f>
        <v>426</v>
      </c>
      <c r="N576" s="4">
        <f>[1]森美拉!O49</f>
        <v>52</v>
      </c>
      <c r="O576" s="4">
        <f>[1]森美拉!P49</f>
        <v>4274</v>
      </c>
      <c r="P576" s="4">
        <v>0</v>
      </c>
      <c r="Q576" s="4">
        <f>[1]森美拉!Q49</f>
        <v>1803</v>
      </c>
      <c r="R576" s="4">
        <v>2.5</v>
      </c>
      <c r="S576" s="4">
        <f>[1]森美拉!R49</f>
        <v>57</v>
      </c>
      <c r="T576" s="4">
        <v>0</v>
      </c>
      <c r="U576" s="4">
        <v>0</v>
      </c>
      <c r="V576" s="4">
        <v>0</v>
      </c>
    </row>
    <row r="577" spans="1:22" x14ac:dyDescent="0.15">
      <c r="A577" s="4" t="s">
        <v>2662</v>
      </c>
      <c r="D577" s="4">
        <f t="shared" si="6"/>
        <v>32</v>
      </c>
      <c r="E577" s="4">
        <v>49</v>
      </c>
      <c r="H577" s="29">
        <v>1001</v>
      </c>
      <c r="I577" s="4">
        <f>[1]森美拉!$S50</f>
        <v>3224</v>
      </c>
      <c r="L577" s="30">
        <v>800</v>
      </c>
      <c r="M577" s="4">
        <f>[1]森美拉!N50</f>
        <v>432</v>
      </c>
      <c r="N577" s="4">
        <f>[1]森美拉!O50</f>
        <v>53</v>
      </c>
      <c r="O577" s="4">
        <f>[1]森美拉!P50</f>
        <v>4320</v>
      </c>
      <c r="P577" s="4">
        <v>0</v>
      </c>
      <c r="Q577" s="4">
        <f>[1]森美拉!Q50</f>
        <v>1808</v>
      </c>
      <c r="R577" s="4">
        <v>2.5</v>
      </c>
      <c r="S577" s="4">
        <f>[1]森美拉!R50</f>
        <v>58</v>
      </c>
      <c r="T577" s="4">
        <v>0</v>
      </c>
      <c r="U577" s="4">
        <v>0</v>
      </c>
      <c r="V577" s="4">
        <v>0</v>
      </c>
    </row>
    <row r="578" spans="1:22" x14ac:dyDescent="0.15">
      <c r="A578" s="4" t="s">
        <v>2662</v>
      </c>
      <c r="D578" s="4">
        <f t="shared" si="6"/>
        <v>32</v>
      </c>
      <c r="E578" s="4">
        <v>50</v>
      </c>
      <c r="H578" s="29">
        <v>1001</v>
      </c>
      <c r="I578" s="4">
        <f>[1]森美拉!$S51</f>
        <v>3266</v>
      </c>
      <c r="L578" s="30">
        <v>800</v>
      </c>
      <c r="M578" s="4">
        <f>[1]森美拉!N51</f>
        <v>438</v>
      </c>
      <c r="N578" s="4">
        <f>[1]森美拉!O51</f>
        <v>54</v>
      </c>
      <c r="O578" s="4">
        <f>[1]森美拉!P51</f>
        <v>4366</v>
      </c>
      <c r="P578" s="4">
        <v>0</v>
      </c>
      <c r="Q578" s="4">
        <f>[1]森美拉!Q51</f>
        <v>1813</v>
      </c>
      <c r="R578" s="4">
        <v>2.5</v>
      </c>
      <c r="S578" s="4">
        <f>[1]森美拉!R51</f>
        <v>59</v>
      </c>
      <c r="T578" s="4">
        <v>0</v>
      </c>
      <c r="U578" s="4">
        <v>0</v>
      </c>
      <c r="V578" s="4">
        <v>0</v>
      </c>
    </row>
    <row r="579" spans="1:22" x14ac:dyDescent="0.15">
      <c r="I579" s="4"/>
    </row>
    <row r="580" spans="1:22" x14ac:dyDescent="0.15">
      <c r="A580" s="4" t="s">
        <v>2662</v>
      </c>
      <c r="C580" s="4" t="s">
        <v>3087</v>
      </c>
      <c r="D580" s="4">
        <f t="shared" ref="D580:D630" si="7">D528+1</f>
        <v>33</v>
      </c>
      <c r="E580" s="4">
        <v>0</v>
      </c>
      <c r="H580" s="29">
        <v>1000</v>
      </c>
      <c r="I580" s="31">
        <v>199</v>
      </c>
      <c r="M580" s="4">
        <v>0</v>
      </c>
      <c r="N580" s="4">
        <v>0</v>
      </c>
      <c r="O580" s="4">
        <v>0</v>
      </c>
      <c r="P580" s="4">
        <v>0</v>
      </c>
      <c r="Q580" s="4">
        <v>0</v>
      </c>
      <c r="R580" s="4">
        <v>0</v>
      </c>
      <c r="S580" s="4">
        <v>0</v>
      </c>
      <c r="T580" s="4">
        <v>0</v>
      </c>
      <c r="U580" s="4">
        <v>0</v>
      </c>
      <c r="V580" s="4">
        <v>0</v>
      </c>
    </row>
    <row r="581" spans="1:22" x14ac:dyDescent="0.15">
      <c r="A581" s="4" t="s">
        <v>2662</v>
      </c>
      <c r="D581" s="4">
        <f t="shared" si="7"/>
        <v>33</v>
      </c>
      <c r="E581" s="4">
        <v>1</v>
      </c>
      <c r="H581" s="29">
        <v>1001</v>
      </c>
      <c r="I581" s="4">
        <f>[1]森美拉!$AB2</f>
        <v>1595</v>
      </c>
      <c r="L581" s="30">
        <v>800</v>
      </c>
      <c r="M581" s="4">
        <f>[1]森美拉!W2</f>
        <v>192</v>
      </c>
      <c r="N581" s="4">
        <f>[1]森美拉!X2</f>
        <v>6</v>
      </c>
      <c r="O581" s="4">
        <f>[1]森美拉!Y2</f>
        <v>2880</v>
      </c>
      <c r="P581" s="4">
        <v>0</v>
      </c>
      <c r="Q581" s="4">
        <f>[1]森美拉!Z2</f>
        <v>1792</v>
      </c>
      <c r="R581" s="4">
        <v>2.5</v>
      </c>
      <c r="S581" s="4">
        <f>[1]森美拉!AA2</f>
        <v>11</v>
      </c>
      <c r="T581" s="4">
        <v>0</v>
      </c>
      <c r="U581" s="4">
        <v>0</v>
      </c>
      <c r="V581" s="4">
        <v>0</v>
      </c>
    </row>
    <row r="582" spans="1:22" x14ac:dyDescent="0.15">
      <c r="A582" s="4" t="s">
        <v>2662</v>
      </c>
      <c r="D582" s="4">
        <f t="shared" si="7"/>
        <v>33</v>
      </c>
      <c r="E582" s="4">
        <v>2</v>
      </c>
      <c r="H582" s="29">
        <v>1001</v>
      </c>
      <c r="I582" s="4">
        <f>[1]森美拉!$AB3</f>
        <v>1651</v>
      </c>
      <c r="L582" s="30">
        <v>800</v>
      </c>
      <c r="M582" s="4">
        <f>[1]森美拉!W3</f>
        <v>200</v>
      </c>
      <c r="N582" s="4">
        <f>[1]森美拉!X3</f>
        <v>7</v>
      </c>
      <c r="O582" s="4">
        <f>[1]森美拉!Y3</f>
        <v>2944</v>
      </c>
      <c r="P582" s="4">
        <v>0</v>
      </c>
      <c r="Q582" s="4">
        <f>[1]森美拉!Z3</f>
        <v>1797</v>
      </c>
      <c r="R582" s="4">
        <v>2.5</v>
      </c>
      <c r="S582" s="4">
        <f>[1]森美拉!AA3</f>
        <v>12</v>
      </c>
      <c r="T582" s="4">
        <v>0</v>
      </c>
      <c r="U582" s="4">
        <v>0</v>
      </c>
      <c r="V582" s="4">
        <v>0</v>
      </c>
    </row>
    <row r="583" spans="1:22" x14ac:dyDescent="0.15">
      <c r="A583" s="4" t="s">
        <v>2662</v>
      </c>
      <c r="D583" s="4">
        <f t="shared" si="7"/>
        <v>33</v>
      </c>
      <c r="E583" s="4">
        <v>3</v>
      </c>
      <c r="H583" s="29">
        <v>1001</v>
      </c>
      <c r="I583" s="4">
        <f>[1]森美拉!$AB4</f>
        <v>1707</v>
      </c>
      <c r="L583" s="30">
        <v>800</v>
      </c>
      <c r="M583" s="4">
        <f>[1]森美拉!W4</f>
        <v>208</v>
      </c>
      <c r="N583" s="4">
        <f>[1]森美拉!X4</f>
        <v>8</v>
      </c>
      <c r="O583" s="4">
        <f>[1]森美拉!Y4</f>
        <v>3008</v>
      </c>
      <c r="P583" s="4">
        <v>0</v>
      </c>
      <c r="Q583" s="4">
        <f>[1]森美拉!Z4</f>
        <v>1802</v>
      </c>
      <c r="R583" s="4">
        <v>2.5</v>
      </c>
      <c r="S583" s="4">
        <f>[1]森美拉!AA4</f>
        <v>13</v>
      </c>
      <c r="T583" s="4">
        <v>0</v>
      </c>
      <c r="U583" s="4">
        <v>0</v>
      </c>
      <c r="V583" s="4">
        <v>0</v>
      </c>
    </row>
    <row r="584" spans="1:22" x14ac:dyDescent="0.15">
      <c r="A584" s="4" t="s">
        <v>2662</v>
      </c>
      <c r="D584" s="4">
        <f t="shared" si="7"/>
        <v>33</v>
      </c>
      <c r="E584" s="4">
        <v>4</v>
      </c>
      <c r="H584" s="29">
        <v>1001</v>
      </c>
      <c r="I584" s="4">
        <f>[1]森美拉!$AB5</f>
        <v>1763</v>
      </c>
      <c r="L584" s="30">
        <v>800</v>
      </c>
      <c r="M584" s="4">
        <f>[1]森美拉!W5</f>
        <v>216</v>
      </c>
      <c r="N584" s="4">
        <f>[1]森美拉!X5</f>
        <v>9</v>
      </c>
      <c r="O584" s="4">
        <f>[1]森美拉!Y5</f>
        <v>3072</v>
      </c>
      <c r="P584" s="4">
        <v>0</v>
      </c>
      <c r="Q584" s="4">
        <f>[1]森美拉!Z5</f>
        <v>1807</v>
      </c>
      <c r="R584" s="4">
        <v>2.5</v>
      </c>
      <c r="S584" s="4">
        <f>[1]森美拉!AA5</f>
        <v>14</v>
      </c>
      <c r="T584" s="4">
        <v>0</v>
      </c>
      <c r="U584" s="4">
        <v>0</v>
      </c>
      <c r="V584" s="4">
        <v>0</v>
      </c>
    </row>
    <row r="585" spans="1:22" x14ac:dyDescent="0.15">
      <c r="A585" s="4" t="s">
        <v>2662</v>
      </c>
      <c r="D585" s="4">
        <f t="shared" si="7"/>
        <v>33</v>
      </c>
      <c r="E585" s="4">
        <v>5</v>
      </c>
      <c r="H585" s="29">
        <v>1001</v>
      </c>
      <c r="I585" s="4">
        <f>[1]森美拉!$AB6</f>
        <v>1818</v>
      </c>
      <c r="L585" s="30">
        <v>800</v>
      </c>
      <c r="M585" s="4">
        <f>[1]森美拉!W6</f>
        <v>224</v>
      </c>
      <c r="N585" s="4">
        <f>[1]森美拉!X6</f>
        <v>10</v>
      </c>
      <c r="O585" s="4">
        <f>[1]森美拉!Y6</f>
        <v>3136</v>
      </c>
      <c r="P585" s="4">
        <v>0</v>
      </c>
      <c r="Q585" s="4">
        <f>[1]森美拉!Z6</f>
        <v>1812</v>
      </c>
      <c r="R585" s="4">
        <v>2.5</v>
      </c>
      <c r="S585" s="4">
        <f>[1]森美拉!AA6</f>
        <v>15</v>
      </c>
      <c r="T585" s="4">
        <v>0</v>
      </c>
      <c r="U585" s="4">
        <v>0</v>
      </c>
      <c r="V585" s="4">
        <v>0</v>
      </c>
    </row>
    <row r="586" spans="1:22" x14ac:dyDescent="0.15">
      <c r="A586" s="4" t="s">
        <v>2662</v>
      </c>
      <c r="D586" s="4">
        <f t="shared" si="7"/>
        <v>33</v>
      </c>
      <c r="E586" s="4">
        <v>6</v>
      </c>
      <c r="H586" s="29">
        <v>1001</v>
      </c>
      <c r="I586" s="4">
        <f>[1]森美拉!$AB7</f>
        <v>1874</v>
      </c>
      <c r="L586" s="30">
        <v>800</v>
      </c>
      <c r="M586" s="4">
        <f>[1]森美拉!W7</f>
        <v>232</v>
      </c>
      <c r="N586" s="4">
        <f>[1]森美拉!X7</f>
        <v>11</v>
      </c>
      <c r="O586" s="4">
        <f>[1]森美拉!Y7</f>
        <v>3200</v>
      </c>
      <c r="P586" s="4">
        <v>0</v>
      </c>
      <c r="Q586" s="4">
        <f>[1]森美拉!Z7</f>
        <v>1817</v>
      </c>
      <c r="R586" s="4">
        <v>2.5</v>
      </c>
      <c r="S586" s="4">
        <f>[1]森美拉!AA7</f>
        <v>16</v>
      </c>
      <c r="T586" s="4">
        <v>0</v>
      </c>
      <c r="U586" s="4">
        <v>0</v>
      </c>
      <c r="V586" s="4">
        <v>0</v>
      </c>
    </row>
    <row r="587" spans="1:22" x14ac:dyDescent="0.15">
      <c r="A587" s="4" t="s">
        <v>2662</v>
      </c>
      <c r="D587" s="4">
        <f t="shared" si="7"/>
        <v>33</v>
      </c>
      <c r="E587" s="4">
        <v>7</v>
      </c>
      <c r="H587" s="29">
        <v>1001</v>
      </c>
      <c r="I587" s="4">
        <f>[1]森美拉!$AB8</f>
        <v>1930</v>
      </c>
      <c r="L587" s="30">
        <v>800</v>
      </c>
      <c r="M587" s="4">
        <f>[1]森美拉!W8</f>
        <v>240</v>
      </c>
      <c r="N587" s="4">
        <f>[1]森美拉!X8</f>
        <v>12</v>
      </c>
      <c r="O587" s="4">
        <f>[1]森美拉!Y8</f>
        <v>3264</v>
      </c>
      <c r="P587" s="4">
        <v>0</v>
      </c>
      <c r="Q587" s="4">
        <f>[1]森美拉!Z8</f>
        <v>1822</v>
      </c>
      <c r="R587" s="4">
        <v>2.5</v>
      </c>
      <c r="S587" s="4">
        <f>[1]森美拉!AA8</f>
        <v>17</v>
      </c>
      <c r="T587" s="4">
        <v>0</v>
      </c>
      <c r="U587" s="4">
        <v>0</v>
      </c>
      <c r="V587" s="4">
        <v>0</v>
      </c>
    </row>
    <row r="588" spans="1:22" x14ac:dyDescent="0.15">
      <c r="A588" s="4" t="s">
        <v>2662</v>
      </c>
      <c r="D588" s="4">
        <f t="shared" si="7"/>
        <v>33</v>
      </c>
      <c r="E588" s="4">
        <v>8</v>
      </c>
      <c r="H588" s="29">
        <v>1001</v>
      </c>
      <c r="I588" s="4">
        <f>[1]森美拉!$AB9</f>
        <v>1986</v>
      </c>
      <c r="L588" s="30">
        <v>800</v>
      </c>
      <c r="M588" s="4">
        <f>[1]森美拉!W9</f>
        <v>248</v>
      </c>
      <c r="N588" s="4">
        <f>[1]森美拉!X9</f>
        <v>13</v>
      </c>
      <c r="O588" s="4">
        <f>[1]森美拉!Y9</f>
        <v>3328</v>
      </c>
      <c r="P588" s="4">
        <v>0</v>
      </c>
      <c r="Q588" s="4">
        <f>[1]森美拉!Z9</f>
        <v>1827</v>
      </c>
      <c r="R588" s="4">
        <v>2.5</v>
      </c>
      <c r="S588" s="4">
        <f>[1]森美拉!AA9</f>
        <v>18</v>
      </c>
      <c r="T588" s="4">
        <v>0</v>
      </c>
      <c r="U588" s="4">
        <v>0</v>
      </c>
      <c r="V588" s="4">
        <v>0</v>
      </c>
    </row>
    <row r="589" spans="1:22" x14ac:dyDescent="0.15">
      <c r="A589" s="4" t="s">
        <v>2662</v>
      </c>
      <c r="D589" s="4">
        <f t="shared" si="7"/>
        <v>33</v>
      </c>
      <c r="E589" s="4">
        <v>9</v>
      </c>
      <c r="H589" s="29">
        <v>1001</v>
      </c>
      <c r="I589" s="4">
        <f>[1]森美拉!$AB10</f>
        <v>2042</v>
      </c>
      <c r="L589" s="30">
        <v>800</v>
      </c>
      <c r="M589" s="4">
        <f>[1]森美拉!W10</f>
        <v>256</v>
      </c>
      <c r="N589" s="4">
        <f>[1]森美拉!X10</f>
        <v>14</v>
      </c>
      <c r="O589" s="4">
        <f>[1]森美拉!Y10</f>
        <v>3392</v>
      </c>
      <c r="P589" s="4">
        <v>0</v>
      </c>
      <c r="Q589" s="4">
        <f>[1]森美拉!Z10</f>
        <v>1832</v>
      </c>
      <c r="R589" s="4">
        <v>2.5</v>
      </c>
      <c r="S589" s="4">
        <f>[1]森美拉!AA10</f>
        <v>19</v>
      </c>
      <c r="T589" s="4">
        <v>0</v>
      </c>
      <c r="U589" s="4">
        <v>0</v>
      </c>
      <c r="V589" s="4">
        <v>0</v>
      </c>
    </row>
    <row r="590" spans="1:22" x14ac:dyDescent="0.15">
      <c r="A590" s="4" t="s">
        <v>2662</v>
      </c>
      <c r="D590" s="4">
        <f t="shared" si="7"/>
        <v>33</v>
      </c>
      <c r="E590" s="4">
        <v>10</v>
      </c>
      <c r="H590" s="29">
        <v>1001</v>
      </c>
      <c r="I590" s="4">
        <f>[1]森美拉!$AB11</f>
        <v>2098</v>
      </c>
      <c r="L590" s="30">
        <v>800</v>
      </c>
      <c r="M590" s="4">
        <f>[1]森美拉!W11</f>
        <v>264</v>
      </c>
      <c r="N590" s="4">
        <f>[1]森美拉!X11</f>
        <v>15</v>
      </c>
      <c r="O590" s="4">
        <f>[1]森美拉!Y11</f>
        <v>3456</v>
      </c>
      <c r="P590" s="4">
        <v>0</v>
      </c>
      <c r="Q590" s="4">
        <f>[1]森美拉!Z11</f>
        <v>1837</v>
      </c>
      <c r="R590" s="4">
        <v>2.5</v>
      </c>
      <c r="S590" s="4">
        <f>[1]森美拉!AA11</f>
        <v>20</v>
      </c>
      <c r="T590" s="4">
        <v>0</v>
      </c>
      <c r="U590" s="4">
        <v>0</v>
      </c>
      <c r="V590" s="4">
        <v>0</v>
      </c>
    </row>
    <row r="591" spans="1:22" x14ac:dyDescent="0.15">
      <c r="A591" s="4" t="s">
        <v>2662</v>
      </c>
      <c r="D591" s="4">
        <f t="shared" si="7"/>
        <v>33</v>
      </c>
      <c r="E591" s="4">
        <v>11</v>
      </c>
      <c r="H591" s="29">
        <v>1001</v>
      </c>
      <c r="I591" s="4">
        <f>[1]森美拉!$AB12</f>
        <v>2154</v>
      </c>
      <c r="L591" s="30">
        <v>800</v>
      </c>
      <c r="M591" s="4">
        <f>[1]森美拉!W12</f>
        <v>272</v>
      </c>
      <c r="N591" s="4">
        <f>[1]森美拉!X12</f>
        <v>16</v>
      </c>
      <c r="O591" s="4">
        <f>[1]森美拉!Y12</f>
        <v>3520</v>
      </c>
      <c r="P591" s="4">
        <v>0</v>
      </c>
      <c r="Q591" s="4">
        <f>[1]森美拉!Z12</f>
        <v>1842</v>
      </c>
      <c r="R591" s="4">
        <v>2.5</v>
      </c>
      <c r="S591" s="4">
        <f>[1]森美拉!AA12</f>
        <v>21</v>
      </c>
      <c r="T591" s="4">
        <v>0</v>
      </c>
      <c r="U591" s="4">
        <v>0</v>
      </c>
      <c r="V591" s="4">
        <v>0</v>
      </c>
    </row>
    <row r="592" spans="1:22" x14ac:dyDescent="0.15">
      <c r="A592" s="4" t="s">
        <v>2662</v>
      </c>
      <c r="D592" s="4">
        <f t="shared" si="7"/>
        <v>33</v>
      </c>
      <c r="E592" s="4">
        <v>12</v>
      </c>
      <c r="H592" s="29">
        <v>1001</v>
      </c>
      <c r="I592" s="4">
        <f>[1]森美拉!$AB13</f>
        <v>2210</v>
      </c>
      <c r="L592" s="30">
        <v>800</v>
      </c>
      <c r="M592" s="4">
        <f>[1]森美拉!W13</f>
        <v>280</v>
      </c>
      <c r="N592" s="4">
        <f>[1]森美拉!X13</f>
        <v>17</v>
      </c>
      <c r="O592" s="4">
        <f>[1]森美拉!Y13</f>
        <v>3584</v>
      </c>
      <c r="P592" s="4">
        <v>0</v>
      </c>
      <c r="Q592" s="4">
        <f>[1]森美拉!Z13</f>
        <v>1847</v>
      </c>
      <c r="R592" s="4">
        <v>2.5</v>
      </c>
      <c r="S592" s="4">
        <f>[1]森美拉!AA13</f>
        <v>22</v>
      </c>
      <c r="T592" s="4">
        <v>0</v>
      </c>
      <c r="U592" s="4">
        <v>0</v>
      </c>
      <c r="V592" s="4">
        <v>0</v>
      </c>
    </row>
    <row r="593" spans="1:22" x14ac:dyDescent="0.15">
      <c r="A593" s="4" t="s">
        <v>2662</v>
      </c>
      <c r="D593" s="4">
        <f t="shared" si="7"/>
        <v>33</v>
      </c>
      <c r="E593" s="4">
        <v>13</v>
      </c>
      <c r="H593" s="29">
        <v>1001</v>
      </c>
      <c r="I593" s="4">
        <f>[1]森美拉!$AB14</f>
        <v>2266</v>
      </c>
      <c r="L593" s="30">
        <v>800</v>
      </c>
      <c r="M593" s="4">
        <f>[1]森美拉!W14</f>
        <v>288</v>
      </c>
      <c r="N593" s="4">
        <f>[1]森美拉!X14</f>
        <v>18</v>
      </c>
      <c r="O593" s="4">
        <f>[1]森美拉!Y14</f>
        <v>3648</v>
      </c>
      <c r="P593" s="4">
        <v>0</v>
      </c>
      <c r="Q593" s="4">
        <f>[1]森美拉!Z14</f>
        <v>1852</v>
      </c>
      <c r="R593" s="4">
        <v>2.5</v>
      </c>
      <c r="S593" s="4">
        <f>[1]森美拉!AA14</f>
        <v>23</v>
      </c>
      <c r="T593" s="4">
        <v>0</v>
      </c>
      <c r="U593" s="4">
        <v>0</v>
      </c>
      <c r="V593" s="4">
        <v>0</v>
      </c>
    </row>
    <row r="594" spans="1:22" x14ac:dyDescent="0.15">
      <c r="A594" s="4" t="s">
        <v>2662</v>
      </c>
      <c r="D594" s="4">
        <f t="shared" si="7"/>
        <v>33</v>
      </c>
      <c r="E594" s="4">
        <v>14</v>
      </c>
      <c r="H594" s="29">
        <v>1001</v>
      </c>
      <c r="I594" s="4">
        <f>[1]森美拉!$AB15</f>
        <v>2322</v>
      </c>
      <c r="L594" s="30">
        <v>800</v>
      </c>
      <c r="M594" s="4">
        <f>[1]森美拉!W15</f>
        <v>296</v>
      </c>
      <c r="N594" s="4">
        <f>[1]森美拉!X15</f>
        <v>19</v>
      </c>
      <c r="O594" s="4">
        <f>[1]森美拉!Y15</f>
        <v>3712</v>
      </c>
      <c r="P594" s="4">
        <v>0</v>
      </c>
      <c r="Q594" s="4">
        <f>[1]森美拉!Z15</f>
        <v>1857</v>
      </c>
      <c r="R594" s="4">
        <v>2.5</v>
      </c>
      <c r="S594" s="4">
        <f>[1]森美拉!AA15</f>
        <v>24</v>
      </c>
      <c r="T594" s="4">
        <v>0</v>
      </c>
      <c r="U594" s="4">
        <v>0</v>
      </c>
      <c r="V594" s="4">
        <v>0</v>
      </c>
    </row>
    <row r="595" spans="1:22" x14ac:dyDescent="0.15">
      <c r="A595" s="4" t="s">
        <v>2662</v>
      </c>
      <c r="D595" s="4">
        <f t="shared" si="7"/>
        <v>33</v>
      </c>
      <c r="E595" s="4">
        <v>15</v>
      </c>
      <c r="H595" s="29">
        <v>1001</v>
      </c>
      <c r="I595" s="4">
        <f>[1]森美拉!$AB16</f>
        <v>2377</v>
      </c>
      <c r="L595" s="30">
        <v>800</v>
      </c>
      <c r="M595" s="4">
        <f>[1]森美拉!W16</f>
        <v>304</v>
      </c>
      <c r="N595" s="4">
        <f>[1]森美拉!X16</f>
        <v>20</v>
      </c>
      <c r="O595" s="4">
        <f>[1]森美拉!Y16</f>
        <v>3776</v>
      </c>
      <c r="P595" s="4">
        <v>0</v>
      </c>
      <c r="Q595" s="4">
        <f>[1]森美拉!Z16</f>
        <v>1862</v>
      </c>
      <c r="R595" s="4">
        <v>2.5</v>
      </c>
      <c r="S595" s="4">
        <f>[1]森美拉!AA16</f>
        <v>25</v>
      </c>
      <c r="T595" s="4">
        <v>0</v>
      </c>
      <c r="U595" s="4">
        <v>0</v>
      </c>
      <c r="V595" s="4">
        <v>0</v>
      </c>
    </row>
    <row r="596" spans="1:22" x14ac:dyDescent="0.15">
      <c r="A596" s="4" t="s">
        <v>2662</v>
      </c>
      <c r="D596" s="4">
        <f t="shared" si="7"/>
        <v>33</v>
      </c>
      <c r="E596" s="4">
        <v>16</v>
      </c>
      <c r="H596" s="29">
        <v>1001</v>
      </c>
      <c r="I596" s="4">
        <f>[1]森美拉!$AB17</f>
        <v>2433</v>
      </c>
      <c r="L596" s="30">
        <v>800</v>
      </c>
      <c r="M596" s="4">
        <f>[1]森美拉!W17</f>
        <v>312</v>
      </c>
      <c r="N596" s="4">
        <f>[1]森美拉!X17</f>
        <v>21</v>
      </c>
      <c r="O596" s="4">
        <f>[1]森美拉!Y17</f>
        <v>3840</v>
      </c>
      <c r="P596" s="4">
        <v>0</v>
      </c>
      <c r="Q596" s="4">
        <f>[1]森美拉!Z17</f>
        <v>1867</v>
      </c>
      <c r="R596" s="4">
        <v>2.5</v>
      </c>
      <c r="S596" s="4">
        <f>[1]森美拉!AA17</f>
        <v>26</v>
      </c>
      <c r="T596" s="4">
        <v>0</v>
      </c>
      <c r="U596" s="4">
        <v>0</v>
      </c>
      <c r="V596" s="4">
        <v>0</v>
      </c>
    </row>
    <row r="597" spans="1:22" x14ac:dyDescent="0.15">
      <c r="A597" s="4" t="s">
        <v>2662</v>
      </c>
      <c r="D597" s="4">
        <f t="shared" si="7"/>
        <v>33</v>
      </c>
      <c r="E597" s="4">
        <v>17</v>
      </c>
      <c r="H597" s="29">
        <v>1001</v>
      </c>
      <c r="I597" s="4">
        <f>[1]森美拉!$AB18</f>
        <v>2489</v>
      </c>
      <c r="L597" s="30">
        <v>800</v>
      </c>
      <c r="M597" s="4">
        <f>[1]森美拉!W18</f>
        <v>320</v>
      </c>
      <c r="N597" s="4">
        <f>[1]森美拉!X18</f>
        <v>22</v>
      </c>
      <c r="O597" s="4">
        <f>[1]森美拉!Y18</f>
        <v>3904</v>
      </c>
      <c r="P597" s="4">
        <v>0</v>
      </c>
      <c r="Q597" s="4">
        <f>[1]森美拉!Z18</f>
        <v>1872</v>
      </c>
      <c r="R597" s="4">
        <v>2.5</v>
      </c>
      <c r="S597" s="4">
        <f>[1]森美拉!AA18</f>
        <v>27</v>
      </c>
      <c r="T597" s="4">
        <v>0</v>
      </c>
      <c r="U597" s="4">
        <v>0</v>
      </c>
      <c r="V597" s="4">
        <v>0</v>
      </c>
    </row>
    <row r="598" spans="1:22" x14ac:dyDescent="0.15">
      <c r="A598" s="4" t="s">
        <v>2662</v>
      </c>
      <c r="D598" s="4">
        <f t="shared" si="7"/>
        <v>33</v>
      </c>
      <c r="E598" s="4">
        <v>18</v>
      </c>
      <c r="H598" s="29">
        <v>1001</v>
      </c>
      <c r="I598" s="4">
        <f>[1]森美拉!$AB19</f>
        <v>2545</v>
      </c>
      <c r="L598" s="30">
        <v>800</v>
      </c>
      <c r="M598" s="4">
        <f>[1]森美拉!W19</f>
        <v>328</v>
      </c>
      <c r="N598" s="4">
        <f>[1]森美拉!X19</f>
        <v>23</v>
      </c>
      <c r="O598" s="4">
        <f>[1]森美拉!Y19</f>
        <v>3968</v>
      </c>
      <c r="P598" s="4">
        <v>0</v>
      </c>
      <c r="Q598" s="4">
        <f>[1]森美拉!Z19</f>
        <v>1877</v>
      </c>
      <c r="R598" s="4">
        <v>2.5</v>
      </c>
      <c r="S598" s="4">
        <f>[1]森美拉!AA19</f>
        <v>28</v>
      </c>
      <c r="T598" s="4">
        <v>0</v>
      </c>
      <c r="U598" s="4">
        <v>0</v>
      </c>
      <c r="V598" s="4">
        <v>0</v>
      </c>
    </row>
    <row r="599" spans="1:22" x14ac:dyDescent="0.15">
      <c r="A599" s="4" t="s">
        <v>2662</v>
      </c>
      <c r="D599" s="4">
        <f t="shared" si="7"/>
        <v>33</v>
      </c>
      <c r="E599" s="4">
        <v>19</v>
      </c>
      <c r="H599" s="29">
        <v>1001</v>
      </c>
      <c r="I599" s="4">
        <f>[1]森美拉!$AB20</f>
        <v>2601</v>
      </c>
      <c r="L599" s="30">
        <v>800</v>
      </c>
      <c r="M599" s="4">
        <f>[1]森美拉!W20</f>
        <v>336</v>
      </c>
      <c r="N599" s="4">
        <f>[1]森美拉!X20</f>
        <v>24</v>
      </c>
      <c r="O599" s="4">
        <f>[1]森美拉!Y20</f>
        <v>4032</v>
      </c>
      <c r="P599" s="4">
        <v>0</v>
      </c>
      <c r="Q599" s="4">
        <f>[1]森美拉!Z20</f>
        <v>1882</v>
      </c>
      <c r="R599" s="4">
        <v>2.5</v>
      </c>
      <c r="S599" s="4">
        <f>[1]森美拉!AA20</f>
        <v>29</v>
      </c>
      <c r="T599" s="4">
        <v>0</v>
      </c>
      <c r="U599" s="4">
        <v>0</v>
      </c>
      <c r="V599" s="4">
        <v>0</v>
      </c>
    </row>
    <row r="600" spans="1:22" x14ac:dyDescent="0.15">
      <c r="A600" s="4" t="s">
        <v>2662</v>
      </c>
      <c r="D600" s="4">
        <f t="shared" si="7"/>
        <v>33</v>
      </c>
      <c r="E600" s="4">
        <v>20</v>
      </c>
      <c r="H600" s="29">
        <v>1001</v>
      </c>
      <c r="I600" s="4">
        <f>[1]森美拉!$AB21</f>
        <v>2657</v>
      </c>
      <c r="L600" s="30">
        <v>800</v>
      </c>
      <c r="M600" s="4">
        <f>[1]森美拉!W21</f>
        <v>344</v>
      </c>
      <c r="N600" s="4">
        <f>[1]森美拉!X21</f>
        <v>25</v>
      </c>
      <c r="O600" s="4">
        <f>[1]森美拉!Y21</f>
        <v>4096</v>
      </c>
      <c r="P600" s="4">
        <v>0</v>
      </c>
      <c r="Q600" s="4">
        <f>[1]森美拉!Z21</f>
        <v>1887</v>
      </c>
      <c r="R600" s="4">
        <v>2.5</v>
      </c>
      <c r="S600" s="4">
        <f>[1]森美拉!AA21</f>
        <v>30</v>
      </c>
      <c r="T600" s="4">
        <v>0</v>
      </c>
      <c r="U600" s="4">
        <v>0</v>
      </c>
      <c r="V600" s="4">
        <v>0</v>
      </c>
    </row>
    <row r="601" spans="1:22" x14ac:dyDescent="0.15">
      <c r="A601" s="4" t="s">
        <v>2662</v>
      </c>
      <c r="D601" s="4">
        <f t="shared" si="7"/>
        <v>33</v>
      </c>
      <c r="E601" s="4">
        <v>21</v>
      </c>
      <c r="H601" s="29">
        <v>1001</v>
      </c>
      <c r="I601" s="4">
        <f>[1]森美拉!$AB22</f>
        <v>2713</v>
      </c>
      <c r="L601" s="30">
        <v>800</v>
      </c>
      <c r="M601" s="4">
        <f>[1]森美拉!W22</f>
        <v>352</v>
      </c>
      <c r="N601" s="4">
        <f>[1]森美拉!X22</f>
        <v>26</v>
      </c>
      <c r="O601" s="4">
        <f>[1]森美拉!Y22</f>
        <v>4160</v>
      </c>
      <c r="P601" s="4">
        <v>0</v>
      </c>
      <c r="Q601" s="4">
        <f>[1]森美拉!Z22</f>
        <v>1892</v>
      </c>
      <c r="R601" s="4">
        <v>2.5</v>
      </c>
      <c r="S601" s="4">
        <f>[1]森美拉!AA22</f>
        <v>31</v>
      </c>
      <c r="T601" s="4">
        <v>0</v>
      </c>
      <c r="U601" s="4">
        <v>0</v>
      </c>
      <c r="V601" s="4">
        <v>0</v>
      </c>
    </row>
    <row r="602" spans="1:22" x14ac:dyDescent="0.15">
      <c r="A602" s="4" t="s">
        <v>2662</v>
      </c>
      <c r="D602" s="4">
        <f t="shared" si="7"/>
        <v>33</v>
      </c>
      <c r="E602" s="4">
        <v>22</v>
      </c>
      <c r="H602" s="29">
        <v>1001</v>
      </c>
      <c r="I602" s="4">
        <f>[1]森美拉!$AB23</f>
        <v>2769</v>
      </c>
      <c r="L602" s="30">
        <v>800</v>
      </c>
      <c r="M602" s="4">
        <f>[1]森美拉!W23</f>
        <v>360</v>
      </c>
      <c r="N602" s="4">
        <f>[1]森美拉!X23</f>
        <v>27</v>
      </c>
      <c r="O602" s="4">
        <f>[1]森美拉!Y23</f>
        <v>4224</v>
      </c>
      <c r="P602" s="4">
        <v>0</v>
      </c>
      <c r="Q602" s="4">
        <f>[1]森美拉!Z23</f>
        <v>1897</v>
      </c>
      <c r="R602" s="4">
        <v>2.5</v>
      </c>
      <c r="S602" s="4">
        <f>[1]森美拉!AA23</f>
        <v>32</v>
      </c>
      <c r="T602" s="4">
        <v>0</v>
      </c>
      <c r="U602" s="4">
        <v>0</v>
      </c>
      <c r="V602" s="4">
        <v>0</v>
      </c>
    </row>
    <row r="603" spans="1:22" x14ac:dyDescent="0.15">
      <c r="A603" s="4" t="s">
        <v>2662</v>
      </c>
      <c r="D603" s="4">
        <f t="shared" si="7"/>
        <v>33</v>
      </c>
      <c r="E603" s="4">
        <v>23</v>
      </c>
      <c r="H603" s="29">
        <v>1001</v>
      </c>
      <c r="I603" s="4">
        <f>[1]森美拉!$AB24</f>
        <v>2825</v>
      </c>
      <c r="L603" s="30">
        <v>800</v>
      </c>
      <c r="M603" s="4">
        <f>[1]森美拉!W24</f>
        <v>368</v>
      </c>
      <c r="N603" s="4">
        <f>[1]森美拉!X24</f>
        <v>28</v>
      </c>
      <c r="O603" s="4">
        <f>[1]森美拉!Y24</f>
        <v>4288</v>
      </c>
      <c r="P603" s="4">
        <v>0</v>
      </c>
      <c r="Q603" s="4">
        <f>[1]森美拉!Z24</f>
        <v>1902</v>
      </c>
      <c r="R603" s="4">
        <v>2.5</v>
      </c>
      <c r="S603" s="4">
        <f>[1]森美拉!AA24</f>
        <v>33</v>
      </c>
      <c r="T603" s="4">
        <v>0</v>
      </c>
      <c r="U603" s="4">
        <v>0</v>
      </c>
      <c r="V603" s="4">
        <v>0</v>
      </c>
    </row>
    <row r="604" spans="1:22" x14ac:dyDescent="0.15">
      <c r="A604" s="4" t="s">
        <v>2662</v>
      </c>
      <c r="D604" s="4">
        <f t="shared" si="7"/>
        <v>33</v>
      </c>
      <c r="E604" s="4">
        <v>24</v>
      </c>
      <c r="H604" s="29">
        <v>1001</v>
      </c>
      <c r="I604" s="4">
        <f>[1]森美拉!$AB25</f>
        <v>2881</v>
      </c>
      <c r="L604" s="30">
        <v>800</v>
      </c>
      <c r="M604" s="4">
        <f>[1]森美拉!W25</f>
        <v>376</v>
      </c>
      <c r="N604" s="4">
        <f>[1]森美拉!X25</f>
        <v>29</v>
      </c>
      <c r="O604" s="4">
        <f>[1]森美拉!Y25</f>
        <v>4352</v>
      </c>
      <c r="P604" s="4">
        <v>0</v>
      </c>
      <c r="Q604" s="4">
        <f>[1]森美拉!Z25</f>
        <v>1907</v>
      </c>
      <c r="R604" s="4">
        <v>2.5</v>
      </c>
      <c r="S604" s="4">
        <f>[1]森美拉!AA25</f>
        <v>34</v>
      </c>
      <c r="T604" s="4">
        <v>0</v>
      </c>
      <c r="U604" s="4">
        <v>0</v>
      </c>
      <c r="V604" s="4">
        <v>0</v>
      </c>
    </row>
    <row r="605" spans="1:22" x14ac:dyDescent="0.15">
      <c r="A605" s="4" t="s">
        <v>2662</v>
      </c>
      <c r="D605" s="4">
        <f t="shared" si="7"/>
        <v>33</v>
      </c>
      <c r="E605" s="4">
        <v>25</v>
      </c>
      <c r="H605" s="29">
        <v>1001</v>
      </c>
      <c r="I605" s="4">
        <f>[1]森美拉!$AB26</f>
        <v>2936</v>
      </c>
      <c r="L605" s="30">
        <v>800</v>
      </c>
      <c r="M605" s="4">
        <f>[1]森美拉!W26</f>
        <v>384</v>
      </c>
      <c r="N605" s="4">
        <f>[1]森美拉!X26</f>
        <v>30</v>
      </c>
      <c r="O605" s="4">
        <f>[1]森美拉!Y26</f>
        <v>4416</v>
      </c>
      <c r="P605" s="4">
        <v>0</v>
      </c>
      <c r="Q605" s="4">
        <f>[1]森美拉!Z26</f>
        <v>1912</v>
      </c>
      <c r="R605" s="4">
        <v>2.5</v>
      </c>
      <c r="S605" s="4">
        <f>[1]森美拉!AA26</f>
        <v>35</v>
      </c>
      <c r="T605" s="4">
        <v>0</v>
      </c>
      <c r="U605" s="4">
        <v>0</v>
      </c>
      <c r="V605" s="4">
        <v>0</v>
      </c>
    </row>
    <row r="606" spans="1:22" x14ac:dyDescent="0.15">
      <c r="A606" s="4" t="s">
        <v>2662</v>
      </c>
      <c r="D606" s="4">
        <f t="shared" si="7"/>
        <v>33</v>
      </c>
      <c r="E606" s="4">
        <v>26</v>
      </c>
      <c r="H606" s="29">
        <v>1001</v>
      </c>
      <c r="I606" s="4">
        <f>[1]森美拉!$AB27</f>
        <v>2992</v>
      </c>
      <c r="L606" s="30">
        <v>800</v>
      </c>
      <c r="M606" s="4">
        <f>[1]森美拉!W27</f>
        <v>392</v>
      </c>
      <c r="N606" s="4">
        <f>[1]森美拉!X27</f>
        <v>31</v>
      </c>
      <c r="O606" s="4">
        <f>[1]森美拉!Y27</f>
        <v>4480</v>
      </c>
      <c r="P606" s="4">
        <v>0</v>
      </c>
      <c r="Q606" s="4">
        <f>[1]森美拉!Z27</f>
        <v>1917</v>
      </c>
      <c r="R606" s="4">
        <v>2.5</v>
      </c>
      <c r="S606" s="4">
        <f>[1]森美拉!AA27</f>
        <v>36</v>
      </c>
      <c r="T606" s="4">
        <v>0</v>
      </c>
      <c r="U606" s="4">
        <v>0</v>
      </c>
      <c r="V606" s="4">
        <v>0</v>
      </c>
    </row>
    <row r="607" spans="1:22" x14ac:dyDescent="0.15">
      <c r="A607" s="4" t="s">
        <v>2662</v>
      </c>
      <c r="D607" s="4">
        <f t="shared" si="7"/>
        <v>33</v>
      </c>
      <c r="E607" s="4">
        <v>27</v>
      </c>
      <c r="H607" s="29">
        <v>1001</v>
      </c>
      <c r="I607" s="4">
        <f>[1]森美拉!$AB28</f>
        <v>3048</v>
      </c>
      <c r="L607" s="30">
        <v>800</v>
      </c>
      <c r="M607" s="4">
        <f>[1]森美拉!W28</f>
        <v>400</v>
      </c>
      <c r="N607" s="4">
        <f>[1]森美拉!X28</f>
        <v>32</v>
      </c>
      <c r="O607" s="4">
        <f>[1]森美拉!Y28</f>
        <v>4544</v>
      </c>
      <c r="P607" s="4">
        <v>0</v>
      </c>
      <c r="Q607" s="4">
        <f>[1]森美拉!Z28</f>
        <v>1922</v>
      </c>
      <c r="R607" s="4">
        <v>2.5</v>
      </c>
      <c r="S607" s="4">
        <f>[1]森美拉!AA28</f>
        <v>37</v>
      </c>
      <c r="T607" s="4">
        <v>0</v>
      </c>
      <c r="U607" s="4">
        <v>0</v>
      </c>
      <c r="V607" s="4">
        <v>0</v>
      </c>
    </row>
    <row r="608" spans="1:22" x14ac:dyDescent="0.15">
      <c r="A608" s="4" t="s">
        <v>2662</v>
      </c>
      <c r="D608" s="4">
        <f t="shared" si="7"/>
        <v>33</v>
      </c>
      <c r="E608" s="4">
        <v>28</v>
      </c>
      <c r="H608" s="29">
        <v>1001</v>
      </c>
      <c r="I608" s="4">
        <f>[1]森美拉!$AB29</f>
        <v>3104</v>
      </c>
      <c r="L608" s="30">
        <v>800</v>
      </c>
      <c r="M608" s="4">
        <f>[1]森美拉!W29</f>
        <v>408</v>
      </c>
      <c r="N608" s="4">
        <f>[1]森美拉!X29</f>
        <v>33</v>
      </c>
      <c r="O608" s="4">
        <f>[1]森美拉!Y29</f>
        <v>4608</v>
      </c>
      <c r="P608" s="4">
        <v>0</v>
      </c>
      <c r="Q608" s="4">
        <f>[1]森美拉!Z29</f>
        <v>1927</v>
      </c>
      <c r="R608" s="4">
        <v>2.5</v>
      </c>
      <c r="S608" s="4">
        <f>[1]森美拉!AA29</f>
        <v>38</v>
      </c>
      <c r="T608" s="4">
        <v>0</v>
      </c>
      <c r="U608" s="4">
        <v>0</v>
      </c>
      <c r="V608" s="4">
        <v>0</v>
      </c>
    </row>
    <row r="609" spans="1:22" x14ac:dyDescent="0.15">
      <c r="A609" s="4" t="s">
        <v>2662</v>
      </c>
      <c r="D609" s="4">
        <f t="shared" si="7"/>
        <v>33</v>
      </c>
      <c r="E609" s="4">
        <v>29</v>
      </c>
      <c r="H609" s="29">
        <v>1001</v>
      </c>
      <c r="I609" s="4">
        <f>[1]森美拉!$AB30</f>
        <v>3160</v>
      </c>
      <c r="L609" s="30">
        <v>800</v>
      </c>
      <c r="M609" s="4">
        <f>[1]森美拉!W30</f>
        <v>416</v>
      </c>
      <c r="N609" s="4">
        <f>[1]森美拉!X30</f>
        <v>34</v>
      </c>
      <c r="O609" s="4">
        <f>[1]森美拉!Y30</f>
        <v>4672</v>
      </c>
      <c r="P609" s="4">
        <v>0</v>
      </c>
      <c r="Q609" s="4">
        <f>[1]森美拉!Z30</f>
        <v>1932</v>
      </c>
      <c r="R609" s="4">
        <v>2.5</v>
      </c>
      <c r="S609" s="4">
        <f>[1]森美拉!AA30</f>
        <v>39</v>
      </c>
      <c r="T609" s="4">
        <v>0</v>
      </c>
      <c r="U609" s="4">
        <v>0</v>
      </c>
      <c r="V609" s="4">
        <v>0</v>
      </c>
    </row>
    <row r="610" spans="1:22" x14ac:dyDescent="0.15">
      <c r="A610" s="4" t="s">
        <v>2662</v>
      </c>
      <c r="D610" s="4">
        <f t="shared" si="7"/>
        <v>33</v>
      </c>
      <c r="E610" s="4">
        <v>30</v>
      </c>
      <c r="H610" s="29">
        <v>1001</v>
      </c>
      <c r="I610" s="4">
        <f>[1]森美拉!$AB31</f>
        <v>3216</v>
      </c>
      <c r="L610" s="30">
        <v>800</v>
      </c>
      <c r="M610" s="4">
        <f>[1]森美拉!W31</f>
        <v>424</v>
      </c>
      <c r="N610" s="4">
        <f>[1]森美拉!X31</f>
        <v>35</v>
      </c>
      <c r="O610" s="4">
        <f>[1]森美拉!Y31</f>
        <v>4736</v>
      </c>
      <c r="P610" s="4">
        <v>0</v>
      </c>
      <c r="Q610" s="4">
        <f>[1]森美拉!Z31</f>
        <v>1937</v>
      </c>
      <c r="R610" s="4">
        <v>2.5</v>
      </c>
      <c r="S610" s="4">
        <f>[1]森美拉!AA31</f>
        <v>40</v>
      </c>
      <c r="T610" s="4">
        <v>0</v>
      </c>
      <c r="U610" s="4">
        <v>0</v>
      </c>
      <c r="V610" s="4">
        <v>0</v>
      </c>
    </row>
    <row r="611" spans="1:22" x14ac:dyDescent="0.15">
      <c r="A611" s="4" t="s">
        <v>2662</v>
      </c>
      <c r="D611" s="4">
        <f t="shared" si="7"/>
        <v>33</v>
      </c>
      <c r="E611" s="4">
        <v>31</v>
      </c>
      <c r="H611" s="29">
        <v>1001</v>
      </c>
      <c r="I611" s="4">
        <f>[1]森美拉!$AB32</f>
        <v>3272</v>
      </c>
      <c r="L611" s="30">
        <v>800</v>
      </c>
      <c r="M611" s="4">
        <f>[1]森美拉!W32</f>
        <v>432</v>
      </c>
      <c r="N611" s="4">
        <f>[1]森美拉!X32</f>
        <v>36</v>
      </c>
      <c r="O611" s="4">
        <f>[1]森美拉!Y32</f>
        <v>4800</v>
      </c>
      <c r="P611" s="4">
        <v>0</v>
      </c>
      <c r="Q611" s="4">
        <f>[1]森美拉!Z32</f>
        <v>1942</v>
      </c>
      <c r="R611" s="4">
        <v>2.5</v>
      </c>
      <c r="S611" s="4">
        <f>[1]森美拉!AA32</f>
        <v>41</v>
      </c>
      <c r="T611" s="4">
        <v>0</v>
      </c>
      <c r="U611" s="4">
        <v>0</v>
      </c>
      <c r="V611" s="4">
        <v>0</v>
      </c>
    </row>
    <row r="612" spans="1:22" x14ac:dyDescent="0.15">
      <c r="A612" s="4" t="s">
        <v>2662</v>
      </c>
      <c r="D612" s="4">
        <f t="shared" si="7"/>
        <v>33</v>
      </c>
      <c r="E612" s="4">
        <v>32</v>
      </c>
      <c r="H612" s="29">
        <v>1001</v>
      </c>
      <c r="I612" s="4">
        <f>[1]森美拉!$AB33</f>
        <v>3328</v>
      </c>
      <c r="L612" s="30">
        <v>800</v>
      </c>
      <c r="M612" s="4">
        <f>[1]森美拉!W33</f>
        <v>440</v>
      </c>
      <c r="N612" s="4">
        <f>[1]森美拉!X33</f>
        <v>37</v>
      </c>
      <c r="O612" s="4">
        <f>[1]森美拉!Y33</f>
        <v>4864</v>
      </c>
      <c r="P612" s="4">
        <v>0</v>
      </c>
      <c r="Q612" s="4">
        <f>[1]森美拉!Z33</f>
        <v>1947</v>
      </c>
      <c r="R612" s="4">
        <v>2.5</v>
      </c>
      <c r="S612" s="4">
        <f>[1]森美拉!AA33</f>
        <v>42</v>
      </c>
      <c r="T612" s="4">
        <v>0</v>
      </c>
      <c r="U612" s="4">
        <v>0</v>
      </c>
      <c r="V612" s="4">
        <v>0</v>
      </c>
    </row>
    <row r="613" spans="1:22" x14ac:dyDescent="0.15">
      <c r="A613" s="4" t="s">
        <v>2662</v>
      </c>
      <c r="D613" s="4">
        <f t="shared" si="7"/>
        <v>33</v>
      </c>
      <c r="E613" s="4">
        <v>33</v>
      </c>
      <c r="H613" s="29">
        <v>1001</v>
      </c>
      <c r="I613" s="4">
        <f>[1]森美拉!$AB34</f>
        <v>3384</v>
      </c>
      <c r="L613" s="30">
        <v>800</v>
      </c>
      <c r="M613" s="4">
        <f>[1]森美拉!W34</f>
        <v>448</v>
      </c>
      <c r="N613" s="4">
        <f>[1]森美拉!X34</f>
        <v>38</v>
      </c>
      <c r="O613" s="4">
        <f>[1]森美拉!Y34</f>
        <v>4928</v>
      </c>
      <c r="P613" s="4">
        <v>0</v>
      </c>
      <c r="Q613" s="4">
        <f>[1]森美拉!Z34</f>
        <v>1952</v>
      </c>
      <c r="R613" s="4">
        <v>2.5</v>
      </c>
      <c r="S613" s="4">
        <f>[1]森美拉!AA34</f>
        <v>43</v>
      </c>
      <c r="T613" s="4">
        <v>0</v>
      </c>
      <c r="U613" s="4">
        <v>0</v>
      </c>
      <c r="V613" s="4">
        <v>0</v>
      </c>
    </row>
    <row r="614" spans="1:22" x14ac:dyDescent="0.15">
      <c r="A614" s="4" t="s">
        <v>2662</v>
      </c>
      <c r="D614" s="4">
        <f t="shared" si="7"/>
        <v>33</v>
      </c>
      <c r="E614" s="4">
        <v>34</v>
      </c>
      <c r="H614" s="29">
        <v>1001</v>
      </c>
      <c r="I614" s="4">
        <f>[1]森美拉!$AB35</f>
        <v>3440</v>
      </c>
      <c r="L614" s="30">
        <v>800</v>
      </c>
      <c r="M614" s="4">
        <f>[1]森美拉!W35</f>
        <v>456</v>
      </c>
      <c r="N614" s="4">
        <f>[1]森美拉!X35</f>
        <v>39</v>
      </c>
      <c r="O614" s="4">
        <f>[1]森美拉!Y35</f>
        <v>4992</v>
      </c>
      <c r="P614" s="4">
        <v>0</v>
      </c>
      <c r="Q614" s="4">
        <f>[1]森美拉!Z35</f>
        <v>1957</v>
      </c>
      <c r="R614" s="4">
        <v>2.5</v>
      </c>
      <c r="S614" s="4">
        <f>[1]森美拉!AA35</f>
        <v>44</v>
      </c>
      <c r="T614" s="4">
        <v>0</v>
      </c>
      <c r="U614" s="4">
        <v>0</v>
      </c>
      <c r="V614" s="4">
        <v>0</v>
      </c>
    </row>
    <row r="615" spans="1:22" x14ac:dyDescent="0.15">
      <c r="A615" s="4" t="s">
        <v>2662</v>
      </c>
      <c r="D615" s="4">
        <f t="shared" si="7"/>
        <v>33</v>
      </c>
      <c r="E615" s="4">
        <v>35</v>
      </c>
      <c r="H615" s="29">
        <v>1001</v>
      </c>
      <c r="I615" s="4">
        <f>[1]森美拉!$AB36</f>
        <v>3495</v>
      </c>
      <c r="L615" s="30">
        <v>800</v>
      </c>
      <c r="M615" s="4">
        <f>[1]森美拉!W36</f>
        <v>464</v>
      </c>
      <c r="N615" s="4">
        <f>[1]森美拉!X36</f>
        <v>40</v>
      </c>
      <c r="O615" s="4">
        <f>[1]森美拉!Y36</f>
        <v>5056</v>
      </c>
      <c r="P615" s="4">
        <v>0</v>
      </c>
      <c r="Q615" s="4">
        <f>[1]森美拉!Z36</f>
        <v>1962</v>
      </c>
      <c r="R615" s="4">
        <v>2.5</v>
      </c>
      <c r="S615" s="4">
        <f>[1]森美拉!AA36</f>
        <v>45</v>
      </c>
      <c r="T615" s="4">
        <v>0</v>
      </c>
      <c r="U615" s="4">
        <v>0</v>
      </c>
      <c r="V615" s="4">
        <v>0</v>
      </c>
    </row>
    <row r="616" spans="1:22" x14ac:dyDescent="0.15">
      <c r="A616" s="4" t="s">
        <v>2662</v>
      </c>
      <c r="D616" s="4">
        <f t="shared" si="7"/>
        <v>33</v>
      </c>
      <c r="E616" s="4">
        <v>36</v>
      </c>
      <c r="H616" s="29">
        <v>1001</v>
      </c>
      <c r="I616" s="4">
        <f>[1]森美拉!$AB37</f>
        <v>3551</v>
      </c>
      <c r="L616" s="30">
        <v>800</v>
      </c>
      <c r="M616" s="4">
        <f>[1]森美拉!W37</f>
        <v>472</v>
      </c>
      <c r="N616" s="4">
        <f>[1]森美拉!X37</f>
        <v>41</v>
      </c>
      <c r="O616" s="4">
        <f>[1]森美拉!Y37</f>
        <v>5120</v>
      </c>
      <c r="P616" s="4">
        <v>0</v>
      </c>
      <c r="Q616" s="4">
        <f>[1]森美拉!Z37</f>
        <v>1967</v>
      </c>
      <c r="R616" s="4">
        <v>2.5</v>
      </c>
      <c r="S616" s="4">
        <f>[1]森美拉!AA37</f>
        <v>46</v>
      </c>
      <c r="T616" s="4">
        <v>0</v>
      </c>
      <c r="U616" s="4">
        <v>0</v>
      </c>
      <c r="V616" s="4">
        <v>0</v>
      </c>
    </row>
    <row r="617" spans="1:22" x14ac:dyDescent="0.15">
      <c r="A617" s="4" t="s">
        <v>2662</v>
      </c>
      <c r="D617" s="4">
        <f t="shared" si="7"/>
        <v>33</v>
      </c>
      <c r="E617" s="4">
        <v>37</v>
      </c>
      <c r="H617" s="29">
        <v>1001</v>
      </c>
      <c r="I617" s="4">
        <f>[1]森美拉!$AB38</f>
        <v>3607</v>
      </c>
      <c r="L617" s="30">
        <v>800</v>
      </c>
      <c r="M617" s="4">
        <f>[1]森美拉!W38</f>
        <v>480</v>
      </c>
      <c r="N617" s="4">
        <f>[1]森美拉!X38</f>
        <v>42</v>
      </c>
      <c r="O617" s="4">
        <f>[1]森美拉!Y38</f>
        <v>5184</v>
      </c>
      <c r="P617" s="4">
        <v>0</v>
      </c>
      <c r="Q617" s="4">
        <f>[1]森美拉!Z38</f>
        <v>1972</v>
      </c>
      <c r="R617" s="4">
        <v>2.5</v>
      </c>
      <c r="S617" s="4">
        <f>[1]森美拉!AA38</f>
        <v>47</v>
      </c>
      <c r="T617" s="4">
        <v>0</v>
      </c>
      <c r="U617" s="4">
        <v>0</v>
      </c>
      <c r="V617" s="4">
        <v>0</v>
      </c>
    </row>
    <row r="618" spans="1:22" x14ac:dyDescent="0.15">
      <c r="A618" s="4" t="s">
        <v>2662</v>
      </c>
      <c r="D618" s="4">
        <f t="shared" si="7"/>
        <v>33</v>
      </c>
      <c r="E618" s="4">
        <v>38</v>
      </c>
      <c r="H618" s="29">
        <v>1001</v>
      </c>
      <c r="I618" s="4">
        <f>[1]森美拉!$AB39</f>
        <v>3663</v>
      </c>
      <c r="L618" s="30">
        <v>800</v>
      </c>
      <c r="M618" s="4">
        <f>[1]森美拉!W39</f>
        <v>488</v>
      </c>
      <c r="N618" s="4">
        <f>[1]森美拉!X39</f>
        <v>43</v>
      </c>
      <c r="O618" s="4">
        <f>[1]森美拉!Y39</f>
        <v>5248</v>
      </c>
      <c r="P618" s="4">
        <v>0</v>
      </c>
      <c r="Q618" s="4">
        <f>[1]森美拉!Z39</f>
        <v>1977</v>
      </c>
      <c r="R618" s="4">
        <v>2.5</v>
      </c>
      <c r="S618" s="4">
        <f>[1]森美拉!AA39</f>
        <v>48</v>
      </c>
      <c r="T618" s="4">
        <v>0</v>
      </c>
      <c r="U618" s="4">
        <v>0</v>
      </c>
      <c r="V618" s="4">
        <v>0</v>
      </c>
    </row>
    <row r="619" spans="1:22" x14ac:dyDescent="0.15">
      <c r="A619" s="4" t="s">
        <v>2662</v>
      </c>
      <c r="D619" s="4">
        <f t="shared" si="7"/>
        <v>33</v>
      </c>
      <c r="E619" s="4">
        <v>39</v>
      </c>
      <c r="H619" s="29">
        <v>1001</v>
      </c>
      <c r="I619" s="4">
        <f>[1]森美拉!$AB40</f>
        <v>3719</v>
      </c>
      <c r="L619" s="30">
        <v>800</v>
      </c>
      <c r="M619" s="4">
        <f>[1]森美拉!W40</f>
        <v>496</v>
      </c>
      <c r="N619" s="4">
        <f>[1]森美拉!X40</f>
        <v>44</v>
      </c>
      <c r="O619" s="4">
        <f>[1]森美拉!Y40</f>
        <v>5312</v>
      </c>
      <c r="P619" s="4">
        <v>0</v>
      </c>
      <c r="Q619" s="4">
        <f>[1]森美拉!Z40</f>
        <v>1982</v>
      </c>
      <c r="R619" s="4">
        <v>2.5</v>
      </c>
      <c r="S619" s="4">
        <f>[1]森美拉!AA40</f>
        <v>49</v>
      </c>
      <c r="T619" s="4">
        <v>0</v>
      </c>
      <c r="U619" s="4">
        <v>0</v>
      </c>
      <c r="V619" s="4">
        <v>0</v>
      </c>
    </row>
    <row r="620" spans="1:22" x14ac:dyDescent="0.15">
      <c r="A620" s="4" t="s">
        <v>2662</v>
      </c>
      <c r="D620" s="4">
        <f t="shared" si="7"/>
        <v>33</v>
      </c>
      <c r="E620" s="4">
        <v>40</v>
      </c>
      <c r="H620" s="29">
        <v>1001</v>
      </c>
      <c r="I620" s="4">
        <f>[1]森美拉!$AB41</f>
        <v>3775</v>
      </c>
      <c r="L620" s="30">
        <v>800</v>
      </c>
      <c r="M620" s="4">
        <f>[1]森美拉!W41</f>
        <v>504</v>
      </c>
      <c r="N620" s="4">
        <f>[1]森美拉!X41</f>
        <v>45</v>
      </c>
      <c r="O620" s="4">
        <f>[1]森美拉!Y41</f>
        <v>5376</v>
      </c>
      <c r="P620" s="4">
        <v>0</v>
      </c>
      <c r="Q620" s="4">
        <f>[1]森美拉!Z41</f>
        <v>1987</v>
      </c>
      <c r="R620" s="4">
        <v>2.5</v>
      </c>
      <c r="S620" s="4">
        <f>[1]森美拉!AA41</f>
        <v>50</v>
      </c>
      <c r="T620" s="4">
        <v>0</v>
      </c>
      <c r="U620" s="4">
        <v>0</v>
      </c>
      <c r="V620" s="4">
        <v>0</v>
      </c>
    </row>
    <row r="621" spans="1:22" x14ac:dyDescent="0.15">
      <c r="A621" s="4" t="s">
        <v>2662</v>
      </c>
      <c r="D621" s="4">
        <f t="shared" si="7"/>
        <v>33</v>
      </c>
      <c r="E621" s="4">
        <v>41</v>
      </c>
      <c r="H621" s="29">
        <v>1001</v>
      </c>
      <c r="I621" s="4">
        <f>[1]森美拉!$AB42</f>
        <v>3831</v>
      </c>
      <c r="L621" s="30">
        <v>800</v>
      </c>
      <c r="M621" s="4">
        <f>[1]森美拉!W42</f>
        <v>512</v>
      </c>
      <c r="N621" s="4">
        <f>[1]森美拉!X42</f>
        <v>46</v>
      </c>
      <c r="O621" s="4">
        <f>[1]森美拉!Y42</f>
        <v>5440</v>
      </c>
      <c r="P621" s="4">
        <v>0</v>
      </c>
      <c r="Q621" s="4">
        <f>[1]森美拉!Z42</f>
        <v>1992</v>
      </c>
      <c r="R621" s="4">
        <v>2.5</v>
      </c>
      <c r="S621" s="4">
        <f>[1]森美拉!AA42</f>
        <v>51</v>
      </c>
      <c r="T621" s="4">
        <v>0</v>
      </c>
      <c r="U621" s="4">
        <v>0</v>
      </c>
      <c r="V621" s="4">
        <v>0</v>
      </c>
    </row>
    <row r="622" spans="1:22" x14ac:dyDescent="0.15">
      <c r="A622" s="4" t="s">
        <v>2662</v>
      </c>
      <c r="D622" s="4">
        <f t="shared" si="7"/>
        <v>33</v>
      </c>
      <c r="E622" s="4">
        <v>42</v>
      </c>
      <c r="H622" s="29">
        <v>1001</v>
      </c>
      <c r="I622" s="4">
        <f>[1]森美拉!$AB43</f>
        <v>3887</v>
      </c>
      <c r="L622" s="30">
        <v>800</v>
      </c>
      <c r="M622" s="4">
        <f>[1]森美拉!W43</f>
        <v>520</v>
      </c>
      <c r="N622" s="4">
        <f>[1]森美拉!X43</f>
        <v>47</v>
      </c>
      <c r="O622" s="4">
        <f>[1]森美拉!Y43</f>
        <v>5504</v>
      </c>
      <c r="P622" s="4">
        <v>0</v>
      </c>
      <c r="Q622" s="4">
        <f>[1]森美拉!Z43</f>
        <v>1997</v>
      </c>
      <c r="R622" s="4">
        <v>2.5</v>
      </c>
      <c r="S622" s="4">
        <f>[1]森美拉!AA43</f>
        <v>52</v>
      </c>
      <c r="T622" s="4">
        <v>0</v>
      </c>
      <c r="U622" s="4">
        <v>0</v>
      </c>
      <c r="V622" s="4">
        <v>0</v>
      </c>
    </row>
    <row r="623" spans="1:22" x14ac:dyDescent="0.15">
      <c r="A623" s="4" t="s">
        <v>2662</v>
      </c>
      <c r="D623" s="4">
        <f t="shared" si="7"/>
        <v>33</v>
      </c>
      <c r="E623" s="4">
        <v>43</v>
      </c>
      <c r="H623" s="29">
        <v>1001</v>
      </c>
      <c r="I623" s="4">
        <f>[1]森美拉!$AB44</f>
        <v>3943</v>
      </c>
      <c r="L623" s="30">
        <v>800</v>
      </c>
      <c r="M623" s="4">
        <f>[1]森美拉!W44</f>
        <v>528</v>
      </c>
      <c r="N623" s="4">
        <f>[1]森美拉!X44</f>
        <v>48</v>
      </c>
      <c r="O623" s="4">
        <f>[1]森美拉!Y44</f>
        <v>5568</v>
      </c>
      <c r="P623" s="4">
        <v>0</v>
      </c>
      <c r="Q623" s="4">
        <f>[1]森美拉!Z44</f>
        <v>2002</v>
      </c>
      <c r="R623" s="4">
        <v>2.5</v>
      </c>
      <c r="S623" s="4">
        <f>[1]森美拉!AA44</f>
        <v>53</v>
      </c>
      <c r="T623" s="4">
        <v>0</v>
      </c>
      <c r="U623" s="4">
        <v>0</v>
      </c>
      <c r="V623" s="4">
        <v>0</v>
      </c>
    </row>
    <row r="624" spans="1:22" x14ac:dyDescent="0.15">
      <c r="A624" s="4" t="s">
        <v>2662</v>
      </c>
      <c r="D624" s="4">
        <f t="shared" si="7"/>
        <v>33</v>
      </c>
      <c r="E624" s="4">
        <v>44</v>
      </c>
      <c r="H624" s="29">
        <v>1001</v>
      </c>
      <c r="I624" s="4">
        <f>[1]森美拉!$AB45</f>
        <v>3999</v>
      </c>
      <c r="L624" s="30">
        <v>800</v>
      </c>
      <c r="M624" s="4">
        <f>[1]森美拉!W45</f>
        <v>536</v>
      </c>
      <c r="N624" s="4">
        <f>[1]森美拉!X45</f>
        <v>49</v>
      </c>
      <c r="O624" s="4">
        <f>[1]森美拉!Y45</f>
        <v>5632</v>
      </c>
      <c r="P624" s="4">
        <v>0</v>
      </c>
      <c r="Q624" s="4">
        <f>[1]森美拉!Z45</f>
        <v>2007</v>
      </c>
      <c r="R624" s="4">
        <v>2.5</v>
      </c>
      <c r="S624" s="4">
        <f>[1]森美拉!AA45</f>
        <v>54</v>
      </c>
      <c r="T624" s="4">
        <v>0</v>
      </c>
      <c r="U624" s="4">
        <v>0</v>
      </c>
      <c r="V624" s="4">
        <v>0</v>
      </c>
    </row>
    <row r="625" spans="1:27" x14ac:dyDescent="0.15">
      <c r="A625" s="4" t="s">
        <v>2662</v>
      </c>
      <c r="D625" s="4">
        <f t="shared" si="7"/>
        <v>33</v>
      </c>
      <c r="E625" s="4">
        <v>45</v>
      </c>
      <c r="H625" s="29">
        <v>1001</v>
      </c>
      <c r="I625" s="4">
        <f>[1]森美拉!$AB46</f>
        <v>4054</v>
      </c>
      <c r="L625" s="30">
        <v>800</v>
      </c>
      <c r="M625" s="4">
        <f>[1]森美拉!W46</f>
        <v>544</v>
      </c>
      <c r="N625" s="4">
        <f>[1]森美拉!X46</f>
        <v>50</v>
      </c>
      <c r="O625" s="4">
        <f>[1]森美拉!Y46</f>
        <v>5696</v>
      </c>
      <c r="P625" s="4">
        <v>0</v>
      </c>
      <c r="Q625" s="4">
        <f>[1]森美拉!Z46</f>
        <v>2012</v>
      </c>
      <c r="R625" s="4">
        <v>2.5</v>
      </c>
      <c r="S625" s="4">
        <f>[1]森美拉!AA46</f>
        <v>55</v>
      </c>
      <c r="T625" s="4">
        <v>0</v>
      </c>
      <c r="U625" s="4">
        <v>0</v>
      </c>
      <c r="V625" s="4">
        <v>0</v>
      </c>
    </row>
    <row r="626" spans="1:27" x14ac:dyDescent="0.15">
      <c r="A626" s="4" t="s">
        <v>2662</v>
      </c>
      <c r="D626" s="4">
        <f t="shared" si="7"/>
        <v>33</v>
      </c>
      <c r="E626" s="4">
        <v>46</v>
      </c>
      <c r="H626" s="29">
        <v>1001</v>
      </c>
      <c r="I626" s="4">
        <f>[1]森美拉!$AB47</f>
        <v>4110</v>
      </c>
      <c r="L626" s="30">
        <v>800</v>
      </c>
      <c r="M626" s="4">
        <f>[1]森美拉!W47</f>
        <v>552</v>
      </c>
      <c r="N626" s="4">
        <f>[1]森美拉!X47</f>
        <v>51</v>
      </c>
      <c r="O626" s="4">
        <f>[1]森美拉!Y47</f>
        <v>5760</v>
      </c>
      <c r="P626" s="4">
        <v>0</v>
      </c>
      <c r="Q626" s="4">
        <f>[1]森美拉!Z47</f>
        <v>2017</v>
      </c>
      <c r="R626" s="4">
        <v>2.5</v>
      </c>
      <c r="S626" s="4">
        <f>[1]森美拉!AA47</f>
        <v>56</v>
      </c>
      <c r="T626" s="4">
        <v>0</v>
      </c>
      <c r="U626" s="4">
        <v>0</v>
      </c>
      <c r="V626" s="4">
        <v>0</v>
      </c>
    </row>
    <row r="627" spans="1:27" x14ac:dyDescent="0.15">
      <c r="A627" s="4" t="s">
        <v>2662</v>
      </c>
      <c r="D627" s="4">
        <f t="shared" si="7"/>
        <v>33</v>
      </c>
      <c r="E627" s="4">
        <v>47</v>
      </c>
      <c r="H627" s="29">
        <v>1001</v>
      </c>
      <c r="I627" s="4">
        <f>[1]森美拉!$AB48</f>
        <v>4166</v>
      </c>
      <c r="L627" s="30">
        <v>800</v>
      </c>
      <c r="M627" s="4">
        <f>[1]森美拉!W48</f>
        <v>560</v>
      </c>
      <c r="N627" s="4">
        <f>[1]森美拉!X48</f>
        <v>52</v>
      </c>
      <c r="O627" s="4">
        <f>[1]森美拉!Y48</f>
        <v>5824</v>
      </c>
      <c r="P627" s="4">
        <v>0</v>
      </c>
      <c r="Q627" s="4">
        <f>[1]森美拉!Z48</f>
        <v>2022</v>
      </c>
      <c r="R627" s="4">
        <v>2.5</v>
      </c>
      <c r="S627" s="4">
        <f>[1]森美拉!AA48</f>
        <v>57</v>
      </c>
      <c r="T627" s="4">
        <v>0</v>
      </c>
      <c r="U627" s="4">
        <v>0</v>
      </c>
      <c r="V627" s="4">
        <v>0</v>
      </c>
    </row>
    <row r="628" spans="1:27" x14ac:dyDescent="0.15">
      <c r="A628" s="4" t="s">
        <v>2662</v>
      </c>
      <c r="D628" s="4">
        <f t="shared" si="7"/>
        <v>33</v>
      </c>
      <c r="E628" s="4">
        <v>48</v>
      </c>
      <c r="H628" s="29">
        <v>1001</v>
      </c>
      <c r="I628" s="4">
        <f>[1]森美拉!$AB49</f>
        <v>4222</v>
      </c>
      <c r="L628" s="30">
        <v>800</v>
      </c>
      <c r="M628" s="4">
        <f>[1]森美拉!W49</f>
        <v>568</v>
      </c>
      <c r="N628" s="4">
        <f>[1]森美拉!X49</f>
        <v>53</v>
      </c>
      <c r="O628" s="4">
        <f>[1]森美拉!Y49</f>
        <v>5888</v>
      </c>
      <c r="P628" s="4">
        <v>0</v>
      </c>
      <c r="Q628" s="4">
        <f>[1]森美拉!Z49</f>
        <v>2027</v>
      </c>
      <c r="R628" s="4">
        <v>2.5</v>
      </c>
      <c r="S628" s="4">
        <f>[1]森美拉!AA49</f>
        <v>58</v>
      </c>
      <c r="T628" s="4">
        <v>0</v>
      </c>
      <c r="U628" s="4">
        <v>0</v>
      </c>
      <c r="V628" s="4">
        <v>0</v>
      </c>
    </row>
    <row r="629" spans="1:27" x14ac:dyDescent="0.15">
      <c r="A629" s="4" t="s">
        <v>2662</v>
      </c>
      <c r="D629" s="4">
        <f t="shared" si="7"/>
        <v>33</v>
      </c>
      <c r="E629" s="4">
        <v>49</v>
      </c>
      <c r="H629" s="29">
        <v>1001</v>
      </c>
      <c r="I629" s="4">
        <f>[1]森美拉!$AB50</f>
        <v>4278</v>
      </c>
      <c r="L629" s="30">
        <v>800</v>
      </c>
      <c r="M629" s="4">
        <f>[1]森美拉!W50</f>
        <v>576</v>
      </c>
      <c r="N629" s="4">
        <f>[1]森美拉!X50</f>
        <v>54</v>
      </c>
      <c r="O629" s="4">
        <f>[1]森美拉!Y50</f>
        <v>5952</v>
      </c>
      <c r="P629" s="4">
        <v>0</v>
      </c>
      <c r="Q629" s="4">
        <f>[1]森美拉!Z50</f>
        <v>2032</v>
      </c>
      <c r="R629" s="4">
        <v>2.5</v>
      </c>
      <c r="S629" s="4">
        <f>[1]森美拉!AA50</f>
        <v>59</v>
      </c>
      <c r="T629" s="4">
        <v>0</v>
      </c>
      <c r="U629" s="4">
        <v>0</v>
      </c>
      <c r="V629" s="4">
        <v>0</v>
      </c>
    </row>
    <row r="630" spans="1:27" x14ac:dyDescent="0.15">
      <c r="A630" s="4" t="s">
        <v>2662</v>
      </c>
      <c r="D630" s="4">
        <f t="shared" si="7"/>
        <v>33</v>
      </c>
      <c r="E630" s="4">
        <v>50</v>
      </c>
      <c r="H630" s="29">
        <v>1001</v>
      </c>
      <c r="I630" s="4">
        <f>[1]森美拉!$AB51</f>
        <v>4334</v>
      </c>
      <c r="L630" s="30">
        <v>800</v>
      </c>
      <c r="M630" s="4">
        <f>[1]森美拉!W51</f>
        <v>584</v>
      </c>
      <c r="N630" s="4">
        <f>[1]森美拉!X51</f>
        <v>55</v>
      </c>
      <c r="O630" s="4">
        <f>[1]森美拉!Y51</f>
        <v>6016</v>
      </c>
      <c r="P630" s="4">
        <v>0</v>
      </c>
      <c r="Q630" s="4">
        <f>[1]森美拉!Z51</f>
        <v>2037</v>
      </c>
      <c r="R630" s="4">
        <v>2.5</v>
      </c>
      <c r="S630" s="4">
        <f>[1]森美拉!AA51</f>
        <v>60</v>
      </c>
      <c r="T630" s="4">
        <v>0</v>
      </c>
      <c r="U630" s="4">
        <v>0</v>
      </c>
      <c r="V630" s="4">
        <v>0</v>
      </c>
    </row>
    <row r="631" spans="1:27" x14ac:dyDescent="0.15">
      <c r="I631" s="4"/>
    </row>
    <row r="632" spans="1:27" ht="16.5" x14ac:dyDescent="0.15">
      <c r="A632" s="4" t="s">
        <v>2662</v>
      </c>
      <c r="B632" s="4" t="s">
        <v>3088</v>
      </c>
      <c r="C632" s="4" t="s">
        <v>3089</v>
      </c>
      <c r="D632" s="4">
        <v>41</v>
      </c>
      <c r="E632" s="4">
        <v>0</v>
      </c>
      <c r="H632" s="29">
        <v>1000</v>
      </c>
      <c r="I632" s="30">
        <v>199</v>
      </c>
      <c r="M632" s="4">
        <v>0</v>
      </c>
      <c r="N632" s="4">
        <v>0</v>
      </c>
      <c r="O632" s="4">
        <v>0</v>
      </c>
      <c r="P632" s="4">
        <v>0</v>
      </c>
      <c r="Q632" s="4">
        <v>0</v>
      </c>
      <c r="R632" s="4">
        <v>0</v>
      </c>
      <c r="S632" s="4">
        <v>0</v>
      </c>
      <c r="T632" s="4">
        <v>0</v>
      </c>
      <c r="U632" s="4">
        <v>0</v>
      </c>
      <c r="V632" s="4">
        <v>0</v>
      </c>
      <c r="Z632" s="38" t="s">
        <v>3280</v>
      </c>
      <c r="AA632" s="39" t="s">
        <v>3288</v>
      </c>
    </row>
    <row r="633" spans="1:27" ht="16.5" x14ac:dyDescent="0.15">
      <c r="A633" s="4" t="s">
        <v>2662</v>
      </c>
      <c r="D633" s="4">
        <v>41</v>
      </c>
      <c r="E633" s="4">
        <v>1</v>
      </c>
      <c r="H633" s="29">
        <v>1001</v>
      </c>
      <c r="I633" s="4">
        <f>[1]索里!$J2</f>
        <v>751</v>
      </c>
      <c r="L633" s="30">
        <v>800</v>
      </c>
      <c r="M633" s="4">
        <f>[1]索里!E2</f>
        <v>90</v>
      </c>
      <c r="N633" s="4">
        <f>[1]索里!F2</f>
        <v>4</v>
      </c>
      <c r="O633" s="4">
        <f>[1]索里!G2</f>
        <v>1320</v>
      </c>
      <c r="P633" s="4">
        <v>0</v>
      </c>
      <c r="Q633" s="4">
        <f>[1]索里!H2</f>
        <v>1120</v>
      </c>
      <c r="R633" s="4">
        <v>2.5</v>
      </c>
      <c r="S633" s="4">
        <f>[1]索里!I2</f>
        <v>7</v>
      </c>
      <c r="T633" s="4">
        <v>0</v>
      </c>
      <c r="U633" s="4">
        <v>0</v>
      </c>
      <c r="V633" s="4">
        <v>0</v>
      </c>
      <c r="Z633" s="38" t="s">
        <v>3281</v>
      </c>
      <c r="AA633" s="39" t="s">
        <v>3289</v>
      </c>
    </row>
    <row r="634" spans="1:27" ht="16.5" x14ac:dyDescent="0.15">
      <c r="A634" s="4" t="s">
        <v>2662</v>
      </c>
      <c r="D634" s="4">
        <v>41</v>
      </c>
      <c r="E634" s="4">
        <v>2</v>
      </c>
      <c r="H634" s="29">
        <v>1001</v>
      </c>
      <c r="I634" s="4">
        <f>[1]索里!$J3</f>
        <v>814</v>
      </c>
      <c r="L634" s="30">
        <v>800</v>
      </c>
      <c r="M634" s="4">
        <f>[1]索里!E3</f>
        <v>98</v>
      </c>
      <c r="N634" s="4">
        <f>[1]索里!F3</f>
        <v>8</v>
      </c>
      <c r="O634" s="4">
        <f>[1]索里!G3</f>
        <v>1386</v>
      </c>
      <c r="P634" s="4">
        <v>0</v>
      </c>
      <c r="Q634" s="4">
        <f>[1]索里!H3</f>
        <v>1128</v>
      </c>
      <c r="R634" s="4">
        <v>2.5</v>
      </c>
      <c r="S634" s="4">
        <f>[1]索里!I3</f>
        <v>8</v>
      </c>
      <c r="T634" s="4">
        <v>0</v>
      </c>
      <c r="U634" s="4">
        <v>0</v>
      </c>
      <c r="V634" s="4">
        <v>0</v>
      </c>
      <c r="Z634" s="38" t="s">
        <v>3282</v>
      </c>
      <c r="AA634" s="39" t="s">
        <v>3289</v>
      </c>
    </row>
    <row r="635" spans="1:27" ht="16.5" x14ac:dyDescent="0.15">
      <c r="A635" s="4" t="s">
        <v>2662</v>
      </c>
      <c r="D635" s="4">
        <v>41</v>
      </c>
      <c r="E635" s="4">
        <v>3</v>
      </c>
      <c r="H635" s="29">
        <v>1001</v>
      </c>
      <c r="I635" s="4">
        <f>[1]索里!$J4</f>
        <v>876</v>
      </c>
      <c r="L635" s="30">
        <v>800</v>
      </c>
      <c r="M635" s="4">
        <f>[1]索里!E4</f>
        <v>106</v>
      </c>
      <c r="N635" s="4">
        <f>[1]索里!F4</f>
        <v>12</v>
      </c>
      <c r="O635" s="4">
        <f>[1]索里!G4</f>
        <v>1452</v>
      </c>
      <c r="P635" s="4">
        <v>0</v>
      </c>
      <c r="Q635" s="4">
        <f>[1]索里!H4</f>
        <v>1136</v>
      </c>
      <c r="R635" s="4">
        <v>2.5</v>
      </c>
      <c r="S635" s="4">
        <f>[1]索里!I4</f>
        <v>9</v>
      </c>
      <c r="T635" s="4">
        <v>0</v>
      </c>
      <c r="U635" s="4">
        <v>0</v>
      </c>
      <c r="V635" s="4">
        <v>0</v>
      </c>
      <c r="Z635" s="38" t="s">
        <v>3283</v>
      </c>
      <c r="AA635" s="39" t="s">
        <v>3290</v>
      </c>
    </row>
    <row r="636" spans="1:27" x14ac:dyDescent="0.15">
      <c r="A636" s="4" t="s">
        <v>2662</v>
      </c>
      <c r="D636" s="4">
        <v>41</v>
      </c>
      <c r="E636" s="4">
        <v>4</v>
      </c>
      <c r="H636" s="29">
        <v>1001</v>
      </c>
      <c r="I636" s="4">
        <f>[1]索里!$J5</f>
        <v>938</v>
      </c>
      <c r="L636" s="30">
        <v>800</v>
      </c>
      <c r="M636" s="4">
        <f>[1]索里!E5</f>
        <v>114</v>
      </c>
      <c r="N636" s="4">
        <f>[1]索里!F5</f>
        <v>16</v>
      </c>
      <c r="O636" s="4">
        <f>[1]索里!G5</f>
        <v>1518</v>
      </c>
      <c r="P636" s="4">
        <v>0</v>
      </c>
      <c r="Q636" s="4">
        <f>[1]索里!H5</f>
        <v>1144</v>
      </c>
      <c r="R636" s="4">
        <v>2.5</v>
      </c>
      <c r="S636" s="4">
        <f>[1]索里!I5</f>
        <v>10</v>
      </c>
      <c r="T636" s="4">
        <v>0</v>
      </c>
      <c r="U636" s="4">
        <v>0</v>
      </c>
      <c r="V636" s="4">
        <v>0</v>
      </c>
    </row>
    <row r="637" spans="1:27" x14ac:dyDescent="0.15">
      <c r="A637" s="4" t="s">
        <v>2662</v>
      </c>
      <c r="D637" s="4">
        <v>41</v>
      </c>
      <c r="E637" s="4">
        <v>5</v>
      </c>
      <c r="H637" s="29">
        <v>1001</v>
      </c>
      <c r="I637" s="4">
        <f>[1]索里!$J6</f>
        <v>1001</v>
      </c>
      <c r="L637" s="30">
        <v>800</v>
      </c>
      <c r="M637" s="4">
        <f>[1]索里!E6</f>
        <v>122</v>
      </c>
      <c r="N637" s="4">
        <f>[1]索里!F6</f>
        <v>20</v>
      </c>
      <c r="O637" s="4">
        <f>[1]索里!G6</f>
        <v>1584</v>
      </c>
      <c r="P637" s="4">
        <v>0</v>
      </c>
      <c r="Q637" s="4">
        <f>[1]索里!H6</f>
        <v>1152</v>
      </c>
      <c r="R637" s="4">
        <v>2.5</v>
      </c>
      <c r="S637" s="4">
        <f>[1]索里!I6</f>
        <v>11</v>
      </c>
      <c r="T637" s="4">
        <v>0</v>
      </c>
      <c r="U637" s="4">
        <v>0</v>
      </c>
      <c r="V637" s="4">
        <v>0</v>
      </c>
    </row>
    <row r="638" spans="1:27" x14ac:dyDescent="0.15">
      <c r="A638" s="4" t="s">
        <v>2662</v>
      </c>
      <c r="D638" s="4">
        <v>41</v>
      </c>
      <c r="E638" s="4">
        <v>6</v>
      </c>
      <c r="H638" s="29">
        <v>1001</v>
      </c>
      <c r="I638" s="4">
        <f>[1]索里!$J7</f>
        <v>1063</v>
      </c>
      <c r="L638" s="30">
        <v>800</v>
      </c>
      <c r="M638" s="4">
        <f>[1]索里!E7</f>
        <v>130</v>
      </c>
      <c r="N638" s="4">
        <f>[1]索里!F7</f>
        <v>24</v>
      </c>
      <c r="O638" s="4">
        <f>[1]索里!G7</f>
        <v>1650</v>
      </c>
      <c r="P638" s="4">
        <v>0</v>
      </c>
      <c r="Q638" s="4">
        <f>[1]索里!H7</f>
        <v>1160</v>
      </c>
      <c r="R638" s="4">
        <v>2.5</v>
      </c>
      <c r="S638" s="4">
        <f>[1]索里!I7</f>
        <v>12</v>
      </c>
      <c r="T638" s="4">
        <v>0</v>
      </c>
      <c r="U638" s="4">
        <v>0</v>
      </c>
      <c r="V638" s="4">
        <v>0</v>
      </c>
    </row>
    <row r="639" spans="1:27" x14ac:dyDescent="0.15">
      <c r="A639" s="4" t="s">
        <v>2662</v>
      </c>
      <c r="D639" s="4">
        <v>41</v>
      </c>
      <c r="E639" s="4">
        <v>7</v>
      </c>
      <c r="H639" s="29">
        <v>1001</v>
      </c>
      <c r="I639" s="4">
        <f>[1]索里!$J8</f>
        <v>1126</v>
      </c>
      <c r="L639" s="30">
        <v>800</v>
      </c>
      <c r="M639" s="4">
        <f>[1]索里!E8</f>
        <v>138</v>
      </c>
      <c r="N639" s="4">
        <f>[1]索里!F8</f>
        <v>28</v>
      </c>
      <c r="O639" s="4">
        <f>[1]索里!G8</f>
        <v>1716</v>
      </c>
      <c r="P639" s="4">
        <v>0</v>
      </c>
      <c r="Q639" s="4">
        <f>[1]索里!H8</f>
        <v>1168</v>
      </c>
      <c r="R639" s="4">
        <v>2.5</v>
      </c>
      <c r="S639" s="4">
        <f>[1]索里!I8</f>
        <v>13</v>
      </c>
      <c r="T639" s="4">
        <v>0</v>
      </c>
      <c r="U639" s="4">
        <v>0</v>
      </c>
      <c r="V639" s="4">
        <v>0</v>
      </c>
    </row>
    <row r="640" spans="1:27" x14ac:dyDescent="0.15">
      <c r="A640" s="4" t="s">
        <v>2662</v>
      </c>
      <c r="D640" s="4">
        <v>41</v>
      </c>
      <c r="E640" s="4">
        <v>8</v>
      </c>
      <c r="H640" s="29">
        <v>1001</v>
      </c>
      <c r="I640" s="4">
        <f>[1]索里!$J9</f>
        <v>1188</v>
      </c>
      <c r="L640" s="30">
        <v>800</v>
      </c>
      <c r="M640" s="4">
        <f>[1]索里!E9</f>
        <v>146</v>
      </c>
      <c r="N640" s="4">
        <f>[1]索里!F9</f>
        <v>32</v>
      </c>
      <c r="O640" s="4">
        <f>[1]索里!G9</f>
        <v>1782</v>
      </c>
      <c r="P640" s="4">
        <v>0</v>
      </c>
      <c r="Q640" s="4">
        <f>[1]索里!H9</f>
        <v>1176</v>
      </c>
      <c r="R640" s="4">
        <v>2.5</v>
      </c>
      <c r="S640" s="4">
        <f>[1]索里!I9</f>
        <v>14</v>
      </c>
      <c r="T640" s="4">
        <v>0</v>
      </c>
      <c r="U640" s="4">
        <v>0</v>
      </c>
      <c r="V640" s="4">
        <v>0</v>
      </c>
    </row>
    <row r="641" spans="1:22" x14ac:dyDescent="0.15">
      <c r="A641" s="4" t="s">
        <v>2662</v>
      </c>
      <c r="D641" s="4">
        <v>41</v>
      </c>
      <c r="E641" s="4">
        <v>9</v>
      </c>
      <c r="H641" s="29">
        <v>1001</v>
      </c>
      <c r="I641" s="4">
        <f>[1]索里!$J10</f>
        <v>1250</v>
      </c>
      <c r="L641" s="30">
        <v>800</v>
      </c>
      <c r="M641" s="4">
        <f>[1]索里!E10</f>
        <v>154</v>
      </c>
      <c r="N641" s="4">
        <f>[1]索里!F10</f>
        <v>36</v>
      </c>
      <c r="O641" s="4">
        <f>[1]索里!G10</f>
        <v>1848</v>
      </c>
      <c r="P641" s="4">
        <v>0</v>
      </c>
      <c r="Q641" s="4">
        <f>[1]索里!H10</f>
        <v>1184</v>
      </c>
      <c r="R641" s="4">
        <v>2.5</v>
      </c>
      <c r="S641" s="4">
        <f>[1]索里!I10</f>
        <v>15</v>
      </c>
      <c r="T641" s="4">
        <v>0</v>
      </c>
      <c r="U641" s="4">
        <v>0</v>
      </c>
      <c r="V641" s="4">
        <v>0</v>
      </c>
    </row>
    <row r="642" spans="1:22" x14ac:dyDescent="0.15">
      <c r="A642" s="4" t="s">
        <v>2662</v>
      </c>
      <c r="D642" s="4">
        <v>41</v>
      </c>
      <c r="E642" s="4">
        <v>10</v>
      </c>
      <c r="H642" s="29">
        <v>1001</v>
      </c>
      <c r="I642" s="4">
        <f>[1]索里!$J11</f>
        <v>1313</v>
      </c>
      <c r="L642" s="30">
        <v>800</v>
      </c>
      <c r="M642" s="4">
        <f>[1]索里!E11</f>
        <v>162</v>
      </c>
      <c r="N642" s="4">
        <f>[1]索里!F11</f>
        <v>40</v>
      </c>
      <c r="O642" s="4">
        <f>[1]索里!G11</f>
        <v>1914</v>
      </c>
      <c r="P642" s="4">
        <v>0</v>
      </c>
      <c r="Q642" s="4">
        <f>[1]索里!H11</f>
        <v>1192</v>
      </c>
      <c r="R642" s="4">
        <v>2.5</v>
      </c>
      <c r="S642" s="4">
        <f>[1]索里!I11</f>
        <v>16</v>
      </c>
      <c r="T642" s="4">
        <v>0</v>
      </c>
      <c r="U642" s="4">
        <v>0</v>
      </c>
      <c r="V642" s="4">
        <v>0</v>
      </c>
    </row>
    <row r="643" spans="1:22" x14ac:dyDescent="0.15">
      <c r="A643" s="4" t="s">
        <v>2662</v>
      </c>
      <c r="D643" s="4">
        <v>41</v>
      </c>
      <c r="E643" s="4">
        <v>11</v>
      </c>
      <c r="H643" s="29">
        <v>1001</v>
      </c>
      <c r="I643" s="4">
        <f>[1]索里!$J12</f>
        <v>1375</v>
      </c>
      <c r="L643" s="30">
        <v>800</v>
      </c>
      <c r="M643" s="4">
        <f>[1]索里!E12</f>
        <v>170</v>
      </c>
      <c r="N643" s="4">
        <f>[1]索里!F12</f>
        <v>44</v>
      </c>
      <c r="O643" s="4">
        <f>[1]索里!G12</f>
        <v>1980</v>
      </c>
      <c r="P643" s="4">
        <v>0</v>
      </c>
      <c r="Q643" s="4">
        <f>[1]索里!H12</f>
        <v>1200</v>
      </c>
      <c r="R643" s="4">
        <v>2.5</v>
      </c>
      <c r="S643" s="4">
        <f>[1]索里!I12</f>
        <v>17</v>
      </c>
      <c r="T643" s="4">
        <v>0</v>
      </c>
      <c r="U643" s="4">
        <v>0</v>
      </c>
      <c r="V643" s="4">
        <v>0</v>
      </c>
    </row>
    <row r="644" spans="1:22" x14ac:dyDescent="0.15">
      <c r="A644" s="4" t="s">
        <v>2662</v>
      </c>
      <c r="D644" s="4">
        <v>41</v>
      </c>
      <c r="E644" s="4">
        <v>12</v>
      </c>
      <c r="H644" s="29">
        <v>1001</v>
      </c>
      <c r="I644" s="4">
        <f>[1]索里!$J13</f>
        <v>1437</v>
      </c>
      <c r="L644" s="30">
        <v>800</v>
      </c>
      <c r="M644" s="4">
        <f>[1]索里!E13</f>
        <v>178</v>
      </c>
      <c r="N644" s="4">
        <f>[1]索里!F13</f>
        <v>48</v>
      </c>
      <c r="O644" s="4">
        <f>[1]索里!G13</f>
        <v>2046</v>
      </c>
      <c r="P644" s="4">
        <v>0</v>
      </c>
      <c r="Q644" s="4">
        <f>[1]索里!H13</f>
        <v>1208</v>
      </c>
      <c r="R644" s="4">
        <v>2.5</v>
      </c>
      <c r="S644" s="4">
        <f>[1]索里!I13</f>
        <v>18</v>
      </c>
      <c r="T644" s="4">
        <v>0</v>
      </c>
      <c r="U644" s="4">
        <v>0</v>
      </c>
      <c r="V644" s="4">
        <v>0</v>
      </c>
    </row>
    <row r="645" spans="1:22" x14ac:dyDescent="0.15">
      <c r="A645" s="4" t="s">
        <v>2662</v>
      </c>
      <c r="D645" s="4">
        <v>41</v>
      </c>
      <c r="E645" s="4">
        <v>13</v>
      </c>
      <c r="H645" s="29">
        <v>1001</v>
      </c>
      <c r="I645" s="4">
        <f>[1]索里!$J14</f>
        <v>1500</v>
      </c>
      <c r="L645" s="30">
        <v>800</v>
      </c>
      <c r="M645" s="4">
        <f>[1]索里!E14</f>
        <v>186</v>
      </c>
      <c r="N645" s="4">
        <f>[1]索里!F14</f>
        <v>52</v>
      </c>
      <c r="O645" s="4">
        <f>[1]索里!G14</f>
        <v>2112</v>
      </c>
      <c r="P645" s="4">
        <v>0</v>
      </c>
      <c r="Q645" s="4">
        <f>[1]索里!H14</f>
        <v>1216</v>
      </c>
      <c r="R645" s="4">
        <v>2.5</v>
      </c>
      <c r="S645" s="4">
        <f>[1]索里!I14</f>
        <v>19</v>
      </c>
      <c r="T645" s="4">
        <v>0</v>
      </c>
      <c r="U645" s="4">
        <v>0</v>
      </c>
      <c r="V645" s="4">
        <v>0</v>
      </c>
    </row>
    <row r="646" spans="1:22" x14ac:dyDescent="0.15">
      <c r="A646" s="4" t="s">
        <v>2662</v>
      </c>
      <c r="D646" s="4">
        <v>41</v>
      </c>
      <c r="E646" s="4">
        <v>14</v>
      </c>
      <c r="H646" s="29">
        <v>1001</v>
      </c>
      <c r="I646" s="4">
        <f>[1]索里!$J15</f>
        <v>1562</v>
      </c>
      <c r="L646" s="30">
        <v>800</v>
      </c>
      <c r="M646" s="4">
        <f>[1]索里!E15</f>
        <v>194</v>
      </c>
      <c r="N646" s="4">
        <f>[1]索里!F15</f>
        <v>56</v>
      </c>
      <c r="O646" s="4">
        <f>[1]索里!G15</f>
        <v>2178</v>
      </c>
      <c r="P646" s="4">
        <v>0</v>
      </c>
      <c r="Q646" s="4">
        <f>[1]索里!H15</f>
        <v>1224</v>
      </c>
      <c r="R646" s="4">
        <v>2.5</v>
      </c>
      <c r="S646" s="4">
        <f>[1]索里!I15</f>
        <v>20</v>
      </c>
      <c r="T646" s="4">
        <v>0</v>
      </c>
      <c r="U646" s="4">
        <v>0</v>
      </c>
      <c r="V646" s="4">
        <v>0</v>
      </c>
    </row>
    <row r="647" spans="1:22" x14ac:dyDescent="0.15">
      <c r="A647" s="4" t="s">
        <v>2662</v>
      </c>
      <c r="D647" s="4">
        <v>41</v>
      </c>
      <c r="E647" s="4">
        <v>15</v>
      </c>
      <c r="H647" s="29">
        <v>1001</v>
      </c>
      <c r="I647" s="4">
        <f>[1]索里!$J16</f>
        <v>1624</v>
      </c>
      <c r="L647" s="30">
        <v>800</v>
      </c>
      <c r="M647" s="4">
        <f>[1]索里!E16</f>
        <v>202</v>
      </c>
      <c r="N647" s="4">
        <f>[1]索里!F16</f>
        <v>60</v>
      </c>
      <c r="O647" s="4">
        <f>[1]索里!G16</f>
        <v>2244</v>
      </c>
      <c r="P647" s="4">
        <v>0</v>
      </c>
      <c r="Q647" s="4">
        <f>[1]索里!H16</f>
        <v>1232</v>
      </c>
      <c r="R647" s="4">
        <v>2.5</v>
      </c>
      <c r="S647" s="4">
        <f>[1]索里!I16</f>
        <v>21</v>
      </c>
      <c r="T647" s="4">
        <v>0</v>
      </c>
      <c r="U647" s="4">
        <v>0</v>
      </c>
      <c r="V647" s="4">
        <v>0</v>
      </c>
    </row>
    <row r="648" spans="1:22" x14ac:dyDescent="0.15">
      <c r="A648" s="4" t="s">
        <v>2662</v>
      </c>
      <c r="D648" s="4">
        <v>41</v>
      </c>
      <c r="E648" s="4">
        <v>16</v>
      </c>
      <c r="H648" s="29">
        <v>1001</v>
      </c>
      <c r="I648" s="4">
        <f>[1]索里!$J17</f>
        <v>1687</v>
      </c>
      <c r="L648" s="30">
        <v>800</v>
      </c>
      <c r="M648" s="4">
        <f>[1]索里!E17</f>
        <v>210</v>
      </c>
      <c r="N648" s="4">
        <f>[1]索里!F17</f>
        <v>64</v>
      </c>
      <c r="O648" s="4">
        <f>[1]索里!G17</f>
        <v>2310</v>
      </c>
      <c r="P648" s="4">
        <v>0</v>
      </c>
      <c r="Q648" s="4">
        <f>[1]索里!H17</f>
        <v>1240</v>
      </c>
      <c r="R648" s="4">
        <v>2.5</v>
      </c>
      <c r="S648" s="4">
        <f>[1]索里!I17</f>
        <v>22</v>
      </c>
      <c r="T648" s="4">
        <v>0</v>
      </c>
      <c r="U648" s="4">
        <v>0</v>
      </c>
      <c r="V648" s="4">
        <v>0</v>
      </c>
    </row>
    <row r="649" spans="1:22" x14ac:dyDescent="0.15">
      <c r="A649" s="4" t="s">
        <v>2662</v>
      </c>
      <c r="D649" s="4">
        <v>41</v>
      </c>
      <c r="E649" s="4">
        <v>17</v>
      </c>
      <c r="H649" s="29">
        <v>1001</v>
      </c>
      <c r="I649" s="4">
        <f>[1]索里!$J18</f>
        <v>1749</v>
      </c>
      <c r="L649" s="30">
        <v>800</v>
      </c>
      <c r="M649" s="4">
        <f>[1]索里!E18</f>
        <v>218</v>
      </c>
      <c r="N649" s="4">
        <f>[1]索里!F18</f>
        <v>68</v>
      </c>
      <c r="O649" s="4">
        <f>[1]索里!G18</f>
        <v>2376</v>
      </c>
      <c r="P649" s="4">
        <v>0</v>
      </c>
      <c r="Q649" s="4">
        <f>[1]索里!H18</f>
        <v>1248</v>
      </c>
      <c r="R649" s="4">
        <v>2.5</v>
      </c>
      <c r="S649" s="4">
        <f>[1]索里!I18</f>
        <v>23</v>
      </c>
      <c r="T649" s="4">
        <v>0</v>
      </c>
      <c r="U649" s="4">
        <v>0</v>
      </c>
      <c r="V649" s="4">
        <v>0</v>
      </c>
    </row>
    <row r="650" spans="1:22" x14ac:dyDescent="0.15">
      <c r="A650" s="4" t="s">
        <v>2662</v>
      </c>
      <c r="D650" s="4">
        <v>41</v>
      </c>
      <c r="E650" s="4">
        <v>18</v>
      </c>
      <c r="H650" s="29">
        <v>1001</v>
      </c>
      <c r="I650" s="4">
        <f>[1]索里!$J19</f>
        <v>1812</v>
      </c>
      <c r="L650" s="30">
        <v>800</v>
      </c>
      <c r="M650" s="4">
        <f>[1]索里!E19</f>
        <v>226</v>
      </c>
      <c r="N650" s="4">
        <f>[1]索里!F19</f>
        <v>72</v>
      </c>
      <c r="O650" s="4">
        <f>[1]索里!G19</f>
        <v>2442</v>
      </c>
      <c r="P650" s="4">
        <v>0</v>
      </c>
      <c r="Q650" s="4">
        <f>[1]索里!H19</f>
        <v>1256</v>
      </c>
      <c r="R650" s="4">
        <v>2.5</v>
      </c>
      <c r="S650" s="4">
        <f>[1]索里!I19</f>
        <v>24</v>
      </c>
      <c r="T650" s="4">
        <v>0</v>
      </c>
      <c r="U650" s="4">
        <v>0</v>
      </c>
      <c r="V650" s="4">
        <v>0</v>
      </c>
    </row>
    <row r="651" spans="1:22" x14ac:dyDescent="0.15">
      <c r="A651" s="4" t="s">
        <v>2662</v>
      </c>
      <c r="D651" s="4">
        <v>41</v>
      </c>
      <c r="E651" s="4">
        <v>19</v>
      </c>
      <c r="H651" s="29">
        <v>1001</v>
      </c>
      <c r="I651" s="4">
        <f>[1]索里!$J20</f>
        <v>1874</v>
      </c>
      <c r="L651" s="30">
        <v>800</v>
      </c>
      <c r="M651" s="4">
        <f>[1]索里!E20</f>
        <v>234</v>
      </c>
      <c r="N651" s="4">
        <f>[1]索里!F20</f>
        <v>76</v>
      </c>
      <c r="O651" s="4">
        <f>[1]索里!G20</f>
        <v>2508</v>
      </c>
      <c r="P651" s="4">
        <v>0</v>
      </c>
      <c r="Q651" s="4">
        <f>[1]索里!H20</f>
        <v>1264</v>
      </c>
      <c r="R651" s="4">
        <v>2.5</v>
      </c>
      <c r="S651" s="4">
        <f>[1]索里!I20</f>
        <v>25</v>
      </c>
      <c r="T651" s="4">
        <v>0</v>
      </c>
      <c r="U651" s="4">
        <v>0</v>
      </c>
      <c r="V651" s="4">
        <v>0</v>
      </c>
    </row>
    <row r="652" spans="1:22" x14ac:dyDescent="0.15">
      <c r="A652" s="4" t="s">
        <v>2662</v>
      </c>
      <c r="D652" s="4">
        <v>41</v>
      </c>
      <c r="E652" s="4">
        <v>20</v>
      </c>
      <c r="H652" s="29">
        <v>1001</v>
      </c>
      <c r="I652" s="4">
        <f>[1]索里!$J21</f>
        <v>1936</v>
      </c>
      <c r="L652" s="30">
        <v>800</v>
      </c>
      <c r="M652" s="4">
        <f>[1]索里!E21</f>
        <v>242</v>
      </c>
      <c r="N652" s="4">
        <f>[1]索里!F21</f>
        <v>80</v>
      </c>
      <c r="O652" s="4">
        <f>[1]索里!G21</f>
        <v>2574</v>
      </c>
      <c r="P652" s="4">
        <v>0</v>
      </c>
      <c r="Q652" s="4">
        <f>[1]索里!H21</f>
        <v>1272</v>
      </c>
      <c r="R652" s="4">
        <v>2.5</v>
      </c>
      <c r="S652" s="4">
        <f>[1]索里!I21</f>
        <v>26</v>
      </c>
      <c r="T652" s="4">
        <v>0</v>
      </c>
      <c r="U652" s="4">
        <v>0</v>
      </c>
      <c r="V652" s="4">
        <v>0</v>
      </c>
    </row>
    <row r="653" spans="1:22" x14ac:dyDescent="0.15">
      <c r="A653" s="4" t="s">
        <v>2662</v>
      </c>
      <c r="D653" s="4">
        <v>41</v>
      </c>
      <c r="E653" s="4">
        <v>21</v>
      </c>
      <c r="H653" s="29">
        <v>1001</v>
      </c>
      <c r="I653" s="4">
        <f>[1]索里!$J22</f>
        <v>1999</v>
      </c>
      <c r="L653" s="30">
        <v>800</v>
      </c>
      <c r="M653" s="4">
        <f>[1]索里!E22</f>
        <v>250</v>
      </c>
      <c r="N653" s="4">
        <f>[1]索里!F22</f>
        <v>84</v>
      </c>
      <c r="O653" s="4">
        <f>[1]索里!G22</f>
        <v>2640</v>
      </c>
      <c r="P653" s="4">
        <v>0</v>
      </c>
      <c r="Q653" s="4">
        <f>[1]索里!H22</f>
        <v>1280</v>
      </c>
      <c r="R653" s="4">
        <v>2.5</v>
      </c>
      <c r="S653" s="4">
        <f>[1]索里!I22</f>
        <v>27</v>
      </c>
      <c r="T653" s="4">
        <v>0</v>
      </c>
      <c r="U653" s="4">
        <v>0</v>
      </c>
      <c r="V653" s="4">
        <v>0</v>
      </c>
    </row>
    <row r="654" spans="1:22" x14ac:dyDescent="0.15">
      <c r="A654" s="4" t="s">
        <v>2662</v>
      </c>
      <c r="D654" s="4">
        <v>41</v>
      </c>
      <c r="E654" s="4">
        <v>22</v>
      </c>
      <c r="H654" s="29">
        <v>1001</v>
      </c>
      <c r="I654" s="4">
        <f>[1]索里!$J23</f>
        <v>2061</v>
      </c>
      <c r="L654" s="30">
        <v>800</v>
      </c>
      <c r="M654" s="4">
        <f>[1]索里!E23</f>
        <v>258</v>
      </c>
      <c r="N654" s="4">
        <f>[1]索里!F23</f>
        <v>88</v>
      </c>
      <c r="O654" s="4">
        <f>[1]索里!G23</f>
        <v>2706</v>
      </c>
      <c r="P654" s="4">
        <v>0</v>
      </c>
      <c r="Q654" s="4">
        <f>[1]索里!H23</f>
        <v>1288</v>
      </c>
      <c r="R654" s="4">
        <v>2.5</v>
      </c>
      <c r="S654" s="4">
        <f>[1]索里!I23</f>
        <v>28</v>
      </c>
      <c r="T654" s="4">
        <v>0</v>
      </c>
      <c r="U654" s="4">
        <v>0</v>
      </c>
      <c r="V654" s="4">
        <v>0</v>
      </c>
    </row>
    <row r="655" spans="1:22" x14ac:dyDescent="0.15">
      <c r="A655" s="4" t="s">
        <v>2662</v>
      </c>
      <c r="D655" s="4">
        <v>41</v>
      </c>
      <c r="E655" s="4">
        <v>23</v>
      </c>
      <c r="H655" s="29">
        <v>1001</v>
      </c>
      <c r="I655" s="4">
        <f>[1]索里!$J24</f>
        <v>2123</v>
      </c>
      <c r="L655" s="30">
        <v>800</v>
      </c>
      <c r="M655" s="4">
        <f>[1]索里!E24</f>
        <v>266</v>
      </c>
      <c r="N655" s="4">
        <f>[1]索里!F24</f>
        <v>92</v>
      </c>
      <c r="O655" s="4">
        <f>[1]索里!G24</f>
        <v>2772</v>
      </c>
      <c r="P655" s="4">
        <v>0</v>
      </c>
      <c r="Q655" s="4">
        <f>[1]索里!H24</f>
        <v>1296</v>
      </c>
      <c r="R655" s="4">
        <v>2.5</v>
      </c>
      <c r="S655" s="4">
        <f>[1]索里!I24</f>
        <v>29</v>
      </c>
      <c r="T655" s="4">
        <v>0</v>
      </c>
      <c r="U655" s="4">
        <v>0</v>
      </c>
      <c r="V655" s="4">
        <v>0</v>
      </c>
    </row>
    <row r="656" spans="1:22" x14ac:dyDescent="0.15">
      <c r="A656" s="4" t="s">
        <v>2662</v>
      </c>
      <c r="D656" s="4">
        <v>41</v>
      </c>
      <c r="E656" s="4">
        <v>24</v>
      </c>
      <c r="H656" s="29">
        <v>1001</v>
      </c>
      <c r="I656" s="4">
        <f>[1]索里!$J25</f>
        <v>2186</v>
      </c>
      <c r="L656" s="30">
        <v>800</v>
      </c>
      <c r="M656" s="4">
        <f>[1]索里!E25</f>
        <v>274</v>
      </c>
      <c r="N656" s="4">
        <f>[1]索里!F25</f>
        <v>96</v>
      </c>
      <c r="O656" s="4">
        <f>[1]索里!G25</f>
        <v>2838</v>
      </c>
      <c r="P656" s="4">
        <v>0</v>
      </c>
      <c r="Q656" s="4">
        <f>[1]索里!H25</f>
        <v>1304</v>
      </c>
      <c r="R656" s="4">
        <v>2.5</v>
      </c>
      <c r="S656" s="4">
        <f>[1]索里!I25</f>
        <v>30</v>
      </c>
      <c r="T656" s="4">
        <v>0</v>
      </c>
      <c r="U656" s="4">
        <v>0</v>
      </c>
      <c r="V656" s="4">
        <v>0</v>
      </c>
    </row>
    <row r="657" spans="1:22" x14ac:dyDescent="0.15">
      <c r="A657" s="4" t="s">
        <v>2662</v>
      </c>
      <c r="D657" s="4">
        <v>41</v>
      </c>
      <c r="E657" s="4">
        <v>25</v>
      </c>
      <c r="H657" s="29">
        <v>1001</v>
      </c>
      <c r="I657" s="4">
        <f>[1]索里!$J26</f>
        <v>2248</v>
      </c>
      <c r="L657" s="30">
        <v>800</v>
      </c>
      <c r="M657" s="4">
        <f>[1]索里!E26</f>
        <v>282</v>
      </c>
      <c r="N657" s="4">
        <f>[1]索里!F26</f>
        <v>100</v>
      </c>
      <c r="O657" s="4">
        <f>[1]索里!G26</f>
        <v>2904</v>
      </c>
      <c r="P657" s="4">
        <v>0</v>
      </c>
      <c r="Q657" s="4">
        <f>[1]索里!H26</f>
        <v>1312</v>
      </c>
      <c r="R657" s="4">
        <v>2.5</v>
      </c>
      <c r="S657" s="4">
        <f>[1]索里!I26</f>
        <v>31</v>
      </c>
      <c r="T657" s="4">
        <v>0</v>
      </c>
      <c r="U657" s="4">
        <v>0</v>
      </c>
      <c r="V657" s="4">
        <v>0</v>
      </c>
    </row>
    <row r="658" spans="1:22" x14ac:dyDescent="0.15">
      <c r="A658" s="4" t="s">
        <v>2662</v>
      </c>
      <c r="D658" s="4">
        <v>41</v>
      </c>
      <c r="E658" s="4">
        <v>26</v>
      </c>
      <c r="H658" s="29">
        <v>1001</v>
      </c>
      <c r="I658" s="4">
        <f>[1]索里!$J27</f>
        <v>2310</v>
      </c>
      <c r="L658" s="30">
        <v>800</v>
      </c>
      <c r="M658" s="4">
        <f>[1]索里!E27</f>
        <v>290</v>
      </c>
      <c r="N658" s="4">
        <f>[1]索里!F27</f>
        <v>104</v>
      </c>
      <c r="O658" s="4">
        <f>[1]索里!G27</f>
        <v>2970</v>
      </c>
      <c r="P658" s="4">
        <v>0</v>
      </c>
      <c r="Q658" s="4">
        <f>[1]索里!H27</f>
        <v>1320</v>
      </c>
      <c r="R658" s="4">
        <v>2.5</v>
      </c>
      <c r="S658" s="4">
        <f>[1]索里!I27</f>
        <v>32</v>
      </c>
      <c r="T658" s="4">
        <v>0</v>
      </c>
      <c r="U658" s="4">
        <v>0</v>
      </c>
      <c r="V658" s="4">
        <v>0</v>
      </c>
    </row>
    <row r="659" spans="1:22" x14ac:dyDescent="0.15">
      <c r="A659" s="4" t="s">
        <v>2662</v>
      </c>
      <c r="D659" s="4">
        <v>41</v>
      </c>
      <c r="E659" s="4">
        <v>27</v>
      </c>
      <c r="H659" s="29">
        <v>1001</v>
      </c>
      <c r="I659" s="4">
        <f>[1]索里!$J28</f>
        <v>2373</v>
      </c>
      <c r="L659" s="30">
        <v>800</v>
      </c>
      <c r="M659" s="4">
        <f>[1]索里!E28</f>
        <v>298</v>
      </c>
      <c r="N659" s="4">
        <f>[1]索里!F28</f>
        <v>108</v>
      </c>
      <c r="O659" s="4">
        <f>[1]索里!G28</f>
        <v>3036</v>
      </c>
      <c r="P659" s="4">
        <v>0</v>
      </c>
      <c r="Q659" s="4">
        <f>[1]索里!H28</f>
        <v>1328</v>
      </c>
      <c r="R659" s="4">
        <v>2.5</v>
      </c>
      <c r="S659" s="4">
        <f>[1]索里!I28</f>
        <v>33</v>
      </c>
      <c r="T659" s="4">
        <v>0</v>
      </c>
      <c r="U659" s="4">
        <v>0</v>
      </c>
      <c r="V659" s="4">
        <v>0</v>
      </c>
    </row>
    <row r="660" spans="1:22" x14ac:dyDescent="0.15">
      <c r="A660" s="4" t="s">
        <v>2662</v>
      </c>
      <c r="D660" s="4">
        <v>41</v>
      </c>
      <c r="E660" s="4">
        <v>28</v>
      </c>
      <c r="H660" s="29">
        <v>1001</v>
      </c>
      <c r="I660" s="4">
        <f>[1]索里!$J29</f>
        <v>2435</v>
      </c>
      <c r="L660" s="30">
        <v>800</v>
      </c>
      <c r="M660" s="4">
        <f>[1]索里!E29</f>
        <v>306</v>
      </c>
      <c r="N660" s="4">
        <f>[1]索里!F29</f>
        <v>112</v>
      </c>
      <c r="O660" s="4">
        <f>[1]索里!G29</f>
        <v>3102</v>
      </c>
      <c r="P660" s="4">
        <v>0</v>
      </c>
      <c r="Q660" s="4">
        <f>[1]索里!H29</f>
        <v>1336</v>
      </c>
      <c r="R660" s="4">
        <v>2.5</v>
      </c>
      <c r="S660" s="4">
        <f>[1]索里!I29</f>
        <v>34</v>
      </c>
      <c r="T660" s="4">
        <v>0</v>
      </c>
      <c r="U660" s="4">
        <v>0</v>
      </c>
      <c r="V660" s="4">
        <v>0</v>
      </c>
    </row>
    <row r="661" spans="1:22" x14ac:dyDescent="0.15">
      <c r="A661" s="4" t="s">
        <v>2662</v>
      </c>
      <c r="D661" s="4">
        <v>41</v>
      </c>
      <c r="E661" s="4">
        <v>29</v>
      </c>
      <c r="H661" s="29">
        <v>1001</v>
      </c>
      <c r="I661" s="4">
        <f>[1]索里!$J30</f>
        <v>2497</v>
      </c>
      <c r="L661" s="30">
        <v>800</v>
      </c>
      <c r="M661" s="4">
        <f>[1]索里!E30</f>
        <v>314</v>
      </c>
      <c r="N661" s="4">
        <f>[1]索里!F30</f>
        <v>116</v>
      </c>
      <c r="O661" s="4">
        <f>[1]索里!G30</f>
        <v>3168</v>
      </c>
      <c r="P661" s="4">
        <v>0</v>
      </c>
      <c r="Q661" s="4">
        <f>[1]索里!H30</f>
        <v>1344</v>
      </c>
      <c r="R661" s="4">
        <v>2.5</v>
      </c>
      <c r="S661" s="4">
        <f>[1]索里!I30</f>
        <v>35</v>
      </c>
      <c r="T661" s="4">
        <v>0</v>
      </c>
      <c r="U661" s="4">
        <v>0</v>
      </c>
      <c r="V661" s="4">
        <v>0</v>
      </c>
    </row>
    <row r="662" spans="1:22" x14ac:dyDescent="0.15">
      <c r="A662" s="4" t="s">
        <v>2662</v>
      </c>
      <c r="D662" s="4">
        <v>41</v>
      </c>
      <c r="E662" s="4">
        <v>30</v>
      </c>
      <c r="H662" s="29">
        <v>1001</v>
      </c>
      <c r="I662" s="4">
        <f>[1]索里!$J31</f>
        <v>2560</v>
      </c>
      <c r="L662" s="30">
        <v>800</v>
      </c>
      <c r="M662" s="4">
        <f>[1]索里!E31</f>
        <v>322</v>
      </c>
      <c r="N662" s="4">
        <f>[1]索里!F31</f>
        <v>120</v>
      </c>
      <c r="O662" s="4">
        <f>[1]索里!G31</f>
        <v>3234</v>
      </c>
      <c r="P662" s="4">
        <v>0</v>
      </c>
      <c r="Q662" s="4">
        <f>[1]索里!H31</f>
        <v>1352</v>
      </c>
      <c r="R662" s="4">
        <v>2.5</v>
      </c>
      <c r="S662" s="4">
        <f>[1]索里!I31</f>
        <v>36</v>
      </c>
      <c r="T662" s="4">
        <v>0</v>
      </c>
      <c r="U662" s="4">
        <v>0</v>
      </c>
      <c r="V662" s="4">
        <v>0</v>
      </c>
    </row>
    <row r="663" spans="1:22" x14ac:dyDescent="0.15">
      <c r="A663" s="4" t="s">
        <v>2662</v>
      </c>
      <c r="D663" s="4">
        <v>41</v>
      </c>
      <c r="E663" s="4">
        <v>31</v>
      </c>
      <c r="H663" s="29">
        <v>1001</v>
      </c>
      <c r="I663" s="4">
        <f>[1]索里!$J32</f>
        <v>2622</v>
      </c>
      <c r="L663" s="30">
        <v>800</v>
      </c>
      <c r="M663" s="4">
        <f>[1]索里!E32</f>
        <v>330</v>
      </c>
      <c r="N663" s="4">
        <f>[1]索里!F32</f>
        <v>124</v>
      </c>
      <c r="O663" s="4">
        <f>[1]索里!G32</f>
        <v>3300</v>
      </c>
      <c r="P663" s="4">
        <v>0</v>
      </c>
      <c r="Q663" s="4">
        <f>[1]索里!H32</f>
        <v>1360</v>
      </c>
      <c r="R663" s="4">
        <v>2.5</v>
      </c>
      <c r="S663" s="4">
        <f>[1]索里!I32</f>
        <v>37</v>
      </c>
      <c r="T663" s="4">
        <v>0</v>
      </c>
      <c r="U663" s="4">
        <v>0</v>
      </c>
      <c r="V663" s="4">
        <v>0</v>
      </c>
    </row>
    <row r="664" spans="1:22" x14ac:dyDescent="0.15">
      <c r="A664" s="4" t="s">
        <v>2662</v>
      </c>
      <c r="D664" s="4">
        <v>41</v>
      </c>
      <c r="E664" s="4">
        <v>32</v>
      </c>
      <c r="H664" s="29">
        <v>1001</v>
      </c>
      <c r="I664" s="4">
        <f>[1]索里!$J33</f>
        <v>2685</v>
      </c>
      <c r="L664" s="30">
        <v>800</v>
      </c>
      <c r="M664" s="4">
        <f>[1]索里!E33</f>
        <v>338</v>
      </c>
      <c r="N664" s="4">
        <f>[1]索里!F33</f>
        <v>128</v>
      </c>
      <c r="O664" s="4">
        <f>[1]索里!G33</f>
        <v>3366</v>
      </c>
      <c r="P664" s="4">
        <v>0</v>
      </c>
      <c r="Q664" s="4">
        <f>[1]索里!H33</f>
        <v>1368</v>
      </c>
      <c r="R664" s="4">
        <v>2.5</v>
      </c>
      <c r="S664" s="4">
        <f>[1]索里!I33</f>
        <v>38</v>
      </c>
      <c r="T664" s="4">
        <v>0</v>
      </c>
      <c r="U664" s="4">
        <v>0</v>
      </c>
      <c r="V664" s="4">
        <v>0</v>
      </c>
    </row>
    <row r="665" spans="1:22" x14ac:dyDescent="0.15">
      <c r="A665" s="4" t="s">
        <v>2662</v>
      </c>
      <c r="D665" s="4">
        <v>41</v>
      </c>
      <c r="E665" s="4">
        <v>33</v>
      </c>
      <c r="H665" s="29">
        <v>1001</v>
      </c>
      <c r="I665" s="4">
        <f>[1]索里!$J34</f>
        <v>2747</v>
      </c>
      <c r="L665" s="30">
        <v>800</v>
      </c>
      <c r="M665" s="4">
        <f>[1]索里!E34</f>
        <v>346</v>
      </c>
      <c r="N665" s="4">
        <f>[1]索里!F34</f>
        <v>132</v>
      </c>
      <c r="O665" s="4">
        <f>[1]索里!G34</f>
        <v>3432</v>
      </c>
      <c r="P665" s="4">
        <v>0</v>
      </c>
      <c r="Q665" s="4">
        <f>[1]索里!H34</f>
        <v>1376</v>
      </c>
      <c r="R665" s="4">
        <v>2.5</v>
      </c>
      <c r="S665" s="4">
        <f>[1]索里!I34</f>
        <v>39</v>
      </c>
      <c r="T665" s="4">
        <v>0</v>
      </c>
      <c r="U665" s="4">
        <v>0</v>
      </c>
      <c r="V665" s="4">
        <v>0</v>
      </c>
    </row>
    <row r="666" spans="1:22" x14ac:dyDescent="0.15">
      <c r="A666" s="4" t="s">
        <v>2662</v>
      </c>
      <c r="D666" s="4">
        <v>41</v>
      </c>
      <c r="E666" s="4">
        <v>34</v>
      </c>
      <c r="H666" s="29">
        <v>1001</v>
      </c>
      <c r="I666" s="4">
        <f>[1]索里!$J35</f>
        <v>2809</v>
      </c>
      <c r="L666" s="30">
        <v>800</v>
      </c>
      <c r="M666" s="4">
        <f>[1]索里!E35</f>
        <v>354</v>
      </c>
      <c r="N666" s="4">
        <f>[1]索里!F35</f>
        <v>136</v>
      </c>
      <c r="O666" s="4">
        <f>[1]索里!G35</f>
        <v>3498</v>
      </c>
      <c r="P666" s="4">
        <v>0</v>
      </c>
      <c r="Q666" s="4">
        <f>[1]索里!H35</f>
        <v>1384</v>
      </c>
      <c r="R666" s="4">
        <v>2.5</v>
      </c>
      <c r="S666" s="4">
        <f>[1]索里!I35</f>
        <v>40</v>
      </c>
      <c r="T666" s="4">
        <v>0</v>
      </c>
      <c r="U666" s="4">
        <v>0</v>
      </c>
      <c r="V666" s="4">
        <v>0</v>
      </c>
    </row>
    <row r="667" spans="1:22" x14ac:dyDescent="0.15">
      <c r="A667" s="4" t="s">
        <v>2662</v>
      </c>
      <c r="D667" s="4">
        <v>41</v>
      </c>
      <c r="E667" s="4">
        <v>35</v>
      </c>
      <c r="H667" s="29">
        <v>1001</v>
      </c>
      <c r="I667" s="4">
        <f>[1]索里!$J36</f>
        <v>2872</v>
      </c>
      <c r="L667" s="30">
        <v>800</v>
      </c>
      <c r="M667" s="4">
        <f>[1]索里!E36</f>
        <v>362</v>
      </c>
      <c r="N667" s="4">
        <f>[1]索里!F36</f>
        <v>140</v>
      </c>
      <c r="O667" s="4">
        <f>[1]索里!G36</f>
        <v>3564</v>
      </c>
      <c r="P667" s="4">
        <v>0</v>
      </c>
      <c r="Q667" s="4">
        <f>[1]索里!H36</f>
        <v>1392</v>
      </c>
      <c r="R667" s="4">
        <v>2.5</v>
      </c>
      <c r="S667" s="4">
        <f>[1]索里!I36</f>
        <v>41</v>
      </c>
      <c r="T667" s="4">
        <v>0</v>
      </c>
      <c r="U667" s="4">
        <v>0</v>
      </c>
      <c r="V667" s="4">
        <v>0</v>
      </c>
    </row>
    <row r="668" spans="1:22" x14ac:dyDescent="0.15">
      <c r="A668" s="4" t="s">
        <v>2662</v>
      </c>
      <c r="D668" s="4">
        <v>41</v>
      </c>
      <c r="E668" s="4">
        <v>36</v>
      </c>
      <c r="H668" s="29">
        <v>1001</v>
      </c>
      <c r="I668" s="4">
        <f>[1]索里!$J37</f>
        <v>2934</v>
      </c>
      <c r="L668" s="30">
        <v>800</v>
      </c>
      <c r="M668" s="4">
        <f>[1]索里!E37</f>
        <v>370</v>
      </c>
      <c r="N668" s="4">
        <f>[1]索里!F37</f>
        <v>144</v>
      </c>
      <c r="O668" s="4">
        <f>[1]索里!G37</f>
        <v>3630</v>
      </c>
      <c r="P668" s="4">
        <v>0</v>
      </c>
      <c r="Q668" s="4">
        <f>[1]索里!H37</f>
        <v>1400</v>
      </c>
      <c r="R668" s="4">
        <v>2.5</v>
      </c>
      <c r="S668" s="4">
        <f>[1]索里!I37</f>
        <v>42</v>
      </c>
      <c r="T668" s="4">
        <v>0</v>
      </c>
      <c r="U668" s="4">
        <v>0</v>
      </c>
      <c r="V668" s="4">
        <v>0</v>
      </c>
    </row>
    <row r="669" spans="1:22" x14ac:dyDescent="0.15">
      <c r="A669" s="4" t="s">
        <v>2662</v>
      </c>
      <c r="D669" s="4">
        <v>41</v>
      </c>
      <c r="E669" s="4">
        <v>37</v>
      </c>
      <c r="H669" s="29">
        <v>1001</v>
      </c>
      <c r="I669" s="4">
        <f>[1]索里!$J38</f>
        <v>2996</v>
      </c>
      <c r="L669" s="30">
        <v>800</v>
      </c>
      <c r="M669" s="4">
        <f>[1]索里!E38</f>
        <v>378</v>
      </c>
      <c r="N669" s="4">
        <f>[1]索里!F38</f>
        <v>148</v>
      </c>
      <c r="O669" s="4">
        <f>[1]索里!G38</f>
        <v>3696</v>
      </c>
      <c r="P669" s="4">
        <v>0</v>
      </c>
      <c r="Q669" s="4">
        <f>[1]索里!H38</f>
        <v>1408</v>
      </c>
      <c r="R669" s="4">
        <v>2.5</v>
      </c>
      <c r="S669" s="4">
        <f>[1]索里!I38</f>
        <v>43</v>
      </c>
      <c r="T669" s="4">
        <v>0</v>
      </c>
      <c r="U669" s="4">
        <v>0</v>
      </c>
      <c r="V669" s="4">
        <v>0</v>
      </c>
    </row>
    <row r="670" spans="1:22" x14ac:dyDescent="0.15">
      <c r="A670" s="4" t="s">
        <v>2662</v>
      </c>
      <c r="D670" s="4">
        <v>41</v>
      </c>
      <c r="E670" s="4">
        <v>38</v>
      </c>
      <c r="H670" s="29">
        <v>1001</v>
      </c>
      <c r="I670" s="4">
        <f>[1]索里!$J39</f>
        <v>3059</v>
      </c>
      <c r="L670" s="30">
        <v>800</v>
      </c>
      <c r="M670" s="4">
        <f>[1]索里!E39</f>
        <v>386</v>
      </c>
      <c r="N670" s="4">
        <f>[1]索里!F39</f>
        <v>152</v>
      </c>
      <c r="O670" s="4">
        <f>[1]索里!G39</f>
        <v>3762</v>
      </c>
      <c r="P670" s="4">
        <v>0</v>
      </c>
      <c r="Q670" s="4">
        <f>[1]索里!H39</f>
        <v>1416</v>
      </c>
      <c r="R670" s="4">
        <v>2.5</v>
      </c>
      <c r="S670" s="4">
        <f>[1]索里!I39</f>
        <v>44</v>
      </c>
      <c r="T670" s="4">
        <v>0</v>
      </c>
      <c r="U670" s="4">
        <v>0</v>
      </c>
      <c r="V670" s="4">
        <v>0</v>
      </c>
    </row>
    <row r="671" spans="1:22" x14ac:dyDescent="0.15">
      <c r="A671" s="4" t="s">
        <v>2662</v>
      </c>
      <c r="D671" s="4">
        <v>41</v>
      </c>
      <c r="E671" s="4">
        <v>39</v>
      </c>
      <c r="H671" s="29">
        <v>1001</v>
      </c>
      <c r="I671" s="4">
        <f>[1]索里!$J40</f>
        <v>3121</v>
      </c>
      <c r="L671" s="30">
        <v>800</v>
      </c>
      <c r="M671" s="4">
        <f>[1]索里!E40</f>
        <v>394</v>
      </c>
      <c r="N671" s="4">
        <f>[1]索里!F40</f>
        <v>156</v>
      </c>
      <c r="O671" s="4">
        <f>[1]索里!G40</f>
        <v>3828</v>
      </c>
      <c r="P671" s="4">
        <v>0</v>
      </c>
      <c r="Q671" s="4">
        <f>[1]索里!H40</f>
        <v>1424</v>
      </c>
      <c r="R671" s="4">
        <v>2.5</v>
      </c>
      <c r="S671" s="4">
        <f>[1]索里!I40</f>
        <v>45</v>
      </c>
      <c r="T671" s="4">
        <v>0</v>
      </c>
      <c r="U671" s="4">
        <v>0</v>
      </c>
      <c r="V671" s="4">
        <v>0</v>
      </c>
    </row>
    <row r="672" spans="1:22" x14ac:dyDescent="0.15">
      <c r="A672" s="4" t="s">
        <v>2662</v>
      </c>
      <c r="D672" s="4">
        <v>41</v>
      </c>
      <c r="E672" s="4">
        <v>40</v>
      </c>
      <c r="H672" s="29">
        <v>1001</v>
      </c>
      <c r="I672" s="4">
        <f>[1]索里!$J41</f>
        <v>3183</v>
      </c>
      <c r="L672" s="30">
        <v>800</v>
      </c>
      <c r="M672" s="4">
        <f>[1]索里!E41</f>
        <v>402</v>
      </c>
      <c r="N672" s="4">
        <f>[1]索里!F41</f>
        <v>160</v>
      </c>
      <c r="O672" s="4">
        <f>[1]索里!G41</f>
        <v>3894</v>
      </c>
      <c r="P672" s="4">
        <v>0</v>
      </c>
      <c r="Q672" s="4">
        <f>[1]索里!H41</f>
        <v>1432</v>
      </c>
      <c r="R672" s="4">
        <v>2.5</v>
      </c>
      <c r="S672" s="4">
        <f>[1]索里!I41</f>
        <v>46</v>
      </c>
      <c r="T672" s="4">
        <v>0</v>
      </c>
      <c r="U672" s="4">
        <v>0</v>
      </c>
      <c r="V672" s="4">
        <v>0</v>
      </c>
    </row>
    <row r="673" spans="1:22" x14ac:dyDescent="0.15">
      <c r="A673" s="4" t="s">
        <v>2662</v>
      </c>
      <c r="D673" s="4">
        <v>41</v>
      </c>
      <c r="E673" s="4">
        <v>41</v>
      </c>
      <c r="H673" s="29">
        <v>1001</v>
      </c>
      <c r="I673" s="4">
        <f>[1]索里!$J42</f>
        <v>3246</v>
      </c>
      <c r="L673" s="30">
        <v>800</v>
      </c>
      <c r="M673" s="4">
        <f>[1]索里!E42</f>
        <v>410</v>
      </c>
      <c r="N673" s="4">
        <f>[1]索里!F42</f>
        <v>164</v>
      </c>
      <c r="O673" s="4">
        <f>[1]索里!G42</f>
        <v>3960</v>
      </c>
      <c r="P673" s="4">
        <v>0</v>
      </c>
      <c r="Q673" s="4">
        <f>[1]索里!H42</f>
        <v>1440</v>
      </c>
      <c r="R673" s="4">
        <v>2.5</v>
      </c>
      <c r="S673" s="4">
        <f>[1]索里!I42</f>
        <v>47</v>
      </c>
      <c r="T673" s="4">
        <v>0</v>
      </c>
      <c r="U673" s="4">
        <v>0</v>
      </c>
      <c r="V673" s="4">
        <v>0</v>
      </c>
    </row>
    <row r="674" spans="1:22" x14ac:dyDescent="0.15">
      <c r="A674" s="4" t="s">
        <v>2662</v>
      </c>
      <c r="D674" s="4">
        <v>41</v>
      </c>
      <c r="E674" s="4">
        <v>42</v>
      </c>
      <c r="H674" s="29">
        <v>1001</v>
      </c>
      <c r="I674" s="4">
        <f>[1]索里!$J43</f>
        <v>3308</v>
      </c>
      <c r="L674" s="30">
        <v>800</v>
      </c>
      <c r="M674" s="4">
        <f>[1]索里!E43</f>
        <v>418</v>
      </c>
      <c r="N674" s="4">
        <f>[1]索里!F43</f>
        <v>168</v>
      </c>
      <c r="O674" s="4">
        <f>[1]索里!G43</f>
        <v>4026</v>
      </c>
      <c r="P674" s="4">
        <v>0</v>
      </c>
      <c r="Q674" s="4">
        <f>[1]索里!H43</f>
        <v>1448</v>
      </c>
      <c r="R674" s="4">
        <v>2.5</v>
      </c>
      <c r="S674" s="4">
        <f>[1]索里!I43</f>
        <v>48</v>
      </c>
      <c r="T674" s="4">
        <v>0</v>
      </c>
      <c r="U674" s="4">
        <v>0</v>
      </c>
      <c r="V674" s="4">
        <v>0</v>
      </c>
    </row>
    <row r="675" spans="1:22" x14ac:dyDescent="0.15">
      <c r="A675" s="4" t="s">
        <v>2662</v>
      </c>
      <c r="D675" s="4">
        <v>41</v>
      </c>
      <c r="E675" s="4">
        <v>43</v>
      </c>
      <c r="H675" s="29">
        <v>1001</v>
      </c>
      <c r="I675" s="4">
        <f>[1]索里!$J44</f>
        <v>3371</v>
      </c>
      <c r="L675" s="30">
        <v>800</v>
      </c>
      <c r="M675" s="4">
        <f>[1]索里!E44</f>
        <v>426</v>
      </c>
      <c r="N675" s="4">
        <f>[1]索里!F44</f>
        <v>172</v>
      </c>
      <c r="O675" s="4">
        <f>[1]索里!G44</f>
        <v>4092</v>
      </c>
      <c r="P675" s="4">
        <v>0</v>
      </c>
      <c r="Q675" s="4">
        <f>[1]索里!H44</f>
        <v>1456</v>
      </c>
      <c r="R675" s="4">
        <v>2.5</v>
      </c>
      <c r="S675" s="4">
        <f>[1]索里!I44</f>
        <v>49</v>
      </c>
      <c r="T675" s="4">
        <v>0</v>
      </c>
      <c r="U675" s="4">
        <v>0</v>
      </c>
      <c r="V675" s="4">
        <v>0</v>
      </c>
    </row>
    <row r="676" spans="1:22" x14ac:dyDescent="0.15">
      <c r="A676" s="4" t="s">
        <v>2662</v>
      </c>
      <c r="D676" s="4">
        <v>41</v>
      </c>
      <c r="E676" s="4">
        <v>44</v>
      </c>
      <c r="H676" s="29">
        <v>1001</v>
      </c>
      <c r="I676" s="4">
        <f>[1]索里!$J45</f>
        <v>3433</v>
      </c>
      <c r="L676" s="30">
        <v>800</v>
      </c>
      <c r="M676" s="4">
        <f>[1]索里!E45</f>
        <v>434</v>
      </c>
      <c r="N676" s="4">
        <f>[1]索里!F45</f>
        <v>176</v>
      </c>
      <c r="O676" s="4">
        <f>[1]索里!G45</f>
        <v>4158</v>
      </c>
      <c r="P676" s="4">
        <v>0</v>
      </c>
      <c r="Q676" s="4">
        <f>[1]索里!H45</f>
        <v>1464</v>
      </c>
      <c r="R676" s="4">
        <v>2.5</v>
      </c>
      <c r="S676" s="4">
        <f>[1]索里!I45</f>
        <v>50</v>
      </c>
      <c r="T676" s="4">
        <v>0</v>
      </c>
      <c r="U676" s="4">
        <v>0</v>
      </c>
      <c r="V676" s="4">
        <v>0</v>
      </c>
    </row>
    <row r="677" spans="1:22" x14ac:dyDescent="0.15">
      <c r="A677" s="4" t="s">
        <v>2662</v>
      </c>
      <c r="D677" s="4">
        <v>41</v>
      </c>
      <c r="E677" s="4">
        <v>45</v>
      </c>
      <c r="H677" s="29">
        <v>1001</v>
      </c>
      <c r="I677" s="4">
        <f>[1]索里!$J46</f>
        <v>3495</v>
      </c>
      <c r="L677" s="30">
        <v>800</v>
      </c>
      <c r="M677" s="4">
        <f>[1]索里!E46</f>
        <v>442</v>
      </c>
      <c r="N677" s="4">
        <f>[1]索里!F46</f>
        <v>180</v>
      </c>
      <c r="O677" s="4">
        <f>[1]索里!G46</f>
        <v>4224</v>
      </c>
      <c r="P677" s="4">
        <v>0</v>
      </c>
      <c r="Q677" s="4">
        <f>[1]索里!H46</f>
        <v>1472</v>
      </c>
      <c r="R677" s="4">
        <v>2.5</v>
      </c>
      <c r="S677" s="4">
        <f>[1]索里!I46</f>
        <v>51</v>
      </c>
      <c r="T677" s="4">
        <v>0</v>
      </c>
      <c r="U677" s="4">
        <v>0</v>
      </c>
      <c r="V677" s="4">
        <v>0</v>
      </c>
    </row>
    <row r="678" spans="1:22" x14ac:dyDescent="0.15">
      <c r="A678" s="4" t="s">
        <v>2662</v>
      </c>
      <c r="D678" s="4">
        <v>41</v>
      </c>
      <c r="E678" s="4">
        <v>46</v>
      </c>
      <c r="H678" s="29">
        <v>1001</v>
      </c>
      <c r="I678" s="4">
        <f>[1]索里!$J47</f>
        <v>3558</v>
      </c>
      <c r="L678" s="30">
        <v>800</v>
      </c>
      <c r="M678" s="4">
        <f>[1]索里!E47</f>
        <v>450</v>
      </c>
      <c r="N678" s="4">
        <f>[1]索里!F47</f>
        <v>184</v>
      </c>
      <c r="O678" s="4">
        <f>[1]索里!G47</f>
        <v>4290</v>
      </c>
      <c r="P678" s="4">
        <v>0</v>
      </c>
      <c r="Q678" s="4">
        <f>[1]索里!H47</f>
        <v>1480</v>
      </c>
      <c r="R678" s="4">
        <v>2.5</v>
      </c>
      <c r="S678" s="4">
        <f>[1]索里!I47</f>
        <v>52</v>
      </c>
      <c r="T678" s="4">
        <v>0</v>
      </c>
      <c r="U678" s="4">
        <v>0</v>
      </c>
      <c r="V678" s="4">
        <v>0</v>
      </c>
    </row>
    <row r="679" spans="1:22" x14ac:dyDescent="0.15">
      <c r="A679" s="4" t="s">
        <v>2662</v>
      </c>
      <c r="D679" s="4">
        <v>41</v>
      </c>
      <c r="E679" s="4">
        <v>47</v>
      </c>
      <c r="H679" s="29">
        <v>1001</v>
      </c>
      <c r="I679" s="4">
        <f>[1]索里!$J48</f>
        <v>3620</v>
      </c>
      <c r="L679" s="30">
        <v>800</v>
      </c>
      <c r="M679" s="4">
        <f>[1]索里!E48</f>
        <v>458</v>
      </c>
      <c r="N679" s="4">
        <f>[1]索里!F48</f>
        <v>188</v>
      </c>
      <c r="O679" s="4">
        <f>[1]索里!G48</f>
        <v>4356</v>
      </c>
      <c r="P679" s="4">
        <v>0</v>
      </c>
      <c r="Q679" s="4">
        <f>[1]索里!H48</f>
        <v>1488</v>
      </c>
      <c r="R679" s="4">
        <v>2.5</v>
      </c>
      <c r="S679" s="4">
        <f>[1]索里!I48</f>
        <v>53</v>
      </c>
      <c r="T679" s="4">
        <v>0</v>
      </c>
      <c r="U679" s="4">
        <v>0</v>
      </c>
      <c r="V679" s="4">
        <v>0</v>
      </c>
    </row>
    <row r="680" spans="1:22" x14ac:dyDescent="0.15">
      <c r="A680" s="4" t="s">
        <v>2662</v>
      </c>
      <c r="D680" s="4">
        <v>41</v>
      </c>
      <c r="E680" s="4">
        <v>48</v>
      </c>
      <c r="H680" s="29">
        <v>1001</v>
      </c>
      <c r="I680" s="4">
        <f>[1]索里!$J49</f>
        <v>3682</v>
      </c>
      <c r="L680" s="30">
        <v>800</v>
      </c>
      <c r="M680" s="4">
        <f>[1]索里!E49</f>
        <v>466</v>
      </c>
      <c r="N680" s="4">
        <f>[1]索里!F49</f>
        <v>192</v>
      </c>
      <c r="O680" s="4">
        <f>[1]索里!G49</f>
        <v>4422</v>
      </c>
      <c r="P680" s="4">
        <v>0</v>
      </c>
      <c r="Q680" s="4">
        <f>[1]索里!H49</f>
        <v>1496</v>
      </c>
      <c r="R680" s="4">
        <v>2.5</v>
      </c>
      <c r="S680" s="4">
        <f>[1]索里!I49</f>
        <v>54</v>
      </c>
      <c r="T680" s="4">
        <v>0</v>
      </c>
      <c r="U680" s="4">
        <v>0</v>
      </c>
      <c r="V680" s="4">
        <v>0</v>
      </c>
    </row>
    <row r="681" spans="1:22" x14ac:dyDescent="0.15">
      <c r="A681" s="4" t="s">
        <v>2662</v>
      </c>
      <c r="D681" s="4">
        <v>41</v>
      </c>
      <c r="E681" s="4">
        <v>49</v>
      </c>
      <c r="H681" s="29">
        <v>1001</v>
      </c>
      <c r="I681" s="4">
        <f>[1]索里!$J50</f>
        <v>3745</v>
      </c>
      <c r="L681" s="30">
        <v>800</v>
      </c>
      <c r="M681" s="4">
        <f>[1]索里!E50</f>
        <v>474</v>
      </c>
      <c r="N681" s="4">
        <f>[1]索里!F50</f>
        <v>196</v>
      </c>
      <c r="O681" s="4">
        <f>[1]索里!G50</f>
        <v>4488</v>
      </c>
      <c r="P681" s="4">
        <v>0</v>
      </c>
      <c r="Q681" s="4">
        <f>[1]索里!H50</f>
        <v>1504</v>
      </c>
      <c r="R681" s="4">
        <v>2.5</v>
      </c>
      <c r="S681" s="4">
        <f>[1]索里!I50</f>
        <v>55</v>
      </c>
      <c r="T681" s="4">
        <v>0</v>
      </c>
      <c r="U681" s="4">
        <v>0</v>
      </c>
      <c r="V681" s="4">
        <v>0</v>
      </c>
    </row>
    <row r="682" spans="1:22" x14ac:dyDescent="0.15">
      <c r="A682" s="4" t="s">
        <v>2662</v>
      </c>
      <c r="D682" s="4">
        <v>41</v>
      </c>
      <c r="E682" s="4">
        <v>50</v>
      </c>
      <c r="H682" s="29">
        <v>1001</v>
      </c>
      <c r="I682" s="4">
        <f>[1]索里!$J51</f>
        <v>3807</v>
      </c>
      <c r="L682" s="30">
        <v>800</v>
      </c>
      <c r="M682" s="4">
        <f>[1]索里!E51</f>
        <v>482</v>
      </c>
      <c r="N682" s="4">
        <f>[1]索里!F51</f>
        <v>200</v>
      </c>
      <c r="O682" s="4">
        <f>[1]索里!G51</f>
        <v>4554</v>
      </c>
      <c r="P682" s="4">
        <v>0</v>
      </c>
      <c r="Q682" s="4">
        <f>[1]索里!H51</f>
        <v>1512</v>
      </c>
      <c r="R682" s="4">
        <v>2.5</v>
      </c>
      <c r="S682" s="4">
        <f>[1]索里!I51</f>
        <v>56</v>
      </c>
      <c r="T682" s="4">
        <v>0</v>
      </c>
      <c r="U682" s="4">
        <v>0</v>
      </c>
      <c r="V682" s="4">
        <v>0</v>
      </c>
    </row>
    <row r="683" spans="1:22" x14ac:dyDescent="0.15">
      <c r="I683" s="4"/>
    </row>
    <row r="684" spans="1:22" x14ac:dyDescent="0.15">
      <c r="A684" s="4" t="s">
        <v>2662</v>
      </c>
      <c r="C684" s="4" t="s">
        <v>3090</v>
      </c>
      <c r="D684" s="4">
        <f>D632+1</f>
        <v>42</v>
      </c>
      <c r="E684" s="4">
        <v>0</v>
      </c>
      <c r="H684" s="29">
        <v>2201</v>
      </c>
      <c r="I684" s="31">
        <v>1</v>
      </c>
      <c r="L684" s="30">
        <v>109</v>
      </c>
      <c r="M684" s="4">
        <v>0</v>
      </c>
      <c r="N684" s="4">
        <v>0</v>
      </c>
      <c r="O684" s="4">
        <v>0</v>
      </c>
      <c r="P684" s="4">
        <v>0</v>
      </c>
      <c r="Q684" s="4">
        <v>0</v>
      </c>
      <c r="R684" s="4">
        <v>0</v>
      </c>
      <c r="S684" s="4">
        <v>0</v>
      </c>
      <c r="T684" s="4">
        <v>0</v>
      </c>
      <c r="U684" s="4">
        <v>0</v>
      </c>
      <c r="V684" s="4">
        <v>0</v>
      </c>
    </row>
    <row r="685" spans="1:22" x14ac:dyDescent="0.15">
      <c r="A685" s="4" t="s">
        <v>2662</v>
      </c>
      <c r="D685" s="4">
        <f t="shared" ref="D685:D734" si="8">D633+1</f>
        <v>42</v>
      </c>
      <c r="E685" s="4">
        <v>1</v>
      </c>
      <c r="H685" s="29">
        <v>1001</v>
      </c>
      <c r="I685" s="4">
        <f>[1]索里!$S2</f>
        <v>1808</v>
      </c>
      <c r="L685" s="30">
        <v>800</v>
      </c>
      <c r="M685" s="4">
        <f>[1]索里!N2</f>
        <v>230</v>
      </c>
      <c r="N685" s="4">
        <f>[1]索里!O2</f>
        <v>7</v>
      </c>
      <c r="O685" s="4">
        <f>[1]索里!P2</f>
        <v>2957</v>
      </c>
      <c r="P685" s="4">
        <v>0</v>
      </c>
      <c r="Q685" s="4">
        <f>[1]索里!Q2</f>
        <v>2038</v>
      </c>
      <c r="R685" s="4">
        <v>2.5</v>
      </c>
      <c r="S685" s="4">
        <f>[1]索里!R2</f>
        <v>12</v>
      </c>
      <c r="T685" s="4">
        <v>0</v>
      </c>
      <c r="U685" s="4">
        <v>0</v>
      </c>
      <c r="V685" s="4">
        <v>0</v>
      </c>
    </row>
    <row r="686" spans="1:22" x14ac:dyDescent="0.15">
      <c r="A686" s="4" t="s">
        <v>2662</v>
      </c>
      <c r="D686" s="4">
        <f t="shared" si="8"/>
        <v>42</v>
      </c>
      <c r="E686" s="4">
        <v>2</v>
      </c>
      <c r="H686" s="29">
        <v>1001</v>
      </c>
      <c r="I686" s="4">
        <f>[1]索里!$S3</f>
        <v>1883</v>
      </c>
      <c r="L686" s="30">
        <v>800</v>
      </c>
      <c r="M686" s="4">
        <f>[1]索里!N3</f>
        <v>240</v>
      </c>
      <c r="N686" s="4">
        <f>[1]索里!O3</f>
        <v>11</v>
      </c>
      <c r="O686" s="4">
        <f>[1]索里!P3</f>
        <v>3033</v>
      </c>
      <c r="P686" s="4">
        <v>0</v>
      </c>
      <c r="Q686" s="4">
        <f>[1]索里!Q3</f>
        <v>2046</v>
      </c>
      <c r="R686" s="4">
        <v>2.5</v>
      </c>
      <c r="S686" s="4">
        <f>[1]索里!R3</f>
        <v>13</v>
      </c>
      <c r="T686" s="4">
        <v>0</v>
      </c>
      <c r="U686" s="4">
        <v>0</v>
      </c>
      <c r="V686" s="4">
        <v>0</v>
      </c>
    </row>
    <row r="687" spans="1:22" x14ac:dyDescent="0.15">
      <c r="A687" s="4" t="s">
        <v>2662</v>
      </c>
      <c r="D687" s="4">
        <f t="shared" si="8"/>
        <v>42</v>
      </c>
      <c r="E687" s="4">
        <v>3</v>
      </c>
      <c r="H687" s="29">
        <v>1001</v>
      </c>
      <c r="I687" s="4">
        <f>[1]索里!$S4</f>
        <v>1957</v>
      </c>
      <c r="L687" s="30">
        <v>800</v>
      </c>
      <c r="M687" s="4">
        <f>[1]索里!N4</f>
        <v>250</v>
      </c>
      <c r="N687" s="4">
        <f>[1]索里!O4</f>
        <v>15</v>
      </c>
      <c r="O687" s="4">
        <f>[1]索里!P4</f>
        <v>3109</v>
      </c>
      <c r="P687" s="4">
        <v>0</v>
      </c>
      <c r="Q687" s="4">
        <f>[1]索里!Q4</f>
        <v>2054</v>
      </c>
      <c r="R687" s="4">
        <v>2.5</v>
      </c>
      <c r="S687" s="4">
        <f>[1]索里!R4</f>
        <v>14</v>
      </c>
      <c r="T687" s="4">
        <v>0</v>
      </c>
      <c r="U687" s="4">
        <v>0</v>
      </c>
      <c r="V687" s="4">
        <v>0</v>
      </c>
    </row>
    <row r="688" spans="1:22" x14ac:dyDescent="0.15">
      <c r="A688" s="4" t="s">
        <v>2662</v>
      </c>
      <c r="D688" s="4">
        <f t="shared" si="8"/>
        <v>42</v>
      </c>
      <c r="E688" s="4">
        <v>4</v>
      </c>
      <c r="H688" s="29">
        <v>1001</v>
      </c>
      <c r="I688" s="4">
        <f>[1]索里!$S5</f>
        <v>2031</v>
      </c>
      <c r="L688" s="30">
        <v>800</v>
      </c>
      <c r="M688" s="4">
        <f>[1]索里!N5</f>
        <v>260</v>
      </c>
      <c r="N688" s="4">
        <f>[1]索里!O5</f>
        <v>19</v>
      </c>
      <c r="O688" s="4">
        <f>[1]索里!P5</f>
        <v>3185</v>
      </c>
      <c r="P688" s="4">
        <v>0</v>
      </c>
      <c r="Q688" s="4">
        <f>[1]索里!Q5</f>
        <v>2062</v>
      </c>
      <c r="R688" s="4">
        <v>2.5</v>
      </c>
      <c r="S688" s="4">
        <f>[1]索里!R5</f>
        <v>15</v>
      </c>
      <c r="T688" s="4">
        <v>0</v>
      </c>
      <c r="U688" s="4">
        <v>0</v>
      </c>
      <c r="V688" s="4">
        <v>0</v>
      </c>
    </row>
    <row r="689" spans="1:22" x14ac:dyDescent="0.15">
      <c r="A689" s="4" t="s">
        <v>2662</v>
      </c>
      <c r="D689" s="4">
        <f t="shared" si="8"/>
        <v>42</v>
      </c>
      <c r="E689" s="4">
        <v>5</v>
      </c>
      <c r="H689" s="29">
        <v>1001</v>
      </c>
      <c r="I689" s="4">
        <f>[1]索里!$S6</f>
        <v>2106</v>
      </c>
      <c r="L689" s="30">
        <v>800</v>
      </c>
      <c r="M689" s="4">
        <f>[1]索里!N6</f>
        <v>270</v>
      </c>
      <c r="N689" s="4">
        <f>[1]索里!O6</f>
        <v>23</v>
      </c>
      <c r="O689" s="4">
        <f>[1]索里!P6</f>
        <v>3261</v>
      </c>
      <c r="P689" s="4">
        <v>0</v>
      </c>
      <c r="Q689" s="4">
        <f>[1]索里!Q6</f>
        <v>2070</v>
      </c>
      <c r="R689" s="4">
        <v>2.5</v>
      </c>
      <c r="S689" s="4">
        <f>[1]索里!R6</f>
        <v>16</v>
      </c>
      <c r="T689" s="4">
        <v>0</v>
      </c>
      <c r="U689" s="4">
        <v>0</v>
      </c>
      <c r="V689" s="4">
        <v>0</v>
      </c>
    </row>
    <row r="690" spans="1:22" x14ac:dyDescent="0.15">
      <c r="A690" s="4" t="s">
        <v>2662</v>
      </c>
      <c r="D690" s="4">
        <f t="shared" si="8"/>
        <v>42</v>
      </c>
      <c r="E690" s="4">
        <v>6</v>
      </c>
      <c r="H690" s="29">
        <v>1001</v>
      </c>
      <c r="I690" s="4">
        <f>[1]索里!$S7</f>
        <v>2180</v>
      </c>
      <c r="L690" s="30">
        <v>800</v>
      </c>
      <c r="M690" s="4">
        <f>[1]索里!N7</f>
        <v>280</v>
      </c>
      <c r="N690" s="4">
        <f>[1]索里!O7</f>
        <v>27</v>
      </c>
      <c r="O690" s="4">
        <f>[1]索里!P7</f>
        <v>3337</v>
      </c>
      <c r="P690" s="4">
        <v>0</v>
      </c>
      <c r="Q690" s="4">
        <f>[1]索里!Q7</f>
        <v>2078</v>
      </c>
      <c r="R690" s="4">
        <v>2.5</v>
      </c>
      <c r="S690" s="4">
        <f>[1]索里!R7</f>
        <v>17</v>
      </c>
      <c r="T690" s="4">
        <v>0</v>
      </c>
      <c r="U690" s="4">
        <v>0</v>
      </c>
      <c r="V690" s="4">
        <v>0</v>
      </c>
    </row>
    <row r="691" spans="1:22" x14ac:dyDescent="0.15">
      <c r="A691" s="4" t="s">
        <v>2662</v>
      </c>
      <c r="D691" s="4">
        <f t="shared" si="8"/>
        <v>42</v>
      </c>
      <c r="E691" s="4">
        <v>7</v>
      </c>
      <c r="H691" s="29">
        <v>1001</v>
      </c>
      <c r="I691" s="4">
        <f>[1]索里!$S8</f>
        <v>2254</v>
      </c>
      <c r="L691" s="30">
        <v>800</v>
      </c>
      <c r="M691" s="4">
        <f>[1]索里!N8</f>
        <v>290</v>
      </c>
      <c r="N691" s="4">
        <f>[1]索里!O8</f>
        <v>31</v>
      </c>
      <c r="O691" s="4">
        <f>[1]索里!P8</f>
        <v>3413</v>
      </c>
      <c r="P691" s="4">
        <v>0</v>
      </c>
      <c r="Q691" s="4">
        <f>[1]索里!Q8</f>
        <v>2086</v>
      </c>
      <c r="R691" s="4">
        <v>2.5</v>
      </c>
      <c r="S691" s="4">
        <f>[1]索里!R8</f>
        <v>18</v>
      </c>
      <c r="T691" s="4">
        <v>0</v>
      </c>
      <c r="U691" s="4">
        <v>0</v>
      </c>
      <c r="V691" s="4">
        <v>0</v>
      </c>
    </row>
    <row r="692" spans="1:22" x14ac:dyDescent="0.15">
      <c r="A692" s="4" t="s">
        <v>2662</v>
      </c>
      <c r="D692" s="4">
        <f t="shared" si="8"/>
        <v>42</v>
      </c>
      <c r="E692" s="4">
        <v>8</v>
      </c>
      <c r="H692" s="29">
        <v>1001</v>
      </c>
      <c r="I692" s="4">
        <f>[1]索里!$S9</f>
        <v>2329</v>
      </c>
      <c r="L692" s="30">
        <v>800</v>
      </c>
      <c r="M692" s="4">
        <f>[1]索里!N9</f>
        <v>300</v>
      </c>
      <c r="N692" s="4">
        <f>[1]索里!O9</f>
        <v>35</v>
      </c>
      <c r="O692" s="4">
        <f>[1]索里!P9</f>
        <v>3489</v>
      </c>
      <c r="P692" s="4">
        <v>0</v>
      </c>
      <c r="Q692" s="4">
        <f>[1]索里!Q9</f>
        <v>2094</v>
      </c>
      <c r="R692" s="4">
        <v>2.5</v>
      </c>
      <c r="S692" s="4">
        <f>[1]索里!R9</f>
        <v>19</v>
      </c>
      <c r="T692" s="4">
        <v>0</v>
      </c>
      <c r="U692" s="4">
        <v>0</v>
      </c>
      <c r="V692" s="4">
        <v>0</v>
      </c>
    </row>
    <row r="693" spans="1:22" x14ac:dyDescent="0.15">
      <c r="A693" s="4" t="s">
        <v>2662</v>
      </c>
      <c r="D693" s="4">
        <f t="shared" si="8"/>
        <v>42</v>
      </c>
      <c r="E693" s="4">
        <v>9</v>
      </c>
      <c r="H693" s="29">
        <v>1001</v>
      </c>
      <c r="I693" s="4">
        <f>[1]索里!$S10</f>
        <v>2403</v>
      </c>
      <c r="L693" s="30">
        <v>800</v>
      </c>
      <c r="M693" s="4">
        <f>[1]索里!N10</f>
        <v>310</v>
      </c>
      <c r="N693" s="4">
        <f>[1]索里!O10</f>
        <v>39</v>
      </c>
      <c r="O693" s="4">
        <f>[1]索里!P10</f>
        <v>3565</v>
      </c>
      <c r="P693" s="4">
        <v>0</v>
      </c>
      <c r="Q693" s="4">
        <f>[1]索里!Q10</f>
        <v>2102</v>
      </c>
      <c r="R693" s="4">
        <v>2.5</v>
      </c>
      <c r="S693" s="4">
        <f>[1]索里!R10</f>
        <v>20</v>
      </c>
      <c r="T693" s="4">
        <v>0</v>
      </c>
      <c r="U693" s="4">
        <v>0</v>
      </c>
      <c r="V693" s="4">
        <v>0</v>
      </c>
    </row>
    <row r="694" spans="1:22" x14ac:dyDescent="0.15">
      <c r="A694" s="4" t="s">
        <v>2662</v>
      </c>
      <c r="D694" s="4">
        <f t="shared" si="8"/>
        <v>42</v>
      </c>
      <c r="E694" s="4">
        <v>10</v>
      </c>
      <c r="H694" s="29">
        <v>1001</v>
      </c>
      <c r="I694" s="4">
        <f>[1]索里!$S11</f>
        <v>2477</v>
      </c>
      <c r="L694" s="30">
        <v>800</v>
      </c>
      <c r="M694" s="4">
        <f>[1]索里!N11</f>
        <v>320</v>
      </c>
      <c r="N694" s="4">
        <f>[1]索里!O11</f>
        <v>43</v>
      </c>
      <c r="O694" s="4">
        <f>[1]索里!P11</f>
        <v>3641</v>
      </c>
      <c r="P694" s="4">
        <v>0</v>
      </c>
      <c r="Q694" s="4">
        <f>[1]索里!Q11</f>
        <v>2110</v>
      </c>
      <c r="R694" s="4">
        <v>2.5</v>
      </c>
      <c r="S694" s="4">
        <f>[1]索里!R11</f>
        <v>21</v>
      </c>
      <c r="T694" s="4">
        <v>0</v>
      </c>
      <c r="U694" s="4">
        <v>0</v>
      </c>
      <c r="V694" s="4">
        <v>0</v>
      </c>
    </row>
    <row r="695" spans="1:22" x14ac:dyDescent="0.15">
      <c r="A695" s="4" t="s">
        <v>2662</v>
      </c>
      <c r="D695" s="4">
        <f t="shared" si="8"/>
        <v>42</v>
      </c>
      <c r="E695" s="4">
        <v>11</v>
      </c>
      <c r="H695" s="29">
        <v>1001</v>
      </c>
      <c r="I695" s="4">
        <f>[1]索里!$S12</f>
        <v>2552</v>
      </c>
      <c r="L695" s="30">
        <v>800</v>
      </c>
      <c r="M695" s="4">
        <f>[1]索里!N12</f>
        <v>330</v>
      </c>
      <c r="N695" s="4">
        <f>[1]索里!O12</f>
        <v>47</v>
      </c>
      <c r="O695" s="4">
        <f>[1]索里!P12</f>
        <v>3717</v>
      </c>
      <c r="P695" s="4">
        <v>0</v>
      </c>
      <c r="Q695" s="4">
        <f>[1]索里!Q12</f>
        <v>2118</v>
      </c>
      <c r="R695" s="4">
        <v>2.5</v>
      </c>
      <c r="S695" s="4">
        <f>[1]索里!R12</f>
        <v>22</v>
      </c>
      <c r="T695" s="4">
        <v>0</v>
      </c>
      <c r="U695" s="4">
        <v>0</v>
      </c>
      <c r="V695" s="4">
        <v>0</v>
      </c>
    </row>
    <row r="696" spans="1:22" x14ac:dyDescent="0.15">
      <c r="A696" s="4" t="s">
        <v>2662</v>
      </c>
      <c r="D696" s="4">
        <f t="shared" si="8"/>
        <v>42</v>
      </c>
      <c r="E696" s="4">
        <v>12</v>
      </c>
      <c r="H696" s="29">
        <v>1001</v>
      </c>
      <c r="I696" s="4">
        <f>[1]索里!$S13</f>
        <v>2626</v>
      </c>
      <c r="L696" s="30">
        <v>800</v>
      </c>
      <c r="M696" s="4">
        <f>[1]索里!N13</f>
        <v>340</v>
      </c>
      <c r="N696" s="4">
        <f>[1]索里!O13</f>
        <v>51</v>
      </c>
      <c r="O696" s="4">
        <f>[1]索里!P13</f>
        <v>3793</v>
      </c>
      <c r="P696" s="4">
        <v>0</v>
      </c>
      <c r="Q696" s="4">
        <f>[1]索里!Q13</f>
        <v>2126</v>
      </c>
      <c r="R696" s="4">
        <v>2.5</v>
      </c>
      <c r="S696" s="4">
        <f>[1]索里!R13</f>
        <v>23</v>
      </c>
      <c r="T696" s="4">
        <v>0</v>
      </c>
      <c r="U696" s="4">
        <v>0</v>
      </c>
      <c r="V696" s="4">
        <v>0</v>
      </c>
    </row>
    <row r="697" spans="1:22" x14ac:dyDescent="0.15">
      <c r="A697" s="4" t="s">
        <v>2662</v>
      </c>
      <c r="D697" s="4">
        <f t="shared" si="8"/>
        <v>42</v>
      </c>
      <c r="E697" s="4">
        <v>13</v>
      </c>
      <c r="H697" s="29">
        <v>1001</v>
      </c>
      <c r="I697" s="4">
        <f>[1]索里!$S14</f>
        <v>2700</v>
      </c>
      <c r="L697" s="30">
        <v>800</v>
      </c>
      <c r="M697" s="4">
        <f>[1]索里!N14</f>
        <v>350</v>
      </c>
      <c r="N697" s="4">
        <f>[1]索里!O14</f>
        <v>55</v>
      </c>
      <c r="O697" s="4">
        <f>[1]索里!P14</f>
        <v>3869</v>
      </c>
      <c r="P697" s="4">
        <v>0</v>
      </c>
      <c r="Q697" s="4">
        <f>[1]索里!Q14</f>
        <v>2134</v>
      </c>
      <c r="R697" s="4">
        <v>2.5</v>
      </c>
      <c r="S697" s="4">
        <f>[1]索里!R14</f>
        <v>24</v>
      </c>
      <c r="T697" s="4">
        <v>0</v>
      </c>
      <c r="U697" s="4">
        <v>0</v>
      </c>
      <c r="V697" s="4">
        <v>0</v>
      </c>
    </row>
    <row r="698" spans="1:22" x14ac:dyDescent="0.15">
      <c r="A698" s="4" t="s">
        <v>2662</v>
      </c>
      <c r="D698" s="4">
        <f t="shared" si="8"/>
        <v>42</v>
      </c>
      <c r="E698" s="4">
        <v>14</v>
      </c>
      <c r="H698" s="29">
        <v>1001</v>
      </c>
      <c r="I698" s="4">
        <f>[1]索里!$S15</f>
        <v>2775</v>
      </c>
      <c r="L698" s="30">
        <v>800</v>
      </c>
      <c r="M698" s="4">
        <f>[1]索里!N15</f>
        <v>360</v>
      </c>
      <c r="N698" s="4">
        <f>[1]索里!O15</f>
        <v>59</v>
      </c>
      <c r="O698" s="4">
        <f>[1]索里!P15</f>
        <v>3945</v>
      </c>
      <c r="P698" s="4">
        <v>0</v>
      </c>
      <c r="Q698" s="4">
        <f>[1]索里!Q15</f>
        <v>2142</v>
      </c>
      <c r="R698" s="4">
        <v>2.5</v>
      </c>
      <c r="S698" s="4">
        <f>[1]索里!R15</f>
        <v>25</v>
      </c>
      <c r="T698" s="4">
        <v>0</v>
      </c>
      <c r="U698" s="4">
        <v>0</v>
      </c>
      <c r="V698" s="4">
        <v>0</v>
      </c>
    </row>
    <row r="699" spans="1:22" x14ac:dyDescent="0.15">
      <c r="A699" s="4" t="s">
        <v>2662</v>
      </c>
      <c r="D699" s="4">
        <f t="shared" si="8"/>
        <v>42</v>
      </c>
      <c r="E699" s="4">
        <v>15</v>
      </c>
      <c r="H699" s="29">
        <v>1001</v>
      </c>
      <c r="I699" s="4">
        <f>[1]索里!$S16</f>
        <v>2849</v>
      </c>
      <c r="L699" s="30">
        <v>800</v>
      </c>
      <c r="M699" s="4">
        <f>[1]索里!N16</f>
        <v>370</v>
      </c>
      <c r="N699" s="4">
        <f>[1]索里!O16</f>
        <v>63</v>
      </c>
      <c r="O699" s="4">
        <f>[1]索里!P16</f>
        <v>4021</v>
      </c>
      <c r="P699" s="4">
        <v>0</v>
      </c>
      <c r="Q699" s="4">
        <f>[1]索里!Q16</f>
        <v>2150</v>
      </c>
      <c r="R699" s="4">
        <v>2.5</v>
      </c>
      <c r="S699" s="4">
        <f>[1]索里!R16</f>
        <v>26</v>
      </c>
      <c r="T699" s="4">
        <v>0</v>
      </c>
      <c r="U699" s="4">
        <v>0</v>
      </c>
      <c r="V699" s="4">
        <v>0</v>
      </c>
    </row>
    <row r="700" spans="1:22" x14ac:dyDescent="0.15">
      <c r="A700" s="4" t="s">
        <v>2662</v>
      </c>
      <c r="D700" s="4">
        <f t="shared" si="8"/>
        <v>42</v>
      </c>
      <c r="E700" s="4">
        <v>16</v>
      </c>
      <c r="H700" s="29">
        <v>1001</v>
      </c>
      <c r="I700" s="4">
        <f>[1]索里!$S17</f>
        <v>2924</v>
      </c>
      <c r="L700" s="30">
        <v>800</v>
      </c>
      <c r="M700" s="4">
        <f>[1]索里!N17</f>
        <v>380</v>
      </c>
      <c r="N700" s="4">
        <f>[1]索里!O17</f>
        <v>67</v>
      </c>
      <c r="O700" s="4">
        <f>[1]索里!P17</f>
        <v>4097</v>
      </c>
      <c r="P700" s="4">
        <v>0</v>
      </c>
      <c r="Q700" s="4">
        <f>[1]索里!Q17</f>
        <v>2158</v>
      </c>
      <c r="R700" s="4">
        <v>2.5</v>
      </c>
      <c r="S700" s="4">
        <f>[1]索里!R17</f>
        <v>27</v>
      </c>
      <c r="T700" s="4">
        <v>0</v>
      </c>
      <c r="U700" s="4">
        <v>0</v>
      </c>
      <c r="V700" s="4">
        <v>0</v>
      </c>
    </row>
    <row r="701" spans="1:22" x14ac:dyDescent="0.15">
      <c r="A701" s="4" t="s">
        <v>2662</v>
      </c>
      <c r="D701" s="4">
        <f t="shared" si="8"/>
        <v>42</v>
      </c>
      <c r="E701" s="4">
        <v>17</v>
      </c>
      <c r="H701" s="29">
        <v>1001</v>
      </c>
      <c r="I701" s="4">
        <f>[1]索里!$S18</f>
        <v>2998</v>
      </c>
      <c r="L701" s="30">
        <v>800</v>
      </c>
      <c r="M701" s="4">
        <f>[1]索里!N18</f>
        <v>390</v>
      </c>
      <c r="N701" s="4">
        <f>[1]索里!O18</f>
        <v>71</v>
      </c>
      <c r="O701" s="4">
        <f>[1]索里!P18</f>
        <v>4173</v>
      </c>
      <c r="P701" s="4">
        <v>0</v>
      </c>
      <c r="Q701" s="4">
        <f>[1]索里!Q18</f>
        <v>2166</v>
      </c>
      <c r="R701" s="4">
        <v>2.5</v>
      </c>
      <c r="S701" s="4">
        <f>[1]索里!R18</f>
        <v>28</v>
      </c>
      <c r="T701" s="4">
        <v>0</v>
      </c>
      <c r="U701" s="4">
        <v>0</v>
      </c>
      <c r="V701" s="4">
        <v>0</v>
      </c>
    </row>
    <row r="702" spans="1:22" x14ac:dyDescent="0.15">
      <c r="A702" s="4" t="s">
        <v>2662</v>
      </c>
      <c r="D702" s="4">
        <f t="shared" si="8"/>
        <v>42</v>
      </c>
      <c r="E702" s="4">
        <v>18</v>
      </c>
      <c r="H702" s="29">
        <v>1001</v>
      </c>
      <c r="I702" s="4">
        <f>[1]索里!$S19</f>
        <v>3072</v>
      </c>
      <c r="L702" s="30">
        <v>800</v>
      </c>
      <c r="M702" s="4">
        <f>[1]索里!N19</f>
        <v>400</v>
      </c>
      <c r="N702" s="4">
        <f>[1]索里!O19</f>
        <v>75</v>
      </c>
      <c r="O702" s="4">
        <f>[1]索里!P19</f>
        <v>4249</v>
      </c>
      <c r="P702" s="4">
        <v>0</v>
      </c>
      <c r="Q702" s="4">
        <f>[1]索里!Q19</f>
        <v>2174</v>
      </c>
      <c r="R702" s="4">
        <v>2.5</v>
      </c>
      <c r="S702" s="4">
        <f>[1]索里!R19</f>
        <v>29</v>
      </c>
      <c r="T702" s="4">
        <v>0</v>
      </c>
      <c r="U702" s="4">
        <v>0</v>
      </c>
      <c r="V702" s="4">
        <v>0</v>
      </c>
    </row>
    <row r="703" spans="1:22" x14ac:dyDescent="0.15">
      <c r="A703" s="4" t="s">
        <v>2662</v>
      </c>
      <c r="D703" s="4">
        <f t="shared" si="8"/>
        <v>42</v>
      </c>
      <c r="E703" s="4">
        <v>19</v>
      </c>
      <c r="H703" s="29">
        <v>1001</v>
      </c>
      <c r="I703" s="4">
        <f>[1]索里!$S20</f>
        <v>3147</v>
      </c>
      <c r="L703" s="30">
        <v>800</v>
      </c>
      <c r="M703" s="4">
        <f>[1]索里!N20</f>
        <v>410</v>
      </c>
      <c r="N703" s="4">
        <f>[1]索里!O20</f>
        <v>79</v>
      </c>
      <c r="O703" s="4">
        <f>[1]索里!P20</f>
        <v>4325</v>
      </c>
      <c r="P703" s="4">
        <v>0</v>
      </c>
      <c r="Q703" s="4">
        <f>[1]索里!Q20</f>
        <v>2182</v>
      </c>
      <c r="R703" s="4">
        <v>2.5</v>
      </c>
      <c r="S703" s="4">
        <f>[1]索里!R20</f>
        <v>30</v>
      </c>
      <c r="T703" s="4">
        <v>0</v>
      </c>
      <c r="U703" s="4">
        <v>0</v>
      </c>
      <c r="V703" s="4">
        <v>0</v>
      </c>
    </row>
    <row r="704" spans="1:22" x14ac:dyDescent="0.15">
      <c r="A704" s="4" t="s">
        <v>2662</v>
      </c>
      <c r="D704" s="4">
        <f t="shared" si="8"/>
        <v>42</v>
      </c>
      <c r="E704" s="4">
        <v>20</v>
      </c>
      <c r="H704" s="29">
        <v>1001</v>
      </c>
      <c r="I704" s="4">
        <f>[1]索里!$S21</f>
        <v>3221</v>
      </c>
      <c r="L704" s="30">
        <v>800</v>
      </c>
      <c r="M704" s="4">
        <f>[1]索里!N21</f>
        <v>420</v>
      </c>
      <c r="N704" s="4">
        <f>[1]索里!O21</f>
        <v>83</v>
      </c>
      <c r="O704" s="4">
        <f>[1]索里!P21</f>
        <v>4401</v>
      </c>
      <c r="P704" s="4">
        <v>0</v>
      </c>
      <c r="Q704" s="4">
        <f>[1]索里!Q21</f>
        <v>2190</v>
      </c>
      <c r="R704" s="4">
        <v>2.5</v>
      </c>
      <c r="S704" s="4">
        <f>[1]索里!R21</f>
        <v>31</v>
      </c>
      <c r="T704" s="4">
        <v>0</v>
      </c>
      <c r="U704" s="4">
        <v>0</v>
      </c>
      <c r="V704" s="4">
        <v>0</v>
      </c>
    </row>
    <row r="705" spans="1:22" x14ac:dyDescent="0.15">
      <c r="A705" s="4" t="s">
        <v>2662</v>
      </c>
      <c r="D705" s="4">
        <f t="shared" si="8"/>
        <v>42</v>
      </c>
      <c r="E705" s="4">
        <v>21</v>
      </c>
      <c r="H705" s="29">
        <v>1001</v>
      </c>
      <c r="I705" s="4">
        <f>[1]索里!$S22</f>
        <v>3295</v>
      </c>
      <c r="L705" s="30">
        <v>800</v>
      </c>
      <c r="M705" s="4">
        <f>[1]索里!N22</f>
        <v>430</v>
      </c>
      <c r="N705" s="4">
        <f>[1]索里!O22</f>
        <v>87</v>
      </c>
      <c r="O705" s="4">
        <f>[1]索里!P22</f>
        <v>4477</v>
      </c>
      <c r="P705" s="4">
        <v>0</v>
      </c>
      <c r="Q705" s="4">
        <f>[1]索里!Q22</f>
        <v>2198</v>
      </c>
      <c r="R705" s="4">
        <v>2.5</v>
      </c>
      <c r="S705" s="4">
        <f>[1]索里!R22</f>
        <v>32</v>
      </c>
      <c r="T705" s="4">
        <v>0</v>
      </c>
      <c r="U705" s="4">
        <v>0</v>
      </c>
      <c r="V705" s="4">
        <v>0</v>
      </c>
    </row>
    <row r="706" spans="1:22" x14ac:dyDescent="0.15">
      <c r="A706" s="4" t="s">
        <v>2662</v>
      </c>
      <c r="D706" s="4">
        <f t="shared" si="8"/>
        <v>42</v>
      </c>
      <c r="E706" s="4">
        <v>22</v>
      </c>
      <c r="H706" s="29">
        <v>1001</v>
      </c>
      <c r="I706" s="4">
        <f>[1]索里!$S23</f>
        <v>3370</v>
      </c>
      <c r="L706" s="30">
        <v>800</v>
      </c>
      <c r="M706" s="4">
        <f>[1]索里!N23</f>
        <v>440</v>
      </c>
      <c r="N706" s="4">
        <f>[1]索里!O23</f>
        <v>91</v>
      </c>
      <c r="O706" s="4">
        <f>[1]索里!P23</f>
        <v>4553</v>
      </c>
      <c r="P706" s="4">
        <v>0</v>
      </c>
      <c r="Q706" s="4">
        <f>[1]索里!Q23</f>
        <v>2206</v>
      </c>
      <c r="R706" s="4">
        <v>2.5</v>
      </c>
      <c r="S706" s="4">
        <f>[1]索里!R23</f>
        <v>33</v>
      </c>
      <c r="T706" s="4">
        <v>0</v>
      </c>
      <c r="U706" s="4">
        <v>0</v>
      </c>
      <c r="V706" s="4">
        <v>0</v>
      </c>
    </row>
    <row r="707" spans="1:22" x14ac:dyDescent="0.15">
      <c r="A707" s="4" t="s">
        <v>2662</v>
      </c>
      <c r="D707" s="4">
        <f t="shared" si="8"/>
        <v>42</v>
      </c>
      <c r="E707" s="4">
        <v>23</v>
      </c>
      <c r="H707" s="29">
        <v>1001</v>
      </c>
      <c r="I707" s="4">
        <f>[1]索里!$S24</f>
        <v>3444</v>
      </c>
      <c r="L707" s="30">
        <v>800</v>
      </c>
      <c r="M707" s="4">
        <f>[1]索里!N24</f>
        <v>450</v>
      </c>
      <c r="N707" s="4">
        <f>[1]索里!O24</f>
        <v>95</v>
      </c>
      <c r="O707" s="4">
        <f>[1]索里!P24</f>
        <v>4629</v>
      </c>
      <c r="P707" s="4">
        <v>0</v>
      </c>
      <c r="Q707" s="4">
        <f>[1]索里!Q24</f>
        <v>2214</v>
      </c>
      <c r="R707" s="4">
        <v>2.5</v>
      </c>
      <c r="S707" s="4">
        <f>[1]索里!R24</f>
        <v>34</v>
      </c>
      <c r="T707" s="4">
        <v>0</v>
      </c>
      <c r="U707" s="4">
        <v>0</v>
      </c>
      <c r="V707" s="4">
        <v>0</v>
      </c>
    </row>
    <row r="708" spans="1:22" x14ac:dyDescent="0.15">
      <c r="A708" s="4" t="s">
        <v>2662</v>
      </c>
      <c r="D708" s="4">
        <f t="shared" si="8"/>
        <v>42</v>
      </c>
      <c r="E708" s="4">
        <v>24</v>
      </c>
      <c r="H708" s="29">
        <v>1001</v>
      </c>
      <c r="I708" s="4">
        <f>[1]索里!$S25</f>
        <v>3518</v>
      </c>
      <c r="L708" s="30">
        <v>800</v>
      </c>
      <c r="M708" s="4">
        <f>[1]索里!N25</f>
        <v>460</v>
      </c>
      <c r="N708" s="4">
        <f>[1]索里!O25</f>
        <v>99</v>
      </c>
      <c r="O708" s="4">
        <f>[1]索里!P25</f>
        <v>4705</v>
      </c>
      <c r="P708" s="4">
        <v>0</v>
      </c>
      <c r="Q708" s="4">
        <f>[1]索里!Q25</f>
        <v>2222</v>
      </c>
      <c r="R708" s="4">
        <v>2.5</v>
      </c>
      <c r="S708" s="4">
        <f>[1]索里!R25</f>
        <v>35</v>
      </c>
      <c r="T708" s="4">
        <v>0</v>
      </c>
      <c r="U708" s="4">
        <v>0</v>
      </c>
      <c r="V708" s="4">
        <v>0</v>
      </c>
    </row>
    <row r="709" spans="1:22" x14ac:dyDescent="0.15">
      <c r="A709" s="4" t="s">
        <v>2662</v>
      </c>
      <c r="D709" s="4">
        <f t="shared" si="8"/>
        <v>42</v>
      </c>
      <c r="E709" s="4">
        <v>25</v>
      </c>
      <c r="H709" s="29">
        <v>1001</v>
      </c>
      <c r="I709" s="4">
        <f>[1]索里!$S26</f>
        <v>3593</v>
      </c>
      <c r="L709" s="30">
        <v>800</v>
      </c>
      <c r="M709" s="4">
        <f>[1]索里!N26</f>
        <v>470</v>
      </c>
      <c r="N709" s="4">
        <f>[1]索里!O26</f>
        <v>103</v>
      </c>
      <c r="O709" s="4">
        <f>[1]索里!P26</f>
        <v>4781</v>
      </c>
      <c r="P709" s="4">
        <v>0</v>
      </c>
      <c r="Q709" s="4">
        <f>[1]索里!Q26</f>
        <v>2230</v>
      </c>
      <c r="R709" s="4">
        <v>2.5</v>
      </c>
      <c r="S709" s="4">
        <f>[1]索里!R26</f>
        <v>36</v>
      </c>
      <c r="T709" s="4">
        <v>0</v>
      </c>
      <c r="U709" s="4">
        <v>0</v>
      </c>
      <c r="V709" s="4">
        <v>0</v>
      </c>
    </row>
    <row r="710" spans="1:22" x14ac:dyDescent="0.15">
      <c r="A710" s="4" t="s">
        <v>2662</v>
      </c>
      <c r="D710" s="4">
        <f t="shared" si="8"/>
        <v>42</v>
      </c>
      <c r="E710" s="4">
        <v>26</v>
      </c>
      <c r="H710" s="29">
        <v>1001</v>
      </c>
      <c r="I710" s="4">
        <f>[1]索里!$S27</f>
        <v>3667</v>
      </c>
      <c r="L710" s="30">
        <v>800</v>
      </c>
      <c r="M710" s="4">
        <f>[1]索里!N27</f>
        <v>480</v>
      </c>
      <c r="N710" s="4">
        <f>[1]索里!O27</f>
        <v>107</v>
      </c>
      <c r="O710" s="4">
        <f>[1]索里!P27</f>
        <v>4857</v>
      </c>
      <c r="P710" s="4">
        <v>0</v>
      </c>
      <c r="Q710" s="4">
        <f>[1]索里!Q27</f>
        <v>2238</v>
      </c>
      <c r="R710" s="4">
        <v>2.5</v>
      </c>
      <c r="S710" s="4">
        <f>[1]索里!R27</f>
        <v>37</v>
      </c>
      <c r="T710" s="4">
        <v>0</v>
      </c>
      <c r="U710" s="4">
        <v>0</v>
      </c>
      <c r="V710" s="4">
        <v>0</v>
      </c>
    </row>
    <row r="711" spans="1:22" x14ac:dyDescent="0.15">
      <c r="A711" s="4" t="s">
        <v>2662</v>
      </c>
      <c r="D711" s="4">
        <f t="shared" si="8"/>
        <v>42</v>
      </c>
      <c r="E711" s="4">
        <v>27</v>
      </c>
      <c r="H711" s="29">
        <v>1001</v>
      </c>
      <c r="I711" s="4">
        <f>[1]索里!$S28</f>
        <v>3742</v>
      </c>
      <c r="L711" s="30">
        <v>800</v>
      </c>
      <c r="M711" s="4">
        <f>[1]索里!N28</f>
        <v>490</v>
      </c>
      <c r="N711" s="4">
        <f>[1]索里!O28</f>
        <v>111</v>
      </c>
      <c r="O711" s="4">
        <f>[1]索里!P28</f>
        <v>4933</v>
      </c>
      <c r="P711" s="4">
        <v>0</v>
      </c>
      <c r="Q711" s="4">
        <f>[1]索里!Q28</f>
        <v>2246</v>
      </c>
      <c r="R711" s="4">
        <v>2.5</v>
      </c>
      <c r="S711" s="4">
        <f>[1]索里!R28</f>
        <v>38</v>
      </c>
      <c r="T711" s="4">
        <v>0</v>
      </c>
      <c r="U711" s="4">
        <v>0</v>
      </c>
      <c r="V711" s="4">
        <v>0</v>
      </c>
    </row>
    <row r="712" spans="1:22" x14ac:dyDescent="0.15">
      <c r="A712" s="4" t="s">
        <v>2662</v>
      </c>
      <c r="D712" s="4">
        <f t="shared" si="8"/>
        <v>42</v>
      </c>
      <c r="E712" s="4">
        <v>28</v>
      </c>
      <c r="H712" s="29">
        <v>1001</v>
      </c>
      <c r="I712" s="4">
        <f>[1]索里!$S29</f>
        <v>3816</v>
      </c>
      <c r="L712" s="30">
        <v>800</v>
      </c>
      <c r="M712" s="4">
        <f>[1]索里!N29</f>
        <v>500</v>
      </c>
      <c r="N712" s="4">
        <f>[1]索里!O29</f>
        <v>115</v>
      </c>
      <c r="O712" s="4">
        <f>[1]索里!P29</f>
        <v>5009</v>
      </c>
      <c r="P712" s="4">
        <v>0</v>
      </c>
      <c r="Q712" s="4">
        <f>[1]索里!Q29</f>
        <v>2254</v>
      </c>
      <c r="R712" s="4">
        <v>2.5</v>
      </c>
      <c r="S712" s="4">
        <f>[1]索里!R29</f>
        <v>39</v>
      </c>
      <c r="T712" s="4">
        <v>0</v>
      </c>
      <c r="U712" s="4">
        <v>0</v>
      </c>
      <c r="V712" s="4">
        <v>0</v>
      </c>
    </row>
    <row r="713" spans="1:22" x14ac:dyDescent="0.15">
      <c r="A713" s="4" t="s">
        <v>2662</v>
      </c>
      <c r="D713" s="4">
        <f t="shared" si="8"/>
        <v>42</v>
      </c>
      <c r="E713" s="4">
        <v>29</v>
      </c>
      <c r="H713" s="29">
        <v>1001</v>
      </c>
      <c r="I713" s="4">
        <f>[1]索里!$S30</f>
        <v>3890</v>
      </c>
      <c r="L713" s="30">
        <v>800</v>
      </c>
      <c r="M713" s="4">
        <f>[1]索里!N30</f>
        <v>510</v>
      </c>
      <c r="N713" s="4">
        <f>[1]索里!O30</f>
        <v>119</v>
      </c>
      <c r="O713" s="4">
        <f>[1]索里!P30</f>
        <v>5085</v>
      </c>
      <c r="P713" s="4">
        <v>0</v>
      </c>
      <c r="Q713" s="4">
        <f>[1]索里!Q30</f>
        <v>2262</v>
      </c>
      <c r="R713" s="4">
        <v>2.5</v>
      </c>
      <c r="S713" s="4">
        <f>[1]索里!R30</f>
        <v>40</v>
      </c>
      <c r="T713" s="4">
        <v>0</v>
      </c>
      <c r="U713" s="4">
        <v>0</v>
      </c>
      <c r="V713" s="4">
        <v>0</v>
      </c>
    </row>
    <row r="714" spans="1:22" x14ac:dyDescent="0.15">
      <c r="A714" s="4" t="s">
        <v>2662</v>
      </c>
      <c r="D714" s="4">
        <f t="shared" si="8"/>
        <v>42</v>
      </c>
      <c r="E714" s="4">
        <v>30</v>
      </c>
      <c r="H714" s="29">
        <v>1001</v>
      </c>
      <c r="I714" s="4">
        <f>[1]索里!$S31</f>
        <v>3965</v>
      </c>
      <c r="L714" s="30">
        <v>800</v>
      </c>
      <c r="M714" s="4">
        <f>[1]索里!N31</f>
        <v>520</v>
      </c>
      <c r="N714" s="4">
        <f>[1]索里!O31</f>
        <v>123</v>
      </c>
      <c r="O714" s="4">
        <f>[1]索里!P31</f>
        <v>5161</v>
      </c>
      <c r="P714" s="4">
        <v>0</v>
      </c>
      <c r="Q714" s="4">
        <f>[1]索里!Q31</f>
        <v>2270</v>
      </c>
      <c r="R714" s="4">
        <v>2.5</v>
      </c>
      <c r="S714" s="4">
        <f>[1]索里!R31</f>
        <v>41</v>
      </c>
      <c r="T714" s="4">
        <v>0</v>
      </c>
      <c r="U714" s="4">
        <v>0</v>
      </c>
      <c r="V714" s="4">
        <v>0</v>
      </c>
    </row>
    <row r="715" spans="1:22" x14ac:dyDescent="0.15">
      <c r="A715" s="4" t="s">
        <v>2662</v>
      </c>
      <c r="D715" s="4">
        <f t="shared" si="8"/>
        <v>42</v>
      </c>
      <c r="E715" s="4">
        <v>31</v>
      </c>
      <c r="H715" s="29">
        <v>1001</v>
      </c>
      <c r="I715" s="4">
        <f>[1]索里!$S32</f>
        <v>4039</v>
      </c>
      <c r="L715" s="30">
        <v>800</v>
      </c>
      <c r="M715" s="4">
        <f>[1]索里!N32</f>
        <v>530</v>
      </c>
      <c r="N715" s="4">
        <f>[1]索里!O32</f>
        <v>127</v>
      </c>
      <c r="O715" s="4">
        <f>[1]索里!P32</f>
        <v>5237</v>
      </c>
      <c r="P715" s="4">
        <v>0</v>
      </c>
      <c r="Q715" s="4">
        <f>[1]索里!Q32</f>
        <v>2278</v>
      </c>
      <c r="R715" s="4">
        <v>2.5</v>
      </c>
      <c r="S715" s="4">
        <f>[1]索里!R32</f>
        <v>42</v>
      </c>
      <c r="T715" s="4">
        <v>0</v>
      </c>
      <c r="U715" s="4">
        <v>0</v>
      </c>
      <c r="V715" s="4">
        <v>0</v>
      </c>
    </row>
    <row r="716" spans="1:22" x14ac:dyDescent="0.15">
      <c r="A716" s="4" t="s">
        <v>2662</v>
      </c>
      <c r="D716" s="4">
        <f t="shared" si="8"/>
        <v>42</v>
      </c>
      <c r="E716" s="4">
        <v>32</v>
      </c>
      <c r="H716" s="29">
        <v>1001</v>
      </c>
      <c r="I716" s="4">
        <f>[1]索里!$S33</f>
        <v>4113</v>
      </c>
      <c r="L716" s="30">
        <v>800</v>
      </c>
      <c r="M716" s="4">
        <f>[1]索里!N33</f>
        <v>540</v>
      </c>
      <c r="N716" s="4">
        <f>[1]索里!O33</f>
        <v>131</v>
      </c>
      <c r="O716" s="4">
        <f>[1]索里!P33</f>
        <v>5313</v>
      </c>
      <c r="P716" s="4">
        <v>0</v>
      </c>
      <c r="Q716" s="4">
        <f>[1]索里!Q33</f>
        <v>2286</v>
      </c>
      <c r="R716" s="4">
        <v>2.5</v>
      </c>
      <c r="S716" s="4">
        <f>[1]索里!R33</f>
        <v>43</v>
      </c>
      <c r="T716" s="4">
        <v>0</v>
      </c>
      <c r="U716" s="4">
        <v>0</v>
      </c>
      <c r="V716" s="4">
        <v>0</v>
      </c>
    </row>
    <row r="717" spans="1:22" x14ac:dyDescent="0.15">
      <c r="A717" s="4" t="s">
        <v>2662</v>
      </c>
      <c r="D717" s="4">
        <f t="shared" si="8"/>
        <v>42</v>
      </c>
      <c r="E717" s="4">
        <v>33</v>
      </c>
      <c r="H717" s="29">
        <v>1001</v>
      </c>
      <c r="I717" s="4">
        <f>[1]索里!$S34</f>
        <v>4188</v>
      </c>
      <c r="L717" s="30">
        <v>800</v>
      </c>
      <c r="M717" s="4">
        <f>[1]索里!N34</f>
        <v>550</v>
      </c>
      <c r="N717" s="4">
        <f>[1]索里!O34</f>
        <v>135</v>
      </c>
      <c r="O717" s="4">
        <f>[1]索里!P34</f>
        <v>5389</v>
      </c>
      <c r="P717" s="4">
        <v>0</v>
      </c>
      <c r="Q717" s="4">
        <f>[1]索里!Q34</f>
        <v>2294</v>
      </c>
      <c r="R717" s="4">
        <v>2.5</v>
      </c>
      <c r="S717" s="4">
        <f>[1]索里!R34</f>
        <v>44</v>
      </c>
      <c r="T717" s="4">
        <v>0</v>
      </c>
      <c r="U717" s="4">
        <v>0</v>
      </c>
      <c r="V717" s="4">
        <v>0</v>
      </c>
    </row>
    <row r="718" spans="1:22" x14ac:dyDescent="0.15">
      <c r="A718" s="4" t="s">
        <v>2662</v>
      </c>
      <c r="D718" s="4">
        <f t="shared" si="8"/>
        <v>42</v>
      </c>
      <c r="E718" s="4">
        <v>34</v>
      </c>
      <c r="H718" s="29">
        <v>1001</v>
      </c>
      <c r="I718" s="4">
        <f>[1]索里!$S35</f>
        <v>4262</v>
      </c>
      <c r="L718" s="30">
        <v>800</v>
      </c>
      <c r="M718" s="4">
        <f>[1]索里!N35</f>
        <v>560</v>
      </c>
      <c r="N718" s="4">
        <f>[1]索里!O35</f>
        <v>139</v>
      </c>
      <c r="O718" s="4">
        <f>[1]索里!P35</f>
        <v>5465</v>
      </c>
      <c r="P718" s="4">
        <v>0</v>
      </c>
      <c r="Q718" s="4">
        <f>[1]索里!Q35</f>
        <v>2302</v>
      </c>
      <c r="R718" s="4">
        <v>2.5</v>
      </c>
      <c r="S718" s="4">
        <f>[1]索里!R35</f>
        <v>45</v>
      </c>
      <c r="T718" s="4">
        <v>0</v>
      </c>
      <c r="U718" s="4">
        <v>0</v>
      </c>
      <c r="V718" s="4">
        <v>0</v>
      </c>
    </row>
    <row r="719" spans="1:22" x14ac:dyDescent="0.15">
      <c r="A719" s="4" t="s">
        <v>2662</v>
      </c>
      <c r="D719" s="4">
        <f t="shared" si="8"/>
        <v>42</v>
      </c>
      <c r="E719" s="4">
        <v>35</v>
      </c>
      <c r="H719" s="29">
        <v>1001</v>
      </c>
      <c r="I719" s="4">
        <f>[1]索里!$S36</f>
        <v>4336</v>
      </c>
      <c r="L719" s="30">
        <v>800</v>
      </c>
      <c r="M719" s="4">
        <f>[1]索里!N36</f>
        <v>570</v>
      </c>
      <c r="N719" s="4">
        <f>[1]索里!O36</f>
        <v>143</v>
      </c>
      <c r="O719" s="4">
        <f>[1]索里!P36</f>
        <v>5541</v>
      </c>
      <c r="P719" s="4">
        <v>0</v>
      </c>
      <c r="Q719" s="4">
        <f>[1]索里!Q36</f>
        <v>2310</v>
      </c>
      <c r="R719" s="4">
        <v>2.5</v>
      </c>
      <c r="S719" s="4">
        <f>[1]索里!R36</f>
        <v>46</v>
      </c>
      <c r="T719" s="4">
        <v>0</v>
      </c>
      <c r="U719" s="4">
        <v>0</v>
      </c>
      <c r="V719" s="4">
        <v>0</v>
      </c>
    </row>
    <row r="720" spans="1:22" x14ac:dyDescent="0.15">
      <c r="A720" s="4" t="s">
        <v>2662</v>
      </c>
      <c r="D720" s="4">
        <f t="shared" si="8"/>
        <v>42</v>
      </c>
      <c r="E720" s="4">
        <v>36</v>
      </c>
      <c r="H720" s="29">
        <v>1001</v>
      </c>
      <c r="I720" s="4">
        <f>[1]索里!$S37</f>
        <v>4411</v>
      </c>
      <c r="L720" s="30">
        <v>800</v>
      </c>
      <c r="M720" s="4">
        <f>[1]索里!N37</f>
        <v>580</v>
      </c>
      <c r="N720" s="4">
        <f>[1]索里!O37</f>
        <v>147</v>
      </c>
      <c r="O720" s="4">
        <f>[1]索里!P37</f>
        <v>5617</v>
      </c>
      <c r="P720" s="4">
        <v>0</v>
      </c>
      <c r="Q720" s="4">
        <f>[1]索里!Q37</f>
        <v>2318</v>
      </c>
      <c r="R720" s="4">
        <v>2.5</v>
      </c>
      <c r="S720" s="4">
        <f>[1]索里!R37</f>
        <v>47</v>
      </c>
      <c r="T720" s="4">
        <v>0</v>
      </c>
      <c r="U720" s="4">
        <v>0</v>
      </c>
      <c r="V720" s="4">
        <v>0</v>
      </c>
    </row>
    <row r="721" spans="1:22" x14ac:dyDescent="0.15">
      <c r="A721" s="4" t="s">
        <v>2662</v>
      </c>
      <c r="D721" s="4">
        <f t="shared" si="8"/>
        <v>42</v>
      </c>
      <c r="E721" s="4">
        <v>37</v>
      </c>
      <c r="H721" s="29">
        <v>1001</v>
      </c>
      <c r="I721" s="4">
        <f>[1]索里!$S38</f>
        <v>4485</v>
      </c>
      <c r="L721" s="30">
        <v>800</v>
      </c>
      <c r="M721" s="4">
        <f>[1]索里!N38</f>
        <v>590</v>
      </c>
      <c r="N721" s="4">
        <f>[1]索里!O38</f>
        <v>151</v>
      </c>
      <c r="O721" s="4">
        <f>[1]索里!P38</f>
        <v>5693</v>
      </c>
      <c r="P721" s="4">
        <v>0</v>
      </c>
      <c r="Q721" s="4">
        <f>[1]索里!Q38</f>
        <v>2326</v>
      </c>
      <c r="R721" s="4">
        <v>2.5</v>
      </c>
      <c r="S721" s="4">
        <f>[1]索里!R38</f>
        <v>48</v>
      </c>
      <c r="T721" s="4">
        <v>0</v>
      </c>
      <c r="U721" s="4">
        <v>0</v>
      </c>
      <c r="V721" s="4">
        <v>0</v>
      </c>
    </row>
    <row r="722" spans="1:22" x14ac:dyDescent="0.15">
      <c r="A722" s="4" t="s">
        <v>2662</v>
      </c>
      <c r="D722" s="4">
        <f t="shared" si="8"/>
        <v>42</v>
      </c>
      <c r="E722" s="4">
        <v>38</v>
      </c>
      <c r="H722" s="29">
        <v>1001</v>
      </c>
      <c r="I722" s="4">
        <f>[1]索里!$S39</f>
        <v>4559</v>
      </c>
      <c r="L722" s="30">
        <v>800</v>
      </c>
      <c r="M722" s="4">
        <f>[1]索里!N39</f>
        <v>600</v>
      </c>
      <c r="N722" s="4">
        <f>[1]索里!O39</f>
        <v>155</v>
      </c>
      <c r="O722" s="4">
        <f>[1]索里!P39</f>
        <v>5769</v>
      </c>
      <c r="P722" s="4">
        <v>0</v>
      </c>
      <c r="Q722" s="4">
        <f>[1]索里!Q39</f>
        <v>2334</v>
      </c>
      <c r="R722" s="4">
        <v>2.5</v>
      </c>
      <c r="S722" s="4">
        <f>[1]索里!R39</f>
        <v>49</v>
      </c>
      <c r="T722" s="4">
        <v>0</v>
      </c>
      <c r="U722" s="4">
        <v>0</v>
      </c>
      <c r="V722" s="4">
        <v>0</v>
      </c>
    </row>
    <row r="723" spans="1:22" x14ac:dyDescent="0.15">
      <c r="A723" s="4" t="s">
        <v>2662</v>
      </c>
      <c r="D723" s="4">
        <f t="shared" si="8"/>
        <v>42</v>
      </c>
      <c r="E723" s="4">
        <v>39</v>
      </c>
      <c r="H723" s="29">
        <v>1001</v>
      </c>
      <c r="I723" s="4">
        <f>[1]索里!$S40</f>
        <v>4634</v>
      </c>
      <c r="L723" s="30">
        <v>800</v>
      </c>
      <c r="M723" s="4">
        <f>[1]索里!N40</f>
        <v>610</v>
      </c>
      <c r="N723" s="4">
        <f>[1]索里!O40</f>
        <v>159</v>
      </c>
      <c r="O723" s="4">
        <f>[1]索里!P40</f>
        <v>5845</v>
      </c>
      <c r="P723" s="4">
        <v>0</v>
      </c>
      <c r="Q723" s="4">
        <f>[1]索里!Q40</f>
        <v>2342</v>
      </c>
      <c r="R723" s="4">
        <v>2.5</v>
      </c>
      <c r="S723" s="4">
        <f>[1]索里!R40</f>
        <v>50</v>
      </c>
      <c r="T723" s="4">
        <v>0</v>
      </c>
      <c r="U723" s="4">
        <v>0</v>
      </c>
      <c r="V723" s="4">
        <v>0</v>
      </c>
    </row>
    <row r="724" spans="1:22" x14ac:dyDescent="0.15">
      <c r="A724" s="4" t="s">
        <v>2662</v>
      </c>
      <c r="D724" s="4">
        <f t="shared" si="8"/>
        <v>42</v>
      </c>
      <c r="E724" s="4">
        <v>40</v>
      </c>
      <c r="H724" s="29">
        <v>1001</v>
      </c>
      <c r="I724" s="4">
        <f>[1]索里!$S41</f>
        <v>4708</v>
      </c>
      <c r="L724" s="30">
        <v>800</v>
      </c>
      <c r="M724" s="4">
        <f>[1]索里!N41</f>
        <v>620</v>
      </c>
      <c r="N724" s="4">
        <f>[1]索里!O41</f>
        <v>163</v>
      </c>
      <c r="O724" s="4">
        <f>[1]索里!P41</f>
        <v>5921</v>
      </c>
      <c r="P724" s="4">
        <v>0</v>
      </c>
      <c r="Q724" s="4">
        <f>[1]索里!Q41</f>
        <v>2350</v>
      </c>
      <c r="R724" s="4">
        <v>2.5</v>
      </c>
      <c r="S724" s="4">
        <f>[1]索里!R41</f>
        <v>51</v>
      </c>
      <c r="T724" s="4">
        <v>0</v>
      </c>
      <c r="U724" s="4">
        <v>0</v>
      </c>
      <c r="V724" s="4">
        <v>0</v>
      </c>
    </row>
    <row r="725" spans="1:22" x14ac:dyDescent="0.15">
      <c r="A725" s="4" t="s">
        <v>2662</v>
      </c>
      <c r="D725" s="4">
        <f t="shared" si="8"/>
        <v>42</v>
      </c>
      <c r="E725" s="4">
        <v>41</v>
      </c>
      <c r="H725" s="29">
        <v>1001</v>
      </c>
      <c r="I725" s="4">
        <f>[1]索里!$S42</f>
        <v>4783</v>
      </c>
      <c r="L725" s="30">
        <v>800</v>
      </c>
      <c r="M725" s="4">
        <f>[1]索里!N42</f>
        <v>630</v>
      </c>
      <c r="N725" s="4">
        <f>[1]索里!O42</f>
        <v>167</v>
      </c>
      <c r="O725" s="4">
        <f>[1]索里!P42</f>
        <v>5997</v>
      </c>
      <c r="P725" s="4">
        <v>0</v>
      </c>
      <c r="Q725" s="4">
        <f>[1]索里!Q42</f>
        <v>2358</v>
      </c>
      <c r="R725" s="4">
        <v>2.5</v>
      </c>
      <c r="S725" s="4">
        <f>[1]索里!R42</f>
        <v>52</v>
      </c>
      <c r="T725" s="4">
        <v>0</v>
      </c>
      <c r="U725" s="4">
        <v>0</v>
      </c>
      <c r="V725" s="4">
        <v>0</v>
      </c>
    </row>
    <row r="726" spans="1:22" x14ac:dyDescent="0.15">
      <c r="A726" s="4" t="s">
        <v>2662</v>
      </c>
      <c r="D726" s="4">
        <f t="shared" si="8"/>
        <v>42</v>
      </c>
      <c r="E726" s="4">
        <v>42</v>
      </c>
      <c r="H726" s="29">
        <v>1001</v>
      </c>
      <c r="I726" s="4">
        <f>[1]索里!$S43</f>
        <v>4857</v>
      </c>
      <c r="L726" s="30">
        <v>800</v>
      </c>
      <c r="M726" s="4">
        <f>[1]索里!N43</f>
        <v>640</v>
      </c>
      <c r="N726" s="4">
        <f>[1]索里!O43</f>
        <v>171</v>
      </c>
      <c r="O726" s="4">
        <f>[1]索里!P43</f>
        <v>6073</v>
      </c>
      <c r="P726" s="4">
        <v>0</v>
      </c>
      <c r="Q726" s="4">
        <f>[1]索里!Q43</f>
        <v>2366</v>
      </c>
      <c r="R726" s="4">
        <v>2.5</v>
      </c>
      <c r="S726" s="4">
        <f>[1]索里!R43</f>
        <v>53</v>
      </c>
      <c r="T726" s="4">
        <v>0</v>
      </c>
      <c r="U726" s="4">
        <v>0</v>
      </c>
      <c r="V726" s="4">
        <v>0</v>
      </c>
    </row>
    <row r="727" spans="1:22" x14ac:dyDescent="0.15">
      <c r="A727" s="4" t="s">
        <v>2662</v>
      </c>
      <c r="D727" s="4">
        <f t="shared" si="8"/>
        <v>42</v>
      </c>
      <c r="E727" s="4">
        <v>43</v>
      </c>
      <c r="H727" s="29">
        <v>1001</v>
      </c>
      <c r="I727" s="4">
        <f>[1]索里!$S44</f>
        <v>4931</v>
      </c>
      <c r="L727" s="30">
        <v>800</v>
      </c>
      <c r="M727" s="4">
        <f>[1]索里!N44</f>
        <v>650</v>
      </c>
      <c r="N727" s="4">
        <f>[1]索里!O44</f>
        <v>175</v>
      </c>
      <c r="O727" s="4">
        <f>[1]索里!P44</f>
        <v>6149</v>
      </c>
      <c r="P727" s="4">
        <v>0</v>
      </c>
      <c r="Q727" s="4">
        <f>[1]索里!Q44</f>
        <v>2374</v>
      </c>
      <c r="R727" s="4">
        <v>2.5</v>
      </c>
      <c r="S727" s="4">
        <f>[1]索里!R44</f>
        <v>54</v>
      </c>
      <c r="T727" s="4">
        <v>0</v>
      </c>
      <c r="U727" s="4">
        <v>0</v>
      </c>
      <c r="V727" s="4">
        <v>0</v>
      </c>
    </row>
    <row r="728" spans="1:22" x14ac:dyDescent="0.15">
      <c r="A728" s="4" t="s">
        <v>2662</v>
      </c>
      <c r="D728" s="4">
        <f t="shared" si="8"/>
        <v>42</v>
      </c>
      <c r="E728" s="4">
        <v>44</v>
      </c>
      <c r="H728" s="29">
        <v>1001</v>
      </c>
      <c r="I728" s="4">
        <f>[1]索里!$S45</f>
        <v>5006</v>
      </c>
      <c r="L728" s="30">
        <v>800</v>
      </c>
      <c r="M728" s="4">
        <f>[1]索里!N45</f>
        <v>660</v>
      </c>
      <c r="N728" s="4">
        <f>[1]索里!O45</f>
        <v>179</v>
      </c>
      <c r="O728" s="4">
        <f>[1]索里!P45</f>
        <v>6225</v>
      </c>
      <c r="P728" s="4">
        <v>0</v>
      </c>
      <c r="Q728" s="4">
        <f>[1]索里!Q45</f>
        <v>2382</v>
      </c>
      <c r="R728" s="4">
        <v>2.5</v>
      </c>
      <c r="S728" s="4">
        <f>[1]索里!R45</f>
        <v>55</v>
      </c>
      <c r="T728" s="4">
        <v>0</v>
      </c>
      <c r="U728" s="4">
        <v>0</v>
      </c>
      <c r="V728" s="4">
        <v>0</v>
      </c>
    </row>
    <row r="729" spans="1:22" x14ac:dyDescent="0.15">
      <c r="A729" s="4" t="s">
        <v>2662</v>
      </c>
      <c r="D729" s="4">
        <f t="shared" si="8"/>
        <v>42</v>
      </c>
      <c r="E729" s="4">
        <v>45</v>
      </c>
      <c r="H729" s="29">
        <v>1001</v>
      </c>
      <c r="I729" s="4">
        <f>[1]索里!$S46</f>
        <v>5080</v>
      </c>
      <c r="L729" s="30">
        <v>800</v>
      </c>
      <c r="M729" s="4">
        <f>[1]索里!N46</f>
        <v>670</v>
      </c>
      <c r="N729" s="4">
        <f>[1]索里!O46</f>
        <v>183</v>
      </c>
      <c r="O729" s="4">
        <f>[1]索里!P46</f>
        <v>6301</v>
      </c>
      <c r="P729" s="4">
        <v>0</v>
      </c>
      <c r="Q729" s="4">
        <f>[1]索里!Q46</f>
        <v>2390</v>
      </c>
      <c r="R729" s="4">
        <v>2.5</v>
      </c>
      <c r="S729" s="4">
        <f>[1]索里!R46</f>
        <v>56</v>
      </c>
      <c r="T729" s="4">
        <v>0</v>
      </c>
      <c r="U729" s="4">
        <v>0</v>
      </c>
      <c r="V729" s="4">
        <v>0</v>
      </c>
    </row>
    <row r="730" spans="1:22" x14ac:dyDescent="0.15">
      <c r="A730" s="4" t="s">
        <v>2662</v>
      </c>
      <c r="D730" s="4">
        <f t="shared" si="8"/>
        <v>42</v>
      </c>
      <c r="E730" s="4">
        <v>46</v>
      </c>
      <c r="H730" s="29">
        <v>1001</v>
      </c>
      <c r="I730" s="4">
        <f>[1]索里!$S47</f>
        <v>5154</v>
      </c>
      <c r="L730" s="30">
        <v>800</v>
      </c>
      <c r="M730" s="4">
        <f>[1]索里!N47</f>
        <v>680</v>
      </c>
      <c r="N730" s="4">
        <f>[1]索里!O47</f>
        <v>187</v>
      </c>
      <c r="O730" s="4">
        <f>[1]索里!P47</f>
        <v>6377</v>
      </c>
      <c r="P730" s="4">
        <v>0</v>
      </c>
      <c r="Q730" s="4">
        <f>[1]索里!Q47</f>
        <v>2398</v>
      </c>
      <c r="R730" s="4">
        <v>2.5</v>
      </c>
      <c r="S730" s="4">
        <f>[1]索里!R47</f>
        <v>57</v>
      </c>
      <c r="T730" s="4">
        <v>0</v>
      </c>
      <c r="U730" s="4">
        <v>0</v>
      </c>
      <c r="V730" s="4">
        <v>0</v>
      </c>
    </row>
    <row r="731" spans="1:22" x14ac:dyDescent="0.15">
      <c r="A731" s="4" t="s">
        <v>2662</v>
      </c>
      <c r="D731" s="4">
        <f t="shared" si="8"/>
        <v>42</v>
      </c>
      <c r="E731" s="4">
        <v>47</v>
      </c>
      <c r="H731" s="29">
        <v>1001</v>
      </c>
      <c r="I731" s="4">
        <f>[1]索里!$S48</f>
        <v>5229</v>
      </c>
      <c r="L731" s="30">
        <v>800</v>
      </c>
      <c r="M731" s="4">
        <f>[1]索里!N48</f>
        <v>690</v>
      </c>
      <c r="N731" s="4">
        <f>[1]索里!O48</f>
        <v>191</v>
      </c>
      <c r="O731" s="4">
        <f>[1]索里!P48</f>
        <v>6453</v>
      </c>
      <c r="P731" s="4">
        <v>0</v>
      </c>
      <c r="Q731" s="4">
        <f>[1]索里!Q48</f>
        <v>2406</v>
      </c>
      <c r="R731" s="4">
        <v>2.5</v>
      </c>
      <c r="S731" s="4">
        <f>[1]索里!R48</f>
        <v>58</v>
      </c>
      <c r="T731" s="4">
        <v>0</v>
      </c>
      <c r="U731" s="4">
        <v>0</v>
      </c>
      <c r="V731" s="4">
        <v>0</v>
      </c>
    </row>
    <row r="732" spans="1:22" x14ac:dyDescent="0.15">
      <c r="A732" s="4" t="s">
        <v>2662</v>
      </c>
      <c r="D732" s="4">
        <f t="shared" si="8"/>
        <v>42</v>
      </c>
      <c r="E732" s="4">
        <v>48</v>
      </c>
      <c r="H732" s="29">
        <v>1001</v>
      </c>
      <c r="I732" s="4">
        <f>[1]索里!$S49</f>
        <v>5303</v>
      </c>
      <c r="L732" s="30">
        <v>800</v>
      </c>
      <c r="M732" s="4">
        <f>[1]索里!N49</f>
        <v>700</v>
      </c>
      <c r="N732" s="4">
        <f>[1]索里!O49</f>
        <v>195</v>
      </c>
      <c r="O732" s="4">
        <f>[1]索里!P49</f>
        <v>6529</v>
      </c>
      <c r="P732" s="4">
        <v>0</v>
      </c>
      <c r="Q732" s="4">
        <f>[1]索里!Q49</f>
        <v>2414</v>
      </c>
      <c r="R732" s="4">
        <v>2.5</v>
      </c>
      <c r="S732" s="4">
        <f>[1]索里!R49</f>
        <v>59</v>
      </c>
      <c r="T732" s="4">
        <v>0</v>
      </c>
      <c r="U732" s="4">
        <v>0</v>
      </c>
      <c r="V732" s="4">
        <v>0</v>
      </c>
    </row>
    <row r="733" spans="1:22" x14ac:dyDescent="0.15">
      <c r="A733" s="4" t="s">
        <v>2662</v>
      </c>
      <c r="D733" s="4">
        <f t="shared" si="8"/>
        <v>42</v>
      </c>
      <c r="E733" s="4">
        <v>49</v>
      </c>
      <c r="H733" s="29">
        <v>1001</v>
      </c>
      <c r="I733" s="4">
        <f>[1]索里!$S50</f>
        <v>5377</v>
      </c>
      <c r="L733" s="30">
        <v>800</v>
      </c>
      <c r="M733" s="4">
        <f>[1]索里!N50</f>
        <v>710</v>
      </c>
      <c r="N733" s="4">
        <f>[1]索里!O50</f>
        <v>199</v>
      </c>
      <c r="O733" s="4">
        <f>[1]索里!P50</f>
        <v>6605</v>
      </c>
      <c r="P733" s="4">
        <v>0</v>
      </c>
      <c r="Q733" s="4">
        <f>[1]索里!Q50</f>
        <v>2422</v>
      </c>
      <c r="R733" s="4">
        <v>2.5</v>
      </c>
      <c r="S733" s="4">
        <f>[1]索里!R50</f>
        <v>60</v>
      </c>
      <c r="T733" s="4">
        <v>0</v>
      </c>
      <c r="U733" s="4">
        <v>0</v>
      </c>
      <c r="V733" s="4">
        <v>0</v>
      </c>
    </row>
    <row r="734" spans="1:22" x14ac:dyDescent="0.15">
      <c r="A734" s="4" t="s">
        <v>2662</v>
      </c>
      <c r="D734" s="4">
        <f t="shared" si="8"/>
        <v>42</v>
      </c>
      <c r="E734" s="4">
        <v>50</v>
      </c>
      <c r="H734" s="29">
        <v>1001</v>
      </c>
      <c r="I734" s="4">
        <f>[1]索里!$S51</f>
        <v>5452</v>
      </c>
      <c r="L734" s="30">
        <v>800</v>
      </c>
      <c r="M734" s="4">
        <f>[1]索里!N51</f>
        <v>720</v>
      </c>
      <c r="N734" s="4">
        <f>[1]索里!O51</f>
        <v>203</v>
      </c>
      <c r="O734" s="4">
        <f>[1]索里!P51</f>
        <v>6681</v>
      </c>
      <c r="P734" s="4">
        <v>0</v>
      </c>
      <c r="Q734" s="4">
        <f>[1]索里!Q51</f>
        <v>2430</v>
      </c>
      <c r="R734" s="4">
        <v>2.5</v>
      </c>
      <c r="S734" s="4">
        <f>[1]索里!R51</f>
        <v>61</v>
      </c>
      <c r="T734" s="4">
        <v>0</v>
      </c>
      <c r="U734" s="4">
        <v>0</v>
      </c>
      <c r="V734" s="4">
        <v>0</v>
      </c>
    </row>
    <row r="735" spans="1:22" x14ac:dyDescent="0.15">
      <c r="I735" s="4"/>
    </row>
    <row r="736" spans="1:22" x14ac:dyDescent="0.15">
      <c r="A736" s="4" t="s">
        <v>2662</v>
      </c>
      <c r="C736" s="4" t="s">
        <v>3091</v>
      </c>
      <c r="D736" s="4">
        <f t="shared" ref="D736:D786" si="9">D684+1</f>
        <v>43</v>
      </c>
      <c r="E736" s="4">
        <v>0</v>
      </c>
      <c r="H736" s="29">
        <v>1000</v>
      </c>
      <c r="I736" s="31">
        <v>399</v>
      </c>
      <c r="M736" s="4">
        <v>0</v>
      </c>
      <c r="N736" s="4">
        <v>0</v>
      </c>
      <c r="O736" s="4">
        <v>0</v>
      </c>
      <c r="P736" s="4">
        <v>0</v>
      </c>
      <c r="Q736" s="4">
        <v>0</v>
      </c>
      <c r="R736" s="4">
        <v>0</v>
      </c>
      <c r="S736" s="4">
        <v>0</v>
      </c>
      <c r="T736" s="4">
        <v>0</v>
      </c>
      <c r="U736" s="4">
        <v>0</v>
      </c>
      <c r="V736" s="4">
        <v>0</v>
      </c>
    </row>
    <row r="737" spans="1:22" x14ac:dyDescent="0.15">
      <c r="A737" s="4" t="s">
        <v>2662</v>
      </c>
      <c r="D737" s="4">
        <f t="shared" si="9"/>
        <v>43</v>
      </c>
      <c r="E737" s="4">
        <v>1</v>
      </c>
      <c r="H737" s="29">
        <v>1001</v>
      </c>
      <c r="I737" s="4">
        <f>[1]索里!$AB2</f>
        <v>2229</v>
      </c>
      <c r="L737" s="30">
        <v>800</v>
      </c>
      <c r="M737" s="4">
        <f>[1]索里!W2</f>
        <v>269</v>
      </c>
      <c r="N737" s="4">
        <f>[1]索里!X2</f>
        <v>8</v>
      </c>
      <c r="O737" s="4">
        <f>[1]索里!Y2</f>
        <v>4032</v>
      </c>
      <c r="P737" s="4">
        <v>0</v>
      </c>
      <c r="Q737" s="4">
        <f>[1]索里!Z2</f>
        <v>2330</v>
      </c>
      <c r="R737" s="4">
        <v>2.5</v>
      </c>
      <c r="S737" s="4">
        <f>[1]索里!AA2</f>
        <v>15</v>
      </c>
      <c r="T737" s="4">
        <v>0</v>
      </c>
      <c r="U737" s="4">
        <v>0</v>
      </c>
      <c r="V737" s="4">
        <v>0</v>
      </c>
    </row>
    <row r="738" spans="1:22" x14ac:dyDescent="0.15">
      <c r="A738" s="4" t="s">
        <v>2662</v>
      </c>
      <c r="D738" s="4">
        <f t="shared" si="9"/>
        <v>43</v>
      </c>
      <c r="E738" s="4">
        <v>2</v>
      </c>
      <c r="H738" s="29">
        <v>1001</v>
      </c>
      <c r="I738" s="4">
        <f>[1]索里!$AB3</f>
        <v>2315</v>
      </c>
      <c r="L738" s="30">
        <v>800</v>
      </c>
      <c r="M738" s="4">
        <f>[1]索里!W3</f>
        <v>281</v>
      </c>
      <c r="N738" s="4">
        <f>[1]索里!X3</f>
        <v>12</v>
      </c>
      <c r="O738" s="4">
        <f>[1]索里!Y3</f>
        <v>4118</v>
      </c>
      <c r="P738" s="4">
        <v>0</v>
      </c>
      <c r="Q738" s="4">
        <f>[1]索里!Z3</f>
        <v>2338</v>
      </c>
      <c r="R738" s="4">
        <v>2.5</v>
      </c>
      <c r="S738" s="4">
        <f>[1]索里!AA3</f>
        <v>16</v>
      </c>
      <c r="T738" s="4">
        <v>0</v>
      </c>
      <c r="U738" s="4">
        <v>0</v>
      </c>
      <c r="V738" s="4">
        <v>0</v>
      </c>
    </row>
    <row r="739" spans="1:22" x14ac:dyDescent="0.15">
      <c r="A739" s="4" t="s">
        <v>2662</v>
      </c>
      <c r="D739" s="4">
        <f t="shared" si="9"/>
        <v>43</v>
      </c>
      <c r="E739" s="4">
        <v>3</v>
      </c>
      <c r="H739" s="29">
        <v>1001</v>
      </c>
      <c r="I739" s="4">
        <f>[1]索里!$AB4</f>
        <v>2402</v>
      </c>
      <c r="L739" s="30">
        <v>800</v>
      </c>
      <c r="M739" s="4">
        <f>[1]索里!W4</f>
        <v>293</v>
      </c>
      <c r="N739" s="4">
        <f>[1]索里!X4</f>
        <v>16</v>
      </c>
      <c r="O739" s="4">
        <f>[1]索里!Y4</f>
        <v>4204</v>
      </c>
      <c r="P739" s="4">
        <v>0</v>
      </c>
      <c r="Q739" s="4">
        <f>[1]索里!Z4</f>
        <v>2346</v>
      </c>
      <c r="R739" s="4">
        <v>2.5</v>
      </c>
      <c r="S739" s="4">
        <f>[1]索里!AA4</f>
        <v>17</v>
      </c>
      <c r="T739" s="4">
        <v>0</v>
      </c>
      <c r="U739" s="4">
        <v>0</v>
      </c>
      <c r="V739" s="4">
        <v>0</v>
      </c>
    </row>
    <row r="740" spans="1:22" x14ac:dyDescent="0.15">
      <c r="A740" s="4" t="s">
        <v>2662</v>
      </c>
      <c r="D740" s="4">
        <f t="shared" si="9"/>
        <v>43</v>
      </c>
      <c r="E740" s="4">
        <v>4</v>
      </c>
      <c r="H740" s="29">
        <v>1001</v>
      </c>
      <c r="I740" s="4">
        <f>[1]索里!$AB5</f>
        <v>2488</v>
      </c>
      <c r="L740" s="30">
        <v>800</v>
      </c>
      <c r="M740" s="4">
        <f>[1]索里!W5</f>
        <v>305</v>
      </c>
      <c r="N740" s="4">
        <f>[1]索里!X5</f>
        <v>20</v>
      </c>
      <c r="O740" s="4">
        <f>[1]索里!Y5</f>
        <v>4290</v>
      </c>
      <c r="P740" s="4">
        <v>0</v>
      </c>
      <c r="Q740" s="4">
        <f>[1]索里!Z5</f>
        <v>2354</v>
      </c>
      <c r="R740" s="4">
        <v>2.5</v>
      </c>
      <c r="S740" s="4">
        <f>[1]索里!AA5</f>
        <v>18</v>
      </c>
      <c r="T740" s="4">
        <v>0</v>
      </c>
      <c r="U740" s="4">
        <v>0</v>
      </c>
      <c r="V740" s="4">
        <v>0</v>
      </c>
    </row>
    <row r="741" spans="1:22" x14ac:dyDescent="0.15">
      <c r="A741" s="4" t="s">
        <v>2662</v>
      </c>
      <c r="D741" s="4">
        <f t="shared" si="9"/>
        <v>43</v>
      </c>
      <c r="E741" s="4">
        <v>5</v>
      </c>
      <c r="H741" s="29">
        <v>1001</v>
      </c>
      <c r="I741" s="4">
        <f>[1]索里!$AB6</f>
        <v>2574</v>
      </c>
      <c r="L741" s="30">
        <v>800</v>
      </c>
      <c r="M741" s="4">
        <f>[1]索里!W6</f>
        <v>317</v>
      </c>
      <c r="N741" s="4">
        <f>[1]索里!X6</f>
        <v>24</v>
      </c>
      <c r="O741" s="4">
        <f>[1]索里!Y6</f>
        <v>4376</v>
      </c>
      <c r="P741" s="4">
        <v>0</v>
      </c>
      <c r="Q741" s="4">
        <f>[1]索里!Z6</f>
        <v>2362</v>
      </c>
      <c r="R741" s="4">
        <v>2.5</v>
      </c>
      <c r="S741" s="4">
        <f>[1]索里!AA6</f>
        <v>19</v>
      </c>
      <c r="T741" s="4">
        <v>0</v>
      </c>
      <c r="U741" s="4">
        <v>0</v>
      </c>
      <c r="V741" s="4">
        <v>0</v>
      </c>
    </row>
    <row r="742" spans="1:22" x14ac:dyDescent="0.15">
      <c r="A742" s="4" t="s">
        <v>2662</v>
      </c>
      <c r="D742" s="4">
        <f t="shared" si="9"/>
        <v>43</v>
      </c>
      <c r="E742" s="4">
        <v>6</v>
      </c>
      <c r="H742" s="29">
        <v>1001</v>
      </c>
      <c r="I742" s="4">
        <f>[1]索里!$AB7</f>
        <v>2661</v>
      </c>
      <c r="L742" s="30">
        <v>800</v>
      </c>
      <c r="M742" s="4">
        <f>[1]索里!W7</f>
        <v>329</v>
      </c>
      <c r="N742" s="4">
        <f>[1]索里!X7</f>
        <v>28</v>
      </c>
      <c r="O742" s="4">
        <f>[1]索里!Y7</f>
        <v>4462</v>
      </c>
      <c r="P742" s="4">
        <v>0</v>
      </c>
      <c r="Q742" s="4">
        <f>[1]索里!Z7</f>
        <v>2370</v>
      </c>
      <c r="R742" s="4">
        <v>2.5</v>
      </c>
      <c r="S742" s="4">
        <f>[1]索里!AA7</f>
        <v>20</v>
      </c>
      <c r="T742" s="4">
        <v>0</v>
      </c>
      <c r="U742" s="4">
        <v>0</v>
      </c>
      <c r="V742" s="4">
        <v>0</v>
      </c>
    </row>
    <row r="743" spans="1:22" x14ac:dyDescent="0.15">
      <c r="A743" s="4" t="s">
        <v>2662</v>
      </c>
      <c r="D743" s="4">
        <f t="shared" si="9"/>
        <v>43</v>
      </c>
      <c r="E743" s="4">
        <v>7</v>
      </c>
      <c r="H743" s="29">
        <v>1001</v>
      </c>
      <c r="I743" s="4">
        <f>[1]索里!$AB8</f>
        <v>2747</v>
      </c>
      <c r="L743" s="30">
        <v>800</v>
      </c>
      <c r="M743" s="4">
        <f>[1]索里!W8</f>
        <v>341</v>
      </c>
      <c r="N743" s="4">
        <f>[1]索里!X8</f>
        <v>32</v>
      </c>
      <c r="O743" s="4">
        <f>[1]索里!Y8</f>
        <v>4548</v>
      </c>
      <c r="P743" s="4">
        <v>0</v>
      </c>
      <c r="Q743" s="4">
        <f>[1]索里!Z8</f>
        <v>2378</v>
      </c>
      <c r="R743" s="4">
        <v>2.5</v>
      </c>
      <c r="S743" s="4">
        <f>[1]索里!AA8</f>
        <v>21</v>
      </c>
      <c r="T743" s="4">
        <v>0</v>
      </c>
      <c r="U743" s="4">
        <v>0</v>
      </c>
      <c r="V743" s="4">
        <v>0</v>
      </c>
    </row>
    <row r="744" spans="1:22" x14ac:dyDescent="0.15">
      <c r="A744" s="4" t="s">
        <v>2662</v>
      </c>
      <c r="D744" s="4">
        <f t="shared" si="9"/>
        <v>43</v>
      </c>
      <c r="E744" s="4">
        <v>8</v>
      </c>
      <c r="H744" s="29">
        <v>1001</v>
      </c>
      <c r="I744" s="4">
        <f>[1]索里!$AB9</f>
        <v>2834</v>
      </c>
      <c r="L744" s="30">
        <v>800</v>
      </c>
      <c r="M744" s="4">
        <f>[1]索里!W9</f>
        <v>353</v>
      </c>
      <c r="N744" s="4">
        <f>[1]索里!X9</f>
        <v>36</v>
      </c>
      <c r="O744" s="4">
        <f>[1]索里!Y9</f>
        <v>4634</v>
      </c>
      <c r="P744" s="4">
        <v>0</v>
      </c>
      <c r="Q744" s="4">
        <f>[1]索里!Z9</f>
        <v>2386</v>
      </c>
      <c r="R744" s="4">
        <v>2.5</v>
      </c>
      <c r="S744" s="4">
        <f>[1]索里!AA9</f>
        <v>22</v>
      </c>
      <c r="T744" s="4">
        <v>0</v>
      </c>
      <c r="U744" s="4">
        <v>0</v>
      </c>
      <c r="V744" s="4">
        <v>0</v>
      </c>
    </row>
    <row r="745" spans="1:22" x14ac:dyDescent="0.15">
      <c r="A745" s="4" t="s">
        <v>2662</v>
      </c>
      <c r="D745" s="4">
        <f t="shared" si="9"/>
        <v>43</v>
      </c>
      <c r="E745" s="4">
        <v>9</v>
      </c>
      <c r="H745" s="29">
        <v>1001</v>
      </c>
      <c r="I745" s="4">
        <f>[1]索里!$AB10</f>
        <v>2920</v>
      </c>
      <c r="L745" s="30">
        <v>800</v>
      </c>
      <c r="M745" s="4">
        <f>[1]索里!W10</f>
        <v>365</v>
      </c>
      <c r="N745" s="4">
        <f>[1]索里!X10</f>
        <v>40</v>
      </c>
      <c r="O745" s="4">
        <f>[1]索里!Y10</f>
        <v>4720</v>
      </c>
      <c r="P745" s="4">
        <v>0</v>
      </c>
      <c r="Q745" s="4">
        <f>[1]索里!Z10</f>
        <v>2394</v>
      </c>
      <c r="R745" s="4">
        <v>2.5</v>
      </c>
      <c r="S745" s="4">
        <f>[1]索里!AA10</f>
        <v>23</v>
      </c>
      <c r="T745" s="4">
        <v>0</v>
      </c>
      <c r="U745" s="4">
        <v>0</v>
      </c>
      <c r="V745" s="4">
        <v>0</v>
      </c>
    </row>
    <row r="746" spans="1:22" x14ac:dyDescent="0.15">
      <c r="A746" s="4" t="s">
        <v>2662</v>
      </c>
      <c r="D746" s="4">
        <f t="shared" si="9"/>
        <v>43</v>
      </c>
      <c r="E746" s="4">
        <v>10</v>
      </c>
      <c r="H746" s="29">
        <v>1001</v>
      </c>
      <c r="I746" s="4">
        <f>[1]索里!$AB11</f>
        <v>3006</v>
      </c>
      <c r="L746" s="30">
        <v>800</v>
      </c>
      <c r="M746" s="4">
        <f>[1]索里!W11</f>
        <v>377</v>
      </c>
      <c r="N746" s="4">
        <f>[1]索里!X11</f>
        <v>44</v>
      </c>
      <c r="O746" s="4">
        <f>[1]索里!Y11</f>
        <v>4806</v>
      </c>
      <c r="P746" s="4">
        <v>0</v>
      </c>
      <c r="Q746" s="4">
        <f>[1]索里!Z11</f>
        <v>2402</v>
      </c>
      <c r="R746" s="4">
        <v>2.5</v>
      </c>
      <c r="S746" s="4">
        <f>[1]索里!AA11</f>
        <v>24</v>
      </c>
      <c r="T746" s="4">
        <v>0</v>
      </c>
      <c r="U746" s="4">
        <v>0</v>
      </c>
      <c r="V746" s="4">
        <v>0</v>
      </c>
    </row>
    <row r="747" spans="1:22" x14ac:dyDescent="0.15">
      <c r="A747" s="4" t="s">
        <v>2662</v>
      </c>
      <c r="D747" s="4">
        <f t="shared" si="9"/>
        <v>43</v>
      </c>
      <c r="E747" s="4">
        <v>11</v>
      </c>
      <c r="H747" s="29">
        <v>1001</v>
      </c>
      <c r="I747" s="4">
        <f>[1]索里!$AB12</f>
        <v>3093</v>
      </c>
      <c r="L747" s="30">
        <v>800</v>
      </c>
      <c r="M747" s="4">
        <f>[1]索里!W12</f>
        <v>389</v>
      </c>
      <c r="N747" s="4">
        <f>[1]索里!X12</f>
        <v>48</v>
      </c>
      <c r="O747" s="4">
        <f>[1]索里!Y12</f>
        <v>4892</v>
      </c>
      <c r="P747" s="4">
        <v>0</v>
      </c>
      <c r="Q747" s="4">
        <f>[1]索里!Z12</f>
        <v>2410</v>
      </c>
      <c r="R747" s="4">
        <v>2.5</v>
      </c>
      <c r="S747" s="4">
        <f>[1]索里!AA12</f>
        <v>25</v>
      </c>
      <c r="T747" s="4">
        <v>0</v>
      </c>
      <c r="U747" s="4">
        <v>0</v>
      </c>
      <c r="V747" s="4">
        <v>0</v>
      </c>
    </row>
    <row r="748" spans="1:22" x14ac:dyDescent="0.15">
      <c r="A748" s="4" t="s">
        <v>2662</v>
      </c>
      <c r="D748" s="4">
        <f t="shared" si="9"/>
        <v>43</v>
      </c>
      <c r="E748" s="4">
        <v>12</v>
      </c>
      <c r="H748" s="29">
        <v>1001</v>
      </c>
      <c r="I748" s="4">
        <f>[1]索里!$AB13</f>
        <v>3179</v>
      </c>
      <c r="L748" s="30">
        <v>800</v>
      </c>
      <c r="M748" s="4">
        <f>[1]索里!W13</f>
        <v>401</v>
      </c>
      <c r="N748" s="4">
        <f>[1]索里!X13</f>
        <v>52</v>
      </c>
      <c r="O748" s="4">
        <f>[1]索里!Y13</f>
        <v>4978</v>
      </c>
      <c r="P748" s="4">
        <v>0</v>
      </c>
      <c r="Q748" s="4">
        <f>[1]索里!Z13</f>
        <v>2418</v>
      </c>
      <c r="R748" s="4">
        <v>2.5</v>
      </c>
      <c r="S748" s="4">
        <f>[1]索里!AA13</f>
        <v>26</v>
      </c>
      <c r="T748" s="4">
        <v>0</v>
      </c>
      <c r="U748" s="4">
        <v>0</v>
      </c>
      <c r="V748" s="4">
        <v>0</v>
      </c>
    </row>
    <row r="749" spans="1:22" x14ac:dyDescent="0.15">
      <c r="A749" s="4" t="s">
        <v>2662</v>
      </c>
      <c r="D749" s="4">
        <f t="shared" si="9"/>
        <v>43</v>
      </c>
      <c r="E749" s="4">
        <v>13</v>
      </c>
      <c r="H749" s="29">
        <v>1001</v>
      </c>
      <c r="I749" s="4">
        <f>[1]索里!$AB14</f>
        <v>3265</v>
      </c>
      <c r="L749" s="30">
        <v>800</v>
      </c>
      <c r="M749" s="4">
        <f>[1]索里!W14</f>
        <v>413</v>
      </c>
      <c r="N749" s="4">
        <f>[1]索里!X14</f>
        <v>56</v>
      </c>
      <c r="O749" s="4">
        <f>[1]索里!Y14</f>
        <v>5064</v>
      </c>
      <c r="P749" s="4">
        <v>0</v>
      </c>
      <c r="Q749" s="4">
        <f>[1]索里!Z14</f>
        <v>2426</v>
      </c>
      <c r="R749" s="4">
        <v>2.5</v>
      </c>
      <c r="S749" s="4">
        <f>[1]索里!AA14</f>
        <v>27</v>
      </c>
      <c r="T749" s="4">
        <v>0</v>
      </c>
      <c r="U749" s="4">
        <v>0</v>
      </c>
      <c r="V749" s="4">
        <v>0</v>
      </c>
    </row>
    <row r="750" spans="1:22" x14ac:dyDescent="0.15">
      <c r="A750" s="4" t="s">
        <v>2662</v>
      </c>
      <c r="D750" s="4">
        <f t="shared" si="9"/>
        <v>43</v>
      </c>
      <c r="E750" s="4">
        <v>14</v>
      </c>
      <c r="H750" s="29">
        <v>1001</v>
      </c>
      <c r="I750" s="4">
        <f>[1]索里!$AB15</f>
        <v>3352</v>
      </c>
      <c r="L750" s="30">
        <v>800</v>
      </c>
      <c r="M750" s="4">
        <f>[1]索里!W15</f>
        <v>425</v>
      </c>
      <c r="N750" s="4">
        <f>[1]索里!X15</f>
        <v>60</v>
      </c>
      <c r="O750" s="4">
        <f>[1]索里!Y15</f>
        <v>5150</v>
      </c>
      <c r="P750" s="4">
        <v>0</v>
      </c>
      <c r="Q750" s="4">
        <f>[1]索里!Z15</f>
        <v>2434</v>
      </c>
      <c r="R750" s="4">
        <v>2.5</v>
      </c>
      <c r="S750" s="4">
        <f>[1]索里!AA15</f>
        <v>28</v>
      </c>
      <c r="T750" s="4">
        <v>0</v>
      </c>
      <c r="U750" s="4">
        <v>0</v>
      </c>
      <c r="V750" s="4">
        <v>0</v>
      </c>
    </row>
    <row r="751" spans="1:22" x14ac:dyDescent="0.15">
      <c r="A751" s="4" t="s">
        <v>2662</v>
      </c>
      <c r="D751" s="4">
        <f t="shared" si="9"/>
        <v>43</v>
      </c>
      <c r="E751" s="4">
        <v>15</v>
      </c>
      <c r="H751" s="29">
        <v>1001</v>
      </c>
      <c r="I751" s="4">
        <f>[1]索里!$AB16</f>
        <v>3438</v>
      </c>
      <c r="L751" s="30">
        <v>800</v>
      </c>
      <c r="M751" s="4">
        <f>[1]索里!W16</f>
        <v>437</v>
      </c>
      <c r="N751" s="4">
        <f>[1]索里!X16</f>
        <v>64</v>
      </c>
      <c r="O751" s="4">
        <f>[1]索里!Y16</f>
        <v>5236</v>
      </c>
      <c r="P751" s="4">
        <v>0</v>
      </c>
      <c r="Q751" s="4">
        <f>[1]索里!Z16</f>
        <v>2442</v>
      </c>
      <c r="R751" s="4">
        <v>2.5</v>
      </c>
      <c r="S751" s="4">
        <f>[1]索里!AA16</f>
        <v>29</v>
      </c>
      <c r="T751" s="4">
        <v>0</v>
      </c>
      <c r="U751" s="4">
        <v>0</v>
      </c>
      <c r="V751" s="4">
        <v>0</v>
      </c>
    </row>
    <row r="752" spans="1:22" x14ac:dyDescent="0.15">
      <c r="A752" s="4" t="s">
        <v>2662</v>
      </c>
      <c r="D752" s="4">
        <f t="shared" si="9"/>
        <v>43</v>
      </c>
      <c r="E752" s="4">
        <v>16</v>
      </c>
      <c r="H752" s="29">
        <v>1001</v>
      </c>
      <c r="I752" s="4">
        <f>[1]索里!$AB17</f>
        <v>3524</v>
      </c>
      <c r="L752" s="30">
        <v>800</v>
      </c>
      <c r="M752" s="4">
        <f>[1]索里!W17</f>
        <v>449</v>
      </c>
      <c r="N752" s="4">
        <f>[1]索里!X17</f>
        <v>68</v>
      </c>
      <c r="O752" s="4">
        <f>[1]索里!Y17</f>
        <v>5322</v>
      </c>
      <c r="P752" s="4">
        <v>0</v>
      </c>
      <c r="Q752" s="4">
        <f>[1]索里!Z17</f>
        <v>2450</v>
      </c>
      <c r="R752" s="4">
        <v>2.5</v>
      </c>
      <c r="S752" s="4">
        <f>[1]索里!AA17</f>
        <v>30</v>
      </c>
      <c r="T752" s="4">
        <v>0</v>
      </c>
      <c r="U752" s="4">
        <v>0</v>
      </c>
      <c r="V752" s="4">
        <v>0</v>
      </c>
    </row>
    <row r="753" spans="1:22" x14ac:dyDescent="0.15">
      <c r="A753" s="4" t="s">
        <v>2662</v>
      </c>
      <c r="D753" s="4">
        <f t="shared" si="9"/>
        <v>43</v>
      </c>
      <c r="E753" s="4">
        <v>17</v>
      </c>
      <c r="H753" s="29">
        <v>1001</v>
      </c>
      <c r="I753" s="4">
        <f>[1]索里!$AB18</f>
        <v>3611</v>
      </c>
      <c r="L753" s="30">
        <v>800</v>
      </c>
      <c r="M753" s="4">
        <f>[1]索里!W18</f>
        <v>461</v>
      </c>
      <c r="N753" s="4">
        <f>[1]索里!X18</f>
        <v>72</v>
      </c>
      <c r="O753" s="4">
        <f>[1]索里!Y18</f>
        <v>5408</v>
      </c>
      <c r="P753" s="4">
        <v>0</v>
      </c>
      <c r="Q753" s="4">
        <f>[1]索里!Z18</f>
        <v>2458</v>
      </c>
      <c r="R753" s="4">
        <v>2.5</v>
      </c>
      <c r="S753" s="4">
        <f>[1]索里!AA18</f>
        <v>31</v>
      </c>
      <c r="T753" s="4">
        <v>0</v>
      </c>
      <c r="U753" s="4">
        <v>0</v>
      </c>
      <c r="V753" s="4">
        <v>0</v>
      </c>
    </row>
    <row r="754" spans="1:22" x14ac:dyDescent="0.15">
      <c r="A754" s="4" t="s">
        <v>2662</v>
      </c>
      <c r="D754" s="4">
        <f t="shared" si="9"/>
        <v>43</v>
      </c>
      <c r="E754" s="4">
        <v>18</v>
      </c>
      <c r="H754" s="29">
        <v>1001</v>
      </c>
      <c r="I754" s="4">
        <f>[1]索里!$AB19</f>
        <v>3697</v>
      </c>
      <c r="L754" s="30">
        <v>800</v>
      </c>
      <c r="M754" s="4">
        <f>[1]索里!W19</f>
        <v>473</v>
      </c>
      <c r="N754" s="4">
        <f>[1]索里!X19</f>
        <v>76</v>
      </c>
      <c r="O754" s="4">
        <f>[1]索里!Y19</f>
        <v>5494</v>
      </c>
      <c r="P754" s="4">
        <v>0</v>
      </c>
      <c r="Q754" s="4">
        <f>[1]索里!Z19</f>
        <v>2466</v>
      </c>
      <c r="R754" s="4">
        <v>2.5</v>
      </c>
      <c r="S754" s="4">
        <f>[1]索里!AA19</f>
        <v>32</v>
      </c>
      <c r="T754" s="4">
        <v>0</v>
      </c>
      <c r="U754" s="4">
        <v>0</v>
      </c>
      <c r="V754" s="4">
        <v>0</v>
      </c>
    </row>
    <row r="755" spans="1:22" x14ac:dyDescent="0.15">
      <c r="A755" s="4" t="s">
        <v>2662</v>
      </c>
      <c r="D755" s="4">
        <f t="shared" si="9"/>
        <v>43</v>
      </c>
      <c r="E755" s="4">
        <v>19</v>
      </c>
      <c r="H755" s="29">
        <v>1001</v>
      </c>
      <c r="I755" s="4">
        <f>[1]索里!$AB20</f>
        <v>3783</v>
      </c>
      <c r="L755" s="30">
        <v>800</v>
      </c>
      <c r="M755" s="4">
        <f>[1]索里!W20</f>
        <v>485</v>
      </c>
      <c r="N755" s="4">
        <f>[1]索里!X20</f>
        <v>80</v>
      </c>
      <c r="O755" s="4">
        <f>[1]索里!Y20</f>
        <v>5580</v>
      </c>
      <c r="P755" s="4">
        <v>0</v>
      </c>
      <c r="Q755" s="4">
        <f>[1]索里!Z20</f>
        <v>2474</v>
      </c>
      <c r="R755" s="4">
        <v>2.5</v>
      </c>
      <c r="S755" s="4">
        <f>[1]索里!AA20</f>
        <v>33</v>
      </c>
      <c r="T755" s="4">
        <v>0</v>
      </c>
      <c r="U755" s="4">
        <v>0</v>
      </c>
      <c r="V755" s="4">
        <v>0</v>
      </c>
    </row>
    <row r="756" spans="1:22" x14ac:dyDescent="0.15">
      <c r="A756" s="4" t="s">
        <v>2662</v>
      </c>
      <c r="D756" s="4">
        <f t="shared" si="9"/>
        <v>43</v>
      </c>
      <c r="E756" s="4">
        <v>20</v>
      </c>
      <c r="H756" s="29">
        <v>1001</v>
      </c>
      <c r="I756" s="4">
        <f>[1]索里!$AB21</f>
        <v>3870</v>
      </c>
      <c r="L756" s="30">
        <v>800</v>
      </c>
      <c r="M756" s="4">
        <f>[1]索里!W21</f>
        <v>497</v>
      </c>
      <c r="N756" s="4">
        <f>[1]索里!X21</f>
        <v>84</v>
      </c>
      <c r="O756" s="4">
        <f>[1]索里!Y21</f>
        <v>5666</v>
      </c>
      <c r="P756" s="4">
        <v>0</v>
      </c>
      <c r="Q756" s="4">
        <f>[1]索里!Z21</f>
        <v>2482</v>
      </c>
      <c r="R756" s="4">
        <v>2.5</v>
      </c>
      <c r="S756" s="4">
        <f>[1]索里!AA21</f>
        <v>34</v>
      </c>
      <c r="T756" s="4">
        <v>0</v>
      </c>
      <c r="U756" s="4">
        <v>0</v>
      </c>
      <c r="V756" s="4">
        <v>0</v>
      </c>
    </row>
    <row r="757" spans="1:22" x14ac:dyDescent="0.15">
      <c r="A757" s="4" t="s">
        <v>2662</v>
      </c>
      <c r="D757" s="4">
        <f t="shared" si="9"/>
        <v>43</v>
      </c>
      <c r="E757" s="4">
        <v>21</v>
      </c>
      <c r="H757" s="29">
        <v>1001</v>
      </c>
      <c r="I757" s="4">
        <f>[1]索里!$AB22</f>
        <v>3956</v>
      </c>
      <c r="L757" s="30">
        <v>800</v>
      </c>
      <c r="M757" s="4">
        <f>[1]索里!W22</f>
        <v>509</v>
      </c>
      <c r="N757" s="4">
        <f>[1]索里!X22</f>
        <v>88</v>
      </c>
      <c r="O757" s="4">
        <f>[1]索里!Y22</f>
        <v>5752</v>
      </c>
      <c r="P757" s="4">
        <v>0</v>
      </c>
      <c r="Q757" s="4">
        <f>[1]索里!Z22</f>
        <v>2490</v>
      </c>
      <c r="R757" s="4">
        <v>2.5</v>
      </c>
      <c r="S757" s="4">
        <f>[1]索里!AA22</f>
        <v>35</v>
      </c>
      <c r="T757" s="4">
        <v>0</v>
      </c>
      <c r="U757" s="4">
        <v>0</v>
      </c>
      <c r="V757" s="4">
        <v>0</v>
      </c>
    </row>
    <row r="758" spans="1:22" x14ac:dyDescent="0.15">
      <c r="A758" s="4" t="s">
        <v>2662</v>
      </c>
      <c r="D758" s="4">
        <f t="shared" si="9"/>
        <v>43</v>
      </c>
      <c r="E758" s="4">
        <v>22</v>
      </c>
      <c r="H758" s="29">
        <v>1001</v>
      </c>
      <c r="I758" s="4">
        <f>[1]索里!$AB23</f>
        <v>4043</v>
      </c>
      <c r="L758" s="30">
        <v>800</v>
      </c>
      <c r="M758" s="4">
        <f>[1]索里!W23</f>
        <v>521</v>
      </c>
      <c r="N758" s="4">
        <f>[1]索里!X23</f>
        <v>92</v>
      </c>
      <c r="O758" s="4">
        <f>[1]索里!Y23</f>
        <v>5838</v>
      </c>
      <c r="P758" s="4">
        <v>0</v>
      </c>
      <c r="Q758" s="4">
        <f>[1]索里!Z23</f>
        <v>2498</v>
      </c>
      <c r="R758" s="4">
        <v>2.5</v>
      </c>
      <c r="S758" s="4">
        <f>[1]索里!AA23</f>
        <v>36</v>
      </c>
      <c r="T758" s="4">
        <v>0</v>
      </c>
      <c r="U758" s="4">
        <v>0</v>
      </c>
      <c r="V758" s="4">
        <v>0</v>
      </c>
    </row>
    <row r="759" spans="1:22" x14ac:dyDescent="0.15">
      <c r="A759" s="4" t="s">
        <v>2662</v>
      </c>
      <c r="D759" s="4">
        <f t="shared" si="9"/>
        <v>43</v>
      </c>
      <c r="E759" s="4">
        <v>23</v>
      </c>
      <c r="H759" s="29">
        <v>1001</v>
      </c>
      <c r="I759" s="4">
        <f>[1]索里!$AB24</f>
        <v>4129</v>
      </c>
      <c r="L759" s="30">
        <v>800</v>
      </c>
      <c r="M759" s="4">
        <f>[1]索里!W24</f>
        <v>533</v>
      </c>
      <c r="N759" s="4">
        <f>[1]索里!X24</f>
        <v>96</v>
      </c>
      <c r="O759" s="4">
        <f>[1]索里!Y24</f>
        <v>5924</v>
      </c>
      <c r="P759" s="4">
        <v>0</v>
      </c>
      <c r="Q759" s="4">
        <f>[1]索里!Z24</f>
        <v>2506</v>
      </c>
      <c r="R759" s="4">
        <v>2.5</v>
      </c>
      <c r="S759" s="4">
        <f>[1]索里!AA24</f>
        <v>37</v>
      </c>
      <c r="T759" s="4">
        <v>0</v>
      </c>
      <c r="U759" s="4">
        <v>0</v>
      </c>
      <c r="V759" s="4">
        <v>0</v>
      </c>
    </row>
    <row r="760" spans="1:22" x14ac:dyDescent="0.15">
      <c r="A760" s="4" t="s">
        <v>2662</v>
      </c>
      <c r="D760" s="4">
        <f t="shared" si="9"/>
        <v>43</v>
      </c>
      <c r="E760" s="4">
        <v>24</v>
      </c>
      <c r="H760" s="29">
        <v>1001</v>
      </c>
      <c r="I760" s="4">
        <f>[1]索里!$AB25</f>
        <v>4215</v>
      </c>
      <c r="L760" s="30">
        <v>800</v>
      </c>
      <c r="M760" s="4">
        <f>[1]索里!W25</f>
        <v>545</v>
      </c>
      <c r="N760" s="4">
        <f>[1]索里!X25</f>
        <v>100</v>
      </c>
      <c r="O760" s="4">
        <f>[1]索里!Y25</f>
        <v>6010</v>
      </c>
      <c r="P760" s="4">
        <v>0</v>
      </c>
      <c r="Q760" s="4">
        <f>[1]索里!Z25</f>
        <v>2514</v>
      </c>
      <c r="R760" s="4">
        <v>2.5</v>
      </c>
      <c r="S760" s="4">
        <f>[1]索里!AA25</f>
        <v>38</v>
      </c>
      <c r="T760" s="4">
        <v>0</v>
      </c>
      <c r="U760" s="4">
        <v>0</v>
      </c>
      <c r="V760" s="4">
        <v>0</v>
      </c>
    </row>
    <row r="761" spans="1:22" x14ac:dyDescent="0.15">
      <c r="A761" s="4" t="s">
        <v>2662</v>
      </c>
      <c r="D761" s="4">
        <f t="shared" si="9"/>
        <v>43</v>
      </c>
      <c r="E761" s="4">
        <v>25</v>
      </c>
      <c r="H761" s="29">
        <v>1001</v>
      </c>
      <c r="I761" s="4">
        <f>[1]索里!$AB26</f>
        <v>4302</v>
      </c>
      <c r="L761" s="30">
        <v>800</v>
      </c>
      <c r="M761" s="4">
        <f>[1]索里!W26</f>
        <v>557</v>
      </c>
      <c r="N761" s="4">
        <f>[1]索里!X26</f>
        <v>104</v>
      </c>
      <c r="O761" s="4">
        <f>[1]索里!Y26</f>
        <v>6096</v>
      </c>
      <c r="P761" s="4">
        <v>0</v>
      </c>
      <c r="Q761" s="4">
        <f>[1]索里!Z26</f>
        <v>2522</v>
      </c>
      <c r="R761" s="4">
        <v>2.5</v>
      </c>
      <c r="S761" s="4">
        <f>[1]索里!AA26</f>
        <v>39</v>
      </c>
      <c r="T761" s="4">
        <v>0</v>
      </c>
      <c r="U761" s="4">
        <v>0</v>
      </c>
      <c r="V761" s="4">
        <v>0</v>
      </c>
    </row>
    <row r="762" spans="1:22" x14ac:dyDescent="0.15">
      <c r="A762" s="4" t="s">
        <v>2662</v>
      </c>
      <c r="D762" s="4">
        <f t="shared" si="9"/>
        <v>43</v>
      </c>
      <c r="E762" s="4">
        <v>26</v>
      </c>
      <c r="H762" s="29">
        <v>1001</v>
      </c>
      <c r="I762" s="4">
        <f>[1]索里!$AB27</f>
        <v>4388</v>
      </c>
      <c r="L762" s="30">
        <v>800</v>
      </c>
      <c r="M762" s="4">
        <f>[1]索里!W27</f>
        <v>569</v>
      </c>
      <c r="N762" s="4">
        <f>[1]索里!X27</f>
        <v>108</v>
      </c>
      <c r="O762" s="4">
        <f>[1]索里!Y27</f>
        <v>6182</v>
      </c>
      <c r="P762" s="4">
        <v>0</v>
      </c>
      <c r="Q762" s="4">
        <f>[1]索里!Z27</f>
        <v>2530</v>
      </c>
      <c r="R762" s="4">
        <v>2.5</v>
      </c>
      <c r="S762" s="4">
        <f>[1]索里!AA27</f>
        <v>40</v>
      </c>
      <c r="T762" s="4">
        <v>0</v>
      </c>
      <c r="U762" s="4">
        <v>0</v>
      </c>
      <c r="V762" s="4">
        <v>0</v>
      </c>
    </row>
    <row r="763" spans="1:22" x14ac:dyDescent="0.15">
      <c r="A763" s="4" t="s">
        <v>2662</v>
      </c>
      <c r="D763" s="4">
        <f t="shared" si="9"/>
        <v>43</v>
      </c>
      <c r="E763" s="4">
        <v>27</v>
      </c>
      <c r="H763" s="29">
        <v>1001</v>
      </c>
      <c r="I763" s="4">
        <f>[1]索里!$AB28</f>
        <v>4474</v>
      </c>
      <c r="L763" s="30">
        <v>800</v>
      </c>
      <c r="M763" s="4">
        <f>[1]索里!W28</f>
        <v>581</v>
      </c>
      <c r="N763" s="4">
        <f>[1]索里!X28</f>
        <v>112</v>
      </c>
      <c r="O763" s="4">
        <f>[1]索里!Y28</f>
        <v>6268</v>
      </c>
      <c r="P763" s="4">
        <v>0</v>
      </c>
      <c r="Q763" s="4">
        <f>[1]索里!Z28</f>
        <v>2538</v>
      </c>
      <c r="R763" s="4">
        <v>2.5</v>
      </c>
      <c r="S763" s="4">
        <f>[1]索里!AA28</f>
        <v>41</v>
      </c>
      <c r="T763" s="4">
        <v>0</v>
      </c>
      <c r="U763" s="4">
        <v>0</v>
      </c>
      <c r="V763" s="4">
        <v>0</v>
      </c>
    </row>
    <row r="764" spans="1:22" x14ac:dyDescent="0.15">
      <c r="A764" s="4" t="s">
        <v>2662</v>
      </c>
      <c r="D764" s="4">
        <f t="shared" si="9"/>
        <v>43</v>
      </c>
      <c r="E764" s="4">
        <v>28</v>
      </c>
      <c r="H764" s="29">
        <v>1001</v>
      </c>
      <c r="I764" s="4">
        <f>[1]索里!$AB29</f>
        <v>4561</v>
      </c>
      <c r="L764" s="30">
        <v>800</v>
      </c>
      <c r="M764" s="4">
        <f>[1]索里!W29</f>
        <v>593</v>
      </c>
      <c r="N764" s="4">
        <f>[1]索里!X29</f>
        <v>116</v>
      </c>
      <c r="O764" s="4">
        <f>[1]索里!Y29</f>
        <v>6354</v>
      </c>
      <c r="P764" s="4">
        <v>0</v>
      </c>
      <c r="Q764" s="4">
        <f>[1]索里!Z29</f>
        <v>2546</v>
      </c>
      <c r="R764" s="4">
        <v>2.5</v>
      </c>
      <c r="S764" s="4">
        <f>[1]索里!AA29</f>
        <v>42</v>
      </c>
      <c r="T764" s="4">
        <v>0</v>
      </c>
      <c r="U764" s="4">
        <v>0</v>
      </c>
      <c r="V764" s="4">
        <v>0</v>
      </c>
    </row>
    <row r="765" spans="1:22" x14ac:dyDescent="0.15">
      <c r="A765" s="4" t="s">
        <v>2662</v>
      </c>
      <c r="D765" s="4">
        <f t="shared" si="9"/>
        <v>43</v>
      </c>
      <c r="E765" s="4">
        <v>29</v>
      </c>
      <c r="H765" s="29">
        <v>1001</v>
      </c>
      <c r="I765" s="4">
        <f>[1]索里!$AB30</f>
        <v>4647</v>
      </c>
      <c r="L765" s="30">
        <v>800</v>
      </c>
      <c r="M765" s="4">
        <f>[1]索里!W30</f>
        <v>605</v>
      </c>
      <c r="N765" s="4">
        <f>[1]索里!X30</f>
        <v>120</v>
      </c>
      <c r="O765" s="4">
        <f>[1]索里!Y30</f>
        <v>6440</v>
      </c>
      <c r="P765" s="4">
        <v>0</v>
      </c>
      <c r="Q765" s="4">
        <f>[1]索里!Z30</f>
        <v>2554</v>
      </c>
      <c r="R765" s="4">
        <v>2.5</v>
      </c>
      <c r="S765" s="4">
        <f>[1]索里!AA30</f>
        <v>43</v>
      </c>
      <c r="T765" s="4">
        <v>0</v>
      </c>
      <c r="U765" s="4">
        <v>0</v>
      </c>
      <c r="V765" s="4">
        <v>0</v>
      </c>
    </row>
    <row r="766" spans="1:22" x14ac:dyDescent="0.15">
      <c r="A766" s="4" t="s">
        <v>2662</v>
      </c>
      <c r="D766" s="4">
        <f t="shared" si="9"/>
        <v>43</v>
      </c>
      <c r="E766" s="4">
        <v>30</v>
      </c>
      <c r="H766" s="29">
        <v>1001</v>
      </c>
      <c r="I766" s="4">
        <f>[1]索里!$AB31</f>
        <v>4733</v>
      </c>
      <c r="L766" s="30">
        <v>800</v>
      </c>
      <c r="M766" s="4">
        <f>[1]索里!W31</f>
        <v>617</v>
      </c>
      <c r="N766" s="4">
        <f>[1]索里!X31</f>
        <v>124</v>
      </c>
      <c r="O766" s="4">
        <f>[1]索里!Y31</f>
        <v>6526</v>
      </c>
      <c r="P766" s="4">
        <v>0</v>
      </c>
      <c r="Q766" s="4">
        <f>[1]索里!Z31</f>
        <v>2562</v>
      </c>
      <c r="R766" s="4">
        <v>2.5</v>
      </c>
      <c r="S766" s="4">
        <f>[1]索里!AA31</f>
        <v>44</v>
      </c>
      <c r="T766" s="4">
        <v>0</v>
      </c>
      <c r="U766" s="4">
        <v>0</v>
      </c>
      <c r="V766" s="4">
        <v>0</v>
      </c>
    </row>
    <row r="767" spans="1:22" x14ac:dyDescent="0.15">
      <c r="A767" s="4" t="s">
        <v>2662</v>
      </c>
      <c r="D767" s="4">
        <f t="shared" si="9"/>
        <v>43</v>
      </c>
      <c r="E767" s="4">
        <v>31</v>
      </c>
      <c r="H767" s="29">
        <v>1001</v>
      </c>
      <c r="I767" s="4">
        <f>[1]索里!$AB32</f>
        <v>4820</v>
      </c>
      <c r="L767" s="30">
        <v>800</v>
      </c>
      <c r="M767" s="4">
        <f>[1]索里!W32</f>
        <v>629</v>
      </c>
      <c r="N767" s="4">
        <f>[1]索里!X32</f>
        <v>128</v>
      </c>
      <c r="O767" s="4">
        <f>[1]索里!Y32</f>
        <v>6612</v>
      </c>
      <c r="P767" s="4">
        <v>0</v>
      </c>
      <c r="Q767" s="4">
        <f>[1]索里!Z32</f>
        <v>2570</v>
      </c>
      <c r="R767" s="4">
        <v>2.5</v>
      </c>
      <c r="S767" s="4">
        <f>[1]索里!AA32</f>
        <v>45</v>
      </c>
      <c r="T767" s="4">
        <v>0</v>
      </c>
      <c r="U767" s="4">
        <v>0</v>
      </c>
      <c r="V767" s="4">
        <v>0</v>
      </c>
    </row>
    <row r="768" spans="1:22" x14ac:dyDescent="0.15">
      <c r="A768" s="4" t="s">
        <v>2662</v>
      </c>
      <c r="D768" s="4">
        <f t="shared" si="9"/>
        <v>43</v>
      </c>
      <c r="E768" s="4">
        <v>32</v>
      </c>
      <c r="H768" s="29">
        <v>1001</v>
      </c>
      <c r="I768" s="4">
        <f>[1]索里!$AB33</f>
        <v>4906</v>
      </c>
      <c r="L768" s="30">
        <v>800</v>
      </c>
      <c r="M768" s="4">
        <f>[1]索里!W33</f>
        <v>641</v>
      </c>
      <c r="N768" s="4">
        <f>[1]索里!X33</f>
        <v>132</v>
      </c>
      <c r="O768" s="4">
        <f>[1]索里!Y33</f>
        <v>6698</v>
      </c>
      <c r="P768" s="4">
        <v>0</v>
      </c>
      <c r="Q768" s="4">
        <f>[1]索里!Z33</f>
        <v>2578</v>
      </c>
      <c r="R768" s="4">
        <v>2.5</v>
      </c>
      <c r="S768" s="4">
        <f>[1]索里!AA33</f>
        <v>46</v>
      </c>
      <c r="T768" s="4">
        <v>0</v>
      </c>
      <c r="U768" s="4">
        <v>0</v>
      </c>
      <c r="V768" s="4">
        <v>0</v>
      </c>
    </row>
    <row r="769" spans="1:22" x14ac:dyDescent="0.15">
      <c r="A769" s="4" t="s">
        <v>2662</v>
      </c>
      <c r="D769" s="4">
        <f t="shared" si="9"/>
        <v>43</v>
      </c>
      <c r="E769" s="4">
        <v>33</v>
      </c>
      <c r="H769" s="29">
        <v>1001</v>
      </c>
      <c r="I769" s="4">
        <f>[1]索里!$AB34</f>
        <v>4993</v>
      </c>
      <c r="L769" s="30">
        <v>800</v>
      </c>
      <c r="M769" s="4">
        <f>[1]索里!W34</f>
        <v>653</v>
      </c>
      <c r="N769" s="4">
        <f>[1]索里!X34</f>
        <v>136</v>
      </c>
      <c r="O769" s="4">
        <f>[1]索里!Y34</f>
        <v>6784</v>
      </c>
      <c r="P769" s="4">
        <v>0</v>
      </c>
      <c r="Q769" s="4">
        <f>[1]索里!Z34</f>
        <v>2586</v>
      </c>
      <c r="R769" s="4">
        <v>2.5</v>
      </c>
      <c r="S769" s="4">
        <f>[1]索里!AA34</f>
        <v>47</v>
      </c>
      <c r="T769" s="4">
        <v>0</v>
      </c>
      <c r="U769" s="4">
        <v>0</v>
      </c>
      <c r="V769" s="4">
        <v>0</v>
      </c>
    </row>
    <row r="770" spans="1:22" x14ac:dyDescent="0.15">
      <c r="A770" s="4" t="s">
        <v>2662</v>
      </c>
      <c r="D770" s="4">
        <f t="shared" si="9"/>
        <v>43</v>
      </c>
      <c r="E770" s="4">
        <v>34</v>
      </c>
      <c r="H770" s="29">
        <v>1001</v>
      </c>
      <c r="I770" s="4">
        <f>[1]索里!$AB35</f>
        <v>5079</v>
      </c>
      <c r="L770" s="30">
        <v>800</v>
      </c>
      <c r="M770" s="4">
        <f>[1]索里!W35</f>
        <v>665</v>
      </c>
      <c r="N770" s="4">
        <f>[1]索里!X35</f>
        <v>140</v>
      </c>
      <c r="O770" s="4">
        <f>[1]索里!Y35</f>
        <v>6870</v>
      </c>
      <c r="P770" s="4">
        <v>0</v>
      </c>
      <c r="Q770" s="4">
        <f>[1]索里!Z35</f>
        <v>2594</v>
      </c>
      <c r="R770" s="4">
        <v>2.5</v>
      </c>
      <c r="S770" s="4">
        <f>[1]索里!AA35</f>
        <v>48</v>
      </c>
      <c r="T770" s="4">
        <v>0</v>
      </c>
      <c r="U770" s="4">
        <v>0</v>
      </c>
      <c r="V770" s="4">
        <v>0</v>
      </c>
    </row>
    <row r="771" spans="1:22" x14ac:dyDescent="0.15">
      <c r="A771" s="4" t="s">
        <v>2662</v>
      </c>
      <c r="D771" s="4">
        <f t="shared" si="9"/>
        <v>43</v>
      </c>
      <c r="E771" s="4">
        <v>35</v>
      </c>
      <c r="H771" s="29">
        <v>1001</v>
      </c>
      <c r="I771" s="4">
        <f>[1]索里!$AB36</f>
        <v>5165</v>
      </c>
      <c r="L771" s="30">
        <v>800</v>
      </c>
      <c r="M771" s="4">
        <f>[1]索里!W36</f>
        <v>677</v>
      </c>
      <c r="N771" s="4">
        <f>[1]索里!X36</f>
        <v>144</v>
      </c>
      <c r="O771" s="4">
        <f>[1]索里!Y36</f>
        <v>6956</v>
      </c>
      <c r="P771" s="4">
        <v>0</v>
      </c>
      <c r="Q771" s="4">
        <f>[1]索里!Z36</f>
        <v>2602</v>
      </c>
      <c r="R771" s="4">
        <v>2.5</v>
      </c>
      <c r="S771" s="4">
        <f>[1]索里!AA36</f>
        <v>49</v>
      </c>
      <c r="T771" s="4">
        <v>0</v>
      </c>
      <c r="U771" s="4">
        <v>0</v>
      </c>
      <c r="V771" s="4">
        <v>0</v>
      </c>
    </row>
    <row r="772" spans="1:22" x14ac:dyDescent="0.15">
      <c r="A772" s="4" t="s">
        <v>2662</v>
      </c>
      <c r="D772" s="4">
        <f t="shared" si="9"/>
        <v>43</v>
      </c>
      <c r="E772" s="4">
        <v>36</v>
      </c>
      <c r="H772" s="29">
        <v>1001</v>
      </c>
      <c r="I772" s="4">
        <f>[1]索里!$AB37</f>
        <v>5252</v>
      </c>
      <c r="L772" s="30">
        <v>800</v>
      </c>
      <c r="M772" s="4">
        <f>[1]索里!W37</f>
        <v>689</v>
      </c>
      <c r="N772" s="4">
        <f>[1]索里!X37</f>
        <v>148</v>
      </c>
      <c r="O772" s="4">
        <f>[1]索里!Y37</f>
        <v>7042</v>
      </c>
      <c r="P772" s="4">
        <v>0</v>
      </c>
      <c r="Q772" s="4">
        <f>[1]索里!Z37</f>
        <v>2610</v>
      </c>
      <c r="R772" s="4">
        <v>2.5</v>
      </c>
      <c r="S772" s="4">
        <f>[1]索里!AA37</f>
        <v>50</v>
      </c>
      <c r="T772" s="4">
        <v>0</v>
      </c>
      <c r="U772" s="4">
        <v>0</v>
      </c>
      <c r="V772" s="4">
        <v>0</v>
      </c>
    </row>
    <row r="773" spans="1:22" x14ac:dyDescent="0.15">
      <c r="A773" s="4" t="s">
        <v>2662</v>
      </c>
      <c r="D773" s="4">
        <f t="shared" si="9"/>
        <v>43</v>
      </c>
      <c r="E773" s="4">
        <v>37</v>
      </c>
      <c r="H773" s="29">
        <v>1001</v>
      </c>
      <c r="I773" s="4">
        <f>[1]索里!$AB38</f>
        <v>5338</v>
      </c>
      <c r="L773" s="30">
        <v>800</v>
      </c>
      <c r="M773" s="4">
        <f>[1]索里!W38</f>
        <v>701</v>
      </c>
      <c r="N773" s="4">
        <f>[1]索里!X38</f>
        <v>152</v>
      </c>
      <c r="O773" s="4">
        <f>[1]索里!Y38</f>
        <v>7128</v>
      </c>
      <c r="P773" s="4">
        <v>0</v>
      </c>
      <c r="Q773" s="4">
        <f>[1]索里!Z38</f>
        <v>2618</v>
      </c>
      <c r="R773" s="4">
        <v>2.5</v>
      </c>
      <c r="S773" s="4">
        <f>[1]索里!AA38</f>
        <v>51</v>
      </c>
      <c r="T773" s="4">
        <v>0</v>
      </c>
      <c r="U773" s="4">
        <v>0</v>
      </c>
      <c r="V773" s="4">
        <v>0</v>
      </c>
    </row>
    <row r="774" spans="1:22" x14ac:dyDescent="0.15">
      <c r="A774" s="4" t="s">
        <v>2662</v>
      </c>
      <c r="D774" s="4">
        <f t="shared" si="9"/>
        <v>43</v>
      </c>
      <c r="E774" s="4">
        <v>38</v>
      </c>
      <c r="H774" s="29">
        <v>1001</v>
      </c>
      <c r="I774" s="4">
        <f>[1]索里!$AB39</f>
        <v>5424</v>
      </c>
      <c r="L774" s="30">
        <v>800</v>
      </c>
      <c r="M774" s="4">
        <f>[1]索里!W39</f>
        <v>713</v>
      </c>
      <c r="N774" s="4">
        <f>[1]索里!X39</f>
        <v>156</v>
      </c>
      <c r="O774" s="4">
        <f>[1]索里!Y39</f>
        <v>7214</v>
      </c>
      <c r="P774" s="4">
        <v>0</v>
      </c>
      <c r="Q774" s="4">
        <f>[1]索里!Z39</f>
        <v>2626</v>
      </c>
      <c r="R774" s="4">
        <v>2.5</v>
      </c>
      <c r="S774" s="4">
        <f>[1]索里!AA39</f>
        <v>52</v>
      </c>
      <c r="T774" s="4">
        <v>0</v>
      </c>
      <c r="U774" s="4">
        <v>0</v>
      </c>
      <c r="V774" s="4">
        <v>0</v>
      </c>
    </row>
    <row r="775" spans="1:22" x14ac:dyDescent="0.15">
      <c r="A775" s="4" t="s">
        <v>2662</v>
      </c>
      <c r="D775" s="4">
        <f t="shared" si="9"/>
        <v>43</v>
      </c>
      <c r="E775" s="4">
        <v>39</v>
      </c>
      <c r="H775" s="29">
        <v>1001</v>
      </c>
      <c r="I775" s="4">
        <f>[1]索里!$AB40</f>
        <v>5511</v>
      </c>
      <c r="L775" s="30">
        <v>800</v>
      </c>
      <c r="M775" s="4">
        <f>[1]索里!W40</f>
        <v>725</v>
      </c>
      <c r="N775" s="4">
        <f>[1]索里!X40</f>
        <v>160</v>
      </c>
      <c r="O775" s="4">
        <f>[1]索里!Y40</f>
        <v>7300</v>
      </c>
      <c r="P775" s="4">
        <v>0</v>
      </c>
      <c r="Q775" s="4">
        <f>[1]索里!Z40</f>
        <v>2634</v>
      </c>
      <c r="R775" s="4">
        <v>2.5</v>
      </c>
      <c r="S775" s="4">
        <f>[1]索里!AA40</f>
        <v>53</v>
      </c>
      <c r="T775" s="4">
        <v>0</v>
      </c>
      <c r="U775" s="4">
        <v>0</v>
      </c>
      <c r="V775" s="4">
        <v>0</v>
      </c>
    </row>
    <row r="776" spans="1:22" x14ac:dyDescent="0.15">
      <c r="A776" s="4" t="s">
        <v>2662</v>
      </c>
      <c r="D776" s="4">
        <f t="shared" si="9"/>
        <v>43</v>
      </c>
      <c r="E776" s="4">
        <v>40</v>
      </c>
      <c r="H776" s="29">
        <v>1001</v>
      </c>
      <c r="I776" s="4">
        <f>[1]索里!$AB41</f>
        <v>5597</v>
      </c>
      <c r="L776" s="30">
        <v>800</v>
      </c>
      <c r="M776" s="4">
        <f>[1]索里!W41</f>
        <v>737</v>
      </c>
      <c r="N776" s="4">
        <f>[1]索里!X41</f>
        <v>164</v>
      </c>
      <c r="O776" s="4">
        <f>[1]索里!Y41</f>
        <v>7386</v>
      </c>
      <c r="P776" s="4">
        <v>0</v>
      </c>
      <c r="Q776" s="4">
        <f>[1]索里!Z41</f>
        <v>2642</v>
      </c>
      <c r="R776" s="4">
        <v>2.5</v>
      </c>
      <c r="S776" s="4">
        <f>[1]索里!AA41</f>
        <v>54</v>
      </c>
      <c r="T776" s="4">
        <v>0</v>
      </c>
      <c r="U776" s="4">
        <v>0</v>
      </c>
      <c r="V776" s="4">
        <v>0</v>
      </c>
    </row>
    <row r="777" spans="1:22" x14ac:dyDescent="0.15">
      <c r="A777" s="4" t="s">
        <v>2662</v>
      </c>
      <c r="D777" s="4">
        <f t="shared" si="9"/>
        <v>43</v>
      </c>
      <c r="E777" s="4">
        <v>41</v>
      </c>
      <c r="H777" s="29">
        <v>1001</v>
      </c>
      <c r="I777" s="4">
        <f>[1]索里!$AB42</f>
        <v>5683</v>
      </c>
      <c r="L777" s="30">
        <v>800</v>
      </c>
      <c r="M777" s="4">
        <f>[1]索里!W42</f>
        <v>749</v>
      </c>
      <c r="N777" s="4">
        <f>[1]索里!X42</f>
        <v>168</v>
      </c>
      <c r="O777" s="4">
        <f>[1]索里!Y42</f>
        <v>7472</v>
      </c>
      <c r="P777" s="4">
        <v>0</v>
      </c>
      <c r="Q777" s="4">
        <f>[1]索里!Z42</f>
        <v>2650</v>
      </c>
      <c r="R777" s="4">
        <v>2.5</v>
      </c>
      <c r="S777" s="4">
        <f>[1]索里!AA42</f>
        <v>55</v>
      </c>
      <c r="T777" s="4">
        <v>0</v>
      </c>
      <c r="U777" s="4">
        <v>0</v>
      </c>
      <c r="V777" s="4">
        <v>0</v>
      </c>
    </row>
    <row r="778" spans="1:22" x14ac:dyDescent="0.15">
      <c r="A778" s="4" t="s">
        <v>2662</v>
      </c>
      <c r="D778" s="4">
        <f t="shared" si="9"/>
        <v>43</v>
      </c>
      <c r="E778" s="4">
        <v>42</v>
      </c>
      <c r="H778" s="29">
        <v>1001</v>
      </c>
      <c r="I778" s="4">
        <f>[1]索里!$AB43</f>
        <v>5770</v>
      </c>
      <c r="L778" s="30">
        <v>800</v>
      </c>
      <c r="M778" s="4">
        <f>[1]索里!W43</f>
        <v>761</v>
      </c>
      <c r="N778" s="4">
        <f>[1]索里!X43</f>
        <v>172</v>
      </c>
      <c r="O778" s="4">
        <f>[1]索里!Y43</f>
        <v>7558</v>
      </c>
      <c r="P778" s="4">
        <v>0</v>
      </c>
      <c r="Q778" s="4">
        <f>[1]索里!Z43</f>
        <v>2658</v>
      </c>
      <c r="R778" s="4">
        <v>2.5</v>
      </c>
      <c r="S778" s="4">
        <f>[1]索里!AA43</f>
        <v>56</v>
      </c>
      <c r="T778" s="4">
        <v>0</v>
      </c>
      <c r="U778" s="4">
        <v>0</v>
      </c>
      <c r="V778" s="4">
        <v>0</v>
      </c>
    </row>
    <row r="779" spans="1:22" x14ac:dyDescent="0.15">
      <c r="A779" s="4" t="s">
        <v>2662</v>
      </c>
      <c r="D779" s="4">
        <f t="shared" si="9"/>
        <v>43</v>
      </c>
      <c r="E779" s="4">
        <v>43</v>
      </c>
      <c r="H779" s="29">
        <v>1001</v>
      </c>
      <c r="I779" s="4">
        <f>[1]索里!$AB44</f>
        <v>5856</v>
      </c>
      <c r="L779" s="30">
        <v>800</v>
      </c>
      <c r="M779" s="4">
        <f>[1]索里!W44</f>
        <v>773</v>
      </c>
      <c r="N779" s="4">
        <f>[1]索里!X44</f>
        <v>176</v>
      </c>
      <c r="O779" s="4">
        <f>[1]索里!Y44</f>
        <v>7644</v>
      </c>
      <c r="P779" s="4">
        <v>0</v>
      </c>
      <c r="Q779" s="4">
        <f>[1]索里!Z44</f>
        <v>2666</v>
      </c>
      <c r="R779" s="4">
        <v>2.5</v>
      </c>
      <c r="S779" s="4">
        <f>[1]索里!AA44</f>
        <v>57</v>
      </c>
      <c r="T779" s="4">
        <v>0</v>
      </c>
      <c r="U779" s="4">
        <v>0</v>
      </c>
      <c r="V779" s="4">
        <v>0</v>
      </c>
    </row>
    <row r="780" spans="1:22" x14ac:dyDescent="0.15">
      <c r="A780" s="4" t="s">
        <v>2662</v>
      </c>
      <c r="D780" s="4">
        <f t="shared" si="9"/>
        <v>43</v>
      </c>
      <c r="E780" s="4">
        <v>44</v>
      </c>
      <c r="H780" s="29">
        <v>1001</v>
      </c>
      <c r="I780" s="4">
        <f>[1]索里!$AB45</f>
        <v>5942</v>
      </c>
      <c r="L780" s="30">
        <v>800</v>
      </c>
      <c r="M780" s="4">
        <f>[1]索里!W45</f>
        <v>785</v>
      </c>
      <c r="N780" s="4">
        <f>[1]索里!X45</f>
        <v>180</v>
      </c>
      <c r="O780" s="4">
        <f>[1]索里!Y45</f>
        <v>7730</v>
      </c>
      <c r="P780" s="4">
        <v>0</v>
      </c>
      <c r="Q780" s="4">
        <f>[1]索里!Z45</f>
        <v>2674</v>
      </c>
      <c r="R780" s="4">
        <v>2.5</v>
      </c>
      <c r="S780" s="4">
        <f>[1]索里!AA45</f>
        <v>58</v>
      </c>
      <c r="T780" s="4">
        <v>0</v>
      </c>
      <c r="U780" s="4">
        <v>0</v>
      </c>
      <c r="V780" s="4">
        <v>0</v>
      </c>
    </row>
    <row r="781" spans="1:22" x14ac:dyDescent="0.15">
      <c r="A781" s="4" t="s">
        <v>2662</v>
      </c>
      <c r="D781" s="4">
        <f t="shared" si="9"/>
        <v>43</v>
      </c>
      <c r="E781" s="4">
        <v>45</v>
      </c>
      <c r="H781" s="29">
        <v>1001</v>
      </c>
      <c r="I781" s="4">
        <f>[1]索里!$AB46</f>
        <v>6029</v>
      </c>
      <c r="L781" s="30">
        <v>800</v>
      </c>
      <c r="M781" s="4">
        <f>[1]索里!W46</f>
        <v>797</v>
      </c>
      <c r="N781" s="4">
        <f>[1]索里!X46</f>
        <v>184</v>
      </c>
      <c r="O781" s="4">
        <f>[1]索里!Y46</f>
        <v>7816</v>
      </c>
      <c r="P781" s="4">
        <v>0</v>
      </c>
      <c r="Q781" s="4">
        <f>[1]索里!Z46</f>
        <v>2682</v>
      </c>
      <c r="R781" s="4">
        <v>2.5</v>
      </c>
      <c r="S781" s="4">
        <f>[1]索里!AA46</f>
        <v>59</v>
      </c>
      <c r="T781" s="4">
        <v>0</v>
      </c>
      <c r="U781" s="4">
        <v>0</v>
      </c>
      <c r="V781" s="4">
        <v>0</v>
      </c>
    </row>
    <row r="782" spans="1:22" x14ac:dyDescent="0.15">
      <c r="A782" s="4" t="s">
        <v>2662</v>
      </c>
      <c r="D782" s="4">
        <f t="shared" si="9"/>
        <v>43</v>
      </c>
      <c r="E782" s="4">
        <v>46</v>
      </c>
      <c r="H782" s="29">
        <v>1001</v>
      </c>
      <c r="I782" s="4">
        <f>[1]索里!$AB47</f>
        <v>6115</v>
      </c>
      <c r="L782" s="30">
        <v>800</v>
      </c>
      <c r="M782" s="4">
        <f>[1]索里!W47</f>
        <v>809</v>
      </c>
      <c r="N782" s="4">
        <f>[1]索里!X47</f>
        <v>188</v>
      </c>
      <c r="O782" s="4">
        <f>[1]索里!Y47</f>
        <v>7902</v>
      </c>
      <c r="P782" s="4">
        <v>0</v>
      </c>
      <c r="Q782" s="4">
        <f>[1]索里!Z47</f>
        <v>2690</v>
      </c>
      <c r="R782" s="4">
        <v>2.5</v>
      </c>
      <c r="S782" s="4">
        <f>[1]索里!AA47</f>
        <v>60</v>
      </c>
      <c r="T782" s="4">
        <v>0</v>
      </c>
      <c r="U782" s="4">
        <v>0</v>
      </c>
      <c r="V782" s="4">
        <v>0</v>
      </c>
    </row>
    <row r="783" spans="1:22" x14ac:dyDescent="0.15">
      <c r="A783" s="4" t="s">
        <v>2662</v>
      </c>
      <c r="D783" s="4">
        <f t="shared" si="9"/>
        <v>43</v>
      </c>
      <c r="E783" s="4">
        <v>47</v>
      </c>
      <c r="H783" s="29">
        <v>1001</v>
      </c>
      <c r="I783" s="4">
        <f>[1]索里!$AB48</f>
        <v>6202</v>
      </c>
      <c r="L783" s="30">
        <v>800</v>
      </c>
      <c r="M783" s="4">
        <f>[1]索里!W48</f>
        <v>821</v>
      </c>
      <c r="N783" s="4">
        <f>[1]索里!X48</f>
        <v>192</v>
      </c>
      <c r="O783" s="4">
        <f>[1]索里!Y48</f>
        <v>7988</v>
      </c>
      <c r="P783" s="4">
        <v>0</v>
      </c>
      <c r="Q783" s="4">
        <f>[1]索里!Z48</f>
        <v>2698</v>
      </c>
      <c r="R783" s="4">
        <v>2.5</v>
      </c>
      <c r="S783" s="4">
        <f>[1]索里!AA48</f>
        <v>61</v>
      </c>
      <c r="T783" s="4">
        <v>0</v>
      </c>
      <c r="U783" s="4">
        <v>0</v>
      </c>
      <c r="V783" s="4">
        <v>0</v>
      </c>
    </row>
    <row r="784" spans="1:22" x14ac:dyDescent="0.15">
      <c r="A784" s="4" t="s">
        <v>2662</v>
      </c>
      <c r="D784" s="4">
        <f t="shared" si="9"/>
        <v>43</v>
      </c>
      <c r="E784" s="4">
        <v>48</v>
      </c>
      <c r="H784" s="29">
        <v>1001</v>
      </c>
      <c r="I784" s="4">
        <f>[1]索里!$AB49</f>
        <v>6288</v>
      </c>
      <c r="L784" s="30">
        <v>800</v>
      </c>
      <c r="M784" s="4">
        <f>[1]索里!W49</f>
        <v>833</v>
      </c>
      <c r="N784" s="4">
        <f>[1]索里!X49</f>
        <v>196</v>
      </c>
      <c r="O784" s="4">
        <f>[1]索里!Y49</f>
        <v>8074</v>
      </c>
      <c r="P784" s="4">
        <v>0</v>
      </c>
      <c r="Q784" s="4">
        <f>[1]索里!Z49</f>
        <v>2706</v>
      </c>
      <c r="R784" s="4">
        <v>2.5</v>
      </c>
      <c r="S784" s="4">
        <f>[1]索里!AA49</f>
        <v>62</v>
      </c>
      <c r="T784" s="4">
        <v>0</v>
      </c>
      <c r="U784" s="4">
        <v>0</v>
      </c>
      <c r="V784" s="4">
        <v>0</v>
      </c>
    </row>
    <row r="785" spans="1:22" x14ac:dyDescent="0.15">
      <c r="A785" s="4" t="s">
        <v>2662</v>
      </c>
      <c r="D785" s="4">
        <f t="shared" si="9"/>
        <v>43</v>
      </c>
      <c r="E785" s="4">
        <v>49</v>
      </c>
      <c r="H785" s="29">
        <v>1001</v>
      </c>
      <c r="I785" s="4">
        <f>[1]索里!$AB50</f>
        <v>6374</v>
      </c>
      <c r="L785" s="30">
        <v>800</v>
      </c>
      <c r="M785" s="4">
        <f>[1]索里!W50</f>
        <v>845</v>
      </c>
      <c r="N785" s="4">
        <f>[1]索里!X50</f>
        <v>200</v>
      </c>
      <c r="O785" s="4">
        <f>[1]索里!Y50</f>
        <v>8160</v>
      </c>
      <c r="P785" s="4">
        <v>0</v>
      </c>
      <c r="Q785" s="4">
        <f>[1]索里!Z50</f>
        <v>2714</v>
      </c>
      <c r="R785" s="4">
        <v>2.5</v>
      </c>
      <c r="S785" s="4">
        <f>[1]索里!AA50</f>
        <v>63</v>
      </c>
      <c r="T785" s="4">
        <v>0</v>
      </c>
      <c r="U785" s="4">
        <v>0</v>
      </c>
      <c r="V785" s="4">
        <v>0</v>
      </c>
    </row>
    <row r="786" spans="1:22" x14ac:dyDescent="0.15">
      <c r="A786" s="4" t="s">
        <v>2662</v>
      </c>
      <c r="D786" s="4">
        <f t="shared" si="9"/>
        <v>43</v>
      </c>
      <c r="E786" s="4">
        <v>50</v>
      </c>
      <c r="H786" s="29">
        <v>1001</v>
      </c>
      <c r="I786" s="4">
        <f>[1]索里!$AB51</f>
        <v>6461</v>
      </c>
      <c r="L786" s="30">
        <v>800</v>
      </c>
      <c r="M786" s="4">
        <f>[1]索里!W51</f>
        <v>857</v>
      </c>
      <c r="N786" s="4">
        <f>[1]索里!X51</f>
        <v>204</v>
      </c>
      <c r="O786" s="4">
        <f>[1]索里!Y51</f>
        <v>8246</v>
      </c>
      <c r="P786" s="4">
        <v>0</v>
      </c>
      <c r="Q786" s="4">
        <f>[1]索里!Z51</f>
        <v>2722</v>
      </c>
      <c r="R786" s="4">
        <v>2.5</v>
      </c>
      <c r="S786" s="4">
        <f>[1]索里!AA51</f>
        <v>64</v>
      </c>
      <c r="T786" s="4">
        <v>0</v>
      </c>
      <c r="U786" s="4">
        <v>0</v>
      </c>
      <c r="V786" s="4">
        <v>0</v>
      </c>
    </row>
    <row r="787" spans="1:22" x14ac:dyDescent="0.15">
      <c r="I787" s="4"/>
    </row>
    <row r="788" spans="1:22" x14ac:dyDescent="0.15">
      <c r="A788" s="4" t="s">
        <v>2662</v>
      </c>
      <c r="B788" s="4" t="s">
        <v>3092</v>
      </c>
      <c r="C788" s="4" t="s">
        <v>3093</v>
      </c>
      <c r="D788" s="4">
        <v>51</v>
      </c>
      <c r="E788" s="4">
        <v>0</v>
      </c>
      <c r="H788" s="29">
        <v>2300</v>
      </c>
      <c r="I788" s="30">
        <v>1</v>
      </c>
      <c r="L788" s="30">
        <v>103</v>
      </c>
      <c r="M788" s="4">
        <v>0</v>
      </c>
      <c r="N788" s="4">
        <v>0</v>
      </c>
      <c r="O788" s="4">
        <v>0</v>
      </c>
      <c r="P788" s="4">
        <v>0</v>
      </c>
      <c r="Q788" s="4">
        <v>0</v>
      </c>
      <c r="R788" s="4">
        <v>0</v>
      </c>
      <c r="S788" s="4">
        <v>0</v>
      </c>
      <c r="T788" s="4">
        <v>0</v>
      </c>
      <c r="U788" s="4">
        <v>0</v>
      </c>
      <c r="V788" s="4">
        <v>0</v>
      </c>
    </row>
    <row r="789" spans="1:22" x14ac:dyDescent="0.15">
      <c r="A789" s="4" t="s">
        <v>2662</v>
      </c>
      <c r="D789" s="4">
        <v>51</v>
      </c>
      <c r="E789" s="4">
        <v>1</v>
      </c>
      <c r="H789" s="29">
        <v>1001</v>
      </c>
      <c r="I789" s="4">
        <f>[1]卡维力!$J2</f>
        <v>1004</v>
      </c>
      <c r="L789" s="30">
        <v>800</v>
      </c>
      <c r="M789" s="4">
        <f>[1]卡维力!E2</f>
        <v>120</v>
      </c>
      <c r="N789" s="4">
        <f>[1]卡维力!F2</f>
        <v>5</v>
      </c>
      <c r="O789" s="4">
        <f>[1]卡维力!G2</f>
        <v>1800</v>
      </c>
      <c r="P789" s="4">
        <v>0</v>
      </c>
      <c r="Q789" s="4">
        <f>[1]卡维力!H2</f>
        <v>1280</v>
      </c>
      <c r="R789" s="4">
        <v>2.5</v>
      </c>
      <c r="S789" s="4">
        <f>[1]卡维力!I2</f>
        <v>8</v>
      </c>
      <c r="T789" s="4">
        <v>0</v>
      </c>
      <c r="U789" s="4">
        <v>0</v>
      </c>
      <c r="V789" s="4">
        <v>0</v>
      </c>
    </row>
    <row r="790" spans="1:22" x14ac:dyDescent="0.15">
      <c r="A790" s="4" t="s">
        <v>2662</v>
      </c>
      <c r="D790" s="4">
        <v>51</v>
      </c>
      <c r="E790" s="4">
        <v>2</v>
      </c>
      <c r="H790" s="29">
        <v>1001</v>
      </c>
      <c r="I790" s="4">
        <f>[1]卡维力!$J3</f>
        <v>1094</v>
      </c>
      <c r="L790" s="30">
        <v>800</v>
      </c>
      <c r="M790" s="4">
        <f>[1]卡维力!E3</f>
        <v>132</v>
      </c>
      <c r="N790" s="4">
        <f>[1]卡维力!F3</f>
        <v>11</v>
      </c>
      <c r="O790" s="4">
        <f>[1]卡维力!G3</f>
        <v>1880</v>
      </c>
      <c r="P790" s="4">
        <v>0</v>
      </c>
      <c r="Q790" s="4">
        <f>[1]卡维力!H3</f>
        <v>1290</v>
      </c>
      <c r="R790" s="4">
        <v>2.5</v>
      </c>
      <c r="S790" s="4">
        <f>[1]卡维力!I3</f>
        <v>10</v>
      </c>
      <c r="T790" s="4">
        <v>0</v>
      </c>
      <c r="U790" s="4">
        <v>0</v>
      </c>
      <c r="V790" s="4">
        <v>0</v>
      </c>
    </row>
    <row r="791" spans="1:22" x14ac:dyDescent="0.15">
      <c r="A791" s="4" t="s">
        <v>2662</v>
      </c>
      <c r="D791" s="4">
        <v>51</v>
      </c>
      <c r="E791" s="4">
        <v>3</v>
      </c>
      <c r="H791" s="29">
        <v>1001</v>
      </c>
      <c r="I791" s="4">
        <f>[1]卡维力!$J4</f>
        <v>1184</v>
      </c>
      <c r="L791" s="30">
        <v>800</v>
      </c>
      <c r="M791" s="4">
        <f>[1]卡维力!E4</f>
        <v>144</v>
      </c>
      <c r="N791" s="4">
        <f>[1]卡维力!F4</f>
        <v>17</v>
      </c>
      <c r="O791" s="4">
        <f>[1]卡维力!G4</f>
        <v>1960</v>
      </c>
      <c r="P791" s="4">
        <v>0</v>
      </c>
      <c r="Q791" s="4">
        <f>[1]卡维力!H4</f>
        <v>1300</v>
      </c>
      <c r="R791" s="4">
        <v>2.5</v>
      </c>
      <c r="S791" s="4">
        <f>[1]卡维力!I4</f>
        <v>12</v>
      </c>
      <c r="T791" s="4">
        <v>0</v>
      </c>
      <c r="U791" s="4">
        <v>0</v>
      </c>
      <c r="V791" s="4">
        <v>0</v>
      </c>
    </row>
    <row r="792" spans="1:22" x14ac:dyDescent="0.15">
      <c r="A792" s="4" t="s">
        <v>2662</v>
      </c>
      <c r="D792" s="4">
        <v>51</v>
      </c>
      <c r="E792" s="4">
        <v>4</v>
      </c>
      <c r="H792" s="29">
        <v>1001</v>
      </c>
      <c r="I792" s="4">
        <f>[1]卡维力!$J5</f>
        <v>1274</v>
      </c>
      <c r="L792" s="30">
        <v>800</v>
      </c>
      <c r="M792" s="4">
        <f>[1]卡维力!E5</f>
        <v>156</v>
      </c>
      <c r="N792" s="4">
        <f>[1]卡维力!F5</f>
        <v>23</v>
      </c>
      <c r="O792" s="4">
        <f>[1]卡维力!G5</f>
        <v>2040</v>
      </c>
      <c r="P792" s="4">
        <v>0</v>
      </c>
      <c r="Q792" s="4">
        <f>[1]卡维力!H5</f>
        <v>1310</v>
      </c>
      <c r="R792" s="4">
        <v>2.5</v>
      </c>
      <c r="S792" s="4">
        <f>[1]卡维力!I5</f>
        <v>14</v>
      </c>
      <c r="T792" s="4">
        <v>0</v>
      </c>
      <c r="U792" s="4">
        <v>0</v>
      </c>
      <c r="V792" s="4">
        <v>0</v>
      </c>
    </row>
    <row r="793" spans="1:22" x14ac:dyDescent="0.15">
      <c r="A793" s="4" t="s">
        <v>2662</v>
      </c>
      <c r="D793" s="4">
        <v>51</v>
      </c>
      <c r="E793" s="4">
        <v>5</v>
      </c>
      <c r="H793" s="29">
        <v>1001</v>
      </c>
      <c r="I793" s="4">
        <f>[1]卡维力!$J6</f>
        <v>1364</v>
      </c>
      <c r="L793" s="30">
        <v>800</v>
      </c>
      <c r="M793" s="4">
        <f>[1]卡维力!E6</f>
        <v>168</v>
      </c>
      <c r="N793" s="4">
        <f>[1]卡维力!F6</f>
        <v>29</v>
      </c>
      <c r="O793" s="4">
        <f>[1]卡维力!G6</f>
        <v>2120</v>
      </c>
      <c r="P793" s="4">
        <v>0</v>
      </c>
      <c r="Q793" s="4">
        <f>[1]卡维力!H6</f>
        <v>1320</v>
      </c>
      <c r="R793" s="4">
        <v>2.5</v>
      </c>
      <c r="S793" s="4">
        <f>[1]卡维力!I6</f>
        <v>16</v>
      </c>
      <c r="T793" s="4">
        <v>0</v>
      </c>
      <c r="U793" s="4">
        <v>0</v>
      </c>
      <c r="V793" s="4">
        <v>0</v>
      </c>
    </row>
    <row r="794" spans="1:22" x14ac:dyDescent="0.15">
      <c r="A794" s="4" t="s">
        <v>2662</v>
      </c>
      <c r="D794" s="4">
        <v>51</v>
      </c>
      <c r="E794" s="4">
        <v>6</v>
      </c>
      <c r="H794" s="29">
        <v>1001</v>
      </c>
      <c r="I794" s="4">
        <f>[1]卡维力!$J7</f>
        <v>1455</v>
      </c>
      <c r="L794" s="30">
        <v>800</v>
      </c>
      <c r="M794" s="4">
        <f>[1]卡维力!E7</f>
        <v>180</v>
      </c>
      <c r="N794" s="4">
        <f>[1]卡维力!F7</f>
        <v>35</v>
      </c>
      <c r="O794" s="4">
        <f>[1]卡维力!G7</f>
        <v>2200</v>
      </c>
      <c r="P794" s="4">
        <v>0</v>
      </c>
      <c r="Q794" s="4">
        <f>[1]卡维力!H7</f>
        <v>1330</v>
      </c>
      <c r="R794" s="4">
        <v>2.5</v>
      </c>
      <c r="S794" s="4">
        <f>[1]卡维力!I7</f>
        <v>18</v>
      </c>
      <c r="T794" s="4">
        <v>0</v>
      </c>
      <c r="U794" s="4">
        <v>0</v>
      </c>
      <c r="V794" s="4">
        <v>0</v>
      </c>
    </row>
    <row r="795" spans="1:22" x14ac:dyDescent="0.15">
      <c r="A795" s="4" t="s">
        <v>2662</v>
      </c>
      <c r="D795" s="4">
        <v>51</v>
      </c>
      <c r="E795" s="4">
        <v>7</v>
      </c>
      <c r="H795" s="29">
        <v>1001</v>
      </c>
      <c r="I795" s="4">
        <f>[1]卡维力!$J8</f>
        <v>1545</v>
      </c>
      <c r="L795" s="30">
        <v>800</v>
      </c>
      <c r="M795" s="4">
        <f>[1]卡维力!E8</f>
        <v>192</v>
      </c>
      <c r="N795" s="4">
        <f>[1]卡维力!F8</f>
        <v>41</v>
      </c>
      <c r="O795" s="4">
        <f>[1]卡维力!G8</f>
        <v>2280</v>
      </c>
      <c r="P795" s="4">
        <v>0</v>
      </c>
      <c r="Q795" s="4">
        <f>[1]卡维力!H8</f>
        <v>1340</v>
      </c>
      <c r="R795" s="4">
        <v>2.5</v>
      </c>
      <c r="S795" s="4">
        <f>[1]卡维力!I8</f>
        <v>20</v>
      </c>
      <c r="T795" s="4">
        <v>0</v>
      </c>
      <c r="U795" s="4">
        <v>0</v>
      </c>
      <c r="V795" s="4">
        <v>0</v>
      </c>
    </row>
    <row r="796" spans="1:22" x14ac:dyDescent="0.15">
      <c r="A796" s="4" t="s">
        <v>2662</v>
      </c>
      <c r="D796" s="4">
        <v>51</v>
      </c>
      <c r="E796" s="4">
        <v>8</v>
      </c>
      <c r="H796" s="29">
        <v>1001</v>
      </c>
      <c r="I796" s="4">
        <f>[1]卡维力!$J9</f>
        <v>1635</v>
      </c>
      <c r="L796" s="30">
        <v>800</v>
      </c>
      <c r="M796" s="4">
        <f>[1]卡维力!E9</f>
        <v>204</v>
      </c>
      <c r="N796" s="4">
        <f>[1]卡维力!F9</f>
        <v>47</v>
      </c>
      <c r="O796" s="4">
        <f>[1]卡维力!G9</f>
        <v>2360</v>
      </c>
      <c r="P796" s="4">
        <v>0</v>
      </c>
      <c r="Q796" s="4">
        <f>[1]卡维力!H9</f>
        <v>1350</v>
      </c>
      <c r="R796" s="4">
        <v>2.5</v>
      </c>
      <c r="S796" s="4">
        <f>[1]卡维力!I9</f>
        <v>22</v>
      </c>
      <c r="T796" s="4">
        <v>0</v>
      </c>
      <c r="U796" s="4">
        <v>0</v>
      </c>
      <c r="V796" s="4">
        <v>0</v>
      </c>
    </row>
    <row r="797" spans="1:22" x14ac:dyDescent="0.15">
      <c r="A797" s="4" t="s">
        <v>2662</v>
      </c>
      <c r="D797" s="4">
        <v>51</v>
      </c>
      <c r="E797" s="4">
        <v>9</v>
      </c>
      <c r="H797" s="29">
        <v>1001</v>
      </c>
      <c r="I797" s="4">
        <f>[1]卡维力!$J10</f>
        <v>1725</v>
      </c>
      <c r="L797" s="30">
        <v>800</v>
      </c>
      <c r="M797" s="4">
        <f>[1]卡维力!E10</f>
        <v>216</v>
      </c>
      <c r="N797" s="4">
        <f>[1]卡维力!F10</f>
        <v>53</v>
      </c>
      <c r="O797" s="4">
        <f>[1]卡维力!G10</f>
        <v>2440</v>
      </c>
      <c r="P797" s="4">
        <v>0</v>
      </c>
      <c r="Q797" s="4">
        <f>[1]卡维力!H10</f>
        <v>1360</v>
      </c>
      <c r="R797" s="4">
        <v>2.5</v>
      </c>
      <c r="S797" s="4">
        <f>[1]卡维力!I10</f>
        <v>24</v>
      </c>
      <c r="T797" s="4">
        <v>0</v>
      </c>
      <c r="U797" s="4">
        <v>0</v>
      </c>
      <c r="V797" s="4">
        <v>0</v>
      </c>
    </row>
    <row r="798" spans="1:22" x14ac:dyDescent="0.15">
      <c r="A798" s="4" t="s">
        <v>2662</v>
      </c>
      <c r="D798" s="4">
        <v>51</v>
      </c>
      <c r="E798" s="4">
        <v>10</v>
      </c>
      <c r="H798" s="29">
        <v>1001</v>
      </c>
      <c r="I798" s="4">
        <f>[1]卡维力!$J11</f>
        <v>1815</v>
      </c>
      <c r="L798" s="30">
        <v>800</v>
      </c>
      <c r="M798" s="4">
        <f>[1]卡维力!E11</f>
        <v>228</v>
      </c>
      <c r="N798" s="4">
        <f>[1]卡维力!F11</f>
        <v>59</v>
      </c>
      <c r="O798" s="4">
        <f>[1]卡维力!G11</f>
        <v>2520</v>
      </c>
      <c r="P798" s="4">
        <v>0</v>
      </c>
      <c r="Q798" s="4">
        <f>[1]卡维力!H11</f>
        <v>1370</v>
      </c>
      <c r="R798" s="4">
        <v>2.5</v>
      </c>
      <c r="S798" s="4">
        <f>[1]卡维力!I11</f>
        <v>26</v>
      </c>
      <c r="T798" s="4">
        <v>0</v>
      </c>
      <c r="U798" s="4">
        <v>0</v>
      </c>
      <c r="V798" s="4">
        <v>0</v>
      </c>
    </row>
    <row r="799" spans="1:22" x14ac:dyDescent="0.15">
      <c r="A799" s="4" t="s">
        <v>2662</v>
      </c>
      <c r="D799" s="4">
        <v>51</v>
      </c>
      <c r="E799" s="4">
        <v>11</v>
      </c>
      <c r="H799" s="29">
        <v>1001</v>
      </c>
      <c r="I799" s="4">
        <f>[1]卡维力!$J12</f>
        <v>1906</v>
      </c>
      <c r="L799" s="30">
        <v>800</v>
      </c>
      <c r="M799" s="4">
        <f>[1]卡维力!E12</f>
        <v>240</v>
      </c>
      <c r="N799" s="4">
        <f>[1]卡维力!F12</f>
        <v>65</v>
      </c>
      <c r="O799" s="4">
        <f>[1]卡维力!G12</f>
        <v>2600</v>
      </c>
      <c r="P799" s="4">
        <v>0</v>
      </c>
      <c r="Q799" s="4">
        <f>[1]卡维力!H12</f>
        <v>1380</v>
      </c>
      <c r="R799" s="4">
        <v>2.5</v>
      </c>
      <c r="S799" s="4">
        <f>[1]卡维力!I12</f>
        <v>28</v>
      </c>
      <c r="T799" s="4">
        <v>0</v>
      </c>
      <c r="U799" s="4">
        <v>0</v>
      </c>
      <c r="V799" s="4">
        <v>0</v>
      </c>
    </row>
    <row r="800" spans="1:22" x14ac:dyDescent="0.15">
      <c r="A800" s="4" t="s">
        <v>2662</v>
      </c>
      <c r="D800" s="4">
        <v>51</v>
      </c>
      <c r="E800" s="4">
        <v>12</v>
      </c>
      <c r="H800" s="29">
        <v>1001</v>
      </c>
      <c r="I800" s="4">
        <f>[1]卡维力!$J13</f>
        <v>1996</v>
      </c>
      <c r="L800" s="30">
        <v>800</v>
      </c>
      <c r="M800" s="4">
        <f>[1]卡维力!E13</f>
        <v>252</v>
      </c>
      <c r="N800" s="4">
        <f>[1]卡维力!F13</f>
        <v>71</v>
      </c>
      <c r="O800" s="4">
        <f>[1]卡维力!G13</f>
        <v>2680</v>
      </c>
      <c r="P800" s="4">
        <v>0</v>
      </c>
      <c r="Q800" s="4">
        <f>[1]卡维力!H13</f>
        <v>1390</v>
      </c>
      <c r="R800" s="4">
        <v>2.5</v>
      </c>
      <c r="S800" s="4">
        <f>[1]卡维力!I13</f>
        <v>30</v>
      </c>
      <c r="T800" s="4">
        <v>0</v>
      </c>
      <c r="U800" s="4">
        <v>0</v>
      </c>
      <c r="V800" s="4">
        <v>0</v>
      </c>
    </row>
    <row r="801" spans="1:22" x14ac:dyDescent="0.15">
      <c r="A801" s="4" t="s">
        <v>2662</v>
      </c>
      <c r="D801" s="4">
        <v>51</v>
      </c>
      <c r="E801" s="4">
        <v>13</v>
      </c>
      <c r="H801" s="29">
        <v>1001</v>
      </c>
      <c r="I801" s="4">
        <f>[1]卡维力!$J14</f>
        <v>2086</v>
      </c>
      <c r="L801" s="30">
        <v>800</v>
      </c>
      <c r="M801" s="4">
        <f>[1]卡维力!E14</f>
        <v>264</v>
      </c>
      <c r="N801" s="4">
        <f>[1]卡维力!F14</f>
        <v>77</v>
      </c>
      <c r="O801" s="4">
        <f>[1]卡维力!G14</f>
        <v>2760</v>
      </c>
      <c r="P801" s="4">
        <v>0</v>
      </c>
      <c r="Q801" s="4">
        <f>[1]卡维力!H14</f>
        <v>1400</v>
      </c>
      <c r="R801" s="4">
        <v>2.5</v>
      </c>
      <c r="S801" s="4">
        <f>[1]卡维力!I14</f>
        <v>32</v>
      </c>
      <c r="T801" s="4">
        <v>0</v>
      </c>
      <c r="U801" s="4">
        <v>0</v>
      </c>
      <c r="V801" s="4">
        <v>0</v>
      </c>
    </row>
    <row r="802" spans="1:22" x14ac:dyDescent="0.15">
      <c r="A802" s="4" t="s">
        <v>2662</v>
      </c>
      <c r="D802" s="4">
        <v>51</v>
      </c>
      <c r="E802" s="4">
        <v>14</v>
      </c>
      <c r="H802" s="29">
        <v>1001</v>
      </c>
      <c r="I802" s="4">
        <f>[1]卡维力!$J15</f>
        <v>2176</v>
      </c>
      <c r="L802" s="30">
        <v>800</v>
      </c>
      <c r="M802" s="4">
        <f>[1]卡维力!E15</f>
        <v>276</v>
      </c>
      <c r="N802" s="4">
        <f>[1]卡维力!F15</f>
        <v>83</v>
      </c>
      <c r="O802" s="4">
        <f>[1]卡维力!G15</f>
        <v>2840</v>
      </c>
      <c r="P802" s="4">
        <v>0</v>
      </c>
      <c r="Q802" s="4">
        <f>[1]卡维力!H15</f>
        <v>1410</v>
      </c>
      <c r="R802" s="4">
        <v>2.5</v>
      </c>
      <c r="S802" s="4">
        <f>[1]卡维力!I15</f>
        <v>34</v>
      </c>
      <c r="T802" s="4">
        <v>0</v>
      </c>
      <c r="U802" s="4">
        <v>0</v>
      </c>
      <c r="V802" s="4">
        <v>0</v>
      </c>
    </row>
    <row r="803" spans="1:22" x14ac:dyDescent="0.15">
      <c r="A803" s="4" t="s">
        <v>2662</v>
      </c>
      <c r="D803" s="4">
        <v>51</v>
      </c>
      <c r="E803" s="4">
        <v>15</v>
      </c>
      <c r="H803" s="29">
        <v>1001</v>
      </c>
      <c r="I803" s="4">
        <f>[1]卡维力!$J16</f>
        <v>2266</v>
      </c>
      <c r="L803" s="30">
        <v>800</v>
      </c>
      <c r="M803" s="4">
        <f>[1]卡维力!E16</f>
        <v>288</v>
      </c>
      <c r="N803" s="4">
        <f>[1]卡维力!F16</f>
        <v>89</v>
      </c>
      <c r="O803" s="4">
        <f>[1]卡维力!G16</f>
        <v>2920</v>
      </c>
      <c r="P803" s="4">
        <v>0</v>
      </c>
      <c r="Q803" s="4">
        <f>[1]卡维力!H16</f>
        <v>1420</v>
      </c>
      <c r="R803" s="4">
        <v>2.5</v>
      </c>
      <c r="S803" s="4">
        <f>[1]卡维力!I16</f>
        <v>36</v>
      </c>
      <c r="T803" s="4">
        <v>0</v>
      </c>
      <c r="U803" s="4">
        <v>0</v>
      </c>
      <c r="V803" s="4">
        <v>0</v>
      </c>
    </row>
    <row r="804" spans="1:22" x14ac:dyDescent="0.15">
      <c r="A804" s="4" t="s">
        <v>2662</v>
      </c>
      <c r="D804" s="4">
        <v>51</v>
      </c>
      <c r="E804" s="4">
        <v>16</v>
      </c>
      <c r="H804" s="29">
        <v>1001</v>
      </c>
      <c r="I804" s="4">
        <f>[1]卡维力!$J17</f>
        <v>2357</v>
      </c>
      <c r="L804" s="30">
        <v>800</v>
      </c>
      <c r="M804" s="4">
        <f>[1]卡维力!E17</f>
        <v>300</v>
      </c>
      <c r="N804" s="4">
        <f>[1]卡维力!F17</f>
        <v>95</v>
      </c>
      <c r="O804" s="4">
        <f>[1]卡维力!G17</f>
        <v>3000</v>
      </c>
      <c r="P804" s="4">
        <v>0</v>
      </c>
      <c r="Q804" s="4">
        <f>[1]卡维力!H17</f>
        <v>1430</v>
      </c>
      <c r="R804" s="4">
        <v>2.5</v>
      </c>
      <c r="S804" s="4">
        <f>[1]卡维力!I17</f>
        <v>38</v>
      </c>
      <c r="T804" s="4">
        <v>0</v>
      </c>
      <c r="U804" s="4">
        <v>0</v>
      </c>
      <c r="V804" s="4">
        <v>0</v>
      </c>
    </row>
    <row r="805" spans="1:22" x14ac:dyDescent="0.15">
      <c r="A805" s="4" t="s">
        <v>2662</v>
      </c>
      <c r="D805" s="4">
        <v>51</v>
      </c>
      <c r="E805" s="4">
        <v>17</v>
      </c>
      <c r="H805" s="29">
        <v>1001</v>
      </c>
      <c r="I805" s="4">
        <f>[1]卡维力!$J18</f>
        <v>2447</v>
      </c>
      <c r="L805" s="30">
        <v>800</v>
      </c>
      <c r="M805" s="4">
        <f>[1]卡维力!E18</f>
        <v>312</v>
      </c>
      <c r="N805" s="4">
        <f>[1]卡维力!F18</f>
        <v>101</v>
      </c>
      <c r="O805" s="4">
        <f>[1]卡维力!G18</f>
        <v>3080</v>
      </c>
      <c r="P805" s="4">
        <v>0</v>
      </c>
      <c r="Q805" s="4">
        <f>[1]卡维力!H18</f>
        <v>1440</v>
      </c>
      <c r="R805" s="4">
        <v>2.5</v>
      </c>
      <c r="S805" s="4">
        <f>[1]卡维力!I18</f>
        <v>40</v>
      </c>
      <c r="T805" s="4">
        <v>0</v>
      </c>
      <c r="U805" s="4">
        <v>0</v>
      </c>
      <c r="V805" s="4">
        <v>0</v>
      </c>
    </row>
    <row r="806" spans="1:22" x14ac:dyDescent="0.15">
      <c r="A806" s="4" t="s">
        <v>2662</v>
      </c>
      <c r="D806" s="4">
        <v>51</v>
      </c>
      <c r="E806" s="4">
        <v>18</v>
      </c>
      <c r="H806" s="29">
        <v>1001</v>
      </c>
      <c r="I806" s="4">
        <f>[1]卡维力!$J19</f>
        <v>2537</v>
      </c>
      <c r="L806" s="30">
        <v>800</v>
      </c>
      <c r="M806" s="4">
        <f>[1]卡维力!E19</f>
        <v>324</v>
      </c>
      <c r="N806" s="4">
        <f>[1]卡维力!F19</f>
        <v>107</v>
      </c>
      <c r="O806" s="4">
        <f>[1]卡维力!G19</f>
        <v>3160</v>
      </c>
      <c r="P806" s="4">
        <v>0</v>
      </c>
      <c r="Q806" s="4">
        <f>[1]卡维力!H19</f>
        <v>1450</v>
      </c>
      <c r="R806" s="4">
        <v>2.5</v>
      </c>
      <c r="S806" s="4">
        <f>[1]卡维力!I19</f>
        <v>42</v>
      </c>
      <c r="T806" s="4">
        <v>0</v>
      </c>
      <c r="U806" s="4">
        <v>0</v>
      </c>
      <c r="V806" s="4">
        <v>0</v>
      </c>
    </row>
    <row r="807" spans="1:22" x14ac:dyDescent="0.15">
      <c r="A807" s="4" t="s">
        <v>2662</v>
      </c>
      <c r="D807" s="4">
        <v>51</v>
      </c>
      <c r="E807" s="4">
        <v>19</v>
      </c>
      <c r="H807" s="29">
        <v>1001</v>
      </c>
      <c r="I807" s="4">
        <f>[1]卡维力!$J20</f>
        <v>2627</v>
      </c>
      <c r="L807" s="30">
        <v>800</v>
      </c>
      <c r="M807" s="4">
        <f>[1]卡维力!E20</f>
        <v>336</v>
      </c>
      <c r="N807" s="4">
        <f>[1]卡维力!F20</f>
        <v>113</v>
      </c>
      <c r="O807" s="4">
        <f>[1]卡维力!G20</f>
        <v>3240</v>
      </c>
      <c r="P807" s="4">
        <v>0</v>
      </c>
      <c r="Q807" s="4">
        <f>[1]卡维力!H20</f>
        <v>1460</v>
      </c>
      <c r="R807" s="4">
        <v>2.5</v>
      </c>
      <c r="S807" s="4">
        <f>[1]卡维力!I20</f>
        <v>44</v>
      </c>
      <c r="T807" s="4">
        <v>0</v>
      </c>
      <c r="U807" s="4">
        <v>0</v>
      </c>
      <c r="V807" s="4">
        <v>0</v>
      </c>
    </row>
    <row r="808" spans="1:22" x14ac:dyDescent="0.15">
      <c r="A808" s="4" t="s">
        <v>2662</v>
      </c>
      <c r="D808" s="4">
        <v>51</v>
      </c>
      <c r="E808" s="4">
        <v>20</v>
      </c>
      <c r="H808" s="29">
        <v>1001</v>
      </c>
      <c r="I808" s="4">
        <f>[1]卡维力!$J21</f>
        <v>2717</v>
      </c>
      <c r="L808" s="30">
        <v>800</v>
      </c>
      <c r="M808" s="4">
        <f>[1]卡维力!E21</f>
        <v>348</v>
      </c>
      <c r="N808" s="4">
        <f>[1]卡维力!F21</f>
        <v>119</v>
      </c>
      <c r="O808" s="4">
        <f>[1]卡维力!G21</f>
        <v>3320</v>
      </c>
      <c r="P808" s="4">
        <v>0</v>
      </c>
      <c r="Q808" s="4">
        <f>[1]卡维力!H21</f>
        <v>1470</v>
      </c>
      <c r="R808" s="4">
        <v>2.5</v>
      </c>
      <c r="S808" s="4">
        <f>[1]卡维力!I21</f>
        <v>46</v>
      </c>
      <c r="T808" s="4">
        <v>0</v>
      </c>
      <c r="U808" s="4">
        <v>0</v>
      </c>
      <c r="V808" s="4">
        <v>0</v>
      </c>
    </row>
    <row r="809" spans="1:22" x14ac:dyDescent="0.15">
      <c r="A809" s="4" t="s">
        <v>2662</v>
      </c>
      <c r="D809" s="4">
        <v>51</v>
      </c>
      <c r="E809" s="4">
        <v>21</v>
      </c>
      <c r="H809" s="29">
        <v>1001</v>
      </c>
      <c r="I809" s="4">
        <f>[1]卡维力!$J22</f>
        <v>2808</v>
      </c>
      <c r="L809" s="30">
        <v>800</v>
      </c>
      <c r="M809" s="4">
        <f>[1]卡维力!E22</f>
        <v>360</v>
      </c>
      <c r="N809" s="4">
        <f>[1]卡维力!F22</f>
        <v>125</v>
      </c>
      <c r="O809" s="4">
        <f>[1]卡维力!G22</f>
        <v>3400</v>
      </c>
      <c r="P809" s="4">
        <v>0</v>
      </c>
      <c r="Q809" s="4">
        <f>[1]卡维力!H22</f>
        <v>1480</v>
      </c>
      <c r="R809" s="4">
        <v>2.5</v>
      </c>
      <c r="S809" s="4">
        <f>[1]卡维力!I22</f>
        <v>48</v>
      </c>
      <c r="T809" s="4">
        <v>0</v>
      </c>
      <c r="U809" s="4">
        <v>0</v>
      </c>
      <c r="V809" s="4">
        <v>0</v>
      </c>
    </row>
    <row r="810" spans="1:22" x14ac:dyDescent="0.15">
      <c r="A810" s="4" t="s">
        <v>2662</v>
      </c>
      <c r="D810" s="4">
        <v>51</v>
      </c>
      <c r="E810" s="4">
        <v>22</v>
      </c>
      <c r="H810" s="29">
        <v>1001</v>
      </c>
      <c r="I810" s="4">
        <f>[1]卡维力!$J23</f>
        <v>2898</v>
      </c>
      <c r="L810" s="30">
        <v>800</v>
      </c>
      <c r="M810" s="4">
        <f>[1]卡维力!E23</f>
        <v>372</v>
      </c>
      <c r="N810" s="4">
        <f>[1]卡维力!F23</f>
        <v>131</v>
      </c>
      <c r="O810" s="4">
        <f>[1]卡维力!G23</f>
        <v>3480</v>
      </c>
      <c r="P810" s="4">
        <v>0</v>
      </c>
      <c r="Q810" s="4">
        <f>[1]卡维力!H23</f>
        <v>1490</v>
      </c>
      <c r="R810" s="4">
        <v>2.5</v>
      </c>
      <c r="S810" s="4">
        <f>[1]卡维力!I23</f>
        <v>50</v>
      </c>
      <c r="T810" s="4">
        <v>0</v>
      </c>
      <c r="U810" s="4">
        <v>0</v>
      </c>
      <c r="V810" s="4">
        <v>0</v>
      </c>
    </row>
    <row r="811" spans="1:22" x14ac:dyDescent="0.15">
      <c r="A811" s="4" t="s">
        <v>2662</v>
      </c>
      <c r="D811" s="4">
        <v>51</v>
      </c>
      <c r="E811" s="4">
        <v>23</v>
      </c>
      <c r="H811" s="29">
        <v>1001</v>
      </c>
      <c r="I811" s="4">
        <f>[1]卡维力!$J24</f>
        <v>2988</v>
      </c>
      <c r="L811" s="30">
        <v>800</v>
      </c>
      <c r="M811" s="4">
        <f>[1]卡维力!E24</f>
        <v>384</v>
      </c>
      <c r="N811" s="4">
        <f>[1]卡维力!F24</f>
        <v>137</v>
      </c>
      <c r="O811" s="4">
        <f>[1]卡维力!G24</f>
        <v>3560</v>
      </c>
      <c r="P811" s="4">
        <v>0</v>
      </c>
      <c r="Q811" s="4">
        <f>[1]卡维力!H24</f>
        <v>1500</v>
      </c>
      <c r="R811" s="4">
        <v>2.5</v>
      </c>
      <c r="S811" s="4">
        <f>[1]卡维力!I24</f>
        <v>52</v>
      </c>
      <c r="T811" s="4">
        <v>0</v>
      </c>
      <c r="U811" s="4">
        <v>0</v>
      </c>
      <c r="V811" s="4">
        <v>0</v>
      </c>
    </row>
    <row r="812" spans="1:22" x14ac:dyDescent="0.15">
      <c r="A812" s="4" t="s">
        <v>2662</v>
      </c>
      <c r="D812" s="4">
        <v>51</v>
      </c>
      <c r="E812" s="4">
        <v>24</v>
      </c>
      <c r="H812" s="29">
        <v>1001</v>
      </c>
      <c r="I812" s="4">
        <f>[1]卡维力!$J25</f>
        <v>3078</v>
      </c>
      <c r="L812" s="30">
        <v>800</v>
      </c>
      <c r="M812" s="4">
        <f>[1]卡维力!E25</f>
        <v>396</v>
      </c>
      <c r="N812" s="4">
        <f>[1]卡维力!F25</f>
        <v>143</v>
      </c>
      <c r="O812" s="4">
        <f>[1]卡维力!G25</f>
        <v>3640</v>
      </c>
      <c r="P812" s="4">
        <v>0</v>
      </c>
      <c r="Q812" s="4">
        <f>[1]卡维力!H25</f>
        <v>1510</v>
      </c>
      <c r="R812" s="4">
        <v>2.5</v>
      </c>
      <c r="S812" s="4">
        <f>[1]卡维力!I25</f>
        <v>54</v>
      </c>
      <c r="T812" s="4">
        <v>0</v>
      </c>
      <c r="U812" s="4">
        <v>0</v>
      </c>
      <c r="V812" s="4">
        <v>0</v>
      </c>
    </row>
    <row r="813" spans="1:22" x14ac:dyDescent="0.15">
      <c r="A813" s="4" t="s">
        <v>2662</v>
      </c>
      <c r="D813" s="4">
        <v>51</v>
      </c>
      <c r="E813" s="4">
        <v>25</v>
      </c>
      <c r="H813" s="29">
        <v>1001</v>
      </c>
      <c r="I813" s="4">
        <f>[1]卡维力!$J26</f>
        <v>3168</v>
      </c>
      <c r="L813" s="30">
        <v>800</v>
      </c>
      <c r="M813" s="4">
        <f>[1]卡维力!E26</f>
        <v>408</v>
      </c>
      <c r="N813" s="4">
        <f>[1]卡维力!F26</f>
        <v>149</v>
      </c>
      <c r="O813" s="4">
        <f>[1]卡维力!G26</f>
        <v>3720</v>
      </c>
      <c r="P813" s="4">
        <v>0</v>
      </c>
      <c r="Q813" s="4">
        <f>[1]卡维力!H26</f>
        <v>1520</v>
      </c>
      <c r="R813" s="4">
        <v>2.5</v>
      </c>
      <c r="S813" s="4">
        <f>[1]卡维力!I26</f>
        <v>56</v>
      </c>
      <c r="T813" s="4">
        <v>0</v>
      </c>
      <c r="U813" s="4">
        <v>0</v>
      </c>
      <c r="V813" s="4">
        <v>0</v>
      </c>
    </row>
    <row r="814" spans="1:22" x14ac:dyDescent="0.15">
      <c r="A814" s="4" t="s">
        <v>2662</v>
      </c>
      <c r="D814" s="4">
        <v>51</v>
      </c>
      <c r="E814" s="4">
        <v>26</v>
      </c>
      <c r="H814" s="29">
        <v>1001</v>
      </c>
      <c r="I814" s="4">
        <f>[1]卡维力!$J27</f>
        <v>3259</v>
      </c>
      <c r="L814" s="30">
        <v>800</v>
      </c>
      <c r="M814" s="4">
        <f>[1]卡维力!E27</f>
        <v>420</v>
      </c>
      <c r="N814" s="4">
        <f>[1]卡维力!F27</f>
        <v>155</v>
      </c>
      <c r="O814" s="4">
        <f>[1]卡维力!G27</f>
        <v>3800</v>
      </c>
      <c r="P814" s="4">
        <v>0</v>
      </c>
      <c r="Q814" s="4">
        <f>[1]卡维力!H27</f>
        <v>1530</v>
      </c>
      <c r="R814" s="4">
        <v>2.5</v>
      </c>
      <c r="S814" s="4">
        <f>[1]卡维力!I27</f>
        <v>58</v>
      </c>
      <c r="T814" s="4">
        <v>0</v>
      </c>
      <c r="U814" s="4">
        <v>0</v>
      </c>
      <c r="V814" s="4">
        <v>0</v>
      </c>
    </row>
    <row r="815" spans="1:22" x14ac:dyDescent="0.15">
      <c r="A815" s="4" t="s">
        <v>2662</v>
      </c>
      <c r="D815" s="4">
        <v>51</v>
      </c>
      <c r="E815" s="4">
        <v>27</v>
      </c>
      <c r="H815" s="29">
        <v>1001</v>
      </c>
      <c r="I815" s="4">
        <f>[1]卡维力!$J28</f>
        <v>3349</v>
      </c>
      <c r="L815" s="30">
        <v>800</v>
      </c>
      <c r="M815" s="4">
        <f>[1]卡维力!E28</f>
        <v>432</v>
      </c>
      <c r="N815" s="4">
        <f>[1]卡维力!F28</f>
        <v>161</v>
      </c>
      <c r="O815" s="4">
        <f>[1]卡维力!G28</f>
        <v>3880</v>
      </c>
      <c r="P815" s="4">
        <v>0</v>
      </c>
      <c r="Q815" s="4">
        <f>[1]卡维力!H28</f>
        <v>1540</v>
      </c>
      <c r="R815" s="4">
        <v>2.5</v>
      </c>
      <c r="S815" s="4">
        <f>[1]卡维力!I28</f>
        <v>60</v>
      </c>
      <c r="T815" s="4">
        <v>0</v>
      </c>
      <c r="U815" s="4">
        <v>0</v>
      </c>
      <c r="V815" s="4">
        <v>0</v>
      </c>
    </row>
    <row r="816" spans="1:22" x14ac:dyDescent="0.15">
      <c r="A816" s="4" t="s">
        <v>2662</v>
      </c>
      <c r="D816" s="4">
        <v>51</v>
      </c>
      <c r="E816" s="4">
        <v>28</v>
      </c>
      <c r="H816" s="29">
        <v>1001</v>
      </c>
      <c r="I816" s="4">
        <f>[1]卡维力!$J29</f>
        <v>3439</v>
      </c>
      <c r="L816" s="30">
        <v>800</v>
      </c>
      <c r="M816" s="4">
        <f>[1]卡维力!E29</f>
        <v>444</v>
      </c>
      <c r="N816" s="4">
        <f>[1]卡维力!F29</f>
        <v>167</v>
      </c>
      <c r="O816" s="4">
        <f>[1]卡维力!G29</f>
        <v>3960</v>
      </c>
      <c r="P816" s="4">
        <v>0</v>
      </c>
      <c r="Q816" s="4">
        <f>[1]卡维力!H29</f>
        <v>1550</v>
      </c>
      <c r="R816" s="4">
        <v>2.5</v>
      </c>
      <c r="S816" s="4">
        <f>[1]卡维力!I29</f>
        <v>62</v>
      </c>
      <c r="T816" s="4">
        <v>0</v>
      </c>
      <c r="U816" s="4">
        <v>0</v>
      </c>
      <c r="V816" s="4">
        <v>0</v>
      </c>
    </row>
    <row r="817" spans="1:22" x14ac:dyDescent="0.15">
      <c r="A817" s="4" t="s">
        <v>2662</v>
      </c>
      <c r="D817" s="4">
        <v>51</v>
      </c>
      <c r="E817" s="4">
        <v>29</v>
      </c>
      <c r="H817" s="29">
        <v>1001</v>
      </c>
      <c r="I817" s="4">
        <f>[1]卡维力!$J30</f>
        <v>3529</v>
      </c>
      <c r="L817" s="30">
        <v>800</v>
      </c>
      <c r="M817" s="4">
        <f>[1]卡维力!E30</f>
        <v>456</v>
      </c>
      <c r="N817" s="4">
        <f>[1]卡维力!F30</f>
        <v>173</v>
      </c>
      <c r="O817" s="4">
        <f>[1]卡维力!G30</f>
        <v>4040</v>
      </c>
      <c r="P817" s="4">
        <v>0</v>
      </c>
      <c r="Q817" s="4">
        <f>[1]卡维力!H30</f>
        <v>1560</v>
      </c>
      <c r="R817" s="4">
        <v>2.5</v>
      </c>
      <c r="S817" s="4">
        <f>[1]卡维力!I30</f>
        <v>64</v>
      </c>
      <c r="T817" s="4">
        <v>0</v>
      </c>
      <c r="U817" s="4">
        <v>0</v>
      </c>
      <c r="V817" s="4">
        <v>0</v>
      </c>
    </row>
    <row r="818" spans="1:22" x14ac:dyDescent="0.15">
      <c r="A818" s="4" t="s">
        <v>2662</v>
      </c>
      <c r="D818" s="4">
        <v>51</v>
      </c>
      <c r="E818" s="4">
        <v>30</v>
      </c>
      <c r="H818" s="29">
        <v>1001</v>
      </c>
      <c r="I818" s="4">
        <f>[1]卡维力!$J31</f>
        <v>3619</v>
      </c>
      <c r="L818" s="30">
        <v>800</v>
      </c>
      <c r="M818" s="4">
        <f>[1]卡维力!E31</f>
        <v>468</v>
      </c>
      <c r="N818" s="4">
        <f>[1]卡维力!F31</f>
        <v>179</v>
      </c>
      <c r="O818" s="4">
        <f>[1]卡维力!G31</f>
        <v>4120</v>
      </c>
      <c r="P818" s="4">
        <v>0</v>
      </c>
      <c r="Q818" s="4">
        <f>[1]卡维力!H31</f>
        <v>1570</v>
      </c>
      <c r="R818" s="4">
        <v>2.5</v>
      </c>
      <c r="S818" s="4">
        <f>[1]卡维力!I31</f>
        <v>66</v>
      </c>
      <c r="T818" s="4">
        <v>0</v>
      </c>
      <c r="U818" s="4">
        <v>0</v>
      </c>
      <c r="V818" s="4">
        <v>0</v>
      </c>
    </row>
    <row r="819" spans="1:22" x14ac:dyDescent="0.15">
      <c r="A819" s="4" t="s">
        <v>2662</v>
      </c>
      <c r="D819" s="4">
        <v>51</v>
      </c>
      <c r="E819" s="4">
        <v>31</v>
      </c>
      <c r="H819" s="29">
        <v>1001</v>
      </c>
      <c r="I819" s="4">
        <f>[1]卡维力!$J32</f>
        <v>3710</v>
      </c>
      <c r="L819" s="30">
        <v>800</v>
      </c>
      <c r="M819" s="4">
        <f>[1]卡维力!E32</f>
        <v>480</v>
      </c>
      <c r="N819" s="4">
        <f>[1]卡维力!F32</f>
        <v>185</v>
      </c>
      <c r="O819" s="4">
        <f>[1]卡维力!G32</f>
        <v>4200</v>
      </c>
      <c r="P819" s="4">
        <v>0</v>
      </c>
      <c r="Q819" s="4">
        <f>[1]卡维力!H32</f>
        <v>1580</v>
      </c>
      <c r="R819" s="4">
        <v>2.5</v>
      </c>
      <c r="S819" s="4">
        <f>[1]卡维力!I32</f>
        <v>68</v>
      </c>
      <c r="T819" s="4">
        <v>0</v>
      </c>
      <c r="U819" s="4">
        <v>0</v>
      </c>
      <c r="V819" s="4">
        <v>0</v>
      </c>
    </row>
    <row r="820" spans="1:22" x14ac:dyDescent="0.15">
      <c r="A820" s="4" t="s">
        <v>2662</v>
      </c>
      <c r="D820" s="4">
        <v>51</v>
      </c>
      <c r="E820" s="4">
        <v>32</v>
      </c>
      <c r="H820" s="29">
        <v>1001</v>
      </c>
      <c r="I820" s="4">
        <f>[1]卡维力!$J33</f>
        <v>3800</v>
      </c>
      <c r="L820" s="30">
        <v>800</v>
      </c>
      <c r="M820" s="4">
        <f>[1]卡维力!E33</f>
        <v>492</v>
      </c>
      <c r="N820" s="4">
        <f>[1]卡维力!F33</f>
        <v>191</v>
      </c>
      <c r="O820" s="4">
        <f>[1]卡维力!G33</f>
        <v>4280</v>
      </c>
      <c r="P820" s="4">
        <v>0</v>
      </c>
      <c r="Q820" s="4">
        <f>[1]卡维力!H33</f>
        <v>1590</v>
      </c>
      <c r="R820" s="4">
        <v>2.5</v>
      </c>
      <c r="S820" s="4">
        <f>[1]卡维力!I33</f>
        <v>70</v>
      </c>
      <c r="T820" s="4">
        <v>0</v>
      </c>
      <c r="U820" s="4">
        <v>0</v>
      </c>
      <c r="V820" s="4">
        <v>0</v>
      </c>
    </row>
    <row r="821" spans="1:22" x14ac:dyDescent="0.15">
      <c r="A821" s="4" t="s">
        <v>2662</v>
      </c>
      <c r="D821" s="4">
        <v>51</v>
      </c>
      <c r="E821" s="4">
        <v>33</v>
      </c>
      <c r="H821" s="29">
        <v>1001</v>
      </c>
      <c r="I821" s="4">
        <f>[1]卡维力!$J34</f>
        <v>3890</v>
      </c>
      <c r="L821" s="30">
        <v>800</v>
      </c>
      <c r="M821" s="4">
        <f>[1]卡维力!E34</f>
        <v>504</v>
      </c>
      <c r="N821" s="4">
        <f>[1]卡维力!F34</f>
        <v>197</v>
      </c>
      <c r="O821" s="4">
        <f>[1]卡维力!G34</f>
        <v>4360</v>
      </c>
      <c r="P821" s="4">
        <v>0</v>
      </c>
      <c r="Q821" s="4">
        <f>[1]卡维力!H34</f>
        <v>1600</v>
      </c>
      <c r="R821" s="4">
        <v>2.5</v>
      </c>
      <c r="S821" s="4">
        <f>[1]卡维力!I34</f>
        <v>72</v>
      </c>
      <c r="T821" s="4">
        <v>0</v>
      </c>
      <c r="U821" s="4">
        <v>0</v>
      </c>
      <c r="V821" s="4">
        <v>0</v>
      </c>
    </row>
    <row r="822" spans="1:22" x14ac:dyDescent="0.15">
      <c r="A822" s="4" t="s">
        <v>2662</v>
      </c>
      <c r="D822" s="4">
        <v>51</v>
      </c>
      <c r="E822" s="4">
        <v>34</v>
      </c>
      <c r="H822" s="29">
        <v>1001</v>
      </c>
      <c r="I822" s="4">
        <f>[1]卡维力!$J35</f>
        <v>3980</v>
      </c>
      <c r="L822" s="30">
        <v>800</v>
      </c>
      <c r="M822" s="4">
        <f>[1]卡维力!E35</f>
        <v>516</v>
      </c>
      <c r="N822" s="4">
        <f>[1]卡维力!F35</f>
        <v>203</v>
      </c>
      <c r="O822" s="4">
        <f>[1]卡维力!G35</f>
        <v>4440</v>
      </c>
      <c r="P822" s="4">
        <v>0</v>
      </c>
      <c r="Q822" s="4">
        <f>[1]卡维力!H35</f>
        <v>1610</v>
      </c>
      <c r="R822" s="4">
        <v>2.5</v>
      </c>
      <c r="S822" s="4">
        <f>[1]卡维力!I35</f>
        <v>74</v>
      </c>
      <c r="T822" s="4">
        <v>0</v>
      </c>
      <c r="U822" s="4">
        <v>0</v>
      </c>
      <c r="V822" s="4">
        <v>0</v>
      </c>
    </row>
    <row r="823" spans="1:22" x14ac:dyDescent="0.15">
      <c r="A823" s="4" t="s">
        <v>2662</v>
      </c>
      <c r="D823" s="4">
        <v>51</v>
      </c>
      <c r="E823" s="4">
        <v>35</v>
      </c>
      <c r="H823" s="29">
        <v>1001</v>
      </c>
      <c r="I823" s="4">
        <f>[1]卡维力!$J36</f>
        <v>4070</v>
      </c>
      <c r="L823" s="30">
        <v>800</v>
      </c>
      <c r="M823" s="4">
        <f>[1]卡维力!E36</f>
        <v>528</v>
      </c>
      <c r="N823" s="4">
        <f>[1]卡维力!F36</f>
        <v>209</v>
      </c>
      <c r="O823" s="4">
        <f>[1]卡维力!G36</f>
        <v>4520</v>
      </c>
      <c r="P823" s="4">
        <v>0</v>
      </c>
      <c r="Q823" s="4">
        <f>[1]卡维力!H36</f>
        <v>1620</v>
      </c>
      <c r="R823" s="4">
        <v>2.5</v>
      </c>
      <c r="S823" s="4">
        <f>[1]卡维力!I36</f>
        <v>76</v>
      </c>
      <c r="T823" s="4">
        <v>0</v>
      </c>
      <c r="U823" s="4">
        <v>0</v>
      </c>
      <c r="V823" s="4">
        <v>0</v>
      </c>
    </row>
    <row r="824" spans="1:22" x14ac:dyDescent="0.15">
      <c r="A824" s="4" t="s">
        <v>2662</v>
      </c>
      <c r="D824" s="4">
        <v>51</v>
      </c>
      <c r="E824" s="4">
        <v>36</v>
      </c>
      <c r="H824" s="29">
        <v>1001</v>
      </c>
      <c r="I824" s="4">
        <f>[1]卡维力!$J37</f>
        <v>4161</v>
      </c>
      <c r="L824" s="30">
        <v>800</v>
      </c>
      <c r="M824" s="4">
        <f>[1]卡维力!E37</f>
        <v>540</v>
      </c>
      <c r="N824" s="4">
        <f>[1]卡维力!F37</f>
        <v>215</v>
      </c>
      <c r="O824" s="4">
        <f>[1]卡维力!G37</f>
        <v>4600</v>
      </c>
      <c r="P824" s="4">
        <v>0</v>
      </c>
      <c r="Q824" s="4">
        <f>[1]卡维力!H37</f>
        <v>1630</v>
      </c>
      <c r="R824" s="4">
        <v>2.5</v>
      </c>
      <c r="S824" s="4">
        <f>[1]卡维力!I37</f>
        <v>78</v>
      </c>
      <c r="T824" s="4">
        <v>0</v>
      </c>
      <c r="U824" s="4">
        <v>0</v>
      </c>
      <c r="V824" s="4">
        <v>0</v>
      </c>
    </row>
    <row r="825" spans="1:22" x14ac:dyDescent="0.15">
      <c r="A825" s="4" t="s">
        <v>2662</v>
      </c>
      <c r="D825" s="4">
        <v>51</v>
      </c>
      <c r="E825" s="4">
        <v>37</v>
      </c>
      <c r="H825" s="29">
        <v>1001</v>
      </c>
      <c r="I825" s="4">
        <f>[1]卡维力!$J38</f>
        <v>4251</v>
      </c>
      <c r="L825" s="30">
        <v>800</v>
      </c>
      <c r="M825" s="4">
        <f>[1]卡维力!E38</f>
        <v>552</v>
      </c>
      <c r="N825" s="4">
        <f>[1]卡维力!F38</f>
        <v>221</v>
      </c>
      <c r="O825" s="4">
        <f>[1]卡维力!G38</f>
        <v>4680</v>
      </c>
      <c r="P825" s="4">
        <v>0</v>
      </c>
      <c r="Q825" s="4">
        <f>[1]卡维力!H38</f>
        <v>1640</v>
      </c>
      <c r="R825" s="4">
        <v>2.5</v>
      </c>
      <c r="S825" s="4">
        <f>[1]卡维力!I38</f>
        <v>80</v>
      </c>
      <c r="T825" s="4">
        <v>0</v>
      </c>
      <c r="U825" s="4">
        <v>0</v>
      </c>
      <c r="V825" s="4">
        <v>0</v>
      </c>
    </row>
    <row r="826" spans="1:22" x14ac:dyDescent="0.15">
      <c r="A826" s="4" t="s">
        <v>2662</v>
      </c>
      <c r="D826" s="4">
        <v>51</v>
      </c>
      <c r="E826" s="4">
        <v>38</v>
      </c>
      <c r="H826" s="29">
        <v>1001</v>
      </c>
      <c r="I826" s="4">
        <f>[1]卡维力!$J39</f>
        <v>4341</v>
      </c>
      <c r="L826" s="30">
        <v>800</v>
      </c>
      <c r="M826" s="4">
        <f>[1]卡维力!E39</f>
        <v>564</v>
      </c>
      <c r="N826" s="4">
        <f>[1]卡维力!F39</f>
        <v>227</v>
      </c>
      <c r="O826" s="4">
        <f>[1]卡维力!G39</f>
        <v>4760</v>
      </c>
      <c r="P826" s="4">
        <v>0</v>
      </c>
      <c r="Q826" s="4">
        <f>[1]卡维力!H39</f>
        <v>1650</v>
      </c>
      <c r="R826" s="4">
        <v>2.5</v>
      </c>
      <c r="S826" s="4">
        <f>[1]卡维力!I39</f>
        <v>82</v>
      </c>
      <c r="T826" s="4">
        <v>0</v>
      </c>
      <c r="U826" s="4">
        <v>0</v>
      </c>
      <c r="V826" s="4">
        <v>0</v>
      </c>
    </row>
    <row r="827" spans="1:22" x14ac:dyDescent="0.15">
      <c r="A827" s="4" t="s">
        <v>2662</v>
      </c>
      <c r="D827" s="4">
        <v>51</v>
      </c>
      <c r="E827" s="4">
        <v>39</v>
      </c>
      <c r="H827" s="29">
        <v>1001</v>
      </c>
      <c r="I827" s="4">
        <f>[1]卡维力!$J40</f>
        <v>4431</v>
      </c>
      <c r="L827" s="30">
        <v>800</v>
      </c>
      <c r="M827" s="4">
        <f>[1]卡维力!E40</f>
        <v>576</v>
      </c>
      <c r="N827" s="4">
        <f>[1]卡维力!F40</f>
        <v>233</v>
      </c>
      <c r="O827" s="4">
        <f>[1]卡维力!G40</f>
        <v>4840</v>
      </c>
      <c r="P827" s="4">
        <v>0</v>
      </c>
      <c r="Q827" s="4">
        <f>[1]卡维力!H40</f>
        <v>1660</v>
      </c>
      <c r="R827" s="4">
        <v>2.5</v>
      </c>
      <c r="S827" s="4">
        <f>[1]卡维力!I40</f>
        <v>84</v>
      </c>
      <c r="T827" s="4">
        <v>0</v>
      </c>
      <c r="U827" s="4">
        <v>0</v>
      </c>
      <c r="V827" s="4">
        <v>0</v>
      </c>
    </row>
    <row r="828" spans="1:22" x14ac:dyDescent="0.15">
      <c r="A828" s="4" t="s">
        <v>2662</v>
      </c>
      <c r="D828" s="4">
        <v>51</v>
      </c>
      <c r="E828" s="4">
        <v>40</v>
      </c>
      <c r="H828" s="29">
        <v>1001</v>
      </c>
      <c r="I828" s="4">
        <f>[1]卡维力!$J41</f>
        <v>4521</v>
      </c>
      <c r="L828" s="30">
        <v>800</v>
      </c>
      <c r="M828" s="4">
        <f>[1]卡维力!E41</f>
        <v>588</v>
      </c>
      <c r="N828" s="4">
        <f>[1]卡维力!F41</f>
        <v>239</v>
      </c>
      <c r="O828" s="4">
        <f>[1]卡维力!G41</f>
        <v>4920</v>
      </c>
      <c r="P828" s="4">
        <v>0</v>
      </c>
      <c r="Q828" s="4">
        <f>[1]卡维力!H41</f>
        <v>1670</v>
      </c>
      <c r="R828" s="4">
        <v>2.5</v>
      </c>
      <c r="S828" s="4">
        <f>[1]卡维力!I41</f>
        <v>86</v>
      </c>
      <c r="T828" s="4">
        <v>0</v>
      </c>
      <c r="U828" s="4">
        <v>0</v>
      </c>
      <c r="V828" s="4">
        <v>0</v>
      </c>
    </row>
    <row r="829" spans="1:22" x14ac:dyDescent="0.15">
      <c r="A829" s="4" t="s">
        <v>2662</v>
      </c>
      <c r="D829" s="4">
        <v>51</v>
      </c>
      <c r="E829" s="4">
        <v>41</v>
      </c>
      <c r="H829" s="29">
        <v>1001</v>
      </c>
      <c r="I829" s="4">
        <f>[1]卡维力!$J42</f>
        <v>4612</v>
      </c>
      <c r="L829" s="30">
        <v>800</v>
      </c>
      <c r="M829" s="4">
        <f>[1]卡维力!E42</f>
        <v>600</v>
      </c>
      <c r="N829" s="4">
        <f>[1]卡维力!F42</f>
        <v>245</v>
      </c>
      <c r="O829" s="4">
        <f>[1]卡维力!G42</f>
        <v>5000</v>
      </c>
      <c r="P829" s="4">
        <v>0</v>
      </c>
      <c r="Q829" s="4">
        <f>[1]卡维力!H42</f>
        <v>1680</v>
      </c>
      <c r="R829" s="4">
        <v>2.5</v>
      </c>
      <c r="S829" s="4">
        <f>[1]卡维力!I42</f>
        <v>88</v>
      </c>
      <c r="T829" s="4">
        <v>0</v>
      </c>
      <c r="U829" s="4">
        <v>0</v>
      </c>
      <c r="V829" s="4">
        <v>0</v>
      </c>
    </row>
    <row r="830" spans="1:22" x14ac:dyDescent="0.15">
      <c r="A830" s="4" t="s">
        <v>2662</v>
      </c>
      <c r="D830" s="4">
        <v>51</v>
      </c>
      <c r="E830" s="4">
        <v>42</v>
      </c>
      <c r="H830" s="29">
        <v>1001</v>
      </c>
      <c r="I830" s="4">
        <f>[1]卡维力!$J43</f>
        <v>4702</v>
      </c>
      <c r="L830" s="30">
        <v>800</v>
      </c>
      <c r="M830" s="4">
        <f>[1]卡维力!E43</f>
        <v>612</v>
      </c>
      <c r="N830" s="4">
        <f>[1]卡维力!F43</f>
        <v>251</v>
      </c>
      <c r="O830" s="4">
        <f>[1]卡维力!G43</f>
        <v>5080</v>
      </c>
      <c r="P830" s="4">
        <v>0</v>
      </c>
      <c r="Q830" s="4">
        <f>[1]卡维力!H43</f>
        <v>1690</v>
      </c>
      <c r="R830" s="4">
        <v>2.5</v>
      </c>
      <c r="S830" s="4">
        <f>[1]卡维力!I43</f>
        <v>90</v>
      </c>
      <c r="T830" s="4">
        <v>0</v>
      </c>
      <c r="U830" s="4">
        <v>0</v>
      </c>
      <c r="V830" s="4">
        <v>0</v>
      </c>
    </row>
    <row r="831" spans="1:22" x14ac:dyDescent="0.15">
      <c r="A831" s="4" t="s">
        <v>2662</v>
      </c>
      <c r="D831" s="4">
        <v>51</v>
      </c>
      <c r="E831" s="4">
        <v>43</v>
      </c>
      <c r="H831" s="29">
        <v>1001</v>
      </c>
      <c r="I831" s="4">
        <f>[1]卡维力!$J44</f>
        <v>4792</v>
      </c>
      <c r="L831" s="30">
        <v>800</v>
      </c>
      <c r="M831" s="4">
        <f>[1]卡维力!E44</f>
        <v>624</v>
      </c>
      <c r="N831" s="4">
        <f>[1]卡维力!F44</f>
        <v>257</v>
      </c>
      <c r="O831" s="4">
        <f>[1]卡维力!G44</f>
        <v>5160</v>
      </c>
      <c r="P831" s="4">
        <v>0</v>
      </c>
      <c r="Q831" s="4">
        <f>[1]卡维力!H44</f>
        <v>1700</v>
      </c>
      <c r="R831" s="4">
        <v>2.5</v>
      </c>
      <c r="S831" s="4">
        <f>[1]卡维力!I44</f>
        <v>92</v>
      </c>
      <c r="T831" s="4">
        <v>0</v>
      </c>
      <c r="U831" s="4">
        <v>0</v>
      </c>
      <c r="V831" s="4">
        <v>0</v>
      </c>
    </row>
    <row r="832" spans="1:22" x14ac:dyDescent="0.15">
      <c r="A832" s="4" t="s">
        <v>2662</v>
      </c>
      <c r="D832" s="4">
        <v>51</v>
      </c>
      <c r="E832" s="4">
        <v>44</v>
      </c>
      <c r="H832" s="29">
        <v>1001</v>
      </c>
      <c r="I832" s="4">
        <f>[1]卡维力!$J45</f>
        <v>4882</v>
      </c>
      <c r="L832" s="30">
        <v>800</v>
      </c>
      <c r="M832" s="4">
        <f>[1]卡维力!E45</f>
        <v>636</v>
      </c>
      <c r="N832" s="4">
        <f>[1]卡维力!F45</f>
        <v>263</v>
      </c>
      <c r="O832" s="4">
        <f>[1]卡维力!G45</f>
        <v>5240</v>
      </c>
      <c r="P832" s="4">
        <v>0</v>
      </c>
      <c r="Q832" s="4">
        <f>[1]卡维力!H45</f>
        <v>1710</v>
      </c>
      <c r="R832" s="4">
        <v>2.5</v>
      </c>
      <c r="S832" s="4">
        <f>[1]卡维力!I45</f>
        <v>94</v>
      </c>
      <c r="T832" s="4">
        <v>0</v>
      </c>
      <c r="U832" s="4">
        <v>0</v>
      </c>
      <c r="V832" s="4">
        <v>0</v>
      </c>
    </row>
    <row r="833" spans="1:22" x14ac:dyDescent="0.15">
      <c r="A833" s="4" t="s">
        <v>2662</v>
      </c>
      <c r="D833" s="4">
        <v>51</v>
      </c>
      <c r="E833" s="4">
        <v>45</v>
      </c>
      <c r="H833" s="29">
        <v>1001</v>
      </c>
      <c r="I833" s="4">
        <f>[1]卡维力!$J46</f>
        <v>4972</v>
      </c>
      <c r="L833" s="30">
        <v>800</v>
      </c>
      <c r="M833" s="4">
        <f>[1]卡维力!E46</f>
        <v>648</v>
      </c>
      <c r="N833" s="4">
        <f>[1]卡维力!F46</f>
        <v>269</v>
      </c>
      <c r="O833" s="4">
        <f>[1]卡维力!G46</f>
        <v>5320</v>
      </c>
      <c r="P833" s="4">
        <v>0</v>
      </c>
      <c r="Q833" s="4">
        <f>[1]卡维力!H46</f>
        <v>1720</v>
      </c>
      <c r="R833" s="4">
        <v>2.5</v>
      </c>
      <c r="S833" s="4">
        <f>[1]卡维力!I46</f>
        <v>96</v>
      </c>
      <c r="T833" s="4">
        <v>0</v>
      </c>
      <c r="U833" s="4">
        <v>0</v>
      </c>
      <c r="V833" s="4">
        <v>0</v>
      </c>
    </row>
    <row r="834" spans="1:22" x14ac:dyDescent="0.15">
      <c r="A834" s="4" t="s">
        <v>2662</v>
      </c>
      <c r="D834" s="4">
        <v>51</v>
      </c>
      <c r="E834" s="4">
        <v>46</v>
      </c>
      <c r="H834" s="29">
        <v>1001</v>
      </c>
      <c r="I834" s="4">
        <f>[1]卡维力!$J47</f>
        <v>5063</v>
      </c>
      <c r="L834" s="30">
        <v>800</v>
      </c>
      <c r="M834" s="4">
        <f>[1]卡维力!E47</f>
        <v>660</v>
      </c>
      <c r="N834" s="4">
        <f>[1]卡维力!F47</f>
        <v>275</v>
      </c>
      <c r="O834" s="4">
        <f>[1]卡维力!G47</f>
        <v>5400</v>
      </c>
      <c r="P834" s="4">
        <v>0</v>
      </c>
      <c r="Q834" s="4">
        <f>[1]卡维力!H47</f>
        <v>1730</v>
      </c>
      <c r="R834" s="4">
        <v>2.5</v>
      </c>
      <c r="S834" s="4">
        <f>[1]卡维力!I47</f>
        <v>98</v>
      </c>
      <c r="T834" s="4">
        <v>0</v>
      </c>
      <c r="U834" s="4">
        <v>0</v>
      </c>
      <c r="V834" s="4">
        <v>0</v>
      </c>
    </row>
    <row r="835" spans="1:22" x14ac:dyDescent="0.15">
      <c r="A835" s="4" t="s">
        <v>2662</v>
      </c>
      <c r="D835" s="4">
        <v>51</v>
      </c>
      <c r="E835" s="4">
        <v>47</v>
      </c>
      <c r="H835" s="29">
        <v>1001</v>
      </c>
      <c r="I835" s="4">
        <f>[1]卡维力!$J48</f>
        <v>5153</v>
      </c>
      <c r="L835" s="30">
        <v>800</v>
      </c>
      <c r="M835" s="4">
        <f>[1]卡维力!E48</f>
        <v>672</v>
      </c>
      <c r="N835" s="4">
        <f>[1]卡维力!F48</f>
        <v>281</v>
      </c>
      <c r="O835" s="4">
        <f>[1]卡维力!G48</f>
        <v>5480</v>
      </c>
      <c r="P835" s="4">
        <v>0</v>
      </c>
      <c r="Q835" s="4">
        <f>[1]卡维力!H48</f>
        <v>1740</v>
      </c>
      <c r="R835" s="4">
        <v>2.5</v>
      </c>
      <c r="S835" s="4">
        <f>[1]卡维力!I48</f>
        <v>100</v>
      </c>
      <c r="T835" s="4">
        <v>0</v>
      </c>
      <c r="U835" s="4">
        <v>0</v>
      </c>
      <c r="V835" s="4">
        <v>0</v>
      </c>
    </row>
    <row r="836" spans="1:22" x14ac:dyDescent="0.15">
      <c r="A836" s="4" t="s">
        <v>2662</v>
      </c>
      <c r="D836" s="4">
        <v>51</v>
      </c>
      <c r="E836" s="4">
        <v>48</v>
      </c>
      <c r="H836" s="29">
        <v>1001</v>
      </c>
      <c r="I836" s="4">
        <f>[1]卡维力!$J49</f>
        <v>5243</v>
      </c>
      <c r="L836" s="30">
        <v>800</v>
      </c>
      <c r="M836" s="4">
        <f>[1]卡维力!E49</f>
        <v>684</v>
      </c>
      <c r="N836" s="4">
        <f>[1]卡维力!F49</f>
        <v>287</v>
      </c>
      <c r="O836" s="4">
        <f>[1]卡维力!G49</f>
        <v>5560</v>
      </c>
      <c r="P836" s="4">
        <v>0</v>
      </c>
      <c r="Q836" s="4">
        <f>[1]卡维力!H49</f>
        <v>1750</v>
      </c>
      <c r="R836" s="4">
        <v>2.5</v>
      </c>
      <c r="S836" s="4">
        <f>[1]卡维力!I49</f>
        <v>102</v>
      </c>
      <c r="T836" s="4">
        <v>0</v>
      </c>
      <c r="U836" s="4">
        <v>0</v>
      </c>
      <c r="V836" s="4">
        <v>0</v>
      </c>
    </row>
    <row r="837" spans="1:22" x14ac:dyDescent="0.15">
      <c r="A837" s="4" t="s">
        <v>2662</v>
      </c>
      <c r="D837" s="4">
        <v>51</v>
      </c>
      <c r="E837" s="4">
        <v>49</v>
      </c>
      <c r="H837" s="29">
        <v>1001</v>
      </c>
      <c r="I837" s="4">
        <f>[1]卡维力!$J50</f>
        <v>5333</v>
      </c>
      <c r="L837" s="30">
        <v>800</v>
      </c>
      <c r="M837" s="4">
        <f>[1]卡维力!E50</f>
        <v>696</v>
      </c>
      <c r="N837" s="4">
        <f>[1]卡维力!F50</f>
        <v>293</v>
      </c>
      <c r="O837" s="4">
        <f>[1]卡维力!G50</f>
        <v>5640</v>
      </c>
      <c r="P837" s="4">
        <v>0</v>
      </c>
      <c r="Q837" s="4">
        <f>[1]卡维力!H50</f>
        <v>1760</v>
      </c>
      <c r="R837" s="4">
        <v>2.5</v>
      </c>
      <c r="S837" s="4">
        <f>[1]卡维力!I50</f>
        <v>104</v>
      </c>
      <c r="T837" s="4">
        <v>0</v>
      </c>
      <c r="U837" s="4">
        <v>0</v>
      </c>
      <c r="V837" s="4">
        <v>0</v>
      </c>
    </row>
    <row r="838" spans="1:22" x14ac:dyDescent="0.15">
      <c r="A838" s="4" t="s">
        <v>2662</v>
      </c>
      <c r="D838" s="4">
        <v>51</v>
      </c>
      <c r="E838" s="4">
        <v>50</v>
      </c>
      <c r="H838" s="29">
        <v>1001</v>
      </c>
      <c r="I838" s="4">
        <f>[1]卡维力!$J51</f>
        <v>5423</v>
      </c>
      <c r="L838" s="30">
        <v>800</v>
      </c>
      <c r="M838" s="4">
        <f>[1]卡维力!E51</f>
        <v>708</v>
      </c>
      <c r="N838" s="4">
        <f>[1]卡维力!F51</f>
        <v>299</v>
      </c>
      <c r="O838" s="4">
        <f>[1]卡维力!G51</f>
        <v>5720</v>
      </c>
      <c r="P838" s="4">
        <v>0</v>
      </c>
      <c r="Q838" s="4">
        <f>[1]卡维力!H51</f>
        <v>1770</v>
      </c>
      <c r="R838" s="4">
        <v>2.5</v>
      </c>
      <c r="S838" s="4">
        <f>[1]卡维力!I51</f>
        <v>106</v>
      </c>
      <c r="T838" s="4">
        <v>0</v>
      </c>
      <c r="U838" s="4">
        <v>0</v>
      </c>
      <c r="V838" s="4">
        <v>0</v>
      </c>
    </row>
    <row r="839" spans="1:22" x14ac:dyDescent="0.15">
      <c r="I839" s="4"/>
    </row>
    <row r="840" spans="1:22" x14ac:dyDescent="0.15">
      <c r="A840" s="4" t="s">
        <v>2662</v>
      </c>
      <c r="C840" s="4" t="s">
        <v>3094</v>
      </c>
      <c r="D840" s="4">
        <f>D788+1</f>
        <v>52</v>
      </c>
      <c r="E840" s="4">
        <v>0</v>
      </c>
      <c r="H840" s="29">
        <v>1000</v>
      </c>
      <c r="I840" s="31">
        <v>399</v>
      </c>
      <c r="M840" s="4">
        <v>0</v>
      </c>
      <c r="N840" s="4">
        <v>0</v>
      </c>
      <c r="O840" s="4">
        <v>0</v>
      </c>
      <c r="P840" s="4">
        <v>0</v>
      </c>
      <c r="Q840" s="4">
        <v>0</v>
      </c>
      <c r="R840" s="4">
        <v>0</v>
      </c>
      <c r="S840" s="4">
        <v>0</v>
      </c>
      <c r="T840" s="4">
        <v>0</v>
      </c>
      <c r="U840" s="4">
        <v>0</v>
      </c>
      <c r="V840" s="4">
        <v>0</v>
      </c>
    </row>
    <row r="841" spans="1:22" x14ac:dyDescent="0.15">
      <c r="A841" s="4" t="s">
        <v>2662</v>
      </c>
      <c r="D841" s="4">
        <f t="shared" ref="D841:D890" si="10">D789+1</f>
        <v>52</v>
      </c>
      <c r="E841" s="4">
        <v>1</v>
      </c>
      <c r="H841" s="29">
        <v>1001</v>
      </c>
      <c r="I841" s="4">
        <f>[1]卡维力!$S2</f>
        <v>2044</v>
      </c>
      <c r="L841" s="30">
        <v>800</v>
      </c>
      <c r="M841" s="4">
        <f>[1]卡维力!N2</f>
        <v>259</v>
      </c>
      <c r="N841" s="4">
        <f>[1]卡维力!O2</f>
        <v>8</v>
      </c>
      <c r="O841" s="4">
        <f>[1]卡维力!P2</f>
        <v>3379</v>
      </c>
      <c r="P841" s="4">
        <v>0</v>
      </c>
      <c r="Q841" s="4">
        <f>[1]卡维力!Q2</f>
        <v>2195</v>
      </c>
      <c r="R841" s="4">
        <v>2.5</v>
      </c>
      <c r="S841" s="4">
        <f>[1]卡维力!R2</f>
        <v>13</v>
      </c>
      <c r="T841" s="4">
        <v>0</v>
      </c>
      <c r="U841" s="4">
        <v>0</v>
      </c>
      <c r="V841" s="4">
        <v>0</v>
      </c>
    </row>
    <row r="842" spans="1:22" x14ac:dyDescent="0.15">
      <c r="A842" s="4" t="s">
        <v>2662</v>
      </c>
      <c r="D842" s="4">
        <f t="shared" si="10"/>
        <v>52</v>
      </c>
      <c r="E842" s="4">
        <v>2</v>
      </c>
      <c r="H842" s="29">
        <v>1001</v>
      </c>
      <c r="I842" s="4">
        <f>[1]卡维力!$S3</f>
        <v>2158</v>
      </c>
      <c r="L842" s="30">
        <v>800</v>
      </c>
      <c r="M842" s="4">
        <f>[1]卡维力!N3</f>
        <v>275</v>
      </c>
      <c r="N842" s="4">
        <f>[1]卡维力!O3</f>
        <v>14</v>
      </c>
      <c r="O842" s="4">
        <f>[1]卡维力!P3</f>
        <v>3479</v>
      </c>
      <c r="P842" s="4">
        <v>0</v>
      </c>
      <c r="Q842" s="4">
        <f>[1]卡维力!Q3</f>
        <v>2205</v>
      </c>
      <c r="R842" s="4">
        <v>2.5</v>
      </c>
      <c r="S842" s="4">
        <f>[1]卡维力!R3</f>
        <v>15</v>
      </c>
      <c r="T842" s="4">
        <v>0</v>
      </c>
      <c r="U842" s="4">
        <v>0</v>
      </c>
      <c r="V842" s="4">
        <v>0</v>
      </c>
    </row>
    <row r="843" spans="1:22" x14ac:dyDescent="0.15">
      <c r="A843" s="4" t="s">
        <v>2662</v>
      </c>
      <c r="D843" s="4">
        <f t="shared" si="10"/>
        <v>52</v>
      </c>
      <c r="E843" s="4">
        <v>3</v>
      </c>
      <c r="H843" s="29">
        <v>1001</v>
      </c>
      <c r="I843" s="4">
        <f>[1]卡维力!$S4</f>
        <v>2272</v>
      </c>
      <c r="L843" s="30">
        <v>800</v>
      </c>
      <c r="M843" s="4">
        <f>[1]卡维力!N4</f>
        <v>291</v>
      </c>
      <c r="N843" s="4">
        <f>[1]卡维力!O4</f>
        <v>20</v>
      </c>
      <c r="O843" s="4">
        <f>[1]卡维力!P4</f>
        <v>3579</v>
      </c>
      <c r="P843" s="4">
        <v>0</v>
      </c>
      <c r="Q843" s="4">
        <f>[1]卡维力!Q4</f>
        <v>2215</v>
      </c>
      <c r="R843" s="4">
        <v>2.5</v>
      </c>
      <c r="S843" s="4">
        <f>[1]卡维力!R4</f>
        <v>17</v>
      </c>
      <c r="T843" s="4">
        <v>0</v>
      </c>
      <c r="U843" s="4">
        <v>0</v>
      </c>
      <c r="V843" s="4">
        <v>0</v>
      </c>
    </row>
    <row r="844" spans="1:22" x14ac:dyDescent="0.15">
      <c r="A844" s="4" t="s">
        <v>2662</v>
      </c>
      <c r="D844" s="4">
        <f t="shared" si="10"/>
        <v>52</v>
      </c>
      <c r="E844" s="4">
        <v>4</v>
      </c>
      <c r="H844" s="29">
        <v>1001</v>
      </c>
      <c r="I844" s="4">
        <f>[1]卡维力!$S5</f>
        <v>2386</v>
      </c>
      <c r="L844" s="30">
        <v>800</v>
      </c>
      <c r="M844" s="4">
        <f>[1]卡维力!N5</f>
        <v>307</v>
      </c>
      <c r="N844" s="4">
        <f>[1]卡维力!O5</f>
        <v>26</v>
      </c>
      <c r="O844" s="4">
        <f>[1]卡维力!P5</f>
        <v>3679</v>
      </c>
      <c r="P844" s="4">
        <v>0</v>
      </c>
      <c r="Q844" s="4">
        <f>[1]卡维力!Q5</f>
        <v>2225</v>
      </c>
      <c r="R844" s="4">
        <v>2.5</v>
      </c>
      <c r="S844" s="4">
        <f>[1]卡维力!R5</f>
        <v>19</v>
      </c>
      <c r="T844" s="4">
        <v>0</v>
      </c>
      <c r="U844" s="4">
        <v>0</v>
      </c>
      <c r="V844" s="4">
        <v>0</v>
      </c>
    </row>
    <row r="845" spans="1:22" x14ac:dyDescent="0.15">
      <c r="A845" s="4" t="s">
        <v>2662</v>
      </c>
      <c r="D845" s="4">
        <f t="shared" si="10"/>
        <v>52</v>
      </c>
      <c r="E845" s="4">
        <v>5</v>
      </c>
      <c r="H845" s="29">
        <v>1001</v>
      </c>
      <c r="I845" s="4">
        <f>[1]卡维力!$S6</f>
        <v>2501</v>
      </c>
      <c r="L845" s="30">
        <v>800</v>
      </c>
      <c r="M845" s="4">
        <f>[1]卡维力!N6</f>
        <v>323</v>
      </c>
      <c r="N845" s="4">
        <f>[1]卡维力!O6</f>
        <v>32</v>
      </c>
      <c r="O845" s="4">
        <f>[1]卡维力!P6</f>
        <v>3779</v>
      </c>
      <c r="P845" s="4">
        <v>0</v>
      </c>
      <c r="Q845" s="4">
        <f>[1]卡维力!Q6</f>
        <v>2235</v>
      </c>
      <c r="R845" s="4">
        <v>2.5</v>
      </c>
      <c r="S845" s="4">
        <f>[1]卡维力!R6</f>
        <v>21</v>
      </c>
      <c r="T845" s="4">
        <v>0</v>
      </c>
      <c r="U845" s="4">
        <v>0</v>
      </c>
      <c r="V845" s="4">
        <v>0</v>
      </c>
    </row>
    <row r="846" spans="1:22" x14ac:dyDescent="0.15">
      <c r="A846" s="4" t="s">
        <v>2662</v>
      </c>
      <c r="D846" s="4">
        <f t="shared" si="10"/>
        <v>52</v>
      </c>
      <c r="E846" s="4">
        <v>6</v>
      </c>
      <c r="H846" s="29">
        <v>1001</v>
      </c>
      <c r="I846" s="4">
        <f>[1]卡维力!$S7</f>
        <v>2615</v>
      </c>
      <c r="L846" s="30">
        <v>800</v>
      </c>
      <c r="M846" s="4">
        <f>[1]卡维力!N7</f>
        <v>339</v>
      </c>
      <c r="N846" s="4">
        <f>[1]卡维力!O7</f>
        <v>38</v>
      </c>
      <c r="O846" s="4">
        <f>[1]卡维力!P7</f>
        <v>3879</v>
      </c>
      <c r="P846" s="4">
        <v>0</v>
      </c>
      <c r="Q846" s="4">
        <f>[1]卡维力!Q7</f>
        <v>2245</v>
      </c>
      <c r="R846" s="4">
        <v>2.5</v>
      </c>
      <c r="S846" s="4">
        <f>[1]卡维力!R7</f>
        <v>23</v>
      </c>
      <c r="T846" s="4">
        <v>0</v>
      </c>
      <c r="U846" s="4">
        <v>0</v>
      </c>
      <c r="V846" s="4">
        <v>0</v>
      </c>
    </row>
    <row r="847" spans="1:22" x14ac:dyDescent="0.15">
      <c r="A847" s="4" t="s">
        <v>2662</v>
      </c>
      <c r="D847" s="4">
        <f t="shared" si="10"/>
        <v>52</v>
      </c>
      <c r="E847" s="4">
        <v>7</v>
      </c>
      <c r="H847" s="29">
        <v>1001</v>
      </c>
      <c r="I847" s="4">
        <f>[1]卡维力!$S8</f>
        <v>2729</v>
      </c>
      <c r="L847" s="30">
        <v>800</v>
      </c>
      <c r="M847" s="4">
        <f>[1]卡维力!N8</f>
        <v>355</v>
      </c>
      <c r="N847" s="4">
        <f>[1]卡维力!O8</f>
        <v>44</v>
      </c>
      <c r="O847" s="4">
        <f>[1]卡维力!P8</f>
        <v>3979</v>
      </c>
      <c r="P847" s="4">
        <v>0</v>
      </c>
      <c r="Q847" s="4">
        <f>[1]卡维力!Q8</f>
        <v>2255</v>
      </c>
      <c r="R847" s="4">
        <v>2.5</v>
      </c>
      <c r="S847" s="4">
        <f>[1]卡维力!R8</f>
        <v>25</v>
      </c>
      <c r="T847" s="4">
        <v>0</v>
      </c>
      <c r="U847" s="4">
        <v>0</v>
      </c>
      <c r="V847" s="4">
        <v>0</v>
      </c>
    </row>
    <row r="848" spans="1:22" x14ac:dyDescent="0.15">
      <c r="A848" s="4" t="s">
        <v>2662</v>
      </c>
      <c r="D848" s="4">
        <f t="shared" si="10"/>
        <v>52</v>
      </c>
      <c r="E848" s="4">
        <v>8</v>
      </c>
      <c r="H848" s="29">
        <v>1001</v>
      </c>
      <c r="I848" s="4">
        <f>[1]卡维力!$S9</f>
        <v>2843</v>
      </c>
      <c r="L848" s="30">
        <v>800</v>
      </c>
      <c r="M848" s="4">
        <f>[1]卡维力!N9</f>
        <v>371</v>
      </c>
      <c r="N848" s="4">
        <f>[1]卡维力!O9</f>
        <v>50</v>
      </c>
      <c r="O848" s="4">
        <f>[1]卡维力!P9</f>
        <v>4079</v>
      </c>
      <c r="P848" s="4">
        <v>0</v>
      </c>
      <c r="Q848" s="4">
        <f>[1]卡维力!Q9</f>
        <v>2265</v>
      </c>
      <c r="R848" s="4">
        <v>2.5</v>
      </c>
      <c r="S848" s="4">
        <f>[1]卡维力!R9</f>
        <v>27</v>
      </c>
      <c r="T848" s="4">
        <v>0</v>
      </c>
      <c r="U848" s="4">
        <v>0</v>
      </c>
      <c r="V848" s="4">
        <v>0</v>
      </c>
    </row>
    <row r="849" spans="1:22" x14ac:dyDescent="0.15">
      <c r="A849" s="4" t="s">
        <v>2662</v>
      </c>
      <c r="D849" s="4">
        <f t="shared" si="10"/>
        <v>52</v>
      </c>
      <c r="E849" s="4">
        <v>9</v>
      </c>
      <c r="H849" s="29">
        <v>1001</v>
      </c>
      <c r="I849" s="4">
        <f>[1]卡维力!$S10</f>
        <v>2957</v>
      </c>
      <c r="L849" s="30">
        <v>800</v>
      </c>
      <c r="M849" s="4">
        <f>[1]卡维力!N10</f>
        <v>387</v>
      </c>
      <c r="N849" s="4">
        <f>[1]卡维力!O10</f>
        <v>56</v>
      </c>
      <c r="O849" s="4">
        <f>[1]卡维力!P10</f>
        <v>4179</v>
      </c>
      <c r="P849" s="4">
        <v>0</v>
      </c>
      <c r="Q849" s="4">
        <f>[1]卡维力!Q10</f>
        <v>2275</v>
      </c>
      <c r="R849" s="4">
        <v>2.5</v>
      </c>
      <c r="S849" s="4">
        <f>[1]卡维力!R10</f>
        <v>29</v>
      </c>
      <c r="T849" s="4">
        <v>0</v>
      </c>
      <c r="U849" s="4">
        <v>0</v>
      </c>
      <c r="V849" s="4">
        <v>0</v>
      </c>
    </row>
    <row r="850" spans="1:22" x14ac:dyDescent="0.15">
      <c r="A850" s="4" t="s">
        <v>2662</v>
      </c>
      <c r="D850" s="4">
        <f t="shared" si="10"/>
        <v>52</v>
      </c>
      <c r="E850" s="4">
        <v>10</v>
      </c>
      <c r="H850" s="29">
        <v>1001</v>
      </c>
      <c r="I850" s="4">
        <f>[1]卡维力!$S11</f>
        <v>3072</v>
      </c>
      <c r="L850" s="30">
        <v>800</v>
      </c>
      <c r="M850" s="4">
        <f>[1]卡维力!N11</f>
        <v>403</v>
      </c>
      <c r="N850" s="4">
        <f>[1]卡维力!O11</f>
        <v>62</v>
      </c>
      <c r="O850" s="4">
        <f>[1]卡维力!P11</f>
        <v>4279</v>
      </c>
      <c r="P850" s="4">
        <v>0</v>
      </c>
      <c r="Q850" s="4">
        <f>[1]卡维力!Q11</f>
        <v>2285</v>
      </c>
      <c r="R850" s="4">
        <v>2.5</v>
      </c>
      <c r="S850" s="4">
        <f>[1]卡维力!R11</f>
        <v>31</v>
      </c>
      <c r="T850" s="4">
        <v>0</v>
      </c>
      <c r="U850" s="4">
        <v>0</v>
      </c>
      <c r="V850" s="4">
        <v>0</v>
      </c>
    </row>
    <row r="851" spans="1:22" x14ac:dyDescent="0.15">
      <c r="A851" s="4" t="s">
        <v>2662</v>
      </c>
      <c r="D851" s="4">
        <f t="shared" si="10"/>
        <v>52</v>
      </c>
      <c r="E851" s="4">
        <v>11</v>
      </c>
      <c r="H851" s="29">
        <v>1001</v>
      </c>
      <c r="I851" s="4">
        <f>[1]卡维力!$S12</f>
        <v>3186</v>
      </c>
      <c r="L851" s="30">
        <v>800</v>
      </c>
      <c r="M851" s="4">
        <f>[1]卡维力!N12</f>
        <v>419</v>
      </c>
      <c r="N851" s="4">
        <f>[1]卡维力!O12</f>
        <v>68</v>
      </c>
      <c r="O851" s="4">
        <f>[1]卡维力!P12</f>
        <v>4379</v>
      </c>
      <c r="P851" s="4">
        <v>0</v>
      </c>
      <c r="Q851" s="4">
        <f>[1]卡维力!Q12</f>
        <v>2295</v>
      </c>
      <c r="R851" s="4">
        <v>2.5</v>
      </c>
      <c r="S851" s="4">
        <f>[1]卡维力!R12</f>
        <v>33</v>
      </c>
      <c r="T851" s="4">
        <v>0</v>
      </c>
      <c r="U851" s="4">
        <v>0</v>
      </c>
      <c r="V851" s="4">
        <v>0</v>
      </c>
    </row>
    <row r="852" spans="1:22" x14ac:dyDescent="0.15">
      <c r="A852" s="4" t="s">
        <v>2662</v>
      </c>
      <c r="D852" s="4">
        <f t="shared" si="10"/>
        <v>52</v>
      </c>
      <c r="E852" s="4">
        <v>12</v>
      </c>
      <c r="H852" s="29">
        <v>1001</v>
      </c>
      <c r="I852" s="4">
        <f>[1]卡维力!$S13</f>
        <v>3300</v>
      </c>
      <c r="L852" s="30">
        <v>800</v>
      </c>
      <c r="M852" s="4">
        <f>[1]卡维力!N13</f>
        <v>435</v>
      </c>
      <c r="N852" s="4">
        <f>[1]卡维力!O13</f>
        <v>74</v>
      </c>
      <c r="O852" s="4">
        <f>[1]卡维力!P13</f>
        <v>4479</v>
      </c>
      <c r="P852" s="4">
        <v>0</v>
      </c>
      <c r="Q852" s="4">
        <f>[1]卡维力!Q13</f>
        <v>2305</v>
      </c>
      <c r="R852" s="4">
        <v>2.5</v>
      </c>
      <c r="S852" s="4">
        <f>[1]卡维力!R13</f>
        <v>35</v>
      </c>
      <c r="T852" s="4">
        <v>0</v>
      </c>
      <c r="U852" s="4">
        <v>0</v>
      </c>
      <c r="V852" s="4">
        <v>0</v>
      </c>
    </row>
    <row r="853" spans="1:22" x14ac:dyDescent="0.15">
      <c r="A853" s="4" t="s">
        <v>2662</v>
      </c>
      <c r="D853" s="4">
        <f t="shared" si="10"/>
        <v>52</v>
      </c>
      <c r="E853" s="4">
        <v>13</v>
      </c>
      <c r="H853" s="29">
        <v>1001</v>
      </c>
      <c r="I853" s="4">
        <f>[1]卡维力!$S14</f>
        <v>3414</v>
      </c>
      <c r="L853" s="30">
        <v>800</v>
      </c>
      <c r="M853" s="4">
        <f>[1]卡维力!N14</f>
        <v>451</v>
      </c>
      <c r="N853" s="4">
        <f>[1]卡维力!O14</f>
        <v>80</v>
      </c>
      <c r="O853" s="4">
        <f>[1]卡维力!P14</f>
        <v>4579</v>
      </c>
      <c r="P853" s="4">
        <v>0</v>
      </c>
      <c r="Q853" s="4">
        <f>[1]卡维力!Q14</f>
        <v>2315</v>
      </c>
      <c r="R853" s="4">
        <v>2.5</v>
      </c>
      <c r="S853" s="4">
        <f>[1]卡维力!R14</f>
        <v>37</v>
      </c>
      <c r="T853" s="4">
        <v>0</v>
      </c>
      <c r="U853" s="4">
        <v>0</v>
      </c>
      <c r="V853" s="4">
        <v>0</v>
      </c>
    </row>
    <row r="854" spans="1:22" x14ac:dyDescent="0.15">
      <c r="A854" s="4" t="s">
        <v>2662</v>
      </c>
      <c r="D854" s="4">
        <f t="shared" si="10"/>
        <v>52</v>
      </c>
      <c r="E854" s="4">
        <v>14</v>
      </c>
      <c r="H854" s="29">
        <v>1001</v>
      </c>
      <c r="I854" s="4">
        <f>[1]卡维力!$S15</f>
        <v>3528</v>
      </c>
      <c r="L854" s="30">
        <v>800</v>
      </c>
      <c r="M854" s="4">
        <f>[1]卡维力!N15</f>
        <v>467</v>
      </c>
      <c r="N854" s="4">
        <f>[1]卡维力!O15</f>
        <v>86</v>
      </c>
      <c r="O854" s="4">
        <f>[1]卡维力!P15</f>
        <v>4679</v>
      </c>
      <c r="P854" s="4">
        <v>0</v>
      </c>
      <c r="Q854" s="4">
        <f>[1]卡维力!Q15</f>
        <v>2325</v>
      </c>
      <c r="R854" s="4">
        <v>2.5</v>
      </c>
      <c r="S854" s="4">
        <f>[1]卡维力!R15</f>
        <v>39</v>
      </c>
      <c r="T854" s="4">
        <v>0</v>
      </c>
      <c r="U854" s="4">
        <v>0</v>
      </c>
      <c r="V854" s="4">
        <v>0</v>
      </c>
    </row>
    <row r="855" spans="1:22" x14ac:dyDescent="0.15">
      <c r="A855" s="4" t="s">
        <v>2662</v>
      </c>
      <c r="D855" s="4">
        <f t="shared" si="10"/>
        <v>52</v>
      </c>
      <c r="E855" s="4">
        <v>15</v>
      </c>
      <c r="H855" s="29">
        <v>1001</v>
      </c>
      <c r="I855" s="4">
        <f>[1]卡维力!$S16</f>
        <v>3643</v>
      </c>
      <c r="L855" s="30">
        <v>800</v>
      </c>
      <c r="M855" s="4">
        <f>[1]卡维力!N16</f>
        <v>483</v>
      </c>
      <c r="N855" s="4">
        <f>[1]卡维力!O16</f>
        <v>92</v>
      </c>
      <c r="O855" s="4">
        <f>[1]卡维力!P16</f>
        <v>4779</v>
      </c>
      <c r="P855" s="4">
        <v>0</v>
      </c>
      <c r="Q855" s="4">
        <f>[1]卡维力!Q16</f>
        <v>2335</v>
      </c>
      <c r="R855" s="4">
        <v>2.5</v>
      </c>
      <c r="S855" s="4">
        <f>[1]卡维力!R16</f>
        <v>41</v>
      </c>
      <c r="T855" s="4">
        <v>0</v>
      </c>
      <c r="U855" s="4">
        <v>0</v>
      </c>
      <c r="V855" s="4">
        <v>0</v>
      </c>
    </row>
    <row r="856" spans="1:22" x14ac:dyDescent="0.15">
      <c r="A856" s="4" t="s">
        <v>2662</v>
      </c>
      <c r="D856" s="4">
        <f t="shared" si="10"/>
        <v>52</v>
      </c>
      <c r="E856" s="4">
        <v>16</v>
      </c>
      <c r="H856" s="29">
        <v>1001</v>
      </c>
      <c r="I856" s="4">
        <f>[1]卡维力!$S17</f>
        <v>3757</v>
      </c>
      <c r="L856" s="30">
        <v>800</v>
      </c>
      <c r="M856" s="4">
        <f>[1]卡维力!N17</f>
        <v>499</v>
      </c>
      <c r="N856" s="4">
        <f>[1]卡维力!O17</f>
        <v>98</v>
      </c>
      <c r="O856" s="4">
        <f>[1]卡维力!P17</f>
        <v>4879</v>
      </c>
      <c r="P856" s="4">
        <v>0</v>
      </c>
      <c r="Q856" s="4">
        <f>[1]卡维力!Q17</f>
        <v>2345</v>
      </c>
      <c r="R856" s="4">
        <v>2.5</v>
      </c>
      <c r="S856" s="4">
        <f>[1]卡维力!R17</f>
        <v>43</v>
      </c>
      <c r="T856" s="4">
        <v>0</v>
      </c>
      <c r="U856" s="4">
        <v>0</v>
      </c>
      <c r="V856" s="4">
        <v>0</v>
      </c>
    </row>
    <row r="857" spans="1:22" x14ac:dyDescent="0.15">
      <c r="A857" s="4" t="s">
        <v>2662</v>
      </c>
      <c r="D857" s="4">
        <f t="shared" si="10"/>
        <v>52</v>
      </c>
      <c r="E857" s="4">
        <v>17</v>
      </c>
      <c r="H857" s="29">
        <v>1001</v>
      </c>
      <c r="I857" s="4">
        <f>[1]卡维力!$S18</f>
        <v>3871</v>
      </c>
      <c r="L857" s="30">
        <v>800</v>
      </c>
      <c r="M857" s="4">
        <f>[1]卡维力!N18</f>
        <v>515</v>
      </c>
      <c r="N857" s="4">
        <f>[1]卡维力!O18</f>
        <v>104</v>
      </c>
      <c r="O857" s="4">
        <f>[1]卡维力!P18</f>
        <v>4979</v>
      </c>
      <c r="P857" s="4">
        <v>0</v>
      </c>
      <c r="Q857" s="4">
        <f>[1]卡维力!Q18</f>
        <v>2355</v>
      </c>
      <c r="R857" s="4">
        <v>2.5</v>
      </c>
      <c r="S857" s="4">
        <f>[1]卡维力!R18</f>
        <v>45</v>
      </c>
      <c r="T857" s="4">
        <v>0</v>
      </c>
      <c r="U857" s="4">
        <v>0</v>
      </c>
      <c r="V857" s="4">
        <v>0</v>
      </c>
    </row>
    <row r="858" spans="1:22" x14ac:dyDescent="0.15">
      <c r="A858" s="4" t="s">
        <v>2662</v>
      </c>
      <c r="D858" s="4">
        <f t="shared" si="10"/>
        <v>52</v>
      </c>
      <c r="E858" s="4">
        <v>18</v>
      </c>
      <c r="H858" s="29">
        <v>1001</v>
      </c>
      <c r="I858" s="4">
        <f>[1]卡维力!$S19</f>
        <v>3985</v>
      </c>
      <c r="L858" s="30">
        <v>800</v>
      </c>
      <c r="M858" s="4">
        <f>[1]卡维力!N19</f>
        <v>531</v>
      </c>
      <c r="N858" s="4">
        <f>[1]卡维力!O19</f>
        <v>110</v>
      </c>
      <c r="O858" s="4">
        <f>[1]卡维力!P19</f>
        <v>5079</v>
      </c>
      <c r="P858" s="4">
        <v>0</v>
      </c>
      <c r="Q858" s="4">
        <f>[1]卡维力!Q19</f>
        <v>2365</v>
      </c>
      <c r="R858" s="4">
        <v>2.5</v>
      </c>
      <c r="S858" s="4">
        <f>[1]卡维力!R19</f>
        <v>47</v>
      </c>
      <c r="T858" s="4">
        <v>0</v>
      </c>
      <c r="U858" s="4">
        <v>0</v>
      </c>
      <c r="V858" s="4">
        <v>0</v>
      </c>
    </row>
    <row r="859" spans="1:22" x14ac:dyDescent="0.15">
      <c r="A859" s="4" t="s">
        <v>2662</v>
      </c>
      <c r="D859" s="4">
        <f t="shared" si="10"/>
        <v>52</v>
      </c>
      <c r="E859" s="4">
        <v>19</v>
      </c>
      <c r="H859" s="29">
        <v>1001</v>
      </c>
      <c r="I859" s="4">
        <f>[1]卡维力!$S20</f>
        <v>4099</v>
      </c>
      <c r="L859" s="30">
        <v>800</v>
      </c>
      <c r="M859" s="4">
        <f>[1]卡维力!N20</f>
        <v>547</v>
      </c>
      <c r="N859" s="4">
        <f>[1]卡维力!O20</f>
        <v>116</v>
      </c>
      <c r="O859" s="4">
        <f>[1]卡维力!P20</f>
        <v>5179</v>
      </c>
      <c r="P859" s="4">
        <v>0</v>
      </c>
      <c r="Q859" s="4">
        <f>[1]卡维力!Q20</f>
        <v>2375</v>
      </c>
      <c r="R859" s="4">
        <v>2.5</v>
      </c>
      <c r="S859" s="4">
        <f>[1]卡维力!R20</f>
        <v>49</v>
      </c>
      <c r="T859" s="4">
        <v>0</v>
      </c>
      <c r="U859" s="4">
        <v>0</v>
      </c>
      <c r="V859" s="4">
        <v>0</v>
      </c>
    </row>
    <row r="860" spans="1:22" x14ac:dyDescent="0.15">
      <c r="A860" s="4" t="s">
        <v>2662</v>
      </c>
      <c r="D860" s="4">
        <f t="shared" si="10"/>
        <v>52</v>
      </c>
      <c r="E860" s="4">
        <v>20</v>
      </c>
      <c r="H860" s="29">
        <v>1001</v>
      </c>
      <c r="I860" s="4">
        <f>[1]卡维力!$S21</f>
        <v>4214</v>
      </c>
      <c r="L860" s="30">
        <v>800</v>
      </c>
      <c r="M860" s="4">
        <f>[1]卡维力!N21</f>
        <v>563</v>
      </c>
      <c r="N860" s="4">
        <f>[1]卡维力!O21</f>
        <v>122</v>
      </c>
      <c r="O860" s="4">
        <f>[1]卡维力!P21</f>
        <v>5279</v>
      </c>
      <c r="P860" s="4">
        <v>0</v>
      </c>
      <c r="Q860" s="4">
        <f>[1]卡维力!Q21</f>
        <v>2385</v>
      </c>
      <c r="R860" s="4">
        <v>2.5</v>
      </c>
      <c r="S860" s="4">
        <f>[1]卡维力!R21</f>
        <v>51</v>
      </c>
      <c r="T860" s="4">
        <v>0</v>
      </c>
      <c r="U860" s="4">
        <v>0</v>
      </c>
      <c r="V860" s="4">
        <v>0</v>
      </c>
    </row>
    <row r="861" spans="1:22" x14ac:dyDescent="0.15">
      <c r="A861" s="4" t="s">
        <v>2662</v>
      </c>
      <c r="D861" s="4">
        <f t="shared" si="10"/>
        <v>52</v>
      </c>
      <c r="E861" s="4">
        <v>21</v>
      </c>
      <c r="H861" s="29">
        <v>1001</v>
      </c>
      <c r="I861" s="4">
        <f>[1]卡维力!$S22</f>
        <v>4328</v>
      </c>
      <c r="L861" s="30">
        <v>800</v>
      </c>
      <c r="M861" s="4">
        <f>[1]卡维力!N22</f>
        <v>579</v>
      </c>
      <c r="N861" s="4">
        <f>[1]卡维力!O22</f>
        <v>128</v>
      </c>
      <c r="O861" s="4">
        <f>[1]卡维力!P22</f>
        <v>5379</v>
      </c>
      <c r="P861" s="4">
        <v>0</v>
      </c>
      <c r="Q861" s="4">
        <f>[1]卡维力!Q22</f>
        <v>2395</v>
      </c>
      <c r="R861" s="4">
        <v>2.5</v>
      </c>
      <c r="S861" s="4">
        <f>[1]卡维力!R22</f>
        <v>53</v>
      </c>
      <c r="T861" s="4">
        <v>0</v>
      </c>
      <c r="U861" s="4">
        <v>0</v>
      </c>
      <c r="V861" s="4">
        <v>0</v>
      </c>
    </row>
    <row r="862" spans="1:22" x14ac:dyDescent="0.15">
      <c r="A862" s="4" t="s">
        <v>2662</v>
      </c>
      <c r="D862" s="4">
        <f t="shared" si="10"/>
        <v>52</v>
      </c>
      <c r="E862" s="4">
        <v>22</v>
      </c>
      <c r="H862" s="29">
        <v>1001</v>
      </c>
      <c r="I862" s="4">
        <f>[1]卡维力!$S23</f>
        <v>4442</v>
      </c>
      <c r="L862" s="30">
        <v>800</v>
      </c>
      <c r="M862" s="4">
        <f>[1]卡维力!N23</f>
        <v>595</v>
      </c>
      <c r="N862" s="4">
        <f>[1]卡维力!O23</f>
        <v>134</v>
      </c>
      <c r="O862" s="4">
        <f>[1]卡维力!P23</f>
        <v>5479</v>
      </c>
      <c r="P862" s="4">
        <v>0</v>
      </c>
      <c r="Q862" s="4">
        <f>[1]卡维力!Q23</f>
        <v>2405</v>
      </c>
      <c r="R862" s="4">
        <v>2.5</v>
      </c>
      <c r="S862" s="4">
        <f>[1]卡维力!R23</f>
        <v>55</v>
      </c>
      <c r="T862" s="4">
        <v>0</v>
      </c>
      <c r="U862" s="4">
        <v>0</v>
      </c>
      <c r="V862" s="4">
        <v>0</v>
      </c>
    </row>
    <row r="863" spans="1:22" x14ac:dyDescent="0.15">
      <c r="A863" s="4" t="s">
        <v>2662</v>
      </c>
      <c r="D863" s="4">
        <f t="shared" si="10"/>
        <v>52</v>
      </c>
      <c r="E863" s="4">
        <v>23</v>
      </c>
      <c r="H863" s="29">
        <v>1001</v>
      </c>
      <c r="I863" s="4">
        <f>[1]卡维力!$S24</f>
        <v>4556</v>
      </c>
      <c r="L863" s="30">
        <v>800</v>
      </c>
      <c r="M863" s="4">
        <f>[1]卡维力!N24</f>
        <v>611</v>
      </c>
      <c r="N863" s="4">
        <f>[1]卡维力!O24</f>
        <v>140</v>
      </c>
      <c r="O863" s="4">
        <f>[1]卡维力!P24</f>
        <v>5579</v>
      </c>
      <c r="P863" s="4">
        <v>0</v>
      </c>
      <c r="Q863" s="4">
        <f>[1]卡维力!Q24</f>
        <v>2415</v>
      </c>
      <c r="R863" s="4">
        <v>2.5</v>
      </c>
      <c r="S863" s="4">
        <f>[1]卡维力!R24</f>
        <v>57</v>
      </c>
      <c r="T863" s="4">
        <v>0</v>
      </c>
      <c r="U863" s="4">
        <v>0</v>
      </c>
      <c r="V863" s="4">
        <v>0</v>
      </c>
    </row>
    <row r="864" spans="1:22" x14ac:dyDescent="0.15">
      <c r="A864" s="4" t="s">
        <v>2662</v>
      </c>
      <c r="D864" s="4">
        <f t="shared" si="10"/>
        <v>52</v>
      </c>
      <c r="E864" s="4">
        <v>24</v>
      </c>
      <c r="H864" s="29">
        <v>1001</v>
      </c>
      <c r="I864" s="4">
        <f>[1]卡维力!$S25</f>
        <v>4670</v>
      </c>
      <c r="L864" s="30">
        <v>800</v>
      </c>
      <c r="M864" s="4">
        <f>[1]卡维力!N25</f>
        <v>627</v>
      </c>
      <c r="N864" s="4">
        <f>[1]卡维力!O25</f>
        <v>146</v>
      </c>
      <c r="O864" s="4">
        <f>[1]卡维力!P25</f>
        <v>5679</v>
      </c>
      <c r="P864" s="4">
        <v>0</v>
      </c>
      <c r="Q864" s="4">
        <f>[1]卡维力!Q25</f>
        <v>2425</v>
      </c>
      <c r="R864" s="4">
        <v>2.5</v>
      </c>
      <c r="S864" s="4">
        <f>[1]卡维力!R25</f>
        <v>59</v>
      </c>
      <c r="T864" s="4">
        <v>0</v>
      </c>
      <c r="U864" s="4">
        <v>0</v>
      </c>
      <c r="V864" s="4">
        <v>0</v>
      </c>
    </row>
    <row r="865" spans="1:22" x14ac:dyDescent="0.15">
      <c r="A865" s="4" t="s">
        <v>2662</v>
      </c>
      <c r="D865" s="4">
        <f t="shared" si="10"/>
        <v>52</v>
      </c>
      <c r="E865" s="4">
        <v>25</v>
      </c>
      <c r="H865" s="29">
        <v>1001</v>
      </c>
      <c r="I865" s="4">
        <f>[1]卡维力!$S26</f>
        <v>4785</v>
      </c>
      <c r="L865" s="30">
        <v>800</v>
      </c>
      <c r="M865" s="4">
        <f>[1]卡维力!N26</f>
        <v>643</v>
      </c>
      <c r="N865" s="4">
        <f>[1]卡维力!O26</f>
        <v>152</v>
      </c>
      <c r="O865" s="4">
        <f>[1]卡维力!P26</f>
        <v>5779</v>
      </c>
      <c r="P865" s="4">
        <v>0</v>
      </c>
      <c r="Q865" s="4">
        <f>[1]卡维力!Q26</f>
        <v>2435</v>
      </c>
      <c r="R865" s="4">
        <v>2.5</v>
      </c>
      <c r="S865" s="4">
        <f>[1]卡维力!R26</f>
        <v>61</v>
      </c>
      <c r="T865" s="4">
        <v>0</v>
      </c>
      <c r="U865" s="4">
        <v>0</v>
      </c>
      <c r="V865" s="4">
        <v>0</v>
      </c>
    </row>
    <row r="866" spans="1:22" x14ac:dyDescent="0.15">
      <c r="A866" s="4" t="s">
        <v>2662</v>
      </c>
      <c r="D866" s="4">
        <f t="shared" si="10"/>
        <v>52</v>
      </c>
      <c r="E866" s="4">
        <v>26</v>
      </c>
      <c r="H866" s="29">
        <v>1001</v>
      </c>
      <c r="I866" s="4">
        <f>[1]卡维力!$S27</f>
        <v>4899</v>
      </c>
      <c r="L866" s="30">
        <v>800</v>
      </c>
      <c r="M866" s="4">
        <f>[1]卡维力!N27</f>
        <v>659</v>
      </c>
      <c r="N866" s="4">
        <f>[1]卡维力!O27</f>
        <v>158</v>
      </c>
      <c r="O866" s="4">
        <f>[1]卡维力!P27</f>
        <v>5879</v>
      </c>
      <c r="P866" s="4">
        <v>0</v>
      </c>
      <c r="Q866" s="4">
        <f>[1]卡维力!Q27</f>
        <v>2445</v>
      </c>
      <c r="R866" s="4">
        <v>2.5</v>
      </c>
      <c r="S866" s="4">
        <f>[1]卡维力!R27</f>
        <v>63</v>
      </c>
      <c r="T866" s="4">
        <v>0</v>
      </c>
      <c r="U866" s="4">
        <v>0</v>
      </c>
      <c r="V866" s="4">
        <v>0</v>
      </c>
    </row>
    <row r="867" spans="1:22" x14ac:dyDescent="0.15">
      <c r="A867" s="4" t="s">
        <v>2662</v>
      </c>
      <c r="D867" s="4">
        <f t="shared" si="10"/>
        <v>52</v>
      </c>
      <c r="E867" s="4">
        <v>27</v>
      </c>
      <c r="H867" s="29">
        <v>1001</v>
      </c>
      <c r="I867" s="4">
        <f>[1]卡维力!$S28</f>
        <v>5013</v>
      </c>
      <c r="L867" s="30">
        <v>800</v>
      </c>
      <c r="M867" s="4">
        <f>[1]卡维力!N28</f>
        <v>675</v>
      </c>
      <c r="N867" s="4">
        <f>[1]卡维力!O28</f>
        <v>164</v>
      </c>
      <c r="O867" s="4">
        <f>[1]卡维力!P28</f>
        <v>5979</v>
      </c>
      <c r="P867" s="4">
        <v>0</v>
      </c>
      <c r="Q867" s="4">
        <f>[1]卡维力!Q28</f>
        <v>2455</v>
      </c>
      <c r="R867" s="4">
        <v>2.5</v>
      </c>
      <c r="S867" s="4">
        <f>[1]卡维力!R28</f>
        <v>65</v>
      </c>
      <c r="T867" s="4">
        <v>0</v>
      </c>
      <c r="U867" s="4">
        <v>0</v>
      </c>
      <c r="V867" s="4">
        <v>0</v>
      </c>
    </row>
    <row r="868" spans="1:22" x14ac:dyDescent="0.15">
      <c r="A868" s="4" t="s">
        <v>2662</v>
      </c>
      <c r="D868" s="4">
        <f t="shared" si="10"/>
        <v>52</v>
      </c>
      <c r="E868" s="4">
        <v>28</v>
      </c>
      <c r="H868" s="29">
        <v>1001</v>
      </c>
      <c r="I868" s="4">
        <f>[1]卡维力!$S29</f>
        <v>5127</v>
      </c>
      <c r="L868" s="30">
        <v>800</v>
      </c>
      <c r="M868" s="4">
        <f>[1]卡维力!N29</f>
        <v>691</v>
      </c>
      <c r="N868" s="4">
        <f>[1]卡维力!O29</f>
        <v>170</v>
      </c>
      <c r="O868" s="4">
        <f>[1]卡维力!P29</f>
        <v>6079</v>
      </c>
      <c r="P868" s="4">
        <v>0</v>
      </c>
      <c r="Q868" s="4">
        <f>[1]卡维力!Q29</f>
        <v>2465</v>
      </c>
      <c r="R868" s="4">
        <v>2.5</v>
      </c>
      <c r="S868" s="4">
        <f>[1]卡维力!R29</f>
        <v>67</v>
      </c>
      <c r="T868" s="4">
        <v>0</v>
      </c>
      <c r="U868" s="4">
        <v>0</v>
      </c>
      <c r="V868" s="4">
        <v>0</v>
      </c>
    </row>
    <row r="869" spans="1:22" x14ac:dyDescent="0.15">
      <c r="A869" s="4" t="s">
        <v>2662</v>
      </c>
      <c r="D869" s="4">
        <f t="shared" si="10"/>
        <v>52</v>
      </c>
      <c r="E869" s="4">
        <v>29</v>
      </c>
      <c r="H869" s="29">
        <v>1001</v>
      </c>
      <c r="I869" s="4">
        <f>[1]卡维力!$S30</f>
        <v>5241</v>
      </c>
      <c r="L869" s="30">
        <v>800</v>
      </c>
      <c r="M869" s="4">
        <f>[1]卡维力!N30</f>
        <v>707</v>
      </c>
      <c r="N869" s="4">
        <f>[1]卡维力!O30</f>
        <v>176</v>
      </c>
      <c r="O869" s="4">
        <f>[1]卡维力!P30</f>
        <v>6179</v>
      </c>
      <c r="P869" s="4">
        <v>0</v>
      </c>
      <c r="Q869" s="4">
        <f>[1]卡维力!Q30</f>
        <v>2475</v>
      </c>
      <c r="R869" s="4">
        <v>2.5</v>
      </c>
      <c r="S869" s="4">
        <f>[1]卡维力!R30</f>
        <v>69</v>
      </c>
      <c r="T869" s="4">
        <v>0</v>
      </c>
      <c r="U869" s="4">
        <v>0</v>
      </c>
      <c r="V869" s="4">
        <v>0</v>
      </c>
    </row>
    <row r="870" spans="1:22" x14ac:dyDescent="0.15">
      <c r="A870" s="4" t="s">
        <v>2662</v>
      </c>
      <c r="D870" s="4">
        <f t="shared" si="10"/>
        <v>52</v>
      </c>
      <c r="E870" s="4">
        <v>30</v>
      </c>
      <c r="H870" s="29">
        <v>1001</v>
      </c>
      <c r="I870" s="4">
        <f>[1]卡维力!$S31</f>
        <v>5356</v>
      </c>
      <c r="L870" s="30">
        <v>800</v>
      </c>
      <c r="M870" s="4">
        <f>[1]卡维力!N31</f>
        <v>723</v>
      </c>
      <c r="N870" s="4">
        <f>[1]卡维力!O31</f>
        <v>182</v>
      </c>
      <c r="O870" s="4">
        <f>[1]卡维力!P31</f>
        <v>6279</v>
      </c>
      <c r="P870" s="4">
        <v>0</v>
      </c>
      <c r="Q870" s="4">
        <f>[1]卡维力!Q31</f>
        <v>2485</v>
      </c>
      <c r="R870" s="4">
        <v>2.5</v>
      </c>
      <c r="S870" s="4">
        <f>[1]卡维力!R31</f>
        <v>71</v>
      </c>
      <c r="T870" s="4">
        <v>0</v>
      </c>
      <c r="U870" s="4">
        <v>0</v>
      </c>
      <c r="V870" s="4">
        <v>0</v>
      </c>
    </row>
    <row r="871" spans="1:22" x14ac:dyDescent="0.15">
      <c r="A871" s="4" t="s">
        <v>2662</v>
      </c>
      <c r="D871" s="4">
        <f t="shared" si="10"/>
        <v>52</v>
      </c>
      <c r="E871" s="4">
        <v>31</v>
      </c>
      <c r="H871" s="29">
        <v>1001</v>
      </c>
      <c r="I871" s="4">
        <f>[1]卡维力!$S32</f>
        <v>5470</v>
      </c>
      <c r="L871" s="30">
        <v>800</v>
      </c>
      <c r="M871" s="4">
        <f>[1]卡维力!N32</f>
        <v>739</v>
      </c>
      <c r="N871" s="4">
        <f>[1]卡维力!O32</f>
        <v>188</v>
      </c>
      <c r="O871" s="4">
        <f>[1]卡维力!P32</f>
        <v>6379</v>
      </c>
      <c r="P871" s="4">
        <v>0</v>
      </c>
      <c r="Q871" s="4">
        <f>[1]卡维力!Q32</f>
        <v>2495</v>
      </c>
      <c r="R871" s="4">
        <v>2.5</v>
      </c>
      <c r="S871" s="4">
        <f>[1]卡维力!R32</f>
        <v>73</v>
      </c>
      <c r="T871" s="4">
        <v>0</v>
      </c>
      <c r="U871" s="4">
        <v>0</v>
      </c>
      <c r="V871" s="4">
        <v>0</v>
      </c>
    </row>
    <row r="872" spans="1:22" x14ac:dyDescent="0.15">
      <c r="A872" s="4" t="s">
        <v>2662</v>
      </c>
      <c r="D872" s="4">
        <f t="shared" si="10"/>
        <v>52</v>
      </c>
      <c r="E872" s="4">
        <v>32</v>
      </c>
      <c r="H872" s="29">
        <v>1001</v>
      </c>
      <c r="I872" s="4">
        <f>[1]卡维力!$S33</f>
        <v>5584</v>
      </c>
      <c r="L872" s="30">
        <v>800</v>
      </c>
      <c r="M872" s="4">
        <f>[1]卡维力!N33</f>
        <v>755</v>
      </c>
      <c r="N872" s="4">
        <f>[1]卡维力!O33</f>
        <v>194</v>
      </c>
      <c r="O872" s="4">
        <f>[1]卡维力!P33</f>
        <v>6479</v>
      </c>
      <c r="P872" s="4">
        <v>0</v>
      </c>
      <c r="Q872" s="4">
        <f>[1]卡维力!Q33</f>
        <v>2505</v>
      </c>
      <c r="R872" s="4">
        <v>2.5</v>
      </c>
      <c r="S872" s="4">
        <f>[1]卡维力!R33</f>
        <v>75</v>
      </c>
      <c r="T872" s="4">
        <v>0</v>
      </c>
      <c r="U872" s="4">
        <v>0</v>
      </c>
      <c r="V872" s="4">
        <v>0</v>
      </c>
    </row>
    <row r="873" spans="1:22" x14ac:dyDescent="0.15">
      <c r="A873" s="4" t="s">
        <v>2662</v>
      </c>
      <c r="D873" s="4">
        <f t="shared" si="10"/>
        <v>52</v>
      </c>
      <c r="E873" s="4">
        <v>33</v>
      </c>
      <c r="H873" s="29">
        <v>1001</v>
      </c>
      <c r="I873" s="4">
        <f>[1]卡维力!$S34</f>
        <v>5698</v>
      </c>
      <c r="L873" s="30">
        <v>800</v>
      </c>
      <c r="M873" s="4">
        <f>[1]卡维力!N34</f>
        <v>771</v>
      </c>
      <c r="N873" s="4">
        <f>[1]卡维力!O34</f>
        <v>200</v>
      </c>
      <c r="O873" s="4">
        <f>[1]卡维力!P34</f>
        <v>6579</v>
      </c>
      <c r="P873" s="4">
        <v>0</v>
      </c>
      <c r="Q873" s="4">
        <f>[1]卡维力!Q34</f>
        <v>2515</v>
      </c>
      <c r="R873" s="4">
        <v>2.5</v>
      </c>
      <c r="S873" s="4">
        <f>[1]卡维力!R34</f>
        <v>77</v>
      </c>
      <c r="T873" s="4">
        <v>0</v>
      </c>
      <c r="U873" s="4">
        <v>0</v>
      </c>
      <c r="V873" s="4">
        <v>0</v>
      </c>
    </row>
    <row r="874" spans="1:22" x14ac:dyDescent="0.15">
      <c r="A874" s="4" t="s">
        <v>2662</v>
      </c>
      <c r="D874" s="4">
        <f t="shared" si="10"/>
        <v>52</v>
      </c>
      <c r="E874" s="4">
        <v>34</v>
      </c>
      <c r="H874" s="29">
        <v>1001</v>
      </c>
      <c r="I874" s="4">
        <f>[1]卡维力!$S35</f>
        <v>5812</v>
      </c>
      <c r="L874" s="30">
        <v>800</v>
      </c>
      <c r="M874" s="4">
        <f>[1]卡维力!N35</f>
        <v>787</v>
      </c>
      <c r="N874" s="4">
        <f>[1]卡维力!O35</f>
        <v>206</v>
      </c>
      <c r="O874" s="4">
        <f>[1]卡维力!P35</f>
        <v>6679</v>
      </c>
      <c r="P874" s="4">
        <v>0</v>
      </c>
      <c r="Q874" s="4">
        <f>[1]卡维力!Q35</f>
        <v>2525</v>
      </c>
      <c r="R874" s="4">
        <v>2.5</v>
      </c>
      <c r="S874" s="4">
        <f>[1]卡维力!R35</f>
        <v>79</v>
      </c>
      <c r="T874" s="4">
        <v>0</v>
      </c>
      <c r="U874" s="4">
        <v>0</v>
      </c>
      <c r="V874" s="4">
        <v>0</v>
      </c>
    </row>
    <row r="875" spans="1:22" x14ac:dyDescent="0.15">
      <c r="A875" s="4" t="s">
        <v>2662</v>
      </c>
      <c r="D875" s="4">
        <f t="shared" si="10"/>
        <v>52</v>
      </c>
      <c r="E875" s="4">
        <v>35</v>
      </c>
      <c r="H875" s="29">
        <v>1001</v>
      </c>
      <c r="I875" s="4">
        <f>[1]卡维力!$S36</f>
        <v>5927</v>
      </c>
      <c r="L875" s="30">
        <v>800</v>
      </c>
      <c r="M875" s="4">
        <f>[1]卡维力!N36</f>
        <v>803</v>
      </c>
      <c r="N875" s="4">
        <f>[1]卡维力!O36</f>
        <v>212</v>
      </c>
      <c r="O875" s="4">
        <f>[1]卡维力!P36</f>
        <v>6779</v>
      </c>
      <c r="P875" s="4">
        <v>0</v>
      </c>
      <c r="Q875" s="4">
        <f>[1]卡维力!Q36</f>
        <v>2535</v>
      </c>
      <c r="R875" s="4">
        <v>2.5</v>
      </c>
      <c r="S875" s="4">
        <f>[1]卡维力!R36</f>
        <v>81</v>
      </c>
      <c r="T875" s="4">
        <v>0</v>
      </c>
      <c r="U875" s="4">
        <v>0</v>
      </c>
      <c r="V875" s="4">
        <v>0</v>
      </c>
    </row>
    <row r="876" spans="1:22" x14ac:dyDescent="0.15">
      <c r="A876" s="4" t="s">
        <v>2662</v>
      </c>
      <c r="D876" s="4">
        <f t="shared" si="10"/>
        <v>52</v>
      </c>
      <c r="E876" s="4">
        <v>36</v>
      </c>
      <c r="H876" s="29">
        <v>1001</v>
      </c>
      <c r="I876" s="4">
        <f>[1]卡维力!$S37</f>
        <v>6041</v>
      </c>
      <c r="L876" s="30">
        <v>800</v>
      </c>
      <c r="M876" s="4">
        <f>[1]卡维力!N37</f>
        <v>819</v>
      </c>
      <c r="N876" s="4">
        <f>[1]卡维力!O37</f>
        <v>218</v>
      </c>
      <c r="O876" s="4">
        <f>[1]卡维力!P37</f>
        <v>6879</v>
      </c>
      <c r="P876" s="4">
        <v>0</v>
      </c>
      <c r="Q876" s="4">
        <f>[1]卡维力!Q37</f>
        <v>2545</v>
      </c>
      <c r="R876" s="4">
        <v>2.5</v>
      </c>
      <c r="S876" s="4">
        <f>[1]卡维力!R37</f>
        <v>83</v>
      </c>
      <c r="T876" s="4">
        <v>0</v>
      </c>
      <c r="U876" s="4">
        <v>0</v>
      </c>
      <c r="V876" s="4">
        <v>0</v>
      </c>
    </row>
    <row r="877" spans="1:22" x14ac:dyDescent="0.15">
      <c r="A877" s="4" t="s">
        <v>2662</v>
      </c>
      <c r="D877" s="4">
        <f t="shared" si="10"/>
        <v>52</v>
      </c>
      <c r="E877" s="4">
        <v>37</v>
      </c>
      <c r="H877" s="29">
        <v>1001</v>
      </c>
      <c r="I877" s="4">
        <f>[1]卡维力!$S38</f>
        <v>6155</v>
      </c>
      <c r="L877" s="30">
        <v>800</v>
      </c>
      <c r="M877" s="4">
        <f>[1]卡维力!N38</f>
        <v>835</v>
      </c>
      <c r="N877" s="4">
        <f>[1]卡维力!O38</f>
        <v>224</v>
      </c>
      <c r="O877" s="4">
        <f>[1]卡维力!P38</f>
        <v>6979</v>
      </c>
      <c r="P877" s="4">
        <v>0</v>
      </c>
      <c r="Q877" s="4">
        <f>[1]卡维力!Q38</f>
        <v>2555</v>
      </c>
      <c r="R877" s="4">
        <v>2.5</v>
      </c>
      <c r="S877" s="4">
        <f>[1]卡维力!R38</f>
        <v>85</v>
      </c>
      <c r="T877" s="4">
        <v>0</v>
      </c>
      <c r="U877" s="4">
        <v>0</v>
      </c>
      <c r="V877" s="4">
        <v>0</v>
      </c>
    </row>
    <row r="878" spans="1:22" x14ac:dyDescent="0.15">
      <c r="A878" s="4" t="s">
        <v>2662</v>
      </c>
      <c r="D878" s="4">
        <f t="shared" si="10"/>
        <v>52</v>
      </c>
      <c r="E878" s="4">
        <v>38</v>
      </c>
      <c r="H878" s="29">
        <v>1001</v>
      </c>
      <c r="I878" s="4">
        <f>[1]卡维力!$S39</f>
        <v>6269</v>
      </c>
      <c r="L878" s="30">
        <v>800</v>
      </c>
      <c r="M878" s="4">
        <f>[1]卡维力!N39</f>
        <v>851</v>
      </c>
      <c r="N878" s="4">
        <f>[1]卡维力!O39</f>
        <v>230</v>
      </c>
      <c r="O878" s="4">
        <f>[1]卡维力!P39</f>
        <v>7079</v>
      </c>
      <c r="P878" s="4">
        <v>0</v>
      </c>
      <c r="Q878" s="4">
        <f>[1]卡维力!Q39</f>
        <v>2565</v>
      </c>
      <c r="R878" s="4">
        <v>2.5</v>
      </c>
      <c r="S878" s="4">
        <f>[1]卡维力!R39</f>
        <v>87</v>
      </c>
      <c r="T878" s="4">
        <v>0</v>
      </c>
      <c r="U878" s="4">
        <v>0</v>
      </c>
      <c r="V878" s="4">
        <v>0</v>
      </c>
    </row>
    <row r="879" spans="1:22" x14ac:dyDescent="0.15">
      <c r="A879" s="4" t="s">
        <v>2662</v>
      </c>
      <c r="D879" s="4">
        <f t="shared" si="10"/>
        <v>52</v>
      </c>
      <c r="E879" s="4">
        <v>39</v>
      </c>
      <c r="H879" s="29">
        <v>1001</v>
      </c>
      <c r="I879" s="4">
        <f>[1]卡维力!$S40</f>
        <v>6383</v>
      </c>
      <c r="L879" s="30">
        <v>800</v>
      </c>
      <c r="M879" s="4">
        <f>[1]卡维力!N40</f>
        <v>867</v>
      </c>
      <c r="N879" s="4">
        <f>[1]卡维力!O40</f>
        <v>236</v>
      </c>
      <c r="O879" s="4">
        <f>[1]卡维力!P40</f>
        <v>7179</v>
      </c>
      <c r="P879" s="4">
        <v>0</v>
      </c>
      <c r="Q879" s="4">
        <f>[1]卡维力!Q40</f>
        <v>2575</v>
      </c>
      <c r="R879" s="4">
        <v>2.5</v>
      </c>
      <c r="S879" s="4">
        <f>[1]卡维力!R40</f>
        <v>89</v>
      </c>
      <c r="T879" s="4">
        <v>0</v>
      </c>
      <c r="U879" s="4">
        <v>0</v>
      </c>
      <c r="V879" s="4">
        <v>0</v>
      </c>
    </row>
    <row r="880" spans="1:22" x14ac:dyDescent="0.15">
      <c r="A880" s="4" t="s">
        <v>2662</v>
      </c>
      <c r="D880" s="4">
        <f t="shared" si="10"/>
        <v>52</v>
      </c>
      <c r="E880" s="4">
        <v>40</v>
      </c>
      <c r="H880" s="29">
        <v>1001</v>
      </c>
      <c r="I880" s="4">
        <f>[1]卡维力!$S41</f>
        <v>6498</v>
      </c>
      <c r="L880" s="30">
        <v>800</v>
      </c>
      <c r="M880" s="4">
        <f>[1]卡维力!N41</f>
        <v>883</v>
      </c>
      <c r="N880" s="4">
        <f>[1]卡维力!O41</f>
        <v>242</v>
      </c>
      <c r="O880" s="4">
        <f>[1]卡维力!P41</f>
        <v>7279</v>
      </c>
      <c r="P880" s="4">
        <v>0</v>
      </c>
      <c r="Q880" s="4">
        <f>[1]卡维力!Q41</f>
        <v>2585</v>
      </c>
      <c r="R880" s="4">
        <v>2.5</v>
      </c>
      <c r="S880" s="4">
        <f>[1]卡维力!R41</f>
        <v>91</v>
      </c>
      <c r="T880" s="4">
        <v>0</v>
      </c>
      <c r="U880" s="4">
        <v>0</v>
      </c>
      <c r="V880" s="4">
        <v>0</v>
      </c>
    </row>
    <row r="881" spans="1:22" x14ac:dyDescent="0.15">
      <c r="A881" s="4" t="s">
        <v>2662</v>
      </c>
      <c r="D881" s="4">
        <f t="shared" si="10"/>
        <v>52</v>
      </c>
      <c r="E881" s="4">
        <v>41</v>
      </c>
      <c r="H881" s="29">
        <v>1001</v>
      </c>
      <c r="I881" s="4">
        <f>[1]卡维力!$S42</f>
        <v>6612</v>
      </c>
      <c r="L881" s="30">
        <v>800</v>
      </c>
      <c r="M881" s="4">
        <f>[1]卡维力!N42</f>
        <v>899</v>
      </c>
      <c r="N881" s="4">
        <f>[1]卡维力!O42</f>
        <v>248</v>
      </c>
      <c r="O881" s="4">
        <f>[1]卡维力!P42</f>
        <v>7379</v>
      </c>
      <c r="P881" s="4">
        <v>0</v>
      </c>
      <c r="Q881" s="4">
        <f>[1]卡维力!Q42</f>
        <v>2595</v>
      </c>
      <c r="R881" s="4">
        <v>2.5</v>
      </c>
      <c r="S881" s="4">
        <f>[1]卡维力!R42</f>
        <v>93</v>
      </c>
      <c r="T881" s="4">
        <v>0</v>
      </c>
      <c r="U881" s="4">
        <v>0</v>
      </c>
      <c r="V881" s="4">
        <v>0</v>
      </c>
    </row>
    <row r="882" spans="1:22" x14ac:dyDescent="0.15">
      <c r="A882" s="4" t="s">
        <v>2662</v>
      </c>
      <c r="D882" s="4">
        <f t="shared" si="10"/>
        <v>52</v>
      </c>
      <c r="E882" s="4">
        <v>42</v>
      </c>
      <c r="H882" s="29">
        <v>1001</v>
      </c>
      <c r="I882" s="4">
        <f>[1]卡维力!$S43</f>
        <v>6726</v>
      </c>
      <c r="L882" s="30">
        <v>800</v>
      </c>
      <c r="M882" s="4">
        <f>[1]卡维力!N43</f>
        <v>915</v>
      </c>
      <c r="N882" s="4">
        <f>[1]卡维力!O43</f>
        <v>254</v>
      </c>
      <c r="O882" s="4">
        <f>[1]卡维力!P43</f>
        <v>7479</v>
      </c>
      <c r="P882" s="4">
        <v>0</v>
      </c>
      <c r="Q882" s="4">
        <f>[1]卡维力!Q43</f>
        <v>2605</v>
      </c>
      <c r="R882" s="4">
        <v>2.5</v>
      </c>
      <c r="S882" s="4">
        <f>[1]卡维力!R43</f>
        <v>95</v>
      </c>
      <c r="T882" s="4">
        <v>0</v>
      </c>
      <c r="U882" s="4">
        <v>0</v>
      </c>
      <c r="V882" s="4">
        <v>0</v>
      </c>
    </row>
    <row r="883" spans="1:22" x14ac:dyDescent="0.15">
      <c r="A883" s="4" t="s">
        <v>2662</v>
      </c>
      <c r="D883" s="4">
        <f t="shared" si="10"/>
        <v>52</v>
      </c>
      <c r="E883" s="4">
        <v>43</v>
      </c>
      <c r="H883" s="29">
        <v>1001</v>
      </c>
      <c r="I883" s="4">
        <f>[1]卡维力!$S44</f>
        <v>6840</v>
      </c>
      <c r="L883" s="30">
        <v>800</v>
      </c>
      <c r="M883" s="4">
        <f>[1]卡维力!N44</f>
        <v>931</v>
      </c>
      <c r="N883" s="4">
        <f>[1]卡维力!O44</f>
        <v>260</v>
      </c>
      <c r="O883" s="4">
        <f>[1]卡维力!P44</f>
        <v>7579</v>
      </c>
      <c r="P883" s="4">
        <v>0</v>
      </c>
      <c r="Q883" s="4">
        <f>[1]卡维力!Q44</f>
        <v>2615</v>
      </c>
      <c r="R883" s="4">
        <v>2.5</v>
      </c>
      <c r="S883" s="4">
        <f>[1]卡维力!R44</f>
        <v>97</v>
      </c>
      <c r="T883" s="4">
        <v>0</v>
      </c>
      <c r="U883" s="4">
        <v>0</v>
      </c>
      <c r="V883" s="4">
        <v>0</v>
      </c>
    </row>
    <row r="884" spans="1:22" x14ac:dyDescent="0.15">
      <c r="A884" s="4" t="s">
        <v>2662</v>
      </c>
      <c r="D884" s="4">
        <f t="shared" si="10"/>
        <v>52</v>
      </c>
      <c r="E884" s="4">
        <v>44</v>
      </c>
      <c r="H884" s="29">
        <v>1001</v>
      </c>
      <c r="I884" s="4">
        <f>[1]卡维力!$S45</f>
        <v>6954</v>
      </c>
      <c r="L884" s="30">
        <v>800</v>
      </c>
      <c r="M884" s="4">
        <f>[1]卡维力!N45</f>
        <v>947</v>
      </c>
      <c r="N884" s="4">
        <f>[1]卡维力!O45</f>
        <v>266</v>
      </c>
      <c r="O884" s="4">
        <f>[1]卡维力!P45</f>
        <v>7679</v>
      </c>
      <c r="P884" s="4">
        <v>0</v>
      </c>
      <c r="Q884" s="4">
        <f>[1]卡维力!Q45</f>
        <v>2625</v>
      </c>
      <c r="R884" s="4">
        <v>2.5</v>
      </c>
      <c r="S884" s="4">
        <f>[1]卡维力!R45</f>
        <v>99</v>
      </c>
      <c r="T884" s="4">
        <v>0</v>
      </c>
      <c r="U884" s="4">
        <v>0</v>
      </c>
      <c r="V884" s="4">
        <v>0</v>
      </c>
    </row>
    <row r="885" spans="1:22" x14ac:dyDescent="0.15">
      <c r="A885" s="4" t="s">
        <v>2662</v>
      </c>
      <c r="D885" s="4">
        <f t="shared" si="10"/>
        <v>52</v>
      </c>
      <c r="E885" s="4">
        <v>45</v>
      </c>
      <c r="H885" s="29">
        <v>1001</v>
      </c>
      <c r="I885" s="4">
        <f>[1]卡维力!$S46</f>
        <v>7069</v>
      </c>
      <c r="L885" s="30">
        <v>800</v>
      </c>
      <c r="M885" s="4">
        <f>[1]卡维力!N46</f>
        <v>963</v>
      </c>
      <c r="N885" s="4">
        <f>[1]卡维力!O46</f>
        <v>272</v>
      </c>
      <c r="O885" s="4">
        <f>[1]卡维力!P46</f>
        <v>7779</v>
      </c>
      <c r="P885" s="4">
        <v>0</v>
      </c>
      <c r="Q885" s="4">
        <f>[1]卡维力!Q46</f>
        <v>2635</v>
      </c>
      <c r="R885" s="4">
        <v>2.5</v>
      </c>
      <c r="S885" s="4">
        <f>[1]卡维力!R46</f>
        <v>101</v>
      </c>
      <c r="T885" s="4">
        <v>0</v>
      </c>
      <c r="U885" s="4">
        <v>0</v>
      </c>
      <c r="V885" s="4">
        <v>0</v>
      </c>
    </row>
    <row r="886" spans="1:22" x14ac:dyDescent="0.15">
      <c r="A886" s="4" t="s">
        <v>2662</v>
      </c>
      <c r="D886" s="4">
        <f t="shared" si="10"/>
        <v>52</v>
      </c>
      <c r="E886" s="4">
        <v>46</v>
      </c>
      <c r="H886" s="29">
        <v>1001</v>
      </c>
      <c r="I886" s="4">
        <f>[1]卡维力!$S47</f>
        <v>7183</v>
      </c>
      <c r="L886" s="30">
        <v>800</v>
      </c>
      <c r="M886" s="4">
        <f>[1]卡维力!N47</f>
        <v>979</v>
      </c>
      <c r="N886" s="4">
        <f>[1]卡维力!O47</f>
        <v>278</v>
      </c>
      <c r="O886" s="4">
        <f>[1]卡维力!P47</f>
        <v>7879</v>
      </c>
      <c r="P886" s="4">
        <v>0</v>
      </c>
      <c r="Q886" s="4">
        <f>[1]卡维力!Q47</f>
        <v>2645</v>
      </c>
      <c r="R886" s="4">
        <v>2.5</v>
      </c>
      <c r="S886" s="4">
        <f>[1]卡维力!R47</f>
        <v>103</v>
      </c>
      <c r="T886" s="4">
        <v>0</v>
      </c>
      <c r="U886" s="4">
        <v>0</v>
      </c>
      <c r="V886" s="4">
        <v>0</v>
      </c>
    </row>
    <row r="887" spans="1:22" x14ac:dyDescent="0.15">
      <c r="A887" s="4" t="s">
        <v>2662</v>
      </c>
      <c r="D887" s="4">
        <f t="shared" si="10"/>
        <v>52</v>
      </c>
      <c r="E887" s="4">
        <v>47</v>
      </c>
      <c r="H887" s="29">
        <v>1001</v>
      </c>
      <c r="I887" s="4">
        <f>[1]卡维力!$S48</f>
        <v>7297</v>
      </c>
      <c r="L887" s="30">
        <v>800</v>
      </c>
      <c r="M887" s="4">
        <f>[1]卡维力!N48</f>
        <v>995</v>
      </c>
      <c r="N887" s="4">
        <f>[1]卡维力!O48</f>
        <v>284</v>
      </c>
      <c r="O887" s="4">
        <f>[1]卡维力!P48</f>
        <v>7979</v>
      </c>
      <c r="P887" s="4">
        <v>0</v>
      </c>
      <c r="Q887" s="4">
        <f>[1]卡维力!Q48</f>
        <v>2655</v>
      </c>
      <c r="R887" s="4">
        <v>2.5</v>
      </c>
      <c r="S887" s="4">
        <f>[1]卡维力!R48</f>
        <v>105</v>
      </c>
      <c r="T887" s="4">
        <v>0</v>
      </c>
      <c r="U887" s="4">
        <v>0</v>
      </c>
      <c r="V887" s="4">
        <v>0</v>
      </c>
    </row>
    <row r="888" spans="1:22" x14ac:dyDescent="0.15">
      <c r="A888" s="4" t="s">
        <v>2662</v>
      </c>
      <c r="D888" s="4">
        <f t="shared" si="10"/>
        <v>52</v>
      </c>
      <c r="E888" s="4">
        <v>48</v>
      </c>
      <c r="H888" s="29">
        <v>1001</v>
      </c>
      <c r="I888" s="4">
        <f>[1]卡维力!$S49</f>
        <v>7411</v>
      </c>
      <c r="L888" s="30">
        <v>800</v>
      </c>
      <c r="M888" s="4">
        <f>[1]卡维力!N49</f>
        <v>1011</v>
      </c>
      <c r="N888" s="4">
        <f>[1]卡维力!O49</f>
        <v>290</v>
      </c>
      <c r="O888" s="4">
        <f>[1]卡维力!P49</f>
        <v>8079</v>
      </c>
      <c r="P888" s="4">
        <v>0</v>
      </c>
      <c r="Q888" s="4">
        <f>[1]卡维力!Q49</f>
        <v>2665</v>
      </c>
      <c r="R888" s="4">
        <v>2.5</v>
      </c>
      <c r="S888" s="4">
        <f>[1]卡维力!R49</f>
        <v>107</v>
      </c>
      <c r="T888" s="4">
        <v>0</v>
      </c>
      <c r="U888" s="4">
        <v>0</v>
      </c>
      <c r="V888" s="4">
        <v>0</v>
      </c>
    </row>
    <row r="889" spans="1:22" x14ac:dyDescent="0.15">
      <c r="A889" s="4" t="s">
        <v>2662</v>
      </c>
      <c r="D889" s="4">
        <f t="shared" si="10"/>
        <v>52</v>
      </c>
      <c r="E889" s="4">
        <v>49</v>
      </c>
      <c r="H889" s="29">
        <v>1001</v>
      </c>
      <c r="I889" s="4">
        <f>[1]卡维力!$S50</f>
        <v>7525</v>
      </c>
      <c r="L889" s="30">
        <v>800</v>
      </c>
      <c r="M889" s="4">
        <f>[1]卡维力!N50</f>
        <v>1027</v>
      </c>
      <c r="N889" s="4">
        <f>[1]卡维力!O50</f>
        <v>296</v>
      </c>
      <c r="O889" s="4">
        <f>[1]卡维力!P50</f>
        <v>8179</v>
      </c>
      <c r="P889" s="4">
        <v>0</v>
      </c>
      <c r="Q889" s="4">
        <f>[1]卡维力!Q50</f>
        <v>2675</v>
      </c>
      <c r="R889" s="4">
        <v>2.5</v>
      </c>
      <c r="S889" s="4">
        <f>[1]卡维力!R50</f>
        <v>109</v>
      </c>
      <c r="T889" s="4">
        <v>0</v>
      </c>
      <c r="U889" s="4">
        <v>0</v>
      </c>
      <c r="V889" s="4">
        <v>0</v>
      </c>
    </row>
    <row r="890" spans="1:22" x14ac:dyDescent="0.15">
      <c r="A890" s="4" t="s">
        <v>2662</v>
      </c>
      <c r="D890" s="4">
        <f t="shared" si="10"/>
        <v>52</v>
      </c>
      <c r="E890" s="4">
        <v>50</v>
      </c>
      <c r="H890" s="29">
        <v>1001</v>
      </c>
      <c r="I890" s="4">
        <f>[1]卡维力!$S51</f>
        <v>7640</v>
      </c>
      <c r="L890" s="30">
        <v>800</v>
      </c>
      <c r="M890" s="4">
        <f>[1]卡维力!N51</f>
        <v>1043</v>
      </c>
      <c r="N890" s="4">
        <f>[1]卡维力!O51</f>
        <v>302</v>
      </c>
      <c r="O890" s="4">
        <f>[1]卡维力!P51</f>
        <v>8279</v>
      </c>
      <c r="P890" s="4">
        <v>0</v>
      </c>
      <c r="Q890" s="4">
        <f>[1]卡维力!Q51</f>
        <v>2685</v>
      </c>
      <c r="R890" s="4">
        <v>2.5</v>
      </c>
      <c r="S890" s="4">
        <f>[1]卡维力!R51</f>
        <v>111</v>
      </c>
      <c r="T890" s="4">
        <v>0</v>
      </c>
      <c r="U890" s="4">
        <v>0</v>
      </c>
      <c r="V890" s="4">
        <v>0</v>
      </c>
    </row>
    <row r="891" spans="1:22" x14ac:dyDescent="0.15">
      <c r="I891" s="4"/>
    </row>
    <row r="892" spans="1:22" x14ac:dyDescent="0.15">
      <c r="A892" s="4" t="s">
        <v>2662</v>
      </c>
      <c r="C892" s="4" t="s">
        <v>3095</v>
      </c>
      <c r="D892" s="4">
        <f t="shared" ref="D892:D942" si="11">D840+1</f>
        <v>53</v>
      </c>
      <c r="E892" s="4">
        <v>0</v>
      </c>
      <c r="H892" s="29">
        <v>1000</v>
      </c>
      <c r="I892" s="31">
        <v>499</v>
      </c>
      <c r="M892" s="4">
        <v>0</v>
      </c>
      <c r="N892" s="4">
        <v>0</v>
      </c>
      <c r="O892" s="4">
        <v>0</v>
      </c>
      <c r="P892" s="4">
        <v>0</v>
      </c>
      <c r="Q892" s="4">
        <v>0</v>
      </c>
      <c r="R892" s="4">
        <v>0</v>
      </c>
      <c r="S892" s="4">
        <v>0</v>
      </c>
      <c r="T892" s="4">
        <v>0</v>
      </c>
      <c r="U892" s="4">
        <v>0</v>
      </c>
      <c r="V892" s="4">
        <v>0</v>
      </c>
    </row>
    <row r="893" spans="1:22" x14ac:dyDescent="0.15">
      <c r="A893" s="4" t="s">
        <v>2662</v>
      </c>
      <c r="D893" s="4">
        <f t="shared" si="11"/>
        <v>53</v>
      </c>
      <c r="E893" s="4">
        <v>1</v>
      </c>
      <c r="H893" s="29">
        <v>1001</v>
      </c>
      <c r="I893" s="4">
        <f>[1]卡维力!$AB2</f>
        <v>2541</v>
      </c>
      <c r="L893" s="30">
        <v>800</v>
      </c>
      <c r="M893" s="4">
        <f>[1]卡维力!W2</f>
        <v>307</v>
      </c>
      <c r="N893" s="4">
        <f>[1]卡维力!X2</f>
        <v>10</v>
      </c>
      <c r="O893" s="4">
        <f>[1]卡维力!Y2</f>
        <v>4608</v>
      </c>
      <c r="P893" s="4">
        <v>0</v>
      </c>
      <c r="Q893" s="4">
        <f>[1]卡维力!Z2</f>
        <v>2509</v>
      </c>
      <c r="R893" s="4">
        <v>2.5</v>
      </c>
      <c r="S893" s="4">
        <f>[1]卡维力!AA2</f>
        <v>14</v>
      </c>
      <c r="T893" s="4">
        <v>0</v>
      </c>
      <c r="U893" s="4">
        <v>0</v>
      </c>
      <c r="V893" s="4">
        <v>0</v>
      </c>
    </row>
    <row r="894" spans="1:22" x14ac:dyDescent="0.15">
      <c r="A894" s="4" t="s">
        <v>2662</v>
      </c>
      <c r="D894" s="4">
        <f t="shared" si="11"/>
        <v>53</v>
      </c>
      <c r="E894" s="4">
        <v>2</v>
      </c>
      <c r="H894" s="29">
        <v>1001</v>
      </c>
      <c r="I894" s="4">
        <f>[1]卡维力!$AB3</f>
        <v>2669</v>
      </c>
      <c r="L894" s="30">
        <v>800</v>
      </c>
      <c r="M894" s="4">
        <f>[1]卡维力!W3</f>
        <v>325</v>
      </c>
      <c r="N894" s="4">
        <f>[1]卡维力!X3</f>
        <v>16</v>
      </c>
      <c r="O894" s="4">
        <f>[1]卡维力!Y3</f>
        <v>4728</v>
      </c>
      <c r="P894" s="4">
        <v>0</v>
      </c>
      <c r="Q894" s="4">
        <f>[1]卡维力!Z3</f>
        <v>2519</v>
      </c>
      <c r="R894" s="4">
        <v>2.5</v>
      </c>
      <c r="S894" s="4">
        <f>[1]卡维力!AA3</f>
        <v>16</v>
      </c>
      <c r="T894" s="4">
        <v>0</v>
      </c>
      <c r="U894" s="4">
        <v>0</v>
      </c>
      <c r="V894" s="4">
        <v>0</v>
      </c>
    </row>
    <row r="895" spans="1:22" x14ac:dyDescent="0.15">
      <c r="A895" s="4" t="s">
        <v>2662</v>
      </c>
      <c r="D895" s="4">
        <f t="shared" si="11"/>
        <v>53</v>
      </c>
      <c r="E895" s="4">
        <v>3</v>
      </c>
      <c r="H895" s="29">
        <v>1001</v>
      </c>
      <c r="I895" s="4">
        <f>[1]卡维力!$AB4</f>
        <v>2797</v>
      </c>
      <c r="L895" s="30">
        <v>800</v>
      </c>
      <c r="M895" s="4">
        <f>[1]卡维力!W4</f>
        <v>343</v>
      </c>
      <c r="N895" s="4">
        <f>[1]卡维力!X4</f>
        <v>22</v>
      </c>
      <c r="O895" s="4">
        <f>[1]卡维力!Y4</f>
        <v>4848</v>
      </c>
      <c r="P895" s="4">
        <v>0</v>
      </c>
      <c r="Q895" s="4">
        <f>[1]卡维力!Z4</f>
        <v>2529</v>
      </c>
      <c r="R895" s="4">
        <v>2.5</v>
      </c>
      <c r="S895" s="4">
        <f>[1]卡维力!AA4</f>
        <v>18</v>
      </c>
      <c r="T895" s="4">
        <v>0</v>
      </c>
      <c r="U895" s="4">
        <v>0</v>
      </c>
      <c r="V895" s="4">
        <v>0</v>
      </c>
    </row>
    <row r="896" spans="1:22" x14ac:dyDescent="0.15">
      <c r="A896" s="4" t="s">
        <v>2662</v>
      </c>
      <c r="D896" s="4">
        <f t="shared" si="11"/>
        <v>53</v>
      </c>
      <c r="E896" s="4">
        <v>4</v>
      </c>
      <c r="H896" s="29">
        <v>1001</v>
      </c>
      <c r="I896" s="4">
        <f>[1]卡维力!$AB5</f>
        <v>2925</v>
      </c>
      <c r="L896" s="30">
        <v>800</v>
      </c>
      <c r="M896" s="4">
        <f>[1]卡维力!W5</f>
        <v>361</v>
      </c>
      <c r="N896" s="4">
        <f>[1]卡维力!X5</f>
        <v>28</v>
      </c>
      <c r="O896" s="4">
        <f>[1]卡维力!Y5</f>
        <v>4968</v>
      </c>
      <c r="P896" s="4">
        <v>0</v>
      </c>
      <c r="Q896" s="4">
        <f>[1]卡维力!Z5</f>
        <v>2539</v>
      </c>
      <c r="R896" s="4">
        <v>2.5</v>
      </c>
      <c r="S896" s="4">
        <f>[1]卡维力!AA5</f>
        <v>20</v>
      </c>
      <c r="T896" s="4">
        <v>0</v>
      </c>
      <c r="U896" s="4">
        <v>0</v>
      </c>
      <c r="V896" s="4">
        <v>0</v>
      </c>
    </row>
    <row r="897" spans="1:22" x14ac:dyDescent="0.15">
      <c r="A897" s="4" t="s">
        <v>2662</v>
      </c>
      <c r="D897" s="4">
        <f t="shared" si="11"/>
        <v>53</v>
      </c>
      <c r="E897" s="4">
        <v>5</v>
      </c>
      <c r="H897" s="29">
        <v>1001</v>
      </c>
      <c r="I897" s="4">
        <f>[1]卡维力!$AB6</f>
        <v>3054</v>
      </c>
      <c r="L897" s="30">
        <v>800</v>
      </c>
      <c r="M897" s="4">
        <f>[1]卡维力!W6</f>
        <v>379</v>
      </c>
      <c r="N897" s="4">
        <f>[1]卡维力!X6</f>
        <v>34</v>
      </c>
      <c r="O897" s="4">
        <f>[1]卡维力!Y6</f>
        <v>5088</v>
      </c>
      <c r="P897" s="4">
        <v>0</v>
      </c>
      <c r="Q897" s="4">
        <f>[1]卡维力!Z6</f>
        <v>2549</v>
      </c>
      <c r="R897" s="4">
        <v>2.5</v>
      </c>
      <c r="S897" s="4">
        <f>[1]卡维力!AA6</f>
        <v>22</v>
      </c>
      <c r="T897" s="4">
        <v>0</v>
      </c>
      <c r="U897" s="4">
        <v>0</v>
      </c>
      <c r="V897" s="4">
        <v>0</v>
      </c>
    </row>
    <row r="898" spans="1:22" x14ac:dyDescent="0.15">
      <c r="A898" s="4" t="s">
        <v>2662</v>
      </c>
      <c r="D898" s="4">
        <f t="shared" si="11"/>
        <v>53</v>
      </c>
      <c r="E898" s="4">
        <v>6</v>
      </c>
      <c r="H898" s="29">
        <v>1001</v>
      </c>
      <c r="I898" s="4">
        <f>[1]卡维力!$AB7</f>
        <v>3182</v>
      </c>
      <c r="L898" s="30">
        <v>800</v>
      </c>
      <c r="M898" s="4">
        <f>[1]卡维力!W7</f>
        <v>397</v>
      </c>
      <c r="N898" s="4">
        <f>[1]卡维力!X7</f>
        <v>40</v>
      </c>
      <c r="O898" s="4">
        <f>[1]卡维力!Y7</f>
        <v>5208</v>
      </c>
      <c r="P898" s="4">
        <v>0</v>
      </c>
      <c r="Q898" s="4">
        <f>[1]卡维力!Z7</f>
        <v>2559</v>
      </c>
      <c r="R898" s="4">
        <v>2.5</v>
      </c>
      <c r="S898" s="4">
        <f>[1]卡维力!AA7</f>
        <v>24</v>
      </c>
      <c r="T898" s="4">
        <v>0</v>
      </c>
      <c r="U898" s="4">
        <v>0</v>
      </c>
      <c r="V898" s="4">
        <v>0</v>
      </c>
    </row>
    <row r="899" spans="1:22" x14ac:dyDescent="0.15">
      <c r="A899" s="4" t="s">
        <v>2662</v>
      </c>
      <c r="D899" s="4">
        <f t="shared" si="11"/>
        <v>53</v>
      </c>
      <c r="E899" s="4">
        <v>7</v>
      </c>
      <c r="H899" s="29">
        <v>1001</v>
      </c>
      <c r="I899" s="4">
        <f>[1]卡维力!$AB8</f>
        <v>3310</v>
      </c>
      <c r="L899" s="30">
        <v>800</v>
      </c>
      <c r="M899" s="4">
        <f>[1]卡维力!W8</f>
        <v>415</v>
      </c>
      <c r="N899" s="4">
        <f>[1]卡维力!X8</f>
        <v>46</v>
      </c>
      <c r="O899" s="4">
        <f>[1]卡维力!Y8</f>
        <v>5328</v>
      </c>
      <c r="P899" s="4">
        <v>0</v>
      </c>
      <c r="Q899" s="4">
        <f>[1]卡维力!Z8</f>
        <v>2569</v>
      </c>
      <c r="R899" s="4">
        <v>2.5</v>
      </c>
      <c r="S899" s="4">
        <f>[1]卡维力!AA8</f>
        <v>26</v>
      </c>
      <c r="T899" s="4">
        <v>0</v>
      </c>
      <c r="U899" s="4">
        <v>0</v>
      </c>
      <c r="V899" s="4">
        <v>0</v>
      </c>
    </row>
    <row r="900" spans="1:22" x14ac:dyDescent="0.15">
      <c r="A900" s="4" t="s">
        <v>2662</v>
      </c>
      <c r="D900" s="4">
        <f t="shared" si="11"/>
        <v>53</v>
      </c>
      <c r="E900" s="4">
        <v>8</v>
      </c>
      <c r="H900" s="29">
        <v>1001</v>
      </c>
      <c r="I900" s="4">
        <f>[1]卡维力!$AB9</f>
        <v>3438</v>
      </c>
      <c r="L900" s="30">
        <v>800</v>
      </c>
      <c r="M900" s="4">
        <f>[1]卡维力!W9</f>
        <v>433</v>
      </c>
      <c r="N900" s="4">
        <f>[1]卡维力!X9</f>
        <v>52</v>
      </c>
      <c r="O900" s="4">
        <f>[1]卡维力!Y9</f>
        <v>5448</v>
      </c>
      <c r="P900" s="4">
        <v>0</v>
      </c>
      <c r="Q900" s="4">
        <f>[1]卡维力!Z9</f>
        <v>2579</v>
      </c>
      <c r="R900" s="4">
        <v>2.5</v>
      </c>
      <c r="S900" s="4">
        <f>[1]卡维力!AA9</f>
        <v>28</v>
      </c>
      <c r="T900" s="4">
        <v>0</v>
      </c>
      <c r="U900" s="4">
        <v>0</v>
      </c>
      <c r="V900" s="4">
        <v>0</v>
      </c>
    </row>
    <row r="901" spans="1:22" x14ac:dyDescent="0.15">
      <c r="A901" s="4" t="s">
        <v>2662</v>
      </c>
      <c r="D901" s="4">
        <f t="shared" si="11"/>
        <v>53</v>
      </c>
      <c r="E901" s="4">
        <v>9</v>
      </c>
      <c r="H901" s="29">
        <v>1001</v>
      </c>
      <c r="I901" s="4">
        <f>[1]卡维力!$AB10</f>
        <v>3566</v>
      </c>
      <c r="L901" s="30">
        <v>800</v>
      </c>
      <c r="M901" s="4">
        <f>[1]卡维力!W10</f>
        <v>451</v>
      </c>
      <c r="N901" s="4">
        <f>[1]卡维力!X10</f>
        <v>58</v>
      </c>
      <c r="O901" s="4">
        <f>[1]卡维力!Y10</f>
        <v>5568</v>
      </c>
      <c r="P901" s="4">
        <v>0</v>
      </c>
      <c r="Q901" s="4">
        <f>[1]卡维力!Z10</f>
        <v>2589</v>
      </c>
      <c r="R901" s="4">
        <v>2.5</v>
      </c>
      <c r="S901" s="4">
        <f>[1]卡维力!AA10</f>
        <v>30</v>
      </c>
      <c r="T901" s="4">
        <v>0</v>
      </c>
      <c r="U901" s="4">
        <v>0</v>
      </c>
      <c r="V901" s="4">
        <v>0</v>
      </c>
    </row>
    <row r="902" spans="1:22" x14ac:dyDescent="0.15">
      <c r="A902" s="4" t="s">
        <v>2662</v>
      </c>
      <c r="D902" s="4">
        <f t="shared" si="11"/>
        <v>53</v>
      </c>
      <c r="E902" s="4">
        <v>10</v>
      </c>
      <c r="H902" s="29">
        <v>1001</v>
      </c>
      <c r="I902" s="4">
        <f>[1]卡维力!$AB11</f>
        <v>3695</v>
      </c>
      <c r="L902" s="30">
        <v>800</v>
      </c>
      <c r="M902" s="4">
        <f>[1]卡维力!W11</f>
        <v>469</v>
      </c>
      <c r="N902" s="4">
        <f>[1]卡维力!X11</f>
        <v>64</v>
      </c>
      <c r="O902" s="4">
        <f>[1]卡维力!Y11</f>
        <v>5688</v>
      </c>
      <c r="P902" s="4">
        <v>0</v>
      </c>
      <c r="Q902" s="4">
        <f>[1]卡维力!Z11</f>
        <v>2599</v>
      </c>
      <c r="R902" s="4">
        <v>2.5</v>
      </c>
      <c r="S902" s="4">
        <f>[1]卡维力!AA11</f>
        <v>32</v>
      </c>
      <c r="T902" s="4">
        <v>0</v>
      </c>
      <c r="U902" s="4">
        <v>0</v>
      </c>
      <c r="V902" s="4">
        <v>0</v>
      </c>
    </row>
    <row r="903" spans="1:22" x14ac:dyDescent="0.15">
      <c r="A903" s="4" t="s">
        <v>2662</v>
      </c>
      <c r="D903" s="4">
        <f t="shared" si="11"/>
        <v>53</v>
      </c>
      <c r="E903" s="4">
        <v>11</v>
      </c>
      <c r="H903" s="29">
        <v>1001</v>
      </c>
      <c r="I903" s="4">
        <f>[1]卡维力!$AB12</f>
        <v>3823</v>
      </c>
      <c r="L903" s="30">
        <v>800</v>
      </c>
      <c r="M903" s="4">
        <f>[1]卡维力!W12</f>
        <v>487</v>
      </c>
      <c r="N903" s="4">
        <f>[1]卡维力!X12</f>
        <v>70</v>
      </c>
      <c r="O903" s="4">
        <f>[1]卡维力!Y12</f>
        <v>5808</v>
      </c>
      <c r="P903" s="4">
        <v>0</v>
      </c>
      <c r="Q903" s="4">
        <f>[1]卡维力!Z12</f>
        <v>2609</v>
      </c>
      <c r="R903" s="4">
        <v>2.5</v>
      </c>
      <c r="S903" s="4">
        <f>[1]卡维力!AA12</f>
        <v>34</v>
      </c>
      <c r="T903" s="4">
        <v>0</v>
      </c>
      <c r="U903" s="4">
        <v>0</v>
      </c>
      <c r="V903" s="4">
        <v>0</v>
      </c>
    </row>
    <row r="904" spans="1:22" x14ac:dyDescent="0.15">
      <c r="A904" s="4" t="s">
        <v>2662</v>
      </c>
      <c r="D904" s="4">
        <f t="shared" si="11"/>
        <v>53</v>
      </c>
      <c r="E904" s="4">
        <v>12</v>
      </c>
      <c r="H904" s="29">
        <v>1001</v>
      </c>
      <c r="I904" s="4">
        <f>[1]卡维力!$AB13</f>
        <v>3951</v>
      </c>
      <c r="L904" s="30">
        <v>800</v>
      </c>
      <c r="M904" s="4">
        <f>[1]卡维力!W13</f>
        <v>505</v>
      </c>
      <c r="N904" s="4">
        <f>[1]卡维力!X13</f>
        <v>76</v>
      </c>
      <c r="O904" s="4">
        <f>[1]卡维力!Y13</f>
        <v>5928</v>
      </c>
      <c r="P904" s="4">
        <v>0</v>
      </c>
      <c r="Q904" s="4">
        <f>[1]卡维力!Z13</f>
        <v>2619</v>
      </c>
      <c r="R904" s="4">
        <v>2.5</v>
      </c>
      <c r="S904" s="4">
        <f>[1]卡维力!AA13</f>
        <v>36</v>
      </c>
      <c r="T904" s="4">
        <v>0</v>
      </c>
      <c r="U904" s="4">
        <v>0</v>
      </c>
      <c r="V904" s="4">
        <v>0</v>
      </c>
    </row>
    <row r="905" spans="1:22" x14ac:dyDescent="0.15">
      <c r="A905" s="4" t="s">
        <v>2662</v>
      </c>
      <c r="D905" s="4">
        <f t="shared" si="11"/>
        <v>53</v>
      </c>
      <c r="E905" s="4">
        <v>13</v>
      </c>
      <c r="H905" s="29">
        <v>1001</v>
      </c>
      <c r="I905" s="4">
        <f>[1]卡维力!$AB14</f>
        <v>4079</v>
      </c>
      <c r="L905" s="30">
        <v>800</v>
      </c>
      <c r="M905" s="4">
        <f>[1]卡维力!W14</f>
        <v>523</v>
      </c>
      <c r="N905" s="4">
        <f>[1]卡维力!X14</f>
        <v>82</v>
      </c>
      <c r="O905" s="4">
        <f>[1]卡维力!Y14</f>
        <v>6048</v>
      </c>
      <c r="P905" s="4">
        <v>0</v>
      </c>
      <c r="Q905" s="4">
        <f>[1]卡维力!Z14</f>
        <v>2629</v>
      </c>
      <c r="R905" s="4">
        <v>2.5</v>
      </c>
      <c r="S905" s="4">
        <f>[1]卡维力!AA14</f>
        <v>38</v>
      </c>
      <c r="T905" s="4">
        <v>0</v>
      </c>
      <c r="U905" s="4">
        <v>0</v>
      </c>
      <c r="V905" s="4">
        <v>0</v>
      </c>
    </row>
    <row r="906" spans="1:22" x14ac:dyDescent="0.15">
      <c r="A906" s="4" t="s">
        <v>2662</v>
      </c>
      <c r="D906" s="4">
        <f t="shared" si="11"/>
        <v>53</v>
      </c>
      <c r="E906" s="4">
        <v>14</v>
      </c>
      <c r="H906" s="29">
        <v>1001</v>
      </c>
      <c r="I906" s="4">
        <f>[1]卡维力!$AB15</f>
        <v>4207</v>
      </c>
      <c r="L906" s="30">
        <v>800</v>
      </c>
      <c r="M906" s="4">
        <f>[1]卡维力!W15</f>
        <v>541</v>
      </c>
      <c r="N906" s="4">
        <f>[1]卡维力!X15</f>
        <v>88</v>
      </c>
      <c r="O906" s="4">
        <f>[1]卡维力!Y15</f>
        <v>6168</v>
      </c>
      <c r="P906" s="4">
        <v>0</v>
      </c>
      <c r="Q906" s="4">
        <f>[1]卡维力!Z15</f>
        <v>2639</v>
      </c>
      <c r="R906" s="4">
        <v>2.5</v>
      </c>
      <c r="S906" s="4">
        <f>[1]卡维力!AA15</f>
        <v>40</v>
      </c>
      <c r="T906" s="4">
        <v>0</v>
      </c>
      <c r="U906" s="4">
        <v>0</v>
      </c>
      <c r="V906" s="4">
        <v>0</v>
      </c>
    </row>
    <row r="907" spans="1:22" x14ac:dyDescent="0.15">
      <c r="A907" s="4" t="s">
        <v>2662</v>
      </c>
      <c r="D907" s="4">
        <f t="shared" si="11"/>
        <v>53</v>
      </c>
      <c r="E907" s="4">
        <v>15</v>
      </c>
      <c r="H907" s="29">
        <v>1001</v>
      </c>
      <c r="I907" s="4">
        <f>[1]卡维力!$AB16</f>
        <v>4336</v>
      </c>
      <c r="L907" s="30">
        <v>800</v>
      </c>
      <c r="M907" s="4">
        <f>[1]卡维力!W16</f>
        <v>559</v>
      </c>
      <c r="N907" s="4">
        <f>[1]卡维力!X16</f>
        <v>94</v>
      </c>
      <c r="O907" s="4">
        <f>[1]卡维力!Y16</f>
        <v>6288</v>
      </c>
      <c r="P907" s="4">
        <v>0</v>
      </c>
      <c r="Q907" s="4">
        <f>[1]卡维力!Z16</f>
        <v>2649</v>
      </c>
      <c r="R907" s="4">
        <v>2.5</v>
      </c>
      <c r="S907" s="4">
        <f>[1]卡维力!AA16</f>
        <v>42</v>
      </c>
      <c r="T907" s="4">
        <v>0</v>
      </c>
      <c r="U907" s="4">
        <v>0</v>
      </c>
      <c r="V907" s="4">
        <v>0</v>
      </c>
    </row>
    <row r="908" spans="1:22" x14ac:dyDescent="0.15">
      <c r="A908" s="4" t="s">
        <v>2662</v>
      </c>
      <c r="D908" s="4">
        <f t="shared" si="11"/>
        <v>53</v>
      </c>
      <c r="E908" s="4">
        <v>16</v>
      </c>
      <c r="H908" s="29">
        <v>1001</v>
      </c>
      <c r="I908" s="4">
        <f>[1]卡维力!$AB17</f>
        <v>4464</v>
      </c>
      <c r="L908" s="30">
        <v>800</v>
      </c>
      <c r="M908" s="4">
        <f>[1]卡维力!W17</f>
        <v>577</v>
      </c>
      <c r="N908" s="4">
        <f>[1]卡维力!X17</f>
        <v>100</v>
      </c>
      <c r="O908" s="4">
        <f>[1]卡维力!Y17</f>
        <v>6408</v>
      </c>
      <c r="P908" s="4">
        <v>0</v>
      </c>
      <c r="Q908" s="4">
        <f>[1]卡维力!Z17</f>
        <v>2659</v>
      </c>
      <c r="R908" s="4">
        <v>2.5</v>
      </c>
      <c r="S908" s="4">
        <f>[1]卡维力!AA17</f>
        <v>44</v>
      </c>
      <c r="T908" s="4">
        <v>0</v>
      </c>
      <c r="U908" s="4">
        <v>0</v>
      </c>
      <c r="V908" s="4">
        <v>0</v>
      </c>
    </row>
    <row r="909" spans="1:22" x14ac:dyDescent="0.15">
      <c r="A909" s="4" t="s">
        <v>2662</v>
      </c>
      <c r="D909" s="4">
        <f t="shared" si="11"/>
        <v>53</v>
      </c>
      <c r="E909" s="4">
        <v>17</v>
      </c>
      <c r="H909" s="29">
        <v>1001</v>
      </c>
      <c r="I909" s="4">
        <f>[1]卡维力!$AB18</f>
        <v>4592</v>
      </c>
      <c r="L909" s="30">
        <v>800</v>
      </c>
      <c r="M909" s="4">
        <f>[1]卡维力!W18</f>
        <v>595</v>
      </c>
      <c r="N909" s="4">
        <f>[1]卡维力!X18</f>
        <v>106</v>
      </c>
      <c r="O909" s="4">
        <f>[1]卡维力!Y18</f>
        <v>6528</v>
      </c>
      <c r="P909" s="4">
        <v>0</v>
      </c>
      <c r="Q909" s="4">
        <f>[1]卡维力!Z18</f>
        <v>2669</v>
      </c>
      <c r="R909" s="4">
        <v>2.5</v>
      </c>
      <c r="S909" s="4">
        <f>[1]卡维力!AA18</f>
        <v>46</v>
      </c>
      <c r="T909" s="4">
        <v>0</v>
      </c>
      <c r="U909" s="4">
        <v>0</v>
      </c>
      <c r="V909" s="4">
        <v>0</v>
      </c>
    </row>
    <row r="910" spans="1:22" x14ac:dyDescent="0.15">
      <c r="A910" s="4" t="s">
        <v>2662</v>
      </c>
      <c r="D910" s="4">
        <f t="shared" si="11"/>
        <v>53</v>
      </c>
      <c r="E910" s="4">
        <v>18</v>
      </c>
      <c r="H910" s="29">
        <v>1001</v>
      </c>
      <c r="I910" s="4">
        <f>[1]卡维力!$AB19</f>
        <v>4720</v>
      </c>
      <c r="L910" s="30">
        <v>800</v>
      </c>
      <c r="M910" s="4">
        <f>[1]卡维力!W19</f>
        <v>613</v>
      </c>
      <c r="N910" s="4">
        <f>[1]卡维力!X19</f>
        <v>112</v>
      </c>
      <c r="O910" s="4">
        <f>[1]卡维力!Y19</f>
        <v>6648</v>
      </c>
      <c r="P910" s="4">
        <v>0</v>
      </c>
      <c r="Q910" s="4">
        <f>[1]卡维力!Z19</f>
        <v>2679</v>
      </c>
      <c r="R910" s="4">
        <v>2.5</v>
      </c>
      <c r="S910" s="4">
        <f>[1]卡维力!AA19</f>
        <v>48</v>
      </c>
      <c r="T910" s="4">
        <v>0</v>
      </c>
      <c r="U910" s="4">
        <v>0</v>
      </c>
      <c r="V910" s="4">
        <v>0</v>
      </c>
    </row>
    <row r="911" spans="1:22" x14ac:dyDescent="0.15">
      <c r="A911" s="4" t="s">
        <v>2662</v>
      </c>
      <c r="D911" s="4">
        <f t="shared" si="11"/>
        <v>53</v>
      </c>
      <c r="E911" s="4">
        <v>19</v>
      </c>
      <c r="H911" s="29">
        <v>1001</v>
      </c>
      <c r="I911" s="4">
        <f>[1]卡维力!$AB20</f>
        <v>4848</v>
      </c>
      <c r="L911" s="30">
        <v>800</v>
      </c>
      <c r="M911" s="4">
        <f>[1]卡维力!W20</f>
        <v>631</v>
      </c>
      <c r="N911" s="4">
        <f>[1]卡维力!X20</f>
        <v>118</v>
      </c>
      <c r="O911" s="4">
        <f>[1]卡维力!Y20</f>
        <v>6768</v>
      </c>
      <c r="P911" s="4">
        <v>0</v>
      </c>
      <c r="Q911" s="4">
        <f>[1]卡维力!Z20</f>
        <v>2689</v>
      </c>
      <c r="R911" s="4">
        <v>2.5</v>
      </c>
      <c r="S911" s="4">
        <f>[1]卡维力!AA20</f>
        <v>50</v>
      </c>
      <c r="T911" s="4">
        <v>0</v>
      </c>
      <c r="U911" s="4">
        <v>0</v>
      </c>
      <c r="V911" s="4">
        <v>0</v>
      </c>
    </row>
    <row r="912" spans="1:22" x14ac:dyDescent="0.15">
      <c r="A912" s="4" t="s">
        <v>2662</v>
      </c>
      <c r="D912" s="4">
        <f t="shared" si="11"/>
        <v>53</v>
      </c>
      <c r="E912" s="4">
        <v>20</v>
      </c>
      <c r="H912" s="29">
        <v>1001</v>
      </c>
      <c r="I912" s="4">
        <f>[1]卡维力!$AB21</f>
        <v>4977</v>
      </c>
      <c r="L912" s="30">
        <v>800</v>
      </c>
      <c r="M912" s="4">
        <f>[1]卡维力!W21</f>
        <v>649</v>
      </c>
      <c r="N912" s="4">
        <f>[1]卡维力!X21</f>
        <v>124</v>
      </c>
      <c r="O912" s="4">
        <f>[1]卡维力!Y21</f>
        <v>6888</v>
      </c>
      <c r="P912" s="4">
        <v>0</v>
      </c>
      <c r="Q912" s="4">
        <f>[1]卡维力!Z21</f>
        <v>2699</v>
      </c>
      <c r="R912" s="4">
        <v>2.5</v>
      </c>
      <c r="S912" s="4">
        <f>[1]卡维力!AA21</f>
        <v>52</v>
      </c>
      <c r="T912" s="4">
        <v>0</v>
      </c>
      <c r="U912" s="4">
        <v>0</v>
      </c>
      <c r="V912" s="4">
        <v>0</v>
      </c>
    </row>
    <row r="913" spans="1:22" x14ac:dyDescent="0.15">
      <c r="A913" s="4" t="s">
        <v>2662</v>
      </c>
      <c r="D913" s="4">
        <f t="shared" si="11"/>
        <v>53</v>
      </c>
      <c r="E913" s="4">
        <v>21</v>
      </c>
      <c r="H913" s="29">
        <v>1001</v>
      </c>
      <c r="I913" s="4">
        <f>[1]卡维力!$AB22</f>
        <v>5105</v>
      </c>
      <c r="L913" s="30">
        <v>800</v>
      </c>
      <c r="M913" s="4">
        <f>[1]卡维力!W22</f>
        <v>667</v>
      </c>
      <c r="N913" s="4">
        <f>[1]卡维力!X22</f>
        <v>130</v>
      </c>
      <c r="O913" s="4">
        <f>[1]卡维力!Y22</f>
        <v>7008</v>
      </c>
      <c r="P913" s="4">
        <v>0</v>
      </c>
      <c r="Q913" s="4">
        <f>[1]卡维力!Z22</f>
        <v>2709</v>
      </c>
      <c r="R913" s="4">
        <v>2.5</v>
      </c>
      <c r="S913" s="4">
        <f>[1]卡维力!AA22</f>
        <v>54</v>
      </c>
      <c r="T913" s="4">
        <v>0</v>
      </c>
      <c r="U913" s="4">
        <v>0</v>
      </c>
      <c r="V913" s="4">
        <v>0</v>
      </c>
    </row>
    <row r="914" spans="1:22" x14ac:dyDescent="0.15">
      <c r="A914" s="4" t="s">
        <v>2662</v>
      </c>
      <c r="D914" s="4">
        <f t="shared" si="11"/>
        <v>53</v>
      </c>
      <c r="E914" s="4">
        <v>22</v>
      </c>
      <c r="H914" s="29">
        <v>1001</v>
      </c>
      <c r="I914" s="4">
        <f>[1]卡维力!$AB23</f>
        <v>5233</v>
      </c>
      <c r="L914" s="30">
        <v>800</v>
      </c>
      <c r="M914" s="4">
        <f>[1]卡维力!W23</f>
        <v>685</v>
      </c>
      <c r="N914" s="4">
        <f>[1]卡维力!X23</f>
        <v>136</v>
      </c>
      <c r="O914" s="4">
        <f>[1]卡维力!Y23</f>
        <v>7128</v>
      </c>
      <c r="P914" s="4">
        <v>0</v>
      </c>
      <c r="Q914" s="4">
        <f>[1]卡维力!Z23</f>
        <v>2719</v>
      </c>
      <c r="R914" s="4">
        <v>2.5</v>
      </c>
      <c r="S914" s="4">
        <f>[1]卡维力!AA23</f>
        <v>56</v>
      </c>
      <c r="T914" s="4">
        <v>0</v>
      </c>
      <c r="U914" s="4">
        <v>0</v>
      </c>
      <c r="V914" s="4">
        <v>0</v>
      </c>
    </row>
    <row r="915" spans="1:22" x14ac:dyDescent="0.15">
      <c r="A915" s="4" t="s">
        <v>2662</v>
      </c>
      <c r="D915" s="4">
        <f t="shared" si="11"/>
        <v>53</v>
      </c>
      <c r="E915" s="4">
        <v>23</v>
      </c>
      <c r="H915" s="29">
        <v>1001</v>
      </c>
      <c r="I915" s="4">
        <f>[1]卡维力!$AB24</f>
        <v>5361</v>
      </c>
      <c r="L915" s="30">
        <v>800</v>
      </c>
      <c r="M915" s="4">
        <f>[1]卡维力!W24</f>
        <v>703</v>
      </c>
      <c r="N915" s="4">
        <f>[1]卡维力!X24</f>
        <v>142</v>
      </c>
      <c r="O915" s="4">
        <f>[1]卡维力!Y24</f>
        <v>7248</v>
      </c>
      <c r="P915" s="4">
        <v>0</v>
      </c>
      <c r="Q915" s="4">
        <f>[1]卡维力!Z24</f>
        <v>2729</v>
      </c>
      <c r="R915" s="4">
        <v>2.5</v>
      </c>
      <c r="S915" s="4">
        <f>[1]卡维力!AA24</f>
        <v>58</v>
      </c>
      <c r="T915" s="4">
        <v>0</v>
      </c>
      <c r="U915" s="4">
        <v>0</v>
      </c>
      <c r="V915" s="4">
        <v>0</v>
      </c>
    </row>
    <row r="916" spans="1:22" x14ac:dyDescent="0.15">
      <c r="A916" s="4" t="s">
        <v>2662</v>
      </c>
      <c r="D916" s="4">
        <f t="shared" si="11"/>
        <v>53</v>
      </c>
      <c r="E916" s="4">
        <v>24</v>
      </c>
      <c r="H916" s="29">
        <v>1001</v>
      </c>
      <c r="I916" s="4">
        <f>[1]卡维力!$AB25</f>
        <v>5489</v>
      </c>
      <c r="L916" s="30">
        <v>800</v>
      </c>
      <c r="M916" s="4">
        <f>[1]卡维力!W25</f>
        <v>721</v>
      </c>
      <c r="N916" s="4">
        <f>[1]卡维力!X25</f>
        <v>148</v>
      </c>
      <c r="O916" s="4">
        <f>[1]卡维力!Y25</f>
        <v>7368</v>
      </c>
      <c r="P916" s="4">
        <v>0</v>
      </c>
      <c r="Q916" s="4">
        <f>[1]卡维力!Z25</f>
        <v>2739</v>
      </c>
      <c r="R916" s="4">
        <v>2.5</v>
      </c>
      <c r="S916" s="4">
        <f>[1]卡维力!AA25</f>
        <v>60</v>
      </c>
      <c r="T916" s="4">
        <v>0</v>
      </c>
      <c r="U916" s="4">
        <v>0</v>
      </c>
      <c r="V916" s="4">
        <v>0</v>
      </c>
    </row>
    <row r="917" spans="1:22" x14ac:dyDescent="0.15">
      <c r="A917" s="4" t="s">
        <v>2662</v>
      </c>
      <c r="D917" s="4">
        <f t="shared" si="11"/>
        <v>53</v>
      </c>
      <c r="E917" s="4">
        <v>25</v>
      </c>
      <c r="H917" s="29">
        <v>1001</v>
      </c>
      <c r="I917" s="4">
        <f>[1]卡维力!$AB26</f>
        <v>5618</v>
      </c>
      <c r="L917" s="30">
        <v>800</v>
      </c>
      <c r="M917" s="4">
        <f>[1]卡维力!W26</f>
        <v>739</v>
      </c>
      <c r="N917" s="4">
        <f>[1]卡维力!X26</f>
        <v>154</v>
      </c>
      <c r="O917" s="4">
        <f>[1]卡维力!Y26</f>
        <v>7488</v>
      </c>
      <c r="P917" s="4">
        <v>0</v>
      </c>
      <c r="Q917" s="4">
        <f>[1]卡维力!Z26</f>
        <v>2749</v>
      </c>
      <c r="R917" s="4">
        <v>2.5</v>
      </c>
      <c r="S917" s="4">
        <f>[1]卡维力!AA26</f>
        <v>62</v>
      </c>
      <c r="T917" s="4">
        <v>0</v>
      </c>
      <c r="U917" s="4">
        <v>0</v>
      </c>
      <c r="V917" s="4">
        <v>0</v>
      </c>
    </row>
    <row r="918" spans="1:22" x14ac:dyDescent="0.15">
      <c r="A918" s="4" t="s">
        <v>2662</v>
      </c>
      <c r="D918" s="4">
        <f t="shared" si="11"/>
        <v>53</v>
      </c>
      <c r="E918" s="4">
        <v>26</v>
      </c>
      <c r="H918" s="29">
        <v>1001</v>
      </c>
      <c r="I918" s="4">
        <f>[1]卡维力!$AB27</f>
        <v>5746</v>
      </c>
      <c r="L918" s="30">
        <v>800</v>
      </c>
      <c r="M918" s="4">
        <f>[1]卡维力!W27</f>
        <v>757</v>
      </c>
      <c r="N918" s="4">
        <f>[1]卡维力!X27</f>
        <v>160</v>
      </c>
      <c r="O918" s="4">
        <f>[1]卡维力!Y27</f>
        <v>7608</v>
      </c>
      <c r="P918" s="4">
        <v>0</v>
      </c>
      <c r="Q918" s="4">
        <f>[1]卡维力!Z27</f>
        <v>2759</v>
      </c>
      <c r="R918" s="4">
        <v>2.5</v>
      </c>
      <c r="S918" s="4">
        <f>[1]卡维力!AA27</f>
        <v>64</v>
      </c>
      <c r="T918" s="4">
        <v>0</v>
      </c>
      <c r="U918" s="4">
        <v>0</v>
      </c>
      <c r="V918" s="4">
        <v>0</v>
      </c>
    </row>
    <row r="919" spans="1:22" x14ac:dyDescent="0.15">
      <c r="A919" s="4" t="s">
        <v>2662</v>
      </c>
      <c r="D919" s="4">
        <f t="shared" si="11"/>
        <v>53</v>
      </c>
      <c r="E919" s="4">
        <v>27</v>
      </c>
      <c r="H919" s="29">
        <v>1001</v>
      </c>
      <c r="I919" s="4">
        <f>[1]卡维力!$AB28</f>
        <v>5874</v>
      </c>
      <c r="L919" s="30">
        <v>800</v>
      </c>
      <c r="M919" s="4">
        <f>[1]卡维力!W28</f>
        <v>775</v>
      </c>
      <c r="N919" s="4">
        <f>[1]卡维力!X28</f>
        <v>166</v>
      </c>
      <c r="O919" s="4">
        <f>[1]卡维力!Y28</f>
        <v>7728</v>
      </c>
      <c r="P919" s="4">
        <v>0</v>
      </c>
      <c r="Q919" s="4">
        <f>[1]卡维力!Z28</f>
        <v>2769</v>
      </c>
      <c r="R919" s="4">
        <v>2.5</v>
      </c>
      <c r="S919" s="4">
        <f>[1]卡维力!AA28</f>
        <v>66</v>
      </c>
      <c r="T919" s="4">
        <v>0</v>
      </c>
      <c r="U919" s="4">
        <v>0</v>
      </c>
      <c r="V919" s="4">
        <v>0</v>
      </c>
    </row>
    <row r="920" spans="1:22" x14ac:dyDescent="0.15">
      <c r="A920" s="4" t="s">
        <v>2662</v>
      </c>
      <c r="D920" s="4">
        <f t="shared" si="11"/>
        <v>53</v>
      </c>
      <c r="E920" s="4">
        <v>28</v>
      </c>
      <c r="H920" s="29">
        <v>1001</v>
      </c>
      <c r="I920" s="4">
        <f>[1]卡维力!$AB29</f>
        <v>6002</v>
      </c>
      <c r="L920" s="30">
        <v>800</v>
      </c>
      <c r="M920" s="4">
        <f>[1]卡维力!W29</f>
        <v>793</v>
      </c>
      <c r="N920" s="4">
        <f>[1]卡维力!X29</f>
        <v>172</v>
      </c>
      <c r="O920" s="4">
        <f>[1]卡维力!Y29</f>
        <v>7848</v>
      </c>
      <c r="P920" s="4">
        <v>0</v>
      </c>
      <c r="Q920" s="4">
        <f>[1]卡维力!Z29</f>
        <v>2779</v>
      </c>
      <c r="R920" s="4">
        <v>2.5</v>
      </c>
      <c r="S920" s="4">
        <f>[1]卡维力!AA29</f>
        <v>68</v>
      </c>
      <c r="T920" s="4">
        <v>0</v>
      </c>
      <c r="U920" s="4">
        <v>0</v>
      </c>
      <c r="V920" s="4">
        <v>0</v>
      </c>
    </row>
    <row r="921" spans="1:22" x14ac:dyDescent="0.15">
      <c r="A921" s="4" t="s">
        <v>2662</v>
      </c>
      <c r="D921" s="4">
        <f t="shared" si="11"/>
        <v>53</v>
      </c>
      <c r="E921" s="4">
        <v>29</v>
      </c>
      <c r="H921" s="29">
        <v>1001</v>
      </c>
      <c r="I921" s="4">
        <f>[1]卡维力!$AB30</f>
        <v>6130</v>
      </c>
      <c r="L921" s="30">
        <v>800</v>
      </c>
      <c r="M921" s="4">
        <f>[1]卡维力!W30</f>
        <v>811</v>
      </c>
      <c r="N921" s="4">
        <f>[1]卡维力!X30</f>
        <v>178</v>
      </c>
      <c r="O921" s="4">
        <f>[1]卡维力!Y30</f>
        <v>7968</v>
      </c>
      <c r="P921" s="4">
        <v>0</v>
      </c>
      <c r="Q921" s="4">
        <f>[1]卡维力!Z30</f>
        <v>2789</v>
      </c>
      <c r="R921" s="4">
        <v>2.5</v>
      </c>
      <c r="S921" s="4">
        <f>[1]卡维力!AA30</f>
        <v>70</v>
      </c>
      <c r="T921" s="4">
        <v>0</v>
      </c>
      <c r="U921" s="4">
        <v>0</v>
      </c>
      <c r="V921" s="4">
        <v>0</v>
      </c>
    </row>
    <row r="922" spans="1:22" x14ac:dyDescent="0.15">
      <c r="A922" s="4" t="s">
        <v>2662</v>
      </c>
      <c r="D922" s="4">
        <f t="shared" si="11"/>
        <v>53</v>
      </c>
      <c r="E922" s="4">
        <v>30</v>
      </c>
      <c r="H922" s="29">
        <v>1001</v>
      </c>
      <c r="I922" s="4">
        <f>[1]卡维力!$AB31</f>
        <v>6259</v>
      </c>
      <c r="L922" s="30">
        <v>800</v>
      </c>
      <c r="M922" s="4">
        <f>[1]卡维力!W31</f>
        <v>829</v>
      </c>
      <c r="N922" s="4">
        <f>[1]卡维力!X31</f>
        <v>184</v>
      </c>
      <c r="O922" s="4">
        <f>[1]卡维力!Y31</f>
        <v>8088</v>
      </c>
      <c r="P922" s="4">
        <v>0</v>
      </c>
      <c r="Q922" s="4">
        <f>[1]卡维力!Z31</f>
        <v>2799</v>
      </c>
      <c r="R922" s="4">
        <v>2.5</v>
      </c>
      <c r="S922" s="4">
        <f>[1]卡维力!AA31</f>
        <v>72</v>
      </c>
      <c r="T922" s="4">
        <v>0</v>
      </c>
      <c r="U922" s="4">
        <v>0</v>
      </c>
      <c r="V922" s="4">
        <v>0</v>
      </c>
    </row>
    <row r="923" spans="1:22" x14ac:dyDescent="0.15">
      <c r="A923" s="4" t="s">
        <v>2662</v>
      </c>
      <c r="D923" s="4">
        <f t="shared" si="11"/>
        <v>53</v>
      </c>
      <c r="E923" s="4">
        <v>31</v>
      </c>
      <c r="H923" s="29">
        <v>1001</v>
      </c>
      <c r="I923" s="4">
        <f>[1]卡维力!$AB32</f>
        <v>6387</v>
      </c>
      <c r="L923" s="30">
        <v>800</v>
      </c>
      <c r="M923" s="4">
        <f>[1]卡维力!W32</f>
        <v>847</v>
      </c>
      <c r="N923" s="4">
        <f>[1]卡维力!X32</f>
        <v>190</v>
      </c>
      <c r="O923" s="4">
        <f>[1]卡维力!Y32</f>
        <v>8208</v>
      </c>
      <c r="P923" s="4">
        <v>0</v>
      </c>
      <c r="Q923" s="4">
        <f>[1]卡维力!Z32</f>
        <v>2809</v>
      </c>
      <c r="R923" s="4">
        <v>2.5</v>
      </c>
      <c r="S923" s="4">
        <f>[1]卡维力!AA32</f>
        <v>74</v>
      </c>
      <c r="T923" s="4">
        <v>0</v>
      </c>
      <c r="U923" s="4">
        <v>0</v>
      </c>
      <c r="V923" s="4">
        <v>0</v>
      </c>
    </row>
    <row r="924" spans="1:22" x14ac:dyDescent="0.15">
      <c r="A924" s="4" t="s">
        <v>2662</v>
      </c>
      <c r="D924" s="4">
        <f t="shared" si="11"/>
        <v>53</v>
      </c>
      <c r="E924" s="4">
        <v>32</v>
      </c>
      <c r="H924" s="29">
        <v>1001</v>
      </c>
      <c r="I924" s="4">
        <f>[1]卡维力!$AB33</f>
        <v>6515</v>
      </c>
      <c r="L924" s="30">
        <v>800</v>
      </c>
      <c r="M924" s="4">
        <f>[1]卡维力!W33</f>
        <v>865</v>
      </c>
      <c r="N924" s="4">
        <f>[1]卡维力!X33</f>
        <v>196</v>
      </c>
      <c r="O924" s="4">
        <f>[1]卡维力!Y33</f>
        <v>8328</v>
      </c>
      <c r="P924" s="4">
        <v>0</v>
      </c>
      <c r="Q924" s="4">
        <f>[1]卡维力!Z33</f>
        <v>2819</v>
      </c>
      <c r="R924" s="4">
        <v>2.5</v>
      </c>
      <c r="S924" s="4">
        <f>[1]卡维力!AA33</f>
        <v>76</v>
      </c>
      <c r="T924" s="4">
        <v>0</v>
      </c>
      <c r="U924" s="4">
        <v>0</v>
      </c>
      <c r="V924" s="4">
        <v>0</v>
      </c>
    </row>
    <row r="925" spans="1:22" x14ac:dyDescent="0.15">
      <c r="A925" s="4" t="s">
        <v>2662</v>
      </c>
      <c r="D925" s="4">
        <f t="shared" si="11"/>
        <v>53</v>
      </c>
      <c r="E925" s="4">
        <v>33</v>
      </c>
      <c r="H925" s="29">
        <v>1001</v>
      </c>
      <c r="I925" s="4">
        <f>[1]卡维力!$AB34</f>
        <v>6643</v>
      </c>
      <c r="L925" s="30">
        <v>800</v>
      </c>
      <c r="M925" s="4">
        <f>[1]卡维力!W34</f>
        <v>883</v>
      </c>
      <c r="N925" s="4">
        <f>[1]卡维力!X34</f>
        <v>202</v>
      </c>
      <c r="O925" s="4">
        <f>[1]卡维力!Y34</f>
        <v>8448</v>
      </c>
      <c r="P925" s="4">
        <v>0</v>
      </c>
      <c r="Q925" s="4">
        <f>[1]卡维力!Z34</f>
        <v>2829</v>
      </c>
      <c r="R925" s="4">
        <v>2.5</v>
      </c>
      <c r="S925" s="4">
        <f>[1]卡维力!AA34</f>
        <v>78</v>
      </c>
      <c r="T925" s="4">
        <v>0</v>
      </c>
      <c r="U925" s="4">
        <v>0</v>
      </c>
      <c r="V925" s="4">
        <v>0</v>
      </c>
    </row>
    <row r="926" spans="1:22" x14ac:dyDescent="0.15">
      <c r="A926" s="4" t="s">
        <v>2662</v>
      </c>
      <c r="D926" s="4">
        <f t="shared" si="11"/>
        <v>53</v>
      </c>
      <c r="E926" s="4">
        <v>34</v>
      </c>
      <c r="H926" s="29">
        <v>1001</v>
      </c>
      <c r="I926" s="4">
        <f>[1]卡维力!$AB35</f>
        <v>6771</v>
      </c>
      <c r="L926" s="30">
        <v>800</v>
      </c>
      <c r="M926" s="4">
        <f>[1]卡维力!W35</f>
        <v>901</v>
      </c>
      <c r="N926" s="4">
        <f>[1]卡维力!X35</f>
        <v>208</v>
      </c>
      <c r="O926" s="4">
        <f>[1]卡维力!Y35</f>
        <v>8568</v>
      </c>
      <c r="P926" s="4">
        <v>0</v>
      </c>
      <c r="Q926" s="4">
        <f>[1]卡维力!Z35</f>
        <v>2839</v>
      </c>
      <c r="R926" s="4">
        <v>2.5</v>
      </c>
      <c r="S926" s="4">
        <f>[1]卡维力!AA35</f>
        <v>80</v>
      </c>
      <c r="T926" s="4">
        <v>0</v>
      </c>
      <c r="U926" s="4">
        <v>0</v>
      </c>
      <c r="V926" s="4">
        <v>0</v>
      </c>
    </row>
    <row r="927" spans="1:22" x14ac:dyDescent="0.15">
      <c r="A927" s="4" t="s">
        <v>2662</v>
      </c>
      <c r="D927" s="4">
        <f t="shared" si="11"/>
        <v>53</v>
      </c>
      <c r="E927" s="4">
        <v>35</v>
      </c>
      <c r="H927" s="29">
        <v>1001</v>
      </c>
      <c r="I927" s="4">
        <f>[1]卡维力!$AB36</f>
        <v>6900</v>
      </c>
      <c r="L927" s="30">
        <v>800</v>
      </c>
      <c r="M927" s="4">
        <f>[1]卡维力!W36</f>
        <v>919</v>
      </c>
      <c r="N927" s="4">
        <f>[1]卡维力!X36</f>
        <v>214</v>
      </c>
      <c r="O927" s="4">
        <f>[1]卡维力!Y36</f>
        <v>8688</v>
      </c>
      <c r="P927" s="4">
        <v>0</v>
      </c>
      <c r="Q927" s="4">
        <f>[1]卡维力!Z36</f>
        <v>2849</v>
      </c>
      <c r="R927" s="4">
        <v>2.5</v>
      </c>
      <c r="S927" s="4">
        <f>[1]卡维力!AA36</f>
        <v>82</v>
      </c>
      <c r="T927" s="4">
        <v>0</v>
      </c>
      <c r="U927" s="4">
        <v>0</v>
      </c>
      <c r="V927" s="4">
        <v>0</v>
      </c>
    </row>
    <row r="928" spans="1:22" x14ac:dyDescent="0.15">
      <c r="A928" s="4" t="s">
        <v>2662</v>
      </c>
      <c r="D928" s="4">
        <f t="shared" si="11"/>
        <v>53</v>
      </c>
      <c r="E928" s="4">
        <v>36</v>
      </c>
      <c r="H928" s="29">
        <v>1001</v>
      </c>
      <c r="I928" s="4">
        <f>[1]卡维力!$AB37</f>
        <v>7028</v>
      </c>
      <c r="L928" s="30">
        <v>800</v>
      </c>
      <c r="M928" s="4">
        <f>[1]卡维力!W37</f>
        <v>937</v>
      </c>
      <c r="N928" s="4">
        <f>[1]卡维力!X37</f>
        <v>220</v>
      </c>
      <c r="O928" s="4">
        <f>[1]卡维力!Y37</f>
        <v>8808</v>
      </c>
      <c r="P928" s="4">
        <v>0</v>
      </c>
      <c r="Q928" s="4">
        <f>[1]卡维力!Z37</f>
        <v>2859</v>
      </c>
      <c r="R928" s="4">
        <v>2.5</v>
      </c>
      <c r="S928" s="4">
        <f>[1]卡维力!AA37</f>
        <v>84</v>
      </c>
      <c r="T928" s="4">
        <v>0</v>
      </c>
      <c r="U928" s="4">
        <v>0</v>
      </c>
      <c r="V928" s="4">
        <v>0</v>
      </c>
    </row>
    <row r="929" spans="1:22" x14ac:dyDescent="0.15">
      <c r="A929" s="4" t="s">
        <v>2662</v>
      </c>
      <c r="D929" s="4">
        <f t="shared" si="11"/>
        <v>53</v>
      </c>
      <c r="E929" s="4">
        <v>37</v>
      </c>
      <c r="H929" s="29">
        <v>1001</v>
      </c>
      <c r="I929" s="4">
        <f>[1]卡维力!$AB38</f>
        <v>7156</v>
      </c>
      <c r="L929" s="30">
        <v>800</v>
      </c>
      <c r="M929" s="4">
        <f>[1]卡维力!W38</f>
        <v>955</v>
      </c>
      <c r="N929" s="4">
        <f>[1]卡维力!X38</f>
        <v>226</v>
      </c>
      <c r="O929" s="4">
        <f>[1]卡维力!Y38</f>
        <v>8928</v>
      </c>
      <c r="P929" s="4">
        <v>0</v>
      </c>
      <c r="Q929" s="4">
        <f>[1]卡维力!Z38</f>
        <v>2869</v>
      </c>
      <c r="R929" s="4">
        <v>2.5</v>
      </c>
      <c r="S929" s="4">
        <f>[1]卡维力!AA38</f>
        <v>86</v>
      </c>
      <c r="T929" s="4">
        <v>0</v>
      </c>
      <c r="U929" s="4">
        <v>0</v>
      </c>
      <c r="V929" s="4">
        <v>0</v>
      </c>
    </row>
    <row r="930" spans="1:22" x14ac:dyDescent="0.15">
      <c r="A930" s="4" t="s">
        <v>2662</v>
      </c>
      <c r="D930" s="4">
        <f t="shared" si="11"/>
        <v>53</v>
      </c>
      <c r="E930" s="4">
        <v>38</v>
      </c>
      <c r="H930" s="29">
        <v>1001</v>
      </c>
      <c r="I930" s="4">
        <f>[1]卡维力!$AB39</f>
        <v>7284</v>
      </c>
      <c r="L930" s="30">
        <v>800</v>
      </c>
      <c r="M930" s="4">
        <f>[1]卡维力!W39</f>
        <v>973</v>
      </c>
      <c r="N930" s="4">
        <f>[1]卡维力!X39</f>
        <v>232</v>
      </c>
      <c r="O930" s="4">
        <f>[1]卡维力!Y39</f>
        <v>9048</v>
      </c>
      <c r="P930" s="4">
        <v>0</v>
      </c>
      <c r="Q930" s="4">
        <f>[1]卡维力!Z39</f>
        <v>2879</v>
      </c>
      <c r="R930" s="4">
        <v>2.5</v>
      </c>
      <c r="S930" s="4">
        <f>[1]卡维力!AA39</f>
        <v>88</v>
      </c>
      <c r="T930" s="4">
        <v>0</v>
      </c>
      <c r="U930" s="4">
        <v>0</v>
      </c>
      <c r="V930" s="4">
        <v>0</v>
      </c>
    </row>
    <row r="931" spans="1:22" x14ac:dyDescent="0.15">
      <c r="A931" s="4" t="s">
        <v>2662</v>
      </c>
      <c r="D931" s="4">
        <f t="shared" si="11"/>
        <v>53</v>
      </c>
      <c r="E931" s="4">
        <v>39</v>
      </c>
      <c r="H931" s="29">
        <v>1001</v>
      </c>
      <c r="I931" s="4">
        <f>[1]卡维力!$AB40</f>
        <v>7412</v>
      </c>
      <c r="L931" s="30">
        <v>800</v>
      </c>
      <c r="M931" s="4">
        <f>[1]卡维力!W40</f>
        <v>991</v>
      </c>
      <c r="N931" s="4">
        <f>[1]卡维力!X40</f>
        <v>238</v>
      </c>
      <c r="O931" s="4">
        <f>[1]卡维力!Y40</f>
        <v>9168</v>
      </c>
      <c r="P931" s="4">
        <v>0</v>
      </c>
      <c r="Q931" s="4">
        <f>[1]卡维力!Z40</f>
        <v>2889</v>
      </c>
      <c r="R931" s="4">
        <v>2.5</v>
      </c>
      <c r="S931" s="4">
        <f>[1]卡维力!AA40</f>
        <v>90</v>
      </c>
      <c r="T931" s="4">
        <v>0</v>
      </c>
      <c r="U931" s="4">
        <v>0</v>
      </c>
      <c r="V931" s="4">
        <v>0</v>
      </c>
    </row>
    <row r="932" spans="1:22" x14ac:dyDescent="0.15">
      <c r="A932" s="4" t="s">
        <v>2662</v>
      </c>
      <c r="D932" s="4">
        <f t="shared" si="11"/>
        <v>53</v>
      </c>
      <c r="E932" s="4">
        <v>40</v>
      </c>
      <c r="H932" s="29">
        <v>1001</v>
      </c>
      <c r="I932" s="4">
        <f>[1]卡维力!$AB41</f>
        <v>7541</v>
      </c>
      <c r="L932" s="30">
        <v>800</v>
      </c>
      <c r="M932" s="4">
        <f>[1]卡维力!W41</f>
        <v>1009</v>
      </c>
      <c r="N932" s="4">
        <f>[1]卡维力!X41</f>
        <v>244</v>
      </c>
      <c r="O932" s="4">
        <f>[1]卡维力!Y41</f>
        <v>9288</v>
      </c>
      <c r="P932" s="4">
        <v>0</v>
      </c>
      <c r="Q932" s="4">
        <f>[1]卡维力!Z41</f>
        <v>2899</v>
      </c>
      <c r="R932" s="4">
        <v>2.5</v>
      </c>
      <c r="S932" s="4">
        <f>[1]卡维力!AA41</f>
        <v>92</v>
      </c>
      <c r="T932" s="4">
        <v>0</v>
      </c>
      <c r="U932" s="4">
        <v>0</v>
      </c>
      <c r="V932" s="4">
        <v>0</v>
      </c>
    </row>
    <row r="933" spans="1:22" x14ac:dyDescent="0.15">
      <c r="A933" s="4" t="s">
        <v>2662</v>
      </c>
      <c r="D933" s="4">
        <f t="shared" si="11"/>
        <v>53</v>
      </c>
      <c r="E933" s="4">
        <v>41</v>
      </c>
      <c r="H933" s="29">
        <v>1001</v>
      </c>
      <c r="I933" s="4">
        <f>[1]卡维力!$AB42</f>
        <v>7669</v>
      </c>
      <c r="L933" s="30">
        <v>800</v>
      </c>
      <c r="M933" s="4">
        <f>[1]卡维力!W42</f>
        <v>1027</v>
      </c>
      <c r="N933" s="4">
        <f>[1]卡维力!X42</f>
        <v>250</v>
      </c>
      <c r="O933" s="4">
        <f>[1]卡维力!Y42</f>
        <v>9408</v>
      </c>
      <c r="P933" s="4">
        <v>0</v>
      </c>
      <c r="Q933" s="4">
        <f>[1]卡维力!Z42</f>
        <v>2909</v>
      </c>
      <c r="R933" s="4">
        <v>2.5</v>
      </c>
      <c r="S933" s="4">
        <f>[1]卡维力!AA42</f>
        <v>94</v>
      </c>
      <c r="T933" s="4">
        <v>0</v>
      </c>
      <c r="U933" s="4">
        <v>0</v>
      </c>
      <c r="V933" s="4">
        <v>0</v>
      </c>
    </row>
    <row r="934" spans="1:22" x14ac:dyDescent="0.15">
      <c r="A934" s="4" t="s">
        <v>2662</v>
      </c>
      <c r="D934" s="4">
        <f t="shared" si="11"/>
        <v>53</v>
      </c>
      <c r="E934" s="4">
        <v>42</v>
      </c>
      <c r="H934" s="29">
        <v>1001</v>
      </c>
      <c r="I934" s="4">
        <f>[1]卡维力!$AB43</f>
        <v>7797</v>
      </c>
      <c r="L934" s="30">
        <v>800</v>
      </c>
      <c r="M934" s="4">
        <f>[1]卡维力!W43</f>
        <v>1045</v>
      </c>
      <c r="N934" s="4">
        <f>[1]卡维力!X43</f>
        <v>256</v>
      </c>
      <c r="O934" s="4">
        <f>[1]卡维力!Y43</f>
        <v>9528</v>
      </c>
      <c r="P934" s="4">
        <v>0</v>
      </c>
      <c r="Q934" s="4">
        <f>[1]卡维力!Z43</f>
        <v>2919</v>
      </c>
      <c r="R934" s="4">
        <v>2.5</v>
      </c>
      <c r="S934" s="4">
        <f>[1]卡维力!AA43</f>
        <v>96</v>
      </c>
      <c r="T934" s="4">
        <v>0</v>
      </c>
      <c r="U934" s="4">
        <v>0</v>
      </c>
      <c r="V934" s="4">
        <v>0</v>
      </c>
    </row>
    <row r="935" spans="1:22" x14ac:dyDescent="0.15">
      <c r="A935" s="4" t="s">
        <v>2662</v>
      </c>
      <c r="D935" s="4">
        <f t="shared" si="11"/>
        <v>53</v>
      </c>
      <c r="E935" s="4">
        <v>43</v>
      </c>
      <c r="H935" s="29">
        <v>1001</v>
      </c>
      <c r="I935" s="4">
        <f>[1]卡维力!$AB44</f>
        <v>7925</v>
      </c>
      <c r="L935" s="30">
        <v>800</v>
      </c>
      <c r="M935" s="4">
        <f>[1]卡维力!W44</f>
        <v>1063</v>
      </c>
      <c r="N935" s="4">
        <f>[1]卡维力!X44</f>
        <v>262</v>
      </c>
      <c r="O935" s="4">
        <f>[1]卡维力!Y44</f>
        <v>9648</v>
      </c>
      <c r="P935" s="4">
        <v>0</v>
      </c>
      <c r="Q935" s="4">
        <f>[1]卡维力!Z44</f>
        <v>2929</v>
      </c>
      <c r="R935" s="4">
        <v>2.5</v>
      </c>
      <c r="S935" s="4">
        <f>[1]卡维力!AA44</f>
        <v>98</v>
      </c>
      <c r="T935" s="4">
        <v>0</v>
      </c>
      <c r="U935" s="4">
        <v>0</v>
      </c>
      <c r="V935" s="4">
        <v>0</v>
      </c>
    </row>
    <row r="936" spans="1:22" x14ac:dyDescent="0.15">
      <c r="A936" s="4" t="s">
        <v>2662</v>
      </c>
      <c r="D936" s="4">
        <f t="shared" si="11"/>
        <v>53</v>
      </c>
      <c r="E936" s="4">
        <v>44</v>
      </c>
      <c r="H936" s="29">
        <v>1001</v>
      </c>
      <c r="I936" s="4">
        <f>[1]卡维力!$AB45</f>
        <v>8053</v>
      </c>
      <c r="L936" s="30">
        <v>800</v>
      </c>
      <c r="M936" s="4">
        <f>[1]卡维力!W45</f>
        <v>1081</v>
      </c>
      <c r="N936" s="4">
        <f>[1]卡维力!X45</f>
        <v>268</v>
      </c>
      <c r="O936" s="4">
        <f>[1]卡维力!Y45</f>
        <v>9768</v>
      </c>
      <c r="P936" s="4">
        <v>0</v>
      </c>
      <c r="Q936" s="4">
        <f>[1]卡维力!Z45</f>
        <v>2939</v>
      </c>
      <c r="R936" s="4">
        <v>2.5</v>
      </c>
      <c r="S936" s="4">
        <f>[1]卡维力!AA45</f>
        <v>100</v>
      </c>
      <c r="T936" s="4">
        <v>0</v>
      </c>
      <c r="U936" s="4">
        <v>0</v>
      </c>
      <c r="V936" s="4">
        <v>0</v>
      </c>
    </row>
    <row r="937" spans="1:22" x14ac:dyDescent="0.15">
      <c r="A937" s="4" t="s">
        <v>2662</v>
      </c>
      <c r="D937" s="4">
        <f t="shared" si="11"/>
        <v>53</v>
      </c>
      <c r="E937" s="4">
        <v>45</v>
      </c>
      <c r="H937" s="29">
        <v>1001</v>
      </c>
      <c r="I937" s="4">
        <f>[1]卡维力!$AB46</f>
        <v>8182</v>
      </c>
      <c r="L937" s="30">
        <v>800</v>
      </c>
      <c r="M937" s="4">
        <f>[1]卡维力!W46</f>
        <v>1099</v>
      </c>
      <c r="N937" s="4">
        <f>[1]卡维力!X46</f>
        <v>274</v>
      </c>
      <c r="O937" s="4">
        <f>[1]卡维力!Y46</f>
        <v>9888</v>
      </c>
      <c r="P937" s="4">
        <v>0</v>
      </c>
      <c r="Q937" s="4">
        <f>[1]卡维力!Z46</f>
        <v>2949</v>
      </c>
      <c r="R937" s="4">
        <v>2.5</v>
      </c>
      <c r="S937" s="4">
        <f>[1]卡维力!AA46</f>
        <v>102</v>
      </c>
      <c r="T937" s="4">
        <v>0</v>
      </c>
      <c r="U937" s="4">
        <v>0</v>
      </c>
      <c r="V937" s="4">
        <v>0</v>
      </c>
    </row>
    <row r="938" spans="1:22" x14ac:dyDescent="0.15">
      <c r="A938" s="4" t="s">
        <v>2662</v>
      </c>
      <c r="D938" s="4">
        <f t="shared" si="11"/>
        <v>53</v>
      </c>
      <c r="E938" s="4">
        <v>46</v>
      </c>
      <c r="H938" s="29">
        <v>1001</v>
      </c>
      <c r="I938" s="4">
        <f>[1]卡维力!$AB47</f>
        <v>8310</v>
      </c>
      <c r="L938" s="30">
        <v>800</v>
      </c>
      <c r="M938" s="4">
        <f>[1]卡维力!W47</f>
        <v>1117</v>
      </c>
      <c r="N938" s="4">
        <f>[1]卡维力!X47</f>
        <v>280</v>
      </c>
      <c r="O938" s="4">
        <f>[1]卡维力!Y47</f>
        <v>10008</v>
      </c>
      <c r="P938" s="4">
        <v>0</v>
      </c>
      <c r="Q938" s="4">
        <f>[1]卡维力!Z47</f>
        <v>2959</v>
      </c>
      <c r="R938" s="4">
        <v>2.5</v>
      </c>
      <c r="S938" s="4">
        <f>[1]卡维力!AA47</f>
        <v>104</v>
      </c>
      <c r="T938" s="4">
        <v>0</v>
      </c>
      <c r="U938" s="4">
        <v>0</v>
      </c>
      <c r="V938" s="4">
        <v>0</v>
      </c>
    </row>
    <row r="939" spans="1:22" x14ac:dyDescent="0.15">
      <c r="A939" s="4" t="s">
        <v>2662</v>
      </c>
      <c r="D939" s="4">
        <f t="shared" si="11"/>
        <v>53</v>
      </c>
      <c r="E939" s="4">
        <v>47</v>
      </c>
      <c r="H939" s="29">
        <v>1001</v>
      </c>
      <c r="I939" s="4">
        <f>[1]卡维力!$AB48</f>
        <v>8438</v>
      </c>
      <c r="L939" s="30">
        <v>800</v>
      </c>
      <c r="M939" s="4">
        <f>[1]卡维力!W48</f>
        <v>1135</v>
      </c>
      <c r="N939" s="4">
        <f>[1]卡维力!X48</f>
        <v>286</v>
      </c>
      <c r="O939" s="4">
        <f>[1]卡维力!Y48</f>
        <v>10128</v>
      </c>
      <c r="P939" s="4">
        <v>0</v>
      </c>
      <c r="Q939" s="4">
        <f>[1]卡维力!Z48</f>
        <v>2969</v>
      </c>
      <c r="R939" s="4">
        <v>2.5</v>
      </c>
      <c r="S939" s="4">
        <f>[1]卡维力!AA48</f>
        <v>106</v>
      </c>
      <c r="T939" s="4">
        <v>0</v>
      </c>
      <c r="U939" s="4">
        <v>0</v>
      </c>
      <c r="V939" s="4">
        <v>0</v>
      </c>
    </row>
    <row r="940" spans="1:22" x14ac:dyDescent="0.15">
      <c r="A940" s="4" t="s">
        <v>2662</v>
      </c>
      <c r="D940" s="4">
        <f t="shared" si="11"/>
        <v>53</v>
      </c>
      <c r="E940" s="4">
        <v>48</v>
      </c>
      <c r="H940" s="29">
        <v>1001</v>
      </c>
      <c r="I940" s="4">
        <f>[1]卡维力!$AB49</f>
        <v>8566</v>
      </c>
      <c r="L940" s="30">
        <v>800</v>
      </c>
      <c r="M940" s="4">
        <f>[1]卡维力!W49</f>
        <v>1153</v>
      </c>
      <c r="N940" s="4">
        <f>[1]卡维力!X49</f>
        <v>292</v>
      </c>
      <c r="O940" s="4">
        <f>[1]卡维力!Y49</f>
        <v>10248</v>
      </c>
      <c r="P940" s="4">
        <v>0</v>
      </c>
      <c r="Q940" s="4">
        <f>[1]卡维力!Z49</f>
        <v>2979</v>
      </c>
      <c r="R940" s="4">
        <v>2.5</v>
      </c>
      <c r="S940" s="4">
        <f>[1]卡维力!AA49</f>
        <v>108</v>
      </c>
      <c r="T940" s="4">
        <v>0</v>
      </c>
      <c r="U940" s="4">
        <v>0</v>
      </c>
      <c r="V940" s="4">
        <v>0</v>
      </c>
    </row>
    <row r="941" spans="1:22" x14ac:dyDescent="0.15">
      <c r="A941" s="4" t="s">
        <v>2662</v>
      </c>
      <c r="D941" s="4">
        <f t="shared" si="11"/>
        <v>53</v>
      </c>
      <c r="E941" s="4">
        <v>49</v>
      </c>
      <c r="H941" s="29">
        <v>1001</v>
      </c>
      <c r="I941" s="4">
        <f>[1]卡维力!$AB50</f>
        <v>8694</v>
      </c>
      <c r="L941" s="30">
        <v>800</v>
      </c>
      <c r="M941" s="4">
        <f>[1]卡维力!W50</f>
        <v>1171</v>
      </c>
      <c r="N941" s="4">
        <f>[1]卡维力!X50</f>
        <v>298</v>
      </c>
      <c r="O941" s="4">
        <f>[1]卡维力!Y50</f>
        <v>10368</v>
      </c>
      <c r="P941" s="4">
        <v>0</v>
      </c>
      <c r="Q941" s="4">
        <f>[1]卡维力!Z50</f>
        <v>2989</v>
      </c>
      <c r="R941" s="4">
        <v>2.5</v>
      </c>
      <c r="S941" s="4">
        <f>[1]卡维力!AA50</f>
        <v>110</v>
      </c>
      <c r="T941" s="4">
        <v>0</v>
      </c>
      <c r="U941" s="4">
        <v>0</v>
      </c>
      <c r="V941" s="4">
        <v>0</v>
      </c>
    </row>
    <row r="942" spans="1:22" x14ac:dyDescent="0.15">
      <c r="A942" s="4" t="s">
        <v>2662</v>
      </c>
      <c r="D942" s="4">
        <f t="shared" si="11"/>
        <v>53</v>
      </c>
      <c r="E942" s="4">
        <v>50</v>
      </c>
      <c r="H942" s="29">
        <v>1001</v>
      </c>
      <c r="I942" s="4">
        <f>[1]卡维力!$AB51</f>
        <v>8823</v>
      </c>
      <c r="L942" s="30">
        <v>800</v>
      </c>
      <c r="M942" s="4">
        <f>[1]卡维力!W51</f>
        <v>1189</v>
      </c>
      <c r="N942" s="4">
        <f>[1]卡维力!X51</f>
        <v>304</v>
      </c>
      <c r="O942" s="4">
        <f>[1]卡维力!Y51</f>
        <v>10488</v>
      </c>
      <c r="P942" s="4">
        <v>0</v>
      </c>
      <c r="Q942" s="4">
        <f>[1]卡维力!Z51</f>
        <v>2999</v>
      </c>
      <c r="R942" s="4">
        <v>2.5</v>
      </c>
      <c r="S942" s="4">
        <f>[1]卡维力!AA51</f>
        <v>112</v>
      </c>
      <c r="T942" s="4">
        <v>0</v>
      </c>
      <c r="U942" s="4">
        <v>0</v>
      </c>
      <c r="V942" s="4">
        <v>0</v>
      </c>
    </row>
    <row r="943" spans="1:22" x14ac:dyDescent="0.15">
      <c r="I943" s="4"/>
    </row>
    <row r="944" spans="1:22" x14ac:dyDescent="0.15">
      <c r="A944" s="4" t="s">
        <v>2662</v>
      </c>
      <c r="C944" s="4" t="s">
        <v>2865</v>
      </c>
      <c r="D944" s="4">
        <v>100</v>
      </c>
      <c r="E944" s="4">
        <v>0</v>
      </c>
      <c r="H944" s="29">
        <v>0</v>
      </c>
      <c r="I944" s="30">
        <v>0</v>
      </c>
      <c r="M944" s="4">
        <v>0</v>
      </c>
      <c r="N944" s="4">
        <v>0</v>
      </c>
      <c r="O944" s="4">
        <v>0</v>
      </c>
      <c r="P944" s="4">
        <v>0</v>
      </c>
      <c r="Q944" s="4">
        <v>0</v>
      </c>
      <c r="R944" s="4">
        <v>0</v>
      </c>
      <c r="S944" s="4">
        <v>0</v>
      </c>
      <c r="T944" s="4">
        <v>0</v>
      </c>
      <c r="U944" s="4">
        <v>0</v>
      </c>
      <c r="V944" s="4">
        <v>0</v>
      </c>
    </row>
    <row r="945" spans="1:22" x14ac:dyDescent="0.15">
      <c r="A945" s="4" t="s">
        <v>2662</v>
      </c>
      <c r="D945" s="4">
        <v>100</v>
      </c>
      <c r="E945" s="4">
        <v>1</v>
      </c>
      <c r="H945" s="29">
        <v>1001</v>
      </c>
      <c r="I945" s="4">
        <f>[1]森美拉!$J54</f>
        <v>0</v>
      </c>
      <c r="M945" s="4">
        <f>[1]关卡数据!$E60</f>
        <v>2</v>
      </c>
      <c r="N945" s="4">
        <f>[1]关卡数据!$F60</f>
        <v>0</v>
      </c>
      <c r="O945" s="4">
        <f>[1]关卡数据!$G60</f>
        <v>95</v>
      </c>
      <c r="P945" s="4">
        <v>0</v>
      </c>
      <c r="Q945" s="4">
        <f>[1]森美拉!$H54</f>
        <v>0</v>
      </c>
      <c r="R945" s="4">
        <v>2</v>
      </c>
      <c r="S945" s="4">
        <f>[1]森美拉!$I54</f>
        <v>0</v>
      </c>
      <c r="T945" s="4">
        <v>0</v>
      </c>
      <c r="U945" s="4">
        <v>0</v>
      </c>
      <c r="V945" s="4">
        <v>0</v>
      </c>
    </row>
    <row r="946" spans="1:22" x14ac:dyDescent="0.15">
      <c r="A946" s="4" t="s">
        <v>2662</v>
      </c>
      <c r="D946" s="4">
        <v>100</v>
      </c>
      <c r="E946" s="4">
        <v>2</v>
      </c>
      <c r="H946" s="29">
        <v>1001</v>
      </c>
      <c r="I946" s="4">
        <f>[1]森美拉!$J55</f>
        <v>0</v>
      </c>
      <c r="M946" s="4">
        <f>[1]关卡数据!$E61</f>
        <v>3</v>
      </c>
      <c r="N946" s="4">
        <f>[1]关卡数据!$F61</f>
        <v>0</v>
      </c>
      <c r="O946" s="4">
        <f>[1]关卡数据!$G61</f>
        <v>97</v>
      </c>
      <c r="P946" s="4">
        <v>0</v>
      </c>
      <c r="Q946" s="4">
        <f>[1]森美拉!$H55</f>
        <v>0</v>
      </c>
      <c r="R946" s="4">
        <v>2</v>
      </c>
      <c r="S946" s="4">
        <f>[1]森美拉!$I55</f>
        <v>0</v>
      </c>
      <c r="T946" s="4">
        <v>0</v>
      </c>
      <c r="U946" s="4">
        <v>0</v>
      </c>
      <c r="V946" s="4">
        <v>0</v>
      </c>
    </row>
    <row r="947" spans="1:22" x14ac:dyDescent="0.15">
      <c r="A947" s="4" t="s">
        <v>2662</v>
      </c>
      <c r="D947" s="4">
        <v>100</v>
      </c>
      <c r="E947" s="4">
        <v>3</v>
      </c>
      <c r="H947" s="29">
        <v>1001</v>
      </c>
      <c r="I947" s="4">
        <f>[1]森美拉!$J56</f>
        <v>0</v>
      </c>
      <c r="M947" s="4">
        <f>[1]关卡数据!$E62</f>
        <v>4</v>
      </c>
      <c r="N947" s="4">
        <f>[1]关卡数据!$F62</f>
        <v>0</v>
      </c>
      <c r="O947" s="4">
        <f>[1]关卡数据!$G62</f>
        <v>199</v>
      </c>
      <c r="P947" s="4">
        <v>0</v>
      </c>
      <c r="Q947" s="4">
        <f>[1]森美拉!$H56</f>
        <v>0</v>
      </c>
      <c r="R947" s="4">
        <v>2</v>
      </c>
      <c r="S947" s="4">
        <f>[1]森美拉!$I56</f>
        <v>0</v>
      </c>
      <c r="T947" s="4">
        <v>0</v>
      </c>
      <c r="U947" s="4">
        <v>0</v>
      </c>
      <c r="V947" s="4">
        <v>0</v>
      </c>
    </row>
    <row r="948" spans="1:22" x14ac:dyDescent="0.15">
      <c r="A948" s="4" t="s">
        <v>2662</v>
      </c>
      <c r="D948" s="4">
        <v>100</v>
      </c>
      <c r="E948" s="4">
        <v>4</v>
      </c>
      <c r="H948" s="29">
        <v>1001</v>
      </c>
      <c r="I948" s="4">
        <f>[1]森美拉!$J57</f>
        <v>0</v>
      </c>
      <c r="M948" s="4">
        <f>[1]关卡数据!$E63</f>
        <v>7</v>
      </c>
      <c r="N948" s="4">
        <f>[1]关卡数据!$F63</f>
        <v>0</v>
      </c>
      <c r="O948" s="4">
        <f>[1]关卡数据!$G63</f>
        <v>254</v>
      </c>
      <c r="P948" s="4">
        <v>0</v>
      </c>
      <c r="Q948" s="4">
        <f>[1]森美拉!$H57</f>
        <v>0</v>
      </c>
      <c r="R948" s="4">
        <v>2</v>
      </c>
      <c r="S948" s="4">
        <f>[1]森美拉!$I57</f>
        <v>0</v>
      </c>
      <c r="T948" s="4">
        <v>0</v>
      </c>
      <c r="U948" s="4">
        <v>0</v>
      </c>
      <c r="V948" s="4">
        <v>0</v>
      </c>
    </row>
    <row r="949" spans="1:22" x14ac:dyDescent="0.15">
      <c r="A949" s="4" t="s">
        <v>2662</v>
      </c>
      <c r="D949" s="4">
        <v>100</v>
      </c>
      <c r="E949" s="4">
        <v>5</v>
      </c>
      <c r="H949" s="29">
        <v>1001</v>
      </c>
      <c r="I949" s="4">
        <f>[1]森美拉!$J58</f>
        <v>0</v>
      </c>
      <c r="M949" s="4">
        <f>[1]关卡数据!$E64</f>
        <v>13</v>
      </c>
      <c r="N949" s="4">
        <f>[1]关卡数据!$F64</f>
        <v>0</v>
      </c>
      <c r="O949" s="4">
        <f>[1]关卡数据!$G64</f>
        <v>363</v>
      </c>
      <c r="P949" s="4">
        <v>0</v>
      </c>
      <c r="Q949" s="4">
        <f>[1]森美拉!$H58</f>
        <v>0</v>
      </c>
      <c r="R949" s="4">
        <v>2</v>
      </c>
      <c r="S949" s="4">
        <f>[1]森美拉!$I58</f>
        <v>0</v>
      </c>
      <c r="T949" s="4">
        <v>0</v>
      </c>
      <c r="U949" s="4">
        <v>0</v>
      </c>
      <c r="V949" s="4">
        <v>0</v>
      </c>
    </row>
    <row r="950" spans="1:22" x14ac:dyDescent="0.15">
      <c r="A950" s="4" t="s">
        <v>2662</v>
      </c>
      <c r="D950" s="4">
        <v>100</v>
      </c>
      <c r="E950" s="4">
        <v>6</v>
      </c>
      <c r="H950" s="29">
        <v>1001</v>
      </c>
      <c r="I950" s="4">
        <f>[1]森美拉!$J59</f>
        <v>0</v>
      </c>
      <c r="M950" s="4">
        <f>[1]关卡数据!$E65</f>
        <v>17</v>
      </c>
      <c r="N950" s="4">
        <f>[1]关卡数据!$F65</f>
        <v>0</v>
      </c>
      <c r="O950" s="4">
        <f>[1]关卡数据!$G65</f>
        <v>476</v>
      </c>
      <c r="P950" s="4">
        <v>0</v>
      </c>
      <c r="Q950" s="4">
        <f>[1]森美拉!$H59</f>
        <v>0</v>
      </c>
      <c r="R950" s="4">
        <v>2</v>
      </c>
      <c r="S950" s="4">
        <f>[1]森美拉!$I59</f>
        <v>0</v>
      </c>
      <c r="T950" s="4">
        <v>0</v>
      </c>
      <c r="U950" s="4">
        <v>0</v>
      </c>
      <c r="V950" s="4">
        <v>0</v>
      </c>
    </row>
    <row r="951" spans="1:22" x14ac:dyDescent="0.15">
      <c r="A951" s="4" t="s">
        <v>2662</v>
      </c>
      <c r="D951" s="4">
        <v>100</v>
      </c>
      <c r="E951" s="4">
        <v>7</v>
      </c>
      <c r="H951" s="29">
        <v>1001</v>
      </c>
      <c r="I951" s="4">
        <f>[1]森美拉!$J60</f>
        <v>0</v>
      </c>
      <c r="M951" s="4">
        <f>[1]关卡数据!$E66</f>
        <v>22</v>
      </c>
      <c r="N951" s="4">
        <f>[1]关卡数据!$F66</f>
        <v>0</v>
      </c>
      <c r="O951" s="4">
        <f>[1]关卡数据!$G66</f>
        <v>648</v>
      </c>
      <c r="P951" s="4">
        <v>0</v>
      </c>
      <c r="Q951" s="4">
        <f>[1]森美拉!$H60</f>
        <v>0</v>
      </c>
      <c r="R951" s="4">
        <v>2</v>
      </c>
      <c r="S951" s="4">
        <f>[1]森美拉!$I60</f>
        <v>0</v>
      </c>
      <c r="T951" s="4">
        <v>0</v>
      </c>
      <c r="U951" s="4">
        <v>0</v>
      </c>
      <c r="V951" s="4">
        <v>0</v>
      </c>
    </row>
    <row r="952" spans="1:22" x14ac:dyDescent="0.15">
      <c r="A952" s="4" t="s">
        <v>2662</v>
      </c>
      <c r="D952" s="4">
        <v>100</v>
      </c>
      <c r="E952" s="4">
        <v>8</v>
      </c>
      <c r="H952" s="29">
        <v>1001</v>
      </c>
      <c r="I952" s="4">
        <f>[1]森美拉!$J61</f>
        <v>0</v>
      </c>
      <c r="M952" s="4">
        <f>[1]关卡数据!$E67</f>
        <v>33</v>
      </c>
      <c r="N952" s="4">
        <f>[1]关卡数据!$F67</f>
        <v>0</v>
      </c>
      <c r="O952" s="4">
        <f>[1]关卡数据!$G67</f>
        <v>771</v>
      </c>
      <c r="P952" s="4">
        <v>0</v>
      </c>
      <c r="Q952" s="4">
        <f>[1]森美拉!$H61</f>
        <v>0</v>
      </c>
      <c r="R952" s="4">
        <v>2</v>
      </c>
      <c r="S952" s="4">
        <f>[1]森美拉!$I61</f>
        <v>0</v>
      </c>
      <c r="T952" s="4">
        <v>0</v>
      </c>
      <c r="U952" s="4">
        <v>0</v>
      </c>
      <c r="V952" s="4">
        <v>0</v>
      </c>
    </row>
    <row r="953" spans="1:22" x14ac:dyDescent="0.15">
      <c r="A953" s="4" t="s">
        <v>2662</v>
      </c>
      <c r="D953" s="4">
        <v>100</v>
      </c>
      <c r="E953" s="4">
        <v>9</v>
      </c>
      <c r="H953" s="29">
        <v>1001</v>
      </c>
      <c r="I953" s="4">
        <f>[1]森美拉!$J62</f>
        <v>0</v>
      </c>
      <c r="M953" s="4">
        <f>[1]关卡数据!$E68</f>
        <v>36</v>
      </c>
      <c r="N953" s="4">
        <f>[1]关卡数据!$F68</f>
        <v>0</v>
      </c>
      <c r="O953" s="4">
        <f>[1]关卡数据!$G68</f>
        <v>1011</v>
      </c>
      <c r="P953" s="4">
        <v>0</v>
      </c>
      <c r="Q953" s="4">
        <f>[1]森美拉!$H62</f>
        <v>0</v>
      </c>
      <c r="R953" s="4">
        <v>2</v>
      </c>
      <c r="S953" s="4">
        <f>[1]森美拉!$I62</f>
        <v>0</v>
      </c>
      <c r="T953" s="4">
        <v>0</v>
      </c>
      <c r="U953" s="4">
        <v>0</v>
      </c>
      <c r="V953" s="4">
        <v>0</v>
      </c>
    </row>
    <row r="954" spans="1:22" x14ac:dyDescent="0.15">
      <c r="A954" s="4" t="s">
        <v>2662</v>
      </c>
      <c r="D954" s="4">
        <v>100</v>
      </c>
      <c r="E954" s="4">
        <v>10</v>
      </c>
      <c r="H954" s="29">
        <v>1001</v>
      </c>
      <c r="I954" s="4">
        <f>[1]森美拉!$J63</f>
        <v>0</v>
      </c>
      <c r="M954" s="4">
        <f>[1]关卡数据!$E69</f>
        <v>39</v>
      </c>
      <c r="N954" s="4">
        <f>[1]关卡数据!$F69</f>
        <v>0</v>
      </c>
      <c r="O954" s="4">
        <f>[1]关卡数据!$G69</f>
        <v>1372</v>
      </c>
      <c r="P954" s="4">
        <v>0</v>
      </c>
      <c r="Q954" s="4">
        <f>[1]森美拉!$H63</f>
        <v>0</v>
      </c>
      <c r="R954" s="4">
        <v>2</v>
      </c>
      <c r="S954" s="4">
        <f>[1]森美拉!$I63</f>
        <v>0</v>
      </c>
      <c r="T954" s="4">
        <v>0</v>
      </c>
      <c r="U954" s="4">
        <v>0</v>
      </c>
      <c r="V954" s="4">
        <v>0</v>
      </c>
    </row>
    <row r="955" spans="1:22" x14ac:dyDescent="0.15">
      <c r="A955" s="4" t="s">
        <v>2662</v>
      </c>
      <c r="D955" s="4">
        <v>100</v>
      </c>
      <c r="E955" s="4">
        <v>11</v>
      </c>
      <c r="H955" s="29">
        <v>1001</v>
      </c>
      <c r="I955" s="4">
        <f>[1]森美拉!$J64</f>
        <v>0</v>
      </c>
      <c r="M955" s="4">
        <f>[1]关卡数据!$E70</f>
        <v>42</v>
      </c>
      <c r="N955" s="4">
        <f>[1]关卡数据!$F70</f>
        <v>0</v>
      </c>
      <c r="O955" s="4">
        <f>[1]关卡数据!$G70</f>
        <v>1515</v>
      </c>
      <c r="P955" s="4">
        <v>0</v>
      </c>
      <c r="Q955" s="4">
        <f>[1]森美拉!$H64</f>
        <v>0</v>
      </c>
      <c r="R955" s="4">
        <v>2</v>
      </c>
      <c r="S955" s="4">
        <f>[1]森美拉!$I64</f>
        <v>0</v>
      </c>
      <c r="T955" s="4">
        <v>0</v>
      </c>
      <c r="U955" s="4">
        <v>0</v>
      </c>
      <c r="V955" s="4">
        <v>0</v>
      </c>
    </row>
    <row r="956" spans="1:22" x14ac:dyDescent="0.15">
      <c r="A956" s="4" t="s">
        <v>2662</v>
      </c>
      <c r="D956" s="4">
        <v>100</v>
      </c>
      <c r="E956" s="4">
        <v>12</v>
      </c>
      <c r="H956" s="29">
        <v>1001</v>
      </c>
      <c r="I956" s="4">
        <f>[1]森美拉!$J65</f>
        <v>0</v>
      </c>
      <c r="M956" s="4">
        <f>[1]关卡数据!$E71</f>
        <v>45</v>
      </c>
      <c r="N956" s="4">
        <f>[1]关卡数据!$F71</f>
        <v>0</v>
      </c>
      <c r="O956" s="4">
        <f>[1]关卡数据!$G71</f>
        <v>2373</v>
      </c>
      <c r="P956" s="4">
        <v>0</v>
      </c>
      <c r="Q956" s="4">
        <f>[1]森美拉!$H65</f>
        <v>0</v>
      </c>
      <c r="R956" s="4">
        <v>2</v>
      </c>
      <c r="S956" s="4">
        <f>[1]森美拉!$I65</f>
        <v>0</v>
      </c>
      <c r="T956" s="4">
        <v>0</v>
      </c>
      <c r="U956" s="4">
        <v>0</v>
      </c>
      <c r="V956" s="4">
        <v>0</v>
      </c>
    </row>
    <row r="957" spans="1:22" x14ac:dyDescent="0.15">
      <c r="A957" s="4" t="s">
        <v>2662</v>
      </c>
      <c r="D957" s="4">
        <v>100</v>
      </c>
      <c r="E957" s="4">
        <v>13</v>
      </c>
      <c r="H957" s="29">
        <v>1001</v>
      </c>
      <c r="I957" s="4">
        <f>[1]森美拉!$J66</f>
        <v>0</v>
      </c>
      <c r="M957" s="4">
        <f>[1]关卡数据!$E72</f>
        <v>50</v>
      </c>
      <c r="N957" s="4">
        <f>[1]关卡数据!$F72</f>
        <v>0</v>
      </c>
      <c r="O957" s="4">
        <f>[1]关卡数据!$G72</f>
        <v>3021</v>
      </c>
      <c r="P957" s="4">
        <v>0</v>
      </c>
      <c r="Q957" s="4">
        <f>[1]森美拉!$H66</f>
        <v>0</v>
      </c>
      <c r="R957" s="4">
        <v>2</v>
      </c>
      <c r="S957" s="4">
        <f>[1]森美拉!$I66</f>
        <v>0</v>
      </c>
      <c r="T957" s="4">
        <v>0</v>
      </c>
      <c r="U957" s="4">
        <v>0</v>
      </c>
      <c r="V957" s="4">
        <v>0</v>
      </c>
    </row>
    <row r="958" spans="1:22" x14ac:dyDescent="0.15">
      <c r="A958" s="4" t="s">
        <v>2662</v>
      </c>
      <c r="D958" s="4">
        <v>100</v>
      </c>
      <c r="E958" s="4">
        <v>14</v>
      </c>
      <c r="H958" s="29">
        <v>1001</v>
      </c>
      <c r="I958" s="4">
        <f>[1]森美拉!$J67</f>
        <v>0</v>
      </c>
      <c r="M958" s="4">
        <f>[1]关卡数据!$E73</f>
        <v>54</v>
      </c>
      <c r="N958" s="4">
        <f>[1]关卡数据!$F73</f>
        <v>0</v>
      </c>
      <c r="O958" s="4">
        <f>[1]关卡数据!$G73</f>
        <v>3685</v>
      </c>
      <c r="P958" s="4">
        <v>0</v>
      </c>
      <c r="Q958" s="4">
        <f>[1]森美拉!$H67</f>
        <v>0</v>
      </c>
      <c r="R958" s="4">
        <v>2</v>
      </c>
      <c r="S958" s="4">
        <f>[1]森美拉!$I67</f>
        <v>0</v>
      </c>
      <c r="T958" s="4">
        <v>0</v>
      </c>
      <c r="U958" s="4">
        <v>0</v>
      </c>
      <c r="V958" s="4">
        <v>0</v>
      </c>
    </row>
    <row r="959" spans="1:22" x14ac:dyDescent="0.15">
      <c r="A959" s="4" t="s">
        <v>2662</v>
      </c>
      <c r="D959" s="4">
        <v>100</v>
      </c>
      <c r="E959" s="4">
        <v>15</v>
      </c>
      <c r="H959" s="29">
        <v>1001</v>
      </c>
      <c r="I959" s="4">
        <f>[1]森美拉!$J68</f>
        <v>0</v>
      </c>
      <c r="M959" s="4">
        <f>[1]关卡数据!$E74</f>
        <v>59</v>
      </c>
      <c r="N959" s="4">
        <f>[1]关卡数据!$F74</f>
        <v>0</v>
      </c>
      <c r="O959" s="4">
        <f>[1]关卡数据!$G74</f>
        <v>4375</v>
      </c>
      <c r="P959" s="4">
        <v>0</v>
      </c>
      <c r="Q959" s="4">
        <f>[1]森美拉!$H68</f>
        <v>0</v>
      </c>
      <c r="R959" s="4">
        <v>2</v>
      </c>
      <c r="S959" s="4">
        <f>[1]森美拉!$I68</f>
        <v>0</v>
      </c>
      <c r="T959" s="4">
        <v>0</v>
      </c>
      <c r="U959" s="4">
        <v>0</v>
      </c>
      <c r="V959" s="4">
        <v>0</v>
      </c>
    </row>
    <row r="960" spans="1:22" x14ac:dyDescent="0.15">
      <c r="A960" s="4" t="s">
        <v>2662</v>
      </c>
      <c r="D960" s="4">
        <v>100</v>
      </c>
      <c r="E960" s="4">
        <v>16</v>
      </c>
      <c r="H960" s="29">
        <v>1001</v>
      </c>
      <c r="I960" s="4">
        <f>[1]森美拉!$J69</f>
        <v>0</v>
      </c>
      <c r="M960" s="4">
        <f>[1]关卡数据!$E75</f>
        <v>65</v>
      </c>
      <c r="N960" s="4">
        <f>[1]关卡数据!$F75</f>
        <v>0</v>
      </c>
      <c r="O960" s="4">
        <f>[1]关卡数据!$G75</f>
        <v>5087</v>
      </c>
      <c r="P960" s="4">
        <v>0</v>
      </c>
      <c r="Q960" s="4">
        <f>[1]森美拉!$H69</f>
        <v>0</v>
      </c>
      <c r="R960" s="4">
        <v>2</v>
      </c>
      <c r="S960" s="4">
        <f>[1]森美拉!$I69</f>
        <v>0</v>
      </c>
      <c r="T960" s="4">
        <v>0</v>
      </c>
      <c r="U960" s="4">
        <v>0</v>
      </c>
      <c r="V960" s="4">
        <v>0</v>
      </c>
    </row>
    <row r="961" spans="1:22" x14ac:dyDescent="0.15">
      <c r="A961" s="4" t="s">
        <v>2662</v>
      </c>
      <c r="D961" s="4">
        <v>100</v>
      </c>
      <c r="E961" s="4">
        <v>17</v>
      </c>
      <c r="H961" s="29">
        <v>1001</v>
      </c>
      <c r="I961" s="4">
        <f>[1]森美拉!$J70</f>
        <v>0</v>
      </c>
      <c r="M961" s="4">
        <f>[1]关卡数据!$E76</f>
        <v>72</v>
      </c>
      <c r="N961" s="4">
        <f>[1]关卡数据!$F76</f>
        <v>0</v>
      </c>
      <c r="O961" s="4">
        <f>[1]关卡数据!$G76</f>
        <v>5497</v>
      </c>
      <c r="P961" s="4">
        <v>0</v>
      </c>
      <c r="Q961" s="4">
        <f>[1]森美拉!$H70</f>
        <v>0</v>
      </c>
      <c r="R961" s="4">
        <v>2</v>
      </c>
      <c r="S961" s="4">
        <f>[1]森美拉!$I70</f>
        <v>0</v>
      </c>
      <c r="T961" s="4">
        <v>0</v>
      </c>
      <c r="U961" s="4">
        <v>0</v>
      </c>
      <c r="V961" s="4">
        <v>0</v>
      </c>
    </row>
    <row r="962" spans="1:22" x14ac:dyDescent="0.15">
      <c r="A962" s="4" t="s">
        <v>2662</v>
      </c>
      <c r="D962" s="4">
        <v>100</v>
      </c>
      <c r="E962" s="4">
        <v>18</v>
      </c>
      <c r="H962" s="29">
        <v>1001</v>
      </c>
      <c r="I962" s="4">
        <f>[1]森美拉!$J71</f>
        <v>0</v>
      </c>
      <c r="M962" s="4">
        <f>[1]关卡数据!$E77</f>
        <v>81</v>
      </c>
      <c r="N962" s="4">
        <f>[1]关卡数据!$F77</f>
        <v>0</v>
      </c>
      <c r="O962" s="4">
        <f>[1]关卡数据!$G77</f>
        <v>5910</v>
      </c>
      <c r="P962" s="4">
        <v>0</v>
      </c>
      <c r="Q962" s="4">
        <f>[1]森美拉!$H71</f>
        <v>0</v>
      </c>
      <c r="R962" s="4">
        <v>2</v>
      </c>
      <c r="S962" s="4">
        <f>[1]森美拉!$I71</f>
        <v>0</v>
      </c>
      <c r="T962" s="4">
        <v>0</v>
      </c>
      <c r="U962" s="4">
        <v>0</v>
      </c>
      <c r="V962" s="4">
        <v>0</v>
      </c>
    </row>
    <row r="963" spans="1:22" x14ac:dyDescent="0.15">
      <c r="A963" s="4" t="s">
        <v>2662</v>
      </c>
      <c r="D963" s="4">
        <v>100</v>
      </c>
      <c r="E963" s="4">
        <v>19</v>
      </c>
      <c r="H963" s="29">
        <v>1001</v>
      </c>
      <c r="I963" s="4">
        <f>[1]森美拉!$J72</f>
        <v>0</v>
      </c>
      <c r="M963" s="4">
        <f>[1]关卡数据!$E78</f>
        <v>91</v>
      </c>
      <c r="N963" s="4">
        <f>[1]关卡数据!$F78</f>
        <v>0</v>
      </c>
      <c r="O963" s="4">
        <f>[1]关卡数据!$G78</f>
        <v>6341</v>
      </c>
      <c r="P963" s="4">
        <v>0</v>
      </c>
      <c r="Q963" s="4">
        <f>[1]森美拉!$H72</f>
        <v>0</v>
      </c>
      <c r="R963" s="4">
        <v>2</v>
      </c>
      <c r="S963" s="4">
        <f>[1]森美拉!$I72</f>
        <v>0</v>
      </c>
      <c r="T963" s="4">
        <v>0</v>
      </c>
      <c r="U963" s="4">
        <v>0</v>
      </c>
      <c r="V963" s="4">
        <v>0</v>
      </c>
    </row>
    <row r="964" spans="1:22" x14ac:dyDescent="0.15">
      <c r="A964" s="4" t="s">
        <v>2662</v>
      </c>
      <c r="D964" s="4">
        <v>100</v>
      </c>
      <c r="E964" s="4">
        <v>20</v>
      </c>
      <c r="H964" s="29">
        <v>1001</v>
      </c>
      <c r="I964" s="4">
        <f>[1]森美拉!$J73</f>
        <v>0</v>
      </c>
      <c r="M964" s="4">
        <f>[1]关卡数据!$E79</f>
        <v>103</v>
      </c>
      <c r="N964" s="4">
        <f>[1]关卡数据!$F79</f>
        <v>0</v>
      </c>
      <c r="O964" s="4">
        <f>[1]关卡数据!$G79</f>
        <v>6783</v>
      </c>
      <c r="P964" s="4">
        <v>0</v>
      </c>
      <c r="Q964" s="4">
        <f>[1]森美拉!$H73</f>
        <v>0</v>
      </c>
      <c r="R964" s="4">
        <v>2</v>
      </c>
      <c r="S964" s="4">
        <f>[1]森美拉!$I73</f>
        <v>0</v>
      </c>
      <c r="T964" s="4">
        <v>0</v>
      </c>
      <c r="U964" s="4">
        <v>0</v>
      </c>
      <c r="V964" s="4">
        <v>0</v>
      </c>
    </row>
    <row r="965" spans="1:22" x14ac:dyDescent="0.15">
      <c r="A965" s="4" t="s">
        <v>2662</v>
      </c>
      <c r="D965" s="4">
        <v>100</v>
      </c>
      <c r="E965" s="4">
        <v>21</v>
      </c>
      <c r="H965" s="29">
        <v>1001</v>
      </c>
      <c r="I965" s="4">
        <f>[1]森美拉!$J74</f>
        <v>0</v>
      </c>
      <c r="M965" s="4">
        <f>[1]关卡数据!$E80</f>
        <v>119</v>
      </c>
      <c r="N965" s="4">
        <f>[1]关卡数据!$F80</f>
        <v>0</v>
      </c>
      <c r="O965" s="4">
        <f>[1]关卡数据!$G80</f>
        <v>7236</v>
      </c>
      <c r="P965" s="4">
        <v>0</v>
      </c>
      <c r="Q965" s="4">
        <f>[1]森美拉!$H74</f>
        <v>0</v>
      </c>
      <c r="R965" s="4">
        <v>2</v>
      </c>
      <c r="S965" s="4">
        <f>[1]森美拉!$I74</f>
        <v>0</v>
      </c>
      <c r="T965" s="4">
        <v>0</v>
      </c>
      <c r="U965" s="4">
        <v>0</v>
      </c>
      <c r="V965" s="4">
        <v>0</v>
      </c>
    </row>
    <row r="966" spans="1:22" x14ac:dyDescent="0.15">
      <c r="A966" s="4" t="s">
        <v>2662</v>
      </c>
      <c r="D966" s="4">
        <v>100</v>
      </c>
      <c r="E966" s="4">
        <v>22</v>
      </c>
      <c r="H966" s="29">
        <v>1001</v>
      </c>
      <c r="I966" s="4">
        <f>[1]森美拉!$J75</f>
        <v>0</v>
      </c>
      <c r="M966" s="4">
        <f>[1]关卡数据!$E81</f>
        <v>140</v>
      </c>
      <c r="N966" s="4">
        <f>[1]关卡数据!$F81</f>
        <v>0</v>
      </c>
      <c r="O966" s="4">
        <f>[1]关卡数据!$G81</f>
        <v>7700</v>
      </c>
      <c r="P966" s="4">
        <v>0</v>
      </c>
      <c r="Q966" s="4">
        <f>[1]森美拉!$H75</f>
        <v>0</v>
      </c>
      <c r="R966" s="4">
        <v>2</v>
      </c>
      <c r="S966" s="4">
        <f>[1]森美拉!$I75</f>
        <v>0</v>
      </c>
      <c r="T966" s="4">
        <v>0</v>
      </c>
      <c r="U966" s="4">
        <v>0</v>
      </c>
      <c r="V966" s="4">
        <v>0</v>
      </c>
    </row>
    <row r="967" spans="1:22" x14ac:dyDescent="0.15">
      <c r="A967" s="4" t="s">
        <v>2662</v>
      </c>
      <c r="D967" s="4">
        <v>100</v>
      </c>
      <c r="E967" s="4">
        <v>23</v>
      </c>
      <c r="H967" s="29">
        <v>1001</v>
      </c>
      <c r="I967" s="4">
        <f>[1]森美拉!$J76</f>
        <v>0</v>
      </c>
      <c r="M967" s="4">
        <f>[1]关卡数据!$E82</f>
        <v>169</v>
      </c>
      <c r="N967" s="4">
        <f>[1]关卡数据!$F82</f>
        <v>0</v>
      </c>
      <c r="O967" s="4">
        <f>[1]关卡数据!$G82</f>
        <v>8165</v>
      </c>
      <c r="P967" s="4">
        <v>0</v>
      </c>
      <c r="Q967" s="4">
        <f>[1]森美拉!$H76</f>
        <v>0</v>
      </c>
      <c r="R967" s="4">
        <v>2</v>
      </c>
      <c r="S967" s="4">
        <f>[1]森美拉!$I76</f>
        <v>0</v>
      </c>
      <c r="T967" s="4">
        <v>0</v>
      </c>
      <c r="U967" s="4">
        <v>0</v>
      </c>
      <c r="V967" s="4">
        <v>0</v>
      </c>
    </row>
    <row r="968" spans="1:22" x14ac:dyDescent="0.15">
      <c r="A968" s="4" t="s">
        <v>2662</v>
      </c>
      <c r="D968" s="4">
        <v>100</v>
      </c>
      <c r="E968" s="4">
        <v>24</v>
      </c>
      <c r="H968" s="29">
        <v>1001</v>
      </c>
      <c r="I968" s="4">
        <f>[1]森美拉!$J77</f>
        <v>0</v>
      </c>
      <c r="M968" s="4">
        <f>[1]关卡数据!$E83</f>
        <v>212</v>
      </c>
      <c r="N968" s="4">
        <f>[1]关卡数据!$F83</f>
        <v>0</v>
      </c>
      <c r="O968" s="4">
        <f>[1]关卡数据!$G83</f>
        <v>8650</v>
      </c>
      <c r="P968" s="4">
        <v>0</v>
      </c>
      <c r="Q968" s="4">
        <f>[1]森美拉!$H77</f>
        <v>0</v>
      </c>
      <c r="R968" s="4">
        <v>2</v>
      </c>
      <c r="S968" s="4">
        <f>[1]森美拉!$I77</f>
        <v>0</v>
      </c>
      <c r="T968" s="4">
        <v>0</v>
      </c>
      <c r="U968" s="4">
        <v>0</v>
      </c>
      <c r="V968" s="4">
        <v>0</v>
      </c>
    </row>
    <row r="969" spans="1:22" x14ac:dyDescent="0.15">
      <c r="A969" s="4" t="s">
        <v>2662</v>
      </c>
      <c r="D969" s="4">
        <v>100</v>
      </c>
      <c r="E969" s="4">
        <v>25</v>
      </c>
      <c r="H969" s="29">
        <v>1001</v>
      </c>
      <c r="I969" s="4">
        <f>[1]森美拉!$J78</f>
        <v>0</v>
      </c>
      <c r="M969" s="4">
        <f>[1]关卡数据!$E84</f>
        <v>284</v>
      </c>
      <c r="N969" s="4">
        <f>[1]关卡数据!$F84</f>
        <v>0</v>
      </c>
      <c r="O969" s="4">
        <f>[1]关卡数据!$G84</f>
        <v>9146</v>
      </c>
      <c r="P969" s="4">
        <v>0</v>
      </c>
      <c r="Q969" s="4">
        <f>[1]森美拉!$H78</f>
        <v>0</v>
      </c>
      <c r="R969" s="4">
        <v>2</v>
      </c>
      <c r="S969" s="4">
        <f>[1]森美拉!$I78</f>
        <v>0</v>
      </c>
      <c r="T969" s="4">
        <v>0</v>
      </c>
      <c r="U969" s="4">
        <v>0</v>
      </c>
      <c r="V969" s="4">
        <v>0</v>
      </c>
    </row>
    <row r="970" spans="1:22" x14ac:dyDescent="0.15">
      <c r="A970" s="4" t="s">
        <v>2662</v>
      </c>
      <c r="D970" s="4">
        <v>100</v>
      </c>
      <c r="E970" s="4">
        <v>26</v>
      </c>
      <c r="H970" s="29">
        <v>1001</v>
      </c>
      <c r="I970" s="4">
        <f>[1]森美拉!$J79</f>
        <v>0</v>
      </c>
      <c r="M970" s="4">
        <f>[1]关卡数据!$E85</f>
        <v>427</v>
      </c>
      <c r="N970" s="4">
        <f>[1]关卡数据!$F85</f>
        <v>0</v>
      </c>
      <c r="O970" s="4">
        <f>[1]关卡数据!$G85</f>
        <v>9653</v>
      </c>
      <c r="P970" s="4">
        <v>0</v>
      </c>
      <c r="Q970" s="4">
        <f>[1]森美拉!$H79</f>
        <v>0</v>
      </c>
      <c r="R970" s="4">
        <v>2</v>
      </c>
      <c r="S970" s="4">
        <f>[1]森美拉!$I79</f>
        <v>0</v>
      </c>
      <c r="T970" s="4">
        <v>0</v>
      </c>
      <c r="U970" s="4">
        <v>0</v>
      </c>
      <c r="V970" s="4">
        <v>0</v>
      </c>
    </row>
    <row r="971" spans="1:22" x14ac:dyDescent="0.15">
      <c r="A971" s="4" t="s">
        <v>2662</v>
      </c>
      <c r="D971" s="4">
        <v>100</v>
      </c>
      <c r="E971" s="4">
        <v>27</v>
      </c>
      <c r="H971" s="29">
        <v>1001</v>
      </c>
      <c r="I971" s="4">
        <f>[1]森美拉!$J80</f>
        <v>0</v>
      </c>
      <c r="M971" s="4">
        <f>[1]关卡数据!$E86</f>
        <v>435</v>
      </c>
      <c r="N971" s="4">
        <f>[1]关卡数据!$F86</f>
        <v>0</v>
      </c>
      <c r="O971" s="4">
        <f>[1]关卡数据!$G86</f>
        <v>10159</v>
      </c>
      <c r="P971" s="4">
        <v>0</v>
      </c>
      <c r="Q971" s="4">
        <f>[1]森美拉!$H80</f>
        <v>0</v>
      </c>
      <c r="R971" s="4">
        <v>2</v>
      </c>
      <c r="S971" s="4">
        <f>[1]森美拉!$I80</f>
        <v>0</v>
      </c>
      <c r="T971" s="4">
        <v>0</v>
      </c>
      <c r="U971" s="4">
        <v>0</v>
      </c>
      <c r="V971" s="4">
        <v>0</v>
      </c>
    </row>
    <row r="972" spans="1:22" x14ac:dyDescent="0.15">
      <c r="A972" s="4" t="s">
        <v>2662</v>
      </c>
      <c r="D972" s="4">
        <v>100</v>
      </c>
      <c r="E972" s="4">
        <v>28</v>
      </c>
      <c r="H972" s="29">
        <v>1001</v>
      </c>
      <c r="I972" s="4">
        <f>[1]森美拉!$J81</f>
        <v>0</v>
      </c>
      <c r="M972" s="4">
        <f>[1]关卡数据!$E87</f>
        <v>443</v>
      </c>
      <c r="N972" s="4">
        <f>[1]关卡数据!$F87</f>
        <v>0</v>
      </c>
      <c r="O972" s="4">
        <f>[1]关卡数据!$G87</f>
        <v>10687</v>
      </c>
      <c r="P972" s="4">
        <v>0</v>
      </c>
      <c r="Q972" s="4">
        <f>[1]森美拉!$H81</f>
        <v>0</v>
      </c>
      <c r="R972" s="4">
        <v>2</v>
      </c>
      <c r="S972" s="4">
        <f>[1]森美拉!$I81</f>
        <v>0</v>
      </c>
      <c r="T972" s="4">
        <v>0</v>
      </c>
      <c r="U972" s="4">
        <v>0</v>
      </c>
      <c r="V972" s="4">
        <v>0</v>
      </c>
    </row>
    <row r="973" spans="1:22" x14ac:dyDescent="0.15">
      <c r="A973" s="4" t="s">
        <v>2662</v>
      </c>
      <c r="D973" s="4">
        <v>100</v>
      </c>
      <c r="E973" s="4">
        <v>29</v>
      </c>
      <c r="H973" s="29">
        <v>1001</v>
      </c>
      <c r="I973" s="4">
        <f>[1]森美拉!$J82</f>
        <v>0</v>
      </c>
      <c r="M973" s="4">
        <f>[1]关卡数据!$E88</f>
        <v>450</v>
      </c>
      <c r="N973" s="4">
        <f>[1]关卡数据!$F88</f>
        <v>0</v>
      </c>
      <c r="O973" s="4">
        <f>[1]关卡数据!$G88</f>
        <v>11225</v>
      </c>
      <c r="P973" s="4">
        <v>0</v>
      </c>
      <c r="Q973" s="4">
        <f>[1]森美拉!$H82</f>
        <v>0</v>
      </c>
      <c r="R973" s="4">
        <v>2</v>
      </c>
      <c r="S973" s="4">
        <f>[1]森美拉!$I82</f>
        <v>0</v>
      </c>
      <c r="T973" s="4">
        <v>0</v>
      </c>
      <c r="U973" s="4">
        <v>0</v>
      </c>
      <c r="V973" s="4">
        <v>0</v>
      </c>
    </row>
    <row r="974" spans="1:22" x14ac:dyDescent="0.15">
      <c r="A974" s="4" t="s">
        <v>2662</v>
      </c>
      <c r="D974" s="4">
        <v>100</v>
      </c>
      <c r="E974" s="4">
        <v>30</v>
      </c>
      <c r="H974" s="29">
        <v>1001</v>
      </c>
      <c r="I974" s="4">
        <f>[1]森美拉!$J83</f>
        <v>0</v>
      </c>
      <c r="M974" s="4">
        <f>[1]关卡数据!$E89</f>
        <v>458</v>
      </c>
      <c r="N974" s="4">
        <f>[1]关卡数据!$F89</f>
        <v>0</v>
      </c>
      <c r="O974" s="4">
        <f>[1]关卡数据!$G89</f>
        <v>11775</v>
      </c>
      <c r="P974" s="4">
        <v>0</v>
      </c>
      <c r="Q974" s="4">
        <f>[1]森美拉!$H83</f>
        <v>0</v>
      </c>
      <c r="R974" s="4">
        <v>2</v>
      </c>
      <c r="S974" s="4">
        <f>[1]森美拉!$I83</f>
        <v>0</v>
      </c>
      <c r="T974" s="4">
        <v>0</v>
      </c>
      <c r="U974" s="4">
        <v>0</v>
      </c>
      <c r="V974" s="4">
        <v>0</v>
      </c>
    </row>
    <row r="975" spans="1:22" x14ac:dyDescent="0.15">
      <c r="A975" s="4" t="s">
        <v>2662</v>
      </c>
      <c r="D975" s="4">
        <v>100</v>
      </c>
      <c r="E975" s="4">
        <v>31</v>
      </c>
      <c r="H975" s="29">
        <v>1001</v>
      </c>
      <c r="I975" s="4">
        <f>[1]森美拉!$J84</f>
        <v>0</v>
      </c>
      <c r="M975" s="4">
        <f>[1]关卡数据!$E90</f>
        <v>466</v>
      </c>
      <c r="N975" s="4">
        <f>[1]关卡数据!$F90</f>
        <v>0</v>
      </c>
      <c r="O975" s="4">
        <f>[1]关卡数据!$G90</f>
        <v>12323</v>
      </c>
      <c r="P975" s="4">
        <v>0</v>
      </c>
      <c r="Q975" s="4">
        <f>[1]森美拉!$H84</f>
        <v>0</v>
      </c>
      <c r="R975" s="4">
        <v>2</v>
      </c>
      <c r="S975" s="4">
        <f>[1]森美拉!$I84</f>
        <v>0</v>
      </c>
      <c r="T975" s="4">
        <v>0</v>
      </c>
      <c r="U975" s="4">
        <v>0</v>
      </c>
      <c r="V975" s="4">
        <v>0</v>
      </c>
    </row>
    <row r="976" spans="1:22" x14ac:dyDescent="0.15">
      <c r="A976" s="4" t="s">
        <v>2662</v>
      </c>
      <c r="D976" s="4">
        <v>100</v>
      </c>
      <c r="E976" s="4">
        <v>32</v>
      </c>
      <c r="H976" s="29">
        <v>1001</v>
      </c>
      <c r="I976" s="4">
        <f>[1]森美拉!$J85</f>
        <v>0</v>
      </c>
      <c r="M976" s="4">
        <f>[1]关卡数据!$E91</f>
        <v>473</v>
      </c>
      <c r="N976" s="4">
        <f>[1]关卡数据!$F91</f>
        <v>0</v>
      </c>
      <c r="O976" s="4">
        <f>[1]关卡数据!$G91</f>
        <v>12893</v>
      </c>
      <c r="P976" s="4">
        <v>0</v>
      </c>
      <c r="Q976" s="4">
        <f>[1]森美拉!$H85</f>
        <v>0</v>
      </c>
      <c r="R976" s="4">
        <v>2</v>
      </c>
      <c r="S976" s="4">
        <f>[1]森美拉!$I85</f>
        <v>0</v>
      </c>
      <c r="T976" s="4">
        <v>0</v>
      </c>
      <c r="U976" s="4">
        <v>0</v>
      </c>
      <c r="V976" s="4">
        <v>0</v>
      </c>
    </row>
    <row r="977" spans="1:22" x14ac:dyDescent="0.15">
      <c r="A977" s="4" t="s">
        <v>2662</v>
      </c>
      <c r="D977" s="4">
        <v>100</v>
      </c>
      <c r="E977" s="4">
        <v>33</v>
      </c>
      <c r="H977" s="29">
        <v>1001</v>
      </c>
      <c r="I977" s="4">
        <f>[1]森美拉!$J86</f>
        <v>0</v>
      </c>
      <c r="M977" s="4">
        <f>[1]关卡数据!$E92</f>
        <v>481</v>
      </c>
      <c r="N977" s="4">
        <f>[1]关卡数据!$F92</f>
        <v>0</v>
      </c>
      <c r="O977" s="4">
        <f>[1]关卡数据!$G92</f>
        <v>13475</v>
      </c>
      <c r="P977" s="4">
        <v>0</v>
      </c>
      <c r="Q977" s="4">
        <f>[1]森美拉!$H86</f>
        <v>0</v>
      </c>
      <c r="R977" s="4">
        <v>2</v>
      </c>
      <c r="S977" s="4">
        <f>[1]森美拉!$I86</f>
        <v>0</v>
      </c>
      <c r="T977" s="4">
        <v>0</v>
      </c>
      <c r="U977" s="4">
        <v>0</v>
      </c>
      <c r="V977" s="4">
        <v>0</v>
      </c>
    </row>
    <row r="978" spans="1:22" x14ac:dyDescent="0.15">
      <c r="A978" s="4" t="s">
        <v>2662</v>
      </c>
      <c r="D978" s="4">
        <v>100</v>
      </c>
      <c r="E978" s="4">
        <v>34</v>
      </c>
      <c r="H978" s="29">
        <v>1001</v>
      </c>
      <c r="I978" s="4">
        <f>[1]森美拉!$J87</f>
        <v>0</v>
      </c>
      <c r="M978" s="4">
        <f>[1]关卡数据!$E93</f>
        <v>488</v>
      </c>
      <c r="N978" s="4">
        <f>[1]关卡数据!$F93</f>
        <v>0</v>
      </c>
      <c r="O978" s="4">
        <f>[1]关卡数据!$G93</f>
        <v>14068</v>
      </c>
      <c r="P978" s="4">
        <v>0</v>
      </c>
      <c r="Q978" s="4">
        <f>[1]森美拉!$H87</f>
        <v>0</v>
      </c>
      <c r="R978" s="4">
        <v>2</v>
      </c>
      <c r="S978" s="4">
        <f>[1]森美拉!$I87</f>
        <v>0</v>
      </c>
      <c r="T978" s="4">
        <v>0</v>
      </c>
      <c r="U978" s="4">
        <v>0</v>
      </c>
      <c r="V978" s="4">
        <v>0</v>
      </c>
    </row>
    <row r="979" spans="1:22" x14ac:dyDescent="0.15">
      <c r="A979" s="4" t="s">
        <v>2662</v>
      </c>
      <c r="D979" s="4">
        <v>100</v>
      </c>
      <c r="E979" s="4">
        <v>35</v>
      </c>
      <c r="H979" s="29">
        <v>1001</v>
      </c>
      <c r="I979" s="4">
        <f>[1]森美拉!$J88</f>
        <v>0</v>
      </c>
      <c r="M979" s="4">
        <f>[1]关卡数据!$E94</f>
        <v>496</v>
      </c>
      <c r="N979" s="4">
        <f>[1]关卡数据!$F94</f>
        <v>0</v>
      </c>
      <c r="O979" s="4">
        <f>[1]关卡数据!$G94</f>
        <v>14656</v>
      </c>
      <c r="P979" s="4">
        <v>0</v>
      </c>
      <c r="Q979" s="4">
        <f>[1]森美拉!$H88</f>
        <v>0</v>
      </c>
      <c r="R979" s="4">
        <v>2</v>
      </c>
      <c r="S979" s="4">
        <f>[1]森美拉!$I88</f>
        <v>0</v>
      </c>
      <c r="T979" s="4">
        <v>0</v>
      </c>
      <c r="U979" s="4">
        <v>0</v>
      </c>
      <c r="V979" s="4">
        <v>0</v>
      </c>
    </row>
    <row r="980" spans="1:22" x14ac:dyDescent="0.15">
      <c r="A980" s="4" t="s">
        <v>2662</v>
      </c>
      <c r="D980" s="4">
        <v>100</v>
      </c>
      <c r="E980" s="4">
        <v>36</v>
      </c>
      <c r="H980" s="29">
        <v>1001</v>
      </c>
      <c r="I980" s="4">
        <f>[1]森美拉!$J89</f>
        <v>0</v>
      </c>
      <c r="M980" s="4">
        <f>[1]关卡数据!$E95</f>
        <v>503</v>
      </c>
      <c r="N980" s="4">
        <f>[1]关卡数据!$F95</f>
        <v>0</v>
      </c>
      <c r="O980" s="4">
        <f>[1]关卡数据!$G95</f>
        <v>15270</v>
      </c>
      <c r="P980" s="4">
        <v>0</v>
      </c>
      <c r="Q980" s="4">
        <f>[1]森美拉!$H89</f>
        <v>0</v>
      </c>
      <c r="R980" s="4">
        <v>2</v>
      </c>
      <c r="S980" s="4">
        <f>[1]森美拉!$I89</f>
        <v>0</v>
      </c>
      <c r="T980" s="4">
        <v>0</v>
      </c>
      <c r="U980" s="4">
        <v>0</v>
      </c>
      <c r="V980" s="4">
        <v>0</v>
      </c>
    </row>
    <row r="981" spans="1:22" x14ac:dyDescent="0.15">
      <c r="A981" s="4" t="s">
        <v>2662</v>
      </c>
      <c r="D981" s="4">
        <v>100</v>
      </c>
      <c r="E981" s="4">
        <v>37</v>
      </c>
      <c r="H981" s="29">
        <v>1001</v>
      </c>
      <c r="I981" s="4">
        <f>[1]森美拉!$J90</f>
        <v>0</v>
      </c>
      <c r="M981" s="4">
        <f>[1]关卡数据!$E96</f>
        <v>511</v>
      </c>
      <c r="N981" s="4">
        <f>[1]关卡数据!$F96</f>
        <v>0</v>
      </c>
      <c r="O981" s="4">
        <f>[1]关卡数据!$G96</f>
        <v>15895</v>
      </c>
      <c r="P981" s="4">
        <v>0</v>
      </c>
      <c r="Q981" s="4">
        <f>[1]森美拉!$H90</f>
        <v>0</v>
      </c>
      <c r="R981" s="4">
        <v>2</v>
      </c>
      <c r="S981" s="4">
        <f>[1]森美拉!$I90</f>
        <v>0</v>
      </c>
      <c r="T981" s="4">
        <v>0</v>
      </c>
      <c r="U981" s="4">
        <v>0</v>
      </c>
      <c r="V981" s="4">
        <v>0</v>
      </c>
    </row>
    <row r="982" spans="1:22" x14ac:dyDescent="0.15">
      <c r="A982" s="4" t="s">
        <v>2662</v>
      </c>
      <c r="D982" s="4">
        <v>100</v>
      </c>
      <c r="E982" s="4">
        <v>38</v>
      </c>
      <c r="H982" s="29">
        <v>1001</v>
      </c>
      <c r="I982" s="4">
        <f>[1]森美拉!$J91</f>
        <v>0</v>
      </c>
      <c r="M982" s="4">
        <f>[1]关卡数据!$E97</f>
        <v>519</v>
      </c>
      <c r="N982" s="4">
        <f>[1]关卡数据!$F97</f>
        <v>0</v>
      </c>
      <c r="O982" s="4">
        <f>[1]关卡数据!$G97</f>
        <v>16530</v>
      </c>
      <c r="P982" s="4">
        <v>0</v>
      </c>
      <c r="Q982" s="4">
        <f>[1]森美拉!$H91</f>
        <v>0</v>
      </c>
      <c r="R982" s="4">
        <v>2</v>
      </c>
      <c r="S982" s="4">
        <f>[1]森美拉!$I91</f>
        <v>0</v>
      </c>
      <c r="T982" s="4">
        <v>0</v>
      </c>
      <c r="U982" s="4">
        <v>0</v>
      </c>
      <c r="V982" s="4">
        <v>0</v>
      </c>
    </row>
    <row r="983" spans="1:22" x14ac:dyDescent="0.15">
      <c r="A983" s="4" t="s">
        <v>2662</v>
      </c>
      <c r="D983" s="4">
        <v>100</v>
      </c>
      <c r="E983" s="4">
        <v>39</v>
      </c>
      <c r="H983" s="29">
        <v>1001</v>
      </c>
      <c r="I983" s="4">
        <f>[1]森美拉!$J92</f>
        <v>0</v>
      </c>
      <c r="M983" s="4">
        <f>[1]关卡数据!$E98</f>
        <v>526</v>
      </c>
      <c r="N983" s="4">
        <f>[1]关卡数据!$F98</f>
        <v>0</v>
      </c>
      <c r="O983" s="4">
        <f>[1]关卡数据!$G98</f>
        <v>17160</v>
      </c>
      <c r="P983" s="4">
        <v>0</v>
      </c>
      <c r="Q983" s="4">
        <f>[1]森美拉!$H92</f>
        <v>0</v>
      </c>
      <c r="R983" s="4">
        <v>2</v>
      </c>
      <c r="S983" s="4">
        <f>[1]森美拉!$I92</f>
        <v>0</v>
      </c>
      <c r="T983" s="4">
        <v>0</v>
      </c>
      <c r="U983" s="4">
        <v>0</v>
      </c>
      <c r="V983" s="4">
        <v>0</v>
      </c>
    </row>
    <row r="984" spans="1:22" x14ac:dyDescent="0.15">
      <c r="A984" s="4" t="s">
        <v>2662</v>
      </c>
      <c r="D984" s="4">
        <v>100</v>
      </c>
      <c r="E984" s="4">
        <v>40</v>
      </c>
      <c r="H984" s="29">
        <v>1001</v>
      </c>
      <c r="I984" s="4">
        <f>[1]森美拉!$J93</f>
        <v>0</v>
      </c>
      <c r="M984" s="4">
        <f>[1]关卡数据!$E99</f>
        <v>534</v>
      </c>
      <c r="N984" s="4">
        <f>[1]关卡数据!$F99</f>
        <v>0</v>
      </c>
      <c r="O984" s="4">
        <f>[1]关卡数据!$G99</f>
        <v>17817</v>
      </c>
      <c r="P984" s="4">
        <v>0</v>
      </c>
      <c r="Q984" s="4">
        <f>[1]森美拉!$H93</f>
        <v>0</v>
      </c>
      <c r="R984" s="4">
        <v>2</v>
      </c>
      <c r="S984" s="4">
        <f>[1]森美拉!$I93</f>
        <v>0</v>
      </c>
      <c r="T984" s="4">
        <v>0</v>
      </c>
      <c r="U984" s="4">
        <v>0</v>
      </c>
      <c r="V984" s="4">
        <v>0</v>
      </c>
    </row>
    <row r="985" spans="1:22" x14ac:dyDescent="0.15">
      <c r="A985" s="4" t="s">
        <v>2662</v>
      </c>
      <c r="D985" s="4">
        <v>100</v>
      </c>
      <c r="E985" s="4">
        <v>41</v>
      </c>
      <c r="H985" s="29">
        <v>1001</v>
      </c>
      <c r="I985" s="4">
        <f>[1]森美拉!$J94</f>
        <v>0</v>
      </c>
      <c r="M985" s="4">
        <f>[1]关卡数据!$E100</f>
        <v>541</v>
      </c>
      <c r="N985" s="4">
        <f>[1]关卡数据!$F100</f>
        <v>0</v>
      </c>
      <c r="O985" s="4">
        <f>[1]关卡数据!$G100</f>
        <v>18484</v>
      </c>
      <c r="P985" s="4">
        <v>0</v>
      </c>
      <c r="Q985" s="4">
        <f>[1]森美拉!$H94</f>
        <v>0</v>
      </c>
      <c r="R985" s="4">
        <v>2</v>
      </c>
      <c r="S985" s="4">
        <f>[1]森美拉!$I94</f>
        <v>0</v>
      </c>
      <c r="T985" s="4">
        <v>0</v>
      </c>
      <c r="U985" s="4">
        <v>0</v>
      </c>
      <c r="V985" s="4">
        <v>0</v>
      </c>
    </row>
    <row r="986" spans="1:22" x14ac:dyDescent="0.15">
      <c r="A986" s="4" t="s">
        <v>2662</v>
      </c>
      <c r="D986" s="4">
        <v>100</v>
      </c>
      <c r="E986" s="4">
        <v>42</v>
      </c>
      <c r="H986" s="29">
        <v>1001</v>
      </c>
      <c r="I986" s="4">
        <f>[1]森美拉!$J95</f>
        <v>0</v>
      </c>
      <c r="M986" s="4">
        <f>[1]关卡数据!$E101</f>
        <v>549</v>
      </c>
      <c r="N986" s="4">
        <f>[1]关卡数据!$F101</f>
        <v>0</v>
      </c>
      <c r="O986" s="4">
        <f>[1]关卡数据!$G101</f>
        <v>19163</v>
      </c>
      <c r="P986" s="4">
        <v>0</v>
      </c>
      <c r="Q986" s="4">
        <f>[1]森美拉!$H95</f>
        <v>0</v>
      </c>
      <c r="R986" s="4">
        <v>2</v>
      </c>
      <c r="S986" s="4">
        <f>[1]森美拉!$I95</f>
        <v>0</v>
      </c>
      <c r="T986" s="4">
        <v>0</v>
      </c>
      <c r="U986" s="4">
        <v>0</v>
      </c>
      <c r="V986" s="4">
        <v>0</v>
      </c>
    </row>
    <row r="987" spans="1:22" x14ac:dyDescent="0.15">
      <c r="A987" s="4" t="s">
        <v>2662</v>
      </c>
      <c r="D987" s="4">
        <v>100</v>
      </c>
      <c r="E987" s="4">
        <v>43</v>
      </c>
      <c r="H987" s="29">
        <v>1001</v>
      </c>
      <c r="I987" s="4">
        <f>[1]森美拉!$J96</f>
        <v>0</v>
      </c>
      <c r="M987" s="4">
        <f>[1]关卡数据!$E102</f>
        <v>557</v>
      </c>
      <c r="N987" s="4">
        <f>[1]关卡数据!$F102</f>
        <v>0</v>
      </c>
      <c r="O987" s="4">
        <f>[1]关卡数据!$G102</f>
        <v>19852</v>
      </c>
      <c r="P987" s="4">
        <v>0</v>
      </c>
      <c r="Q987" s="4">
        <f>[1]森美拉!$H96</f>
        <v>0</v>
      </c>
      <c r="R987" s="4">
        <v>2</v>
      </c>
      <c r="S987" s="4">
        <f>[1]森美拉!$I96</f>
        <v>0</v>
      </c>
      <c r="T987" s="4">
        <v>0</v>
      </c>
      <c r="U987" s="4">
        <v>0</v>
      </c>
      <c r="V987" s="4">
        <v>0</v>
      </c>
    </row>
    <row r="988" spans="1:22" x14ac:dyDescent="0.15">
      <c r="A988" s="4" t="s">
        <v>2662</v>
      </c>
      <c r="D988" s="4">
        <v>100</v>
      </c>
      <c r="E988" s="4">
        <v>44</v>
      </c>
      <c r="H988" s="29">
        <v>1001</v>
      </c>
      <c r="I988" s="4">
        <f>[1]森美拉!$J97</f>
        <v>0</v>
      </c>
      <c r="M988" s="4">
        <f>[1]关卡数据!$E103</f>
        <v>564</v>
      </c>
      <c r="N988" s="4">
        <f>[1]关卡数据!$F103</f>
        <v>0</v>
      </c>
      <c r="O988" s="4">
        <f>[1]关卡数据!$G103</f>
        <v>20533</v>
      </c>
      <c r="P988" s="4">
        <v>0</v>
      </c>
      <c r="Q988" s="4">
        <f>[1]森美拉!$H97</f>
        <v>0</v>
      </c>
      <c r="R988" s="4">
        <v>2</v>
      </c>
      <c r="S988" s="4">
        <f>[1]森美拉!$I97</f>
        <v>0</v>
      </c>
      <c r="T988" s="4">
        <v>0</v>
      </c>
      <c r="U988" s="4">
        <v>0</v>
      </c>
      <c r="V988" s="4">
        <v>0</v>
      </c>
    </row>
    <row r="989" spans="1:22" x14ac:dyDescent="0.15">
      <c r="A989" s="4" t="s">
        <v>2662</v>
      </c>
      <c r="D989" s="4">
        <v>100</v>
      </c>
      <c r="E989" s="4">
        <v>45</v>
      </c>
      <c r="H989" s="29">
        <v>1001</v>
      </c>
      <c r="I989" s="4">
        <f>[1]森美拉!$J98</f>
        <v>0</v>
      </c>
      <c r="M989" s="4">
        <f>[1]关卡数据!$E104</f>
        <v>572</v>
      </c>
      <c r="N989" s="4">
        <f>[1]关卡数据!$F104</f>
        <v>0</v>
      </c>
      <c r="O989" s="4">
        <f>[1]关卡数据!$G104</f>
        <v>21244</v>
      </c>
      <c r="P989" s="4">
        <v>0</v>
      </c>
      <c r="Q989" s="4">
        <f>[1]森美拉!$H98</f>
        <v>0</v>
      </c>
      <c r="R989" s="4">
        <v>2</v>
      </c>
      <c r="S989" s="4">
        <f>[1]森美拉!$I98</f>
        <v>0</v>
      </c>
      <c r="T989" s="4">
        <v>0</v>
      </c>
      <c r="U989" s="4">
        <v>0</v>
      </c>
      <c r="V989" s="4">
        <v>0</v>
      </c>
    </row>
    <row r="990" spans="1:22" x14ac:dyDescent="0.15">
      <c r="A990" s="4" t="s">
        <v>2662</v>
      </c>
      <c r="D990" s="4">
        <v>100</v>
      </c>
      <c r="E990" s="4">
        <v>46</v>
      </c>
      <c r="H990" s="29">
        <v>1001</v>
      </c>
      <c r="I990" s="4">
        <f>[1]森美拉!$J99</f>
        <v>0</v>
      </c>
      <c r="M990" s="4">
        <f>[1]关卡数据!$E105</f>
        <v>579</v>
      </c>
      <c r="N990" s="4">
        <f>[1]关卡数据!$F105</f>
        <v>0</v>
      </c>
      <c r="O990" s="4">
        <f>[1]关卡数据!$G105</f>
        <v>21965</v>
      </c>
      <c r="P990" s="4">
        <v>0</v>
      </c>
      <c r="Q990" s="4">
        <f>[1]森美拉!$H99</f>
        <v>0</v>
      </c>
      <c r="R990" s="4">
        <v>2</v>
      </c>
      <c r="S990" s="4">
        <f>[1]森美拉!$I99</f>
        <v>0</v>
      </c>
      <c r="T990" s="4">
        <v>0</v>
      </c>
      <c r="U990" s="4">
        <v>0</v>
      </c>
      <c r="V990" s="4">
        <v>0</v>
      </c>
    </row>
    <row r="991" spans="1:22" x14ac:dyDescent="0.15">
      <c r="A991" s="4" t="s">
        <v>2662</v>
      </c>
      <c r="D991" s="4">
        <v>100</v>
      </c>
      <c r="E991" s="4">
        <v>47</v>
      </c>
      <c r="H991" s="29">
        <v>1001</v>
      </c>
      <c r="I991" s="4">
        <f>[1]森美拉!$J100</f>
        <v>0</v>
      </c>
      <c r="M991" s="4">
        <f>[1]关卡数据!$E106</f>
        <v>587</v>
      </c>
      <c r="N991" s="4">
        <f>[1]关卡数据!$F106</f>
        <v>0</v>
      </c>
      <c r="O991" s="4">
        <f>[1]关卡数据!$G106</f>
        <v>22697</v>
      </c>
      <c r="P991" s="4">
        <v>0</v>
      </c>
      <c r="Q991" s="4">
        <f>[1]森美拉!$H100</f>
        <v>0</v>
      </c>
      <c r="R991" s="4">
        <v>2</v>
      </c>
      <c r="S991" s="4">
        <f>[1]森美拉!$I100</f>
        <v>0</v>
      </c>
      <c r="T991" s="4">
        <v>0</v>
      </c>
      <c r="U991" s="4">
        <v>0</v>
      </c>
      <c r="V991" s="4">
        <v>0</v>
      </c>
    </row>
    <row r="992" spans="1:22" x14ac:dyDescent="0.15">
      <c r="A992" s="4" t="s">
        <v>2662</v>
      </c>
      <c r="D992" s="4">
        <v>100</v>
      </c>
      <c r="E992" s="4">
        <v>48</v>
      </c>
      <c r="H992" s="29">
        <v>1001</v>
      </c>
      <c r="I992" s="4">
        <f>[1]森美拉!$J101</f>
        <v>0</v>
      </c>
      <c r="M992" s="4">
        <f>[1]关卡数据!$E107</f>
        <v>595</v>
      </c>
      <c r="N992" s="4">
        <f>[1]关卡数据!$F107</f>
        <v>0</v>
      </c>
      <c r="O992" s="4">
        <f>[1]关卡数据!$G107</f>
        <v>23420</v>
      </c>
      <c r="P992" s="4">
        <v>0</v>
      </c>
      <c r="Q992" s="4">
        <f>[1]森美拉!$H101</f>
        <v>0</v>
      </c>
      <c r="R992" s="4">
        <v>2</v>
      </c>
      <c r="S992" s="4">
        <f>[1]森美拉!$I101</f>
        <v>0</v>
      </c>
      <c r="T992" s="4">
        <v>0</v>
      </c>
      <c r="U992" s="4">
        <v>0</v>
      </c>
      <c r="V992" s="4">
        <v>0</v>
      </c>
    </row>
    <row r="993" spans="1:22" x14ac:dyDescent="0.15">
      <c r="A993" s="4" t="s">
        <v>2662</v>
      </c>
      <c r="D993" s="4">
        <v>100</v>
      </c>
      <c r="E993" s="4">
        <v>49</v>
      </c>
      <c r="H993" s="29">
        <v>1001</v>
      </c>
      <c r="I993" s="4">
        <f>[1]森美拉!$J102</f>
        <v>0</v>
      </c>
      <c r="M993" s="4">
        <f>[1]关卡数据!$E108</f>
        <v>602</v>
      </c>
      <c r="N993" s="4">
        <f>[1]关卡数据!$F108</f>
        <v>0</v>
      </c>
      <c r="O993" s="4">
        <f>[1]关卡数据!$G108</f>
        <v>24173</v>
      </c>
      <c r="P993" s="4">
        <v>0</v>
      </c>
      <c r="Q993" s="4">
        <f>[1]森美拉!$H102</f>
        <v>0</v>
      </c>
      <c r="R993" s="4">
        <v>2</v>
      </c>
      <c r="S993" s="4">
        <f>[1]森美拉!$I102</f>
        <v>0</v>
      </c>
      <c r="T993" s="4">
        <v>0</v>
      </c>
      <c r="U993" s="4">
        <v>0</v>
      </c>
      <c r="V993" s="4">
        <v>0</v>
      </c>
    </row>
    <row r="994" spans="1:22" x14ac:dyDescent="0.15">
      <c r="A994" s="4" t="s">
        <v>2662</v>
      </c>
      <c r="D994" s="4">
        <v>100</v>
      </c>
      <c r="E994" s="4">
        <v>50</v>
      </c>
      <c r="H994" s="29">
        <v>1001</v>
      </c>
      <c r="I994" s="4">
        <f>[1]森美拉!$J103</f>
        <v>0</v>
      </c>
      <c r="M994" s="4">
        <f>[1]关卡数据!$E109</f>
        <v>610</v>
      </c>
      <c r="N994" s="4">
        <f>[1]关卡数据!$F109</f>
        <v>0</v>
      </c>
      <c r="O994" s="4">
        <f>[1]关卡数据!$G109</f>
        <v>24938</v>
      </c>
      <c r="P994" s="4">
        <v>0</v>
      </c>
      <c r="Q994" s="4">
        <f>[1]森美拉!$H103</f>
        <v>0</v>
      </c>
      <c r="R994" s="4">
        <v>2</v>
      </c>
      <c r="S994" s="4">
        <f>[1]森美拉!$I103</f>
        <v>0</v>
      </c>
      <c r="T994" s="4">
        <v>0</v>
      </c>
      <c r="U994" s="4">
        <v>0</v>
      </c>
      <c r="V994" s="4">
        <v>0</v>
      </c>
    </row>
    <row r="996" spans="1:22" x14ac:dyDescent="0.15">
      <c r="A996" s="4" t="s">
        <v>2662</v>
      </c>
      <c r="C996" s="4" t="s">
        <v>2866</v>
      </c>
      <c r="D996" s="4">
        <v>200</v>
      </c>
      <c r="E996" s="4">
        <v>0</v>
      </c>
      <c r="H996" s="29">
        <v>0</v>
      </c>
      <c r="I996" s="30">
        <v>0</v>
      </c>
      <c r="M996" s="4">
        <v>0</v>
      </c>
      <c r="N996" s="4">
        <v>0</v>
      </c>
      <c r="O996" s="4">
        <v>0</v>
      </c>
      <c r="P996" s="4">
        <v>0</v>
      </c>
      <c r="Q996" s="4">
        <v>0</v>
      </c>
      <c r="R996" s="4">
        <v>0</v>
      </c>
      <c r="S996" s="4">
        <v>0</v>
      </c>
      <c r="T996" s="4">
        <v>0</v>
      </c>
      <c r="U996" s="4">
        <v>0</v>
      </c>
      <c r="V996" s="4">
        <v>0</v>
      </c>
    </row>
    <row r="997" spans="1:22" x14ac:dyDescent="0.15">
      <c r="A997" s="4" t="s">
        <v>2662</v>
      </c>
      <c r="D997" s="4">
        <v>200</v>
      </c>
      <c r="E997" s="4">
        <v>1</v>
      </c>
      <c r="H997" s="29">
        <v>1001</v>
      </c>
      <c r="I997" s="4">
        <f>[1]森美拉!$J106</f>
        <v>0</v>
      </c>
      <c r="M997" s="4">
        <f>[1]关卡数据!$E112</f>
        <v>3</v>
      </c>
      <c r="N997" s="4">
        <f>[1]关卡数据!$F112</f>
        <v>0</v>
      </c>
      <c r="O997" s="4">
        <v>500</v>
      </c>
      <c r="P997" s="4">
        <v>0</v>
      </c>
      <c r="Q997" s="4">
        <f>[1]森美拉!$H106</f>
        <v>0</v>
      </c>
      <c r="R997" s="4">
        <v>2</v>
      </c>
      <c r="S997" s="4">
        <f>[1]森美拉!$I106</f>
        <v>0</v>
      </c>
      <c r="T997" s="4">
        <v>0</v>
      </c>
      <c r="U997" s="4">
        <v>0</v>
      </c>
      <c r="V997" s="4">
        <v>0</v>
      </c>
    </row>
    <row r="998" spans="1:22" x14ac:dyDescent="0.15">
      <c r="A998" s="4" t="s">
        <v>2662</v>
      </c>
      <c r="D998" s="4">
        <v>200</v>
      </c>
      <c r="E998" s="4">
        <v>2</v>
      </c>
      <c r="H998" s="29">
        <v>1001</v>
      </c>
      <c r="I998" s="4">
        <f>[1]森美拉!$J107</f>
        <v>0</v>
      </c>
      <c r="M998" s="4">
        <f>[1]关卡数据!$E113</f>
        <v>5</v>
      </c>
      <c r="N998" s="4">
        <f>[1]关卡数据!$F113</f>
        <v>0</v>
      </c>
      <c r="O998" s="4">
        <f>[1]关卡数据!$G113</f>
        <v>584</v>
      </c>
      <c r="P998" s="4">
        <v>0</v>
      </c>
      <c r="Q998" s="4">
        <f>[1]森美拉!$H107</f>
        <v>0</v>
      </c>
      <c r="R998" s="4">
        <v>2</v>
      </c>
      <c r="S998" s="4">
        <f>[1]森美拉!$I107</f>
        <v>0</v>
      </c>
      <c r="T998" s="4">
        <v>0</v>
      </c>
      <c r="U998" s="4">
        <v>0</v>
      </c>
      <c r="V998" s="4">
        <v>0</v>
      </c>
    </row>
    <row r="999" spans="1:22" x14ac:dyDescent="0.15">
      <c r="A999" s="4" t="s">
        <v>2662</v>
      </c>
      <c r="D999" s="4">
        <v>200</v>
      </c>
      <c r="E999" s="4">
        <v>3</v>
      </c>
      <c r="H999" s="29">
        <v>1001</v>
      </c>
      <c r="I999" s="4">
        <f>[1]森美拉!$J108</f>
        <v>0</v>
      </c>
      <c r="M999" s="4">
        <f>[1]关卡数据!$E114</f>
        <v>7</v>
      </c>
      <c r="N999" s="4">
        <f>[1]关卡数据!$F114</f>
        <v>0</v>
      </c>
      <c r="O999" s="4">
        <v>500</v>
      </c>
      <c r="P999" s="4">
        <v>0</v>
      </c>
      <c r="Q999" s="4">
        <f>[1]森美拉!$H108</f>
        <v>0</v>
      </c>
      <c r="R999" s="4">
        <v>2</v>
      </c>
      <c r="S999" s="4">
        <f>[1]森美拉!$I108</f>
        <v>0</v>
      </c>
      <c r="T999" s="4">
        <v>0</v>
      </c>
      <c r="U999" s="4">
        <v>0</v>
      </c>
      <c r="V999" s="4">
        <v>0</v>
      </c>
    </row>
    <row r="1000" spans="1:22" x14ac:dyDescent="0.15">
      <c r="A1000" s="4" t="s">
        <v>2662</v>
      </c>
      <c r="D1000" s="4">
        <v>200</v>
      </c>
      <c r="E1000" s="4">
        <v>4</v>
      </c>
      <c r="H1000" s="29">
        <v>1001</v>
      </c>
      <c r="I1000" s="4">
        <f>[1]森美拉!$J109</f>
        <v>0</v>
      </c>
      <c r="M1000" s="4">
        <f>[1]关卡数据!$E115</f>
        <v>13</v>
      </c>
      <c r="N1000" s="4">
        <f>[1]关卡数据!$F115</f>
        <v>0</v>
      </c>
      <c r="O1000" s="4">
        <f>[1]关卡数据!$G115</f>
        <v>864</v>
      </c>
      <c r="P1000" s="4">
        <v>0</v>
      </c>
      <c r="Q1000" s="4">
        <f>[1]森美拉!$H109</f>
        <v>0</v>
      </c>
      <c r="R1000" s="4">
        <v>2</v>
      </c>
      <c r="S1000" s="4">
        <f>[1]森美拉!$I109</f>
        <v>0</v>
      </c>
      <c r="T1000" s="4">
        <v>0</v>
      </c>
      <c r="U1000" s="4">
        <v>0</v>
      </c>
      <c r="V1000" s="4">
        <v>0</v>
      </c>
    </row>
    <row r="1001" spans="1:22" x14ac:dyDescent="0.15">
      <c r="A1001" s="4" t="s">
        <v>2662</v>
      </c>
      <c r="D1001" s="4">
        <v>200</v>
      </c>
      <c r="E1001" s="4">
        <v>5</v>
      </c>
      <c r="H1001" s="29">
        <v>1001</v>
      </c>
      <c r="I1001" s="4">
        <f>[1]森美拉!$J110</f>
        <v>0</v>
      </c>
      <c r="M1001" s="4">
        <f>[1]关卡数据!$E116</f>
        <v>24</v>
      </c>
      <c r="N1001" s="4">
        <f>[1]关卡数据!$F116</f>
        <v>0</v>
      </c>
      <c r="O1001" s="4">
        <f>[1]关卡数据!$G116</f>
        <v>1090</v>
      </c>
      <c r="P1001" s="4">
        <v>0</v>
      </c>
      <c r="Q1001" s="4">
        <f>[1]森美拉!$H110</f>
        <v>0</v>
      </c>
      <c r="R1001" s="4">
        <v>2</v>
      </c>
      <c r="S1001" s="4">
        <f>[1]森美拉!$I110</f>
        <v>0</v>
      </c>
      <c r="T1001" s="4">
        <v>0</v>
      </c>
      <c r="U1001" s="4">
        <v>0</v>
      </c>
      <c r="V1001" s="4">
        <v>0</v>
      </c>
    </row>
    <row r="1002" spans="1:22" x14ac:dyDescent="0.15">
      <c r="A1002" s="4" t="s">
        <v>2662</v>
      </c>
      <c r="D1002" s="4">
        <v>200</v>
      </c>
      <c r="E1002" s="4">
        <v>6</v>
      </c>
      <c r="H1002" s="29">
        <v>1001</v>
      </c>
      <c r="I1002" s="4">
        <f>[1]森美拉!$J111</f>
        <v>0</v>
      </c>
      <c r="M1002" s="4">
        <f>[1]关卡数据!$E117</f>
        <v>31</v>
      </c>
      <c r="N1002" s="4">
        <f>[1]关卡数据!$F117</f>
        <v>0</v>
      </c>
      <c r="O1002" s="4">
        <f>[1]关卡数据!$G117</f>
        <v>1429</v>
      </c>
      <c r="P1002" s="4">
        <v>0</v>
      </c>
      <c r="Q1002" s="4">
        <f>[1]森美拉!$H111</f>
        <v>0</v>
      </c>
      <c r="R1002" s="4">
        <v>2</v>
      </c>
      <c r="S1002" s="4">
        <f>[1]森美拉!$I111</f>
        <v>0</v>
      </c>
      <c r="T1002" s="4">
        <v>0</v>
      </c>
      <c r="U1002" s="4">
        <v>0</v>
      </c>
      <c r="V1002" s="4">
        <v>0</v>
      </c>
    </row>
    <row r="1003" spans="1:22" x14ac:dyDescent="0.15">
      <c r="A1003" s="4" t="s">
        <v>2662</v>
      </c>
      <c r="D1003" s="4">
        <v>200</v>
      </c>
      <c r="E1003" s="4">
        <v>7</v>
      </c>
      <c r="H1003" s="29">
        <v>1001</v>
      </c>
      <c r="I1003" s="4">
        <f>[1]森美拉!$J112</f>
        <v>0</v>
      </c>
      <c r="M1003" s="4">
        <f>[1]关卡数据!$E118</f>
        <v>41</v>
      </c>
      <c r="N1003" s="4">
        <f>[1]关卡数据!$F118</f>
        <v>0</v>
      </c>
      <c r="O1003" s="4">
        <f>[1]关卡数据!$G118</f>
        <v>1944</v>
      </c>
      <c r="P1003" s="4">
        <v>0</v>
      </c>
      <c r="Q1003" s="4">
        <f>[1]森美拉!$H112</f>
        <v>0</v>
      </c>
      <c r="R1003" s="4">
        <v>2</v>
      </c>
      <c r="S1003" s="4">
        <f>[1]森美拉!$I112</f>
        <v>0</v>
      </c>
      <c r="T1003" s="4">
        <v>0</v>
      </c>
      <c r="U1003" s="4">
        <v>0</v>
      </c>
      <c r="V1003" s="4">
        <v>0</v>
      </c>
    </row>
    <row r="1004" spans="1:22" x14ac:dyDescent="0.15">
      <c r="A1004" s="4" t="s">
        <v>2662</v>
      </c>
      <c r="D1004" s="4">
        <v>200</v>
      </c>
      <c r="E1004" s="4">
        <v>8</v>
      </c>
      <c r="H1004" s="29">
        <v>1001</v>
      </c>
      <c r="I1004" s="4">
        <f>[1]森美拉!$J113</f>
        <v>0</v>
      </c>
      <c r="M1004" s="4">
        <f>[1]关卡数据!$E119</f>
        <v>62</v>
      </c>
      <c r="N1004" s="4">
        <f>[1]关卡数据!$F119</f>
        <v>0</v>
      </c>
      <c r="O1004" s="4">
        <f>[1]关卡数据!$G119</f>
        <v>2314</v>
      </c>
      <c r="P1004" s="4">
        <v>0</v>
      </c>
      <c r="Q1004" s="4">
        <f>[1]森美拉!$H113</f>
        <v>0</v>
      </c>
      <c r="R1004" s="4">
        <v>2</v>
      </c>
      <c r="S1004" s="4">
        <f>[1]森美拉!$I113</f>
        <v>0</v>
      </c>
      <c r="T1004" s="4">
        <v>0</v>
      </c>
      <c r="U1004" s="4">
        <v>0</v>
      </c>
      <c r="V1004" s="4">
        <v>0</v>
      </c>
    </row>
    <row r="1005" spans="1:22" x14ac:dyDescent="0.15">
      <c r="A1005" s="4" t="s">
        <v>2662</v>
      </c>
      <c r="D1005" s="4">
        <v>200</v>
      </c>
      <c r="E1005" s="4">
        <v>9</v>
      </c>
      <c r="H1005" s="29">
        <v>1001</v>
      </c>
      <c r="I1005" s="4">
        <f>[1]森美拉!$J114</f>
        <v>0</v>
      </c>
      <c r="M1005" s="4">
        <f>[1]关卡数据!$E120</f>
        <v>67</v>
      </c>
      <c r="N1005" s="4">
        <f>[1]关卡数据!$F120</f>
        <v>0</v>
      </c>
      <c r="O1005" s="4">
        <f>[1]关卡数据!$G120</f>
        <v>3033</v>
      </c>
      <c r="P1005" s="4">
        <v>0</v>
      </c>
      <c r="Q1005" s="4">
        <f>[1]森美拉!$H114</f>
        <v>0</v>
      </c>
      <c r="R1005" s="4">
        <v>2</v>
      </c>
      <c r="S1005" s="4">
        <f>[1]森美拉!$I114</f>
        <v>0</v>
      </c>
      <c r="T1005" s="4">
        <v>0</v>
      </c>
      <c r="U1005" s="4">
        <v>0</v>
      </c>
      <c r="V1005" s="4">
        <v>0</v>
      </c>
    </row>
    <row r="1006" spans="1:22" x14ac:dyDescent="0.15">
      <c r="A1006" s="4" t="s">
        <v>2662</v>
      </c>
      <c r="D1006" s="4">
        <v>200</v>
      </c>
      <c r="E1006" s="4">
        <v>10</v>
      </c>
      <c r="H1006" s="29">
        <v>1001</v>
      </c>
      <c r="I1006" s="4">
        <f>[1]森美拉!$J115</f>
        <v>0</v>
      </c>
      <c r="M1006" s="4">
        <f>[1]关卡数据!$E121</f>
        <v>72</v>
      </c>
      <c r="N1006" s="4">
        <f>[1]关卡数据!$F121</f>
        <v>0</v>
      </c>
      <c r="O1006" s="4">
        <f>[1]关卡数据!$G121</f>
        <v>6860</v>
      </c>
      <c r="P1006" s="4">
        <v>0</v>
      </c>
      <c r="Q1006" s="4">
        <f>[1]森美拉!$H115</f>
        <v>0</v>
      </c>
      <c r="R1006" s="4">
        <v>2</v>
      </c>
      <c r="S1006" s="4">
        <f>[1]森美拉!$I115</f>
        <v>0</v>
      </c>
      <c r="T1006" s="4">
        <v>0</v>
      </c>
      <c r="U1006" s="4">
        <v>0</v>
      </c>
      <c r="V1006" s="4">
        <v>0</v>
      </c>
    </row>
    <row r="1007" spans="1:22" x14ac:dyDescent="0.15">
      <c r="A1007" s="4" t="s">
        <v>2662</v>
      </c>
      <c r="D1007" s="4">
        <v>200</v>
      </c>
      <c r="E1007" s="4">
        <v>11</v>
      </c>
      <c r="H1007" s="29">
        <v>1001</v>
      </c>
      <c r="I1007" s="4">
        <f>[1]森美拉!$J116</f>
        <v>0</v>
      </c>
      <c r="M1007" s="4">
        <f>[1]关卡数据!$E122</f>
        <v>78</v>
      </c>
      <c r="N1007" s="4">
        <f>[1]关卡数据!$F122</f>
        <v>0</v>
      </c>
      <c r="O1007" s="4">
        <f>[1]关卡数据!$G122</f>
        <v>7573</v>
      </c>
      <c r="P1007" s="4">
        <v>0</v>
      </c>
      <c r="Q1007" s="4">
        <f>[1]森美拉!$H116</f>
        <v>0</v>
      </c>
      <c r="R1007" s="4">
        <v>2</v>
      </c>
      <c r="S1007" s="4">
        <f>[1]森美拉!$I116</f>
        <v>0</v>
      </c>
      <c r="T1007" s="4">
        <v>0</v>
      </c>
      <c r="U1007" s="4">
        <v>0</v>
      </c>
      <c r="V1007" s="4">
        <v>0</v>
      </c>
    </row>
    <row r="1008" spans="1:22" x14ac:dyDescent="0.15">
      <c r="A1008" s="4" t="s">
        <v>2662</v>
      </c>
      <c r="D1008" s="4">
        <v>200</v>
      </c>
      <c r="E1008" s="4">
        <v>12</v>
      </c>
      <c r="H1008" s="29">
        <v>1001</v>
      </c>
      <c r="I1008" s="4">
        <f>[1]森美拉!$J117</f>
        <v>0</v>
      </c>
      <c r="M1008" s="4">
        <f>[1]关卡数据!$E123</f>
        <v>85</v>
      </c>
      <c r="N1008" s="4">
        <f>[1]关卡数据!$F123</f>
        <v>0</v>
      </c>
      <c r="O1008" s="4">
        <f>[1]关卡数据!$G123</f>
        <v>11867</v>
      </c>
      <c r="P1008" s="4">
        <v>0</v>
      </c>
      <c r="Q1008" s="4">
        <f>[1]森美拉!$H117</f>
        <v>0</v>
      </c>
      <c r="R1008" s="4">
        <v>2</v>
      </c>
      <c r="S1008" s="4">
        <f>[1]森美拉!$I117</f>
        <v>0</v>
      </c>
      <c r="T1008" s="4">
        <v>0</v>
      </c>
      <c r="U1008" s="4">
        <v>0</v>
      </c>
      <c r="V1008" s="4">
        <v>0</v>
      </c>
    </row>
    <row r="1009" spans="1:22" x14ac:dyDescent="0.15">
      <c r="A1009" s="4" t="s">
        <v>2662</v>
      </c>
      <c r="D1009" s="4">
        <v>200</v>
      </c>
      <c r="E1009" s="4">
        <v>13</v>
      </c>
      <c r="H1009" s="29">
        <v>1001</v>
      </c>
      <c r="I1009" s="4">
        <f>[1]森美拉!$J118</f>
        <v>0</v>
      </c>
      <c r="M1009" s="4">
        <f>[1]关卡数据!$E124</f>
        <v>93</v>
      </c>
      <c r="N1009" s="4">
        <f>[1]关卡数据!$F124</f>
        <v>0</v>
      </c>
      <c r="O1009" s="4">
        <f>[1]关卡数据!$G124</f>
        <v>15104</v>
      </c>
      <c r="P1009" s="4">
        <v>0</v>
      </c>
      <c r="Q1009" s="4">
        <f>[1]森美拉!$H118</f>
        <v>0</v>
      </c>
      <c r="R1009" s="4">
        <v>2</v>
      </c>
      <c r="S1009" s="4">
        <f>[1]森美拉!$I118</f>
        <v>0</v>
      </c>
      <c r="T1009" s="4">
        <v>0</v>
      </c>
      <c r="U1009" s="4">
        <v>0</v>
      </c>
      <c r="V1009" s="4">
        <v>0</v>
      </c>
    </row>
    <row r="1010" spans="1:22" x14ac:dyDescent="0.15">
      <c r="A1010" s="4" t="s">
        <v>2662</v>
      </c>
      <c r="D1010" s="4">
        <v>200</v>
      </c>
      <c r="E1010" s="4">
        <v>14</v>
      </c>
      <c r="H1010" s="29">
        <v>1001</v>
      </c>
      <c r="I1010" s="4">
        <f>[1]森美拉!$J119</f>
        <v>0</v>
      </c>
      <c r="M1010" s="4">
        <f>[1]关卡数据!$E125</f>
        <v>101</v>
      </c>
      <c r="N1010" s="4">
        <f>[1]关卡数据!$F125</f>
        <v>0</v>
      </c>
      <c r="O1010" s="4">
        <f>[1]关卡数据!$G125</f>
        <v>18425</v>
      </c>
      <c r="P1010" s="4">
        <v>0</v>
      </c>
      <c r="Q1010" s="4">
        <f>[1]森美拉!$H119</f>
        <v>0</v>
      </c>
      <c r="R1010" s="4">
        <v>2</v>
      </c>
      <c r="S1010" s="4">
        <f>[1]森美拉!$I119</f>
        <v>0</v>
      </c>
      <c r="T1010" s="4">
        <v>0</v>
      </c>
      <c r="U1010" s="4">
        <v>0</v>
      </c>
      <c r="V1010" s="4">
        <v>0</v>
      </c>
    </row>
    <row r="1011" spans="1:22" x14ac:dyDescent="0.15">
      <c r="A1011" s="4" t="s">
        <v>2662</v>
      </c>
      <c r="D1011" s="4">
        <v>200</v>
      </c>
      <c r="E1011" s="4">
        <v>15</v>
      </c>
      <c r="H1011" s="29">
        <v>1001</v>
      </c>
      <c r="I1011" s="4">
        <f>[1]森美拉!$J120</f>
        <v>0</v>
      </c>
      <c r="M1011" s="4">
        <f>[1]关卡数据!$E126</f>
        <v>111</v>
      </c>
      <c r="N1011" s="4">
        <f>[1]关卡数据!$F126</f>
        <v>0</v>
      </c>
      <c r="O1011" s="4">
        <f>[1]关卡数据!$G126</f>
        <v>21875</v>
      </c>
      <c r="P1011" s="4">
        <v>0</v>
      </c>
      <c r="Q1011" s="4">
        <f>[1]森美拉!$H120</f>
        <v>0</v>
      </c>
      <c r="R1011" s="4">
        <v>2</v>
      </c>
      <c r="S1011" s="4">
        <f>[1]森美拉!$I120</f>
        <v>0</v>
      </c>
      <c r="T1011" s="4">
        <v>0</v>
      </c>
      <c r="U1011" s="4">
        <v>0</v>
      </c>
      <c r="V1011" s="4">
        <v>0</v>
      </c>
    </row>
    <row r="1012" spans="1:22" x14ac:dyDescent="0.15">
      <c r="A1012" s="4" t="s">
        <v>2662</v>
      </c>
      <c r="D1012" s="4">
        <v>200</v>
      </c>
      <c r="E1012" s="4">
        <v>16</v>
      </c>
      <c r="H1012" s="29">
        <v>1001</v>
      </c>
      <c r="I1012" s="4">
        <f>[1]森美拉!$J121</f>
        <v>0</v>
      </c>
      <c r="M1012" s="4">
        <f>[1]关卡数据!$E127</f>
        <v>123</v>
      </c>
      <c r="N1012" s="4">
        <f>[1]关卡数据!$F127</f>
        <v>0</v>
      </c>
      <c r="O1012" s="4">
        <f>[1]关卡数据!$G127</f>
        <v>25433</v>
      </c>
      <c r="P1012" s="4">
        <v>0</v>
      </c>
      <c r="Q1012" s="4">
        <f>[1]森美拉!$H121</f>
        <v>0</v>
      </c>
      <c r="R1012" s="4">
        <v>2</v>
      </c>
      <c r="S1012" s="4">
        <f>[1]森美拉!$I121</f>
        <v>0</v>
      </c>
      <c r="T1012" s="4">
        <v>0</v>
      </c>
      <c r="U1012" s="4">
        <v>0</v>
      </c>
      <c r="V1012" s="4">
        <v>0</v>
      </c>
    </row>
    <row r="1013" spans="1:22" x14ac:dyDescent="0.15">
      <c r="A1013" s="4" t="s">
        <v>2662</v>
      </c>
      <c r="D1013" s="4">
        <v>200</v>
      </c>
      <c r="E1013" s="4">
        <v>17</v>
      </c>
      <c r="H1013" s="29">
        <v>1001</v>
      </c>
      <c r="I1013" s="4">
        <f>[1]森美拉!$J122</f>
        <v>0</v>
      </c>
      <c r="M1013" s="4">
        <f>[1]关卡数据!$E128</f>
        <v>136</v>
      </c>
      <c r="N1013" s="4">
        <f>[1]关卡数据!$F128</f>
        <v>0</v>
      </c>
      <c r="O1013" s="4">
        <f>[1]关卡数据!$G128</f>
        <v>27483</v>
      </c>
      <c r="P1013" s="4">
        <v>0</v>
      </c>
      <c r="Q1013" s="4">
        <f>[1]森美拉!$H122</f>
        <v>0</v>
      </c>
      <c r="R1013" s="4">
        <v>2</v>
      </c>
      <c r="S1013" s="4">
        <f>[1]森美拉!$I122</f>
        <v>0</v>
      </c>
      <c r="T1013" s="4">
        <v>0</v>
      </c>
      <c r="U1013" s="4">
        <v>0</v>
      </c>
      <c r="V1013" s="4">
        <v>0</v>
      </c>
    </row>
    <row r="1014" spans="1:22" x14ac:dyDescent="0.15">
      <c r="A1014" s="4" t="s">
        <v>2662</v>
      </c>
      <c r="D1014" s="4">
        <v>200</v>
      </c>
      <c r="E1014" s="4">
        <v>18</v>
      </c>
      <c r="H1014" s="29">
        <v>1001</v>
      </c>
      <c r="I1014" s="4">
        <f>[1]森美拉!$J123</f>
        <v>0</v>
      </c>
      <c r="M1014" s="4">
        <f>[1]关卡数据!$E129</f>
        <v>152</v>
      </c>
      <c r="N1014" s="4">
        <f>[1]关卡数据!$F129</f>
        <v>0</v>
      </c>
      <c r="O1014" s="4">
        <f>[1]关卡数据!$G129</f>
        <v>29550</v>
      </c>
      <c r="P1014" s="4">
        <v>0</v>
      </c>
      <c r="Q1014" s="4">
        <f>[1]森美拉!$H123</f>
        <v>0</v>
      </c>
      <c r="R1014" s="4">
        <v>2</v>
      </c>
      <c r="S1014" s="4">
        <f>[1]森美拉!$I123</f>
        <v>0</v>
      </c>
      <c r="T1014" s="4">
        <v>0</v>
      </c>
      <c r="U1014" s="4">
        <v>0</v>
      </c>
      <c r="V1014" s="4">
        <v>0</v>
      </c>
    </row>
    <row r="1015" spans="1:22" x14ac:dyDescent="0.15">
      <c r="A1015" s="4" t="s">
        <v>2662</v>
      </c>
      <c r="D1015" s="4">
        <v>200</v>
      </c>
      <c r="E1015" s="4">
        <v>19</v>
      </c>
      <c r="H1015" s="29">
        <v>1001</v>
      </c>
      <c r="I1015" s="4">
        <f>[1]森美拉!$J124</f>
        <v>0</v>
      </c>
      <c r="M1015" s="4">
        <f>[1]关卡数据!$E130</f>
        <v>172</v>
      </c>
      <c r="N1015" s="4">
        <f>[1]关卡数据!$F130</f>
        <v>0</v>
      </c>
      <c r="O1015" s="4">
        <f>[1]关卡数据!$G130</f>
        <v>31706</v>
      </c>
      <c r="P1015" s="4">
        <v>0</v>
      </c>
      <c r="Q1015" s="4">
        <f>[1]森美拉!$H124</f>
        <v>0</v>
      </c>
      <c r="R1015" s="4">
        <v>2</v>
      </c>
      <c r="S1015" s="4">
        <f>[1]森美拉!$I124</f>
        <v>0</v>
      </c>
      <c r="T1015" s="4">
        <v>0</v>
      </c>
      <c r="U1015" s="4">
        <v>0</v>
      </c>
      <c r="V1015" s="4">
        <v>0</v>
      </c>
    </row>
    <row r="1016" spans="1:22" x14ac:dyDescent="0.15">
      <c r="A1016" s="4" t="s">
        <v>2662</v>
      </c>
      <c r="D1016" s="4">
        <v>200</v>
      </c>
      <c r="E1016" s="4">
        <v>20</v>
      </c>
      <c r="H1016" s="29">
        <v>1001</v>
      </c>
      <c r="I1016" s="4">
        <f>[1]森美拉!$J125</f>
        <v>0</v>
      </c>
      <c r="M1016" s="4">
        <f>[1]关卡数据!$E131</f>
        <v>196</v>
      </c>
      <c r="N1016" s="4">
        <f>[1]关卡数据!$F131</f>
        <v>0</v>
      </c>
      <c r="O1016" s="4">
        <f>[1]关卡数据!$G131</f>
        <v>67833</v>
      </c>
      <c r="P1016" s="4">
        <v>0</v>
      </c>
      <c r="Q1016" s="4">
        <f>[1]森美拉!$H125</f>
        <v>0</v>
      </c>
      <c r="R1016" s="4">
        <v>2</v>
      </c>
      <c r="S1016" s="4">
        <f>[1]森美拉!$I125</f>
        <v>0</v>
      </c>
      <c r="T1016" s="4">
        <v>0</v>
      </c>
      <c r="U1016" s="4">
        <v>0</v>
      </c>
      <c r="V1016" s="4">
        <v>0</v>
      </c>
    </row>
    <row r="1017" spans="1:22" x14ac:dyDescent="0.15">
      <c r="A1017" s="4" t="s">
        <v>2662</v>
      </c>
      <c r="D1017" s="4">
        <v>200</v>
      </c>
      <c r="E1017" s="4">
        <v>21</v>
      </c>
      <c r="H1017" s="29">
        <v>1001</v>
      </c>
      <c r="I1017" s="4">
        <f>[1]森美拉!$J126</f>
        <v>0</v>
      </c>
      <c r="M1017" s="4">
        <f>[1]关卡数据!$E132</f>
        <v>227</v>
      </c>
      <c r="N1017" s="4">
        <f>[1]关卡数据!$F132</f>
        <v>0</v>
      </c>
      <c r="O1017" s="4">
        <f>[1]关卡数据!$G132</f>
        <v>72363</v>
      </c>
      <c r="P1017" s="4">
        <v>0</v>
      </c>
      <c r="Q1017" s="4">
        <f>[1]森美拉!$H126</f>
        <v>0</v>
      </c>
      <c r="R1017" s="4">
        <v>2</v>
      </c>
      <c r="S1017" s="4">
        <f>[1]森美拉!$I126</f>
        <v>0</v>
      </c>
      <c r="T1017" s="4">
        <v>0</v>
      </c>
      <c r="U1017" s="4">
        <v>0</v>
      </c>
      <c r="V1017" s="4">
        <v>0</v>
      </c>
    </row>
    <row r="1018" spans="1:22" x14ac:dyDescent="0.15">
      <c r="A1018" s="4" t="s">
        <v>2662</v>
      </c>
      <c r="D1018" s="4">
        <v>200</v>
      </c>
      <c r="E1018" s="4">
        <v>22</v>
      </c>
      <c r="H1018" s="29">
        <v>1001</v>
      </c>
      <c r="I1018" s="4">
        <f>[1]森美拉!$J127</f>
        <v>0</v>
      </c>
      <c r="M1018" s="4">
        <f>[1]关卡数据!$E133</f>
        <v>268</v>
      </c>
      <c r="N1018" s="4">
        <f>[1]关卡数据!$F133</f>
        <v>0</v>
      </c>
      <c r="O1018" s="4">
        <f>[1]关卡数据!$G133</f>
        <v>77000</v>
      </c>
      <c r="P1018" s="4">
        <v>0</v>
      </c>
      <c r="Q1018" s="4">
        <f>[1]森美拉!$H127</f>
        <v>0</v>
      </c>
      <c r="R1018" s="4">
        <v>2</v>
      </c>
      <c r="S1018" s="4">
        <f>[1]森美拉!$I127</f>
        <v>0</v>
      </c>
      <c r="T1018" s="4">
        <v>0</v>
      </c>
      <c r="U1018" s="4">
        <v>0</v>
      </c>
      <c r="V1018" s="4">
        <v>0</v>
      </c>
    </row>
    <row r="1019" spans="1:22" x14ac:dyDescent="0.15">
      <c r="A1019" s="4" t="s">
        <v>2662</v>
      </c>
      <c r="D1019" s="4">
        <v>200</v>
      </c>
      <c r="E1019" s="4">
        <v>23</v>
      </c>
      <c r="H1019" s="29">
        <v>1001</v>
      </c>
      <c r="I1019" s="4">
        <f>[1]森美拉!$J128</f>
        <v>0</v>
      </c>
      <c r="M1019" s="4">
        <f>[1]关卡数据!$E134</f>
        <v>326</v>
      </c>
      <c r="N1019" s="4">
        <f>[1]关卡数据!$F134</f>
        <v>0</v>
      </c>
      <c r="O1019" s="4">
        <f>[1]关卡数据!$G134</f>
        <v>81650</v>
      </c>
      <c r="P1019" s="4">
        <v>0</v>
      </c>
      <c r="Q1019" s="4">
        <f>[1]森美拉!$H128</f>
        <v>0</v>
      </c>
      <c r="R1019" s="4">
        <v>2</v>
      </c>
      <c r="S1019" s="4">
        <f>[1]森美拉!$I128</f>
        <v>0</v>
      </c>
      <c r="T1019" s="4">
        <v>0</v>
      </c>
      <c r="U1019" s="4">
        <v>0</v>
      </c>
      <c r="V1019" s="4">
        <v>0</v>
      </c>
    </row>
    <row r="1020" spans="1:22" x14ac:dyDescent="0.15">
      <c r="A1020" s="4" t="s">
        <v>2662</v>
      </c>
      <c r="D1020" s="4">
        <v>200</v>
      </c>
      <c r="E1020" s="4">
        <v>24</v>
      </c>
      <c r="H1020" s="29">
        <v>1001</v>
      </c>
      <c r="I1020" s="4">
        <f>[1]森美拉!$J129</f>
        <v>0</v>
      </c>
      <c r="M1020" s="4">
        <f>[1]关卡数据!$E135</f>
        <v>412</v>
      </c>
      <c r="N1020" s="4">
        <f>[1]关卡数据!$F135</f>
        <v>0</v>
      </c>
      <c r="O1020" s="4">
        <f>[1]关卡数据!$G135</f>
        <v>86500</v>
      </c>
      <c r="P1020" s="4">
        <v>0</v>
      </c>
      <c r="Q1020" s="4">
        <f>[1]森美拉!$H129</f>
        <v>0</v>
      </c>
      <c r="R1020" s="4">
        <v>2</v>
      </c>
      <c r="S1020" s="4">
        <f>[1]森美拉!$I129</f>
        <v>0</v>
      </c>
      <c r="T1020" s="4">
        <v>0</v>
      </c>
      <c r="U1020" s="4">
        <v>0</v>
      </c>
      <c r="V1020" s="4">
        <v>0</v>
      </c>
    </row>
    <row r="1021" spans="1:22" x14ac:dyDescent="0.15">
      <c r="A1021" s="4" t="s">
        <v>2662</v>
      </c>
      <c r="D1021" s="4">
        <v>200</v>
      </c>
      <c r="E1021" s="4">
        <v>25</v>
      </c>
      <c r="H1021" s="29">
        <v>1001</v>
      </c>
      <c r="I1021" s="4">
        <f>[1]森美拉!$J130</f>
        <v>0</v>
      </c>
      <c r="M1021" s="4">
        <f>[1]关卡数据!$E136</f>
        <v>556</v>
      </c>
      <c r="N1021" s="4">
        <f>[1]关卡数据!$F136</f>
        <v>0</v>
      </c>
      <c r="O1021" s="4">
        <f>[1]关卡数据!$G136</f>
        <v>91458</v>
      </c>
      <c r="P1021" s="4">
        <v>0</v>
      </c>
      <c r="Q1021" s="4">
        <f>[1]森美拉!$H130</f>
        <v>0</v>
      </c>
      <c r="R1021" s="4">
        <v>2</v>
      </c>
      <c r="S1021" s="4">
        <f>[1]森美拉!$I130</f>
        <v>0</v>
      </c>
      <c r="T1021" s="4">
        <v>0</v>
      </c>
      <c r="U1021" s="4">
        <v>0</v>
      </c>
      <c r="V1021" s="4">
        <v>0</v>
      </c>
    </row>
    <row r="1022" spans="1:22" x14ac:dyDescent="0.15">
      <c r="A1022" s="4" t="s">
        <v>2662</v>
      </c>
      <c r="D1022" s="4">
        <v>200</v>
      </c>
      <c r="E1022" s="4">
        <v>26</v>
      </c>
      <c r="H1022" s="29">
        <v>1001</v>
      </c>
      <c r="I1022" s="4">
        <f>[1]森美拉!$J131</f>
        <v>0</v>
      </c>
      <c r="M1022" s="4">
        <f>[1]关卡数据!$E137</f>
        <v>842</v>
      </c>
      <c r="N1022" s="4">
        <f>[1]关卡数据!$F137</f>
        <v>0</v>
      </c>
      <c r="O1022" s="4">
        <f>[1]关卡数据!$G137</f>
        <v>96525</v>
      </c>
      <c r="P1022" s="4">
        <v>0</v>
      </c>
      <c r="Q1022" s="4">
        <f>[1]森美拉!$H131</f>
        <v>0</v>
      </c>
      <c r="R1022" s="4">
        <v>2</v>
      </c>
      <c r="S1022" s="4">
        <f>[1]森美拉!$I131</f>
        <v>0</v>
      </c>
      <c r="T1022" s="4">
        <v>0</v>
      </c>
      <c r="U1022" s="4">
        <v>0</v>
      </c>
      <c r="V1022" s="4">
        <v>0</v>
      </c>
    </row>
    <row r="1023" spans="1:22" x14ac:dyDescent="0.15">
      <c r="A1023" s="4" t="s">
        <v>2662</v>
      </c>
      <c r="D1023" s="4">
        <v>200</v>
      </c>
      <c r="E1023" s="4">
        <v>27</v>
      </c>
      <c r="H1023" s="29">
        <v>1001</v>
      </c>
      <c r="I1023" s="4">
        <f>[1]森美拉!$J132</f>
        <v>0</v>
      </c>
      <c r="M1023" s="4">
        <f>[1]关卡数据!$E138</f>
        <v>857</v>
      </c>
      <c r="N1023" s="4">
        <f>[1]关卡数据!$F138</f>
        <v>0</v>
      </c>
      <c r="O1023" s="4">
        <f>[1]关卡数据!$G138</f>
        <v>101588</v>
      </c>
      <c r="P1023" s="4">
        <v>0</v>
      </c>
      <c r="Q1023" s="4">
        <f>[1]森美拉!$H132</f>
        <v>0</v>
      </c>
      <c r="R1023" s="4">
        <v>2</v>
      </c>
      <c r="S1023" s="4">
        <f>[1]森美拉!$I132</f>
        <v>0</v>
      </c>
      <c r="T1023" s="4">
        <v>0</v>
      </c>
      <c r="U1023" s="4">
        <v>0</v>
      </c>
      <c r="V1023" s="4">
        <v>0</v>
      </c>
    </row>
    <row r="1024" spans="1:22" x14ac:dyDescent="0.15">
      <c r="A1024" s="4" t="s">
        <v>2662</v>
      </c>
      <c r="D1024" s="4">
        <v>200</v>
      </c>
      <c r="E1024" s="4">
        <v>28</v>
      </c>
      <c r="H1024" s="29">
        <v>1001</v>
      </c>
      <c r="I1024" s="4">
        <f>[1]森美拉!$J133</f>
        <v>0</v>
      </c>
      <c r="M1024" s="4">
        <f>[1]关卡数据!$E139</f>
        <v>872</v>
      </c>
      <c r="N1024" s="4">
        <f>[1]关卡数据!$F139</f>
        <v>0</v>
      </c>
      <c r="O1024" s="4">
        <f>[1]关卡数据!$G139</f>
        <v>106867</v>
      </c>
      <c r="P1024" s="4">
        <v>0</v>
      </c>
      <c r="Q1024" s="4">
        <f>[1]森美拉!$H133</f>
        <v>0</v>
      </c>
      <c r="R1024" s="4">
        <v>2</v>
      </c>
      <c r="S1024" s="4">
        <f>[1]森美拉!$I133</f>
        <v>0</v>
      </c>
      <c r="T1024" s="4">
        <v>0</v>
      </c>
      <c r="U1024" s="4">
        <v>0</v>
      </c>
      <c r="V1024" s="4">
        <v>0</v>
      </c>
    </row>
    <row r="1025" spans="1:22" x14ac:dyDescent="0.15">
      <c r="A1025" s="4" t="s">
        <v>2662</v>
      </c>
      <c r="D1025" s="4">
        <v>200</v>
      </c>
      <c r="E1025" s="4">
        <v>29</v>
      </c>
      <c r="H1025" s="29">
        <v>1001</v>
      </c>
      <c r="I1025" s="4">
        <f>[1]森美拉!$J134</f>
        <v>0</v>
      </c>
      <c r="M1025" s="4">
        <f>[1]关卡数据!$E140</f>
        <v>886</v>
      </c>
      <c r="N1025" s="4">
        <f>[1]关卡数据!$F140</f>
        <v>0</v>
      </c>
      <c r="O1025" s="4">
        <f>[1]关卡数据!$G140</f>
        <v>112254</v>
      </c>
      <c r="P1025" s="4">
        <v>0</v>
      </c>
      <c r="Q1025" s="4">
        <f>[1]森美拉!$H134</f>
        <v>0</v>
      </c>
      <c r="R1025" s="4">
        <v>2</v>
      </c>
      <c r="S1025" s="4">
        <f>[1]森美拉!$I134</f>
        <v>0</v>
      </c>
      <c r="T1025" s="4">
        <v>0</v>
      </c>
      <c r="U1025" s="4">
        <v>0</v>
      </c>
      <c r="V1025" s="4">
        <v>0</v>
      </c>
    </row>
    <row r="1026" spans="1:22" x14ac:dyDescent="0.15">
      <c r="A1026" s="4" t="s">
        <v>2662</v>
      </c>
      <c r="D1026" s="4">
        <v>200</v>
      </c>
      <c r="E1026" s="4">
        <v>30</v>
      </c>
      <c r="H1026" s="29">
        <v>1001</v>
      </c>
      <c r="I1026" s="4">
        <f>[1]森美拉!$J135</f>
        <v>0</v>
      </c>
      <c r="M1026" s="4">
        <f>[1]关卡数据!$E141</f>
        <v>901</v>
      </c>
      <c r="N1026" s="4">
        <f>[1]关卡数据!$F141</f>
        <v>0</v>
      </c>
      <c r="O1026" s="4">
        <f>[1]关卡数据!$G141</f>
        <v>117750</v>
      </c>
      <c r="P1026" s="4">
        <v>0</v>
      </c>
      <c r="Q1026" s="4">
        <f>[1]森美拉!$H135</f>
        <v>0</v>
      </c>
      <c r="R1026" s="4">
        <v>2</v>
      </c>
      <c r="S1026" s="4">
        <f>[1]森美拉!$I135</f>
        <v>0</v>
      </c>
      <c r="T1026" s="4">
        <v>0</v>
      </c>
      <c r="U1026" s="4">
        <v>0</v>
      </c>
      <c r="V1026" s="4">
        <v>0</v>
      </c>
    </row>
    <row r="1027" spans="1:22" x14ac:dyDescent="0.15">
      <c r="A1027" s="4" t="s">
        <v>2662</v>
      </c>
      <c r="D1027" s="4">
        <v>200</v>
      </c>
      <c r="E1027" s="4">
        <v>31</v>
      </c>
      <c r="H1027" s="29">
        <v>1001</v>
      </c>
      <c r="I1027" s="4">
        <f>[1]森美拉!$J136</f>
        <v>0</v>
      </c>
      <c r="M1027" s="4">
        <f>[1]关卡数据!$E142</f>
        <v>916</v>
      </c>
      <c r="N1027" s="4">
        <f>[1]关卡数据!$F142</f>
        <v>0</v>
      </c>
      <c r="O1027" s="4">
        <f>[1]关卡数据!$G142</f>
        <v>184838</v>
      </c>
      <c r="P1027" s="4">
        <v>0</v>
      </c>
      <c r="Q1027" s="4">
        <f>[1]森美拉!$H136</f>
        <v>0</v>
      </c>
      <c r="R1027" s="4">
        <v>2</v>
      </c>
      <c r="S1027" s="4">
        <f>[1]森美拉!$I136</f>
        <v>0</v>
      </c>
      <c r="T1027" s="4">
        <v>0</v>
      </c>
      <c r="U1027" s="4">
        <v>0</v>
      </c>
      <c r="V1027" s="4">
        <v>0</v>
      </c>
    </row>
    <row r="1028" spans="1:22" x14ac:dyDescent="0.15">
      <c r="A1028" s="4" t="s">
        <v>2662</v>
      </c>
      <c r="D1028" s="4">
        <v>200</v>
      </c>
      <c r="E1028" s="4">
        <v>32</v>
      </c>
      <c r="H1028" s="29">
        <v>1001</v>
      </c>
      <c r="I1028" s="4">
        <f>[1]森美拉!$J137</f>
        <v>0</v>
      </c>
      <c r="M1028" s="4">
        <f>[1]关卡数据!$E143</f>
        <v>930</v>
      </c>
      <c r="N1028" s="4">
        <f>[1]关卡数据!$F143</f>
        <v>0</v>
      </c>
      <c r="O1028" s="4">
        <f>[1]关卡数据!$G143</f>
        <v>193400</v>
      </c>
      <c r="P1028" s="4">
        <v>0</v>
      </c>
      <c r="Q1028" s="4">
        <f>[1]森美拉!$H137</f>
        <v>0</v>
      </c>
      <c r="R1028" s="4">
        <v>2</v>
      </c>
      <c r="S1028" s="4">
        <f>[1]森美拉!$I137</f>
        <v>0</v>
      </c>
      <c r="T1028" s="4">
        <v>0</v>
      </c>
      <c r="U1028" s="4">
        <v>0</v>
      </c>
      <c r="V1028" s="4">
        <v>0</v>
      </c>
    </row>
    <row r="1029" spans="1:22" x14ac:dyDescent="0.15">
      <c r="A1029" s="4" t="s">
        <v>2662</v>
      </c>
      <c r="D1029" s="4">
        <v>200</v>
      </c>
      <c r="E1029" s="4">
        <v>33</v>
      </c>
      <c r="H1029" s="29">
        <v>1001</v>
      </c>
      <c r="I1029" s="4">
        <f>[1]森美拉!$J138</f>
        <v>0</v>
      </c>
      <c r="M1029" s="4">
        <f>[1]关卡数据!$E144</f>
        <v>945</v>
      </c>
      <c r="N1029" s="4">
        <f>[1]关卡数据!$F144</f>
        <v>0</v>
      </c>
      <c r="O1029" s="4">
        <f>[1]关卡数据!$G144</f>
        <v>202125</v>
      </c>
      <c r="P1029" s="4">
        <v>0</v>
      </c>
      <c r="Q1029" s="4">
        <f>[1]森美拉!$H138</f>
        <v>0</v>
      </c>
      <c r="R1029" s="4">
        <v>2</v>
      </c>
      <c r="S1029" s="4">
        <f>[1]森美拉!$I138</f>
        <v>0</v>
      </c>
      <c r="T1029" s="4">
        <v>0</v>
      </c>
      <c r="U1029" s="4">
        <v>0</v>
      </c>
      <c r="V1029" s="4">
        <v>0</v>
      </c>
    </row>
    <row r="1030" spans="1:22" x14ac:dyDescent="0.15">
      <c r="A1030" s="4" t="s">
        <v>2662</v>
      </c>
      <c r="D1030" s="4">
        <v>200</v>
      </c>
      <c r="E1030" s="4">
        <v>34</v>
      </c>
      <c r="H1030" s="29">
        <v>1001</v>
      </c>
      <c r="I1030" s="4">
        <f>[1]森美拉!$J139</f>
        <v>0</v>
      </c>
      <c r="M1030" s="4">
        <f>[1]关卡数据!$E145</f>
        <v>960</v>
      </c>
      <c r="N1030" s="4">
        <f>[1]关卡数据!$F145</f>
        <v>0</v>
      </c>
      <c r="O1030" s="4">
        <f>[1]关卡数据!$G145</f>
        <v>211013</v>
      </c>
      <c r="P1030" s="4">
        <v>0</v>
      </c>
      <c r="Q1030" s="4">
        <f>[1]森美拉!$H139</f>
        <v>0</v>
      </c>
      <c r="R1030" s="4">
        <v>2</v>
      </c>
      <c r="S1030" s="4">
        <f>[1]森美拉!$I139</f>
        <v>0</v>
      </c>
      <c r="T1030" s="4">
        <v>0</v>
      </c>
      <c r="U1030" s="4">
        <v>0</v>
      </c>
      <c r="V1030" s="4">
        <v>0</v>
      </c>
    </row>
    <row r="1031" spans="1:22" x14ac:dyDescent="0.15">
      <c r="A1031" s="4" t="s">
        <v>2662</v>
      </c>
      <c r="D1031" s="4">
        <v>200</v>
      </c>
      <c r="E1031" s="4">
        <v>35</v>
      </c>
      <c r="H1031" s="29">
        <v>1001</v>
      </c>
      <c r="I1031" s="4">
        <f>[1]森美拉!$J140</f>
        <v>0</v>
      </c>
      <c r="M1031" s="4">
        <f>[1]关卡数据!$E146</f>
        <v>974</v>
      </c>
      <c r="N1031" s="4">
        <f>[1]关卡数据!$F146</f>
        <v>0</v>
      </c>
      <c r="O1031" s="4">
        <f>[1]关卡数据!$G146</f>
        <v>219844</v>
      </c>
      <c r="P1031" s="4">
        <v>0</v>
      </c>
      <c r="Q1031" s="4">
        <f>[1]森美拉!$H140</f>
        <v>0</v>
      </c>
      <c r="R1031" s="4">
        <v>2</v>
      </c>
      <c r="S1031" s="4">
        <f>[1]森美拉!$I140</f>
        <v>0</v>
      </c>
      <c r="T1031" s="4">
        <v>0</v>
      </c>
      <c r="U1031" s="4">
        <v>0</v>
      </c>
      <c r="V1031" s="4">
        <v>0</v>
      </c>
    </row>
    <row r="1032" spans="1:22" x14ac:dyDescent="0.15">
      <c r="A1032" s="4" t="s">
        <v>2662</v>
      </c>
      <c r="D1032" s="4">
        <v>200</v>
      </c>
      <c r="E1032" s="4">
        <v>36</v>
      </c>
      <c r="H1032" s="29">
        <v>1001</v>
      </c>
      <c r="I1032" s="4">
        <f>[1]森美拉!$J141</f>
        <v>0</v>
      </c>
      <c r="M1032" s="4">
        <f>[1]关卡数据!$E147</f>
        <v>989</v>
      </c>
      <c r="N1032" s="4">
        <f>[1]关卡数据!$F147</f>
        <v>0</v>
      </c>
      <c r="O1032" s="4">
        <f>[1]关卡数据!$G147</f>
        <v>229050</v>
      </c>
      <c r="P1032" s="4">
        <v>0</v>
      </c>
      <c r="Q1032" s="4">
        <f>[1]森美拉!$H141</f>
        <v>0</v>
      </c>
      <c r="R1032" s="4">
        <v>2</v>
      </c>
      <c r="S1032" s="4">
        <f>[1]森美拉!$I141</f>
        <v>0</v>
      </c>
      <c r="T1032" s="4">
        <v>0</v>
      </c>
      <c r="U1032" s="4">
        <v>0</v>
      </c>
      <c r="V1032" s="4">
        <v>0</v>
      </c>
    </row>
    <row r="1033" spans="1:22" x14ac:dyDescent="0.15">
      <c r="A1033" s="4" t="s">
        <v>2662</v>
      </c>
      <c r="D1033" s="4">
        <v>200</v>
      </c>
      <c r="E1033" s="4">
        <v>37</v>
      </c>
      <c r="H1033" s="29">
        <v>1001</v>
      </c>
      <c r="I1033" s="4">
        <f>[1]森美拉!$J142</f>
        <v>0</v>
      </c>
      <c r="M1033" s="4">
        <f>[1]关卡数据!$E148</f>
        <v>1004</v>
      </c>
      <c r="N1033" s="4">
        <f>[1]关卡数据!$F148</f>
        <v>0</v>
      </c>
      <c r="O1033" s="4">
        <f>[1]关卡数据!$G148</f>
        <v>238419</v>
      </c>
      <c r="P1033" s="4">
        <v>0</v>
      </c>
      <c r="Q1033" s="4">
        <f>[1]森美拉!$H142</f>
        <v>0</v>
      </c>
      <c r="R1033" s="4">
        <v>2</v>
      </c>
      <c r="S1033" s="4">
        <f>[1]森美拉!$I142</f>
        <v>0</v>
      </c>
      <c r="T1033" s="4">
        <v>0</v>
      </c>
      <c r="U1033" s="4">
        <v>0</v>
      </c>
      <c r="V1033" s="4">
        <v>0</v>
      </c>
    </row>
    <row r="1034" spans="1:22" x14ac:dyDescent="0.15">
      <c r="A1034" s="4" t="s">
        <v>2662</v>
      </c>
      <c r="D1034" s="4">
        <v>200</v>
      </c>
      <c r="E1034" s="4">
        <v>38</v>
      </c>
      <c r="H1034" s="29">
        <v>1001</v>
      </c>
      <c r="I1034" s="4">
        <f>[1]森美拉!$J143</f>
        <v>0</v>
      </c>
      <c r="M1034" s="4">
        <f>[1]关卡数据!$E149</f>
        <v>1018</v>
      </c>
      <c r="N1034" s="4">
        <f>[1]关卡数据!$F149</f>
        <v>0</v>
      </c>
      <c r="O1034" s="4">
        <f>[1]关卡数据!$G149</f>
        <v>247950</v>
      </c>
      <c r="P1034" s="4">
        <v>0</v>
      </c>
      <c r="Q1034" s="4">
        <f>[1]森美拉!$H143</f>
        <v>0</v>
      </c>
      <c r="R1034" s="4">
        <v>2</v>
      </c>
      <c r="S1034" s="4">
        <f>[1]森美拉!$I143</f>
        <v>0</v>
      </c>
      <c r="T1034" s="4">
        <v>0</v>
      </c>
      <c r="U1034" s="4">
        <v>0</v>
      </c>
      <c r="V1034" s="4">
        <v>0</v>
      </c>
    </row>
    <row r="1035" spans="1:22" x14ac:dyDescent="0.15">
      <c r="A1035" s="4" t="s">
        <v>2662</v>
      </c>
      <c r="D1035" s="4">
        <v>200</v>
      </c>
      <c r="E1035" s="4">
        <v>39</v>
      </c>
      <c r="H1035" s="29">
        <v>1001</v>
      </c>
      <c r="I1035" s="4">
        <f>[1]森美拉!$J144</f>
        <v>0</v>
      </c>
      <c r="M1035" s="4">
        <f>[1]关卡数据!$E150</f>
        <v>1033</v>
      </c>
      <c r="N1035" s="4">
        <f>[1]关卡数据!$F150</f>
        <v>0</v>
      </c>
      <c r="O1035" s="4">
        <f>[1]关卡数据!$G150</f>
        <v>257400</v>
      </c>
      <c r="P1035" s="4">
        <v>0</v>
      </c>
      <c r="Q1035" s="4">
        <f>[1]森美拉!$H144</f>
        <v>0</v>
      </c>
      <c r="R1035" s="4">
        <v>2</v>
      </c>
      <c r="S1035" s="4">
        <f>[1]森美拉!$I144</f>
        <v>0</v>
      </c>
      <c r="T1035" s="4">
        <v>0</v>
      </c>
      <c r="U1035" s="4">
        <v>0</v>
      </c>
      <c r="V1035" s="4">
        <v>0</v>
      </c>
    </row>
    <row r="1036" spans="1:22" x14ac:dyDescent="0.15">
      <c r="A1036" s="4" t="s">
        <v>2662</v>
      </c>
      <c r="D1036" s="4">
        <v>200</v>
      </c>
      <c r="E1036" s="4">
        <v>40</v>
      </c>
      <c r="H1036" s="29">
        <v>1001</v>
      </c>
      <c r="I1036" s="4">
        <f>[1]森美拉!$J145</f>
        <v>0</v>
      </c>
      <c r="M1036" s="4">
        <f>[1]关卡数据!$E151</f>
        <v>1048</v>
      </c>
      <c r="N1036" s="4">
        <f>[1]关卡数据!$F151</f>
        <v>0</v>
      </c>
      <c r="O1036" s="4">
        <f>[1]关卡数据!$G151</f>
        <v>267250</v>
      </c>
      <c r="P1036" s="4">
        <v>0</v>
      </c>
      <c r="Q1036" s="4">
        <f>[1]森美拉!$H145</f>
        <v>0</v>
      </c>
      <c r="R1036" s="4">
        <v>2</v>
      </c>
      <c r="S1036" s="4">
        <f>[1]森美拉!$I145</f>
        <v>0</v>
      </c>
      <c r="T1036" s="4">
        <v>0</v>
      </c>
      <c r="U1036" s="4">
        <v>0</v>
      </c>
      <c r="V1036" s="4">
        <v>0</v>
      </c>
    </row>
    <row r="1037" spans="1:22" x14ac:dyDescent="0.15">
      <c r="A1037" s="4" t="s">
        <v>2662</v>
      </c>
      <c r="D1037" s="4">
        <v>200</v>
      </c>
      <c r="E1037" s="4">
        <v>41</v>
      </c>
      <c r="H1037" s="29">
        <v>1001</v>
      </c>
      <c r="I1037" s="4">
        <f>[1]森美拉!$J146</f>
        <v>0</v>
      </c>
      <c r="M1037" s="4">
        <f>[1]关卡数据!$E152</f>
        <v>1063</v>
      </c>
      <c r="N1037" s="4">
        <f>[1]关卡数据!$F152</f>
        <v>0</v>
      </c>
      <c r="O1037" s="4">
        <f>[1]关卡数据!$G152</f>
        <v>369683</v>
      </c>
      <c r="P1037" s="4">
        <v>0</v>
      </c>
      <c r="Q1037" s="4">
        <f>[1]森美拉!$H146</f>
        <v>0</v>
      </c>
      <c r="R1037" s="4">
        <v>2</v>
      </c>
      <c r="S1037" s="4">
        <f>[1]森美拉!$I146</f>
        <v>0</v>
      </c>
      <c r="T1037" s="4">
        <v>0</v>
      </c>
      <c r="U1037" s="4">
        <v>0</v>
      </c>
      <c r="V1037" s="4">
        <v>0</v>
      </c>
    </row>
    <row r="1038" spans="1:22" x14ac:dyDescent="0.15">
      <c r="A1038" s="4" t="s">
        <v>2662</v>
      </c>
      <c r="D1038" s="4">
        <v>200</v>
      </c>
      <c r="E1038" s="4">
        <v>42</v>
      </c>
      <c r="H1038" s="29">
        <v>1001</v>
      </c>
      <c r="I1038" s="4">
        <f>[1]森美拉!$J147</f>
        <v>0</v>
      </c>
      <c r="M1038" s="4">
        <f>[1]关卡数据!$E153</f>
        <v>1077</v>
      </c>
      <c r="N1038" s="4">
        <f>[1]关卡数据!$F153</f>
        <v>0</v>
      </c>
      <c r="O1038" s="4">
        <f>[1]关卡数据!$G153</f>
        <v>383250</v>
      </c>
      <c r="P1038" s="4">
        <v>0</v>
      </c>
      <c r="Q1038" s="4">
        <f>[1]森美拉!$H147</f>
        <v>0</v>
      </c>
      <c r="R1038" s="4">
        <v>2</v>
      </c>
      <c r="S1038" s="4">
        <f>[1]森美拉!$I147</f>
        <v>0</v>
      </c>
      <c r="T1038" s="4">
        <v>0</v>
      </c>
      <c r="U1038" s="4">
        <v>0</v>
      </c>
      <c r="V1038" s="4">
        <v>0</v>
      </c>
    </row>
    <row r="1039" spans="1:22" x14ac:dyDescent="0.15">
      <c r="A1039" s="4" t="s">
        <v>2662</v>
      </c>
      <c r="D1039" s="4">
        <v>200</v>
      </c>
      <c r="E1039" s="4">
        <v>43</v>
      </c>
      <c r="H1039" s="29">
        <v>1001</v>
      </c>
      <c r="I1039" s="4">
        <f>[1]森美拉!$J148</f>
        <v>0</v>
      </c>
      <c r="M1039" s="4">
        <f>[1]关卡数据!$E154</f>
        <v>1092</v>
      </c>
      <c r="N1039" s="4">
        <f>[1]关卡数据!$F154</f>
        <v>0</v>
      </c>
      <c r="O1039" s="4">
        <f>[1]关卡数据!$G154</f>
        <v>397033</v>
      </c>
      <c r="P1039" s="4">
        <v>0</v>
      </c>
      <c r="Q1039" s="4">
        <f>[1]森美拉!$H148</f>
        <v>0</v>
      </c>
      <c r="R1039" s="4">
        <v>2</v>
      </c>
      <c r="S1039" s="4">
        <f>[1]森美拉!$I148</f>
        <v>0</v>
      </c>
      <c r="T1039" s="4">
        <v>0</v>
      </c>
      <c r="U1039" s="4">
        <v>0</v>
      </c>
      <c r="V1039" s="4">
        <v>0</v>
      </c>
    </row>
    <row r="1040" spans="1:22" x14ac:dyDescent="0.15">
      <c r="A1040" s="4" t="s">
        <v>2662</v>
      </c>
      <c r="D1040" s="4">
        <v>200</v>
      </c>
      <c r="E1040" s="4">
        <v>44</v>
      </c>
      <c r="H1040" s="29">
        <v>1001</v>
      </c>
      <c r="I1040" s="4">
        <f>[1]森美拉!$J149</f>
        <v>0</v>
      </c>
      <c r="M1040" s="4">
        <f>[1]关卡数据!$E155</f>
        <v>1107</v>
      </c>
      <c r="N1040" s="4">
        <f>[1]关卡数据!$F155</f>
        <v>0</v>
      </c>
      <c r="O1040" s="4">
        <f>[1]关卡数据!$G155</f>
        <v>410667</v>
      </c>
      <c r="P1040" s="4">
        <v>0</v>
      </c>
      <c r="Q1040" s="4">
        <f>[1]森美拉!$H149</f>
        <v>0</v>
      </c>
      <c r="R1040" s="4">
        <v>2</v>
      </c>
      <c r="S1040" s="4">
        <f>[1]森美拉!$I149</f>
        <v>0</v>
      </c>
      <c r="T1040" s="4">
        <v>0</v>
      </c>
      <c r="U1040" s="4">
        <v>0</v>
      </c>
      <c r="V1040" s="4">
        <v>0</v>
      </c>
    </row>
    <row r="1041" spans="1:35" x14ac:dyDescent="0.15">
      <c r="A1041" s="4" t="s">
        <v>2662</v>
      </c>
      <c r="D1041" s="4">
        <v>200</v>
      </c>
      <c r="E1041" s="4">
        <v>45</v>
      </c>
      <c r="H1041" s="29">
        <v>1001</v>
      </c>
      <c r="I1041" s="4">
        <f>[1]森美拉!$J150</f>
        <v>0</v>
      </c>
      <c r="M1041" s="4">
        <f>[1]关卡数据!$E156</f>
        <v>1122</v>
      </c>
      <c r="N1041" s="4">
        <f>[1]关卡数据!$F156</f>
        <v>0</v>
      </c>
      <c r="O1041" s="4">
        <f>[1]关卡数据!$G156</f>
        <v>424875</v>
      </c>
      <c r="P1041" s="4">
        <v>0</v>
      </c>
      <c r="Q1041" s="4">
        <f>[1]森美拉!$H150</f>
        <v>0</v>
      </c>
      <c r="R1041" s="4">
        <v>2</v>
      </c>
      <c r="S1041" s="4">
        <f>[1]森美拉!$I150</f>
        <v>0</v>
      </c>
      <c r="T1041" s="4">
        <v>0</v>
      </c>
      <c r="U1041" s="4">
        <v>0</v>
      </c>
      <c r="V1041" s="4">
        <v>0</v>
      </c>
    </row>
    <row r="1042" spans="1:35" x14ac:dyDescent="0.15">
      <c r="A1042" s="4" t="s">
        <v>2662</v>
      </c>
      <c r="D1042" s="4">
        <v>200</v>
      </c>
      <c r="E1042" s="4">
        <v>46</v>
      </c>
      <c r="H1042" s="29">
        <v>1001</v>
      </c>
      <c r="I1042" s="4">
        <f>[1]森美拉!$J151</f>
        <v>0</v>
      </c>
      <c r="M1042" s="4">
        <f>[1]关卡数据!$E157</f>
        <v>1136</v>
      </c>
      <c r="N1042" s="4">
        <f>[1]关卡数据!$F157</f>
        <v>0</v>
      </c>
      <c r="O1042" s="4">
        <f>[1]关卡数据!$G157</f>
        <v>439300</v>
      </c>
      <c r="P1042" s="4">
        <v>0</v>
      </c>
      <c r="Q1042" s="4">
        <f>[1]森美拉!$H151</f>
        <v>0</v>
      </c>
      <c r="R1042" s="4">
        <v>2</v>
      </c>
      <c r="S1042" s="4">
        <f>[1]森美拉!$I151</f>
        <v>0</v>
      </c>
      <c r="T1042" s="4">
        <v>0</v>
      </c>
      <c r="U1042" s="4">
        <v>0</v>
      </c>
      <c r="V1042" s="4">
        <v>0</v>
      </c>
    </row>
    <row r="1043" spans="1:35" x14ac:dyDescent="0.15">
      <c r="A1043" s="4" t="s">
        <v>2662</v>
      </c>
      <c r="D1043" s="4">
        <v>200</v>
      </c>
      <c r="E1043" s="4">
        <v>47</v>
      </c>
      <c r="H1043" s="29">
        <v>1001</v>
      </c>
      <c r="I1043" s="4">
        <f>[1]森美拉!$J152</f>
        <v>0</v>
      </c>
      <c r="M1043" s="4">
        <f>[1]关卡数据!$E158</f>
        <v>1151</v>
      </c>
      <c r="N1043" s="4">
        <f>[1]关卡数据!$F158</f>
        <v>0</v>
      </c>
      <c r="O1043" s="4">
        <f>[1]关卡数据!$G158</f>
        <v>453942</v>
      </c>
      <c r="P1043" s="4">
        <v>0</v>
      </c>
      <c r="Q1043" s="4">
        <f>[1]森美拉!$H152</f>
        <v>0</v>
      </c>
      <c r="R1043" s="4">
        <v>2</v>
      </c>
      <c r="S1043" s="4">
        <f>[1]森美拉!$I152</f>
        <v>0</v>
      </c>
      <c r="T1043" s="4">
        <v>0</v>
      </c>
      <c r="U1043" s="4">
        <v>0</v>
      </c>
      <c r="V1043" s="4">
        <v>0</v>
      </c>
    </row>
    <row r="1044" spans="1:35" x14ac:dyDescent="0.15">
      <c r="A1044" s="4" t="s">
        <v>2662</v>
      </c>
      <c r="D1044" s="4">
        <v>200</v>
      </c>
      <c r="E1044" s="4">
        <v>48</v>
      </c>
      <c r="H1044" s="29">
        <v>1001</v>
      </c>
      <c r="I1044" s="4">
        <f>[1]森美拉!$J153</f>
        <v>0</v>
      </c>
      <c r="M1044" s="4">
        <f>[1]关卡数据!$E159</f>
        <v>1166</v>
      </c>
      <c r="N1044" s="4">
        <f>[1]关卡数据!$F159</f>
        <v>0</v>
      </c>
      <c r="O1044" s="4">
        <f>[1]关卡数据!$G159</f>
        <v>468400</v>
      </c>
      <c r="P1044" s="4">
        <v>0</v>
      </c>
      <c r="Q1044" s="4">
        <f>[1]森美拉!$H153</f>
        <v>0</v>
      </c>
      <c r="R1044" s="4">
        <v>2</v>
      </c>
      <c r="S1044" s="4">
        <f>[1]森美拉!$I153</f>
        <v>0</v>
      </c>
      <c r="T1044" s="4">
        <v>0</v>
      </c>
      <c r="U1044" s="4">
        <v>0</v>
      </c>
      <c r="V1044" s="4">
        <v>0</v>
      </c>
    </row>
    <row r="1045" spans="1:35" x14ac:dyDescent="0.15">
      <c r="A1045" s="4" t="s">
        <v>2662</v>
      </c>
      <c r="D1045" s="4">
        <v>200</v>
      </c>
      <c r="E1045" s="4">
        <v>49</v>
      </c>
      <c r="H1045" s="29">
        <v>1001</v>
      </c>
      <c r="I1045" s="4">
        <f>[1]森美拉!$J154</f>
        <v>0</v>
      </c>
      <c r="M1045" s="4">
        <f>[1]关卡数据!$E160</f>
        <v>1180</v>
      </c>
      <c r="N1045" s="4">
        <f>[1]关卡数据!$F160</f>
        <v>0</v>
      </c>
      <c r="O1045" s="4">
        <f>[1]关卡数据!$G160</f>
        <v>483467</v>
      </c>
      <c r="P1045" s="4">
        <v>0</v>
      </c>
      <c r="Q1045" s="4">
        <f>[1]森美拉!$H154</f>
        <v>0</v>
      </c>
      <c r="R1045" s="4">
        <v>2</v>
      </c>
      <c r="S1045" s="4">
        <f>[1]森美拉!$I154</f>
        <v>0</v>
      </c>
      <c r="T1045" s="4">
        <v>0</v>
      </c>
      <c r="U1045" s="4">
        <v>0</v>
      </c>
      <c r="V1045" s="4">
        <v>0</v>
      </c>
    </row>
    <row r="1046" spans="1:35" x14ac:dyDescent="0.15">
      <c r="A1046" s="4" t="s">
        <v>2662</v>
      </c>
      <c r="D1046" s="4">
        <v>200</v>
      </c>
      <c r="E1046" s="4">
        <v>50</v>
      </c>
      <c r="H1046" s="29">
        <v>1001</v>
      </c>
      <c r="I1046" s="4">
        <f>[1]森美拉!$J155</f>
        <v>0</v>
      </c>
      <c r="M1046" s="4">
        <f>[1]关卡数据!$E161</f>
        <v>1195</v>
      </c>
      <c r="N1046" s="4">
        <f>[1]关卡数据!$F161</f>
        <v>0</v>
      </c>
      <c r="O1046" s="4">
        <f>[1]关卡数据!$G161</f>
        <v>498750</v>
      </c>
      <c r="P1046" s="4">
        <v>0</v>
      </c>
      <c r="Q1046" s="4">
        <f>[1]森美拉!$H155</f>
        <v>0</v>
      </c>
      <c r="R1046" s="4">
        <v>2</v>
      </c>
      <c r="S1046" s="4">
        <f>[1]森美拉!$I155</f>
        <v>0</v>
      </c>
      <c r="T1046" s="4">
        <v>0</v>
      </c>
      <c r="U1046" s="4">
        <v>0</v>
      </c>
      <c r="V1046" s="4">
        <v>0</v>
      </c>
    </row>
    <row r="1047" spans="1:35" x14ac:dyDescent="0.15">
      <c r="A1047" s="4" t="s">
        <v>2662</v>
      </c>
      <c r="C1047" s="4" t="s">
        <v>9996</v>
      </c>
      <c r="D1047" s="4">
        <v>200</v>
      </c>
      <c r="E1047" s="4">
        <v>51</v>
      </c>
      <c r="H1047" s="29">
        <v>1001</v>
      </c>
      <c r="I1047" s="4">
        <f>[1]森美拉!$J156</f>
        <v>0</v>
      </c>
      <c r="M1047" s="4">
        <v>7</v>
      </c>
      <c r="N1047" s="4">
        <f>[1]关卡数据!$F162</f>
        <v>0</v>
      </c>
      <c r="O1047" s="4">
        <v>15000</v>
      </c>
      <c r="P1047" s="4">
        <v>0</v>
      </c>
      <c r="Q1047" s="4">
        <f>[1]森美拉!$H156</f>
        <v>0</v>
      </c>
      <c r="R1047" s="4">
        <v>2</v>
      </c>
      <c r="S1047" s="4">
        <f>[1]森美拉!$I156</f>
        <v>0</v>
      </c>
      <c r="T1047" s="4">
        <v>0</v>
      </c>
      <c r="U1047" s="4">
        <v>0</v>
      </c>
      <c r="V1047" s="4">
        <v>0</v>
      </c>
    </row>
    <row r="1048" spans="1:35" x14ac:dyDescent="0.15">
      <c r="A1048" s="4" t="s">
        <v>2662</v>
      </c>
      <c r="C1048" s="4" t="s">
        <v>9996</v>
      </c>
      <c r="D1048" s="4">
        <v>200</v>
      </c>
      <c r="E1048" s="4">
        <v>52</v>
      </c>
      <c r="H1048" s="29">
        <v>1001</v>
      </c>
      <c r="I1048" s="4">
        <f>[1]森美拉!$J157</f>
        <v>0</v>
      </c>
      <c r="M1048" s="4">
        <v>7</v>
      </c>
      <c r="N1048" s="4">
        <f>[1]关卡数据!$F163</f>
        <v>0</v>
      </c>
      <c r="O1048" s="4">
        <v>10000</v>
      </c>
      <c r="P1048" s="4">
        <v>0</v>
      </c>
      <c r="Q1048" s="4">
        <f>[1]森美拉!$H157</f>
        <v>0</v>
      </c>
      <c r="R1048" s="4">
        <v>2</v>
      </c>
      <c r="S1048" s="4">
        <f>[1]森美拉!$I157</f>
        <v>0</v>
      </c>
      <c r="T1048" s="4">
        <v>0</v>
      </c>
      <c r="U1048" s="4">
        <v>0</v>
      </c>
      <c r="V1048" s="4">
        <v>0</v>
      </c>
    </row>
    <row r="1049" spans="1:35" x14ac:dyDescent="0.15">
      <c r="Y1049" s="4" t="s">
        <v>3609</v>
      </c>
      <c r="Z1049" s="4" t="s">
        <v>3559</v>
      </c>
    </row>
    <row r="1050" spans="1:35" x14ac:dyDescent="0.15">
      <c r="A1050" s="4" t="s">
        <v>2662</v>
      </c>
      <c r="C1050" s="4" t="s">
        <v>3096</v>
      </c>
      <c r="D1050" s="4">
        <v>301</v>
      </c>
      <c r="E1050" s="4">
        <v>0</v>
      </c>
      <c r="H1050" s="29">
        <v>1001</v>
      </c>
      <c r="I1050" s="30">
        <v>1</v>
      </c>
      <c r="M1050" s="4">
        <v>0</v>
      </c>
      <c r="N1050" s="4">
        <v>0</v>
      </c>
      <c r="O1050" s="4">
        <v>0</v>
      </c>
      <c r="P1050" s="4">
        <v>0</v>
      </c>
      <c r="Q1050" s="4">
        <v>0</v>
      </c>
      <c r="R1050" s="4">
        <v>0</v>
      </c>
      <c r="S1050" s="4">
        <v>0</v>
      </c>
      <c r="T1050" s="4">
        <v>0</v>
      </c>
      <c r="U1050" s="4">
        <v>0</v>
      </c>
      <c r="V1050" s="4">
        <v>0</v>
      </c>
      <c r="Y1050" s="4">
        <v>0</v>
      </c>
      <c r="Z1050" s="4">
        <v>0</v>
      </c>
      <c r="AA1050" s="4">
        <v>0</v>
      </c>
      <c r="AB1050" s="4">
        <v>0</v>
      </c>
      <c r="AC1050" s="4">
        <v>0</v>
      </c>
      <c r="AD1050" s="4">
        <v>0</v>
      </c>
      <c r="AE1050" s="4">
        <v>0</v>
      </c>
      <c r="AF1050" s="4">
        <v>0</v>
      </c>
      <c r="AG1050" s="4">
        <v>0</v>
      </c>
      <c r="AH1050" s="4">
        <v>0</v>
      </c>
      <c r="AI1050" s="4">
        <v>0</v>
      </c>
    </row>
    <row r="1051" spans="1:35" x14ac:dyDescent="0.15">
      <c r="A1051" s="4" t="s">
        <v>2662</v>
      </c>
      <c r="D1051" s="4">
        <v>301</v>
      </c>
      <c r="E1051" s="4">
        <v>1</v>
      </c>
      <c r="H1051" s="29">
        <v>1001</v>
      </c>
      <c r="I1051" s="4">
        <f>[1]伙伴成长!$J2</f>
        <v>110</v>
      </c>
      <c r="L1051" s="30">
        <v>800</v>
      </c>
      <c r="M1051" s="4">
        <f>[1]伙伴成长!$E2</f>
        <v>12</v>
      </c>
      <c r="N1051" s="4">
        <f>[1]伙伴成长!$F2</f>
        <v>4</v>
      </c>
      <c r="O1051" s="4">
        <f>[1]伙伴成长!$G2</f>
        <v>400</v>
      </c>
      <c r="P1051" s="4">
        <v>0</v>
      </c>
      <c r="Q1051" s="4">
        <f>[1]伙伴成长!$H2</f>
        <v>50</v>
      </c>
      <c r="R1051" s="4">
        <v>1.5</v>
      </c>
      <c r="S1051" s="4">
        <f>[1]伙伴成长!$I2</f>
        <v>5</v>
      </c>
      <c r="T1051" s="4">
        <v>0</v>
      </c>
      <c r="U1051" s="4">
        <v>0</v>
      </c>
      <c r="V1051" s="4">
        <v>0</v>
      </c>
      <c r="Y1051" s="4">
        <f>[1]伙伴成长!$J2</f>
        <v>110</v>
      </c>
      <c r="Z1051" s="4">
        <f>[1]伙伴成长!$E2</f>
        <v>12</v>
      </c>
      <c r="AA1051" s="4">
        <f>[1]伙伴成长!$F2</f>
        <v>4</v>
      </c>
      <c r="AB1051" s="4">
        <f>[1]伙伴成长!$G2</f>
        <v>400</v>
      </c>
      <c r="AC1051" s="4">
        <v>0</v>
      </c>
      <c r="AD1051" s="4">
        <f>[1]伙伴成长!$H2</f>
        <v>50</v>
      </c>
      <c r="AE1051" s="4">
        <v>1.5</v>
      </c>
      <c r="AF1051" s="4">
        <f>[1]伙伴成长!$I2</f>
        <v>5</v>
      </c>
      <c r="AG1051" s="4">
        <v>0</v>
      </c>
      <c r="AH1051" s="4">
        <v>0</v>
      </c>
      <c r="AI1051" s="4">
        <v>0</v>
      </c>
    </row>
    <row r="1052" spans="1:35" x14ac:dyDescent="0.15">
      <c r="A1052" s="4" t="s">
        <v>2662</v>
      </c>
      <c r="D1052" s="4">
        <v>301</v>
      </c>
      <c r="E1052" s="4">
        <v>2</v>
      </c>
      <c r="H1052" s="29">
        <v>1001</v>
      </c>
      <c r="I1052" s="4">
        <f>[1]伙伴成长!$J3</f>
        <v>123</v>
      </c>
      <c r="L1052" s="30">
        <v>800</v>
      </c>
      <c r="M1052" s="4">
        <f>[1]伙伴成长!$E3</f>
        <v>16</v>
      </c>
      <c r="N1052" s="4">
        <f>[1]伙伴成长!$F3</f>
        <v>5</v>
      </c>
      <c r="O1052" s="4">
        <f>[1]伙伴成长!$G3</f>
        <v>424</v>
      </c>
      <c r="P1052" s="4">
        <v>0</v>
      </c>
      <c r="Q1052" s="4">
        <f>[1]伙伴成长!$H3</f>
        <v>55</v>
      </c>
      <c r="R1052" s="4">
        <v>1.5</v>
      </c>
      <c r="S1052" s="4">
        <f>[1]伙伴成长!$I3</f>
        <v>6</v>
      </c>
      <c r="T1052" s="4">
        <v>0</v>
      </c>
      <c r="U1052" s="4">
        <v>0</v>
      </c>
      <c r="V1052" s="4">
        <v>0</v>
      </c>
      <c r="Y1052" s="4">
        <f>[1]伙伴成长!$J3</f>
        <v>123</v>
      </c>
      <c r="Z1052" s="4">
        <f>[1]伙伴成长!$E3</f>
        <v>16</v>
      </c>
      <c r="AA1052" s="4">
        <f>[1]伙伴成长!$F3</f>
        <v>5</v>
      </c>
      <c r="AB1052" s="4">
        <f>[1]伙伴成长!$G3</f>
        <v>424</v>
      </c>
      <c r="AC1052" s="4">
        <v>0</v>
      </c>
      <c r="AD1052" s="4">
        <f>[1]伙伴成长!$H3</f>
        <v>55</v>
      </c>
      <c r="AE1052" s="4">
        <v>1.5</v>
      </c>
      <c r="AF1052" s="4">
        <f>[1]伙伴成长!$I3</f>
        <v>6</v>
      </c>
      <c r="AG1052" s="4">
        <v>0</v>
      </c>
      <c r="AH1052" s="4">
        <v>0</v>
      </c>
      <c r="AI1052" s="4">
        <v>0</v>
      </c>
    </row>
    <row r="1053" spans="1:35" x14ac:dyDescent="0.15">
      <c r="A1053" s="4" t="s">
        <v>2662</v>
      </c>
      <c r="D1053" s="4">
        <v>301</v>
      </c>
      <c r="E1053" s="4">
        <v>3</v>
      </c>
      <c r="H1053" s="29">
        <v>1001</v>
      </c>
      <c r="I1053" s="4">
        <f>[1]伙伴成长!$J4</f>
        <v>137</v>
      </c>
      <c r="L1053" s="30">
        <v>800</v>
      </c>
      <c r="M1053" s="4">
        <f>[1]伙伴成长!$E4</f>
        <v>20</v>
      </c>
      <c r="N1053" s="4">
        <f>[1]伙伴成长!$F4</f>
        <v>6</v>
      </c>
      <c r="O1053" s="4">
        <f>[1]伙伴成长!$G4</f>
        <v>448</v>
      </c>
      <c r="P1053" s="4">
        <v>0</v>
      </c>
      <c r="Q1053" s="4">
        <f>[1]伙伴成长!$H4</f>
        <v>60</v>
      </c>
      <c r="R1053" s="4">
        <v>1.5</v>
      </c>
      <c r="S1053" s="4">
        <f>[1]伙伴成长!$I4</f>
        <v>7</v>
      </c>
      <c r="T1053" s="4">
        <v>0</v>
      </c>
      <c r="U1053" s="4">
        <v>0</v>
      </c>
      <c r="V1053" s="4">
        <v>0</v>
      </c>
      <c r="Y1053" s="4">
        <f>[1]伙伴成长!$J4</f>
        <v>137</v>
      </c>
      <c r="Z1053" s="4">
        <f>[1]伙伴成长!$E4</f>
        <v>20</v>
      </c>
      <c r="AA1053" s="4">
        <f>[1]伙伴成长!$F4</f>
        <v>6</v>
      </c>
      <c r="AB1053" s="4">
        <f>[1]伙伴成长!$G4</f>
        <v>448</v>
      </c>
      <c r="AC1053" s="4">
        <v>0</v>
      </c>
      <c r="AD1053" s="4">
        <f>[1]伙伴成长!$H4</f>
        <v>60</v>
      </c>
      <c r="AE1053" s="4">
        <v>1.5</v>
      </c>
      <c r="AF1053" s="4">
        <f>[1]伙伴成长!$I4</f>
        <v>7</v>
      </c>
      <c r="AG1053" s="4">
        <v>0</v>
      </c>
      <c r="AH1053" s="4">
        <v>0</v>
      </c>
      <c r="AI1053" s="4">
        <v>0</v>
      </c>
    </row>
    <row r="1054" spans="1:35" x14ac:dyDescent="0.15">
      <c r="A1054" s="4" t="s">
        <v>2662</v>
      </c>
      <c r="D1054" s="4">
        <v>301</v>
      </c>
      <c r="E1054" s="4">
        <v>4</v>
      </c>
      <c r="H1054" s="29">
        <v>1001</v>
      </c>
      <c r="I1054" s="4">
        <f>[1]伙伴成长!$J5</f>
        <v>151</v>
      </c>
      <c r="L1054" s="30">
        <v>800</v>
      </c>
      <c r="M1054" s="4">
        <f>[1]伙伴成长!$E5</f>
        <v>24</v>
      </c>
      <c r="N1054" s="4">
        <f>[1]伙伴成长!$F5</f>
        <v>7</v>
      </c>
      <c r="O1054" s="4">
        <f>[1]伙伴成长!$G5</f>
        <v>472</v>
      </c>
      <c r="P1054" s="4">
        <v>0</v>
      </c>
      <c r="Q1054" s="4">
        <f>[1]伙伴成长!$H5</f>
        <v>65</v>
      </c>
      <c r="R1054" s="4">
        <v>1.5</v>
      </c>
      <c r="S1054" s="4">
        <f>[1]伙伴成长!$I5</f>
        <v>8</v>
      </c>
      <c r="T1054" s="4">
        <v>0</v>
      </c>
      <c r="U1054" s="4">
        <v>0</v>
      </c>
      <c r="V1054" s="4">
        <v>0</v>
      </c>
      <c r="Y1054" s="4">
        <f>[1]伙伴成长!$J5</f>
        <v>151</v>
      </c>
      <c r="Z1054" s="4">
        <f>[1]伙伴成长!$E5</f>
        <v>24</v>
      </c>
      <c r="AA1054" s="4">
        <f>[1]伙伴成长!$F5</f>
        <v>7</v>
      </c>
      <c r="AB1054" s="4">
        <f>[1]伙伴成长!$G5</f>
        <v>472</v>
      </c>
      <c r="AC1054" s="4">
        <v>0</v>
      </c>
      <c r="AD1054" s="4">
        <f>[1]伙伴成长!$H5</f>
        <v>65</v>
      </c>
      <c r="AE1054" s="4">
        <v>1.5</v>
      </c>
      <c r="AF1054" s="4">
        <f>[1]伙伴成长!$I5</f>
        <v>8</v>
      </c>
      <c r="AG1054" s="4">
        <v>0</v>
      </c>
      <c r="AH1054" s="4">
        <v>0</v>
      </c>
      <c r="AI1054" s="4">
        <v>0</v>
      </c>
    </row>
    <row r="1055" spans="1:35" x14ac:dyDescent="0.15">
      <c r="A1055" s="4" t="s">
        <v>2662</v>
      </c>
      <c r="D1055" s="4">
        <v>301</v>
      </c>
      <c r="E1055" s="4">
        <v>5</v>
      </c>
      <c r="H1055" s="29">
        <v>1001</v>
      </c>
      <c r="I1055" s="4">
        <f>[1]伙伴成长!$J6</f>
        <v>165</v>
      </c>
      <c r="L1055" s="30">
        <v>800</v>
      </c>
      <c r="M1055" s="4">
        <f>[1]伙伴成长!$E6</f>
        <v>28</v>
      </c>
      <c r="N1055" s="4">
        <f>[1]伙伴成长!$F6</f>
        <v>8</v>
      </c>
      <c r="O1055" s="4">
        <f>[1]伙伴成长!$G6</f>
        <v>496</v>
      </c>
      <c r="P1055" s="4">
        <v>0</v>
      </c>
      <c r="Q1055" s="4">
        <f>[1]伙伴成长!$H6</f>
        <v>70</v>
      </c>
      <c r="R1055" s="4">
        <v>1.5</v>
      </c>
      <c r="S1055" s="4">
        <f>[1]伙伴成长!$I6</f>
        <v>9</v>
      </c>
      <c r="T1055" s="4">
        <v>0</v>
      </c>
      <c r="U1055" s="4">
        <v>0</v>
      </c>
      <c r="V1055" s="4">
        <v>0</v>
      </c>
      <c r="Y1055" s="4">
        <f>[1]伙伴成长!$J6</f>
        <v>165</v>
      </c>
      <c r="Z1055" s="4">
        <f>[1]伙伴成长!$E6</f>
        <v>28</v>
      </c>
      <c r="AA1055" s="4">
        <f>[1]伙伴成长!$F6</f>
        <v>8</v>
      </c>
      <c r="AB1055" s="4">
        <f>[1]伙伴成长!$G6</f>
        <v>496</v>
      </c>
      <c r="AC1055" s="4">
        <v>0</v>
      </c>
      <c r="AD1055" s="4">
        <f>[1]伙伴成长!$H6</f>
        <v>70</v>
      </c>
      <c r="AE1055" s="4">
        <v>1.5</v>
      </c>
      <c r="AF1055" s="4">
        <f>[1]伙伴成长!$I6</f>
        <v>9</v>
      </c>
      <c r="AG1055" s="4">
        <v>0</v>
      </c>
      <c r="AH1055" s="4">
        <v>0</v>
      </c>
      <c r="AI1055" s="4">
        <v>0</v>
      </c>
    </row>
    <row r="1056" spans="1:35" x14ac:dyDescent="0.15">
      <c r="A1056" s="4" t="s">
        <v>2662</v>
      </c>
      <c r="D1056" s="4">
        <v>301</v>
      </c>
      <c r="E1056" s="4">
        <v>6</v>
      </c>
      <c r="H1056" s="29">
        <v>1001</v>
      </c>
      <c r="I1056" s="4">
        <f>[1]伙伴成长!$J7</f>
        <v>179</v>
      </c>
      <c r="L1056" s="30">
        <v>800</v>
      </c>
      <c r="M1056" s="4">
        <f>[1]伙伴成长!$E7</f>
        <v>32</v>
      </c>
      <c r="N1056" s="4">
        <f>[1]伙伴成长!$F7</f>
        <v>9</v>
      </c>
      <c r="O1056" s="4">
        <f>[1]伙伴成长!$G7</f>
        <v>520</v>
      </c>
      <c r="P1056" s="4">
        <v>0</v>
      </c>
      <c r="Q1056" s="4">
        <f>[1]伙伴成长!$H7</f>
        <v>75</v>
      </c>
      <c r="R1056" s="4">
        <v>1.5</v>
      </c>
      <c r="S1056" s="4">
        <f>[1]伙伴成长!$I7</f>
        <v>10</v>
      </c>
      <c r="T1056" s="4">
        <v>0</v>
      </c>
      <c r="U1056" s="4">
        <v>0</v>
      </c>
      <c r="V1056" s="4">
        <v>0</v>
      </c>
      <c r="Y1056" s="4">
        <f>[1]伙伴成长!$J7</f>
        <v>179</v>
      </c>
      <c r="Z1056" s="4">
        <f>[1]伙伴成长!$E7</f>
        <v>32</v>
      </c>
      <c r="AA1056" s="4">
        <f>[1]伙伴成长!$F7</f>
        <v>9</v>
      </c>
      <c r="AB1056" s="4">
        <f>[1]伙伴成长!$G7</f>
        <v>520</v>
      </c>
      <c r="AC1056" s="4">
        <v>0</v>
      </c>
      <c r="AD1056" s="4">
        <f>[1]伙伴成长!$H7</f>
        <v>75</v>
      </c>
      <c r="AE1056" s="4">
        <v>1.5</v>
      </c>
      <c r="AF1056" s="4">
        <f>[1]伙伴成长!$I7</f>
        <v>10</v>
      </c>
      <c r="AG1056" s="4">
        <v>0</v>
      </c>
      <c r="AH1056" s="4">
        <v>0</v>
      </c>
      <c r="AI1056" s="4">
        <v>0</v>
      </c>
    </row>
    <row r="1057" spans="1:35" x14ac:dyDescent="0.15">
      <c r="A1057" s="4" t="s">
        <v>2662</v>
      </c>
      <c r="D1057" s="4">
        <v>301</v>
      </c>
      <c r="E1057" s="4">
        <v>7</v>
      </c>
      <c r="H1057" s="29">
        <v>1001</v>
      </c>
      <c r="I1057" s="4">
        <f>[1]伙伴成长!$J8</f>
        <v>193</v>
      </c>
      <c r="L1057" s="30">
        <v>800</v>
      </c>
      <c r="M1057" s="4">
        <f>[1]伙伴成长!$E8</f>
        <v>36</v>
      </c>
      <c r="N1057" s="4">
        <f>[1]伙伴成长!$F8</f>
        <v>10</v>
      </c>
      <c r="O1057" s="4">
        <f>[1]伙伴成长!$G8</f>
        <v>544</v>
      </c>
      <c r="P1057" s="4">
        <v>0</v>
      </c>
      <c r="Q1057" s="4">
        <f>[1]伙伴成长!$H8</f>
        <v>80</v>
      </c>
      <c r="R1057" s="4">
        <v>1.5</v>
      </c>
      <c r="S1057" s="4">
        <f>[1]伙伴成长!$I8</f>
        <v>11</v>
      </c>
      <c r="T1057" s="4">
        <v>0</v>
      </c>
      <c r="U1057" s="4">
        <v>0</v>
      </c>
      <c r="V1057" s="4">
        <v>0</v>
      </c>
      <c r="Y1057" s="4">
        <f>[1]伙伴成长!$J8</f>
        <v>193</v>
      </c>
      <c r="Z1057" s="4">
        <f>[1]伙伴成长!$E8</f>
        <v>36</v>
      </c>
      <c r="AA1057" s="4">
        <f>[1]伙伴成长!$F8</f>
        <v>10</v>
      </c>
      <c r="AB1057" s="4">
        <f>[1]伙伴成长!$G8</f>
        <v>544</v>
      </c>
      <c r="AC1057" s="4">
        <v>0</v>
      </c>
      <c r="AD1057" s="4">
        <f>[1]伙伴成长!$H8</f>
        <v>80</v>
      </c>
      <c r="AE1057" s="4">
        <v>1.5</v>
      </c>
      <c r="AF1057" s="4">
        <f>[1]伙伴成长!$I8</f>
        <v>11</v>
      </c>
      <c r="AG1057" s="4">
        <v>0</v>
      </c>
      <c r="AH1057" s="4">
        <v>0</v>
      </c>
      <c r="AI1057" s="4">
        <v>0</v>
      </c>
    </row>
    <row r="1058" spans="1:35" x14ac:dyDescent="0.15">
      <c r="A1058" s="4" t="s">
        <v>2662</v>
      </c>
      <c r="D1058" s="4">
        <v>301</v>
      </c>
      <c r="E1058" s="4">
        <v>8</v>
      </c>
      <c r="H1058" s="29">
        <v>1001</v>
      </c>
      <c r="I1058" s="4">
        <f>[1]伙伴成长!$J9</f>
        <v>207</v>
      </c>
      <c r="L1058" s="30">
        <v>800</v>
      </c>
      <c r="M1058" s="4">
        <f>[1]伙伴成长!$E9</f>
        <v>40</v>
      </c>
      <c r="N1058" s="4">
        <f>[1]伙伴成长!$F9</f>
        <v>11</v>
      </c>
      <c r="O1058" s="4">
        <f>[1]伙伴成长!$G9</f>
        <v>568</v>
      </c>
      <c r="P1058" s="4">
        <v>0</v>
      </c>
      <c r="Q1058" s="4">
        <f>[1]伙伴成长!$H9</f>
        <v>85</v>
      </c>
      <c r="R1058" s="4">
        <v>1.5</v>
      </c>
      <c r="S1058" s="4">
        <f>[1]伙伴成长!$I9</f>
        <v>12</v>
      </c>
      <c r="T1058" s="4">
        <v>0</v>
      </c>
      <c r="U1058" s="4">
        <v>0</v>
      </c>
      <c r="V1058" s="4">
        <v>0</v>
      </c>
      <c r="Y1058" s="4">
        <f>[1]伙伴成长!$J9</f>
        <v>207</v>
      </c>
      <c r="Z1058" s="4">
        <f>[1]伙伴成长!$E9</f>
        <v>40</v>
      </c>
      <c r="AA1058" s="4">
        <f>[1]伙伴成长!$F9</f>
        <v>11</v>
      </c>
      <c r="AB1058" s="4">
        <f>[1]伙伴成长!$G9</f>
        <v>568</v>
      </c>
      <c r="AC1058" s="4">
        <v>0</v>
      </c>
      <c r="AD1058" s="4">
        <f>[1]伙伴成长!$H9</f>
        <v>85</v>
      </c>
      <c r="AE1058" s="4">
        <v>1.5</v>
      </c>
      <c r="AF1058" s="4">
        <f>[1]伙伴成长!$I9</f>
        <v>12</v>
      </c>
      <c r="AG1058" s="4">
        <v>0</v>
      </c>
      <c r="AH1058" s="4">
        <v>0</v>
      </c>
      <c r="AI1058" s="4">
        <v>0</v>
      </c>
    </row>
    <row r="1059" spans="1:35" x14ac:dyDescent="0.15">
      <c r="A1059" s="4" t="s">
        <v>2662</v>
      </c>
      <c r="D1059" s="4">
        <v>301</v>
      </c>
      <c r="E1059" s="4">
        <v>9</v>
      </c>
      <c r="H1059" s="29">
        <v>1001</v>
      </c>
      <c r="I1059" s="4">
        <f>[1]伙伴成长!$J10</f>
        <v>221</v>
      </c>
      <c r="L1059" s="30">
        <v>800</v>
      </c>
      <c r="M1059" s="4">
        <f>[1]伙伴成长!$E10</f>
        <v>44</v>
      </c>
      <c r="N1059" s="4">
        <f>[1]伙伴成长!$F10</f>
        <v>12</v>
      </c>
      <c r="O1059" s="4">
        <f>[1]伙伴成长!$G10</f>
        <v>592</v>
      </c>
      <c r="P1059" s="4">
        <v>0</v>
      </c>
      <c r="Q1059" s="4">
        <f>[1]伙伴成长!$H10</f>
        <v>90</v>
      </c>
      <c r="R1059" s="4">
        <v>1.5</v>
      </c>
      <c r="S1059" s="4">
        <f>[1]伙伴成长!$I10</f>
        <v>13</v>
      </c>
      <c r="T1059" s="4">
        <v>0</v>
      </c>
      <c r="U1059" s="4">
        <v>0</v>
      </c>
      <c r="V1059" s="4">
        <v>0</v>
      </c>
      <c r="Y1059" s="4">
        <f>[1]伙伴成长!$J10</f>
        <v>221</v>
      </c>
      <c r="Z1059" s="4">
        <f>[1]伙伴成长!$E10</f>
        <v>44</v>
      </c>
      <c r="AA1059" s="4">
        <f>[1]伙伴成长!$F10</f>
        <v>12</v>
      </c>
      <c r="AB1059" s="4">
        <f>[1]伙伴成长!$G10</f>
        <v>592</v>
      </c>
      <c r="AC1059" s="4">
        <v>0</v>
      </c>
      <c r="AD1059" s="4">
        <f>[1]伙伴成长!$H10</f>
        <v>90</v>
      </c>
      <c r="AE1059" s="4">
        <v>1.5</v>
      </c>
      <c r="AF1059" s="4">
        <f>[1]伙伴成长!$I10</f>
        <v>13</v>
      </c>
      <c r="AG1059" s="4">
        <v>0</v>
      </c>
      <c r="AH1059" s="4">
        <v>0</v>
      </c>
      <c r="AI1059" s="4">
        <v>0</v>
      </c>
    </row>
    <row r="1060" spans="1:35" x14ac:dyDescent="0.15">
      <c r="A1060" s="4" t="s">
        <v>2662</v>
      </c>
      <c r="D1060" s="4">
        <v>301</v>
      </c>
      <c r="E1060" s="4">
        <v>10</v>
      </c>
      <c r="H1060" s="29">
        <v>1001</v>
      </c>
      <c r="I1060" s="4">
        <f>[1]伙伴成长!$J11</f>
        <v>235</v>
      </c>
      <c r="L1060" s="30">
        <v>800</v>
      </c>
      <c r="M1060" s="4">
        <f>[1]伙伴成长!$E11</f>
        <v>48</v>
      </c>
      <c r="N1060" s="4">
        <f>[1]伙伴成长!$F11</f>
        <v>13</v>
      </c>
      <c r="O1060" s="4">
        <f>[1]伙伴成长!$G11</f>
        <v>616</v>
      </c>
      <c r="P1060" s="4">
        <v>0</v>
      </c>
      <c r="Q1060" s="4">
        <f>[1]伙伴成长!$H11</f>
        <v>95</v>
      </c>
      <c r="R1060" s="4">
        <v>1.5</v>
      </c>
      <c r="S1060" s="4">
        <f>[1]伙伴成长!$I11</f>
        <v>14</v>
      </c>
      <c r="T1060" s="4">
        <v>0</v>
      </c>
      <c r="U1060" s="4">
        <v>0</v>
      </c>
      <c r="V1060" s="4">
        <v>0</v>
      </c>
      <c r="Y1060" s="4">
        <f>[1]伙伴成长!$J11</f>
        <v>235</v>
      </c>
      <c r="Z1060" s="4">
        <f>[1]伙伴成长!$E11</f>
        <v>48</v>
      </c>
      <c r="AA1060" s="4">
        <f>[1]伙伴成长!$F11</f>
        <v>13</v>
      </c>
      <c r="AB1060" s="4">
        <f>[1]伙伴成长!$G11</f>
        <v>616</v>
      </c>
      <c r="AC1060" s="4">
        <v>0</v>
      </c>
      <c r="AD1060" s="4">
        <f>[1]伙伴成长!$H11</f>
        <v>95</v>
      </c>
      <c r="AE1060" s="4">
        <v>1.5</v>
      </c>
      <c r="AF1060" s="4">
        <f>[1]伙伴成长!$I11</f>
        <v>14</v>
      </c>
      <c r="AG1060" s="4">
        <v>0</v>
      </c>
      <c r="AH1060" s="4">
        <v>0</v>
      </c>
      <c r="AI1060" s="4">
        <v>0</v>
      </c>
    </row>
    <row r="1061" spans="1:35" x14ac:dyDescent="0.15">
      <c r="A1061" s="4" t="s">
        <v>2662</v>
      </c>
      <c r="D1061" s="4">
        <v>301</v>
      </c>
      <c r="E1061" s="4">
        <v>11</v>
      </c>
      <c r="H1061" s="29">
        <v>1001</v>
      </c>
      <c r="I1061" s="4">
        <f>[1]伙伴成长!$J12</f>
        <v>249</v>
      </c>
      <c r="L1061" s="30">
        <v>800</v>
      </c>
      <c r="M1061" s="4">
        <f>[1]伙伴成长!$E12</f>
        <v>52</v>
      </c>
      <c r="N1061" s="4">
        <f>[1]伙伴成长!$F12</f>
        <v>14</v>
      </c>
      <c r="O1061" s="4">
        <f>[1]伙伴成长!$G12</f>
        <v>640</v>
      </c>
      <c r="P1061" s="4">
        <v>0</v>
      </c>
      <c r="Q1061" s="4">
        <f>[1]伙伴成长!$H12</f>
        <v>100</v>
      </c>
      <c r="R1061" s="4">
        <v>1.5</v>
      </c>
      <c r="S1061" s="4">
        <f>[1]伙伴成长!$I12</f>
        <v>15</v>
      </c>
      <c r="T1061" s="4">
        <v>0</v>
      </c>
      <c r="U1061" s="4">
        <v>0</v>
      </c>
      <c r="V1061" s="4">
        <v>0</v>
      </c>
      <c r="Y1061" s="4">
        <f>[1]伙伴成长!$J12</f>
        <v>249</v>
      </c>
      <c r="Z1061" s="4">
        <f>[1]伙伴成长!$E12</f>
        <v>52</v>
      </c>
      <c r="AA1061" s="4">
        <f>[1]伙伴成长!$F12</f>
        <v>14</v>
      </c>
      <c r="AB1061" s="4">
        <f>[1]伙伴成长!$G12</f>
        <v>640</v>
      </c>
      <c r="AC1061" s="4">
        <v>0</v>
      </c>
      <c r="AD1061" s="4">
        <f>[1]伙伴成长!$H12</f>
        <v>100</v>
      </c>
      <c r="AE1061" s="4">
        <v>1.5</v>
      </c>
      <c r="AF1061" s="4">
        <f>[1]伙伴成长!$I12</f>
        <v>15</v>
      </c>
      <c r="AG1061" s="4">
        <v>0</v>
      </c>
      <c r="AH1061" s="4">
        <v>0</v>
      </c>
      <c r="AI1061" s="4">
        <v>0</v>
      </c>
    </row>
    <row r="1062" spans="1:35" x14ac:dyDescent="0.15">
      <c r="A1062" s="4" t="s">
        <v>2662</v>
      </c>
      <c r="D1062" s="4">
        <v>301</v>
      </c>
      <c r="E1062" s="4">
        <v>12</v>
      </c>
      <c r="H1062" s="29">
        <v>1001</v>
      </c>
      <c r="I1062" s="4">
        <f>[1]伙伴成长!$J13</f>
        <v>262</v>
      </c>
      <c r="L1062" s="30">
        <v>800</v>
      </c>
      <c r="M1062" s="4">
        <f>[1]伙伴成长!$E13</f>
        <v>56</v>
      </c>
      <c r="N1062" s="4">
        <f>[1]伙伴成长!$F13</f>
        <v>15</v>
      </c>
      <c r="O1062" s="4">
        <f>[1]伙伴成长!$G13</f>
        <v>664</v>
      </c>
      <c r="P1062" s="4">
        <v>0</v>
      </c>
      <c r="Q1062" s="4">
        <f>[1]伙伴成长!$H13</f>
        <v>105</v>
      </c>
      <c r="R1062" s="4">
        <v>1.5</v>
      </c>
      <c r="S1062" s="4">
        <f>[1]伙伴成长!$I13</f>
        <v>16</v>
      </c>
      <c r="T1062" s="4">
        <v>0</v>
      </c>
      <c r="U1062" s="4">
        <v>0</v>
      </c>
      <c r="V1062" s="4">
        <v>0</v>
      </c>
      <c r="Y1062" s="4">
        <f>[1]伙伴成长!$J13</f>
        <v>262</v>
      </c>
      <c r="Z1062" s="4">
        <f>[1]伙伴成长!$E13</f>
        <v>56</v>
      </c>
      <c r="AA1062" s="4">
        <f>[1]伙伴成长!$F13</f>
        <v>15</v>
      </c>
      <c r="AB1062" s="4">
        <f>[1]伙伴成长!$G13</f>
        <v>664</v>
      </c>
      <c r="AC1062" s="4">
        <v>0</v>
      </c>
      <c r="AD1062" s="4">
        <f>[1]伙伴成长!$H13</f>
        <v>105</v>
      </c>
      <c r="AE1062" s="4">
        <v>1.5</v>
      </c>
      <c r="AF1062" s="4">
        <f>[1]伙伴成长!$I13</f>
        <v>16</v>
      </c>
      <c r="AG1062" s="4">
        <v>0</v>
      </c>
      <c r="AH1062" s="4">
        <v>0</v>
      </c>
      <c r="AI1062" s="4">
        <v>0</v>
      </c>
    </row>
    <row r="1063" spans="1:35" x14ac:dyDescent="0.15">
      <c r="A1063" s="4" t="s">
        <v>2662</v>
      </c>
      <c r="D1063" s="4">
        <v>301</v>
      </c>
      <c r="E1063" s="4">
        <v>13</v>
      </c>
      <c r="H1063" s="29">
        <v>1001</v>
      </c>
      <c r="I1063" s="4">
        <f>[1]伙伴成长!$J14</f>
        <v>276</v>
      </c>
      <c r="L1063" s="30">
        <v>800</v>
      </c>
      <c r="M1063" s="4">
        <f>[1]伙伴成长!$E14</f>
        <v>60</v>
      </c>
      <c r="N1063" s="4">
        <f>[1]伙伴成长!$F14</f>
        <v>16</v>
      </c>
      <c r="O1063" s="4">
        <f>[1]伙伴成长!$G14</f>
        <v>688</v>
      </c>
      <c r="P1063" s="4">
        <v>0</v>
      </c>
      <c r="Q1063" s="4">
        <f>[1]伙伴成长!$H14</f>
        <v>110</v>
      </c>
      <c r="R1063" s="4">
        <v>1.5</v>
      </c>
      <c r="S1063" s="4">
        <f>[1]伙伴成长!$I14</f>
        <v>17</v>
      </c>
      <c r="T1063" s="4">
        <v>0</v>
      </c>
      <c r="U1063" s="4">
        <v>0</v>
      </c>
      <c r="V1063" s="4">
        <v>0</v>
      </c>
      <c r="Y1063" s="4">
        <f>[1]伙伴成长!$J14</f>
        <v>276</v>
      </c>
      <c r="Z1063" s="4">
        <f>[1]伙伴成长!$E14</f>
        <v>60</v>
      </c>
      <c r="AA1063" s="4">
        <f>[1]伙伴成长!$F14</f>
        <v>16</v>
      </c>
      <c r="AB1063" s="4">
        <f>[1]伙伴成长!$G14</f>
        <v>688</v>
      </c>
      <c r="AC1063" s="4">
        <v>0</v>
      </c>
      <c r="AD1063" s="4">
        <f>[1]伙伴成长!$H14</f>
        <v>110</v>
      </c>
      <c r="AE1063" s="4">
        <v>1.5</v>
      </c>
      <c r="AF1063" s="4">
        <f>[1]伙伴成长!$I14</f>
        <v>17</v>
      </c>
      <c r="AG1063" s="4">
        <v>0</v>
      </c>
      <c r="AH1063" s="4">
        <v>0</v>
      </c>
      <c r="AI1063" s="4">
        <v>0</v>
      </c>
    </row>
    <row r="1064" spans="1:35" x14ac:dyDescent="0.15">
      <c r="A1064" s="4" t="s">
        <v>2662</v>
      </c>
      <c r="D1064" s="4">
        <v>301</v>
      </c>
      <c r="E1064" s="4">
        <v>14</v>
      </c>
      <c r="H1064" s="29">
        <v>1001</v>
      </c>
      <c r="I1064" s="4">
        <f>[1]伙伴成长!$J15</f>
        <v>290</v>
      </c>
      <c r="L1064" s="30">
        <v>800</v>
      </c>
      <c r="M1064" s="4">
        <f>[1]伙伴成长!$E15</f>
        <v>64</v>
      </c>
      <c r="N1064" s="4">
        <f>[1]伙伴成长!$F15</f>
        <v>17</v>
      </c>
      <c r="O1064" s="4">
        <f>[1]伙伴成长!$G15</f>
        <v>712</v>
      </c>
      <c r="P1064" s="4">
        <v>0</v>
      </c>
      <c r="Q1064" s="4">
        <f>[1]伙伴成长!$H15</f>
        <v>115</v>
      </c>
      <c r="R1064" s="4">
        <v>1.5</v>
      </c>
      <c r="S1064" s="4">
        <f>[1]伙伴成长!$I15</f>
        <v>18</v>
      </c>
      <c r="T1064" s="4">
        <v>0</v>
      </c>
      <c r="U1064" s="4">
        <v>0</v>
      </c>
      <c r="V1064" s="4">
        <v>0</v>
      </c>
      <c r="Y1064" s="4">
        <f>[1]伙伴成长!$J15</f>
        <v>290</v>
      </c>
      <c r="Z1064" s="4">
        <f>[1]伙伴成长!$E15</f>
        <v>64</v>
      </c>
      <c r="AA1064" s="4">
        <f>[1]伙伴成长!$F15</f>
        <v>17</v>
      </c>
      <c r="AB1064" s="4">
        <f>[1]伙伴成长!$G15</f>
        <v>712</v>
      </c>
      <c r="AC1064" s="4">
        <v>0</v>
      </c>
      <c r="AD1064" s="4">
        <f>[1]伙伴成长!$H15</f>
        <v>115</v>
      </c>
      <c r="AE1064" s="4">
        <v>1.5</v>
      </c>
      <c r="AF1064" s="4">
        <f>[1]伙伴成长!$I15</f>
        <v>18</v>
      </c>
      <c r="AG1064" s="4">
        <v>0</v>
      </c>
      <c r="AH1064" s="4">
        <v>0</v>
      </c>
      <c r="AI1064" s="4">
        <v>0</v>
      </c>
    </row>
    <row r="1065" spans="1:35" x14ac:dyDescent="0.15">
      <c r="A1065" s="4" t="s">
        <v>2662</v>
      </c>
      <c r="D1065" s="4">
        <v>301</v>
      </c>
      <c r="E1065" s="4">
        <v>15</v>
      </c>
      <c r="H1065" s="29">
        <v>1001</v>
      </c>
      <c r="I1065" s="4">
        <f>[1]伙伴成长!$J16</f>
        <v>304</v>
      </c>
      <c r="L1065" s="30">
        <v>800</v>
      </c>
      <c r="M1065" s="4">
        <f>[1]伙伴成长!$E16</f>
        <v>68</v>
      </c>
      <c r="N1065" s="4">
        <f>[1]伙伴成长!$F16</f>
        <v>18</v>
      </c>
      <c r="O1065" s="4">
        <f>[1]伙伴成长!$G16</f>
        <v>736</v>
      </c>
      <c r="P1065" s="4">
        <v>0</v>
      </c>
      <c r="Q1065" s="4">
        <f>[1]伙伴成长!$H16</f>
        <v>120</v>
      </c>
      <c r="R1065" s="4">
        <v>1.5</v>
      </c>
      <c r="S1065" s="4">
        <f>[1]伙伴成长!$I16</f>
        <v>19</v>
      </c>
      <c r="T1065" s="4">
        <v>0</v>
      </c>
      <c r="U1065" s="4">
        <v>0</v>
      </c>
      <c r="V1065" s="4">
        <v>0</v>
      </c>
      <c r="Y1065" s="4">
        <f>[1]伙伴成长!$J16</f>
        <v>304</v>
      </c>
      <c r="Z1065" s="4">
        <f>[1]伙伴成长!$E16</f>
        <v>68</v>
      </c>
      <c r="AA1065" s="4">
        <f>[1]伙伴成长!$F16</f>
        <v>18</v>
      </c>
      <c r="AB1065" s="4">
        <f>[1]伙伴成长!$G16</f>
        <v>736</v>
      </c>
      <c r="AC1065" s="4">
        <v>0</v>
      </c>
      <c r="AD1065" s="4">
        <f>[1]伙伴成长!$H16</f>
        <v>120</v>
      </c>
      <c r="AE1065" s="4">
        <v>1.5</v>
      </c>
      <c r="AF1065" s="4">
        <f>[1]伙伴成长!$I16</f>
        <v>19</v>
      </c>
      <c r="AG1065" s="4">
        <v>0</v>
      </c>
      <c r="AH1065" s="4">
        <v>0</v>
      </c>
      <c r="AI1065" s="4">
        <v>0</v>
      </c>
    </row>
    <row r="1066" spans="1:35" x14ac:dyDescent="0.15">
      <c r="A1066" s="4" t="s">
        <v>2662</v>
      </c>
      <c r="D1066" s="4">
        <v>301</v>
      </c>
      <c r="E1066" s="4">
        <v>16</v>
      </c>
      <c r="H1066" s="29">
        <v>1001</v>
      </c>
      <c r="I1066" s="4">
        <f>[1]伙伴成长!$J17</f>
        <v>318</v>
      </c>
      <c r="L1066" s="30">
        <v>800</v>
      </c>
      <c r="M1066" s="4">
        <f>[1]伙伴成长!$E17</f>
        <v>72</v>
      </c>
      <c r="N1066" s="4">
        <f>[1]伙伴成长!$F17</f>
        <v>19</v>
      </c>
      <c r="O1066" s="4">
        <f>[1]伙伴成长!$G17</f>
        <v>760</v>
      </c>
      <c r="P1066" s="4">
        <v>0</v>
      </c>
      <c r="Q1066" s="4">
        <f>[1]伙伴成长!$H17</f>
        <v>125</v>
      </c>
      <c r="R1066" s="4">
        <v>1.5</v>
      </c>
      <c r="S1066" s="4">
        <f>[1]伙伴成长!$I17</f>
        <v>20</v>
      </c>
      <c r="T1066" s="4">
        <v>0</v>
      </c>
      <c r="U1066" s="4">
        <v>0</v>
      </c>
      <c r="V1066" s="4">
        <v>0</v>
      </c>
      <c r="Y1066" s="4">
        <f>[1]伙伴成长!$J17</f>
        <v>318</v>
      </c>
      <c r="Z1066" s="4">
        <f>[1]伙伴成长!$E17</f>
        <v>72</v>
      </c>
      <c r="AA1066" s="4">
        <f>[1]伙伴成长!$F17</f>
        <v>19</v>
      </c>
      <c r="AB1066" s="4">
        <f>[1]伙伴成长!$G17</f>
        <v>760</v>
      </c>
      <c r="AC1066" s="4">
        <v>0</v>
      </c>
      <c r="AD1066" s="4">
        <f>[1]伙伴成长!$H17</f>
        <v>125</v>
      </c>
      <c r="AE1066" s="4">
        <v>1.5</v>
      </c>
      <c r="AF1066" s="4">
        <f>[1]伙伴成长!$I17</f>
        <v>20</v>
      </c>
      <c r="AG1066" s="4">
        <v>0</v>
      </c>
      <c r="AH1066" s="4">
        <v>0</v>
      </c>
      <c r="AI1066" s="4">
        <v>0</v>
      </c>
    </row>
    <row r="1067" spans="1:35" x14ac:dyDescent="0.15">
      <c r="A1067" s="4" t="s">
        <v>2662</v>
      </c>
      <c r="D1067" s="4">
        <v>301</v>
      </c>
      <c r="E1067" s="4">
        <v>17</v>
      </c>
      <c r="H1067" s="29">
        <v>1001</v>
      </c>
      <c r="I1067" s="4">
        <f>[1]伙伴成长!$J18</f>
        <v>332</v>
      </c>
      <c r="L1067" s="30">
        <v>800</v>
      </c>
      <c r="M1067" s="4">
        <f>[1]伙伴成长!$E18</f>
        <v>76</v>
      </c>
      <c r="N1067" s="4">
        <f>[1]伙伴成长!$F18</f>
        <v>20</v>
      </c>
      <c r="O1067" s="4">
        <f>[1]伙伴成长!$G18</f>
        <v>784</v>
      </c>
      <c r="P1067" s="4">
        <v>0</v>
      </c>
      <c r="Q1067" s="4">
        <f>[1]伙伴成长!$H18</f>
        <v>130</v>
      </c>
      <c r="R1067" s="4">
        <v>1.5</v>
      </c>
      <c r="S1067" s="4">
        <f>[1]伙伴成长!$I18</f>
        <v>21</v>
      </c>
      <c r="T1067" s="4">
        <v>0</v>
      </c>
      <c r="U1067" s="4">
        <v>0</v>
      </c>
      <c r="V1067" s="4">
        <v>0</v>
      </c>
      <c r="Y1067" s="4">
        <f>[1]伙伴成长!$J18</f>
        <v>332</v>
      </c>
      <c r="Z1067" s="4">
        <f>[1]伙伴成长!$E18</f>
        <v>76</v>
      </c>
      <c r="AA1067" s="4">
        <f>[1]伙伴成长!$F18</f>
        <v>20</v>
      </c>
      <c r="AB1067" s="4">
        <f>[1]伙伴成长!$G18</f>
        <v>784</v>
      </c>
      <c r="AC1067" s="4">
        <v>0</v>
      </c>
      <c r="AD1067" s="4">
        <f>[1]伙伴成长!$H18</f>
        <v>130</v>
      </c>
      <c r="AE1067" s="4">
        <v>1.5</v>
      </c>
      <c r="AF1067" s="4">
        <f>[1]伙伴成长!$I18</f>
        <v>21</v>
      </c>
      <c r="AG1067" s="4">
        <v>0</v>
      </c>
      <c r="AH1067" s="4">
        <v>0</v>
      </c>
      <c r="AI1067" s="4">
        <v>0</v>
      </c>
    </row>
    <row r="1068" spans="1:35" x14ac:dyDescent="0.15">
      <c r="A1068" s="4" t="s">
        <v>2662</v>
      </c>
      <c r="D1068" s="4">
        <v>301</v>
      </c>
      <c r="E1068" s="4">
        <v>18</v>
      </c>
      <c r="H1068" s="29">
        <v>1001</v>
      </c>
      <c r="I1068" s="4">
        <f>[1]伙伴成长!$J19</f>
        <v>346</v>
      </c>
      <c r="L1068" s="30">
        <v>800</v>
      </c>
      <c r="M1068" s="4">
        <f>[1]伙伴成长!$E19</f>
        <v>80</v>
      </c>
      <c r="N1068" s="4">
        <f>[1]伙伴成长!$F19</f>
        <v>21</v>
      </c>
      <c r="O1068" s="4">
        <f>[1]伙伴成长!$G19</f>
        <v>808</v>
      </c>
      <c r="P1068" s="4">
        <v>0</v>
      </c>
      <c r="Q1068" s="4">
        <f>[1]伙伴成长!$H19</f>
        <v>135</v>
      </c>
      <c r="R1068" s="4">
        <v>1.5</v>
      </c>
      <c r="S1068" s="4">
        <f>[1]伙伴成长!$I19</f>
        <v>22</v>
      </c>
      <c r="T1068" s="4">
        <v>0</v>
      </c>
      <c r="U1068" s="4">
        <v>0</v>
      </c>
      <c r="V1068" s="4">
        <v>0</v>
      </c>
      <c r="Y1068" s="4">
        <f>[1]伙伴成长!$J19</f>
        <v>346</v>
      </c>
      <c r="Z1068" s="4">
        <f>[1]伙伴成长!$E19</f>
        <v>80</v>
      </c>
      <c r="AA1068" s="4">
        <f>[1]伙伴成长!$F19</f>
        <v>21</v>
      </c>
      <c r="AB1068" s="4">
        <f>[1]伙伴成长!$G19</f>
        <v>808</v>
      </c>
      <c r="AC1068" s="4">
        <v>0</v>
      </c>
      <c r="AD1068" s="4">
        <f>[1]伙伴成长!$H19</f>
        <v>135</v>
      </c>
      <c r="AE1068" s="4">
        <v>1.5</v>
      </c>
      <c r="AF1068" s="4">
        <f>[1]伙伴成长!$I19</f>
        <v>22</v>
      </c>
      <c r="AG1068" s="4">
        <v>0</v>
      </c>
      <c r="AH1068" s="4">
        <v>0</v>
      </c>
      <c r="AI1068" s="4">
        <v>0</v>
      </c>
    </row>
    <row r="1069" spans="1:35" x14ac:dyDescent="0.15">
      <c r="A1069" s="4" t="s">
        <v>2662</v>
      </c>
      <c r="D1069" s="4">
        <v>301</v>
      </c>
      <c r="E1069" s="4">
        <v>19</v>
      </c>
      <c r="H1069" s="29">
        <v>1001</v>
      </c>
      <c r="I1069" s="4">
        <f>[1]伙伴成长!$J20</f>
        <v>360</v>
      </c>
      <c r="L1069" s="30">
        <v>800</v>
      </c>
      <c r="M1069" s="4">
        <f>[1]伙伴成长!$E20</f>
        <v>84</v>
      </c>
      <c r="N1069" s="4">
        <f>[1]伙伴成长!$F20</f>
        <v>22</v>
      </c>
      <c r="O1069" s="4">
        <f>[1]伙伴成长!$G20</f>
        <v>832</v>
      </c>
      <c r="P1069" s="4">
        <v>0</v>
      </c>
      <c r="Q1069" s="4">
        <f>[1]伙伴成长!$H20</f>
        <v>140</v>
      </c>
      <c r="R1069" s="4">
        <v>1.5</v>
      </c>
      <c r="S1069" s="4">
        <f>[1]伙伴成长!$I20</f>
        <v>23</v>
      </c>
      <c r="T1069" s="4">
        <v>0</v>
      </c>
      <c r="U1069" s="4">
        <v>0</v>
      </c>
      <c r="V1069" s="4">
        <v>0</v>
      </c>
      <c r="Y1069" s="4">
        <f>[1]伙伴成长!$J20</f>
        <v>360</v>
      </c>
      <c r="Z1069" s="4">
        <f>[1]伙伴成长!$E20</f>
        <v>84</v>
      </c>
      <c r="AA1069" s="4">
        <f>[1]伙伴成长!$F20</f>
        <v>22</v>
      </c>
      <c r="AB1069" s="4">
        <f>[1]伙伴成长!$G20</f>
        <v>832</v>
      </c>
      <c r="AC1069" s="4">
        <v>0</v>
      </c>
      <c r="AD1069" s="4">
        <f>[1]伙伴成长!$H20</f>
        <v>140</v>
      </c>
      <c r="AE1069" s="4">
        <v>1.5</v>
      </c>
      <c r="AF1069" s="4">
        <f>[1]伙伴成长!$I20</f>
        <v>23</v>
      </c>
      <c r="AG1069" s="4">
        <v>0</v>
      </c>
      <c r="AH1069" s="4">
        <v>0</v>
      </c>
      <c r="AI1069" s="4">
        <v>0</v>
      </c>
    </row>
    <row r="1070" spans="1:35" x14ac:dyDescent="0.15">
      <c r="A1070" s="4" t="s">
        <v>2662</v>
      </c>
      <c r="D1070" s="4">
        <v>301</v>
      </c>
      <c r="E1070" s="4">
        <v>20</v>
      </c>
      <c r="H1070" s="29">
        <v>1001</v>
      </c>
      <c r="I1070" s="4">
        <f>[1]伙伴成长!$J21</f>
        <v>374</v>
      </c>
      <c r="L1070" s="30">
        <v>800</v>
      </c>
      <c r="M1070" s="4">
        <f>[1]伙伴成长!$E21</f>
        <v>88</v>
      </c>
      <c r="N1070" s="4">
        <f>[1]伙伴成长!$F21</f>
        <v>23</v>
      </c>
      <c r="O1070" s="4">
        <f>[1]伙伴成长!$G21</f>
        <v>856</v>
      </c>
      <c r="P1070" s="4">
        <v>0</v>
      </c>
      <c r="Q1070" s="4">
        <f>[1]伙伴成长!$H21</f>
        <v>145</v>
      </c>
      <c r="R1070" s="4">
        <v>1.5</v>
      </c>
      <c r="S1070" s="4">
        <f>[1]伙伴成长!$I21</f>
        <v>24</v>
      </c>
      <c r="T1070" s="4">
        <v>0</v>
      </c>
      <c r="U1070" s="4">
        <v>0</v>
      </c>
      <c r="V1070" s="4">
        <v>0</v>
      </c>
      <c r="Y1070" s="4">
        <f>[1]伙伴成长!$J21</f>
        <v>374</v>
      </c>
      <c r="Z1070" s="4">
        <f>[1]伙伴成长!$E21</f>
        <v>88</v>
      </c>
      <c r="AA1070" s="4">
        <f>[1]伙伴成长!$F21</f>
        <v>23</v>
      </c>
      <c r="AB1070" s="4">
        <f>[1]伙伴成长!$G21</f>
        <v>856</v>
      </c>
      <c r="AC1070" s="4">
        <v>0</v>
      </c>
      <c r="AD1070" s="4">
        <f>[1]伙伴成长!$H21</f>
        <v>145</v>
      </c>
      <c r="AE1070" s="4">
        <v>1.5</v>
      </c>
      <c r="AF1070" s="4">
        <f>[1]伙伴成长!$I21</f>
        <v>24</v>
      </c>
      <c r="AG1070" s="4">
        <v>0</v>
      </c>
      <c r="AH1070" s="4">
        <v>0</v>
      </c>
      <c r="AI1070" s="4">
        <v>0</v>
      </c>
    </row>
    <row r="1071" spans="1:35" x14ac:dyDescent="0.15">
      <c r="A1071" s="4" t="s">
        <v>2662</v>
      </c>
      <c r="D1071" s="4">
        <v>301</v>
      </c>
      <c r="E1071" s="4">
        <v>21</v>
      </c>
      <c r="H1071" s="29">
        <v>1001</v>
      </c>
      <c r="I1071" s="4">
        <f>[1]伙伴成长!$J22</f>
        <v>388</v>
      </c>
      <c r="L1071" s="30">
        <v>800</v>
      </c>
      <c r="M1071" s="4">
        <f>[1]伙伴成长!$E22</f>
        <v>92</v>
      </c>
      <c r="N1071" s="4">
        <f>[1]伙伴成长!$F22</f>
        <v>24</v>
      </c>
      <c r="O1071" s="4">
        <f>[1]伙伴成长!$G22</f>
        <v>880</v>
      </c>
      <c r="P1071" s="4">
        <v>0</v>
      </c>
      <c r="Q1071" s="4">
        <f>[1]伙伴成长!$H22</f>
        <v>150</v>
      </c>
      <c r="R1071" s="4">
        <v>1.5</v>
      </c>
      <c r="S1071" s="4">
        <f>[1]伙伴成长!$I22</f>
        <v>25</v>
      </c>
      <c r="T1071" s="4">
        <v>0</v>
      </c>
      <c r="U1071" s="4">
        <v>0</v>
      </c>
      <c r="V1071" s="4">
        <v>0</v>
      </c>
      <c r="Y1071" s="4">
        <f>[1]伙伴成长!$J22</f>
        <v>388</v>
      </c>
      <c r="Z1071" s="4">
        <f>[1]伙伴成长!$E22</f>
        <v>92</v>
      </c>
      <c r="AA1071" s="4">
        <f>[1]伙伴成长!$F22</f>
        <v>24</v>
      </c>
      <c r="AB1071" s="4">
        <f>[1]伙伴成长!$G22</f>
        <v>880</v>
      </c>
      <c r="AC1071" s="4">
        <v>0</v>
      </c>
      <c r="AD1071" s="4">
        <f>[1]伙伴成长!$H22</f>
        <v>150</v>
      </c>
      <c r="AE1071" s="4">
        <v>1.5</v>
      </c>
      <c r="AF1071" s="4">
        <f>[1]伙伴成长!$I22</f>
        <v>25</v>
      </c>
      <c r="AG1071" s="4">
        <v>0</v>
      </c>
      <c r="AH1071" s="4">
        <v>0</v>
      </c>
      <c r="AI1071" s="4">
        <v>0</v>
      </c>
    </row>
    <row r="1072" spans="1:35" x14ac:dyDescent="0.15">
      <c r="A1072" s="4" t="s">
        <v>2662</v>
      </c>
      <c r="D1072" s="4">
        <v>301</v>
      </c>
      <c r="E1072" s="4">
        <v>22</v>
      </c>
      <c r="H1072" s="29">
        <v>1001</v>
      </c>
      <c r="I1072" s="4">
        <f>[1]伙伴成长!$J23</f>
        <v>401</v>
      </c>
      <c r="L1072" s="30">
        <v>800</v>
      </c>
      <c r="M1072" s="4">
        <f>[1]伙伴成长!$E23</f>
        <v>96</v>
      </c>
      <c r="N1072" s="4">
        <f>[1]伙伴成长!$F23</f>
        <v>25</v>
      </c>
      <c r="O1072" s="4">
        <f>[1]伙伴成长!$G23</f>
        <v>904</v>
      </c>
      <c r="P1072" s="4">
        <v>0</v>
      </c>
      <c r="Q1072" s="4">
        <f>[1]伙伴成长!$H23</f>
        <v>155</v>
      </c>
      <c r="R1072" s="4">
        <v>1.5</v>
      </c>
      <c r="S1072" s="4">
        <f>[1]伙伴成长!$I23</f>
        <v>26</v>
      </c>
      <c r="T1072" s="4">
        <v>0</v>
      </c>
      <c r="U1072" s="4">
        <v>0</v>
      </c>
      <c r="V1072" s="4">
        <v>0</v>
      </c>
      <c r="Y1072" s="4">
        <f>[1]伙伴成长!$J23</f>
        <v>401</v>
      </c>
      <c r="Z1072" s="4">
        <f>[1]伙伴成长!$E23</f>
        <v>96</v>
      </c>
      <c r="AA1072" s="4">
        <f>[1]伙伴成长!$F23</f>
        <v>25</v>
      </c>
      <c r="AB1072" s="4">
        <f>[1]伙伴成长!$G23</f>
        <v>904</v>
      </c>
      <c r="AC1072" s="4">
        <v>0</v>
      </c>
      <c r="AD1072" s="4">
        <f>[1]伙伴成长!$H23</f>
        <v>155</v>
      </c>
      <c r="AE1072" s="4">
        <v>1.5</v>
      </c>
      <c r="AF1072" s="4">
        <f>[1]伙伴成长!$I23</f>
        <v>26</v>
      </c>
      <c r="AG1072" s="4">
        <v>0</v>
      </c>
      <c r="AH1072" s="4">
        <v>0</v>
      </c>
      <c r="AI1072" s="4">
        <v>0</v>
      </c>
    </row>
    <row r="1073" spans="1:35" x14ac:dyDescent="0.15">
      <c r="A1073" s="4" t="s">
        <v>2662</v>
      </c>
      <c r="D1073" s="4">
        <v>301</v>
      </c>
      <c r="E1073" s="4">
        <v>23</v>
      </c>
      <c r="H1073" s="29">
        <v>1001</v>
      </c>
      <c r="I1073" s="4">
        <f>[1]伙伴成长!$J24</f>
        <v>415</v>
      </c>
      <c r="L1073" s="30">
        <v>800</v>
      </c>
      <c r="M1073" s="4">
        <f>[1]伙伴成长!$E24</f>
        <v>100</v>
      </c>
      <c r="N1073" s="4">
        <f>[1]伙伴成长!$F24</f>
        <v>26</v>
      </c>
      <c r="O1073" s="4">
        <f>[1]伙伴成长!$G24</f>
        <v>928</v>
      </c>
      <c r="P1073" s="4">
        <v>0</v>
      </c>
      <c r="Q1073" s="4">
        <f>[1]伙伴成长!$H24</f>
        <v>160</v>
      </c>
      <c r="R1073" s="4">
        <v>1.5</v>
      </c>
      <c r="S1073" s="4">
        <f>[1]伙伴成长!$I24</f>
        <v>27</v>
      </c>
      <c r="T1073" s="4">
        <v>0</v>
      </c>
      <c r="U1073" s="4">
        <v>0</v>
      </c>
      <c r="V1073" s="4">
        <v>0</v>
      </c>
      <c r="Y1073" s="4">
        <f>[1]伙伴成长!$J24</f>
        <v>415</v>
      </c>
      <c r="Z1073" s="4">
        <f>[1]伙伴成长!$E24</f>
        <v>100</v>
      </c>
      <c r="AA1073" s="4">
        <f>[1]伙伴成长!$F24</f>
        <v>26</v>
      </c>
      <c r="AB1073" s="4">
        <f>[1]伙伴成长!$G24</f>
        <v>928</v>
      </c>
      <c r="AC1073" s="4">
        <v>0</v>
      </c>
      <c r="AD1073" s="4">
        <f>[1]伙伴成长!$H24</f>
        <v>160</v>
      </c>
      <c r="AE1073" s="4">
        <v>1.5</v>
      </c>
      <c r="AF1073" s="4">
        <f>[1]伙伴成长!$I24</f>
        <v>27</v>
      </c>
      <c r="AG1073" s="4">
        <v>0</v>
      </c>
      <c r="AH1073" s="4">
        <v>0</v>
      </c>
      <c r="AI1073" s="4">
        <v>0</v>
      </c>
    </row>
    <row r="1074" spans="1:35" x14ac:dyDescent="0.15">
      <c r="A1074" s="4" t="s">
        <v>2662</v>
      </c>
      <c r="D1074" s="4">
        <v>301</v>
      </c>
      <c r="E1074" s="4">
        <v>24</v>
      </c>
      <c r="H1074" s="29">
        <v>1001</v>
      </c>
      <c r="I1074" s="4">
        <f>[1]伙伴成长!$J25</f>
        <v>429</v>
      </c>
      <c r="L1074" s="30">
        <v>800</v>
      </c>
      <c r="M1074" s="4">
        <f>[1]伙伴成长!$E25</f>
        <v>104</v>
      </c>
      <c r="N1074" s="4">
        <f>[1]伙伴成长!$F25</f>
        <v>27</v>
      </c>
      <c r="O1074" s="4">
        <f>[1]伙伴成长!$G25</f>
        <v>952</v>
      </c>
      <c r="P1074" s="4">
        <v>0</v>
      </c>
      <c r="Q1074" s="4">
        <f>[1]伙伴成长!$H25</f>
        <v>165</v>
      </c>
      <c r="R1074" s="4">
        <v>1.5</v>
      </c>
      <c r="S1074" s="4">
        <f>[1]伙伴成长!$I25</f>
        <v>28</v>
      </c>
      <c r="T1074" s="4">
        <v>0</v>
      </c>
      <c r="U1074" s="4">
        <v>0</v>
      </c>
      <c r="V1074" s="4">
        <v>0</v>
      </c>
      <c r="Y1074" s="4">
        <f>[1]伙伴成长!$J25</f>
        <v>429</v>
      </c>
      <c r="Z1074" s="4">
        <f>[1]伙伴成长!$E25</f>
        <v>104</v>
      </c>
      <c r="AA1074" s="4">
        <f>[1]伙伴成长!$F25</f>
        <v>27</v>
      </c>
      <c r="AB1074" s="4">
        <f>[1]伙伴成长!$G25</f>
        <v>952</v>
      </c>
      <c r="AC1074" s="4">
        <v>0</v>
      </c>
      <c r="AD1074" s="4">
        <f>[1]伙伴成长!$H25</f>
        <v>165</v>
      </c>
      <c r="AE1074" s="4">
        <v>1.5</v>
      </c>
      <c r="AF1074" s="4">
        <f>[1]伙伴成长!$I25</f>
        <v>28</v>
      </c>
      <c r="AG1074" s="4">
        <v>0</v>
      </c>
      <c r="AH1074" s="4">
        <v>0</v>
      </c>
      <c r="AI1074" s="4">
        <v>0</v>
      </c>
    </row>
    <row r="1075" spans="1:35" x14ac:dyDescent="0.15">
      <c r="A1075" s="4" t="s">
        <v>2662</v>
      </c>
      <c r="D1075" s="4">
        <v>301</v>
      </c>
      <c r="E1075" s="4">
        <v>25</v>
      </c>
      <c r="H1075" s="29">
        <v>1001</v>
      </c>
      <c r="I1075" s="4">
        <f>[1]伙伴成长!$J26</f>
        <v>443</v>
      </c>
      <c r="L1075" s="30">
        <v>800</v>
      </c>
      <c r="M1075" s="4">
        <f>[1]伙伴成长!$E26</f>
        <v>108</v>
      </c>
      <c r="N1075" s="4">
        <f>[1]伙伴成长!$F26</f>
        <v>28</v>
      </c>
      <c r="O1075" s="4">
        <f>[1]伙伴成长!$G26</f>
        <v>976</v>
      </c>
      <c r="P1075" s="4">
        <v>0</v>
      </c>
      <c r="Q1075" s="4">
        <f>[1]伙伴成长!$H26</f>
        <v>170</v>
      </c>
      <c r="R1075" s="4">
        <v>1.5</v>
      </c>
      <c r="S1075" s="4">
        <f>[1]伙伴成长!$I26</f>
        <v>29</v>
      </c>
      <c r="T1075" s="4">
        <v>0</v>
      </c>
      <c r="U1075" s="4">
        <v>0</v>
      </c>
      <c r="V1075" s="4">
        <v>0</v>
      </c>
      <c r="Y1075" s="4">
        <f>[1]伙伴成长!$J26</f>
        <v>443</v>
      </c>
      <c r="Z1075" s="4">
        <f>[1]伙伴成长!$E26</f>
        <v>108</v>
      </c>
      <c r="AA1075" s="4">
        <f>[1]伙伴成长!$F26</f>
        <v>28</v>
      </c>
      <c r="AB1075" s="4">
        <f>[1]伙伴成长!$G26</f>
        <v>976</v>
      </c>
      <c r="AC1075" s="4">
        <v>0</v>
      </c>
      <c r="AD1075" s="4">
        <f>[1]伙伴成长!$H26</f>
        <v>170</v>
      </c>
      <c r="AE1075" s="4">
        <v>1.5</v>
      </c>
      <c r="AF1075" s="4">
        <f>[1]伙伴成长!$I26</f>
        <v>29</v>
      </c>
      <c r="AG1075" s="4">
        <v>0</v>
      </c>
      <c r="AH1075" s="4">
        <v>0</v>
      </c>
      <c r="AI1075" s="4">
        <v>0</v>
      </c>
    </row>
    <row r="1076" spans="1:35" x14ac:dyDescent="0.15">
      <c r="A1076" s="4" t="s">
        <v>2662</v>
      </c>
      <c r="D1076" s="4">
        <v>301</v>
      </c>
      <c r="E1076" s="4">
        <v>26</v>
      </c>
      <c r="H1076" s="29">
        <v>1001</v>
      </c>
      <c r="I1076" s="4">
        <f>[1]伙伴成长!$J27</f>
        <v>457</v>
      </c>
      <c r="L1076" s="30">
        <v>800</v>
      </c>
      <c r="M1076" s="4">
        <f>[1]伙伴成长!$E27</f>
        <v>112</v>
      </c>
      <c r="N1076" s="4">
        <f>[1]伙伴成长!$F27</f>
        <v>29</v>
      </c>
      <c r="O1076" s="4">
        <f>[1]伙伴成长!$G27</f>
        <v>1000</v>
      </c>
      <c r="P1076" s="4">
        <v>0</v>
      </c>
      <c r="Q1076" s="4">
        <f>[1]伙伴成长!$H27</f>
        <v>175</v>
      </c>
      <c r="R1076" s="4">
        <v>1.5</v>
      </c>
      <c r="S1076" s="4">
        <f>[1]伙伴成长!$I27</f>
        <v>30</v>
      </c>
      <c r="T1076" s="4">
        <v>0</v>
      </c>
      <c r="U1076" s="4">
        <v>0</v>
      </c>
      <c r="V1076" s="4">
        <v>0</v>
      </c>
      <c r="Y1076" s="4">
        <f>[1]伙伴成长!$J27</f>
        <v>457</v>
      </c>
      <c r="Z1076" s="4">
        <f>[1]伙伴成长!$E27</f>
        <v>112</v>
      </c>
      <c r="AA1076" s="4">
        <f>[1]伙伴成长!$F27</f>
        <v>29</v>
      </c>
      <c r="AB1076" s="4">
        <f>[1]伙伴成长!$G27</f>
        <v>1000</v>
      </c>
      <c r="AC1076" s="4">
        <v>0</v>
      </c>
      <c r="AD1076" s="4">
        <f>[1]伙伴成长!$H27</f>
        <v>175</v>
      </c>
      <c r="AE1076" s="4">
        <v>1.5</v>
      </c>
      <c r="AF1076" s="4">
        <f>[1]伙伴成长!$I27</f>
        <v>30</v>
      </c>
      <c r="AG1076" s="4">
        <v>0</v>
      </c>
      <c r="AH1076" s="4">
        <v>0</v>
      </c>
      <c r="AI1076" s="4">
        <v>0</v>
      </c>
    </row>
    <row r="1077" spans="1:35" x14ac:dyDescent="0.15">
      <c r="A1077" s="4" t="s">
        <v>2662</v>
      </c>
      <c r="D1077" s="4">
        <v>301</v>
      </c>
      <c r="E1077" s="4">
        <v>27</v>
      </c>
      <c r="H1077" s="29">
        <v>1001</v>
      </c>
      <c r="I1077" s="4">
        <f>[1]伙伴成长!$J28</f>
        <v>471</v>
      </c>
      <c r="L1077" s="30">
        <v>800</v>
      </c>
      <c r="M1077" s="4">
        <f>[1]伙伴成长!$E28</f>
        <v>116</v>
      </c>
      <c r="N1077" s="4">
        <f>[1]伙伴成长!$F28</f>
        <v>30</v>
      </c>
      <c r="O1077" s="4">
        <f>[1]伙伴成长!$G28</f>
        <v>1024</v>
      </c>
      <c r="P1077" s="4">
        <v>0</v>
      </c>
      <c r="Q1077" s="4">
        <f>[1]伙伴成长!$H28</f>
        <v>180</v>
      </c>
      <c r="R1077" s="4">
        <v>1.5</v>
      </c>
      <c r="S1077" s="4">
        <f>[1]伙伴成长!$I28</f>
        <v>31</v>
      </c>
      <c r="T1077" s="4">
        <v>0</v>
      </c>
      <c r="U1077" s="4">
        <v>0</v>
      </c>
      <c r="V1077" s="4">
        <v>0</v>
      </c>
      <c r="Y1077" s="4">
        <f>[1]伙伴成长!$J28</f>
        <v>471</v>
      </c>
      <c r="Z1077" s="4">
        <f>[1]伙伴成长!$E28</f>
        <v>116</v>
      </c>
      <c r="AA1077" s="4">
        <f>[1]伙伴成长!$F28</f>
        <v>30</v>
      </c>
      <c r="AB1077" s="4">
        <f>[1]伙伴成长!$G28</f>
        <v>1024</v>
      </c>
      <c r="AC1077" s="4">
        <v>0</v>
      </c>
      <c r="AD1077" s="4">
        <f>[1]伙伴成长!$H28</f>
        <v>180</v>
      </c>
      <c r="AE1077" s="4">
        <v>1.5</v>
      </c>
      <c r="AF1077" s="4">
        <f>[1]伙伴成长!$I28</f>
        <v>31</v>
      </c>
      <c r="AG1077" s="4">
        <v>0</v>
      </c>
      <c r="AH1077" s="4">
        <v>0</v>
      </c>
      <c r="AI1077" s="4">
        <v>0</v>
      </c>
    </row>
    <row r="1078" spans="1:35" x14ac:dyDescent="0.15">
      <c r="A1078" s="4" t="s">
        <v>2662</v>
      </c>
      <c r="D1078" s="4">
        <v>301</v>
      </c>
      <c r="E1078" s="4">
        <v>28</v>
      </c>
      <c r="H1078" s="29">
        <v>1001</v>
      </c>
      <c r="I1078" s="4">
        <f>[1]伙伴成长!$J29</f>
        <v>485</v>
      </c>
      <c r="L1078" s="30">
        <v>800</v>
      </c>
      <c r="M1078" s="4">
        <f>[1]伙伴成长!$E29</f>
        <v>120</v>
      </c>
      <c r="N1078" s="4">
        <f>[1]伙伴成长!$F29</f>
        <v>31</v>
      </c>
      <c r="O1078" s="4">
        <f>[1]伙伴成长!$G29</f>
        <v>1048</v>
      </c>
      <c r="P1078" s="4">
        <v>0</v>
      </c>
      <c r="Q1078" s="4">
        <f>[1]伙伴成长!$H29</f>
        <v>185</v>
      </c>
      <c r="R1078" s="4">
        <v>1.5</v>
      </c>
      <c r="S1078" s="4">
        <f>[1]伙伴成长!$I29</f>
        <v>32</v>
      </c>
      <c r="T1078" s="4">
        <v>0</v>
      </c>
      <c r="U1078" s="4">
        <v>0</v>
      </c>
      <c r="V1078" s="4">
        <v>0</v>
      </c>
      <c r="Y1078" s="4">
        <f>[1]伙伴成长!$J29</f>
        <v>485</v>
      </c>
      <c r="Z1078" s="4">
        <f>[1]伙伴成长!$E29</f>
        <v>120</v>
      </c>
      <c r="AA1078" s="4">
        <f>[1]伙伴成长!$F29</f>
        <v>31</v>
      </c>
      <c r="AB1078" s="4">
        <f>[1]伙伴成长!$G29</f>
        <v>1048</v>
      </c>
      <c r="AC1078" s="4">
        <v>0</v>
      </c>
      <c r="AD1078" s="4">
        <f>[1]伙伴成长!$H29</f>
        <v>185</v>
      </c>
      <c r="AE1078" s="4">
        <v>1.5</v>
      </c>
      <c r="AF1078" s="4">
        <f>[1]伙伴成长!$I29</f>
        <v>32</v>
      </c>
      <c r="AG1078" s="4">
        <v>0</v>
      </c>
      <c r="AH1078" s="4">
        <v>0</v>
      </c>
      <c r="AI1078" s="4">
        <v>0</v>
      </c>
    </row>
    <row r="1079" spans="1:35" x14ac:dyDescent="0.15">
      <c r="A1079" s="4" t="s">
        <v>2662</v>
      </c>
      <c r="D1079" s="4">
        <v>301</v>
      </c>
      <c r="E1079" s="4">
        <v>29</v>
      </c>
      <c r="H1079" s="29">
        <v>1001</v>
      </c>
      <c r="I1079" s="4">
        <f>[1]伙伴成长!$J30</f>
        <v>499</v>
      </c>
      <c r="L1079" s="30">
        <v>800</v>
      </c>
      <c r="M1079" s="4">
        <f>[1]伙伴成长!$E30</f>
        <v>124</v>
      </c>
      <c r="N1079" s="4">
        <f>[1]伙伴成长!$F30</f>
        <v>32</v>
      </c>
      <c r="O1079" s="4">
        <f>[1]伙伴成长!$G30</f>
        <v>1072</v>
      </c>
      <c r="P1079" s="4">
        <v>0</v>
      </c>
      <c r="Q1079" s="4">
        <f>[1]伙伴成长!$H30</f>
        <v>190</v>
      </c>
      <c r="R1079" s="4">
        <v>1.5</v>
      </c>
      <c r="S1079" s="4">
        <f>[1]伙伴成长!$I30</f>
        <v>33</v>
      </c>
      <c r="T1079" s="4">
        <v>0</v>
      </c>
      <c r="U1079" s="4">
        <v>0</v>
      </c>
      <c r="V1079" s="4">
        <v>0</v>
      </c>
      <c r="Y1079" s="4">
        <f>[1]伙伴成长!$J30</f>
        <v>499</v>
      </c>
      <c r="Z1079" s="4">
        <f>[1]伙伴成长!$E30</f>
        <v>124</v>
      </c>
      <c r="AA1079" s="4">
        <f>[1]伙伴成长!$F30</f>
        <v>32</v>
      </c>
      <c r="AB1079" s="4">
        <f>[1]伙伴成长!$G30</f>
        <v>1072</v>
      </c>
      <c r="AC1079" s="4">
        <v>0</v>
      </c>
      <c r="AD1079" s="4">
        <f>[1]伙伴成长!$H30</f>
        <v>190</v>
      </c>
      <c r="AE1079" s="4">
        <v>1.5</v>
      </c>
      <c r="AF1079" s="4">
        <f>[1]伙伴成长!$I30</f>
        <v>33</v>
      </c>
      <c r="AG1079" s="4">
        <v>0</v>
      </c>
      <c r="AH1079" s="4">
        <v>0</v>
      </c>
      <c r="AI1079" s="4">
        <v>0</v>
      </c>
    </row>
    <row r="1080" spans="1:35" x14ac:dyDescent="0.15">
      <c r="A1080" s="4" t="s">
        <v>2662</v>
      </c>
      <c r="D1080" s="4">
        <v>301</v>
      </c>
      <c r="E1080" s="4">
        <v>30</v>
      </c>
      <c r="H1080" s="29">
        <v>1001</v>
      </c>
      <c r="I1080" s="4">
        <f>[1]伙伴成长!$J31</f>
        <v>513</v>
      </c>
      <c r="L1080" s="30">
        <v>800</v>
      </c>
      <c r="M1080" s="4">
        <f>[1]伙伴成长!$E31</f>
        <v>128</v>
      </c>
      <c r="N1080" s="4">
        <f>[1]伙伴成长!$F31</f>
        <v>33</v>
      </c>
      <c r="O1080" s="4">
        <f>[1]伙伴成长!$G31</f>
        <v>1096</v>
      </c>
      <c r="P1080" s="4">
        <v>0</v>
      </c>
      <c r="Q1080" s="4">
        <f>[1]伙伴成长!$H31</f>
        <v>195</v>
      </c>
      <c r="R1080" s="4">
        <v>1.5</v>
      </c>
      <c r="S1080" s="4">
        <f>[1]伙伴成长!$I31</f>
        <v>34</v>
      </c>
      <c r="T1080" s="4">
        <v>0</v>
      </c>
      <c r="U1080" s="4">
        <v>0</v>
      </c>
      <c r="V1080" s="4">
        <v>0</v>
      </c>
      <c r="Y1080" s="4">
        <f>[1]伙伴成长!$J31</f>
        <v>513</v>
      </c>
      <c r="Z1080" s="4">
        <f>[1]伙伴成长!$E31</f>
        <v>128</v>
      </c>
      <c r="AA1080" s="4">
        <f>[1]伙伴成长!$F31</f>
        <v>33</v>
      </c>
      <c r="AB1080" s="4">
        <f>[1]伙伴成长!$G31</f>
        <v>1096</v>
      </c>
      <c r="AC1080" s="4">
        <v>0</v>
      </c>
      <c r="AD1080" s="4">
        <f>[1]伙伴成长!$H31</f>
        <v>195</v>
      </c>
      <c r="AE1080" s="4">
        <v>1.5</v>
      </c>
      <c r="AF1080" s="4">
        <f>[1]伙伴成长!$I31</f>
        <v>34</v>
      </c>
      <c r="AG1080" s="4">
        <v>0</v>
      </c>
      <c r="AH1080" s="4">
        <v>0</v>
      </c>
      <c r="AI1080" s="4">
        <v>0</v>
      </c>
    </row>
    <row r="1081" spans="1:35" x14ac:dyDescent="0.15">
      <c r="A1081" s="4" t="s">
        <v>2662</v>
      </c>
      <c r="D1081" s="4">
        <v>301</v>
      </c>
      <c r="E1081" s="4">
        <v>31</v>
      </c>
      <c r="H1081" s="29">
        <v>1001</v>
      </c>
      <c r="I1081" s="4">
        <f>[1]伙伴成长!$J32</f>
        <v>527</v>
      </c>
      <c r="L1081" s="30">
        <v>800</v>
      </c>
      <c r="M1081" s="4">
        <f>[1]伙伴成长!$E32</f>
        <v>132</v>
      </c>
      <c r="N1081" s="4">
        <f>[1]伙伴成长!$F32</f>
        <v>34</v>
      </c>
      <c r="O1081" s="4">
        <f>[1]伙伴成长!$G32</f>
        <v>1120</v>
      </c>
      <c r="P1081" s="4">
        <v>0</v>
      </c>
      <c r="Q1081" s="4">
        <f>[1]伙伴成长!$H32</f>
        <v>200</v>
      </c>
      <c r="R1081" s="4">
        <v>1.5</v>
      </c>
      <c r="S1081" s="4">
        <f>[1]伙伴成长!$I32</f>
        <v>35</v>
      </c>
      <c r="T1081" s="4">
        <v>0</v>
      </c>
      <c r="U1081" s="4">
        <v>0</v>
      </c>
      <c r="V1081" s="4">
        <v>0</v>
      </c>
      <c r="Y1081" s="4">
        <f>[1]伙伴成长!$J32</f>
        <v>527</v>
      </c>
      <c r="Z1081" s="4">
        <f>[1]伙伴成长!$E32</f>
        <v>132</v>
      </c>
      <c r="AA1081" s="4">
        <f>[1]伙伴成长!$F32</f>
        <v>34</v>
      </c>
      <c r="AB1081" s="4">
        <f>[1]伙伴成长!$G32</f>
        <v>1120</v>
      </c>
      <c r="AC1081" s="4">
        <v>0</v>
      </c>
      <c r="AD1081" s="4">
        <f>[1]伙伴成长!$H32</f>
        <v>200</v>
      </c>
      <c r="AE1081" s="4">
        <v>1.5</v>
      </c>
      <c r="AF1081" s="4">
        <f>[1]伙伴成长!$I32</f>
        <v>35</v>
      </c>
      <c r="AG1081" s="4">
        <v>0</v>
      </c>
      <c r="AH1081" s="4">
        <v>0</v>
      </c>
      <c r="AI1081" s="4">
        <v>0</v>
      </c>
    </row>
    <row r="1082" spans="1:35" x14ac:dyDescent="0.15">
      <c r="A1082" s="4" t="s">
        <v>2662</v>
      </c>
      <c r="D1082" s="4">
        <v>301</v>
      </c>
      <c r="E1082" s="4">
        <v>32</v>
      </c>
      <c r="H1082" s="29">
        <v>1001</v>
      </c>
      <c r="I1082" s="4">
        <f>[1]伙伴成长!$J33</f>
        <v>540</v>
      </c>
      <c r="L1082" s="30">
        <v>800</v>
      </c>
      <c r="M1082" s="4">
        <f>[1]伙伴成长!$E33</f>
        <v>136</v>
      </c>
      <c r="N1082" s="4">
        <f>[1]伙伴成长!$F33</f>
        <v>35</v>
      </c>
      <c r="O1082" s="4">
        <f>[1]伙伴成长!$G33</f>
        <v>1144</v>
      </c>
      <c r="P1082" s="4">
        <v>0</v>
      </c>
      <c r="Q1082" s="4">
        <f>[1]伙伴成长!$H33</f>
        <v>205</v>
      </c>
      <c r="R1082" s="4">
        <v>1.5</v>
      </c>
      <c r="S1082" s="4">
        <f>[1]伙伴成长!$I33</f>
        <v>36</v>
      </c>
      <c r="T1082" s="4">
        <v>0</v>
      </c>
      <c r="U1082" s="4">
        <v>0</v>
      </c>
      <c r="V1082" s="4">
        <v>0</v>
      </c>
      <c r="Y1082" s="4">
        <f>[1]伙伴成长!$J33</f>
        <v>540</v>
      </c>
      <c r="Z1082" s="4">
        <f>[1]伙伴成长!$E33</f>
        <v>136</v>
      </c>
      <c r="AA1082" s="4">
        <f>[1]伙伴成长!$F33</f>
        <v>35</v>
      </c>
      <c r="AB1082" s="4">
        <f>[1]伙伴成长!$G33</f>
        <v>1144</v>
      </c>
      <c r="AC1082" s="4">
        <v>0</v>
      </c>
      <c r="AD1082" s="4">
        <f>[1]伙伴成长!$H33</f>
        <v>205</v>
      </c>
      <c r="AE1082" s="4">
        <v>1.5</v>
      </c>
      <c r="AF1082" s="4">
        <f>[1]伙伴成长!$I33</f>
        <v>36</v>
      </c>
      <c r="AG1082" s="4">
        <v>0</v>
      </c>
      <c r="AH1082" s="4">
        <v>0</v>
      </c>
      <c r="AI1082" s="4">
        <v>0</v>
      </c>
    </row>
    <row r="1083" spans="1:35" x14ac:dyDescent="0.15">
      <c r="A1083" s="4" t="s">
        <v>2662</v>
      </c>
      <c r="D1083" s="4">
        <v>301</v>
      </c>
      <c r="E1083" s="4">
        <v>33</v>
      </c>
      <c r="H1083" s="29">
        <v>1001</v>
      </c>
      <c r="I1083" s="4">
        <f>[1]伙伴成长!$J34</f>
        <v>554</v>
      </c>
      <c r="L1083" s="30">
        <v>800</v>
      </c>
      <c r="M1083" s="4">
        <f>[1]伙伴成长!$E34</f>
        <v>140</v>
      </c>
      <c r="N1083" s="4">
        <f>[1]伙伴成长!$F34</f>
        <v>36</v>
      </c>
      <c r="O1083" s="4">
        <f>[1]伙伴成长!$G34</f>
        <v>1168</v>
      </c>
      <c r="P1083" s="4">
        <v>0</v>
      </c>
      <c r="Q1083" s="4">
        <f>[1]伙伴成长!$H34</f>
        <v>210</v>
      </c>
      <c r="R1083" s="4">
        <v>1.5</v>
      </c>
      <c r="S1083" s="4">
        <f>[1]伙伴成长!$I34</f>
        <v>37</v>
      </c>
      <c r="T1083" s="4">
        <v>0</v>
      </c>
      <c r="U1083" s="4">
        <v>0</v>
      </c>
      <c r="V1083" s="4">
        <v>0</v>
      </c>
      <c r="Y1083" s="4">
        <f>[1]伙伴成长!$J34</f>
        <v>554</v>
      </c>
      <c r="Z1083" s="4">
        <f>[1]伙伴成长!$E34</f>
        <v>140</v>
      </c>
      <c r="AA1083" s="4">
        <f>[1]伙伴成长!$F34</f>
        <v>36</v>
      </c>
      <c r="AB1083" s="4">
        <f>[1]伙伴成长!$G34</f>
        <v>1168</v>
      </c>
      <c r="AC1083" s="4">
        <v>0</v>
      </c>
      <c r="AD1083" s="4">
        <f>[1]伙伴成长!$H34</f>
        <v>210</v>
      </c>
      <c r="AE1083" s="4">
        <v>1.5</v>
      </c>
      <c r="AF1083" s="4">
        <f>[1]伙伴成长!$I34</f>
        <v>37</v>
      </c>
      <c r="AG1083" s="4">
        <v>0</v>
      </c>
      <c r="AH1083" s="4">
        <v>0</v>
      </c>
      <c r="AI1083" s="4">
        <v>0</v>
      </c>
    </row>
    <row r="1084" spans="1:35" x14ac:dyDescent="0.15">
      <c r="A1084" s="4" t="s">
        <v>2662</v>
      </c>
      <c r="D1084" s="4">
        <v>301</v>
      </c>
      <c r="E1084" s="4">
        <v>34</v>
      </c>
      <c r="H1084" s="29">
        <v>1001</v>
      </c>
      <c r="I1084" s="4">
        <f>[1]伙伴成长!$J35</f>
        <v>568</v>
      </c>
      <c r="L1084" s="30">
        <v>800</v>
      </c>
      <c r="M1084" s="4">
        <f>[1]伙伴成长!$E35</f>
        <v>144</v>
      </c>
      <c r="N1084" s="4">
        <f>[1]伙伴成长!$F35</f>
        <v>37</v>
      </c>
      <c r="O1084" s="4">
        <f>[1]伙伴成长!$G35</f>
        <v>1192</v>
      </c>
      <c r="P1084" s="4">
        <v>0</v>
      </c>
      <c r="Q1084" s="4">
        <f>[1]伙伴成长!$H35</f>
        <v>215</v>
      </c>
      <c r="R1084" s="4">
        <v>1.5</v>
      </c>
      <c r="S1084" s="4">
        <f>[1]伙伴成长!$I35</f>
        <v>38</v>
      </c>
      <c r="T1084" s="4">
        <v>0</v>
      </c>
      <c r="U1084" s="4">
        <v>0</v>
      </c>
      <c r="V1084" s="4">
        <v>0</v>
      </c>
      <c r="Y1084" s="4">
        <f>[1]伙伴成长!$J35</f>
        <v>568</v>
      </c>
      <c r="Z1084" s="4">
        <f>[1]伙伴成长!$E35</f>
        <v>144</v>
      </c>
      <c r="AA1084" s="4">
        <f>[1]伙伴成长!$F35</f>
        <v>37</v>
      </c>
      <c r="AB1084" s="4">
        <f>[1]伙伴成长!$G35</f>
        <v>1192</v>
      </c>
      <c r="AC1084" s="4">
        <v>0</v>
      </c>
      <c r="AD1084" s="4">
        <f>[1]伙伴成长!$H35</f>
        <v>215</v>
      </c>
      <c r="AE1084" s="4">
        <v>1.5</v>
      </c>
      <c r="AF1084" s="4">
        <f>[1]伙伴成长!$I35</f>
        <v>38</v>
      </c>
      <c r="AG1084" s="4">
        <v>0</v>
      </c>
      <c r="AH1084" s="4">
        <v>0</v>
      </c>
      <c r="AI1084" s="4">
        <v>0</v>
      </c>
    </row>
    <row r="1085" spans="1:35" x14ac:dyDescent="0.15">
      <c r="A1085" s="4" t="s">
        <v>2662</v>
      </c>
      <c r="D1085" s="4">
        <v>301</v>
      </c>
      <c r="E1085" s="4">
        <v>35</v>
      </c>
      <c r="H1085" s="29">
        <v>1001</v>
      </c>
      <c r="I1085" s="4">
        <f>[1]伙伴成长!$J36</f>
        <v>582</v>
      </c>
      <c r="L1085" s="30">
        <v>800</v>
      </c>
      <c r="M1085" s="4">
        <f>[1]伙伴成长!$E36</f>
        <v>148</v>
      </c>
      <c r="N1085" s="4">
        <f>[1]伙伴成长!$F36</f>
        <v>38</v>
      </c>
      <c r="O1085" s="4">
        <f>[1]伙伴成长!$G36</f>
        <v>1216</v>
      </c>
      <c r="P1085" s="4">
        <v>0</v>
      </c>
      <c r="Q1085" s="4">
        <f>[1]伙伴成长!$H36</f>
        <v>220</v>
      </c>
      <c r="R1085" s="4">
        <v>1.5</v>
      </c>
      <c r="S1085" s="4">
        <f>[1]伙伴成长!$I36</f>
        <v>39</v>
      </c>
      <c r="T1085" s="4">
        <v>0</v>
      </c>
      <c r="U1085" s="4">
        <v>0</v>
      </c>
      <c r="V1085" s="4">
        <v>0</v>
      </c>
      <c r="Y1085" s="4">
        <f>[1]伙伴成长!$J36</f>
        <v>582</v>
      </c>
      <c r="Z1085" s="4">
        <f>[1]伙伴成长!$E36</f>
        <v>148</v>
      </c>
      <c r="AA1085" s="4">
        <f>[1]伙伴成长!$F36</f>
        <v>38</v>
      </c>
      <c r="AB1085" s="4">
        <f>[1]伙伴成长!$G36</f>
        <v>1216</v>
      </c>
      <c r="AC1085" s="4">
        <v>0</v>
      </c>
      <c r="AD1085" s="4">
        <f>[1]伙伴成长!$H36</f>
        <v>220</v>
      </c>
      <c r="AE1085" s="4">
        <v>1.5</v>
      </c>
      <c r="AF1085" s="4">
        <f>[1]伙伴成长!$I36</f>
        <v>39</v>
      </c>
      <c r="AG1085" s="4">
        <v>0</v>
      </c>
      <c r="AH1085" s="4">
        <v>0</v>
      </c>
      <c r="AI1085" s="4">
        <v>0</v>
      </c>
    </row>
    <row r="1086" spans="1:35" x14ac:dyDescent="0.15">
      <c r="A1086" s="4" t="s">
        <v>2662</v>
      </c>
      <c r="D1086" s="4">
        <v>301</v>
      </c>
      <c r="E1086" s="4">
        <v>36</v>
      </c>
      <c r="H1086" s="29">
        <v>1001</v>
      </c>
      <c r="I1086" s="4">
        <f>[1]伙伴成长!$J37</f>
        <v>596</v>
      </c>
      <c r="L1086" s="30">
        <v>800</v>
      </c>
      <c r="M1086" s="4">
        <f>[1]伙伴成长!$E37</f>
        <v>152</v>
      </c>
      <c r="N1086" s="4">
        <f>[1]伙伴成长!$F37</f>
        <v>39</v>
      </c>
      <c r="O1086" s="4">
        <f>[1]伙伴成长!$G37</f>
        <v>1240</v>
      </c>
      <c r="P1086" s="4">
        <v>0</v>
      </c>
      <c r="Q1086" s="4">
        <f>[1]伙伴成长!$H37</f>
        <v>225</v>
      </c>
      <c r="R1086" s="4">
        <v>1.5</v>
      </c>
      <c r="S1086" s="4">
        <f>[1]伙伴成长!$I37</f>
        <v>40</v>
      </c>
      <c r="T1086" s="4">
        <v>0</v>
      </c>
      <c r="U1086" s="4">
        <v>0</v>
      </c>
      <c r="V1086" s="4">
        <v>0</v>
      </c>
      <c r="Y1086" s="4">
        <f>[1]伙伴成长!$J37</f>
        <v>596</v>
      </c>
      <c r="Z1086" s="4">
        <f>[1]伙伴成长!$E37</f>
        <v>152</v>
      </c>
      <c r="AA1086" s="4">
        <f>[1]伙伴成长!$F37</f>
        <v>39</v>
      </c>
      <c r="AB1086" s="4">
        <f>[1]伙伴成长!$G37</f>
        <v>1240</v>
      </c>
      <c r="AC1086" s="4">
        <v>0</v>
      </c>
      <c r="AD1086" s="4">
        <f>[1]伙伴成长!$H37</f>
        <v>225</v>
      </c>
      <c r="AE1086" s="4">
        <v>1.5</v>
      </c>
      <c r="AF1086" s="4">
        <f>[1]伙伴成长!$I37</f>
        <v>40</v>
      </c>
      <c r="AG1086" s="4">
        <v>0</v>
      </c>
      <c r="AH1086" s="4">
        <v>0</v>
      </c>
      <c r="AI1086" s="4">
        <v>0</v>
      </c>
    </row>
    <row r="1087" spans="1:35" x14ac:dyDescent="0.15">
      <c r="A1087" s="4" t="s">
        <v>2662</v>
      </c>
      <c r="D1087" s="4">
        <v>301</v>
      </c>
      <c r="E1087" s="4">
        <v>37</v>
      </c>
      <c r="H1087" s="29">
        <v>1001</v>
      </c>
      <c r="I1087" s="4">
        <f>[1]伙伴成长!$J38</f>
        <v>610</v>
      </c>
      <c r="L1087" s="30">
        <v>800</v>
      </c>
      <c r="M1087" s="4">
        <f>[1]伙伴成长!$E38</f>
        <v>156</v>
      </c>
      <c r="N1087" s="4">
        <f>[1]伙伴成长!$F38</f>
        <v>40</v>
      </c>
      <c r="O1087" s="4">
        <f>[1]伙伴成长!$G38</f>
        <v>1264</v>
      </c>
      <c r="P1087" s="4">
        <v>0</v>
      </c>
      <c r="Q1087" s="4">
        <f>[1]伙伴成长!$H38</f>
        <v>230</v>
      </c>
      <c r="R1087" s="4">
        <v>1.5</v>
      </c>
      <c r="S1087" s="4">
        <f>[1]伙伴成长!$I38</f>
        <v>41</v>
      </c>
      <c r="T1087" s="4">
        <v>0</v>
      </c>
      <c r="U1087" s="4">
        <v>0</v>
      </c>
      <c r="V1087" s="4">
        <v>0</v>
      </c>
      <c r="Y1087" s="4">
        <f>[1]伙伴成长!$J38</f>
        <v>610</v>
      </c>
      <c r="Z1087" s="4">
        <f>[1]伙伴成长!$E38</f>
        <v>156</v>
      </c>
      <c r="AA1087" s="4">
        <f>[1]伙伴成长!$F38</f>
        <v>40</v>
      </c>
      <c r="AB1087" s="4">
        <f>[1]伙伴成长!$G38</f>
        <v>1264</v>
      </c>
      <c r="AC1087" s="4">
        <v>0</v>
      </c>
      <c r="AD1087" s="4">
        <f>[1]伙伴成长!$H38</f>
        <v>230</v>
      </c>
      <c r="AE1087" s="4">
        <v>1.5</v>
      </c>
      <c r="AF1087" s="4">
        <f>[1]伙伴成长!$I38</f>
        <v>41</v>
      </c>
      <c r="AG1087" s="4">
        <v>0</v>
      </c>
      <c r="AH1087" s="4">
        <v>0</v>
      </c>
      <c r="AI1087" s="4">
        <v>0</v>
      </c>
    </row>
    <row r="1088" spans="1:35" x14ac:dyDescent="0.15">
      <c r="A1088" s="4" t="s">
        <v>2662</v>
      </c>
      <c r="D1088" s="4">
        <v>301</v>
      </c>
      <c r="E1088" s="4">
        <v>38</v>
      </c>
      <c r="H1088" s="29">
        <v>1001</v>
      </c>
      <c r="I1088" s="4">
        <f>[1]伙伴成长!$J39</f>
        <v>624</v>
      </c>
      <c r="L1088" s="30">
        <v>800</v>
      </c>
      <c r="M1088" s="4">
        <f>[1]伙伴成长!$E39</f>
        <v>160</v>
      </c>
      <c r="N1088" s="4">
        <f>[1]伙伴成长!$F39</f>
        <v>41</v>
      </c>
      <c r="O1088" s="4">
        <f>[1]伙伴成长!$G39</f>
        <v>1288</v>
      </c>
      <c r="P1088" s="4">
        <v>0</v>
      </c>
      <c r="Q1088" s="4">
        <f>[1]伙伴成长!$H39</f>
        <v>235</v>
      </c>
      <c r="R1088" s="4">
        <v>1.5</v>
      </c>
      <c r="S1088" s="4">
        <f>[1]伙伴成长!$I39</f>
        <v>42</v>
      </c>
      <c r="T1088" s="4">
        <v>0</v>
      </c>
      <c r="U1088" s="4">
        <v>0</v>
      </c>
      <c r="V1088" s="4">
        <v>0</v>
      </c>
      <c r="Y1088" s="4">
        <f>[1]伙伴成长!$J39</f>
        <v>624</v>
      </c>
      <c r="Z1088" s="4">
        <f>[1]伙伴成长!$E39</f>
        <v>160</v>
      </c>
      <c r="AA1088" s="4">
        <f>[1]伙伴成长!$F39</f>
        <v>41</v>
      </c>
      <c r="AB1088" s="4">
        <f>[1]伙伴成长!$G39</f>
        <v>1288</v>
      </c>
      <c r="AC1088" s="4">
        <v>0</v>
      </c>
      <c r="AD1088" s="4">
        <f>[1]伙伴成长!$H39</f>
        <v>235</v>
      </c>
      <c r="AE1088" s="4">
        <v>1.5</v>
      </c>
      <c r="AF1088" s="4">
        <f>[1]伙伴成长!$I39</f>
        <v>42</v>
      </c>
      <c r="AG1088" s="4">
        <v>0</v>
      </c>
      <c r="AH1088" s="4">
        <v>0</v>
      </c>
      <c r="AI1088" s="4">
        <v>0</v>
      </c>
    </row>
    <row r="1089" spans="1:35" x14ac:dyDescent="0.15">
      <c r="A1089" s="4" t="s">
        <v>2662</v>
      </c>
      <c r="D1089" s="4">
        <v>301</v>
      </c>
      <c r="E1089" s="4">
        <v>39</v>
      </c>
      <c r="H1089" s="29">
        <v>1001</v>
      </c>
      <c r="I1089" s="4">
        <f>[1]伙伴成长!$J40</f>
        <v>638</v>
      </c>
      <c r="L1089" s="30">
        <v>800</v>
      </c>
      <c r="M1089" s="4">
        <f>[1]伙伴成长!$E40</f>
        <v>164</v>
      </c>
      <c r="N1089" s="4">
        <f>[1]伙伴成长!$F40</f>
        <v>42</v>
      </c>
      <c r="O1089" s="4">
        <f>[1]伙伴成长!$G40</f>
        <v>1312</v>
      </c>
      <c r="P1089" s="4">
        <v>0</v>
      </c>
      <c r="Q1089" s="4">
        <f>[1]伙伴成长!$H40</f>
        <v>240</v>
      </c>
      <c r="R1089" s="4">
        <v>1.5</v>
      </c>
      <c r="S1089" s="4">
        <f>[1]伙伴成长!$I40</f>
        <v>43</v>
      </c>
      <c r="T1089" s="4">
        <v>0</v>
      </c>
      <c r="U1089" s="4">
        <v>0</v>
      </c>
      <c r="V1089" s="4">
        <v>0</v>
      </c>
      <c r="Y1089" s="4">
        <f>[1]伙伴成长!$J40</f>
        <v>638</v>
      </c>
      <c r="Z1089" s="4">
        <f>[1]伙伴成长!$E40</f>
        <v>164</v>
      </c>
      <c r="AA1089" s="4">
        <f>[1]伙伴成长!$F40</f>
        <v>42</v>
      </c>
      <c r="AB1089" s="4">
        <f>[1]伙伴成长!$G40</f>
        <v>1312</v>
      </c>
      <c r="AC1089" s="4">
        <v>0</v>
      </c>
      <c r="AD1089" s="4">
        <f>[1]伙伴成长!$H40</f>
        <v>240</v>
      </c>
      <c r="AE1089" s="4">
        <v>1.5</v>
      </c>
      <c r="AF1089" s="4">
        <f>[1]伙伴成长!$I40</f>
        <v>43</v>
      </c>
      <c r="AG1089" s="4">
        <v>0</v>
      </c>
      <c r="AH1089" s="4">
        <v>0</v>
      </c>
      <c r="AI1089" s="4">
        <v>0</v>
      </c>
    </row>
    <row r="1090" spans="1:35" x14ac:dyDescent="0.15">
      <c r="A1090" s="4" t="s">
        <v>2662</v>
      </c>
      <c r="D1090" s="4">
        <v>301</v>
      </c>
      <c r="E1090" s="4">
        <v>40</v>
      </c>
      <c r="H1090" s="29">
        <v>1001</v>
      </c>
      <c r="I1090" s="4">
        <f>[1]伙伴成长!$J41</f>
        <v>652</v>
      </c>
      <c r="L1090" s="30">
        <v>800</v>
      </c>
      <c r="M1090" s="4">
        <f>[1]伙伴成长!$E41</f>
        <v>168</v>
      </c>
      <c r="N1090" s="4">
        <f>[1]伙伴成长!$F41</f>
        <v>43</v>
      </c>
      <c r="O1090" s="4">
        <f>[1]伙伴成长!$G41</f>
        <v>1336</v>
      </c>
      <c r="P1090" s="4">
        <v>0</v>
      </c>
      <c r="Q1090" s="4">
        <f>[1]伙伴成长!$H41</f>
        <v>245</v>
      </c>
      <c r="R1090" s="4">
        <v>1.5</v>
      </c>
      <c r="S1090" s="4">
        <f>[1]伙伴成长!$I41</f>
        <v>44</v>
      </c>
      <c r="T1090" s="4">
        <v>0</v>
      </c>
      <c r="U1090" s="4">
        <v>0</v>
      </c>
      <c r="V1090" s="4">
        <v>0</v>
      </c>
      <c r="Y1090" s="4">
        <f>[1]伙伴成长!$J41</f>
        <v>652</v>
      </c>
      <c r="Z1090" s="4">
        <f>[1]伙伴成长!$E41</f>
        <v>168</v>
      </c>
      <c r="AA1090" s="4">
        <f>[1]伙伴成长!$F41</f>
        <v>43</v>
      </c>
      <c r="AB1090" s="4">
        <f>[1]伙伴成长!$G41</f>
        <v>1336</v>
      </c>
      <c r="AC1090" s="4">
        <v>0</v>
      </c>
      <c r="AD1090" s="4">
        <f>[1]伙伴成长!$H41</f>
        <v>245</v>
      </c>
      <c r="AE1090" s="4">
        <v>1.5</v>
      </c>
      <c r="AF1090" s="4">
        <f>[1]伙伴成长!$I41</f>
        <v>44</v>
      </c>
      <c r="AG1090" s="4">
        <v>0</v>
      </c>
      <c r="AH1090" s="4">
        <v>0</v>
      </c>
      <c r="AI1090" s="4">
        <v>0</v>
      </c>
    </row>
    <row r="1091" spans="1:35" x14ac:dyDescent="0.15">
      <c r="A1091" s="4" t="s">
        <v>2662</v>
      </c>
      <c r="D1091" s="4">
        <v>301</v>
      </c>
      <c r="E1091" s="4">
        <v>41</v>
      </c>
      <c r="H1091" s="29">
        <v>1001</v>
      </c>
      <c r="I1091" s="4">
        <f>[1]伙伴成长!$J42</f>
        <v>666</v>
      </c>
      <c r="L1091" s="30">
        <v>800</v>
      </c>
      <c r="M1091" s="4">
        <f>[1]伙伴成长!$E42</f>
        <v>172</v>
      </c>
      <c r="N1091" s="4">
        <f>[1]伙伴成长!$F42</f>
        <v>44</v>
      </c>
      <c r="O1091" s="4">
        <f>[1]伙伴成长!$G42</f>
        <v>1360</v>
      </c>
      <c r="P1091" s="4">
        <v>0</v>
      </c>
      <c r="Q1091" s="4">
        <f>[1]伙伴成长!$H42</f>
        <v>250</v>
      </c>
      <c r="R1091" s="4">
        <v>1.5</v>
      </c>
      <c r="S1091" s="4">
        <f>[1]伙伴成长!$I42</f>
        <v>45</v>
      </c>
      <c r="T1091" s="4">
        <v>0</v>
      </c>
      <c r="U1091" s="4">
        <v>0</v>
      </c>
      <c r="V1091" s="4">
        <v>0</v>
      </c>
      <c r="Y1091" s="4">
        <f>[1]伙伴成长!$J42</f>
        <v>666</v>
      </c>
      <c r="Z1091" s="4">
        <f>[1]伙伴成长!$E42</f>
        <v>172</v>
      </c>
      <c r="AA1091" s="4">
        <f>[1]伙伴成长!$F42</f>
        <v>44</v>
      </c>
      <c r="AB1091" s="4">
        <f>[1]伙伴成长!$G42</f>
        <v>1360</v>
      </c>
      <c r="AC1091" s="4">
        <v>0</v>
      </c>
      <c r="AD1091" s="4">
        <f>[1]伙伴成长!$H42</f>
        <v>250</v>
      </c>
      <c r="AE1091" s="4">
        <v>1.5</v>
      </c>
      <c r="AF1091" s="4">
        <f>[1]伙伴成长!$I42</f>
        <v>45</v>
      </c>
      <c r="AG1091" s="4">
        <v>0</v>
      </c>
      <c r="AH1091" s="4">
        <v>0</v>
      </c>
      <c r="AI1091" s="4">
        <v>0</v>
      </c>
    </row>
    <row r="1092" spans="1:35" x14ac:dyDescent="0.15">
      <c r="A1092" s="4" t="s">
        <v>2662</v>
      </c>
      <c r="D1092" s="4">
        <v>301</v>
      </c>
      <c r="E1092" s="4">
        <v>42</v>
      </c>
      <c r="H1092" s="29">
        <v>1001</v>
      </c>
      <c r="I1092" s="4">
        <f>[1]伙伴成长!$J43</f>
        <v>679</v>
      </c>
      <c r="L1092" s="30">
        <v>800</v>
      </c>
      <c r="M1092" s="4">
        <f>[1]伙伴成长!$E43</f>
        <v>176</v>
      </c>
      <c r="N1092" s="4">
        <f>[1]伙伴成长!$F43</f>
        <v>45</v>
      </c>
      <c r="O1092" s="4">
        <f>[1]伙伴成长!$G43</f>
        <v>1384</v>
      </c>
      <c r="P1092" s="4">
        <v>0</v>
      </c>
      <c r="Q1092" s="4">
        <f>[1]伙伴成长!$H43</f>
        <v>255</v>
      </c>
      <c r="R1092" s="4">
        <v>1.5</v>
      </c>
      <c r="S1092" s="4">
        <f>[1]伙伴成长!$I43</f>
        <v>46</v>
      </c>
      <c r="T1092" s="4">
        <v>0</v>
      </c>
      <c r="U1092" s="4">
        <v>0</v>
      </c>
      <c r="V1092" s="4">
        <v>0</v>
      </c>
      <c r="Y1092" s="4">
        <f>[1]伙伴成长!$J43</f>
        <v>679</v>
      </c>
      <c r="Z1092" s="4">
        <f>[1]伙伴成长!$E43</f>
        <v>176</v>
      </c>
      <c r="AA1092" s="4">
        <f>[1]伙伴成长!$F43</f>
        <v>45</v>
      </c>
      <c r="AB1092" s="4">
        <f>[1]伙伴成长!$G43</f>
        <v>1384</v>
      </c>
      <c r="AC1092" s="4">
        <v>0</v>
      </c>
      <c r="AD1092" s="4">
        <f>[1]伙伴成长!$H43</f>
        <v>255</v>
      </c>
      <c r="AE1092" s="4">
        <v>1.5</v>
      </c>
      <c r="AF1092" s="4">
        <f>[1]伙伴成长!$I43</f>
        <v>46</v>
      </c>
      <c r="AG1092" s="4">
        <v>0</v>
      </c>
      <c r="AH1092" s="4">
        <v>0</v>
      </c>
      <c r="AI1092" s="4">
        <v>0</v>
      </c>
    </row>
    <row r="1093" spans="1:35" x14ac:dyDescent="0.15">
      <c r="A1093" s="4" t="s">
        <v>2662</v>
      </c>
      <c r="D1093" s="4">
        <v>301</v>
      </c>
      <c r="E1093" s="4">
        <v>43</v>
      </c>
      <c r="H1093" s="29">
        <v>1001</v>
      </c>
      <c r="I1093" s="4">
        <f>[1]伙伴成长!$J44</f>
        <v>693</v>
      </c>
      <c r="L1093" s="30">
        <v>800</v>
      </c>
      <c r="M1093" s="4">
        <f>[1]伙伴成长!$E44</f>
        <v>180</v>
      </c>
      <c r="N1093" s="4">
        <f>[1]伙伴成长!$F44</f>
        <v>46</v>
      </c>
      <c r="O1093" s="4">
        <f>[1]伙伴成长!$G44</f>
        <v>1408</v>
      </c>
      <c r="P1093" s="4">
        <v>0</v>
      </c>
      <c r="Q1093" s="4">
        <f>[1]伙伴成长!$H44</f>
        <v>260</v>
      </c>
      <c r="R1093" s="4">
        <v>1.5</v>
      </c>
      <c r="S1093" s="4">
        <f>[1]伙伴成长!$I44</f>
        <v>47</v>
      </c>
      <c r="T1093" s="4">
        <v>0</v>
      </c>
      <c r="U1093" s="4">
        <v>0</v>
      </c>
      <c r="V1093" s="4">
        <v>0</v>
      </c>
      <c r="Y1093" s="4">
        <f>[1]伙伴成长!$J44</f>
        <v>693</v>
      </c>
      <c r="Z1093" s="4">
        <f>[1]伙伴成长!$E44</f>
        <v>180</v>
      </c>
      <c r="AA1093" s="4">
        <f>[1]伙伴成长!$F44</f>
        <v>46</v>
      </c>
      <c r="AB1093" s="4">
        <f>[1]伙伴成长!$G44</f>
        <v>1408</v>
      </c>
      <c r="AC1093" s="4">
        <v>0</v>
      </c>
      <c r="AD1093" s="4">
        <f>[1]伙伴成长!$H44</f>
        <v>260</v>
      </c>
      <c r="AE1093" s="4">
        <v>1.5</v>
      </c>
      <c r="AF1093" s="4">
        <f>[1]伙伴成长!$I44</f>
        <v>47</v>
      </c>
      <c r="AG1093" s="4">
        <v>0</v>
      </c>
      <c r="AH1093" s="4">
        <v>0</v>
      </c>
      <c r="AI1093" s="4">
        <v>0</v>
      </c>
    </row>
    <row r="1094" spans="1:35" x14ac:dyDescent="0.15">
      <c r="A1094" s="4" t="s">
        <v>2662</v>
      </c>
      <c r="D1094" s="4">
        <v>301</v>
      </c>
      <c r="E1094" s="4">
        <v>44</v>
      </c>
      <c r="H1094" s="29">
        <v>1001</v>
      </c>
      <c r="I1094" s="4">
        <f>[1]伙伴成长!$J45</f>
        <v>707</v>
      </c>
      <c r="L1094" s="30">
        <v>800</v>
      </c>
      <c r="M1094" s="4">
        <f>[1]伙伴成长!$E45</f>
        <v>184</v>
      </c>
      <c r="N1094" s="4">
        <f>[1]伙伴成长!$F45</f>
        <v>47</v>
      </c>
      <c r="O1094" s="4">
        <f>[1]伙伴成长!$G45</f>
        <v>1432</v>
      </c>
      <c r="P1094" s="4">
        <v>0</v>
      </c>
      <c r="Q1094" s="4">
        <f>[1]伙伴成长!$H45</f>
        <v>265</v>
      </c>
      <c r="R1094" s="4">
        <v>1.5</v>
      </c>
      <c r="S1094" s="4">
        <f>[1]伙伴成长!$I45</f>
        <v>48</v>
      </c>
      <c r="T1094" s="4">
        <v>0</v>
      </c>
      <c r="U1094" s="4">
        <v>0</v>
      </c>
      <c r="V1094" s="4">
        <v>0</v>
      </c>
      <c r="Y1094" s="4">
        <f>[1]伙伴成长!$J45</f>
        <v>707</v>
      </c>
      <c r="Z1094" s="4">
        <f>[1]伙伴成长!$E45</f>
        <v>184</v>
      </c>
      <c r="AA1094" s="4">
        <f>[1]伙伴成长!$F45</f>
        <v>47</v>
      </c>
      <c r="AB1094" s="4">
        <f>[1]伙伴成长!$G45</f>
        <v>1432</v>
      </c>
      <c r="AC1094" s="4">
        <v>0</v>
      </c>
      <c r="AD1094" s="4">
        <f>[1]伙伴成长!$H45</f>
        <v>265</v>
      </c>
      <c r="AE1094" s="4">
        <v>1.5</v>
      </c>
      <c r="AF1094" s="4">
        <f>[1]伙伴成长!$I45</f>
        <v>48</v>
      </c>
      <c r="AG1094" s="4">
        <v>0</v>
      </c>
      <c r="AH1094" s="4">
        <v>0</v>
      </c>
      <c r="AI1094" s="4">
        <v>0</v>
      </c>
    </row>
    <row r="1095" spans="1:35" x14ac:dyDescent="0.15">
      <c r="A1095" s="4" t="s">
        <v>2662</v>
      </c>
      <c r="D1095" s="4">
        <v>301</v>
      </c>
      <c r="E1095" s="4">
        <v>45</v>
      </c>
      <c r="H1095" s="29">
        <v>1001</v>
      </c>
      <c r="I1095" s="4">
        <f>[1]伙伴成长!$J46</f>
        <v>721</v>
      </c>
      <c r="L1095" s="30">
        <v>800</v>
      </c>
      <c r="M1095" s="4">
        <f>[1]伙伴成长!$E46</f>
        <v>188</v>
      </c>
      <c r="N1095" s="4">
        <f>[1]伙伴成长!$F46</f>
        <v>48</v>
      </c>
      <c r="O1095" s="4">
        <f>[1]伙伴成长!$G46</f>
        <v>1456</v>
      </c>
      <c r="P1095" s="4">
        <v>0</v>
      </c>
      <c r="Q1095" s="4">
        <f>[1]伙伴成长!$H46</f>
        <v>270</v>
      </c>
      <c r="R1095" s="4">
        <v>1.5</v>
      </c>
      <c r="S1095" s="4">
        <f>[1]伙伴成长!$I46</f>
        <v>49</v>
      </c>
      <c r="T1095" s="4">
        <v>0</v>
      </c>
      <c r="U1095" s="4">
        <v>0</v>
      </c>
      <c r="V1095" s="4">
        <v>0</v>
      </c>
      <c r="Y1095" s="4">
        <f>[1]伙伴成长!$J46</f>
        <v>721</v>
      </c>
      <c r="Z1095" s="4">
        <f>[1]伙伴成长!$E46</f>
        <v>188</v>
      </c>
      <c r="AA1095" s="4">
        <f>[1]伙伴成长!$F46</f>
        <v>48</v>
      </c>
      <c r="AB1095" s="4">
        <f>[1]伙伴成长!$G46</f>
        <v>1456</v>
      </c>
      <c r="AC1095" s="4">
        <v>0</v>
      </c>
      <c r="AD1095" s="4">
        <f>[1]伙伴成长!$H46</f>
        <v>270</v>
      </c>
      <c r="AE1095" s="4">
        <v>1.5</v>
      </c>
      <c r="AF1095" s="4">
        <f>[1]伙伴成长!$I46</f>
        <v>49</v>
      </c>
      <c r="AG1095" s="4">
        <v>0</v>
      </c>
      <c r="AH1095" s="4">
        <v>0</v>
      </c>
      <c r="AI1095" s="4">
        <v>0</v>
      </c>
    </row>
    <row r="1096" spans="1:35" x14ac:dyDescent="0.15">
      <c r="A1096" s="4" t="s">
        <v>2662</v>
      </c>
      <c r="D1096" s="4">
        <v>301</v>
      </c>
      <c r="E1096" s="4">
        <v>46</v>
      </c>
      <c r="H1096" s="29">
        <v>1001</v>
      </c>
      <c r="I1096" s="4">
        <f>[1]伙伴成长!$J47</f>
        <v>735</v>
      </c>
      <c r="L1096" s="30">
        <v>800</v>
      </c>
      <c r="M1096" s="4">
        <f>[1]伙伴成长!$E47</f>
        <v>192</v>
      </c>
      <c r="N1096" s="4">
        <f>[1]伙伴成长!$F47</f>
        <v>49</v>
      </c>
      <c r="O1096" s="4">
        <f>[1]伙伴成长!$G47</f>
        <v>1480</v>
      </c>
      <c r="P1096" s="4">
        <v>0</v>
      </c>
      <c r="Q1096" s="4">
        <f>[1]伙伴成长!$H47</f>
        <v>275</v>
      </c>
      <c r="R1096" s="4">
        <v>1.5</v>
      </c>
      <c r="S1096" s="4">
        <f>[1]伙伴成长!$I47</f>
        <v>50</v>
      </c>
      <c r="T1096" s="4">
        <v>0</v>
      </c>
      <c r="U1096" s="4">
        <v>0</v>
      </c>
      <c r="V1096" s="4">
        <v>0</v>
      </c>
      <c r="Y1096" s="4">
        <f>[1]伙伴成长!$J47</f>
        <v>735</v>
      </c>
      <c r="Z1096" s="4">
        <f>[1]伙伴成长!$E47</f>
        <v>192</v>
      </c>
      <c r="AA1096" s="4">
        <f>[1]伙伴成长!$F47</f>
        <v>49</v>
      </c>
      <c r="AB1096" s="4">
        <f>[1]伙伴成长!$G47</f>
        <v>1480</v>
      </c>
      <c r="AC1096" s="4">
        <v>0</v>
      </c>
      <c r="AD1096" s="4">
        <f>[1]伙伴成长!$H47</f>
        <v>275</v>
      </c>
      <c r="AE1096" s="4">
        <v>1.5</v>
      </c>
      <c r="AF1096" s="4">
        <f>[1]伙伴成长!$I47</f>
        <v>50</v>
      </c>
      <c r="AG1096" s="4">
        <v>0</v>
      </c>
      <c r="AH1096" s="4">
        <v>0</v>
      </c>
      <c r="AI1096" s="4">
        <v>0</v>
      </c>
    </row>
    <row r="1097" spans="1:35" x14ac:dyDescent="0.15">
      <c r="A1097" s="4" t="s">
        <v>2662</v>
      </c>
      <c r="D1097" s="4">
        <v>301</v>
      </c>
      <c r="E1097" s="4">
        <v>47</v>
      </c>
      <c r="H1097" s="29">
        <v>1001</v>
      </c>
      <c r="I1097" s="4">
        <f>[1]伙伴成长!$J48</f>
        <v>749</v>
      </c>
      <c r="L1097" s="30">
        <v>800</v>
      </c>
      <c r="M1097" s="4">
        <f>[1]伙伴成长!$E48</f>
        <v>196</v>
      </c>
      <c r="N1097" s="4">
        <f>[1]伙伴成长!$F48</f>
        <v>50</v>
      </c>
      <c r="O1097" s="4">
        <f>[1]伙伴成长!$G48</f>
        <v>1504</v>
      </c>
      <c r="P1097" s="4">
        <v>0</v>
      </c>
      <c r="Q1097" s="4">
        <f>[1]伙伴成长!$H48</f>
        <v>280</v>
      </c>
      <c r="R1097" s="4">
        <v>1.5</v>
      </c>
      <c r="S1097" s="4">
        <f>[1]伙伴成长!$I48</f>
        <v>51</v>
      </c>
      <c r="T1097" s="4">
        <v>0</v>
      </c>
      <c r="U1097" s="4">
        <v>0</v>
      </c>
      <c r="V1097" s="4">
        <v>0</v>
      </c>
      <c r="Y1097" s="4">
        <f>[1]伙伴成长!$J48</f>
        <v>749</v>
      </c>
      <c r="Z1097" s="4">
        <f>[1]伙伴成长!$E48</f>
        <v>196</v>
      </c>
      <c r="AA1097" s="4">
        <f>[1]伙伴成长!$F48</f>
        <v>50</v>
      </c>
      <c r="AB1097" s="4">
        <f>[1]伙伴成长!$G48</f>
        <v>1504</v>
      </c>
      <c r="AC1097" s="4">
        <v>0</v>
      </c>
      <c r="AD1097" s="4">
        <f>[1]伙伴成长!$H48</f>
        <v>280</v>
      </c>
      <c r="AE1097" s="4">
        <v>1.5</v>
      </c>
      <c r="AF1097" s="4">
        <f>[1]伙伴成长!$I48</f>
        <v>51</v>
      </c>
      <c r="AG1097" s="4">
        <v>0</v>
      </c>
      <c r="AH1097" s="4">
        <v>0</v>
      </c>
      <c r="AI1097" s="4">
        <v>0</v>
      </c>
    </row>
    <row r="1098" spans="1:35" x14ac:dyDescent="0.15">
      <c r="A1098" s="4" t="s">
        <v>2662</v>
      </c>
      <c r="D1098" s="4">
        <v>301</v>
      </c>
      <c r="E1098" s="4">
        <v>48</v>
      </c>
      <c r="H1098" s="29">
        <v>1001</v>
      </c>
      <c r="I1098" s="4">
        <f>[1]伙伴成长!$J49</f>
        <v>763</v>
      </c>
      <c r="L1098" s="30">
        <v>800</v>
      </c>
      <c r="M1098" s="4">
        <f>[1]伙伴成长!$E49</f>
        <v>200</v>
      </c>
      <c r="N1098" s="4">
        <f>[1]伙伴成长!$F49</f>
        <v>51</v>
      </c>
      <c r="O1098" s="4">
        <f>[1]伙伴成长!$G49</f>
        <v>1528</v>
      </c>
      <c r="P1098" s="4">
        <v>0</v>
      </c>
      <c r="Q1098" s="4">
        <f>[1]伙伴成长!$H49</f>
        <v>285</v>
      </c>
      <c r="R1098" s="4">
        <v>1.5</v>
      </c>
      <c r="S1098" s="4">
        <f>[1]伙伴成长!$I49</f>
        <v>52</v>
      </c>
      <c r="T1098" s="4">
        <v>0</v>
      </c>
      <c r="U1098" s="4">
        <v>0</v>
      </c>
      <c r="V1098" s="4">
        <v>0</v>
      </c>
      <c r="Y1098" s="4">
        <f>[1]伙伴成长!$J49</f>
        <v>763</v>
      </c>
      <c r="Z1098" s="4">
        <f>[1]伙伴成长!$E49</f>
        <v>200</v>
      </c>
      <c r="AA1098" s="4">
        <f>[1]伙伴成长!$F49</f>
        <v>51</v>
      </c>
      <c r="AB1098" s="4">
        <f>[1]伙伴成长!$G49</f>
        <v>1528</v>
      </c>
      <c r="AC1098" s="4">
        <v>0</v>
      </c>
      <c r="AD1098" s="4">
        <f>[1]伙伴成长!$H49</f>
        <v>285</v>
      </c>
      <c r="AE1098" s="4">
        <v>1.5</v>
      </c>
      <c r="AF1098" s="4">
        <f>[1]伙伴成长!$I49</f>
        <v>52</v>
      </c>
      <c r="AG1098" s="4">
        <v>0</v>
      </c>
      <c r="AH1098" s="4">
        <v>0</v>
      </c>
      <c r="AI1098" s="4">
        <v>0</v>
      </c>
    </row>
    <row r="1099" spans="1:35" x14ac:dyDescent="0.15">
      <c r="A1099" s="4" t="s">
        <v>2662</v>
      </c>
      <c r="D1099" s="4">
        <v>301</v>
      </c>
      <c r="E1099" s="4">
        <v>49</v>
      </c>
      <c r="H1099" s="29">
        <v>1001</v>
      </c>
      <c r="I1099" s="4">
        <f>[1]伙伴成长!$J50</f>
        <v>777</v>
      </c>
      <c r="L1099" s="30">
        <v>800</v>
      </c>
      <c r="M1099" s="4">
        <f>[1]伙伴成长!$E50</f>
        <v>204</v>
      </c>
      <c r="N1099" s="4">
        <f>[1]伙伴成长!$F50</f>
        <v>52</v>
      </c>
      <c r="O1099" s="4">
        <f>[1]伙伴成长!$G50</f>
        <v>1552</v>
      </c>
      <c r="P1099" s="4">
        <v>0</v>
      </c>
      <c r="Q1099" s="4">
        <f>[1]伙伴成长!$H50</f>
        <v>290</v>
      </c>
      <c r="R1099" s="4">
        <v>1.5</v>
      </c>
      <c r="S1099" s="4">
        <f>[1]伙伴成长!$I50</f>
        <v>53</v>
      </c>
      <c r="T1099" s="4">
        <v>0</v>
      </c>
      <c r="U1099" s="4">
        <v>0</v>
      </c>
      <c r="V1099" s="4">
        <v>0</v>
      </c>
      <c r="Y1099" s="4">
        <f>[1]伙伴成长!$J50</f>
        <v>777</v>
      </c>
      <c r="Z1099" s="4">
        <f>[1]伙伴成长!$E50</f>
        <v>204</v>
      </c>
      <c r="AA1099" s="4">
        <f>[1]伙伴成长!$F50</f>
        <v>52</v>
      </c>
      <c r="AB1099" s="4">
        <f>[1]伙伴成长!$G50</f>
        <v>1552</v>
      </c>
      <c r="AC1099" s="4">
        <v>0</v>
      </c>
      <c r="AD1099" s="4">
        <f>[1]伙伴成长!$H50</f>
        <v>290</v>
      </c>
      <c r="AE1099" s="4">
        <v>1.5</v>
      </c>
      <c r="AF1099" s="4">
        <f>[1]伙伴成长!$I50</f>
        <v>53</v>
      </c>
      <c r="AG1099" s="4">
        <v>0</v>
      </c>
      <c r="AH1099" s="4">
        <v>0</v>
      </c>
      <c r="AI1099" s="4">
        <v>0</v>
      </c>
    </row>
    <row r="1100" spans="1:35" x14ac:dyDescent="0.15">
      <c r="A1100" s="4" t="s">
        <v>2662</v>
      </c>
      <c r="D1100" s="4">
        <v>301</v>
      </c>
      <c r="E1100" s="4">
        <v>50</v>
      </c>
      <c r="H1100" s="29">
        <v>1001</v>
      </c>
      <c r="I1100" s="4">
        <f>[1]伙伴成长!$J51</f>
        <v>791</v>
      </c>
      <c r="L1100" s="30">
        <v>800</v>
      </c>
      <c r="M1100" s="4">
        <f>[1]伙伴成长!$E51</f>
        <v>208</v>
      </c>
      <c r="N1100" s="4">
        <f>[1]伙伴成长!$F51</f>
        <v>53</v>
      </c>
      <c r="O1100" s="4">
        <f>[1]伙伴成长!$G51</f>
        <v>1576</v>
      </c>
      <c r="P1100" s="4">
        <v>0</v>
      </c>
      <c r="Q1100" s="4">
        <f>[1]伙伴成长!$H51</f>
        <v>295</v>
      </c>
      <c r="R1100" s="4">
        <v>1.5</v>
      </c>
      <c r="S1100" s="4">
        <f>[1]伙伴成长!$I51</f>
        <v>54</v>
      </c>
      <c r="T1100" s="4">
        <v>0</v>
      </c>
      <c r="U1100" s="4">
        <v>0</v>
      </c>
      <c r="V1100" s="4">
        <v>0</v>
      </c>
      <c r="Y1100" s="4">
        <f>[1]伙伴成长!$J51</f>
        <v>791</v>
      </c>
      <c r="Z1100" s="4">
        <f>[1]伙伴成长!$E51</f>
        <v>208</v>
      </c>
      <c r="AA1100" s="4">
        <f>[1]伙伴成长!$F51</f>
        <v>53</v>
      </c>
      <c r="AB1100" s="4">
        <f>[1]伙伴成长!$G51</f>
        <v>1576</v>
      </c>
      <c r="AC1100" s="4">
        <v>0</v>
      </c>
      <c r="AD1100" s="4">
        <f>[1]伙伴成长!$H51</f>
        <v>295</v>
      </c>
      <c r="AE1100" s="4">
        <v>1.5</v>
      </c>
      <c r="AF1100" s="4">
        <f>[1]伙伴成长!$I51</f>
        <v>54</v>
      </c>
      <c r="AG1100" s="4">
        <v>0</v>
      </c>
      <c r="AH1100" s="4">
        <v>0</v>
      </c>
      <c r="AI1100" s="4">
        <v>0</v>
      </c>
    </row>
    <row r="1101" spans="1:35" x14ac:dyDescent="0.15">
      <c r="Z1101" s="4" t="s">
        <v>3558</v>
      </c>
    </row>
    <row r="1102" spans="1:35" x14ac:dyDescent="0.15">
      <c r="A1102" s="4" t="s">
        <v>2662</v>
      </c>
      <c r="C1102" s="4" t="s">
        <v>3097</v>
      </c>
      <c r="D1102" s="4">
        <v>302</v>
      </c>
      <c r="E1102" s="4">
        <v>0</v>
      </c>
      <c r="H1102" s="29">
        <v>1000</v>
      </c>
      <c r="I1102" s="30">
        <v>199</v>
      </c>
      <c r="M1102" s="4">
        <v>0</v>
      </c>
      <c r="N1102" s="4">
        <v>0</v>
      </c>
      <c r="O1102" s="4">
        <v>0</v>
      </c>
      <c r="P1102" s="4">
        <v>0</v>
      </c>
      <c r="Q1102" s="4">
        <v>0</v>
      </c>
      <c r="R1102" s="4">
        <v>0</v>
      </c>
      <c r="S1102" s="4">
        <v>0</v>
      </c>
      <c r="T1102" s="4">
        <v>0</v>
      </c>
      <c r="U1102" s="4">
        <v>0</v>
      </c>
      <c r="V1102" s="4">
        <v>0</v>
      </c>
      <c r="Y1102" s="30">
        <v>0</v>
      </c>
      <c r="Z1102" s="4">
        <v>0</v>
      </c>
      <c r="AA1102" s="4">
        <v>0</v>
      </c>
      <c r="AB1102" s="4">
        <v>0</v>
      </c>
      <c r="AC1102" s="4">
        <v>0</v>
      </c>
      <c r="AD1102" s="4">
        <v>0</v>
      </c>
      <c r="AE1102" s="4">
        <v>0</v>
      </c>
      <c r="AF1102" s="4">
        <v>0</v>
      </c>
      <c r="AG1102" s="4">
        <v>0</v>
      </c>
      <c r="AH1102" s="4">
        <v>0</v>
      </c>
      <c r="AI1102" s="4">
        <v>0</v>
      </c>
    </row>
    <row r="1103" spans="1:35" x14ac:dyDescent="0.15">
      <c r="A1103" s="4" t="s">
        <v>2662</v>
      </c>
      <c r="D1103" s="4">
        <v>302</v>
      </c>
      <c r="E1103" s="4">
        <v>1</v>
      </c>
      <c r="H1103" s="29">
        <v>1001</v>
      </c>
      <c r="I1103" s="4">
        <v>240</v>
      </c>
      <c r="L1103" s="30">
        <v>800</v>
      </c>
      <c r="M1103" s="4">
        <v>36</v>
      </c>
      <c r="N1103" s="4">
        <v>6</v>
      </c>
      <c r="O1103" s="4">
        <v>800</v>
      </c>
      <c r="P1103" s="4">
        <v>0</v>
      </c>
      <c r="Q1103" s="4">
        <v>90</v>
      </c>
      <c r="R1103" s="4">
        <v>1.5</v>
      </c>
      <c r="S1103" s="4">
        <v>7</v>
      </c>
      <c r="T1103" s="4">
        <v>0</v>
      </c>
      <c r="U1103" s="4">
        <v>0</v>
      </c>
      <c r="V1103" s="4">
        <v>0</v>
      </c>
      <c r="Y1103" s="4">
        <f>[1]伙伴成长!$S2</f>
        <v>240</v>
      </c>
      <c r="Z1103" s="4">
        <f>[1]伙伴成长!$N2</f>
        <v>36</v>
      </c>
      <c r="AA1103" s="4">
        <f>[1]伙伴成长!$O2</f>
        <v>6</v>
      </c>
      <c r="AB1103" s="4">
        <f>[1]伙伴成长!$P2</f>
        <v>800</v>
      </c>
      <c r="AC1103" s="4">
        <v>0</v>
      </c>
      <c r="AD1103" s="4">
        <f>[1]伙伴成长!$Q2</f>
        <v>90</v>
      </c>
      <c r="AE1103" s="4">
        <v>1.5</v>
      </c>
      <c r="AF1103" s="4">
        <f>[1]伙伴成长!$R2</f>
        <v>7</v>
      </c>
      <c r="AG1103" s="4">
        <v>0</v>
      </c>
      <c r="AH1103" s="4">
        <v>0</v>
      </c>
      <c r="AI1103" s="4">
        <v>0</v>
      </c>
    </row>
    <row r="1104" spans="1:35" x14ac:dyDescent="0.15">
      <c r="A1104" s="4" t="s">
        <v>2662</v>
      </c>
      <c r="D1104" s="4">
        <v>302</v>
      </c>
      <c r="E1104" s="4">
        <v>2</v>
      </c>
      <c r="H1104" s="29">
        <v>1001</v>
      </c>
      <c r="I1104" s="4">
        <v>269</v>
      </c>
      <c r="L1104" s="30">
        <v>800</v>
      </c>
      <c r="M1104" s="4">
        <v>44</v>
      </c>
      <c r="N1104" s="4">
        <v>8</v>
      </c>
      <c r="O1104" s="4">
        <v>854</v>
      </c>
      <c r="P1104" s="4">
        <v>0</v>
      </c>
      <c r="Q1104" s="4">
        <v>96</v>
      </c>
      <c r="R1104" s="4">
        <v>1.5</v>
      </c>
      <c r="S1104" s="4">
        <v>8</v>
      </c>
      <c r="T1104" s="4">
        <v>0</v>
      </c>
      <c r="U1104" s="4">
        <v>0</v>
      </c>
      <c r="V1104" s="4">
        <v>0</v>
      </c>
      <c r="Y1104" s="4">
        <f>[1]伙伴成长!$S3</f>
        <v>269</v>
      </c>
      <c r="Z1104" s="4">
        <f>[1]伙伴成长!$N3</f>
        <v>44</v>
      </c>
      <c r="AA1104" s="4">
        <f>[1]伙伴成长!$O3</f>
        <v>8</v>
      </c>
      <c r="AB1104" s="4">
        <f>[1]伙伴成长!$P3</f>
        <v>854</v>
      </c>
      <c r="AC1104" s="4">
        <v>0</v>
      </c>
      <c r="AD1104" s="4">
        <f>[1]伙伴成长!$Q3</f>
        <v>96</v>
      </c>
      <c r="AE1104" s="4">
        <v>1.5</v>
      </c>
      <c r="AF1104" s="4">
        <f>[1]伙伴成长!$R3</f>
        <v>8</v>
      </c>
      <c r="AG1104" s="4">
        <v>0</v>
      </c>
      <c r="AH1104" s="4">
        <v>0</v>
      </c>
      <c r="AI1104" s="4">
        <v>0</v>
      </c>
    </row>
    <row r="1105" spans="1:35" x14ac:dyDescent="0.15">
      <c r="A1105" s="4" t="s">
        <v>2662</v>
      </c>
      <c r="D1105" s="4">
        <v>302</v>
      </c>
      <c r="E1105" s="4">
        <v>3</v>
      </c>
      <c r="H1105" s="29">
        <v>1001</v>
      </c>
      <c r="I1105" s="4">
        <v>297</v>
      </c>
      <c r="L1105" s="30">
        <v>800</v>
      </c>
      <c r="M1105" s="4">
        <v>52</v>
      </c>
      <c r="N1105" s="4">
        <v>10</v>
      </c>
      <c r="O1105" s="4">
        <v>908</v>
      </c>
      <c r="P1105" s="4">
        <v>0</v>
      </c>
      <c r="Q1105" s="4">
        <v>102</v>
      </c>
      <c r="R1105" s="4">
        <v>1.5</v>
      </c>
      <c r="S1105" s="4">
        <v>9</v>
      </c>
      <c r="T1105" s="4">
        <v>0</v>
      </c>
      <c r="U1105" s="4">
        <v>0</v>
      </c>
      <c r="V1105" s="4">
        <v>0</v>
      </c>
      <c r="Y1105" s="4">
        <f>[1]伙伴成长!$S4</f>
        <v>297</v>
      </c>
      <c r="Z1105" s="4">
        <f>[1]伙伴成长!$N4</f>
        <v>52</v>
      </c>
      <c r="AA1105" s="4">
        <f>[1]伙伴成长!$O4</f>
        <v>10</v>
      </c>
      <c r="AB1105" s="4">
        <f>[1]伙伴成长!$P4</f>
        <v>908</v>
      </c>
      <c r="AC1105" s="4">
        <v>0</v>
      </c>
      <c r="AD1105" s="4">
        <f>[1]伙伴成长!$Q4</f>
        <v>102</v>
      </c>
      <c r="AE1105" s="4">
        <v>1.5</v>
      </c>
      <c r="AF1105" s="4">
        <f>[1]伙伴成长!$R4</f>
        <v>9</v>
      </c>
      <c r="AG1105" s="4">
        <v>0</v>
      </c>
      <c r="AH1105" s="4">
        <v>0</v>
      </c>
      <c r="AI1105" s="4">
        <v>0</v>
      </c>
    </row>
    <row r="1106" spans="1:35" x14ac:dyDescent="0.15">
      <c r="A1106" s="4" t="s">
        <v>2662</v>
      </c>
      <c r="D1106" s="4">
        <v>302</v>
      </c>
      <c r="E1106" s="4">
        <v>4</v>
      </c>
      <c r="H1106" s="29">
        <v>1001</v>
      </c>
      <c r="I1106" s="4">
        <v>326</v>
      </c>
      <c r="L1106" s="30">
        <v>800</v>
      </c>
      <c r="M1106" s="4">
        <v>60</v>
      </c>
      <c r="N1106" s="4">
        <v>12</v>
      </c>
      <c r="O1106" s="4">
        <v>962</v>
      </c>
      <c r="P1106" s="4">
        <v>0</v>
      </c>
      <c r="Q1106" s="4">
        <v>108</v>
      </c>
      <c r="R1106" s="4">
        <v>1.5</v>
      </c>
      <c r="S1106" s="4">
        <v>10</v>
      </c>
      <c r="T1106" s="4">
        <v>0</v>
      </c>
      <c r="U1106" s="4">
        <v>0</v>
      </c>
      <c r="V1106" s="4">
        <v>0</v>
      </c>
      <c r="Y1106" s="4">
        <f>[1]伙伴成长!$S5</f>
        <v>326</v>
      </c>
      <c r="Z1106" s="4">
        <f>[1]伙伴成长!$N5</f>
        <v>60</v>
      </c>
      <c r="AA1106" s="4">
        <f>[1]伙伴成长!$O5</f>
        <v>12</v>
      </c>
      <c r="AB1106" s="4">
        <f>[1]伙伴成长!$P5</f>
        <v>962</v>
      </c>
      <c r="AC1106" s="4">
        <v>0</v>
      </c>
      <c r="AD1106" s="4">
        <f>[1]伙伴成长!$Q5</f>
        <v>108</v>
      </c>
      <c r="AE1106" s="4">
        <v>1.5</v>
      </c>
      <c r="AF1106" s="4">
        <f>[1]伙伴成长!$R5</f>
        <v>10</v>
      </c>
      <c r="AG1106" s="4">
        <v>0</v>
      </c>
      <c r="AH1106" s="4">
        <v>0</v>
      </c>
      <c r="AI1106" s="4">
        <v>0</v>
      </c>
    </row>
    <row r="1107" spans="1:35" x14ac:dyDescent="0.15">
      <c r="A1107" s="4" t="s">
        <v>2662</v>
      </c>
      <c r="D1107" s="4">
        <v>302</v>
      </c>
      <c r="E1107" s="4">
        <v>5</v>
      </c>
      <c r="H1107" s="29">
        <v>1001</v>
      </c>
      <c r="I1107" s="4">
        <v>354</v>
      </c>
      <c r="L1107" s="30">
        <v>800</v>
      </c>
      <c r="M1107" s="4">
        <v>68</v>
      </c>
      <c r="N1107" s="4">
        <v>14</v>
      </c>
      <c r="O1107" s="4">
        <v>1016</v>
      </c>
      <c r="P1107" s="4">
        <v>0</v>
      </c>
      <c r="Q1107" s="4">
        <v>114</v>
      </c>
      <c r="R1107" s="4">
        <v>1.5</v>
      </c>
      <c r="S1107" s="4">
        <v>11</v>
      </c>
      <c r="T1107" s="4">
        <v>0</v>
      </c>
      <c r="U1107" s="4">
        <v>0</v>
      </c>
      <c r="V1107" s="4">
        <v>0</v>
      </c>
      <c r="Y1107" s="4">
        <f>[1]伙伴成长!$S6</f>
        <v>354</v>
      </c>
      <c r="Z1107" s="4">
        <f>[1]伙伴成长!$N6</f>
        <v>68</v>
      </c>
      <c r="AA1107" s="4">
        <f>[1]伙伴成长!$O6</f>
        <v>14</v>
      </c>
      <c r="AB1107" s="4">
        <f>[1]伙伴成长!$P6</f>
        <v>1016</v>
      </c>
      <c r="AC1107" s="4">
        <v>0</v>
      </c>
      <c r="AD1107" s="4">
        <f>[1]伙伴成长!$Q6</f>
        <v>114</v>
      </c>
      <c r="AE1107" s="4">
        <v>1.5</v>
      </c>
      <c r="AF1107" s="4">
        <f>[1]伙伴成长!$R6</f>
        <v>11</v>
      </c>
      <c r="AG1107" s="4">
        <v>0</v>
      </c>
      <c r="AH1107" s="4">
        <v>0</v>
      </c>
      <c r="AI1107" s="4">
        <v>0</v>
      </c>
    </row>
    <row r="1108" spans="1:35" x14ac:dyDescent="0.15">
      <c r="A1108" s="4" t="s">
        <v>2662</v>
      </c>
      <c r="D1108" s="4">
        <v>302</v>
      </c>
      <c r="E1108" s="4">
        <v>6</v>
      </c>
      <c r="H1108" s="29">
        <v>1001</v>
      </c>
      <c r="I1108" s="4">
        <v>382</v>
      </c>
      <c r="L1108" s="30">
        <v>800</v>
      </c>
      <c r="M1108" s="4">
        <v>76</v>
      </c>
      <c r="N1108" s="4">
        <v>16</v>
      </c>
      <c r="O1108" s="4">
        <v>1070</v>
      </c>
      <c r="P1108" s="4">
        <v>0</v>
      </c>
      <c r="Q1108" s="4">
        <v>120</v>
      </c>
      <c r="R1108" s="4">
        <v>1.5</v>
      </c>
      <c r="S1108" s="4">
        <v>12</v>
      </c>
      <c r="T1108" s="4">
        <v>0</v>
      </c>
      <c r="U1108" s="4">
        <v>0</v>
      </c>
      <c r="V1108" s="4">
        <v>0</v>
      </c>
      <c r="Y1108" s="4">
        <f>[1]伙伴成长!$S7</f>
        <v>382</v>
      </c>
      <c r="Z1108" s="4">
        <f>[1]伙伴成长!$N7</f>
        <v>76</v>
      </c>
      <c r="AA1108" s="4">
        <f>[1]伙伴成长!$O7</f>
        <v>16</v>
      </c>
      <c r="AB1108" s="4">
        <f>[1]伙伴成长!$P7</f>
        <v>1070</v>
      </c>
      <c r="AC1108" s="4">
        <v>0</v>
      </c>
      <c r="AD1108" s="4">
        <f>[1]伙伴成长!$Q7</f>
        <v>120</v>
      </c>
      <c r="AE1108" s="4">
        <v>1.5</v>
      </c>
      <c r="AF1108" s="4">
        <f>[1]伙伴成长!$R7</f>
        <v>12</v>
      </c>
      <c r="AG1108" s="4">
        <v>0</v>
      </c>
      <c r="AH1108" s="4">
        <v>0</v>
      </c>
      <c r="AI1108" s="4">
        <v>0</v>
      </c>
    </row>
    <row r="1109" spans="1:35" x14ac:dyDescent="0.15">
      <c r="A1109" s="4" t="s">
        <v>2662</v>
      </c>
      <c r="D1109" s="4">
        <v>302</v>
      </c>
      <c r="E1109" s="4">
        <v>7</v>
      </c>
      <c r="H1109" s="29">
        <v>1001</v>
      </c>
      <c r="I1109" s="4">
        <v>411</v>
      </c>
      <c r="L1109" s="30">
        <v>800</v>
      </c>
      <c r="M1109" s="4">
        <v>84</v>
      </c>
      <c r="N1109" s="4">
        <v>18</v>
      </c>
      <c r="O1109" s="4">
        <v>1124</v>
      </c>
      <c r="P1109" s="4">
        <v>0</v>
      </c>
      <c r="Q1109" s="4">
        <v>126</v>
      </c>
      <c r="R1109" s="4">
        <v>1.5</v>
      </c>
      <c r="S1109" s="4">
        <v>13</v>
      </c>
      <c r="T1109" s="4">
        <v>0</v>
      </c>
      <c r="U1109" s="4">
        <v>0</v>
      </c>
      <c r="V1109" s="4">
        <v>0</v>
      </c>
      <c r="Y1109" s="4">
        <f>[1]伙伴成长!$S8</f>
        <v>411</v>
      </c>
      <c r="Z1109" s="4">
        <f>[1]伙伴成长!$N8</f>
        <v>84</v>
      </c>
      <c r="AA1109" s="4">
        <f>[1]伙伴成长!$O8</f>
        <v>18</v>
      </c>
      <c r="AB1109" s="4">
        <f>[1]伙伴成长!$P8</f>
        <v>1124</v>
      </c>
      <c r="AC1109" s="4">
        <v>0</v>
      </c>
      <c r="AD1109" s="4">
        <f>[1]伙伴成长!$Q8</f>
        <v>126</v>
      </c>
      <c r="AE1109" s="4">
        <v>1.5</v>
      </c>
      <c r="AF1109" s="4">
        <f>[1]伙伴成长!$R8</f>
        <v>13</v>
      </c>
      <c r="AG1109" s="4">
        <v>0</v>
      </c>
      <c r="AH1109" s="4">
        <v>0</v>
      </c>
      <c r="AI1109" s="4">
        <v>0</v>
      </c>
    </row>
    <row r="1110" spans="1:35" x14ac:dyDescent="0.15">
      <c r="A1110" s="4" t="s">
        <v>2662</v>
      </c>
      <c r="D1110" s="4">
        <v>302</v>
      </c>
      <c r="E1110" s="4">
        <v>8</v>
      </c>
      <c r="H1110" s="29">
        <v>1001</v>
      </c>
      <c r="I1110" s="4">
        <v>439</v>
      </c>
      <c r="L1110" s="30">
        <v>800</v>
      </c>
      <c r="M1110" s="4">
        <v>92</v>
      </c>
      <c r="N1110" s="4">
        <v>20</v>
      </c>
      <c r="O1110" s="4">
        <v>1178</v>
      </c>
      <c r="P1110" s="4">
        <v>0</v>
      </c>
      <c r="Q1110" s="4">
        <v>132</v>
      </c>
      <c r="R1110" s="4">
        <v>1.5</v>
      </c>
      <c r="S1110" s="4">
        <v>14</v>
      </c>
      <c r="T1110" s="4">
        <v>0</v>
      </c>
      <c r="U1110" s="4">
        <v>0</v>
      </c>
      <c r="V1110" s="4">
        <v>0</v>
      </c>
      <c r="Y1110" s="4">
        <f>[1]伙伴成长!$S9</f>
        <v>439</v>
      </c>
      <c r="Z1110" s="4">
        <f>[1]伙伴成长!$N9</f>
        <v>92</v>
      </c>
      <c r="AA1110" s="4">
        <f>[1]伙伴成长!$O9</f>
        <v>20</v>
      </c>
      <c r="AB1110" s="4">
        <f>[1]伙伴成长!$P9</f>
        <v>1178</v>
      </c>
      <c r="AC1110" s="4">
        <v>0</v>
      </c>
      <c r="AD1110" s="4">
        <f>[1]伙伴成长!$Q9</f>
        <v>132</v>
      </c>
      <c r="AE1110" s="4">
        <v>1.5</v>
      </c>
      <c r="AF1110" s="4">
        <f>[1]伙伴成长!$R9</f>
        <v>14</v>
      </c>
      <c r="AG1110" s="4">
        <v>0</v>
      </c>
      <c r="AH1110" s="4">
        <v>0</v>
      </c>
      <c r="AI1110" s="4">
        <v>0</v>
      </c>
    </row>
    <row r="1111" spans="1:35" x14ac:dyDescent="0.15">
      <c r="A1111" s="4" t="s">
        <v>2662</v>
      </c>
      <c r="D1111" s="4">
        <v>302</v>
      </c>
      <c r="E1111" s="4">
        <v>9</v>
      </c>
      <c r="H1111" s="29">
        <v>1001</v>
      </c>
      <c r="I1111" s="4">
        <v>468</v>
      </c>
      <c r="L1111" s="30">
        <v>800</v>
      </c>
      <c r="M1111" s="4">
        <v>100</v>
      </c>
      <c r="N1111" s="4">
        <v>22</v>
      </c>
      <c r="O1111" s="4">
        <v>1232</v>
      </c>
      <c r="P1111" s="4">
        <v>0</v>
      </c>
      <c r="Q1111" s="4">
        <v>138</v>
      </c>
      <c r="R1111" s="4">
        <v>1.5</v>
      </c>
      <c r="S1111" s="4">
        <v>15</v>
      </c>
      <c r="T1111" s="4">
        <v>0</v>
      </c>
      <c r="U1111" s="4">
        <v>0</v>
      </c>
      <c r="V1111" s="4">
        <v>0</v>
      </c>
      <c r="Y1111" s="4">
        <f>[1]伙伴成长!$S10</f>
        <v>468</v>
      </c>
      <c r="Z1111" s="4">
        <f>[1]伙伴成长!$N10</f>
        <v>100</v>
      </c>
      <c r="AA1111" s="4">
        <f>[1]伙伴成长!$O10</f>
        <v>22</v>
      </c>
      <c r="AB1111" s="4">
        <f>[1]伙伴成长!$P10</f>
        <v>1232</v>
      </c>
      <c r="AC1111" s="4">
        <v>0</v>
      </c>
      <c r="AD1111" s="4">
        <f>[1]伙伴成长!$Q10</f>
        <v>138</v>
      </c>
      <c r="AE1111" s="4">
        <v>1.5</v>
      </c>
      <c r="AF1111" s="4">
        <f>[1]伙伴成长!$R10</f>
        <v>15</v>
      </c>
      <c r="AG1111" s="4">
        <v>0</v>
      </c>
      <c r="AH1111" s="4">
        <v>0</v>
      </c>
      <c r="AI1111" s="4">
        <v>0</v>
      </c>
    </row>
    <row r="1112" spans="1:35" x14ac:dyDescent="0.15">
      <c r="A1112" s="4" t="s">
        <v>2662</v>
      </c>
      <c r="D1112" s="4">
        <v>302</v>
      </c>
      <c r="E1112" s="4">
        <v>10</v>
      </c>
      <c r="H1112" s="29">
        <v>1001</v>
      </c>
      <c r="I1112" s="4">
        <v>496</v>
      </c>
      <c r="L1112" s="30">
        <v>800</v>
      </c>
      <c r="M1112" s="4">
        <v>108</v>
      </c>
      <c r="N1112" s="4">
        <v>24</v>
      </c>
      <c r="O1112" s="4">
        <v>1286</v>
      </c>
      <c r="P1112" s="4">
        <v>0</v>
      </c>
      <c r="Q1112" s="4">
        <v>144</v>
      </c>
      <c r="R1112" s="4">
        <v>1.5</v>
      </c>
      <c r="S1112" s="4">
        <v>16</v>
      </c>
      <c r="T1112" s="4">
        <v>0</v>
      </c>
      <c r="U1112" s="4">
        <v>0</v>
      </c>
      <c r="V1112" s="4">
        <v>0</v>
      </c>
      <c r="Y1112" s="4">
        <f>[1]伙伴成长!$S11</f>
        <v>496</v>
      </c>
      <c r="Z1112" s="4">
        <f>[1]伙伴成长!$N11</f>
        <v>108</v>
      </c>
      <c r="AA1112" s="4">
        <f>[1]伙伴成长!$O11</f>
        <v>24</v>
      </c>
      <c r="AB1112" s="4">
        <f>[1]伙伴成长!$P11</f>
        <v>1286</v>
      </c>
      <c r="AC1112" s="4">
        <v>0</v>
      </c>
      <c r="AD1112" s="4">
        <f>[1]伙伴成长!$Q11</f>
        <v>144</v>
      </c>
      <c r="AE1112" s="4">
        <v>1.5</v>
      </c>
      <c r="AF1112" s="4">
        <f>[1]伙伴成长!$R11</f>
        <v>16</v>
      </c>
      <c r="AG1112" s="4">
        <v>0</v>
      </c>
      <c r="AH1112" s="4">
        <v>0</v>
      </c>
      <c r="AI1112" s="4">
        <v>0</v>
      </c>
    </row>
    <row r="1113" spans="1:35" x14ac:dyDescent="0.15">
      <c r="A1113" s="4" t="s">
        <v>2662</v>
      </c>
      <c r="D1113" s="4">
        <v>302</v>
      </c>
      <c r="E1113" s="4">
        <v>11</v>
      </c>
      <c r="H1113" s="29">
        <v>1001</v>
      </c>
      <c r="I1113" s="4">
        <v>525</v>
      </c>
      <c r="L1113" s="30">
        <v>800</v>
      </c>
      <c r="M1113" s="4">
        <v>116</v>
      </c>
      <c r="N1113" s="4">
        <v>26</v>
      </c>
      <c r="O1113" s="4">
        <v>1340</v>
      </c>
      <c r="P1113" s="4">
        <v>0</v>
      </c>
      <c r="Q1113" s="4">
        <v>150</v>
      </c>
      <c r="R1113" s="4">
        <v>1.5</v>
      </c>
      <c r="S1113" s="4">
        <v>17</v>
      </c>
      <c r="T1113" s="4">
        <v>0</v>
      </c>
      <c r="U1113" s="4">
        <v>0</v>
      </c>
      <c r="V1113" s="4">
        <v>0</v>
      </c>
      <c r="Y1113" s="4">
        <f>[1]伙伴成长!$S12</f>
        <v>525</v>
      </c>
      <c r="Z1113" s="4">
        <f>[1]伙伴成长!$N12</f>
        <v>116</v>
      </c>
      <c r="AA1113" s="4">
        <f>[1]伙伴成长!$O12</f>
        <v>26</v>
      </c>
      <c r="AB1113" s="4">
        <f>[1]伙伴成长!$P12</f>
        <v>1340</v>
      </c>
      <c r="AC1113" s="4">
        <v>0</v>
      </c>
      <c r="AD1113" s="4">
        <f>[1]伙伴成长!$Q12</f>
        <v>150</v>
      </c>
      <c r="AE1113" s="4">
        <v>1.5</v>
      </c>
      <c r="AF1113" s="4">
        <f>[1]伙伴成长!$R12</f>
        <v>17</v>
      </c>
      <c r="AG1113" s="4">
        <v>0</v>
      </c>
      <c r="AH1113" s="4">
        <v>0</v>
      </c>
      <c r="AI1113" s="4">
        <v>0</v>
      </c>
    </row>
    <row r="1114" spans="1:35" x14ac:dyDescent="0.15">
      <c r="A1114" s="4" t="s">
        <v>2662</v>
      </c>
      <c r="D1114" s="4">
        <v>302</v>
      </c>
      <c r="E1114" s="4">
        <v>12</v>
      </c>
      <c r="H1114" s="29">
        <v>1001</v>
      </c>
      <c r="I1114" s="4">
        <v>553</v>
      </c>
      <c r="L1114" s="30">
        <v>800</v>
      </c>
      <c r="M1114" s="4">
        <v>124</v>
      </c>
      <c r="N1114" s="4">
        <v>28</v>
      </c>
      <c r="O1114" s="4">
        <v>1394</v>
      </c>
      <c r="P1114" s="4">
        <v>0</v>
      </c>
      <c r="Q1114" s="4">
        <v>156</v>
      </c>
      <c r="R1114" s="4">
        <v>1.5</v>
      </c>
      <c r="S1114" s="4">
        <v>18</v>
      </c>
      <c r="T1114" s="4">
        <v>0</v>
      </c>
      <c r="U1114" s="4">
        <v>0</v>
      </c>
      <c r="V1114" s="4">
        <v>0</v>
      </c>
      <c r="Y1114" s="4">
        <f>[1]伙伴成长!$S13</f>
        <v>553</v>
      </c>
      <c r="Z1114" s="4">
        <f>[1]伙伴成长!$N13</f>
        <v>124</v>
      </c>
      <c r="AA1114" s="4">
        <f>[1]伙伴成长!$O13</f>
        <v>28</v>
      </c>
      <c r="AB1114" s="4">
        <f>[1]伙伴成长!$P13</f>
        <v>1394</v>
      </c>
      <c r="AC1114" s="4">
        <v>0</v>
      </c>
      <c r="AD1114" s="4">
        <f>[1]伙伴成长!$Q13</f>
        <v>156</v>
      </c>
      <c r="AE1114" s="4">
        <v>1.5</v>
      </c>
      <c r="AF1114" s="4">
        <f>[1]伙伴成长!$R13</f>
        <v>18</v>
      </c>
      <c r="AG1114" s="4">
        <v>0</v>
      </c>
      <c r="AH1114" s="4">
        <v>0</v>
      </c>
      <c r="AI1114" s="4">
        <v>0</v>
      </c>
    </row>
    <row r="1115" spans="1:35" x14ac:dyDescent="0.15">
      <c r="A1115" s="4" t="s">
        <v>2662</v>
      </c>
      <c r="D1115" s="4">
        <v>302</v>
      </c>
      <c r="E1115" s="4">
        <v>13</v>
      </c>
      <c r="H1115" s="29">
        <v>1001</v>
      </c>
      <c r="I1115" s="4">
        <v>581</v>
      </c>
      <c r="L1115" s="30">
        <v>800</v>
      </c>
      <c r="M1115" s="4">
        <v>132</v>
      </c>
      <c r="N1115" s="4">
        <v>30</v>
      </c>
      <c r="O1115" s="4">
        <v>1448</v>
      </c>
      <c r="P1115" s="4">
        <v>0</v>
      </c>
      <c r="Q1115" s="4">
        <v>162</v>
      </c>
      <c r="R1115" s="4">
        <v>1.5</v>
      </c>
      <c r="S1115" s="4">
        <v>19</v>
      </c>
      <c r="T1115" s="4">
        <v>0</v>
      </c>
      <c r="U1115" s="4">
        <v>0</v>
      </c>
      <c r="V1115" s="4">
        <v>0</v>
      </c>
      <c r="Y1115" s="4">
        <f>[1]伙伴成长!$S14</f>
        <v>581</v>
      </c>
      <c r="Z1115" s="4">
        <f>[1]伙伴成长!$N14</f>
        <v>132</v>
      </c>
      <c r="AA1115" s="4">
        <f>[1]伙伴成长!$O14</f>
        <v>30</v>
      </c>
      <c r="AB1115" s="4">
        <f>[1]伙伴成长!$P14</f>
        <v>1448</v>
      </c>
      <c r="AC1115" s="4">
        <v>0</v>
      </c>
      <c r="AD1115" s="4">
        <f>[1]伙伴成长!$Q14</f>
        <v>162</v>
      </c>
      <c r="AE1115" s="4">
        <v>1.5</v>
      </c>
      <c r="AF1115" s="4">
        <f>[1]伙伴成长!$R14</f>
        <v>19</v>
      </c>
      <c r="AG1115" s="4">
        <v>0</v>
      </c>
      <c r="AH1115" s="4">
        <v>0</v>
      </c>
      <c r="AI1115" s="4">
        <v>0</v>
      </c>
    </row>
    <row r="1116" spans="1:35" x14ac:dyDescent="0.15">
      <c r="A1116" s="4" t="s">
        <v>2662</v>
      </c>
      <c r="D1116" s="4">
        <v>302</v>
      </c>
      <c r="E1116" s="4">
        <v>14</v>
      </c>
      <c r="H1116" s="29">
        <v>1001</v>
      </c>
      <c r="I1116" s="4">
        <v>610</v>
      </c>
      <c r="L1116" s="30">
        <v>800</v>
      </c>
      <c r="M1116" s="4">
        <v>140</v>
      </c>
      <c r="N1116" s="4">
        <v>32</v>
      </c>
      <c r="O1116" s="4">
        <v>1502</v>
      </c>
      <c r="P1116" s="4">
        <v>0</v>
      </c>
      <c r="Q1116" s="4">
        <v>168</v>
      </c>
      <c r="R1116" s="4">
        <v>1.5</v>
      </c>
      <c r="S1116" s="4">
        <v>20</v>
      </c>
      <c r="T1116" s="4">
        <v>0</v>
      </c>
      <c r="U1116" s="4">
        <v>0</v>
      </c>
      <c r="V1116" s="4">
        <v>0</v>
      </c>
      <c r="Y1116" s="4">
        <f>[1]伙伴成长!$S15</f>
        <v>610</v>
      </c>
      <c r="Z1116" s="4">
        <f>[1]伙伴成长!$N15</f>
        <v>140</v>
      </c>
      <c r="AA1116" s="4">
        <f>[1]伙伴成长!$O15</f>
        <v>32</v>
      </c>
      <c r="AB1116" s="4">
        <f>[1]伙伴成长!$P15</f>
        <v>1502</v>
      </c>
      <c r="AC1116" s="4">
        <v>0</v>
      </c>
      <c r="AD1116" s="4">
        <f>[1]伙伴成长!$Q15</f>
        <v>168</v>
      </c>
      <c r="AE1116" s="4">
        <v>1.5</v>
      </c>
      <c r="AF1116" s="4">
        <f>[1]伙伴成长!$R15</f>
        <v>20</v>
      </c>
      <c r="AG1116" s="4">
        <v>0</v>
      </c>
      <c r="AH1116" s="4">
        <v>0</v>
      </c>
      <c r="AI1116" s="4">
        <v>0</v>
      </c>
    </row>
    <row r="1117" spans="1:35" x14ac:dyDescent="0.15">
      <c r="A1117" s="4" t="s">
        <v>2662</v>
      </c>
      <c r="D1117" s="4">
        <v>302</v>
      </c>
      <c r="E1117" s="4">
        <v>15</v>
      </c>
      <c r="H1117" s="29">
        <v>1001</v>
      </c>
      <c r="I1117" s="4">
        <v>638</v>
      </c>
      <c r="L1117" s="30">
        <v>800</v>
      </c>
      <c r="M1117" s="4">
        <v>148</v>
      </c>
      <c r="N1117" s="4">
        <v>34</v>
      </c>
      <c r="O1117" s="4">
        <v>1556</v>
      </c>
      <c r="P1117" s="4">
        <v>0</v>
      </c>
      <c r="Q1117" s="4">
        <v>174</v>
      </c>
      <c r="R1117" s="4">
        <v>1.5</v>
      </c>
      <c r="S1117" s="4">
        <v>21</v>
      </c>
      <c r="T1117" s="4">
        <v>0</v>
      </c>
      <c r="U1117" s="4">
        <v>0</v>
      </c>
      <c r="V1117" s="4">
        <v>0</v>
      </c>
      <c r="Y1117" s="4">
        <f>[1]伙伴成长!$S16</f>
        <v>638</v>
      </c>
      <c r="Z1117" s="4">
        <f>[1]伙伴成长!$N16</f>
        <v>148</v>
      </c>
      <c r="AA1117" s="4">
        <f>[1]伙伴成长!$O16</f>
        <v>34</v>
      </c>
      <c r="AB1117" s="4">
        <f>[1]伙伴成长!$P16</f>
        <v>1556</v>
      </c>
      <c r="AC1117" s="4">
        <v>0</v>
      </c>
      <c r="AD1117" s="4">
        <f>[1]伙伴成长!$Q16</f>
        <v>174</v>
      </c>
      <c r="AE1117" s="4">
        <v>1.5</v>
      </c>
      <c r="AF1117" s="4">
        <f>[1]伙伴成长!$R16</f>
        <v>21</v>
      </c>
      <c r="AG1117" s="4">
        <v>0</v>
      </c>
      <c r="AH1117" s="4">
        <v>0</v>
      </c>
      <c r="AI1117" s="4">
        <v>0</v>
      </c>
    </row>
    <row r="1118" spans="1:35" x14ac:dyDescent="0.15">
      <c r="A1118" s="4" t="s">
        <v>2662</v>
      </c>
      <c r="D1118" s="4">
        <v>302</v>
      </c>
      <c r="E1118" s="4">
        <v>16</v>
      </c>
      <c r="H1118" s="29">
        <v>1001</v>
      </c>
      <c r="I1118" s="4">
        <v>667</v>
      </c>
      <c r="L1118" s="30">
        <v>800</v>
      </c>
      <c r="M1118" s="4">
        <v>156</v>
      </c>
      <c r="N1118" s="4">
        <v>36</v>
      </c>
      <c r="O1118" s="4">
        <v>1610</v>
      </c>
      <c r="P1118" s="4">
        <v>0</v>
      </c>
      <c r="Q1118" s="4">
        <v>180</v>
      </c>
      <c r="R1118" s="4">
        <v>1.5</v>
      </c>
      <c r="S1118" s="4">
        <v>22</v>
      </c>
      <c r="T1118" s="4">
        <v>0</v>
      </c>
      <c r="U1118" s="4">
        <v>0</v>
      </c>
      <c r="V1118" s="4">
        <v>0</v>
      </c>
      <c r="Y1118" s="4">
        <f>[1]伙伴成长!$S17</f>
        <v>667</v>
      </c>
      <c r="Z1118" s="4">
        <f>[1]伙伴成长!$N17</f>
        <v>156</v>
      </c>
      <c r="AA1118" s="4">
        <f>[1]伙伴成长!$O17</f>
        <v>36</v>
      </c>
      <c r="AB1118" s="4">
        <f>[1]伙伴成长!$P17</f>
        <v>1610</v>
      </c>
      <c r="AC1118" s="4">
        <v>0</v>
      </c>
      <c r="AD1118" s="4">
        <f>[1]伙伴成长!$Q17</f>
        <v>180</v>
      </c>
      <c r="AE1118" s="4">
        <v>1.5</v>
      </c>
      <c r="AF1118" s="4">
        <f>[1]伙伴成长!$R17</f>
        <v>22</v>
      </c>
      <c r="AG1118" s="4">
        <v>0</v>
      </c>
      <c r="AH1118" s="4">
        <v>0</v>
      </c>
      <c r="AI1118" s="4">
        <v>0</v>
      </c>
    </row>
    <row r="1119" spans="1:35" x14ac:dyDescent="0.15">
      <c r="A1119" s="4" t="s">
        <v>2662</v>
      </c>
      <c r="D1119" s="4">
        <v>302</v>
      </c>
      <c r="E1119" s="4">
        <v>17</v>
      </c>
      <c r="H1119" s="29">
        <v>1001</v>
      </c>
      <c r="I1119" s="4">
        <v>695</v>
      </c>
      <c r="L1119" s="30">
        <v>800</v>
      </c>
      <c r="M1119" s="4">
        <v>164</v>
      </c>
      <c r="N1119" s="4">
        <v>38</v>
      </c>
      <c r="O1119" s="4">
        <v>1664</v>
      </c>
      <c r="P1119" s="4">
        <v>0</v>
      </c>
      <c r="Q1119" s="4">
        <v>186</v>
      </c>
      <c r="R1119" s="4">
        <v>1.5</v>
      </c>
      <c r="S1119" s="4">
        <v>23</v>
      </c>
      <c r="T1119" s="4">
        <v>0</v>
      </c>
      <c r="U1119" s="4">
        <v>0</v>
      </c>
      <c r="V1119" s="4">
        <v>0</v>
      </c>
      <c r="Y1119" s="4">
        <f>[1]伙伴成长!$S18</f>
        <v>695</v>
      </c>
      <c r="Z1119" s="4">
        <f>[1]伙伴成长!$N18</f>
        <v>164</v>
      </c>
      <c r="AA1119" s="4">
        <f>[1]伙伴成长!$O18</f>
        <v>38</v>
      </c>
      <c r="AB1119" s="4">
        <f>[1]伙伴成长!$P18</f>
        <v>1664</v>
      </c>
      <c r="AC1119" s="4">
        <v>0</v>
      </c>
      <c r="AD1119" s="4">
        <f>[1]伙伴成长!$Q18</f>
        <v>186</v>
      </c>
      <c r="AE1119" s="4">
        <v>1.5</v>
      </c>
      <c r="AF1119" s="4">
        <f>[1]伙伴成长!$R18</f>
        <v>23</v>
      </c>
      <c r="AG1119" s="4">
        <v>0</v>
      </c>
      <c r="AH1119" s="4">
        <v>0</v>
      </c>
      <c r="AI1119" s="4">
        <v>0</v>
      </c>
    </row>
    <row r="1120" spans="1:35" x14ac:dyDescent="0.15">
      <c r="A1120" s="4" t="s">
        <v>2662</v>
      </c>
      <c r="D1120" s="4">
        <v>302</v>
      </c>
      <c r="E1120" s="4">
        <v>18</v>
      </c>
      <c r="H1120" s="29">
        <v>1001</v>
      </c>
      <c r="I1120" s="4">
        <v>723</v>
      </c>
      <c r="L1120" s="30">
        <v>800</v>
      </c>
      <c r="M1120" s="4">
        <v>172</v>
      </c>
      <c r="N1120" s="4">
        <v>40</v>
      </c>
      <c r="O1120" s="4">
        <v>1718</v>
      </c>
      <c r="P1120" s="4">
        <v>0</v>
      </c>
      <c r="Q1120" s="4">
        <v>192</v>
      </c>
      <c r="R1120" s="4">
        <v>1.5</v>
      </c>
      <c r="S1120" s="4">
        <v>24</v>
      </c>
      <c r="T1120" s="4">
        <v>0</v>
      </c>
      <c r="U1120" s="4">
        <v>0</v>
      </c>
      <c r="V1120" s="4">
        <v>0</v>
      </c>
      <c r="Y1120" s="4">
        <f>[1]伙伴成长!$S19</f>
        <v>723</v>
      </c>
      <c r="Z1120" s="4">
        <f>[1]伙伴成长!$N19</f>
        <v>172</v>
      </c>
      <c r="AA1120" s="4">
        <f>[1]伙伴成长!$O19</f>
        <v>40</v>
      </c>
      <c r="AB1120" s="4">
        <f>[1]伙伴成长!$P19</f>
        <v>1718</v>
      </c>
      <c r="AC1120" s="4">
        <v>0</v>
      </c>
      <c r="AD1120" s="4">
        <f>[1]伙伴成长!$Q19</f>
        <v>192</v>
      </c>
      <c r="AE1120" s="4">
        <v>1.5</v>
      </c>
      <c r="AF1120" s="4">
        <f>[1]伙伴成长!$R19</f>
        <v>24</v>
      </c>
      <c r="AG1120" s="4">
        <v>0</v>
      </c>
      <c r="AH1120" s="4">
        <v>0</v>
      </c>
      <c r="AI1120" s="4">
        <v>0</v>
      </c>
    </row>
    <row r="1121" spans="1:35" x14ac:dyDescent="0.15">
      <c r="A1121" s="4" t="s">
        <v>2662</v>
      </c>
      <c r="D1121" s="4">
        <v>302</v>
      </c>
      <c r="E1121" s="4">
        <v>19</v>
      </c>
      <c r="H1121" s="29">
        <v>1001</v>
      </c>
      <c r="I1121" s="4">
        <v>752</v>
      </c>
      <c r="L1121" s="30">
        <v>800</v>
      </c>
      <c r="M1121" s="4">
        <v>180</v>
      </c>
      <c r="N1121" s="4">
        <v>42</v>
      </c>
      <c r="O1121" s="4">
        <v>1772</v>
      </c>
      <c r="P1121" s="4">
        <v>0</v>
      </c>
      <c r="Q1121" s="4">
        <v>198</v>
      </c>
      <c r="R1121" s="4">
        <v>1.5</v>
      </c>
      <c r="S1121" s="4">
        <v>25</v>
      </c>
      <c r="T1121" s="4">
        <v>0</v>
      </c>
      <c r="U1121" s="4">
        <v>0</v>
      </c>
      <c r="V1121" s="4">
        <v>0</v>
      </c>
      <c r="Y1121" s="4">
        <f>[1]伙伴成长!$S20</f>
        <v>752</v>
      </c>
      <c r="Z1121" s="4">
        <f>[1]伙伴成长!$N20</f>
        <v>180</v>
      </c>
      <c r="AA1121" s="4">
        <f>[1]伙伴成长!$O20</f>
        <v>42</v>
      </c>
      <c r="AB1121" s="4">
        <f>[1]伙伴成长!$P20</f>
        <v>1772</v>
      </c>
      <c r="AC1121" s="4">
        <v>0</v>
      </c>
      <c r="AD1121" s="4">
        <f>[1]伙伴成长!$Q20</f>
        <v>198</v>
      </c>
      <c r="AE1121" s="4">
        <v>1.5</v>
      </c>
      <c r="AF1121" s="4">
        <f>[1]伙伴成长!$R20</f>
        <v>25</v>
      </c>
      <c r="AG1121" s="4">
        <v>0</v>
      </c>
      <c r="AH1121" s="4">
        <v>0</v>
      </c>
      <c r="AI1121" s="4">
        <v>0</v>
      </c>
    </row>
    <row r="1122" spans="1:35" x14ac:dyDescent="0.15">
      <c r="A1122" s="4" t="s">
        <v>2662</v>
      </c>
      <c r="D1122" s="4">
        <v>302</v>
      </c>
      <c r="E1122" s="4">
        <v>20</v>
      </c>
      <c r="H1122" s="29">
        <v>1001</v>
      </c>
      <c r="I1122" s="4">
        <v>780</v>
      </c>
      <c r="L1122" s="30">
        <v>800</v>
      </c>
      <c r="M1122" s="4">
        <v>188</v>
      </c>
      <c r="N1122" s="4">
        <v>44</v>
      </c>
      <c r="O1122" s="4">
        <v>1826</v>
      </c>
      <c r="P1122" s="4">
        <v>0</v>
      </c>
      <c r="Q1122" s="4">
        <v>204</v>
      </c>
      <c r="R1122" s="4">
        <v>1.5</v>
      </c>
      <c r="S1122" s="4">
        <v>26</v>
      </c>
      <c r="T1122" s="4">
        <v>0</v>
      </c>
      <c r="U1122" s="4">
        <v>0</v>
      </c>
      <c r="V1122" s="4">
        <v>0</v>
      </c>
      <c r="Y1122" s="4">
        <f>[1]伙伴成长!$S21</f>
        <v>780</v>
      </c>
      <c r="Z1122" s="4">
        <f>[1]伙伴成长!$N21</f>
        <v>188</v>
      </c>
      <c r="AA1122" s="4">
        <f>[1]伙伴成长!$O21</f>
        <v>44</v>
      </c>
      <c r="AB1122" s="4">
        <f>[1]伙伴成长!$P21</f>
        <v>1826</v>
      </c>
      <c r="AC1122" s="4">
        <v>0</v>
      </c>
      <c r="AD1122" s="4">
        <f>[1]伙伴成长!$Q21</f>
        <v>204</v>
      </c>
      <c r="AE1122" s="4">
        <v>1.5</v>
      </c>
      <c r="AF1122" s="4">
        <f>[1]伙伴成长!$R21</f>
        <v>26</v>
      </c>
      <c r="AG1122" s="4">
        <v>0</v>
      </c>
      <c r="AH1122" s="4">
        <v>0</v>
      </c>
      <c r="AI1122" s="4">
        <v>0</v>
      </c>
    </row>
    <row r="1123" spans="1:35" x14ac:dyDescent="0.15">
      <c r="A1123" s="4" t="s">
        <v>2662</v>
      </c>
      <c r="D1123" s="4">
        <v>302</v>
      </c>
      <c r="E1123" s="4">
        <v>21</v>
      </c>
      <c r="H1123" s="29">
        <v>1001</v>
      </c>
      <c r="I1123" s="4">
        <v>809</v>
      </c>
      <c r="L1123" s="30">
        <v>800</v>
      </c>
      <c r="M1123" s="4">
        <v>196</v>
      </c>
      <c r="N1123" s="4">
        <v>46</v>
      </c>
      <c r="O1123" s="4">
        <v>1880</v>
      </c>
      <c r="P1123" s="4">
        <v>0</v>
      </c>
      <c r="Q1123" s="4">
        <v>210</v>
      </c>
      <c r="R1123" s="4">
        <v>1.5</v>
      </c>
      <c r="S1123" s="4">
        <v>27</v>
      </c>
      <c r="T1123" s="4">
        <v>0</v>
      </c>
      <c r="U1123" s="4">
        <v>0</v>
      </c>
      <c r="V1123" s="4">
        <v>0</v>
      </c>
      <c r="Y1123" s="4">
        <f>[1]伙伴成长!$S22</f>
        <v>809</v>
      </c>
      <c r="Z1123" s="4">
        <f>[1]伙伴成长!$N22</f>
        <v>196</v>
      </c>
      <c r="AA1123" s="4">
        <f>[1]伙伴成长!$O22</f>
        <v>46</v>
      </c>
      <c r="AB1123" s="4">
        <f>[1]伙伴成长!$P22</f>
        <v>1880</v>
      </c>
      <c r="AC1123" s="4">
        <v>0</v>
      </c>
      <c r="AD1123" s="4">
        <f>[1]伙伴成长!$Q22</f>
        <v>210</v>
      </c>
      <c r="AE1123" s="4">
        <v>1.5</v>
      </c>
      <c r="AF1123" s="4">
        <f>[1]伙伴成长!$R22</f>
        <v>27</v>
      </c>
      <c r="AG1123" s="4">
        <v>0</v>
      </c>
      <c r="AH1123" s="4">
        <v>0</v>
      </c>
      <c r="AI1123" s="4">
        <v>0</v>
      </c>
    </row>
    <row r="1124" spans="1:35" x14ac:dyDescent="0.15">
      <c r="A1124" s="4" t="s">
        <v>2662</v>
      </c>
      <c r="D1124" s="4">
        <v>302</v>
      </c>
      <c r="E1124" s="4">
        <v>22</v>
      </c>
      <c r="H1124" s="29">
        <v>1001</v>
      </c>
      <c r="I1124" s="4">
        <v>837</v>
      </c>
      <c r="L1124" s="30">
        <v>800</v>
      </c>
      <c r="M1124" s="4">
        <v>204</v>
      </c>
      <c r="N1124" s="4">
        <v>48</v>
      </c>
      <c r="O1124" s="4">
        <v>1934</v>
      </c>
      <c r="P1124" s="4">
        <v>0</v>
      </c>
      <c r="Q1124" s="4">
        <v>216</v>
      </c>
      <c r="R1124" s="4">
        <v>1.5</v>
      </c>
      <c r="S1124" s="4">
        <v>28</v>
      </c>
      <c r="T1124" s="4">
        <v>0</v>
      </c>
      <c r="U1124" s="4">
        <v>0</v>
      </c>
      <c r="V1124" s="4">
        <v>0</v>
      </c>
      <c r="Y1124" s="4">
        <f>[1]伙伴成长!$S23</f>
        <v>837</v>
      </c>
      <c r="Z1124" s="4">
        <f>[1]伙伴成长!$N23</f>
        <v>204</v>
      </c>
      <c r="AA1124" s="4">
        <f>[1]伙伴成长!$O23</f>
        <v>48</v>
      </c>
      <c r="AB1124" s="4">
        <f>[1]伙伴成长!$P23</f>
        <v>1934</v>
      </c>
      <c r="AC1124" s="4">
        <v>0</v>
      </c>
      <c r="AD1124" s="4">
        <f>[1]伙伴成长!$Q23</f>
        <v>216</v>
      </c>
      <c r="AE1124" s="4">
        <v>1.5</v>
      </c>
      <c r="AF1124" s="4">
        <f>[1]伙伴成长!$R23</f>
        <v>28</v>
      </c>
      <c r="AG1124" s="4">
        <v>0</v>
      </c>
      <c r="AH1124" s="4">
        <v>0</v>
      </c>
      <c r="AI1124" s="4">
        <v>0</v>
      </c>
    </row>
    <row r="1125" spans="1:35" x14ac:dyDescent="0.15">
      <c r="A1125" s="4" t="s">
        <v>2662</v>
      </c>
      <c r="D1125" s="4">
        <v>302</v>
      </c>
      <c r="E1125" s="4">
        <v>23</v>
      </c>
      <c r="H1125" s="29">
        <v>1001</v>
      </c>
      <c r="I1125" s="4">
        <v>866</v>
      </c>
      <c r="L1125" s="30">
        <v>800</v>
      </c>
      <c r="M1125" s="4">
        <v>212</v>
      </c>
      <c r="N1125" s="4">
        <v>50</v>
      </c>
      <c r="O1125" s="4">
        <v>1988</v>
      </c>
      <c r="P1125" s="4">
        <v>0</v>
      </c>
      <c r="Q1125" s="4">
        <v>222</v>
      </c>
      <c r="R1125" s="4">
        <v>1.5</v>
      </c>
      <c r="S1125" s="4">
        <v>29</v>
      </c>
      <c r="T1125" s="4">
        <v>0</v>
      </c>
      <c r="U1125" s="4">
        <v>0</v>
      </c>
      <c r="V1125" s="4">
        <v>0</v>
      </c>
      <c r="Y1125" s="4">
        <f>[1]伙伴成长!$S24</f>
        <v>866</v>
      </c>
      <c r="Z1125" s="4">
        <f>[1]伙伴成长!$N24</f>
        <v>212</v>
      </c>
      <c r="AA1125" s="4">
        <f>[1]伙伴成长!$O24</f>
        <v>50</v>
      </c>
      <c r="AB1125" s="4">
        <f>[1]伙伴成长!$P24</f>
        <v>1988</v>
      </c>
      <c r="AC1125" s="4">
        <v>0</v>
      </c>
      <c r="AD1125" s="4">
        <f>[1]伙伴成长!$Q24</f>
        <v>222</v>
      </c>
      <c r="AE1125" s="4">
        <v>1.5</v>
      </c>
      <c r="AF1125" s="4">
        <f>[1]伙伴成长!$R24</f>
        <v>29</v>
      </c>
      <c r="AG1125" s="4">
        <v>0</v>
      </c>
      <c r="AH1125" s="4">
        <v>0</v>
      </c>
      <c r="AI1125" s="4">
        <v>0</v>
      </c>
    </row>
    <row r="1126" spans="1:35" x14ac:dyDescent="0.15">
      <c r="A1126" s="4" t="s">
        <v>2662</v>
      </c>
      <c r="D1126" s="4">
        <v>302</v>
      </c>
      <c r="E1126" s="4">
        <v>24</v>
      </c>
      <c r="H1126" s="29">
        <v>1001</v>
      </c>
      <c r="I1126" s="4">
        <v>894</v>
      </c>
      <c r="L1126" s="30">
        <v>800</v>
      </c>
      <c r="M1126" s="4">
        <v>220</v>
      </c>
      <c r="N1126" s="4">
        <v>52</v>
      </c>
      <c r="O1126" s="4">
        <v>2042</v>
      </c>
      <c r="P1126" s="4">
        <v>0</v>
      </c>
      <c r="Q1126" s="4">
        <v>228</v>
      </c>
      <c r="R1126" s="4">
        <v>1.5</v>
      </c>
      <c r="S1126" s="4">
        <v>30</v>
      </c>
      <c r="T1126" s="4">
        <v>0</v>
      </c>
      <c r="U1126" s="4">
        <v>0</v>
      </c>
      <c r="V1126" s="4">
        <v>0</v>
      </c>
      <c r="Y1126" s="4">
        <f>[1]伙伴成长!$S25</f>
        <v>894</v>
      </c>
      <c r="Z1126" s="4">
        <f>[1]伙伴成长!$N25</f>
        <v>220</v>
      </c>
      <c r="AA1126" s="4">
        <f>[1]伙伴成长!$O25</f>
        <v>52</v>
      </c>
      <c r="AB1126" s="4">
        <f>[1]伙伴成长!$P25</f>
        <v>2042</v>
      </c>
      <c r="AC1126" s="4">
        <v>0</v>
      </c>
      <c r="AD1126" s="4">
        <f>[1]伙伴成长!$Q25</f>
        <v>228</v>
      </c>
      <c r="AE1126" s="4">
        <v>1.5</v>
      </c>
      <c r="AF1126" s="4">
        <f>[1]伙伴成长!$R25</f>
        <v>30</v>
      </c>
      <c r="AG1126" s="4">
        <v>0</v>
      </c>
      <c r="AH1126" s="4">
        <v>0</v>
      </c>
      <c r="AI1126" s="4">
        <v>0</v>
      </c>
    </row>
    <row r="1127" spans="1:35" x14ac:dyDescent="0.15">
      <c r="A1127" s="4" t="s">
        <v>2662</v>
      </c>
      <c r="D1127" s="4">
        <v>302</v>
      </c>
      <c r="E1127" s="4">
        <v>25</v>
      </c>
      <c r="H1127" s="29">
        <v>1001</v>
      </c>
      <c r="I1127" s="4">
        <v>922</v>
      </c>
      <c r="L1127" s="30">
        <v>800</v>
      </c>
      <c r="M1127" s="4">
        <v>228</v>
      </c>
      <c r="N1127" s="4">
        <v>54</v>
      </c>
      <c r="O1127" s="4">
        <v>2096</v>
      </c>
      <c r="P1127" s="4">
        <v>0</v>
      </c>
      <c r="Q1127" s="4">
        <v>234</v>
      </c>
      <c r="R1127" s="4">
        <v>1.5</v>
      </c>
      <c r="S1127" s="4">
        <v>31</v>
      </c>
      <c r="T1127" s="4">
        <v>0</v>
      </c>
      <c r="U1127" s="4">
        <v>0</v>
      </c>
      <c r="V1127" s="4">
        <v>0</v>
      </c>
      <c r="Y1127" s="4">
        <f>[1]伙伴成长!$S26</f>
        <v>922</v>
      </c>
      <c r="Z1127" s="4">
        <f>[1]伙伴成长!$N26</f>
        <v>228</v>
      </c>
      <c r="AA1127" s="4">
        <f>[1]伙伴成长!$O26</f>
        <v>54</v>
      </c>
      <c r="AB1127" s="4">
        <f>[1]伙伴成长!$P26</f>
        <v>2096</v>
      </c>
      <c r="AC1127" s="4">
        <v>0</v>
      </c>
      <c r="AD1127" s="4">
        <f>[1]伙伴成长!$Q26</f>
        <v>234</v>
      </c>
      <c r="AE1127" s="4">
        <v>1.5</v>
      </c>
      <c r="AF1127" s="4">
        <f>[1]伙伴成长!$R26</f>
        <v>31</v>
      </c>
      <c r="AG1127" s="4">
        <v>0</v>
      </c>
      <c r="AH1127" s="4">
        <v>0</v>
      </c>
      <c r="AI1127" s="4">
        <v>0</v>
      </c>
    </row>
    <row r="1128" spans="1:35" x14ac:dyDescent="0.15">
      <c r="A1128" s="4" t="s">
        <v>2662</v>
      </c>
      <c r="D1128" s="4">
        <v>302</v>
      </c>
      <c r="E1128" s="4">
        <v>26</v>
      </c>
      <c r="H1128" s="29">
        <v>1001</v>
      </c>
      <c r="I1128" s="4">
        <v>951</v>
      </c>
      <c r="L1128" s="30">
        <v>800</v>
      </c>
      <c r="M1128" s="4">
        <v>236</v>
      </c>
      <c r="N1128" s="4">
        <v>56</v>
      </c>
      <c r="O1128" s="4">
        <v>2150</v>
      </c>
      <c r="P1128" s="4">
        <v>0</v>
      </c>
      <c r="Q1128" s="4">
        <v>240</v>
      </c>
      <c r="R1128" s="4">
        <v>1.5</v>
      </c>
      <c r="S1128" s="4">
        <v>32</v>
      </c>
      <c r="T1128" s="4">
        <v>0</v>
      </c>
      <c r="U1128" s="4">
        <v>0</v>
      </c>
      <c r="V1128" s="4">
        <v>0</v>
      </c>
      <c r="Y1128" s="4">
        <f>[1]伙伴成长!$S27</f>
        <v>951</v>
      </c>
      <c r="Z1128" s="4">
        <f>[1]伙伴成长!$N27</f>
        <v>236</v>
      </c>
      <c r="AA1128" s="4">
        <f>[1]伙伴成长!$O27</f>
        <v>56</v>
      </c>
      <c r="AB1128" s="4">
        <f>[1]伙伴成长!$P27</f>
        <v>2150</v>
      </c>
      <c r="AC1128" s="4">
        <v>0</v>
      </c>
      <c r="AD1128" s="4">
        <f>[1]伙伴成长!$Q27</f>
        <v>240</v>
      </c>
      <c r="AE1128" s="4">
        <v>1.5</v>
      </c>
      <c r="AF1128" s="4">
        <f>[1]伙伴成长!$R27</f>
        <v>32</v>
      </c>
      <c r="AG1128" s="4">
        <v>0</v>
      </c>
      <c r="AH1128" s="4">
        <v>0</v>
      </c>
      <c r="AI1128" s="4">
        <v>0</v>
      </c>
    </row>
    <row r="1129" spans="1:35" x14ac:dyDescent="0.15">
      <c r="A1129" s="4" t="s">
        <v>2662</v>
      </c>
      <c r="D1129" s="4">
        <v>302</v>
      </c>
      <c r="E1129" s="4">
        <v>27</v>
      </c>
      <c r="H1129" s="29">
        <v>1001</v>
      </c>
      <c r="I1129" s="4">
        <v>979</v>
      </c>
      <c r="L1129" s="30">
        <v>800</v>
      </c>
      <c r="M1129" s="4">
        <v>244</v>
      </c>
      <c r="N1129" s="4">
        <v>58</v>
      </c>
      <c r="O1129" s="4">
        <v>2204</v>
      </c>
      <c r="P1129" s="4">
        <v>0</v>
      </c>
      <c r="Q1129" s="4">
        <v>246</v>
      </c>
      <c r="R1129" s="4">
        <v>1.5</v>
      </c>
      <c r="S1129" s="4">
        <v>33</v>
      </c>
      <c r="T1129" s="4">
        <v>0</v>
      </c>
      <c r="U1129" s="4">
        <v>0</v>
      </c>
      <c r="V1129" s="4">
        <v>0</v>
      </c>
      <c r="Y1129" s="4">
        <f>[1]伙伴成长!$S28</f>
        <v>979</v>
      </c>
      <c r="Z1129" s="4">
        <f>[1]伙伴成长!$N28</f>
        <v>244</v>
      </c>
      <c r="AA1129" s="4">
        <f>[1]伙伴成长!$O28</f>
        <v>58</v>
      </c>
      <c r="AB1129" s="4">
        <f>[1]伙伴成长!$P28</f>
        <v>2204</v>
      </c>
      <c r="AC1129" s="4">
        <v>0</v>
      </c>
      <c r="AD1129" s="4">
        <f>[1]伙伴成长!$Q28</f>
        <v>246</v>
      </c>
      <c r="AE1129" s="4">
        <v>1.5</v>
      </c>
      <c r="AF1129" s="4">
        <f>[1]伙伴成长!$R28</f>
        <v>33</v>
      </c>
      <c r="AG1129" s="4">
        <v>0</v>
      </c>
      <c r="AH1129" s="4">
        <v>0</v>
      </c>
      <c r="AI1129" s="4">
        <v>0</v>
      </c>
    </row>
    <row r="1130" spans="1:35" x14ac:dyDescent="0.15">
      <c r="A1130" s="4" t="s">
        <v>2662</v>
      </c>
      <c r="D1130" s="4">
        <v>302</v>
      </c>
      <c r="E1130" s="4">
        <v>28</v>
      </c>
      <c r="H1130" s="29">
        <v>1001</v>
      </c>
      <c r="I1130" s="4">
        <v>1008</v>
      </c>
      <c r="L1130" s="30">
        <v>800</v>
      </c>
      <c r="M1130" s="4">
        <v>252</v>
      </c>
      <c r="N1130" s="4">
        <v>60</v>
      </c>
      <c r="O1130" s="4">
        <v>2258</v>
      </c>
      <c r="P1130" s="4">
        <v>0</v>
      </c>
      <c r="Q1130" s="4">
        <v>252</v>
      </c>
      <c r="R1130" s="4">
        <v>1.5</v>
      </c>
      <c r="S1130" s="4">
        <v>34</v>
      </c>
      <c r="T1130" s="4">
        <v>0</v>
      </c>
      <c r="U1130" s="4">
        <v>0</v>
      </c>
      <c r="V1130" s="4">
        <v>0</v>
      </c>
      <c r="Y1130" s="4">
        <f>[1]伙伴成长!$S29</f>
        <v>1008</v>
      </c>
      <c r="Z1130" s="4">
        <f>[1]伙伴成长!$N29</f>
        <v>252</v>
      </c>
      <c r="AA1130" s="4">
        <f>[1]伙伴成长!$O29</f>
        <v>60</v>
      </c>
      <c r="AB1130" s="4">
        <f>[1]伙伴成长!$P29</f>
        <v>2258</v>
      </c>
      <c r="AC1130" s="4">
        <v>0</v>
      </c>
      <c r="AD1130" s="4">
        <f>[1]伙伴成长!$Q29</f>
        <v>252</v>
      </c>
      <c r="AE1130" s="4">
        <v>1.5</v>
      </c>
      <c r="AF1130" s="4">
        <f>[1]伙伴成长!$R29</f>
        <v>34</v>
      </c>
      <c r="AG1130" s="4">
        <v>0</v>
      </c>
      <c r="AH1130" s="4">
        <v>0</v>
      </c>
      <c r="AI1130" s="4">
        <v>0</v>
      </c>
    </row>
    <row r="1131" spans="1:35" x14ac:dyDescent="0.15">
      <c r="A1131" s="4" t="s">
        <v>2662</v>
      </c>
      <c r="D1131" s="4">
        <v>302</v>
      </c>
      <c r="E1131" s="4">
        <v>29</v>
      </c>
      <c r="H1131" s="29">
        <v>1001</v>
      </c>
      <c r="I1131" s="4">
        <v>1036</v>
      </c>
      <c r="L1131" s="30">
        <v>800</v>
      </c>
      <c r="M1131" s="4">
        <v>260</v>
      </c>
      <c r="N1131" s="4">
        <v>62</v>
      </c>
      <c r="O1131" s="4">
        <v>2312</v>
      </c>
      <c r="P1131" s="4">
        <v>0</v>
      </c>
      <c r="Q1131" s="4">
        <v>258</v>
      </c>
      <c r="R1131" s="4">
        <v>1.5</v>
      </c>
      <c r="S1131" s="4">
        <v>35</v>
      </c>
      <c r="T1131" s="4">
        <v>0</v>
      </c>
      <c r="U1131" s="4">
        <v>0</v>
      </c>
      <c r="V1131" s="4">
        <v>0</v>
      </c>
      <c r="Y1131" s="4">
        <f>[1]伙伴成长!$S30</f>
        <v>1036</v>
      </c>
      <c r="Z1131" s="4">
        <f>[1]伙伴成长!$N30</f>
        <v>260</v>
      </c>
      <c r="AA1131" s="4">
        <f>[1]伙伴成长!$O30</f>
        <v>62</v>
      </c>
      <c r="AB1131" s="4">
        <f>[1]伙伴成长!$P30</f>
        <v>2312</v>
      </c>
      <c r="AC1131" s="4">
        <v>0</v>
      </c>
      <c r="AD1131" s="4">
        <f>[1]伙伴成长!$Q30</f>
        <v>258</v>
      </c>
      <c r="AE1131" s="4">
        <v>1.5</v>
      </c>
      <c r="AF1131" s="4">
        <f>[1]伙伴成长!$R30</f>
        <v>35</v>
      </c>
      <c r="AG1131" s="4">
        <v>0</v>
      </c>
      <c r="AH1131" s="4">
        <v>0</v>
      </c>
      <c r="AI1131" s="4">
        <v>0</v>
      </c>
    </row>
    <row r="1132" spans="1:35" x14ac:dyDescent="0.15">
      <c r="A1132" s="4" t="s">
        <v>2662</v>
      </c>
      <c r="D1132" s="4">
        <v>302</v>
      </c>
      <c r="E1132" s="4">
        <v>30</v>
      </c>
      <c r="H1132" s="29">
        <v>1001</v>
      </c>
      <c r="I1132" s="4">
        <v>1064</v>
      </c>
      <c r="L1132" s="30">
        <v>800</v>
      </c>
      <c r="M1132" s="4">
        <v>268</v>
      </c>
      <c r="N1132" s="4">
        <v>64</v>
      </c>
      <c r="O1132" s="4">
        <v>2366</v>
      </c>
      <c r="P1132" s="4">
        <v>0</v>
      </c>
      <c r="Q1132" s="4">
        <v>264</v>
      </c>
      <c r="R1132" s="4">
        <v>1.5</v>
      </c>
      <c r="S1132" s="4">
        <v>36</v>
      </c>
      <c r="T1132" s="4">
        <v>0</v>
      </c>
      <c r="U1132" s="4">
        <v>0</v>
      </c>
      <c r="V1132" s="4">
        <v>0</v>
      </c>
      <c r="Y1132" s="4">
        <f>[1]伙伴成长!$S31</f>
        <v>1064</v>
      </c>
      <c r="Z1132" s="4">
        <f>[1]伙伴成长!$N31</f>
        <v>268</v>
      </c>
      <c r="AA1132" s="4">
        <f>[1]伙伴成长!$O31</f>
        <v>64</v>
      </c>
      <c r="AB1132" s="4">
        <f>[1]伙伴成长!$P31</f>
        <v>2366</v>
      </c>
      <c r="AC1132" s="4">
        <v>0</v>
      </c>
      <c r="AD1132" s="4">
        <f>[1]伙伴成长!$Q31</f>
        <v>264</v>
      </c>
      <c r="AE1132" s="4">
        <v>1.5</v>
      </c>
      <c r="AF1132" s="4">
        <f>[1]伙伴成长!$R31</f>
        <v>36</v>
      </c>
      <c r="AG1132" s="4">
        <v>0</v>
      </c>
      <c r="AH1132" s="4">
        <v>0</v>
      </c>
      <c r="AI1132" s="4">
        <v>0</v>
      </c>
    </row>
    <row r="1133" spans="1:35" x14ac:dyDescent="0.15">
      <c r="A1133" s="4" t="s">
        <v>2662</v>
      </c>
      <c r="D1133" s="4">
        <v>302</v>
      </c>
      <c r="E1133" s="4">
        <v>31</v>
      </c>
      <c r="H1133" s="29">
        <v>1001</v>
      </c>
      <c r="I1133" s="4">
        <v>1093</v>
      </c>
      <c r="L1133" s="30">
        <v>800</v>
      </c>
      <c r="M1133" s="4">
        <v>276</v>
      </c>
      <c r="N1133" s="4">
        <v>66</v>
      </c>
      <c r="O1133" s="4">
        <v>2420</v>
      </c>
      <c r="P1133" s="4">
        <v>0</v>
      </c>
      <c r="Q1133" s="4">
        <v>270</v>
      </c>
      <c r="R1133" s="4">
        <v>1.5</v>
      </c>
      <c r="S1133" s="4">
        <v>37</v>
      </c>
      <c r="T1133" s="4">
        <v>0</v>
      </c>
      <c r="U1133" s="4">
        <v>0</v>
      </c>
      <c r="V1133" s="4">
        <v>0</v>
      </c>
      <c r="Y1133" s="4">
        <f>[1]伙伴成长!$S32</f>
        <v>1093</v>
      </c>
      <c r="Z1133" s="4">
        <f>[1]伙伴成长!$N32</f>
        <v>276</v>
      </c>
      <c r="AA1133" s="4">
        <f>[1]伙伴成长!$O32</f>
        <v>66</v>
      </c>
      <c r="AB1133" s="4">
        <f>[1]伙伴成长!$P32</f>
        <v>2420</v>
      </c>
      <c r="AC1133" s="4">
        <v>0</v>
      </c>
      <c r="AD1133" s="4">
        <f>[1]伙伴成长!$Q32</f>
        <v>270</v>
      </c>
      <c r="AE1133" s="4">
        <v>1.5</v>
      </c>
      <c r="AF1133" s="4">
        <f>[1]伙伴成长!$R32</f>
        <v>37</v>
      </c>
      <c r="AG1133" s="4">
        <v>0</v>
      </c>
      <c r="AH1133" s="4">
        <v>0</v>
      </c>
      <c r="AI1133" s="4">
        <v>0</v>
      </c>
    </row>
    <row r="1134" spans="1:35" x14ac:dyDescent="0.15">
      <c r="A1134" s="4" t="s">
        <v>2662</v>
      </c>
      <c r="D1134" s="4">
        <v>302</v>
      </c>
      <c r="E1134" s="4">
        <v>32</v>
      </c>
      <c r="H1134" s="29">
        <v>1001</v>
      </c>
      <c r="I1134" s="4">
        <v>1121</v>
      </c>
      <c r="L1134" s="30">
        <v>800</v>
      </c>
      <c r="M1134" s="4">
        <v>284</v>
      </c>
      <c r="N1134" s="4">
        <v>68</v>
      </c>
      <c r="O1134" s="4">
        <v>2474</v>
      </c>
      <c r="P1134" s="4">
        <v>0</v>
      </c>
      <c r="Q1134" s="4">
        <v>276</v>
      </c>
      <c r="R1134" s="4">
        <v>1.5</v>
      </c>
      <c r="S1134" s="4">
        <v>38</v>
      </c>
      <c r="T1134" s="4">
        <v>0</v>
      </c>
      <c r="U1134" s="4">
        <v>0</v>
      </c>
      <c r="V1134" s="4">
        <v>0</v>
      </c>
      <c r="Y1134" s="4">
        <f>[1]伙伴成长!$S33</f>
        <v>1121</v>
      </c>
      <c r="Z1134" s="4">
        <f>[1]伙伴成长!$N33</f>
        <v>284</v>
      </c>
      <c r="AA1134" s="4">
        <f>[1]伙伴成长!$O33</f>
        <v>68</v>
      </c>
      <c r="AB1134" s="4">
        <f>[1]伙伴成长!$P33</f>
        <v>2474</v>
      </c>
      <c r="AC1134" s="4">
        <v>0</v>
      </c>
      <c r="AD1134" s="4">
        <f>[1]伙伴成长!$Q33</f>
        <v>276</v>
      </c>
      <c r="AE1134" s="4">
        <v>1.5</v>
      </c>
      <c r="AF1134" s="4">
        <f>[1]伙伴成长!$R33</f>
        <v>38</v>
      </c>
      <c r="AG1134" s="4">
        <v>0</v>
      </c>
      <c r="AH1134" s="4">
        <v>0</v>
      </c>
      <c r="AI1134" s="4">
        <v>0</v>
      </c>
    </row>
    <row r="1135" spans="1:35" x14ac:dyDescent="0.15">
      <c r="A1135" s="4" t="s">
        <v>2662</v>
      </c>
      <c r="D1135" s="4">
        <v>302</v>
      </c>
      <c r="E1135" s="4">
        <v>33</v>
      </c>
      <c r="H1135" s="29">
        <v>1001</v>
      </c>
      <c r="I1135" s="4">
        <v>1150</v>
      </c>
      <c r="L1135" s="30">
        <v>800</v>
      </c>
      <c r="M1135" s="4">
        <v>292</v>
      </c>
      <c r="N1135" s="4">
        <v>70</v>
      </c>
      <c r="O1135" s="4">
        <v>2528</v>
      </c>
      <c r="P1135" s="4">
        <v>0</v>
      </c>
      <c r="Q1135" s="4">
        <v>282</v>
      </c>
      <c r="R1135" s="4">
        <v>1.5</v>
      </c>
      <c r="S1135" s="4">
        <v>39</v>
      </c>
      <c r="T1135" s="4">
        <v>0</v>
      </c>
      <c r="U1135" s="4">
        <v>0</v>
      </c>
      <c r="V1135" s="4">
        <v>0</v>
      </c>
      <c r="Y1135" s="4">
        <f>[1]伙伴成长!$S34</f>
        <v>1150</v>
      </c>
      <c r="Z1135" s="4">
        <f>[1]伙伴成长!$N34</f>
        <v>292</v>
      </c>
      <c r="AA1135" s="4">
        <f>[1]伙伴成长!$O34</f>
        <v>70</v>
      </c>
      <c r="AB1135" s="4">
        <f>[1]伙伴成长!$P34</f>
        <v>2528</v>
      </c>
      <c r="AC1135" s="4">
        <v>0</v>
      </c>
      <c r="AD1135" s="4">
        <f>[1]伙伴成长!$Q34</f>
        <v>282</v>
      </c>
      <c r="AE1135" s="4">
        <v>1.5</v>
      </c>
      <c r="AF1135" s="4">
        <f>[1]伙伴成长!$R34</f>
        <v>39</v>
      </c>
      <c r="AG1135" s="4">
        <v>0</v>
      </c>
      <c r="AH1135" s="4">
        <v>0</v>
      </c>
      <c r="AI1135" s="4">
        <v>0</v>
      </c>
    </row>
    <row r="1136" spans="1:35" x14ac:dyDescent="0.15">
      <c r="A1136" s="4" t="s">
        <v>2662</v>
      </c>
      <c r="D1136" s="4">
        <v>302</v>
      </c>
      <c r="E1136" s="4">
        <v>34</v>
      </c>
      <c r="H1136" s="29">
        <v>1001</v>
      </c>
      <c r="I1136" s="4">
        <v>1178</v>
      </c>
      <c r="L1136" s="30">
        <v>800</v>
      </c>
      <c r="M1136" s="4">
        <v>300</v>
      </c>
      <c r="N1136" s="4">
        <v>72</v>
      </c>
      <c r="O1136" s="4">
        <v>2582</v>
      </c>
      <c r="P1136" s="4">
        <v>0</v>
      </c>
      <c r="Q1136" s="4">
        <v>288</v>
      </c>
      <c r="R1136" s="4">
        <v>1.5</v>
      </c>
      <c r="S1136" s="4">
        <v>40</v>
      </c>
      <c r="T1136" s="4">
        <v>0</v>
      </c>
      <c r="U1136" s="4">
        <v>0</v>
      </c>
      <c r="V1136" s="4">
        <v>0</v>
      </c>
      <c r="Y1136" s="4">
        <f>[1]伙伴成长!$S35</f>
        <v>1178</v>
      </c>
      <c r="Z1136" s="4">
        <f>[1]伙伴成长!$N35</f>
        <v>300</v>
      </c>
      <c r="AA1136" s="4">
        <f>[1]伙伴成长!$O35</f>
        <v>72</v>
      </c>
      <c r="AB1136" s="4">
        <f>[1]伙伴成长!$P35</f>
        <v>2582</v>
      </c>
      <c r="AC1136" s="4">
        <v>0</v>
      </c>
      <c r="AD1136" s="4">
        <f>[1]伙伴成长!$Q35</f>
        <v>288</v>
      </c>
      <c r="AE1136" s="4">
        <v>1.5</v>
      </c>
      <c r="AF1136" s="4">
        <f>[1]伙伴成长!$R35</f>
        <v>40</v>
      </c>
      <c r="AG1136" s="4">
        <v>0</v>
      </c>
      <c r="AH1136" s="4">
        <v>0</v>
      </c>
      <c r="AI1136" s="4">
        <v>0</v>
      </c>
    </row>
    <row r="1137" spans="1:35" x14ac:dyDescent="0.15">
      <c r="A1137" s="4" t="s">
        <v>2662</v>
      </c>
      <c r="D1137" s="4">
        <v>302</v>
      </c>
      <c r="E1137" s="4">
        <v>35</v>
      </c>
      <c r="H1137" s="29">
        <v>1001</v>
      </c>
      <c r="I1137" s="4">
        <v>1207</v>
      </c>
      <c r="L1137" s="30">
        <v>800</v>
      </c>
      <c r="M1137" s="4">
        <v>308</v>
      </c>
      <c r="N1137" s="4">
        <v>74</v>
      </c>
      <c r="O1137" s="4">
        <v>2636</v>
      </c>
      <c r="P1137" s="4">
        <v>0</v>
      </c>
      <c r="Q1137" s="4">
        <v>294</v>
      </c>
      <c r="R1137" s="4">
        <v>1.5</v>
      </c>
      <c r="S1137" s="4">
        <v>41</v>
      </c>
      <c r="T1137" s="4">
        <v>0</v>
      </c>
      <c r="U1137" s="4">
        <v>0</v>
      </c>
      <c r="V1137" s="4">
        <v>0</v>
      </c>
      <c r="Y1137" s="4">
        <f>[1]伙伴成长!$S36</f>
        <v>1207</v>
      </c>
      <c r="Z1137" s="4">
        <f>[1]伙伴成长!$N36</f>
        <v>308</v>
      </c>
      <c r="AA1137" s="4">
        <f>[1]伙伴成长!$O36</f>
        <v>74</v>
      </c>
      <c r="AB1137" s="4">
        <f>[1]伙伴成长!$P36</f>
        <v>2636</v>
      </c>
      <c r="AC1137" s="4">
        <v>0</v>
      </c>
      <c r="AD1137" s="4">
        <f>[1]伙伴成长!$Q36</f>
        <v>294</v>
      </c>
      <c r="AE1137" s="4">
        <v>1.5</v>
      </c>
      <c r="AF1137" s="4">
        <f>[1]伙伴成长!$R36</f>
        <v>41</v>
      </c>
      <c r="AG1137" s="4">
        <v>0</v>
      </c>
      <c r="AH1137" s="4">
        <v>0</v>
      </c>
      <c r="AI1137" s="4">
        <v>0</v>
      </c>
    </row>
    <row r="1138" spans="1:35" x14ac:dyDescent="0.15">
      <c r="A1138" s="4" t="s">
        <v>2662</v>
      </c>
      <c r="D1138" s="4">
        <v>302</v>
      </c>
      <c r="E1138" s="4">
        <v>36</v>
      </c>
      <c r="H1138" s="29">
        <v>1001</v>
      </c>
      <c r="I1138" s="4">
        <v>1235</v>
      </c>
      <c r="L1138" s="30">
        <v>800</v>
      </c>
      <c r="M1138" s="4">
        <v>316</v>
      </c>
      <c r="N1138" s="4">
        <v>76</v>
      </c>
      <c r="O1138" s="4">
        <v>2690</v>
      </c>
      <c r="P1138" s="4">
        <v>0</v>
      </c>
      <c r="Q1138" s="4">
        <v>300</v>
      </c>
      <c r="R1138" s="4">
        <v>1.5</v>
      </c>
      <c r="S1138" s="4">
        <v>42</v>
      </c>
      <c r="T1138" s="4">
        <v>0</v>
      </c>
      <c r="U1138" s="4">
        <v>0</v>
      </c>
      <c r="V1138" s="4">
        <v>0</v>
      </c>
      <c r="Y1138" s="4">
        <f>[1]伙伴成长!$S37</f>
        <v>1235</v>
      </c>
      <c r="Z1138" s="4">
        <f>[1]伙伴成长!$N37</f>
        <v>316</v>
      </c>
      <c r="AA1138" s="4">
        <f>[1]伙伴成长!$O37</f>
        <v>76</v>
      </c>
      <c r="AB1138" s="4">
        <f>[1]伙伴成长!$P37</f>
        <v>2690</v>
      </c>
      <c r="AC1138" s="4">
        <v>0</v>
      </c>
      <c r="AD1138" s="4">
        <f>[1]伙伴成长!$Q37</f>
        <v>300</v>
      </c>
      <c r="AE1138" s="4">
        <v>1.5</v>
      </c>
      <c r="AF1138" s="4">
        <f>[1]伙伴成长!$R37</f>
        <v>42</v>
      </c>
      <c r="AG1138" s="4">
        <v>0</v>
      </c>
      <c r="AH1138" s="4">
        <v>0</v>
      </c>
      <c r="AI1138" s="4">
        <v>0</v>
      </c>
    </row>
    <row r="1139" spans="1:35" x14ac:dyDescent="0.15">
      <c r="A1139" s="4" t="s">
        <v>2662</v>
      </c>
      <c r="D1139" s="4">
        <v>302</v>
      </c>
      <c r="E1139" s="4">
        <v>37</v>
      </c>
      <c r="H1139" s="29">
        <v>1001</v>
      </c>
      <c r="I1139" s="4">
        <v>1263</v>
      </c>
      <c r="L1139" s="30">
        <v>800</v>
      </c>
      <c r="M1139" s="4">
        <v>324</v>
      </c>
      <c r="N1139" s="4">
        <v>78</v>
      </c>
      <c r="O1139" s="4">
        <v>2744</v>
      </c>
      <c r="P1139" s="4">
        <v>0</v>
      </c>
      <c r="Q1139" s="4">
        <v>306</v>
      </c>
      <c r="R1139" s="4">
        <v>1.5</v>
      </c>
      <c r="S1139" s="4">
        <v>43</v>
      </c>
      <c r="T1139" s="4">
        <v>0</v>
      </c>
      <c r="U1139" s="4">
        <v>0</v>
      </c>
      <c r="V1139" s="4">
        <v>0</v>
      </c>
      <c r="Y1139" s="4">
        <f>[1]伙伴成长!$S38</f>
        <v>1263</v>
      </c>
      <c r="Z1139" s="4">
        <f>[1]伙伴成长!$N38</f>
        <v>324</v>
      </c>
      <c r="AA1139" s="4">
        <f>[1]伙伴成长!$O38</f>
        <v>78</v>
      </c>
      <c r="AB1139" s="4">
        <f>[1]伙伴成长!$P38</f>
        <v>2744</v>
      </c>
      <c r="AC1139" s="4">
        <v>0</v>
      </c>
      <c r="AD1139" s="4">
        <f>[1]伙伴成长!$Q38</f>
        <v>306</v>
      </c>
      <c r="AE1139" s="4">
        <v>1.5</v>
      </c>
      <c r="AF1139" s="4">
        <f>[1]伙伴成长!$R38</f>
        <v>43</v>
      </c>
      <c r="AG1139" s="4">
        <v>0</v>
      </c>
      <c r="AH1139" s="4">
        <v>0</v>
      </c>
      <c r="AI1139" s="4">
        <v>0</v>
      </c>
    </row>
    <row r="1140" spans="1:35" x14ac:dyDescent="0.15">
      <c r="A1140" s="4" t="s">
        <v>2662</v>
      </c>
      <c r="D1140" s="4">
        <v>302</v>
      </c>
      <c r="E1140" s="4">
        <v>38</v>
      </c>
      <c r="H1140" s="29">
        <v>1001</v>
      </c>
      <c r="I1140" s="4">
        <v>1292</v>
      </c>
      <c r="L1140" s="30">
        <v>800</v>
      </c>
      <c r="M1140" s="4">
        <v>332</v>
      </c>
      <c r="N1140" s="4">
        <v>80</v>
      </c>
      <c r="O1140" s="4">
        <v>2798</v>
      </c>
      <c r="P1140" s="4">
        <v>0</v>
      </c>
      <c r="Q1140" s="4">
        <v>312</v>
      </c>
      <c r="R1140" s="4">
        <v>1.5</v>
      </c>
      <c r="S1140" s="4">
        <v>44</v>
      </c>
      <c r="T1140" s="4">
        <v>0</v>
      </c>
      <c r="U1140" s="4">
        <v>0</v>
      </c>
      <c r="V1140" s="4">
        <v>0</v>
      </c>
      <c r="Y1140" s="4">
        <f>[1]伙伴成长!$S39</f>
        <v>1292</v>
      </c>
      <c r="Z1140" s="4">
        <f>[1]伙伴成长!$N39</f>
        <v>332</v>
      </c>
      <c r="AA1140" s="4">
        <f>[1]伙伴成长!$O39</f>
        <v>80</v>
      </c>
      <c r="AB1140" s="4">
        <f>[1]伙伴成长!$P39</f>
        <v>2798</v>
      </c>
      <c r="AC1140" s="4">
        <v>0</v>
      </c>
      <c r="AD1140" s="4">
        <f>[1]伙伴成长!$Q39</f>
        <v>312</v>
      </c>
      <c r="AE1140" s="4">
        <v>1.5</v>
      </c>
      <c r="AF1140" s="4">
        <f>[1]伙伴成长!$R39</f>
        <v>44</v>
      </c>
      <c r="AG1140" s="4">
        <v>0</v>
      </c>
      <c r="AH1140" s="4">
        <v>0</v>
      </c>
      <c r="AI1140" s="4">
        <v>0</v>
      </c>
    </row>
    <row r="1141" spans="1:35" x14ac:dyDescent="0.15">
      <c r="A1141" s="4" t="s">
        <v>2662</v>
      </c>
      <c r="D1141" s="4">
        <v>302</v>
      </c>
      <c r="E1141" s="4">
        <v>39</v>
      </c>
      <c r="H1141" s="29">
        <v>1001</v>
      </c>
      <c r="I1141" s="4">
        <v>1320</v>
      </c>
      <c r="L1141" s="30">
        <v>800</v>
      </c>
      <c r="M1141" s="4">
        <v>340</v>
      </c>
      <c r="N1141" s="4">
        <v>82</v>
      </c>
      <c r="O1141" s="4">
        <v>2852</v>
      </c>
      <c r="P1141" s="4">
        <v>0</v>
      </c>
      <c r="Q1141" s="4">
        <v>318</v>
      </c>
      <c r="R1141" s="4">
        <v>1.5</v>
      </c>
      <c r="S1141" s="4">
        <v>45</v>
      </c>
      <c r="T1141" s="4">
        <v>0</v>
      </c>
      <c r="U1141" s="4">
        <v>0</v>
      </c>
      <c r="V1141" s="4">
        <v>0</v>
      </c>
      <c r="Y1141" s="4">
        <f>[1]伙伴成长!$S40</f>
        <v>1320</v>
      </c>
      <c r="Z1141" s="4">
        <f>[1]伙伴成长!$N40</f>
        <v>340</v>
      </c>
      <c r="AA1141" s="4">
        <f>[1]伙伴成长!$O40</f>
        <v>82</v>
      </c>
      <c r="AB1141" s="4">
        <f>[1]伙伴成长!$P40</f>
        <v>2852</v>
      </c>
      <c r="AC1141" s="4">
        <v>0</v>
      </c>
      <c r="AD1141" s="4">
        <f>[1]伙伴成长!$Q40</f>
        <v>318</v>
      </c>
      <c r="AE1141" s="4">
        <v>1.5</v>
      </c>
      <c r="AF1141" s="4">
        <f>[1]伙伴成长!$R40</f>
        <v>45</v>
      </c>
      <c r="AG1141" s="4">
        <v>0</v>
      </c>
      <c r="AH1141" s="4">
        <v>0</v>
      </c>
      <c r="AI1141" s="4">
        <v>0</v>
      </c>
    </row>
    <row r="1142" spans="1:35" x14ac:dyDescent="0.15">
      <c r="A1142" s="4" t="s">
        <v>2662</v>
      </c>
      <c r="D1142" s="4">
        <v>302</v>
      </c>
      <c r="E1142" s="4">
        <v>40</v>
      </c>
      <c r="H1142" s="29">
        <v>1001</v>
      </c>
      <c r="I1142" s="4">
        <v>1349</v>
      </c>
      <c r="L1142" s="30">
        <v>800</v>
      </c>
      <c r="M1142" s="4">
        <v>348</v>
      </c>
      <c r="N1142" s="4">
        <v>84</v>
      </c>
      <c r="O1142" s="4">
        <v>2906</v>
      </c>
      <c r="P1142" s="4">
        <v>0</v>
      </c>
      <c r="Q1142" s="4">
        <v>324</v>
      </c>
      <c r="R1142" s="4">
        <v>1.5</v>
      </c>
      <c r="S1142" s="4">
        <v>46</v>
      </c>
      <c r="T1142" s="4">
        <v>0</v>
      </c>
      <c r="U1142" s="4">
        <v>0</v>
      </c>
      <c r="V1142" s="4">
        <v>0</v>
      </c>
      <c r="Y1142" s="4">
        <f>[1]伙伴成长!$S41</f>
        <v>1349</v>
      </c>
      <c r="Z1142" s="4">
        <f>[1]伙伴成长!$N41</f>
        <v>348</v>
      </c>
      <c r="AA1142" s="4">
        <f>[1]伙伴成长!$O41</f>
        <v>84</v>
      </c>
      <c r="AB1142" s="4">
        <f>[1]伙伴成长!$P41</f>
        <v>2906</v>
      </c>
      <c r="AC1142" s="4">
        <v>0</v>
      </c>
      <c r="AD1142" s="4">
        <f>[1]伙伴成长!$Q41</f>
        <v>324</v>
      </c>
      <c r="AE1142" s="4">
        <v>1.5</v>
      </c>
      <c r="AF1142" s="4">
        <f>[1]伙伴成长!$R41</f>
        <v>46</v>
      </c>
      <c r="AG1142" s="4">
        <v>0</v>
      </c>
      <c r="AH1142" s="4">
        <v>0</v>
      </c>
      <c r="AI1142" s="4">
        <v>0</v>
      </c>
    </row>
    <row r="1143" spans="1:35" x14ac:dyDescent="0.15">
      <c r="A1143" s="4" t="s">
        <v>2662</v>
      </c>
      <c r="D1143" s="4">
        <v>302</v>
      </c>
      <c r="E1143" s="4">
        <v>41</v>
      </c>
      <c r="H1143" s="29">
        <v>1001</v>
      </c>
      <c r="I1143" s="4">
        <v>1377</v>
      </c>
      <c r="L1143" s="30">
        <v>800</v>
      </c>
      <c r="M1143" s="4">
        <v>356</v>
      </c>
      <c r="N1143" s="4">
        <v>86</v>
      </c>
      <c r="O1143" s="4">
        <v>2960</v>
      </c>
      <c r="P1143" s="4">
        <v>0</v>
      </c>
      <c r="Q1143" s="4">
        <v>330</v>
      </c>
      <c r="R1143" s="4">
        <v>1.5</v>
      </c>
      <c r="S1143" s="4">
        <v>47</v>
      </c>
      <c r="T1143" s="4">
        <v>0</v>
      </c>
      <c r="U1143" s="4">
        <v>0</v>
      </c>
      <c r="V1143" s="4">
        <v>0</v>
      </c>
      <c r="Y1143" s="4">
        <f>[1]伙伴成长!$S42</f>
        <v>1377</v>
      </c>
      <c r="Z1143" s="4">
        <f>[1]伙伴成长!$N42</f>
        <v>356</v>
      </c>
      <c r="AA1143" s="4">
        <f>[1]伙伴成长!$O42</f>
        <v>86</v>
      </c>
      <c r="AB1143" s="4">
        <f>[1]伙伴成长!$P42</f>
        <v>2960</v>
      </c>
      <c r="AC1143" s="4">
        <v>0</v>
      </c>
      <c r="AD1143" s="4">
        <f>[1]伙伴成长!$Q42</f>
        <v>330</v>
      </c>
      <c r="AE1143" s="4">
        <v>1.5</v>
      </c>
      <c r="AF1143" s="4">
        <f>[1]伙伴成长!$R42</f>
        <v>47</v>
      </c>
      <c r="AG1143" s="4">
        <v>0</v>
      </c>
      <c r="AH1143" s="4">
        <v>0</v>
      </c>
      <c r="AI1143" s="4">
        <v>0</v>
      </c>
    </row>
    <row r="1144" spans="1:35" x14ac:dyDescent="0.15">
      <c r="A1144" s="4" t="s">
        <v>2662</v>
      </c>
      <c r="D1144" s="4">
        <v>302</v>
      </c>
      <c r="E1144" s="4">
        <v>42</v>
      </c>
      <c r="H1144" s="29">
        <v>1001</v>
      </c>
      <c r="I1144" s="4">
        <v>1406</v>
      </c>
      <c r="L1144" s="30">
        <v>800</v>
      </c>
      <c r="M1144" s="4">
        <v>364</v>
      </c>
      <c r="N1144" s="4">
        <v>88</v>
      </c>
      <c r="O1144" s="4">
        <v>3014</v>
      </c>
      <c r="P1144" s="4">
        <v>0</v>
      </c>
      <c r="Q1144" s="4">
        <v>336</v>
      </c>
      <c r="R1144" s="4">
        <v>1.5</v>
      </c>
      <c r="S1144" s="4">
        <v>48</v>
      </c>
      <c r="T1144" s="4">
        <v>0</v>
      </c>
      <c r="U1144" s="4">
        <v>0</v>
      </c>
      <c r="V1144" s="4">
        <v>0</v>
      </c>
      <c r="Y1144" s="4">
        <f>[1]伙伴成长!$S43</f>
        <v>1406</v>
      </c>
      <c r="Z1144" s="4">
        <f>[1]伙伴成长!$N43</f>
        <v>364</v>
      </c>
      <c r="AA1144" s="4">
        <f>[1]伙伴成长!$O43</f>
        <v>88</v>
      </c>
      <c r="AB1144" s="4">
        <f>[1]伙伴成长!$P43</f>
        <v>3014</v>
      </c>
      <c r="AC1144" s="4">
        <v>0</v>
      </c>
      <c r="AD1144" s="4">
        <f>[1]伙伴成长!$Q43</f>
        <v>336</v>
      </c>
      <c r="AE1144" s="4">
        <v>1.5</v>
      </c>
      <c r="AF1144" s="4">
        <f>[1]伙伴成长!$R43</f>
        <v>48</v>
      </c>
      <c r="AG1144" s="4">
        <v>0</v>
      </c>
      <c r="AH1144" s="4">
        <v>0</v>
      </c>
      <c r="AI1144" s="4">
        <v>0</v>
      </c>
    </row>
    <row r="1145" spans="1:35" x14ac:dyDescent="0.15">
      <c r="A1145" s="4" t="s">
        <v>2662</v>
      </c>
      <c r="D1145" s="4">
        <v>302</v>
      </c>
      <c r="E1145" s="4">
        <v>43</v>
      </c>
      <c r="H1145" s="29">
        <v>1001</v>
      </c>
      <c r="I1145" s="4">
        <v>1434</v>
      </c>
      <c r="L1145" s="30">
        <v>800</v>
      </c>
      <c r="M1145" s="4">
        <v>372</v>
      </c>
      <c r="N1145" s="4">
        <v>90</v>
      </c>
      <c r="O1145" s="4">
        <v>3068</v>
      </c>
      <c r="P1145" s="4">
        <v>0</v>
      </c>
      <c r="Q1145" s="4">
        <v>342</v>
      </c>
      <c r="R1145" s="4">
        <v>1.5</v>
      </c>
      <c r="S1145" s="4">
        <v>49</v>
      </c>
      <c r="T1145" s="4">
        <v>0</v>
      </c>
      <c r="U1145" s="4">
        <v>0</v>
      </c>
      <c r="V1145" s="4">
        <v>0</v>
      </c>
      <c r="Y1145" s="4">
        <f>[1]伙伴成长!$S44</f>
        <v>1434</v>
      </c>
      <c r="Z1145" s="4">
        <f>[1]伙伴成长!$N44</f>
        <v>372</v>
      </c>
      <c r="AA1145" s="4">
        <f>[1]伙伴成长!$O44</f>
        <v>90</v>
      </c>
      <c r="AB1145" s="4">
        <f>[1]伙伴成长!$P44</f>
        <v>3068</v>
      </c>
      <c r="AC1145" s="4">
        <v>0</v>
      </c>
      <c r="AD1145" s="4">
        <f>[1]伙伴成长!$Q44</f>
        <v>342</v>
      </c>
      <c r="AE1145" s="4">
        <v>1.5</v>
      </c>
      <c r="AF1145" s="4">
        <f>[1]伙伴成长!$R44</f>
        <v>49</v>
      </c>
      <c r="AG1145" s="4">
        <v>0</v>
      </c>
      <c r="AH1145" s="4">
        <v>0</v>
      </c>
      <c r="AI1145" s="4">
        <v>0</v>
      </c>
    </row>
    <row r="1146" spans="1:35" x14ac:dyDescent="0.15">
      <c r="A1146" s="4" t="s">
        <v>2662</v>
      </c>
      <c r="D1146" s="4">
        <v>302</v>
      </c>
      <c r="E1146" s="4">
        <v>44</v>
      </c>
      <c r="H1146" s="29">
        <v>1001</v>
      </c>
      <c r="I1146" s="4">
        <v>1462</v>
      </c>
      <c r="L1146" s="30">
        <v>800</v>
      </c>
      <c r="M1146" s="4">
        <v>380</v>
      </c>
      <c r="N1146" s="4">
        <v>92</v>
      </c>
      <c r="O1146" s="4">
        <v>3122</v>
      </c>
      <c r="P1146" s="4">
        <v>0</v>
      </c>
      <c r="Q1146" s="4">
        <v>348</v>
      </c>
      <c r="R1146" s="4">
        <v>1.5</v>
      </c>
      <c r="S1146" s="4">
        <v>50</v>
      </c>
      <c r="T1146" s="4">
        <v>0</v>
      </c>
      <c r="U1146" s="4">
        <v>0</v>
      </c>
      <c r="V1146" s="4">
        <v>0</v>
      </c>
      <c r="Y1146" s="4">
        <f>[1]伙伴成长!$S45</f>
        <v>1462</v>
      </c>
      <c r="Z1146" s="4">
        <f>[1]伙伴成长!$N45</f>
        <v>380</v>
      </c>
      <c r="AA1146" s="4">
        <f>[1]伙伴成长!$O45</f>
        <v>92</v>
      </c>
      <c r="AB1146" s="4">
        <f>[1]伙伴成长!$P45</f>
        <v>3122</v>
      </c>
      <c r="AC1146" s="4">
        <v>0</v>
      </c>
      <c r="AD1146" s="4">
        <f>[1]伙伴成长!$Q45</f>
        <v>348</v>
      </c>
      <c r="AE1146" s="4">
        <v>1.5</v>
      </c>
      <c r="AF1146" s="4">
        <f>[1]伙伴成长!$R45</f>
        <v>50</v>
      </c>
      <c r="AG1146" s="4">
        <v>0</v>
      </c>
      <c r="AH1146" s="4">
        <v>0</v>
      </c>
      <c r="AI1146" s="4">
        <v>0</v>
      </c>
    </row>
    <row r="1147" spans="1:35" x14ac:dyDescent="0.15">
      <c r="A1147" s="4" t="s">
        <v>2662</v>
      </c>
      <c r="D1147" s="4">
        <v>302</v>
      </c>
      <c r="E1147" s="4">
        <v>45</v>
      </c>
      <c r="H1147" s="29">
        <v>1001</v>
      </c>
      <c r="I1147" s="4">
        <v>1491</v>
      </c>
      <c r="L1147" s="30">
        <v>800</v>
      </c>
      <c r="M1147" s="4">
        <v>388</v>
      </c>
      <c r="N1147" s="4">
        <v>94</v>
      </c>
      <c r="O1147" s="4">
        <v>3176</v>
      </c>
      <c r="P1147" s="4">
        <v>0</v>
      </c>
      <c r="Q1147" s="4">
        <v>354</v>
      </c>
      <c r="R1147" s="4">
        <v>1.5</v>
      </c>
      <c r="S1147" s="4">
        <v>51</v>
      </c>
      <c r="T1147" s="4">
        <v>0</v>
      </c>
      <c r="U1147" s="4">
        <v>0</v>
      </c>
      <c r="V1147" s="4">
        <v>0</v>
      </c>
      <c r="Y1147" s="4">
        <f>[1]伙伴成长!$S46</f>
        <v>1491</v>
      </c>
      <c r="Z1147" s="4">
        <f>[1]伙伴成长!$N46</f>
        <v>388</v>
      </c>
      <c r="AA1147" s="4">
        <f>[1]伙伴成长!$O46</f>
        <v>94</v>
      </c>
      <c r="AB1147" s="4">
        <f>[1]伙伴成长!$P46</f>
        <v>3176</v>
      </c>
      <c r="AC1147" s="4">
        <v>0</v>
      </c>
      <c r="AD1147" s="4">
        <f>[1]伙伴成长!$Q46</f>
        <v>354</v>
      </c>
      <c r="AE1147" s="4">
        <v>1.5</v>
      </c>
      <c r="AF1147" s="4">
        <f>[1]伙伴成长!$R46</f>
        <v>51</v>
      </c>
      <c r="AG1147" s="4">
        <v>0</v>
      </c>
      <c r="AH1147" s="4">
        <v>0</v>
      </c>
      <c r="AI1147" s="4">
        <v>0</v>
      </c>
    </row>
    <row r="1148" spans="1:35" x14ac:dyDescent="0.15">
      <c r="A1148" s="4" t="s">
        <v>2662</v>
      </c>
      <c r="D1148" s="4">
        <v>302</v>
      </c>
      <c r="E1148" s="4">
        <v>46</v>
      </c>
      <c r="H1148" s="29">
        <v>1001</v>
      </c>
      <c r="I1148" s="4">
        <v>1519</v>
      </c>
      <c r="L1148" s="30">
        <v>800</v>
      </c>
      <c r="M1148" s="4">
        <v>396</v>
      </c>
      <c r="N1148" s="4">
        <v>96</v>
      </c>
      <c r="O1148" s="4">
        <v>3230</v>
      </c>
      <c r="P1148" s="4">
        <v>0</v>
      </c>
      <c r="Q1148" s="4">
        <v>360</v>
      </c>
      <c r="R1148" s="4">
        <v>1.5</v>
      </c>
      <c r="S1148" s="4">
        <v>52</v>
      </c>
      <c r="T1148" s="4">
        <v>0</v>
      </c>
      <c r="U1148" s="4">
        <v>0</v>
      </c>
      <c r="V1148" s="4">
        <v>0</v>
      </c>
      <c r="Y1148" s="4">
        <f>[1]伙伴成长!$S47</f>
        <v>1519</v>
      </c>
      <c r="Z1148" s="4">
        <f>[1]伙伴成长!$N47</f>
        <v>396</v>
      </c>
      <c r="AA1148" s="4">
        <f>[1]伙伴成长!$O47</f>
        <v>96</v>
      </c>
      <c r="AB1148" s="4">
        <f>[1]伙伴成长!$P47</f>
        <v>3230</v>
      </c>
      <c r="AC1148" s="4">
        <v>0</v>
      </c>
      <c r="AD1148" s="4">
        <f>[1]伙伴成长!$Q47</f>
        <v>360</v>
      </c>
      <c r="AE1148" s="4">
        <v>1.5</v>
      </c>
      <c r="AF1148" s="4">
        <f>[1]伙伴成长!$R47</f>
        <v>52</v>
      </c>
      <c r="AG1148" s="4">
        <v>0</v>
      </c>
      <c r="AH1148" s="4">
        <v>0</v>
      </c>
      <c r="AI1148" s="4">
        <v>0</v>
      </c>
    </row>
    <row r="1149" spans="1:35" x14ac:dyDescent="0.15">
      <c r="A1149" s="4" t="s">
        <v>2662</v>
      </c>
      <c r="D1149" s="4">
        <v>302</v>
      </c>
      <c r="E1149" s="4">
        <v>47</v>
      </c>
      <c r="H1149" s="29">
        <v>1001</v>
      </c>
      <c r="I1149" s="4">
        <v>1548</v>
      </c>
      <c r="L1149" s="30">
        <v>800</v>
      </c>
      <c r="M1149" s="4">
        <v>404</v>
      </c>
      <c r="N1149" s="4">
        <v>98</v>
      </c>
      <c r="O1149" s="4">
        <v>3284</v>
      </c>
      <c r="P1149" s="4">
        <v>0</v>
      </c>
      <c r="Q1149" s="4">
        <v>366</v>
      </c>
      <c r="R1149" s="4">
        <v>1.5</v>
      </c>
      <c r="S1149" s="4">
        <v>53</v>
      </c>
      <c r="T1149" s="4">
        <v>0</v>
      </c>
      <c r="U1149" s="4">
        <v>0</v>
      </c>
      <c r="V1149" s="4">
        <v>0</v>
      </c>
      <c r="Y1149" s="4">
        <f>[1]伙伴成长!$S48</f>
        <v>1548</v>
      </c>
      <c r="Z1149" s="4">
        <f>[1]伙伴成长!$N48</f>
        <v>404</v>
      </c>
      <c r="AA1149" s="4">
        <f>[1]伙伴成长!$O48</f>
        <v>98</v>
      </c>
      <c r="AB1149" s="4">
        <f>[1]伙伴成长!$P48</f>
        <v>3284</v>
      </c>
      <c r="AC1149" s="4">
        <v>0</v>
      </c>
      <c r="AD1149" s="4">
        <f>[1]伙伴成长!$Q48</f>
        <v>366</v>
      </c>
      <c r="AE1149" s="4">
        <v>1.5</v>
      </c>
      <c r="AF1149" s="4">
        <f>[1]伙伴成长!$R48</f>
        <v>53</v>
      </c>
      <c r="AG1149" s="4">
        <v>0</v>
      </c>
      <c r="AH1149" s="4">
        <v>0</v>
      </c>
      <c r="AI1149" s="4">
        <v>0</v>
      </c>
    </row>
    <row r="1150" spans="1:35" x14ac:dyDescent="0.15">
      <c r="A1150" s="4" t="s">
        <v>2662</v>
      </c>
      <c r="D1150" s="4">
        <v>302</v>
      </c>
      <c r="E1150" s="4">
        <v>48</v>
      </c>
      <c r="H1150" s="29">
        <v>1001</v>
      </c>
      <c r="I1150" s="4">
        <v>1576</v>
      </c>
      <c r="L1150" s="30">
        <v>800</v>
      </c>
      <c r="M1150" s="4">
        <v>412</v>
      </c>
      <c r="N1150" s="4">
        <v>100</v>
      </c>
      <c r="O1150" s="4">
        <v>3338</v>
      </c>
      <c r="P1150" s="4">
        <v>0</v>
      </c>
      <c r="Q1150" s="4">
        <v>372</v>
      </c>
      <c r="R1150" s="4">
        <v>1.5</v>
      </c>
      <c r="S1150" s="4">
        <v>54</v>
      </c>
      <c r="T1150" s="4">
        <v>0</v>
      </c>
      <c r="U1150" s="4">
        <v>0</v>
      </c>
      <c r="V1150" s="4">
        <v>0</v>
      </c>
      <c r="Y1150" s="4">
        <f>[1]伙伴成长!$S49</f>
        <v>1576</v>
      </c>
      <c r="Z1150" s="4">
        <f>[1]伙伴成长!$N49</f>
        <v>412</v>
      </c>
      <c r="AA1150" s="4">
        <f>[1]伙伴成长!$O49</f>
        <v>100</v>
      </c>
      <c r="AB1150" s="4">
        <f>[1]伙伴成长!$P49</f>
        <v>3338</v>
      </c>
      <c r="AC1150" s="4">
        <v>0</v>
      </c>
      <c r="AD1150" s="4">
        <f>[1]伙伴成长!$Q49</f>
        <v>372</v>
      </c>
      <c r="AE1150" s="4">
        <v>1.5</v>
      </c>
      <c r="AF1150" s="4">
        <f>[1]伙伴成长!$R49</f>
        <v>54</v>
      </c>
      <c r="AG1150" s="4">
        <v>0</v>
      </c>
      <c r="AH1150" s="4">
        <v>0</v>
      </c>
      <c r="AI1150" s="4">
        <v>0</v>
      </c>
    </row>
    <row r="1151" spans="1:35" x14ac:dyDescent="0.15">
      <c r="A1151" s="4" t="s">
        <v>2662</v>
      </c>
      <c r="D1151" s="4">
        <v>302</v>
      </c>
      <c r="E1151" s="4">
        <v>49</v>
      </c>
      <c r="H1151" s="29">
        <v>1001</v>
      </c>
      <c r="I1151" s="4">
        <v>1604</v>
      </c>
      <c r="L1151" s="30">
        <v>800</v>
      </c>
      <c r="M1151" s="4">
        <v>420</v>
      </c>
      <c r="N1151" s="4">
        <v>102</v>
      </c>
      <c r="O1151" s="4">
        <v>3392</v>
      </c>
      <c r="P1151" s="4">
        <v>0</v>
      </c>
      <c r="Q1151" s="4">
        <v>378</v>
      </c>
      <c r="R1151" s="4">
        <v>1.5</v>
      </c>
      <c r="S1151" s="4">
        <v>55</v>
      </c>
      <c r="T1151" s="4">
        <v>0</v>
      </c>
      <c r="U1151" s="4">
        <v>0</v>
      </c>
      <c r="V1151" s="4">
        <v>0</v>
      </c>
      <c r="Y1151" s="4">
        <f>[1]伙伴成长!$S50</f>
        <v>1604</v>
      </c>
      <c r="Z1151" s="4">
        <f>[1]伙伴成长!$N50</f>
        <v>420</v>
      </c>
      <c r="AA1151" s="4">
        <f>[1]伙伴成长!$O50</f>
        <v>102</v>
      </c>
      <c r="AB1151" s="4">
        <f>[1]伙伴成长!$P50</f>
        <v>3392</v>
      </c>
      <c r="AC1151" s="4">
        <v>0</v>
      </c>
      <c r="AD1151" s="4">
        <f>[1]伙伴成长!$Q50</f>
        <v>378</v>
      </c>
      <c r="AE1151" s="4">
        <v>1.5</v>
      </c>
      <c r="AF1151" s="4">
        <f>[1]伙伴成长!$R50</f>
        <v>55</v>
      </c>
      <c r="AG1151" s="4">
        <v>0</v>
      </c>
      <c r="AH1151" s="4">
        <v>0</v>
      </c>
      <c r="AI1151" s="4">
        <v>0</v>
      </c>
    </row>
    <row r="1152" spans="1:35" x14ac:dyDescent="0.15">
      <c r="A1152" s="4" t="s">
        <v>2662</v>
      </c>
      <c r="D1152" s="4">
        <v>302</v>
      </c>
      <c r="E1152" s="4">
        <v>50</v>
      </c>
      <c r="H1152" s="29">
        <v>1001</v>
      </c>
      <c r="I1152" s="4">
        <v>1633</v>
      </c>
      <c r="L1152" s="30">
        <v>800</v>
      </c>
      <c r="M1152" s="4">
        <v>428</v>
      </c>
      <c r="N1152" s="4">
        <v>104</v>
      </c>
      <c r="O1152" s="4">
        <v>3446</v>
      </c>
      <c r="P1152" s="4">
        <v>0</v>
      </c>
      <c r="Q1152" s="4">
        <v>384</v>
      </c>
      <c r="R1152" s="4">
        <v>1.5</v>
      </c>
      <c r="S1152" s="4">
        <v>56</v>
      </c>
      <c r="T1152" s="4">
        <v>0</v>
      </c>
      <c r="U1152" s="4">
        <v>0</v>
      </c>
      <c r="V1152" s="4">
        <v>0</v>
      </c>
      <c r="Y1152" s="4">
        <f>[1]伙伴成长!$S51</f>
        <v>1633</v>
      </c>
      <c r="Z1152" s="4">
        <f>[1]伙伴成长!$N51</f>
        <v>428</v>
      </c>
      <c r="AA1152" s="4">
        <f>[1]伙伴成长!$O51</f>
        <v>104</v>
      </c>
      <c r="AB1152" s="4">
        <f>[1]伙伴成长!$P51</f>
        <v>3446</v>
      </c>
      <c r="AC1152" s="4">
        <v>0</v>
      </c>
      <c r="AD1152" s="4">
        <f>[1]伙伴成长!$Q51</f>
        <v>384</v>
      </c>
      <c r="AE1152" s="4">
        <v>1.5</v>
      </c>
      <c r="AF1152" s="4">
        <f>[1]伙伴成长!$R51</f>
        <v>56</v>
      </c>
      <c r="AG1152" s="4">
        <v>0</v>
      </c>
      <c r="AH1152" s="4">
        <v>0</v>
      </c>
      <c r="AI1152" s="4">
        <v>0</v>
      </c>
    </row>
    <row r="1153" spans="1:35" x14ac:dyDescent="0.15">
      <c r="Z1153" s="4" t="s">
        <v>3560</v>
      </c>
    </row>
    <row r="1154" spans="1:35" x14ac:dyDescent="0.15">
      <c r="A1154" s="4" t="s">
        <v>2662</v>
      </c>
      <c r="C1154" s="4" t="s">
        <v>3098</v>
      </c>
      <c r="D1154" s="4">
        <v>303</v>
      </c>
      <c r="E1154" s="4">
        <v>0</v>
      </c>
      <c r="H1154" s="29">
        <v>3002</v>
      </c>
      <c r="I1154" s="30">
        <v>1</v>
      </c>
      <c r="L1154" s="30">
        <v>111</v>
      </c>
      <c r="M1154" s="4">
        <v>0</v>
      </c>
      <c r="N1154" s="4">
        <v>0</v>
      </c>
      <c r="O1154" s="4">
        <v>0</v>
      </c>
      <c r="P1154" s="4">
        <v>0</v>
      </c>
      <c r="Q1154" s="4">
        <v>0</v>
      </c>
      <c r="R1154" s="4">
        <v>0</v>
      </c>
      <c r="S1154" s="4">
        <v>0</v>
      </c>
      <c r="T1154" s="4">
        <v>0</v>
      </c>
      <c r="U1154" s="4">
        <v>0</v>
      </c>
      <c r="V1154" s="4">
        <v>0</v>
      </c>
      <c r="Y1154" s="4">
        <v>0</v>
      </c>
      <c r="Z1154" s="4">
        <v>0</v>
      </c>
      <c r="AA1154" s="4">
        <v>0</v>
      </c>
      <c r="AB1154" s="4">
        <v>0</v>
      </c>
      <c r="AC1154" s="4">
        <v>0</v>
      </c>
      <c r="AD1154" s="4">
        <v>0</v>
      </c>
      <c r="AE1154" s="4">
        <v>0</v>
      </c>
      <c r="AF1154" s="4">
        <v>0</v>
      </c>
      <c r="AG1154" s="4">
        <v>0</v>
      </c>
      <c r="AH1154" s="4">
        <v>0</v>
      </c>
      <c r="AI1154" s="4">
        <v>0</v>
      </c>
    </row>
    <row r="1155" spans="1:35" x14ac:dyDescent="0.15">
      <c r="A1155" s="4" t="s">
        <v>2662</v>
      </c>
      <c r="D1155" s="4">
        <v>303</v>
      </c>
      <c r="E1155" s="4">
        <v>1</v>
      </c>
      <c r="H1155" s="29">
        <v>1001</v>
      </c>
      <c r="I1155" s="4">
        <v>240</v>
      </c>
      <c r="L1155" s="30">
        <v>800</v>
      </c>
      <c r="M1155" s="4">
        <v>36</v>
      </c>
      <c r="N1155" s="4">
        <v>6</v>
      </c>
      <c r="O1155" s="4">
        <v>800</v>
      </c>
      <c r="P1155" s="4">
        <v>0</v>
      </c>
      <c r="Q1155" s="4">
        <v>90</v>
      </c>
      <c r="R1155" s="4">
        <v>1.5</v>
      </c>
      <c r="S1155" s="4">
        <v>7</v>
      </c>
      <c r="T1155" s="4">
        <v>0</v>
      </c>
      <c r="U1155" s="4">
        <v>0</v>
      </c>
      <c r="V1155" s="4">
        <v>0</v>
      </c>
      <c r="Y1155" s="4">
        <f>[1]伙伴成长!$AB2</f>
        <v>370</v>
      </c>
      <c r="Z1155" s="4">
        <f>[1]伙伴成长!$W2</f>
        <v>60</v>
      </c>
      <c r="AA1155" s="4">
        <f>[1]伙伴成长!$X2</f>
        <v>8</v>
      </c>
      <c r="AB1155" s="4">
        <f>[1]伙伴成长!$Y2</f>
        <v>1200</v>
      </c>
      <c r="AC1155" s="4">
        <v>0</v>
      </c>
      <c r="AD1155" s="4">
        <f>[1]伙伴成长!$Z2</f>
        <v>120</v>
      </c>
      <c r="AE1155" s="4">
        <v>1.5</v>
      </c>
      <c r="AF1155" s="4">
        <f>[1]伙伴成长!$AA2</f>
        <v>8</v>
      </c>
      <c r="AG1155" s="4">
        <v>0</v>
      </c>
      <c r="AH1155" s="4">
        <v>0</v>
      </c>
      <c r="AI1155" s="4">
        <v>0</v>
      </c>
    </row>
    <row r="1156" spans="1:35" x14ac:dyDescent="0.15">
      <c r="A1156" s="4" t="s">
        <v>2662</v>
      </c>
      <c r="D1156" s="4">
        <v>303</v>
      </c>
      <c r="E1156" s="4">
        <v>2</v>
      </c>
      <c r="H1156" s="29">
        <v>1001</v>
      </c>
      <c r="I1156" s="4">
        <v>269</v>
      </c>
      <c r="L1156" s="30">
        <v>800</v>
      </c>
      <c r="M1156" s="4">
        <v>44</v>
      </c>
      <c r="N1156" s="4">
        <v>8</v>
      </c>
      <c r="O1156" s="4">
        <v>854</v>
      </c>
      <c r="P1156" s="4">
        <v>0</v>
      </c>
      <c r="Q1156" s="4">
        <v>96</v>
      </c>
      <c r="R1156" s="4">
        <v>1.5</v>
      </c>
      <c r="S1156" s="4">
        <v>8</v>
      </c>
      <c r="T1156" s="4">
        <v>0</v>
      </c>
      <c r="U1156" s="4">
        <v>0</v>
      </c>
      <c r="V1156" s="4">
        <v>0</v>
      </c>
      <c r="Y1156" s="4">
        <f>[1]伙伴成长!$AB3</f>
        <v>414</v>
      </c>
      <c r="Z1156" s="4">
        <f>[1]伙伴成长!$W3</f>
        <v>72</v>
      </c>
      <c r="AA1156" s="4">
        <f>[1]伙伴成长!$X3</f>
        <v>12</v>
      </c>
      <c r="AB1156" s="4">
        <f>[1]伙伴成长!$Y3</f>
        <v>1286</v>
      </c>
      <c r="AC1156" s="4">
        <v>0</v>
      </c>
      <c r="AD1156" s="4">
        <f>[1]伙伴成长!$Z3</f>
        <v>128</v>
      </c>
      <c r="AE1156" s="4">
        <v>1.5</v>
      </c>
      <c r="AF1156" s="4">
        <f>[1]伙伴成长!$AA3</f>
        <v>9</v>
      </c>
      <c r="AG1156" s="4">
        <v>0</v>
      </c>
      <c r="AH1156" s="4">
        <v>0</v>
      </c>
      <c r="AI1156" s="4">
        <v>0</v>
      </c>
    </row>
    <row r="1157" spans="1:35" x14ac:dyDescent="0.15">
      <c r="A1157" s="4" t="s">
        <v>2662</v>
      </c>
      <c r="D1157" s="4">
        <v>303</v>
      </c>
      <c r="E1157" s="4">
        <v>3</v>
      </c>
      <c r="H1157" s="29">
        <v>1001</v>
      </c>
      <c r="I1157" s="4">
        <v>297</v>
      </c>
      <c r="L1157" s="30">
        <v>800</v>
      </c>
      <c r="M1157" s="4">
        <v>52</v>
      </c>
      <c r="N1157" s="4">
        <v>10</v>
      </c>
      <c r="O1157" s="4">
        <v>908</v>
      </c>
      <c r="P1157" s="4">
        <v>0</v>
      </c>
      <c r="Q1157" s="4">
        <v>102</v>
      </c>
      <c r="R1157" s="4">
        <v>1.5</v>
      </c>
      <c r="S1157" s="4">
        <v>9</v>
      </c>
      <c r="T1157" s="4">
        <v>0</v>
      </c>
      <c r="U1157" s="4">
        <v>0</v>
      </c>
      <c r="V1157" s="4">
        <v>0</v>
      </c>
      <c r="Y1157" s="4">
        <f>[1]伙伴成长!$AB4</f>
        <v>458</v>
      </c>
      <c r="Z1157" s="4">
        <f>[1]伙伴成长!$W4</f>
        <v>84</v>
      </c>
      <c r="AA1157" s="4">
        <f>[1]伙伴成长!$X4</f>
        <v>16</v>
      </c>
      <c r="AB1157" s="4">
        <f>[1]伙伴成长!$Y4</f>
        <v>1372</v>
      </c>
      <c r="AC1157" s="4">
        <v>0</v>
      </c>
      <c r="AD1157" s="4">
        <f>[1]伙伴成长!$Z4</f>
        <v>136</v>
      </c>
      <c r="AE1157" s="4">
        <v>1.5</v>
      </c>
      <c r="AF1157" s="4">
        <f>[1]伙伴成长!$AA4</f>
        <v>10</v>
      </c>
      <c r="AG1157" s="4">
        <v>0</v>
      </c>
      <c r="AH1157" s="4">
        <v>0</v>
      </c>
      <c r="AI1157" s="4">
        <v>0</v>
      </c>
    </row>
    <row r="1158" spans="1:35" x14ac:dyDescent="0.15">
      <c r="A1158" s="4" t="s">
        <v>2662</v>
      </c>
      <c r="D1158" s="4">
        <v>303</v>
      </c>
      <c r="E1158" s="4">
        <v>4</v>
      </c>
      <c r="H1158" s="29">
        <v>1001</v>
      </c>
      <c r="I1158" s="4">
        <v>326</v>
      </c>
      <c r="L1158" s="30">
        <v>800</v>
      </c>
      <c r="M1158" s="4">
        <v>60</v>
      </c>
      <c r="N1158" s="4">
        <v>12</v>
      </c>
      <c r="O1158" s="4">
        <v>962</v>
      </c>
      <c r="P1158" s="4">
        <v>0</v>
      </c>
      <c r="Q1158" s="4">
        <v>108</v>
      </c>
      <c r="R1158" s="4">
        <v>1.5</v>
      </c>
      <c r="S1158" s="4">
        <v>10</v>
      </c>
      <c r="T1158" s="4">
        <v>0</v>
      </c>
      <c r="U1158" s="4">
        <v>0</v>
      </c>
      <c r="V1158" s="4">
        <v>0</v>
      </c>
      <c r="Y1158" s="4">
        <f>[1]伙伴成长!$AB5</f>
        <v>502</v>
      </c>
      <c r="Z1158" s="4">
        <f>[1]伙伴成长!$W5</f>
        <v>96</v>
      </c>
      <c r="AA1158" s="4">
        <f>[1]伙伴成长!$X5</f>
        <v>20</v>
      </c>
      <c r="AB1158" s="4">
        <f>[1]伙伴成长!$Y5</f>
        <v>1458</v>
      </c>
      <c r="AC1158" s="4">
        <v>0</v>
      </c>
      <c r="AD1158" s="4">
        <f>[1]伙伴成长!$Z5</f>
        <v>144</v>
      </c>
      <c r="AE1158" s="4">
        <v>1.5</v>
      </c>
      <c r="AF1158" s="4">
        <f>[1]伙伴成长!$AA5</f>
        <v>11</v>
      </c>
      <c r="AG1158" s="4">
        <v>0</v>
      </c>
      <c r="AH1158" s="4">
        <v>0</v>
      </c>
      <c r="AI1158" s="4">
        <v>0</v>
      </c>
    </row>
    <row r="1159" spans="1:35" x14ac:dyDescent="0.15">
      <c r="A1159" s="4" t="s">
        <v>2662</v>
      </c>
      <c r="D1159" s="4">
        <v>303</v>
      </c>
      <c r="E1159" s="4">
        <v>5</v>
      </c>
      <c r="H1159" s="29">
        <v>1001</v>
      </c>
      <c r="I1159" s="4">
        <v>354</v>
      </c>
      <c r="L1159" s="30">
        <v>800</v>
      </c>
      <c r="M1159" s="4">
        <v>68</v>
      </c>
      <c r="N1159" s="4">
        <v>14</v>
      </c>
      <c r="O1159" s="4">
        <v>1016</v>
      </c>
      <c r="P1159" s="4">
        <v>0</v>
      </c>
      <c r="Q1159" s="4">
        <v>114</v>
      </c>
      <c r="R1159" s="4">
        <v>1.5</v>
      </c>
      <c r="S1159" s="4">
        <v>11</v>
      </c>
      <c r="T1159" s="4">
        <v>0</v>
      </c>
      <c r="U1159" s="4">
        <v>0</v>
      </c>
      <c r="V1159" s="4">
        <v>0</v>
      </c>
      <c r="Y1159" s="4">
        <f>[1]伙伴成长!$AB6</f>
        <v>546</v>
      </c>
      <c r="Z1159" s="4">
        <f>[1]伙伴成长!$W6</f>
        <v>108</v>
      </c>
      <c r="AA1159" s="4">
        <f>[1]伙伴成长!$X6</f>
        <v>24</v>
      </c>
      <c r="AB1159" s="4">
        <f>[1]伙伴成长!$Y6</f>
        <v>1544</v>
      </c>
      <c r="AC1159" s="4">
        <v>0</v>
      </c>
      <c r="AD1159" s="4">
        <f>[1]伙伴成长!$Z6</f>
        <v>152</v>
      </c>
      <c r="AE1159" s="4">
        <v>1.5</v>
      </c>
      <c r="AF1159" s="4">
        <f>[1]伙伴成长!$AA6</f>
        <v>12</v>
      </c>
      <c r="AG1159" s="4">
        <v>0</v>
      </c>
      <c r="AH1159" s="4">
        <v>0</v>
      </c>
      <c r="AI1159" s="4">
        <v>0</v>
      </c>
    </row>
    <row r="1160" spans="1:35" x14ac:dyDescent="0.15">
      <c r="A1160" s="4" t="s">
        <v>2662</v>
      </c>
      <c r="D1160" s="4">
        <v>303</v>
      </c>
      <c r="E1160" s="4">
        <v>6</v>
      </c>
      <c r="H1160" s="29">
        <v>1001</v>
      </c>
      <c r="I1160" s="4">
        <v>382</v>
      </c>
      <c r="L1160" s="30">
        <v>800</v>
      </c>
      <c r="M1160" s="4">
        <v>76</v>
      </c>
      <c r="N1160" s="4">
        <v>16</v>
      </c>
      <c r="O1160" s="4">
        <v>1070</v>
      </c>
      <c r="P1160" s="4">
        <v>0</v>
      </c>
      <c r="Q1160" s="4">
        <v>120</v>
      </c>
      <c r="R1160" s="4">
        <v>1.5</v>
      </c>
      <c r="S1160" s="4">
        <v>12</v>
      </c>
      <c r="T1160" s="4">
        <v>0</v>
      </c>
      <c r="U1160" s="4">
        <v>0</v>
      </c>
      <c r="V1160" s="4">
        <v>0</v>
      </c>
      <c r="Y1160" s="4">
        <f>[1]伙伴成长!$AB7</f>
        <v>590</v>
      </c>
      <c r="Z1160" s="4">
        <f>[1]伙伴成长!$W7</f>
        <v>120</v>
      </c>
      <c r="AA1160" s="4">
        <f>[1]伙伴成长!$X7</f>
        <v>28</v>
      </c>
      <c r="AB1160" s="4">
        <f>[1]伙伴成长!$Y7</f>
        <v>1630</v>
      </c>
      <c r="AC1160" s="4">
        <v>0</v>
      </c>
      <c r="AD1160" s="4">
        <f>[1]伙伴成长!$Z7</f>
        <v>160</v>
      </c>
      <c r="AE1160" s="4">
        <v>1.5</v>
      </c>
      <c r="AF1160" s="4">
        <f>[1]伙伴成长!$AA7</f>
        <v>13</v>
      </c>
      <c r="AG1160" s="4">
        <v>0</v>
      </c>
      <c r="AH1160" s="4">
        <v>0</v>
      </c>
      <c r="AI1160" s="4">
        <v>0</v>
      </c>
    </row>
    <row r="1161" spans="1:35" x14ac:dyDescent="0.15">
      <c r="A1161" s="4" t="s">
        <v>2662</v>
      </c>
      <c r="D1161" s="4">
        <v>303</v>
      </c>
      <c r="E1161" s="4">
        <v>7</v>
      </c>
      <c r="H1161" s="29">
        <v>1001</v>
      </c>
      <c r="I1161" s="4">
        <v>411</v>
      </c>
      <c r="L1161" s="30">
        <v>800</v>
      </c>
      <c r="M1161" s="4">
        <v>84</v>
      </c>
      <c r="N1161" s="4">
        <v>18</v>
      </c>
      <c r="O1161" s="4">
        <v>1124</v>
      </c>
      <c r="P1161" s="4">
        <v>0</v>
      </c>
      <c r="Q1161" s="4">
        <v>126</v>
      </c>
      <c r="R1161" s="4">
        <v>1.5</v>
      </c>
      <c r="S1161" s="4">
        <v>13</v>
      </c>
      <c r="T1161" s="4">
        <v>0</v>
      </c>
      <c r="U1161" s="4">
        <v>0</v>
      </c>
      <c r="V1161" s="4">
        <v>0</v>
      </c>
      <c r="Y1161" s="4">
        <f>[1]伙伴成长!$AB8</f>
        <v>634</v>
      </c>
      <c r="Z1161" s="4">
        <f>[1]伙伴成长!$W8</f>
        <v>132</v>
      </c>
      <c r="AA1161" s="4">
        <f>[1]伙伴成长!$X8</f>
        <v>32</v>
      </c>
      <c r="AB1161" s="4">
        <f>[1]伙伴成长!$Y8</f>
        <v>1716</v>
      </c>
      <c r="AC1161" s="4">
        <v>0</v>
      </c>
      <c r="AD1161" s="4">
        <f>[1]伙伴成长!$Z8</f>
        <v>168</v>
      </c>
      <c r="AE1161" s="4">
        <v>1.5</v>
      </c>
      <c r="AF1161" s="4">
        <f>[1]伙伴成长!$AA8</f>
        <v>14</v>
      </c>
      <c r="AG1161" s="4">
        <v>0</v>
      </c>
      <c r="AH1161" s="4">
        <v>0</v>
      </c>
      <c r="AI1161" s="4">
        <v>0</v>
      </c>
    </row>
    <row r="1162" spans="1:35" x14ac:dyDescent="0.15">
      <c r="A1162" s="4" t="s">
        <v>2662</v>
      </c>
      <c r="D1162" s="4">
        <v>303</v>
      </c>
      <c r="E1162" s="4">
        <v>8</v>
      </c>
      <c r="H1162" s="29">
        <v>1001</v>
      </c>
      <c r="I1162" s="4">
        <v>439</v>
      </c>
      <c r="L1162" s="30">
        <v>800</v>
      </c>
      <c r="M1162" s="4">
        <v>92</v>
      </c>
      <c r="N1162" s="4">
        <v>20</v>
      </c>
      <c r="O1162" s="4">
        <v>1178</v>
      </c>
      <c r="P1162" s="4">
        <v>0</v>
      </c>
      <c r="Q1162" s="4">
        <v>132</v>
      </c>
      <c r="R1162" s="4">
        <v>1.5</v>
      </c>
      <c r="S1162" s="4">
        <v>14</v>
      </c>
      <c r="T1162" s="4">
        <v>0</v>
      </c>
      <c r="U1162" s="4">
        <v>0</v>
      </c>
      <c r="V1162" s="4">
        <v>0</v>
      </c>
      <c r="Y1162" s="4">
        <f>[1]伙伴成长!$AB9</f>
        <v>677</v>
      </c>
      <c r="Z1162" s="4">
        <f>[1]伙伴成长!$W9</f>
        <v>144</v>
      </c>
      <c r="AA1162" s="4">
        <f>[1]伙伴成长!$X9</f>
        <v>36</v>
      </c>
      <c r="AB1162" s="4">
        <f>[1]伙伴成长!$Y9</f>
        <v>1802</v>
      </c>
      <c r="AC1162" s="4">
        <v>0</v>
      </c>
      <c r="AD1162" s="4">
        <f>[1]伙伴成长!$Z9</f>
        <v>176</v>
      </c>
      <c r="AE1162" s="4">
        <v>1.5</v>
      </c>
      <c r="AF1162" s="4">
        <f>[1]伙伴成长!$AA9</f>
        <v>15</v>
      </c>
      <c r="AG1162" s="4">
        <v>0</v>
      </c>
      <c r="AH1162" s="4">
        <v>0</v>
      </c>
      <c r="AI1162" s="4">
        <v>0</v>
      </c>
    </row>
    <row r="1163" spans="1:35" x14ac:dyDescent="0.15">
      <c r="A1163" s="4" t="s">
        <v>2662</v>
      </c>
      <c r="D1163" s="4">
        <v>303</v>
      </c>
      <c r="E1163" s="4">
        <v>9</v>
      </c>
      <c r="H1163" s="29">
        <v>1001</v>
      </c>
      <c r="I1163" s="4">
        <v>468</v>
      </c>
      <c r="L1163" s="30">
        <v>800</v>
      </c>
      <c r="M1163" s="4">
        <v>100</v>
      </c>
      <c r="N1163" s="4">
        <v>22</v>
      </c>
      <c r="O1163" s="4">
        <v>1232</v>
      </c>
      <c r="P1163" s="4">
        <v>0</v>
      </c>
      <c r="Q1163" s="4">
        <v>138</v>
      </c>
      <c r="R1163" s="4">
        <v>1.5</v>
      </c>
      <c r="S1163" s="4">
        <v>15</v>
      </c>
      <c r="T1163" s="4">
        <v>0</v>
      </c>
      <c r="U1163" s="4">
        <v>0</v>
      </c>
      <c r="V1163" s="4">
        <v>0</v>
      </c>
      <c r="Y1163" s="4">
        <f>[1]伙伴成长!$AB10</f>
        <v>721</v>
      </c>
      <c r="Z1163" s="4">
        <f>[1]伙伴成长!$W10</f>
        <v>156</v>
      </c>
      <c r="AA1163" s="4">
        <f>[1]伙伴成长!$X10</f>
        <v>40</v>
      </c>
      <c r="AB1163" s="4">
        <f>[1]伙伴成长!$Y10</f>
        <v>1888</v>
      </c>
      <c r="AC1163" s="4">
        <v>0</v>
      </c>
      <c r="AD1163" s="4">
        <f>[1]伙伴成长!$Z10</f>
        <v>184</v>
      </c>
      <c r="AE1163" s="4">
        <v>1.5</v>
      </c>
      <c r="AF1163" s="4">
        <f>[1]伙伴成长!$AA10</f>
        <v>16</v>
      </c>
      <c r="AG1163" s="4">
        <v>0</v>
      </c>
      <c r="AH1163" s="4">
        <v>0</v>
      </c>
      <c r="AI1163" s="4">
        <v>0</v>
      </c>
    </row>
    <row r="1164" spans="1:35" x14ac:dyDescent="0.15">
      <c r="A1164" s="4" t="s">
        <v>2662</v>
      </c>
      <c r="D1164" s="4">
        <v>303</v>
      </c>
      <c r="E1164" s="4">
        <v>10</v>
      </c>
      <c r="H1164" s="29">
        <v>1001</v>
      </c>
      <c r="I1164" s="4">
        <v>496</v>
      </c>
      <c r="L1164" s="30">
        <v>800</v>
      </c>
      <c r="M1164" s="4">
        <v>108</v>
      </c>
      <c r="N1164" s="4">
        <v>24</v>
      </c>
      <c r="O1164" s="4">
        <v>1286</v>
      </c>
      <c r="P1164" s="4">
        <v>0</v>
      </c>
      <c r="Q1164" s="4">
        <v>144</v>
      </c>
      <c r="R1164" s="4">
        <v>1.5</v>
      </c>
      <c r="S1164" s="4">
        <v>16</v>
      </c>
      <c r="T1164" s="4">
        <v>0</v>
      </c>
      <c r="U1164" s="4">
        <v>0</v>
      </c>
      <c r="V1164" s="4">
        <v>0</v>
      </c>
      <c r="Y1164" s="4">
        <f>[1]伙伴成长!$AB11</f>
        <v>765</v>
      </c>
      <c r="Z1164" s="4">
        <f>[1]伙伴成长!$W11</f>
        <v>168</v>
      </c>
      <c r="AA1164" s="4">
        <f>[1]伙伴成长!$X11</f>
        <v>44</v>
      </c>
      <c r="AB1164" s="4">
        <f>[1]伙伴成长!$Y11</f>
        <v>1974</v>
      </c>
      <c r="AC1164" s="4">
        <v>0</v>
      </c>
      <c r="AD1164" s="4">
        <f>[1]伙伴成长!$Z11</f>
        <v>192</v>
      </c>
      <c r="AE1164" s="4">
        <v>1.5</v>
      </c>
      <c r="AF1164" s="4">
        <f>[1]伙伴成长!$AA11</f>
        <v>17</v>
      </c>
      <c r="AG1164" s="4">
        <v>0</v>
      </c>
      <c r="AH1164" s="4">
        <v>0</v>
      </c>
      <c r="AI1164" s="4">
        <v>0</v>
      </c>
    </row>
    <row r="1165" spans="1:35" x14ac:dyDescent="0.15">
      <c r="A1165" s="4" t="s">
        <v>2662</v>
      </c>
      <c r="D1165" s="4">
        <v>303</v>
      </c>
      <c r="E1165" s="4">
        <v>11</v>
      </c>
      <c r="H1165" s="29">
        <v>1001</v>
      </c>
      <c r="I1165" s="4">
        <v>525</v>
      </c>
      <c r="L1165" s="30">
        <v>800</v>
      </c>
      <c r="M1165" s="4">
        <v>116</v>
      </c>
      <c r="N1165" s="4">
        <v>26</v>
      </c>
      <c r="O1165" s="4">
        <v>1340</v>
      </c>
      <c r="P1165" s="4">
        <v>0</v>
      </c>
      <c r="Q1165" s="4">
        <v>150</v>
      </c>
      <c r="R1165" s="4">
        <v>1.5</v>
      </c>
      <c r="S1165" s="4">
        <v>17</v>
      </c>
      <c r="T1165" s="4">
        <v>0</v>
      </c>
      <c r="U1165" s="4">
        <v>0</v>
      </c>
      <c r="V1165" s="4">
        <v>0</v>
      </c>
      <c r="Y1165" s="4">
        <f>[1]伙伴成长!$AB12</f>
        <v>809</v>
      </c>
      <c r="Z1165" s="4">
        <f>[1]伙伴成长!$W12</f>
        <v>180</v>
      </c>
      <c r="AA1165" s="4">
        <f>[1]伙伴成长!$X12</f>
        <v>48</v>
      </c>
      <c r="AB1165" s="4">
        <f>[1]伙伴成长!$Y12</f>
        <v>2060</v>
      </c>
      <c r="AC1165" s="4">
        <v>0</v>
      </c>
      <c r="AD1165" s="4">
        <f>[1]伙伴成长!$Z12</f>
        <v>200</v>
      </c>
      <c r="AE1165" s="4">
        <v>1.5</v>
      </c>
      <c r="AF1165" s="4">
        <f>[1]伙伴成长!$AA12</f>
        <v>18</v>
      </c>
      <c r="AG1165" s="4">
        <v>0</v>
      </c>
      <c r="AH1165" s="4">
        <v>0</v>
      </c>
      <c r="AI1165" s="4">
        <v>0</v>
      </c>
    </row>
    <row r="1166" spans="1:35" x14ac:dyDescent="0.15">
      <c r="A1166" s="4" t="s">
        <v>2662</v>
      </c>
      <c r="D1166" s="4">
        <v>303</v>
      </c>
      <c r="E1166" s="4">
        <v>12</v>
      </c>
      <c r="H1166" s="29">
        <v>1001</v>
      </c>
      <c r="I1166" s="4">
        <v>553</v>
      </c>
      <c r="L1166" s="30">
        <v>800</v>
      </c>
      <c r="M1166" s="4">
        <v>124</v>
      </c>
      <c r="N1166" s="4">
        <v>28</v>
      </c>
      <c r="O1166" s="4">
        <v>1394</v>
      </c>
      <c r="P1166" s="4">
        <v>0</v>
      </c>
      <c r="Q1166" s="4">
        <v>156</v>
      </c>
      <c r="R1166" s="4">
        <v>1.5</v>
      </c>
      <c r="S1166" s="4">
        <v>18</v>
      </c>
      <c r="T1166" s="4">
        <v>0</v>
      </c>
      <c r="U1166" s="4">
        <v>0</v>
      </c>
      <c r="V1166" s="4">
        <v>0</v>
      </c>
      <c r="Y1166" s="4">
        <f>[1]伙伴成长!$AB13</f>
        <v>853</v>
      </c>
      <c r="Z1166" s="4">
        <f>[1]伙伴成长!$W13</f>
        <v>192</v>
      </c>
      <c r="AA1166" s="4">
        <f>[1]伙伴成长!$X13</f>
        <v>52</v>
      </c>
      <c r="AB1166" s="4">
        <f>[1]伙伴成长!$Y13</f>
        <v>2146</v>
      </c>
      <c r="AC1166" s="4">
        <v>0</v>
      </c>
      <c r="AD1166" s="4">
        <f>[1]伙伴成长!$Z13</f>
        <v>208</v>
      </c>
      <c r="AE1166" s="4">
        <v>1.5</v>
      </c>
      <c r="AF1166" s="4">
        <f>[1]伙伴成长!$AA13</f>
        <v>19</v>
      </c>
      <c r="AG1166" s="4">
        <v>0</v>
      </c>
      <c r="AH1166" s="4">
        <v>0</v>
      </c>
      <c r="AI1166" s="4">
        <v>0</v>
      </c>
    </row>
    <row r="1167" spans="1:35" x14ac:dyDescent="0.15">
      <c r="A1167" s="4" t="s">
        <v>2662</v>
      </c>
      <c r="D1167" s="4">
        <v>303</v>
      </c>
      <c r="E1167" s="4">
        <v>13</v>
      </c>
      <c r="H1167" s="29">
        <v>1001</v>
      </c>
      <c r="I1167" s="4">
        <v>581</v>
      </c>
      <c r="L1167" s="30">
        <v>800</v>
      </c>
      <c r="M1167" s="4">
        <v>132</v>
      </c>
      <c r="N1167" s="4">
        <v>30</v>
      </c>
      <c r="O1167" s="4">
        <v>1448</v>
      </c>
      <c r="P1167" s="4">
        <v>0</v>
      </c>
      <c r="Q1167" s="4">
        <v>162</v>
      </c>
      <c r="R1167" s="4">
        <v>1.5</v>
      </c>
      <c r="S1167" s="4">
        <v>19</v>
      </c>
      <c r="T1167" s="4">
        <v>0</v>
      </c>
      <c r="U1167" s="4">
        <v>0</v>
      </c>
      <c r="V1167" s="4">
        <v>0</v>
      </c>
      <c r="Y1167" s="4">
        <f>[1]伙伴成长!$AB14</f>
        <v>897</v>
      </c>
      <c r="Z1167" s="4">
        <f>[1]伙伴成长!$W14</f>
        <v>204</v>
      </c>
      <c r="AA1167" s="4">
        <f>[1]伙伴成长!$X14</f>
        <v>56</v>
      </c>
      <c r="AB1167" s="4">
        <f>[1]伙伴成长!$Y14</f>
        <v>2232</v>
      </c>
      <c r="AC1167" s="4">
        <v>0</v>
      </c>
      <c r="AD1167" s="4">
        <f>[1]伙伴成长!$Z14</f>
        <v>216</v>
      </c>
      <c r="AE1167" s="4">
        <v>1.5</v>
      </c>
      <c r="AF1167" s="4">
        <f>[1]伙伴成长!$AA14</f>
        <v>20</v>
      </c>
      <c r="AG1167" s="4">
        <v>0</v>
      </c>
      <c r="AH1167" s="4">
        <v>0</v>
      </c>
      <c r="AI1167" s="4">
        <v>0</v>
      </c>
    </row>
    <row r="1168" spans="1:35" x14ac:dyDescent="0.15">
      <c r="A1168" s="4" t="s">
        <v>2662</v>
      </c>
      <c r="D1168" s="4">
        <v>303</v>
      </c>
      <c r="E1168" s="4">
        <v>14</v>
      </c>
      <c r="H1168" s="29">
        <v>1001</v>
      </c>
      <c r="I1168" s="4">
        <v>610</v>
      </c>
      <c r="L1168" s="30">
        <v>800</v>
      </c>
      <c r="M1168" s="4">
        <v>140</v>
      </c>
      <c r="N1168" s="4">
        <v>32</v>
      </c>
      <c r="O1168" s="4">
        <v>1502</v>
      </c>
      <c r="P1168" s="4">
        <v>0</v>
      </c>
      <c r="Q1168" s="4">
        <v>168</v>
      </c>
      <c r="R1168" s="4">
        <v>1.5</v>
      </c>
      <c r="S1168" s="4">
        <v>20</v>
      </c>
      <c r="T1168" s="4">
        <v>0</v>
      </c>
      <c r="U1168" s="4">
        <v>0</v>
      </c>
      <c r="V1168" s="4">
        <v>0</v>
      </c>
      <c r="Y1168" s="4">
        <f>[1]伙伴成长!$AB15</f>
        <v>941</v>
      </c>
      <c r="Z1168" s="4">
        <f>[1]伙伴成长!$W15</f>
        <v>216</v>
      </c>
      <c r="AA1168" s="4">
        <f>[1]伙伴成长!$X15</f>
        <v>60</v>
      </c>
      <c r="AB1168" s="4">
        <f>[1]伙伴成长!$Y15</f>
        <v>2318</v>
      </c>
      <c r="AC1168" s="4">
        <v>0</v>
      </c>
      <c r="AD1168" s="4">
        <f>[1]伙伴成长!$Z15</f>
        <v>224</v>
      </c>
      <c r="AE1168" s="4">
        <v>1.5</v>
      </c>
      <c r="AF1168" s="4">
        <f>[1]伙伴成长!$AA15</f>
        <v>21</v>
      </c>
      <c r="AG1168" s="4">
        <v>0</v>
      </c>
      <c r="AH1168" s="4">
        <v>0</v>
      </c>
      <c r="AI1168" s="4">
        <v>0</v>
      </c>
    </row>
    <row r="1169" spans="1:35" x14ac:dyDescent="0.15">
      <c r="A1169" s="4" t="s">
        <v>2662</v>
      </c>
      <c r="D1169" s="4">
        <v>303</v>
      </c>
      <c r="E1169" s="4">
        <v>15</v>
      </c>
      <c r="H1169" s="29">
        <v>1001</v>
      </c>
      <c r="I1169" s="4">
        <v>638</v>
      </c>
      <c r="L1169" s="30">
        <v>800</v>
      </c>
      <c r="M1169" s="4">
        <v>148</v>
      </c>
      <c r="N1169" s="4">
        <v>34</v>
      </c>
      <c r="O1169" s="4">
        <v>1556</v>
      </c>
      <c r="P1169" s="4">
        <v>0</v>
      </c>
      <c r="Q1169" s="4">
        <v>174</v>
      </c>
      <c r="R1169" s="4">
        <v>1.5</v>
      </c>
      <c r="S1169" s="4">
        <v>21</v>
      </c>
      <c r="T1169" s="4">
        <v>0</v>
      </c>
      <c r="U1169" s="4">
        <v>0</v>
      </c>
      <c r="V1169" s="4">
        <v>0</v>
      </c>
      <c r="Y1169" s="4">
        <f>[1]伙伴成长!$AB16</f>
        <v>984</v>
      </c>
      <c r="Z1169" s="4">
        <f>[1]伙伴成长!$W16</f>
        <v>228</v>
      </c>
      <c r="AA1169" s="4">
        <f>[1]伙伴成长!$X16</f>
        <v>64</v>
      </c>
      <c r="AB1169" s="4">
        <f>[1]伙伴成长!$Y16</f>
        <v>2404</v>
      </c>
      <c r="AC1169" s="4">
        <v>0</v>
      </c>
      <c r="AD1169" s="4">
        <f>[1]伙伴成长!$Z16</f>
        <v>232</v>
      </c>
      <c r="AE1169" s="4">
        <v>1.5</v>
      </c>
      <c r="AF1169" s="4">
        <f>[1]伙伴成长!$AA16</f>
        <v>22</v>
      </c>
      <c r="AG1169" s="4">
        <v>0</v>
      </c>
      <c r="AH1169" s="4">
        <v>0</v>
      </c>
      <c r="AI1169" s="4">
        <v>0</v>
      </c>
    </row>
    <row r="1170" spans="1:35" x14ac:dyDescent="0.15">
      <c r="A1170" s="4" t="s">
        <v>2662</v>
      </c>
      <c r="D1170" s="4">
        <v>303</v>
      </c>
      <c r="E1170" s="4">
        <v>16</v>
      </c>
      <c r="H1170" s="29">
        <v>1001</v>
      </c>
      <c r="I1170" s="4">
        <v>667</v>
      </c>
      <c r="L1170" s="30">
        <v>800</v>
      </c>
      <c r="M1170" s="4">
        <v>156</v>
      </c>
      <c r="N1170" s="4">
        <v>36</v>
      </c>
      <c r="O1170" s="4">
        <v>1610</v>
      </c>
      <c r="P1170" s="4">
        <v>0</v>
      </c>
      <c r="Q1170" s="4">
        <v>180</v>
      </c>
      <c r="R1170" s="4">
        <v>1.5</v>
      </c>
      <c r="S1170" s="4">
        <v>22</v>
      </c>
      <c r="T1170" s="4">
        <v>0</v>
      </c>
      <c r="U1170" s="4">
        <v>0</v>
      </c>
      <c r="V1170" s="4">
        <v>0</v>
      </c>
      <c r="Y1170" s="4">
        <f>[1]伙伴成长!$AB17</f>
        <v>1028</v>
      </c>
      <c r="Z1170" s="4">
        <f>[1]伙伴成长!$W17</f>
        <v>240</v>
      </c>
      <c r="AA1170" s="4">
        <f>[1]伙伴成长!$X17</f>
        <v>68</v>
      </c>
      <c r="AB1170" s="4">
        <f>[1]伙伴成长!$Y17</f>
        <v>2490</v>
      </c>
      <c r="AC1170" s="4">
        <v>0</v>
      </c>
      <c r="AD1170" s="4">
        <f>[1]伙伴成长!$Z17</f>
        <v>240</v>
      </c>
      <c r="AE1170" s="4">
        <v>1.5</v>
      </c>
      <c r="AF1170" s="4">
        <f>[1]伙伴成长!$AA17</f>
        <v>23</v>
      </c>
      <c r="AG1170" s="4">
        <v>0</v>
      </c>
      <c r="AH1170" s="4">
        <v>0</v>
      </c>
      <c r="AI1170" s="4">
        <v>0</v>
      </c>
    </row>
    <row r="1171" spans="1:35" x14ac:dyDescent="0.15">
      <c r="A1171" s="4" t="s">
        <v>2662</v>
      </c>
      <c r="D1171" s="4">
        <v>303</v>
      </c>
      <c r="E1171" s="4">
        <v>17</v>
      </c>
      <c r="H1171" s="29">
        <v>1001</v>
      </c>
      <c r="I1171" s="4">
        <v>695</v>
      </c>
      <c r="L1171" s="30">
        <v>800</v>
      </c>
      <c r="M1171" s="4">
        <v>164</v>
      </c>
      <c r="N1171" s="4">
        <v>38</v>
      </c>
      <c r="O1171" s="4">
        <v>1664</v>
      </c>
      <c r="P1171" s="4">
        <v>0</v>
      </c>
      <c r="Q1171" s="4">
        <v>186</v>
      </c>
      <c r="R1171" s="4">
        <v>1.5</v>
      </c>
      <c r="S1171" s="4">
        <v>23</v>
      </c>
      <c r="T1171" s="4">
        <v>0</v>
      </c>
      <c r="U1171" s="4">
        <v>0</v>
      </c>
      <c r="V1171" s="4">
        <v>0</v>
      </c>
      <c r="Y1171" s="4">
        <f>[1]伙伴成长!$AB18</f>
        <v>1072</v>
      </c>
      <c r="Z1171" s="4">
        <f>[1]伙伴成长!$W18</f>
        <v>252</v>
      </c>
      <c r="AA1171" s="4">
        <f>[1]伙伴成长!$X18</f>
        <v>72</v>
      </c>
      <c r="AB1171" s="4">
        <f>[1]伙伴成长!$Y18</f>
        <v>2576</v>
      </c>
      <c r="AC1171" s="4">
        <v>0</v>
      </c>
      <c r="AD1171" s="4">
        <f>[1]伙伴成长!$Z18</f>
        <v>248</v>
      </c>
      <c r="AE1171" s="4">
        <v>1.5</v>
      </c>
      <c r="AF1171" s="4">
        <f>[1]伙伴成长!$AA18</f>
        <v>24</v>
      </c>
      <c r="AG1171" s="4">
        <v>0</v>
      </c>
      <c r="AH1171" s="4">
        <v>0</v>
      </c>
      <c r="AI1171" s="4">
        <v>0</v>
      </c>
    </row>
    <row r="1172" spans="1:35" x14ac:dyDescent="0.15">
      <c r="A1172" s="4" t="s">
        <v>2662</v>
      </c>
      <c r="D1172" s="4">
        <v>303</v>
      </c>
      <c r="E1172" s="4">
        <v>18</v>
      </c>
      <c r="H1172" s="29">
        <v>1001</v>
      </c>
      <c r="I1172" s="4">
        <v>723</v>
      </c>
      <c r="L1172" s="30">
        <v>800</v>
      </c>
      <c r="M1172" s="4">
        <v>172</v>
      </c>
      <c r="N1172" s="4">
        <v>40</v>
      </c>
      <c r="O1172" s="4">
        <v>1718</v>
      </c>
      <c r="P1172" s="4">
        <v>0</v>
      </c>
      <c r="Q1172" s="4">
        <v>192</v>
      </c>
      <c r="R1172" s="4">
        <v>1.5</v>
      </c>
      <c r="S1172" s="4">
        <v>24</v>
      </c>
      <c r="T1172" s="4">
        <v>0</v>
      </c>
      <c r="U1172" s="4">
        <v>0</v>
      </c>
      <c r="V1172" s="4">
        <v>0</v>
      </c>
      <c r="Y1172" s="4">
        <f>[1]伙伴成长!$AB19</f>
        <v>1116</v>
      </c>
      <c r="Z1172" s="4">
        <f>[1]伙伴成长!$W19</f>
        <v>264</v>
      </c>
      <c r="AA1172" s="4">
        <f>[1]伙伴成长!$X19</f>
        <v>76</v>
      </c>
      <c r="AB1172" s="4">
        <f>[1]伙伴成长!$Y19</f>
        <v>2662</v>
      </c>
      <c r="AC1172" s="4">
        <v>0</v>
      </c>
      <c r="AD1172" s="4">
        <f>[1]伙伴成长!$Z19</f>
        <v>256</v>
      </c>
      <c r="AE1172" s="4">
        <v>1.5</v>
      </c>
      <c r="AF1172" s="4">
        <f>[1]伙伴成长!$AA19</f>
        <v>25</v>
      </c>
      <c r="AG1172" s="4">
        <v>0</v>
      </c>
      <c r="AH1172" s="4">
        <v>0</v>
      </c>
      <c r="AI1172" s="4">
        <v>0</v>
      </c>
    </row>
    <row r="1173" spans="1:35" x14ac:dyDescent="0.15">
      <c r="A1173" s="4" t="s">
        <v>2662</v>
      </c>
      <c r="D1173" s="4">
        <v>303</v>
      </c>
      <c r="E1173" s="4">
        <v>19</v>
      </c>
      <c r="H1173" s="29">
        <v>1001</v>
      </c>
      <c r="I1173" s="4">
        <v>752</v>
      </c>
      <c r="L1173" s="30">
        <v>800</v>
      </c>
      <c r="M1173" s="4">
        <v>180</v>
      </c>
      <c r="N1173" s="4">
        <v>42</v>
      </c>
      <c r="O1173" s="4">
        <v>1772</v>
      </c>
      <c r="P1173" s="4">
        <v>0</v>
      </c>
      <c r="Q1173" s="4">
        <v>198</v>
      </c>
      <c r="R1173" s="4">
        <v>1.5</v>
      </c>
      <c r="S1173" s="4">
        <v>25</v>
      </c>
      <c r="T1173" s="4">
        <v>0</v>
      </c>
      <c r="U1173" s="4">
        <v>0</v>
      </c>
      <c r="V1173" s="4">
        <v>0</v>
      </c>
      <c r="Y1173" s="4">
        <f>[1]伙伴成长!$AB20</f>
        <v>1160</v>
      </c>
      <c r="Z1173" s="4">
        <f>[1]伙伴成长!$W20</f>
        <v>276</v>
      </c>
      <c r="AA1173" s="4">
        <f>[1]伙伴成长!$X20</f>
        <v>80</v>
      </c>
      <c r="AB1173" s="4">
        <f>[1]伙伴成长!$Y20</f>
        <v>2748</v>
      </c>
      <c r="AC1173" s="4">
        <v>0</v>
      </c>
      <c r="AD1173" s="4">
        <f>[1]伙伴成长!$Z20</f>
        <v>264</v>
      </c>
      <c r="AE1173" s="4">
        <v>1.5</v>
      </c>
      <c r="AF1173" s="4">
        <f>[1]伙伴成长!$AA20</f>
        <v>26</v>
      </c>
      <c r="AG1173" s="4">
        <v>0</v>
      </c>
      <c r="AH1173" s="4">
        <v>0</v>
      </c>
      <c r="AI1173" s="4">
        <v>0</v>
      </c>
    </row>
    <row r="1174" spans="1:35" x14ac:dyDescent="0.15">
      <c r="A1174" s="4" t="s">
        <v>2662</v>
      </c>
      <c r="D1174" s="4">
        <v>303</v>
      </c>
      <c r="E1174" s="4">
        <v>20</v>
      </c>
      <c r="H1174" s="29">
        <v>1001</v>
      </c>
      <c r="I1174" s="4">
        <v>780</v>
      </c>
      <c r="L1174" s="30">
        <v>800</v>
      </c>
      <c r="M1174" s="4">
        <v>188</v>
      </c>
      <c r="N1174" s="4">
        <v>44</v>
      </c>
      <c r="O1174" s="4">
        <v>1826</v>
      </c>
      <c r="P1174" s="4">
        <v>0</v>
      </c>
      <c r="Q1174" s="4">
        <v>204</v>
      </c>
      <c r="R1174" s="4">
        <v>1.5</v>
      </c>
      <c r="S1174" s="4">
        <v>26</v>
      </c>
      <c r="T1174" s="4">
        <v>0</v>
      </c>
      <c r="U1174" s="4">
        <v>0</v>
      </c>
      <c r="V1174" s="4">
        <v>0</v>
      </c>
      <c r="Y1174" s="4">
        <f>[1]伙伴成长!$AB21</f>
        <v>1204</v>
      </c>
      <c r="Z1174" s="4">
        <f>[1]伙伴成长!$W21</f>
        <v>288</v>
      </c>
      <c r="AA1174" s="4">
        <f>[1]伙伴成长!$X21</f>
        <v>84</v>
      </c>
      <c r="AB1174" s="4">
        <f>[1]伙伴成长!$Y21</f>
        <v>2834</v>
      </c>
      <c r="AC1174" s="4">
        <v>0</v>
      </c>
      <c r="AD1174" s="4">
        <f>[1]伙伴成长!$Z21</f>
        <v>272</v>
      </c>
      <c r="AE1174" s="4">
        <v>1.5</v>
      </c>
      <c r="AF1174" s="4">
        <f>[1]伙伴成长!$AA21</f>
        <v>27</v>
      </c>
      <c r="AG1174" s="4">
        <v>0</v>
      </c>
      <c r="AH1174" s="4">
        <v>0</v>
      </c>
      <c r="AI1174" s="4">
        <v>0</v>
      </c>
    </row>
    <row r="1175" spans="1:35" x14ac:dyDescent="0.15">
      <c r="A1175" s="4" t="s">
        <v>2662</v>
      </c>
      <c r="D1175" s="4">
        <v>303</v>
      </c>
      <c r="E1175" s="4">
        <v>21</v>
      </c>
      <c r="H1175" s="29">
        <v>1001</v>
      </c>
      <c r="I1175" s="4">
        <v>809</v>
      </c>
      <c r="L1175" s="30">
        <v>800</v>
      </c>
      <c r="M1175" s="4">
        <v>196</v>
      </c>
      <c r="N1175" s="4">
        <v>46</v>
      </c>
      <c r="O1175" s="4">
        <v>1880</v>
      </c>
      <c r="P1175" s="4">
        <v>0</v>
      </c>
      <c r="Q1175" s="4">
        <v>210</v>
      </c>
      <c r="R1175" s="4">
        <v>1.5</v>
      </c>
      <c r="S1175" s="4">
        <v>27</v>
      </c>
      <c r="T1175" s="4">
        <v>0</v>
      </c>
      <c r="U1175" s="4">
        <v>0</v>
      </c>
      <c r="V1175" s="4">
        <v>0</v>
      </c>
      <c r="Y1175" s="4">
        <f>[1]伙伴成长!$AB22</f>
        <v>1248</v>
      </c>
      <c r="Z1175" s="4">
        <f>[1]伙伴成长!$W22</f>
        <v>300</v>
      </c>
      <c r="AA1175" s="4">
        <f>[1]伙伴成长!$X22</f>
        <v>88</v>
      </c>
      <c r="AB1175" s="4">
        <f>[1]伙伴成长!$Y22</f>
        <v>2920</v>
      </c>
      <c r="AC1175" s="4">
        <v>0</v>
      </c>
      <c r="AD1175" s="4">
        <f>[1]伙伴成长!$Z22</f>
        <v>280</v>
      </c>
      <c r="AE1175" s="4">
        <v>1.5</v>
      </c>
      <c r="AF1175" s="4">
        <f>[1]伙伴成长!$AA22</f>
        <v>28</v>
      </c>
      <c r="AG1175" s="4">
        <v>0</v>
      </c>
      <c r="AH1175" s="4">
        <v>0</v>
      </c>
      <c r="AI1175" s="4">
        <v>0</v>
      </c>
    </row>
    <row r="1176" spans="1:35" x14ac:dyDescent="0.15">
      <c r="A1176" s="4" t="s">
        <v>2662</v>
      </c>
      <c r="D1176" s="4">
        <v>303</v>
      </c>
      <c r="E1176" s="4">
        <v>22</v>
      </c>
      <c r="H1176" s="29">
        <v>1001</v>
      </c>
      <c r="I1176" s="4">
        <v>837</v>
      </c>
      <c r="L1176" s="30">
        <v>800</v>
      </c>
      <c r="M1176" s="4">
        <v>204</v>
      </c>
      <c r="N1176" s="4">
        <v>48</v>
      </c>
      <c r="O1176" s="4">
        <v>1934</v>
      </c>
      <c r="P1176" s="4">
        <v>0</v>
      </c>
      <c r="Q1176" s="4">
        <v>216</v>
      </c>
      <c r="R1176" s="4">
        <v>1.5</v>
      </c>
      <c r="S1176" s="4">
        <v>28</v>
      </c>
      <c r="T1176" s="4">
        <v>0</v>
      </c>
      <c r="U1176" s="4">
        <v>0</v>
      </c>
      <c r="V1176" s="4">
        <v>0</v>
      </c>
      <c r="Y1176" s="4">
        <f>[1]伙伴成长!$AB23</f>
        <v>1291</v>
      </c>
      <c r="Z1176" s="4">
        <f>[1]伙伴成长!$W23</f>
        <v>312</v>
      </c>
      <c r="AA1176" s="4">
        <f>[1]伙伴成长!$X23</f>
        <v>92</v>
      </c>
      <c r="AB1176" s="4">
        <f>[1]伙伴成长!$Y23</f>
        <v>3006</v>
      </c>
      <c r="AC1176" s="4">
        <v>0</v>
      </c>
      <c r="AD1176" s="4">
        <f>[1]伙伴成长!$Z23</f>
        <v>288</v>
      </c>
      <c r="AE1176" s="4">
        <v>1.5</v>
      </c>
      <c r="AF1176" s="4">
        <f>[1]伙伴成长!$AA23</f>
        <v>29</v>
      </c>
      <c r="AG1176" s="4">
        <v>0</v>
      </c>
      <c r="AH1176" s="4">
        <v>0</v>
      </c>
      <c r="AI1176" s="4">
        <v>0</v>
      </c>
    </row>
    <row r="1177" spans="1:35" x14ac:dyDescent="0.15">
      <c r="A1177" s="4" t="s">
        <v>2662</v>
      </c>
      <c r="D1177" s="4">
        <v>303</v>
      </c>
      <c r="E1177" s="4">
        <v>23</v>
      </c>
      <c r="H1177" s="29">
        <v>1001</v>
      </c>
      <c r="I1177" s="4">
        <v>866</v>
      </c>
      <c r="L1177" s="30">
        <v>800</v>
      </c>
      <c r="M1177" s="4">
        <v>212</v>
      </c>
      <c r="N1177" s="4">
        <v>50</v>
      </c>
      <c r="O1177" s="4">
        <v>1988</v>
      </c>
      <c r="P1177" s="4">
        <v>0</v>
      </c>
      <c r="Q1177" s="4">
        <v>222</v>
      </c>
      <c r="R1177" s="4">
        <v>1.5</v>
      </c>
      <c r="S1177" s="4">
        <v>29</v>
      </c>
      <c r="T1177" s="4">
        <v>0</v>
      </c>
      <c r="U1177" s="4">
        <v>0</v>
      </c>
      <c r="V1177" s="4">
        <v>0</v>
      </c>
      <c r="Y1177" s="4">
        <f>[1]伙伴成长!$AB24</f>
        <v>1335</v>
      </c>
      <c r="Z1177" s="4">
        <f>[1]伙伴成长!$W24</f>
        <v>324</v>
      </c>
      <c r="AA1177" s="4">
        <f>[1]伙伴成长!$X24</f>
        <v>96</v>
      </c>
      <c r="AB1177" s="4">
        <f>[1]伙伴成长!$Y24</f>
        <v>3092</v>
      </c>
      <c r="AC1177" s="4">
        <v>0</v>
      </c>
      <c r="AD1177" s="4">
        <f>[1]伙伴成长!$Z24</f>
        <v>296</v>
      </c>
      <c r="AE1177" s="4">
        <v>1.5</v>
      </c>
      <c r="AF1177" s="4">
        <f>[1]伙伴成长!$AA24</f>
        <v>30</v>
      </c>
      <c r="AG1177" s="4">
        <v>0</v>
      </c>
      <c r="AH1177" s="4">
        <v>0</v>
      </c>
      <c r="AI1177" s="4">
        <v>0</v>
      </c>
    </row>
    <row r="1178" spans="1:35" x14ac:dyDescent="0.15">
      <c r="A1178" s="4" t="s">
        <v>2662</v>
      </c>
      <c r="D1178" s="4">
        <v>303</v>
      </c>
      <c r="E1178" s="4">
        <v>24</v>
      </c>
      <c r="H1178" s="29">
        <v>1001</v>
      </c>
      <c r="I1178" s="4">
        <v>894</v>
      </c>
      <c r="L1178" s="30">
        <v>800</v>
      </c>
      <c r="M1178" s="4">
        <v>220</v>
      </c>
      <c r="N1178" s="4">
        <v>52</v>
      </c>
      <c r="O1178" s="4">
        <v>2042</v>
      </c>
      <c r="P1178" s="4">
        <v>0</v>
      </c>
      <c r="Q1178" s="4">
        <v>228</v>
      </c>
      <c r="R1178" s="4">
        <v>1.5</v>
      </c>
      <c r="S1178" s="4">
        <v>30</v>
      </c>
      <c r="T1178" s="4">
        <v>0</v>
      </c>
      <c r="U1178" s="4">
        <v>0</v>
      </c>
      <c r="V1178" s="4">
        <v>0</v>
      </c>
      <c r="Y1178" s="4">
        <f>[1]伙伴成长!$AB25</f>
        <v>1379</v>
      </c>
      <c r="Z1178" s="4">
        <f>[1]伙伴成长!$W25</f>
        <v>336</v>
      </c>
      <c r="AA1178" s="4">
        <f>[1]伙伴成长!$X25</f>
        <v>100</v>
      </c>
      <c r="AB1178" s="4">
        <f>[1]伙伴成长!$Y25</f>
        <v>3178</v>
      </c>
      <c r="AC1178" s="4">
        <v>0</v>
      </c>
      <c r="AD1178" s="4">
        <f>[1]伙伴成长!$Z25</f>
        <v>304</v>
      </c>
      <c r="AE1178" s="4">
        <v>1.5</v>
      </c>
      <c r="AF1178" s="4">
        <f>[1]伙伴成长!$AA25</f>
        <v>31</v>
      </c>
      <c r="AG1178" s="4">
        <v>0</v>
      </c>
      <c r="AH1178" s="4">
        <v>0</v>
      </c>
      <c r="AI1178" s="4">
        <v>0</v>
      </c>
    </row>
    <row r="1179" spans="1:35" x14ac:dyDescent="0.15">
      <c r="A1179" s="4" t="s">
        <v>2662</v>
      </c>
      <c r="D1179" s="4">
        <v>303</v>
      </c>
      <c r="E1179" s="4">
        <v>25</v>
      </c>
      <c r="H1179" s="29">
        <v>1001</v>
      </c>
      <c r="I1179" s="4">
        <v>922</v>
      </c>
      <c r="L1179" s="30">
        <v>800</v>
      </c>
      <c r="M1179" s="4">
        <v>228</v>
      </c>
      <c r="N1179" s="4">
        <v>54</v>
      </c>
      <c r="O1179" s="4">
        <v>2096</v>
      </c>
      <c r="P1179" s="4">
        <v>0</v>
      </c>
      <c r="Q1179" s="4">
        <v>234</v>
      </c>
      <c r="R1179" s="4">
        <v>1.5</v>
      </c>
      <c r="S1179" s="4">
        <v>31</v>
      </c>
      <c r="T1179" s="4">
        <v>0</v>
      </c>
      <c r="U1179" s="4">
        <v>0</v>
      </c>
      <c r="V1179" s="4">
        <v>0</v>
      </c>
      <c r="Y1179" s="4">
        <f>[1]伙伴成长!$AB26</f>
        <v>1423</v>
      </c>
      <c r="Z1179" s="4">
        <f>[1]伙伴成长!$W26</f>
        <v>348</v>
      </c>
      <c r="AA1179" s="4">
        <f>[1]伙伴成长!$X26</f>
        <v>104</v>
      </c>
      <c r="AB1179" s="4">
        <f>[1]伙伴成长!$Y26</f>
        <v>3264</v>
      </c>
      <c r="AC1179" s="4">
        <v>0</v>
      </c>
      <c r="AD1179" s="4">
        <f>[1]伙伴成长!$Z26</f>
        <v>312</v>
      </c>
      <c r="AE1179" s="4">
        <v>1.5</v>
      </c>
      <c r="AF1179" s="4">
        <f>[1]伙伴成长!$AA26</f>
        <v>32</v>
      </c>
      <c r="AG1179" s="4">
        <v>0</v>
      </c>
      <c r="AH1179" s="4">
        <v>0</v>
      </c>
      <c r="AI1179" s="4">
        <v>0</v>
      </c>
    </row>
    <row r="1180" spans="1:35" x14ac:dyDescent="0.15">
      <c r="A1180" s="4" t="s">
        <v>2662</v>
      </c>
      <c r="D1180" s="4">
        <v>303</v>
      </c>
      <c r="E1180" s="4">
        <v>26</v>
      </c>
      <c r="H1180" s="29">
        <v>1001</v>
      </c>
      <c r="I1180" s="4">
        <v>951</v>
      </c>
      <c r="L1180" s="30">
        <v>800</v>
      </c>
      <c r="M1180" s="4">
        <v>236</v>
      </c>
      <c r="N1180" s="4">
        <v>56</v>
      </c>
      <c r="O1180" s="4">
        <v>2150</v>
      </c>
      <c r="P1180" s="4">
        <v>0</v>
      </c>
      <c r="Q1180" s="4">
        <v>240</v>
      </c>
      <c r="R1180" s="4">
        <v>1.5</v>
      </c>
      <c r="S1180" s="4">
        <v>32</v>
      </c>
      <c r="T1180" s="4">
        <v>0</v>
      </c>
      <c r="U1180" s="4">
        <v>0</v>
      </c>
      <c r="V1180" s="4">
        <v>0</v>
      </c>
      <c r="Y1180" s="4">
        <f>[1]伙伴成长!$AB27</f>
        <v>1467</v>
      </c>
      <c r="Z1180" s="4">
        <f>[1]伙伴成长!$W27</f>
        <v>360</v>
      </c>
      <c r="AA1180" s="4">
        <f>[1]伙伴成长!$X27</f>
        <v>108</v>
      </c>
      <c r="AB1180" s="4">
        <f>[1]伙伴成长!$Y27</f>
        <v>3350</v>
      </c>
      <c r="AC1180" s="4">
        <v>0</v>
      </c>
      <c r="AD1180" s="4">
        <f>[1]伙伴成长!$Z27</f>
        <v>320</v>
      </c>
      <c r="AE1180" s="4">
        <v>1.5</v>
      </c>
      <c r="AF1180" s="4">
        <f>[1]伙伴成长!$AA27</f>
        <v>33</v>
      </c>
      <c r="AG1180" s="4">
        <v>0</v>
      </c>
      <c r="AH1180" s="4">
        <v>0</v>
      </c>
      <c r="AI1180" s="4">
        <v>0</v>
      </c>
    </row>
    <row r="1181" spans="1:35" x14ac:dyDescent="0.15">
      <c r="A1181" s="4" t="s">
        <v>2662</v>
      </c>
      <c r="D1181" s="4">
        <v>303</v>
      </c>
      <c r="E1181" s="4">
        <v>27</v>
      </c>
      <c r="H1181" s="29">
        <v>1001</v>
      </c>
      <c r="I1181" s="4">
        <v>979</v>
      </c>
      <c r="L1181" s="30">
        <v>800</v>
      </c>
      <c r="M1181" s="4">
        <v>244</v>
      </c>
      <c r="N1181" s="4">
        <v>58</v>
      </c>
      <c r="O1181" s="4">
        <v>2204</v>
      </c>
      <c r="P1181" s="4">
        <v>0</v>
      </c>
      <c r="Q1181" s="4">
        <v>246</v>
      </c>
      <c r="R1181" s="4">
        <v>1.5</v>
      </c>
      <c r="S1181" s="4">
        <v>33</v>
      </c>
      <c r="T1181" s="4">
        <v>0</v>
      </c>
      <c r="U1181" s="4">
        <v>0</v>
      </c>
      <c r="V1181" s="4">
        <v>0</v>
      </c>
      <c r="Y1181" s="4">
        <f>[1]伙伴成长!$AB28</f>
        <v>1511</v>
      </c>
      <c r="Z1181" s="4">
        <f>[1]伙伴成长!$W28</f>
        <v>372</v>
      </c>
      <c r="AA1181" s="4">
        <f>[1]伙伴成长!$X28</f>
        <v>112</v>
      </c>
      <c r="AB1181" s="4">
        <f>[1]伙伴成长!$Y28</f>
        <v>3436</v>
      </c>
      <c r="AC1181" s="4">
        <v>0</v>
      </c>
      <c r="AD1181" s="4">
        <f>[1]伙伴成长!$Z28</f>
        <v>328</v>
      </c>
      <c r="AE1181" s="4">
        <v>1.5</v>
      </c>
      <c r="AF1181" s="4">
        <f>[1]伙伴成长!$AA28</f>
        <v>34</v>
      </c>
      <c r="AG1181" s="4">
        <v>0</v>
      </c>
      <c r="AH1181" s="4">
        <v>0</v>
      </c>
      <c r="AI1181" s="4">
        <v>0</v>
      </c>
    </row>
    <row r="1182" spans="1:35" x14ac:dyDescent="0.15">
      <c r="A1182" s="4" t="s">
        <v>2662</v>
      </c>
      <c r="D1182" s="4">
        <v>303</v>
      </c>
      <c r="E1182" s="4">
        <v>28</v>
      </c>
      <c r="H1182" s="29">
        <v>1001</v>
      </c>
      <c r="I1182" s="4">
        <v>1008</v>
      </c>
      <c r="L1182" s="30">
        <v>800</v>
      </c>
      <c r="M1182" s="4">
        <v>252</v>
      </c>
      <c r="N1182" s="4">
        <v>60</v>
      </c>
      <c r="O1182" s="4">
        <v>2258</v>
      </c>
      <c r="P1182" s="4">
        <v>0</v>
      </c>
      <c r="Q1182" s="4">
        <v>252</v>
      </c>
      <c r="R1182" s="4">
        <v>1.5</v>
      </c>
      <c r="S1182" s="4">
        <v>34</v>
      </c>
      <c r="T1182" s="4">
        <v>0</v>
      </c>
      <c r="U1182" s="4">
        <v>0</v>
      </c>
      <c r="V1182" s="4">
        <v>0</v>
      </c>
      <c r="Y1182" s="4">
        <f>[1]伙伴成长!$AB29</f>
        <v>1555</v>
      </c>
      <c r="Z1182" s="4">
        <f>[1]伙伴成长!$W29</f>
        <v>384</v>
      </c>
      <c r="AA1182" s="4">
        <f>[1]伙伴成长!$X29</f>
        <v>116</v>
      </c>
      <c r="AB1182" s="4">
        <f>[1]伙伴成长!$Y29</f>
        <v>3522</v>
      </c>
      <c r="AC1182" s="4">
        <v>0</v>
      </c>
      <c r="AD1182" s="4">
        <f>[1]伙伴成长!$Z29</f>
        <v>336</v>
      </c>
      <c r="AE1182" s="4">
        <v>1.5</v>
      </c>
      <c r="AF1182" s="4">
        <f>[1]伙伴成长!$AA29</f>
        <v>35</v>
      </c>
      <c r="AG1182" s="4">
        <v>0</v>
      </c>
      <c r="AH1182" s="4">
        <v>0</v>
      </c>
      <c r="AI1182" s="4">
        <v>0</v>
      </c>
    </row>
    <row r="1183" spans="1:35" x14ac:dyDescent="0.15">
      <c r="A1183" s="4" t="s">
        <v>2662</v>
      </c>
      <c r="D1183" s="4">
        <v>303</v>
      </c>
      <c r="E1183" s="4">
        <v>29</v>
      </c>
      <c r="H1183" s="29">
        <v>1001</v>
      </c>
      <c r="I1183" s="4">
        <v>1036</v>
      </c>
      <c r="L1183" s="30">
        <v>800</v>
      </c>
      <c r="M1183" s="4">
        <v>260</v>
      </c>
      <c r="N1183" s="4">
        <v>62</v>
      </c>
      <c r="O1183" s="4">
        <v>2312</v>
      </c>
      <c r="P1183" s="4">
        <v>0</v>
      </c>
      <c r="Q1183" s="4">
        <v>258</v>
      </c>
      <c r="R1183" s="4">
        <v>1.5</v>
      </c>
      <c r="S1183" s="4">
        <v>35</v>
      </c>
      <c r="T1183" s="4">
        <v>0</v>
      </c>
      <c r="U1183" s="4">
        <v>0</v>
      </c>
      <c r="V1183" s="4">
        <v>0</v>
      </c>
      <c r="Y1183" s="4">
        <f>[1]伙伴成长!$AB30</f>
        <v>1598</v>
      </c>
      <c r="Z1183" s="4">
        <f>[1]伙伴成长!$W30</f>
        <v>396</v>
      </c>
      <c r="AA1183" s="4">
        <f>[1]伙伴成长!$X30</f>
        <v>120</v>
      </c>
      <c r="AB1183" s="4">
        <f>[1]伙伴成长!$Y30</f>
        <v>3608</v>
      </c>
      <c r="AC1183" s="4">
        <v>0</v>
      </c>
      <c r="AD1183" s="4">
        <f>[1]伙伴成长!$Z30</f>
        <v>344</v>
      </c>
      <c r="AE1183" s="4">
        <v>1.5</v>
      </c>
      <c r="AF1183" s="4">
        <f>[1]伙伴成长!$AA30</f>
        <v>36</v>
      </c>
      <c r="AG1183" s="4">
        <v>0</v>
      </c>
      <c r="AH1183" s="4">
        <v>0</v>
      </c>
      <c r="AI1183" s="4">
        <v>0</v>
      </c>
    </row>
    <row r="1184" spans="1:35" x14ac:dyDescent="0.15">
      <c r="A1184" s="4" t="s">
        <v>2662</v>
      </c>
      <c r="D1184" s="4">
        <v>303</v>
      </c>
      <c r="E1184" s="4">
        <v>30</v>
      </c>
      <c r="H1184" s="29">
        <v>1001</v>
      </c>
      <c r="I1184" s="4">
        <v>1064</v>
      </c>
      <c r="L1184" s="30">
        <v>800</v>
      </c>
      <c r="M1184" s="4">
        <v>268</v>
      </c>
      <c r="N1184" s="4">
        <v>64</v>
      </c>
      <c r="O1184" s="4">
        <v>2366</v>
      </c>
      <c r="P1184" s="4">
        <v>0</v>
      </c>
      <c r="Q1184" s="4">
        <v>264</v>
      </c>
      <c r="R1184" s="4">
        <v>1.5</v>
      </c>
      <c r="S1184" s="4">
        <v>36</v>
      </c>
      <c r="T1184" s="4">
        <v>0</v>
      </c>
      <c r="U1184" s="4">
        <v>0</v>
      </c>
      <c r="V1184" s="4">
        <v>0</v>
      </c>
      <c r="Y1184" s="4">
        <f>[1]伙伴成长!$AB31</f>
        <v>1642</v>
      </c>
      <c r="Z1184" s="4">
        <f>[1]伙伴成长!$W31</f>
        <v>408</v>
      </c>
      <c r="AA1184" s="4">
        <f>[1]伙伴成长!$X31</f>
        <v>124</v>
      </c>
      <c r="AB1184" s="4">
        <f>[1]伙伴成长!$Y31</f>
        <v>3694</v>
      </c>
      <c r="AC1184" s="4">
        <v>0</v>
      </c>
      <c r="AD1184" s="4">
        <f>[1]伙伴成长!$Z31</f>
        <v>352</v>
      </c>
      <c r="AE1184" s="4">
        <v>1.5</v>
      </c>
      <c r="AF1184" s="4">
        <f>[1]伙伴成长!$AA31</f>
        <v>37</v>
      </c>
      <c r="AG1184" s="4">
        <v>0</v>
      </c>
      <c r="AH1184" s="4">
        <v>0</v>
      </c>
      <c r="AI1184" s="4">
        <v>0</v>
      </c>
    </row>
    <row r="1185" spans="1:35" x14ac:dyDescent="0.15">
      <c r="A1185" s="4" t="s">
        <v>2662</v>
      </c>
      <c r="D1185" s="4">
        <v>303</v>
      </c>
      <c r="E1185" s="4">
        <v>31</v>
      </c>
      <c r="H1185" s="29">
        <v>1001</v>
      </c>
      <c r="I1185" s="4">
        <v>1093</v>
      </c>
      <c r="L1185" s="30">
        <v>800</v>
      </c>
      <c r="M1185" s="4">
        <v>276</v>
      </c>
      <c r="N1185" s="4">
        <v>66</v>
      </c>
      <c r="O1185" s="4">
        <v>2420</v>
      </c>
      <c r="P1185" s="4">
        <v>0</v>
      </c>
      <c r="Q1185" s="4">
        <v>270</v>
      </c>
      <c r="R1185" s="4">
        <v>1.5</v>
      </c>
      <c r="S1185" s="4">
        <v>37</v>
      </c>
      <c r="T1185" s="4">
        <v>0</v>
      </c>
      <c r="U1185" s="4">
        <v>0</v>
      </c>
      <c r="V1185" s="4">
        <v>0</v>
      </c>
      <c r="Y1185" s="4">
        <f>[1]伙伴成长!$AB32</f>
        <v>1686</v>
      </c>
      <c r="Z1185" s="4">
        <f>[1]伙伴成长!$W32</f>
        <v>420</v>
      </c>
      <c r="AA1185" s="4">
        <f>[1]伙伴成长!$X32</f>
        <v>128</v>
      </c>
      <c r="AB1185" s="4">
        <f>[1]伙伴成长!$Y32</f>
        <v>3780</v>
      </c>
      <c r="AC1185" s="4">
        <v>0</v>
      </c>
      <c r="AD1185" s="4">
        <f>[1]伙伴成长!$Z32</f>
        <v>360</v>
      </c>
      <c r="AE1185" s="4">
        <v>1.5</v>
      </c>
      <c r="AF1185" s="4">
        <f>[1]伙伴成长!$AA32</f>
        <v>38</v>
      </c>
      <c r="AG1185" s="4">
        <v>0</v>
      </c>
      <c r="AH1185" s="4">
        <v>0</v>
      </c>
      <c r="AI1185" s="4">
        <v>0</v>
      </c>
    </row>
    <row r="1186" spans="1:35" x14ac:dyDescent="0.15">
      <c r="A1186" s="4" t="s">
        <v>2662</v>
      </c>
      <c r="D1186" s="4">
        <v>303</v>
      </c>
      <c r="E1186" s="4">
        <v>32</v>
      </c>
      <c r="H1186" s="29">
        <v>1001</v>
      </c>
      <c r="I1186" s="4">
        <v>1121</v>
      </c>
      <c r="L1186" s="30">
        <v>800</v>
      </c>
      <c r="M1186" s="4">
        <v>284</v>
      </c>
      <c r="N1186" s="4">
        <v>68</v>
      </c>
      <c r="O1186" s="4">
        <v>2474</v>
      </c>
      <c r="P1186" s="4">
        <v>0</v>
      </c>
      <c r="Q1186" s="4">
        <v>276</v>
      </c>
      <c r="R1186" s="4">
        <v>1.5</v>
      </c>
      <c r="S1186" s="4">
        <v>38</v>
      </c>
      <c r="T1186" s="4">
        <v>0</v>
      </c>
      <c r="U1186" s="4">
        <v>0</v>
      </c>
      <c r="V1186" s="4">
        <v>0</v>
      </c>
      <c r="Y1186" s="4">
        <f>[1]伙伴成长!$AB33</f>
        <v>1730</v>
      </c>
      <c r="Z1186" s="4">
        <f>[1]伙伴成长!$W33</f>
        <v>432</v>
      </c>
      <c r="AA1186" s="4">
        <f>[1]伙伴成长!$X33</f>
        <v>132</v>
      </c>
      <c r="AB1186" s="4">
        <f>[1]伙伴成长!$Y33</f>
        <v>3866</v>
      </c>
      <c r="AC1186" s="4">
        <v>0</v>
      </c>
      <c r="AD1186" s="4">
        <f>[1]伙伴成长!$Z33</f>
        <v>368</v>
      </c>
      <c r="AE1186" s="4">
        <v>1.5</v>
      </c>
      <c r="AF1186" s="4">
        <f>[1]伙伴成长!$AA33</f>
        <v>39</v>
      </c>
      <c r="AG1186" s="4">
        <v>0</v>
      </c>
      <c r="AH1186" s="4">
        <v>0</v>
      </c>
      <c r="AI1186" s="4">
        <v>0</v>
      </c>
    </row>
    <row r="1187" spans="1:35" x14ac:dyDescent="0.15">
      <c r="A1187" s="4" t="s">
        <v>2662</v>
      </c>
      <c r="D1187" s="4">
        <v>303</v>
      </c>
      <c r="E1187" s="4">
        <v>33</v>
      </c>
      <c r="H1187" s="29">
        <v>1001</v>
      </c>
      <c r="I1187" s="4">
        <v>1150</v>
      </c>
      <c r="L1187" s="30">
        <v>800</v>
      </c>
      <c r="M1187" s="4">
        <v>292</v>
      </c>
      <c r="N1187" s="4">
        <v>70</v>
      </c>
      <c r="O1187" s="4">
        <v>2528</v>
      </c>
      <c r="P1187" s="4">
        <v>0</v>
      </c>
      <c r="Q1187" s="4">
        <v>282</v>
      </c>
      <c r="R1187" s="4">
        <v>1.5</v>
      </c>
      <c r="S1187" s="4">
        <v>39</v>
      </c>
      <c r="T1187" s="4">
        <v>0</v>
      </c>
      <c r="U1187" s="4">
        <v>0</v>
      </c>
      <c r="V1187" s="4">
        <v>0</v>
      </c>
      <c r="Y1187" s="4">
        <f>[1]伙伴成长!$AB34</f>
        <v>1774</v>
      </c>
      <c r="Z1187" s="4">
        <f>[1]伙伴成长!$W34</f>
        <v>444</v>
      </c>
      <c r="AA1187" s="4">
        <f>[1]伙伴成长!$X34</f>
        <v>136</v>
      </c>
      <c r="AB1187" s="4">
        <f>[1]伙伴成长!$Y34</f>
        <v>3952</v>
      </c>
      <c r="AC1187" s="4">
        <v>0</v>
      </c>
      <c r="AD1187" s="4">
        <f>[1]伙伴成长!$Z34</f>
        <v>376</v>
      </c>
      <c r="AE1187" s="4">
        <v>1.5</v>
      </c>
      <c r="AF1187" s="4">
        <f>[1]伙伴成长!$AA34</f>
        <v>40</v>
      </c>
      <c r="AG1187" s="4">
        <v>0</v>
      </c>
      <c r="AH1187" s="4">
        <v>0</v>
      </c>
      <c r="AI1187" s="4">
        <v>0</v>
      </c>
    </row>
    <row r="1188" spans="1:35" x14ac:dyDescent="0.15">
      <c r="A1188" s="4" t="s">
        <v>2662</v>
      </c>
      <c r="D1188" s="4">
        <v>303</v>
      </c>
      <c r="E1188" s="4">
        <v>34</v>
      </c>
      <c r="H1188" s="29">
        <v>1001</v>
      </c>
      <c r="I1188" s="4">
        <v>1178</v>
      </c>
      <c r="L1188" s="30">
        <v>800</v>
      </c>
      <c r="M1188" s="4">
        <v>300</v>
      </c>
      <c r="N1188" s="4">
        <v>72</v>
      </c>
      <c r="O1188" s="4">
        <v>2582</v>
      </c>
      <c r="P1188" s="4">
        <v>0</v>
      </c>
      <c r="Q1188" s="4">
        <v>288</v>
      </c>
      <c r="R1188" s="4">
        <v>1.5</v>
      </c>
      <c r="S1188" s="4">
        <v>40</v>
      </c>
      <c r="T1188" s="4">
        <v>0</v>
      </c>
      <c r="U1188" s="4">
        <v>0</v>
      </c>
      <c r="V1188" s="4">
        <v>0</v>
      </c>
      <c r="Y1188" s="4">
        <f>[1]伙伴成长!$AB35</f>
        <v>1818</v>
      </c>
      <c r="Z1188" s="4">
        <f>[1]伙伴成长!$W35</f>
        <v>456</v>
      </c>
      <c r="AA1188" s="4">
        <f>[1]伙伴成长!$X35</f>
        <v>140</v>
      </c>
      <c r="AB1188" s="4">
        <f>[1]伙伴成长!$Y35</f>
        <v>4038</v>
      </c>
      <c r="AC1188" s="4">
        <v>0</v>
      </c>
      <c r="AD1188" s="4">
        <f>[1]伙伴成长!$Z35</f>
        <v>384</v>
      </c>
      <c r="AE1188" s="4">
        <v>1.5</v>
      </c>
      <c r="AF1188" s="4">
        <f>[1]伙伴成长!$AA35</f>
        <v>41</v>
      </c>
      <c r="AG1188" s="4">
        <v>0</v>
      </c>
      <c r="AH1188" s="4">
        <v>0</v>
      </c>
      <c r="AI1188" s="4">
        <v>0</v>
      </c>
    </row>
    <row r="1189" spans="1:35" x14ac:dyDescent="0.15">
      <c r="A1189" s="4" t="s">
        <v>2662</v>
      </c>
      <c r="D1189" s="4">
        <v>303</v>
      </c>
      <c r="E1189" s="4">
        <v>35</v>
      </c>
      <c r="H1189" s="29">
        <v>1001</v>
      </c>
      <c r="I1189" s="4">
        <v>1207</v>
      </c>
      <c r="L1189" s="30">
        <v>800</v>
      </c>
      <c r="M1189" s="4">
        <v>308</v>
      </c>
      <c r="N1189" s="4">
        <v>74</v>
      </c>
      <c r="O1189" s="4">
        <v>2636</v>
      </c>
      <c r="P1189" s="4">
        <v>0</v>
      </c>
      <c r="Q1189" s="4">
        <v>294</v>
      </c>
      <c r="R1189" s="4">
        <v>1.5</v>
      </c>
      <c r="S1189" s="4">
        <v>41</v>
      </c>
      <c r="T1189" s="4">
        <v>0</v>
      </c>
      <c r="U1189" s="4">
        <v>0</v>
      </c>
      <c r="V1189" s="4">
        <v>0</v>
      </c>
      <c r="Y1189" s="4">
        <f>[1]伙伴成长!$AB36</f>
        <v>1862</v>
      </c>
      <c r="Z1189" s="4">
        <f>[1]伙伴成长!$W36</f>
        <v>468</v>
      </c>
      <c r="AA1189" s="4">
        <f>[1]伙伴成长!$X36</f>
        <v>144</v>
      </c>
      <c r="AB1189" s="4">
        <f>[1]伙伴成长!$Y36</f>
        <v>4124</v>
      </c>
      <c r="AC1189" s="4">
        <v>0</v>
      </c>
      <c r="AD1189" s="4">
        <f>[1]伙伴成长!$Z36</f>
        <v>392</v>
      </c>
      <c r="AE1189" s="4">
        <v>1.5</v>
      </c>
      <c r="AF1189" s="4">
        <f>[1]伙伴成长!$AA36</f>
        <v>42</v>
      </c>
      <c r="AG1189" s="4">
        <v>0</v>
      </c>
      <c r="AH1189" s="4">
        <v>0</v>
      </c>
      <c r="AI1189" s="4">
        <v>0</v>
      </c>
    </row>
    <row r="1190" spans="1:35" x14ac:dyDescent="0.15">
      <c r="A1190" s="4" t="s">
        <v>2662</v>
      </c>
      <c r="D1190" s="4">
        <v>303</v>
      </c>
      <c r="E1190" s="4">
        <v>36</v>
      </c>
      <c r="H1190" s="29">
        <v>1001</v>
      </c>
      <c r="I1190" s="4">
        <v>1235</v>
      </c>
      <c r="L1190" s="30">
        <v>800</v>
      </c>
      <c r="M1190" s="4">
        <v>316</v>
      </c>
      <c r="N1190" s="4">
        <v>76</v>
      </c>
      <c r="O1190" s="4">
        <v>2690</v>
      </c>
      <c r="P1190" s="4">
        <v>0</v>
      </c>
      <c r="Q1190" s="4">
        <v>300</v>
      </c>
      <c r="R1190" s="4">
        <v>1.5</v>
      </c>
      <c r="S1190" s="4">
        <v>42</v>
      </c>
      <c r="T1190" s="4">
        <v>0</v>
      </c>
      <c r="U1190" s="4">
        <v>0</v>
      </c>
      <c r="V1190" s="4">
        <v>0</v>
      </c>
      <c r="Y1190" s="4">
        <f>[1]伙伴成长!$AB37</f>
        <v>1906</v>
      </c>
      <c r="Z1190" s="4">
        <f>[1]伙伴成长!$W37</f>
        <v>480</v>
      </c>
      <c r="AA1190" s="4">
        <f>[1]伙伴成长!$X37</f>
        <v>148</v>
      </c>
      <c r="AB1190" s="4">
        <f>[1]伙伴成长!$Y37</f>
        <v>4210</v>
      </c>
      <c r="AC1190" s="4">
        <v>0</v>
      </c>
      <c r="AD1190" s="4">
        <f>[1]伙伴成长!$Z37</f>
        <v>400</v>
      </c>
      <c r="AE1190" s="4">
        <v>1.5</v>
      </c>
      <c r="AF1190" s="4">
        <f>[1]伙伴成长!$AA37</f>
        <v>43</v>
      </c>
      <c r="AG1190" s="4">
        <v>0</v>
      </c>
      <c r="AH1190" s="4">
        <v>0</v>
      </c>
      <c r="AI1190" s="4">
        <v>0</v>
      </c>
    </row>
    <row r="1191" spans="1:35" x14ac:dyDescent="0.15">
      <c r="A1191" s="4" t="s">
        <v>2662</v>
      </c>
      <c r="D1191" s="4">
        <v>303</v>
      </c>
      <c r="E1191" s="4">
        <v>37</v>
      </c>
      <c r="H1191" s="29">
        <v>1001</v>
      </c>
      <c r="I1191" s="4">
        <v>1263</v>
      </c>
      <c r="L1191" s="30">
        <v>800</v>
      </c>
      <c r="M1191" s="4">
        <v>324</v>
      </c>
      <c r="N1191" s="4">
        <v>78</v>
      </c>
      <c r="O1191" s="4">
        <v>2744</v>
      </c>
      <c r="P1191" s="4">
        <v>0</v>
      </c>
      <c r="Q1191" s="4">
        <v>306</v>
      </c>
      <c r="R1191" s="4">
        <v>1.5</v>
      </c>
      <c r="S1191" s="4">
        <v>43</v>
      </c>
      <c r="T1191" s="4">
        <v>0</v>
      </c>
      <c r="U1191" s="4">
        <v>0</v>
      </c>
      <c r="V1191" s="4">
        <v>0</v>
      </c>
      <c r="Y1191" s="4">
        <f>[1]伙伴成长!$AB38</f>
        <v>1949</v>
      </c>
      <c r="Z1191" s="4">
        <f>[1]伙伴成长!$W38</f>
        <v>492</v>
      </c>
      <c r="AA1191" s="4">
        <f>[1]伙伴成长!$X38</f>
        <v>152</v>
      </c>
      <c r="AB1191" s="4">
        <f>[1]伙伴成长!$Y38</f>
        <v>4296</v>
      </c>
      <c r="AC1191" s="4">
        <v>0</v>
      </c>
      <c r="AD1191" s="4">
        <f>[1]伙伴成长!$Z38</f>
        <v>408</v>
      </c>
      <c r="AE1191" s="4">
        <v>1.5</v>
      </c>
      <c r="AF1191" s="4">
        <f>[1]伙伴成长!$AA38</f>
        <v>44</v>
      </c>
      <c r="AG1191" s="4">
        <v>0</v>
      </c>
      <c r="AH1191" s="4">
        <v>0</v>
      </c>
      <c r="AI1191" s="4">
        <v>0</v>
      </c>
    </row>
    <row r="1192" spans="1:35" x14ac:dyDescent="0.15">
      <c r="A1192" s="4" t="s">
        <v>2662</v>
      </c>
      <c r="D1192" s="4">
        <v>303</v>
      </c>
      <c r="E1192" s="4">
        <v>38</v>
      </c>
      <c r="H1192" s="29">
        <v>1001</v>
      </c>
      <c r="I1192" s="4">
        <v>1292</v>
      </c>
      <c r="L1192" s="30">
        <v>800</v>
      </c>
      <c r="M1192" s="4">
        <v>332</v>
      </c>
      <c r="N1192" s="4">
        <v>80</v>
      </c>
      <c r="O1192" s="4">
        <v>2798</v>
      </c>
      <c r="P1192" s="4">
        <v>0</v>
      </c>
      <c r="Q1192" s="4">
        <v>312</v>
      </c>
      <c r="R1192" s="4">
        <v>1.5</v>
      </c>
      <c r="S1192" s="4">
        <v>44</v>
      </c>
      <c r="T1192" s="4">
        <v>0</v>
      </c>
      <c r="U1192" s="4">
        <v>0</v>
      </c>
      <c r="V1192" s="4">
        <v>0</v>
      </c>
      <c r="Y1192" s="4">
        <f>[1]伙伴成长!$AB39</f>
        <v>1993</v>
      </c>
      <c r="Z1192" s="4">
        <f>[1]伙伴成长!$W39</f>
        <v>504</v>
      </c>
      <c r="AA1192" s="4">
        <f>[1]伙伴成长!$X39</f>
        <v>156</v>
      </c>
      <c r="AB1192" s="4">
        <f>[1]伙伴成长!$Y39</f>
        <v>4382</v>
      </c>
      <c r="AC1192" s="4">
        <v>0</v>
      </c>
      <c r="AD1192" s="4">
        <f>[1]伙伴成长!$Z39</f>
        <v>416</v>
      </c>
      <c r="AE1192" s="4">
        <v>1.5</v>
      </c>
      <c r="AF1192" s="4">
        <f>[1]伙伴成长!$AA39</f>
        <v>45</v>
      </c>
      <c r="AG1192" s="4">
        <v>0</v>
      </c>
      <c r="AH1192" s="4">
        <v>0</v>
      </c>
      <c r="AI1192" s="4">
        <v>0</v>
      </c>
    </row>
    <row r="1193" spans="1:35" x14ac:dyDescent="0.15">
      <c r="A1193" s="4" t="s">
        <v>2662</v>
      </c>
      <c r="D1193" s="4">
        <v>303</v>
      </c>
      <c r="E1193" s="4">
        <v>39</v>
      </c>
      <c r="H1193" s="29">
        <v>1001</v>
      </c>
      <c r="I1193" s="4">
        <v>1320</v>
      </c>
      <c r="L1193" s="30">
        <v>800</v>
      </c>
      <c r="M1193" s="4">
        <v>340</v>
      </c>
      <c r="N1193" s="4">
        <v>82</v>
      </c>
      <c r="O1193" s="4">
        <v>2852</v>
      </c>
      <c r="P1193" s="4">
        <v>0</v>
      </c>
      <c r="Q1193" s="4">
        <v>318</v>
      </c>
      <c r="R1193" s="4">
        <v>1.5</v>
      </c>
      <c r="S1193" s="4">
        <v>45</v>
      </c>
      <c r="T1193" s="4">
        <v>0</v>
      </c>
      <c r="U1193" s="4">
        <v>0</v>
      </c>
      <c r="V1193" s="4">
        <v>0</v>
      </c>
      <c r="Y1193" s="4">
        <f>[1]伙伴成长!$AB40</f>
        <v>2037</v>
      </c>
      <c r="Z1193" s="4">
        <f>[1]伙伴成长!$W40</f>
        <v>516</v>
      </c>
      <c r="AA1193" s="4">
        <f>[1]伙伴成长!$X40</f>
        <v>160</v>
      </c>
      <c r="AB1193" s="4">
        <f>[1]伙伴成长!$Y40</f>
        <v>4468</v>
      </c>
      <c r="AC1193" s="4">
        <v>0</v>
      </c>
      <c r="AD1193" s="4">
        <f>[1]伙伴成长!$Z40</f>
        <v>424</v>
      </c>
      <c r="AE1193" s="4">
        <v>1.5</v>
      </c>
      <c r="AF1193" s="4">
        <f>[1]伙伴成长!$AA40</f>
        <v>46</v>
      </c>
      <c r="AG1193" s="4">
        <v>0</v>
      </c>
      <c r="AH1193" s="4">
        <v>0</v>
      </c>
      <c r="AI1193" s="4">
        <v>0</v>
      </c>
    </row>
    <row r="1194" spans="1:35" x14ac:dyDescent="0.15">
      <c r="A1194" s="4" t="s">
        <v>2662</v>
      </c>
      <c r="D1194" s="4">
        <v>303</v>
      </c>
      <c r="E1194" s="4">
        <v>40</v>
      </c>
      <c r="H1194" s="29">
        <v>1001</v>
      </c>
      <c r="I1194" s="4">
        <v>1349</v>
      </c>
      <c r="L1194" s="30">
        <v>800</v>
      </c>
      <c r="M1194" s="4">
        <v>348</v>
      </c>
      <c r="N1194" s="4">
        <v>84</v>
      </c>
      <c r="O1194" s="4">
        <v>2906</v>
      </c>
      <c r="P1194" s="4">
        <v>0</v>
      </c>
      <c r="Q1194" s="4">
        <v>324</v>
      </c>
      <c r="R1194" s="4">
        <v>1.5</v>
      </c>
      <c r="S1194" s="4">
        <v>46</v>
      </c>
      <c r="T1194" s="4">
        <v>0</v>
      </c>
      <c r="U1194" s="4">
        <v>0</v>
      </c>
      <c r="V1194" s="4">
        <v>0</v>
      </c>
      <c r="Y1194" s="4">
        <f>[1]伙伴成长!$AB41</f>
        <v>2081</v>
      </c>
      <c r="Z1194" s="4">
        <f>[1]伙伴成长!$W41</f>
        <v>528</v>
      </c>
      <c r="AA1194" s="4">
        <f>[1]伙伴成长!$X41</f>
        <v>164</v>
      </c>
      <c r="AB1194" s="4">
        <f>[1]伙伴成长!$Y41</f>
        <v>4554</v>
      </c>
      <c r="AC1194" s="4">
        <v>0</v>
      </c>
      <c r="AD1194" s="4">
        <f>[1]伙伴成长!$Z41</f>
        <v>432</v>
      </c>
      <c r="AE1194" s="4">
        <v>1.5</v>
      </c>
      <c r="AF1194" s="4">
        <f>[1]伙伴成长!$AA41</f>
        <v>47</v>
      </c>
      <c r="AG1194" s="4">
        <v>0</v>
      </c>
      <c r="AH1194" s="4">
        <v>0</v>
      </c>
      <c r="AI1194" s="4">
        <v>0</v>
      </c>
    </row>
    <row r="1195" spans="1:35" x14ac:dyDescent="0.15">
      <c r="A1195" s="4" t="s">
        <v>2662</v>
      </c>
      <c r="D1195" s="4">
        <v>303</v>
      </c>
      <c r="E1195" s="4">
        <v>41</v>
      </c>
      <c r="H1195" s="29">
        <v>1001</v>
      </c>
      <c r="I1195" s="4">
        <v>1377</v>
      </c>
      <c r="L1195" s="30">
        <v>800</v>
      </c>
      <c r="M1195" s="4">
        <v>356</v>
      </c>
      <c r="N1195" s="4">
        <v>86</v>
      </c>
      <c r="O1195" s="4">
        <v>2960</v>
      </c>
      <c r="P1195" s="4">
        <v>0</v>
      </c>
      <c r="Q1195" s="4">
        <v>330</v>
      </c>
      <c r="R1195" s="4">
        <v>1.5</v>
      </c>
      <c r="S1195" s="4">
        <v>47</v>
      </c>
      <c r="T1195" s="4">
        <v>0</v>
      </c>
      <c r="U1195" s="4">
        <v>0</v>
      </c>
      <c r="V1195" s="4">
        <v>0</v>
      </c>
      <c r="Y1195" s="4">
        <f>[1]伙伴成长!$AB42</f>
        <v>2125</v>
      </c>
      <c r="Z1195" s="4">
        <f>[1]伙伴成长!$W42</f>
        <v>540</v>
      </c>
      <c r="AA1195" s="4">
        <f>[1]伙伴成长!$X42</f>
        <v>168</v>
      </c>
      <c r="AB1195" s="4">
        <f>[1]伙伴成长!$Y42</f>
        <v>4640</v>
      </c>
      <c r="AC1195" s="4">
        <v>0</v>
      </c>
      <c r="AD1195" s="4">
        <f>[1]伙伴成长!$Z42</f>
        <v>440</v>
      </c>
      <c r="AE1195" s="4">
        <v>1.5</v>
      </c>
      <c r="AF1195" s="4">
        <f>[1]伙伴成长!$AA42</f>
        <v>48</v>
      </c>
      <c r="AG1195" s="4">
        <v>0</v>
      </c>
      <c r="AH1195" s="4">
        <v>0</v>
      </c>
      <c r="AI1195" s="4">
        <v>0</v>
      </c>
    </row>
    <row r="1196" spans="1:35" x14ac:dyDescent="0.15">
      <c r="A1196" s="4" t="s">
        <v>2662</v>
      </c>
      <c r="D1196" s="4">
        <v>303</v>
      </c>
      <c r="E1196" s="4">
        <v>42</v>
      </c>
      <c r="H1196" s="29">
        <v>1001</v>
      </c>
      <c r="I1196" s="4">
        <v>1406</v>
      </c>
      <c r="L1196" s="30">
        <v>800</v>
      </c>
      <c r="M1196" s="4">
        <v>364</v>
      </c>
      <c r="N1196" s="4">
        <v>88</v>
      </c>
      <c r="O1196" s="4">
        <v>3014</v>
      </c>
      <c r="P1196" s="4">
        <v>0</v>
      </c>
      <c r="Q1196" s="4">
        <v>336</v>
      </c>
      <c r="R1196" s="4">
        <v>1.5</v>
      </c>
      <c r="S1196" s="4">
        <v>48</v>
      </c>
      <c r="T1196" s="4">
        <v>0</v>
      </c>
      <c r="U1196" s="4">
        <v>0</v>
      </c>
      <c r="V1196" s="4">
        <v>0</v>
      </c>
      <c r="Y1196" s="4">
        <f>[1]伙伴成长!$AB43</f>
        <v>2169</v>
      </c>
      <c r="Z1196" s="4">
        <f>[1]伙伴成长!$W43</f>
        <v>552</v>
      </c>
      <c r="AA1196" s="4">
        <f>[1]伙伴成长!$X43</f>
        <v>172</v>
      </c>
      <c r="AB1196" s="4">
        <f>[1]伙伴成长!$Y43</f>
        <v>4726</v>
      </c>
      <c r="AC1196" s="4">
        <v>0</v>
      </c>
      <c r="AD1196" s="4">
        <f>[1]伙伴成长!$Z43</f>
        <v>448</v>
      </c>
      <c r="AE1196" s="4">
        <v>1.5</v>
      </c>
      <c r="AF1196" s="4">
        <f>[1]伙伴成长!$AA43</f>
        <v>49</v>
      </c>
      <c r="AG1196" s="4">
        <v>0</v>
      </c>
      <c r="AH1196" s="4">
        <v>0</v>
      </c>
      <c r="AI1196" s="4">
        <v>0</v>
      </c>
    </row>
    <row r="1197" spans="1:35" x14ac:dyDescent="0.15">
      <c r="A1197" s="4" t="s">
        <v>2662</v>
      </c>
      <c r="D1197" s="4">
        <v>303</v>
      </c>
      <c r="E1197" s="4">
        <v>43</v>
      </c>
      <c r="H1197" s="29">
        <v>1001</v>
      </c>
      <c r="I1197" s="4">
        <v>1434</v>
      </c>
      <c r="L1197" s="30">
        <v>800</v>
      </c>
      <c r="M1197" s="4">
        <v>372</v>
      </c>
      <c r="N1197" s="4">
        <v>90</v>
      </c>
      <c r="O1197" s="4">
        <v>3068</v>
      </c>
      <c r="P1197" s="4">
        <v>0</v>
      </c>
      <c r="Q1197" s="4">
        <v>342</v>
      </c>
      <c r="R1197" s="4">
        <v>1.5</v>
      </c>
      <c r="S1197" s="4">
        <v>49</v>
      </c>
      <c r="T1197" s="4">
        <v>0</v>
      </c>
      <c r="U1197" s="4">
        <v>0</v>
      </c>
      <c r="V1197" s="4">
        <v>0</v>
      </c>
      <c r="Y1197" s="4">
        <f>[1]伙伴成长!$AB44</f>
        <v>2213</v>
      </c>
      <c r="Z1197" s="4">
        <f>[1]伙伴成长!$W44</f>
        <v>564</v>
      </c>
      <c r="AA1197" s="4">
        <f>[1]伙伴成长!$X44</f>
        <v>176</v>
      </c>
      <c r="AB1197" s="4">
        <f>[1]伙伴成长!$Y44</f>
        <v>4812</v>
      </c>
      <c r="AC1197" s="4">
        <v>0</v>
      </c>
      <c r="AD1197" s="4">
        <f>[1]伙伴成长!$Z44</f>
        <v>456</v>
      </c>
      <c r="AE1197" s="4">
        <v>1.5</v>
      </c>
      <c r="AF1197" s="4">
        <f>[1]伙伴成长!$AA44</f>
        <v>50</v>
      </c>
      <c r="AG1197" s="4">
        <v>0</v>
      </c>
      <c r="AH1197" s="4">
        <v>0</v>
      </c>
      <c r="AI1197" s="4">
        <v>0</v>
      </c>
    </row>
    <row r="1198" spans="1:35" x14ac:dyDescent="0.15">
      <c r="A1198" s="4" t="s">
        <v>2662</v>
      </c>
      <c r="D1198" s="4">
        <v>303</v>
      </c>
      <c r="E1198" s="4">
        <v>44</v>
      </c>
      <c r="H1198" s="29">
        <v>1001</v>
      </c>
      <c r="I1198" s="4">
        <v>1462</v>
      </c>
      <c r="L1198" s="30">
        <v>800</v>
      </c>
      <c r="M1198" s="4">
        <v>380</v>
      </c>
      <c r="N1198" s="4">
        <v>92</v>
      </c>
      <c r="O1198" s="4">
        <v>3122</v>
      </c>
      <c r="P1198" s="4">
        <v>0</v>
      </c>
      <c r="Q1198" s="4">
        <v>348</v>
      </c>
      <c r="R1198" s="4">
        <v>1.5</v>
      </c>
      <c r="S1198" s="4">
        <v>50</v>
      </c>
      <c r="T1198" s="4">
        <v>0</v>
      </c>
      <c r="U1198" s="4">
        <v>0</v>
      </c>
      <c r="V1198" s="4">
        <v>0</v>
      </c>
      <c r="Y1198" s="4">
        <f>[1]伙伴成长!$AB45</f>
        <v>2256</v>
      </c>
      <c r="Z1198" s="4">
        <f>[1]伙伴成长!$W45</f>
        <v>576</v>
      </c>
      <c r="AA1198" s="4">
        <f>[1]伙伴成长!$X45</f>
        <v>180</v>
      </c>
      <c r="AB1198" s="4">
        <f>[1]伙伴成长!$Y45</f>
        <v>4898</v>
      </c>
      <c r="AC1198" s="4">
        <v>0</v>
      </c>
      <c r="AD1198" s="4">
        <f>[1]伙伴成长!$Z45</f>
        <v>464</v>
      </c>
      <c r="AE1198" s="4">
        <v>1.5</v>
      </c>
      <c r="AF1198" s="4">
        <f>[1]伙伴成长!$AA45</f>
        <v>51</v>
      </c>
      <c r="AG1198" s="4">
        <v>0</v>
      </c>
      <c r="AH1198" s="4">
        <v>0</v>
      </c>
      <c r="AI1198" s="4">
        <v>0</v>
      </c>
    </row>
    <row r="1199" spans="1:35" x14ac:dyDescent="0.15">
      <c r="A1199" s="4" t="s">
        <v>2662</v>
      </c>
      <c r="D1199" s="4">
        <v>303</v>
      </c>
      <c r="E1199" s="4">
        <v>45</v>
      </c>
      <c r="H1199" s="29">
        <v>1001</v>
      </c>
      <c r="I1199" s="4">
        <v>1491</v>
      </c>
      <c r="L1199" s="30">
        <v>800</v>
      </c>
      <c r="M1199" s="4">
        <v>388</v>
      </c>
      <c r="N1199" s="4">
        <v>94</v>
      </c>
      <c r="O1199" s="4">
        <v>3176</v>
      </c>
      <c r="P1199" s="4">
        <v>0</v>
      </c>
      <c r="Q1199" s="4">
        <v>354</v>
      </c>
      <c r="R1199" s="4">
        <v>1.5</v>
      </c>
      <c r="S1199" s="4">
        <v>51</v>
      </c>
      <c r="T1199" s="4">
        <v>0</v>
      </c>
      <c r="U1199" s="4">
        <v>0</v>
      </c>
      <c r="V1199" s="4">
        <v>0</v>
      </c>
      <c r="Y1199" s="4">
        <f>[1]伙伴成长!$AB46</f>
        <v>2300</v>
      </c>
      <c r="Z1199" s="4">
        <f>[1]伙伴成长!$W46</f>
        <v>588</v>
      </c>
      <c r="AA1199" s="4">
        <f>[1]伙伴成长!$X46</f>
        <v>184</v>
      </c>
      <c r="AB1199" s="4">
        <f>[1]伙伴成长!$Y46</f>
        <v>4984</v>
      </c>
      <c r="AC1199" s="4">
        <v>0</v>
      </c>
      <c r="AD1199" s="4">
        <f>[1]伙伴成长!$Z46</f>
        <v>472</v>
      </c>
      <c r="AE1199" s="4">
        <v>1.5</v>
      </c>
      <c r="AF1199" s="4">
        <f>[1]伙伴成长!$AA46</f>
        <v>52</v>
      </c>
      <c r="AG1199" s="4">
        <v>0</v>
      </c>
      <c r="AH1199" s="4">
        <v>0</v>
      </c>
      <c r="AI1199" s="4">
        <v>0</v>
      </c>
    </row>
    <row r="1200" spans="1:35" x14ac:dyDescent="0.15">
      <c r="A1200" s="4" t="s">
        <v>2662</v>
      </c>
      <c r="D1200" s="4">
        <v>303</v>
      </c>
      <c r="E1200" s="4">
        <v>46</v>
      </c>
      <c r="H1200" s="29">
        <v>1001</v>
      </c>
      <c r="I1200" s="4">
        <v>1519</v>
      </c>
      <c r="L1200" s="30">
        <v>800</v>
      </c>
      <c r="M1200" s="4">
        <v>396</v>
      </c>
      <c r="N1200" s="4">
        <v>96</v>
      </c>
      <c r="O1200" s="4">
        <v>3230</v>
      </c>
      <c r="P1200" s="4">
        <v>0</v>
      </c>
      <c r="Q1200" s="4">
        <v>360</v>
      </c>
      <c r="R1200" s="4">
        <v>1.5</v>
      </c>
      <c r="S1200" s="4">
        <v>52</v>
      </c>
      <c r="T1200" s="4">
        <v>0</v>
      </c>
      <c r="U1200" s="4">
        <v>0</v>
      </c>
      <c r="V1200" s="4">
        <v>0</v>
      </c>
      <c r="Y1200" s="4">
        <f>[1]伙伴成长!$AB47</f>
        <v>2344</v>
      </c>
      <c r="Z1200" s="4">
        <f>[1]伙伴成长!$W47</f>
        <v>600</v>
      </c>
      <c r="AA1200" s="4">
        <f>[1]伙伴成长!$X47</f>
        <v>188</v>
      </c>
      <c r="AB1200" s="4">
        <f>[1]伙伴成长!$Y47</f>
        <v>5070</v>
      </c>
      <c r="AC1200" s="4">
        <v>0</v>
      </c>
      <c r="AD1200" s="4">
        <f>[1]伙伴成长!$Z47</f>
        <v>480</v>
      </c>
      <c r="AE1200" s="4">
        <v>1.5</v>
      </c>
      <c r="AF1200" s="4">
        <f>[1]伙伴成长!$AA47</f>
        <v>53</v>
      </c>
      <c r="AG1200" s="4">
        <v>0</v>
      </c>
      <c r="AH1200" s="4">
        <v>0</v>
      </c>
      <c r="AI1200" s="4">
        <v>0</v>
      </c>
    </row>
    <row r="1201" spans="1:35" x14ac:dyDescent="0.15">
      <c r="A1201" s="4" t="s">
        <v>2662</v>
      </c>
      <c r="D1201" s="4">
        <v>303</v>
      </c>
      <c r="E1201" s="4">
        <v>47</v>
      </c>
      <c r="H1201" s="29">
        <v>1001</v>
      </c>
      <c r="I1201" s="4">
        <v>1548</v>
      </c>
      <c r="L1201" s="30">
        <v>800</v>
      </c>
      <c r="M1201" s="4">
        <v>404</v>
      </c>
      <c r="N1201" s="4">
        <v>98</v>
      </c>
      <c r="O1201" s="4">
        <v>3284</v>
      </c>
      <c r="P1201" s="4">
        <v>0</v>
      </c>
      <c r="Q1201" s="4">
        <v>366</v>
      </c>
      <c r="R1201" s="4">
        <v>1.5</v>
      </c>
      <c r="S1201" s="4">
        <v>53</v>
      </c>
      <c r="T1201" s="4">
        <v>0</v>
      </c>
      <c r="U1201" s="4">
        <v>0</v>
      </c>
      <c r="V1201" s="4">
        <v>0</v>
      </c>
      <c r="Y1201" s="4">
        <f>[1]伙伴成长!$AB48</f>
        <v>2388</v>
      </c>
      <c r="Z1201" s="4">
        <f>[1]伙伴成长!$W48</f>
        <v>612</v>
      </c>
      <c r="AA1201" s="4">
        <f>[1]伙伴成长!$X48</f>
        <v>192</v>
      </c>
      <c r="AB1201" s="4">
        <f>[1]伙伴成长!$Y48</f>
        <v>5156</v>
      </c>
      <c r="AC1201" s="4">
        <v>0</v>
      </c>
      <c r="AD1201" s="4">
        <f>[1]伙伴成长!$Z48</f>
        <v>488</v>
      </c>
      <c r="AE1201" s="4">
        <v>1.5</v>
      </c>
      <c r="AF1201" s="4">
        <f>[1]伙伴成长!$AA48</f>
        <v>54</v>
      </c>
      <c r="AG1201" s="4">
        <v>0</v>
      </c>
      <c r="AH1201" s="4">
        <v>0</v>
      </c>
      <c r="AI1201" s="4">
        <v>0</v>
      </c>
    </row>
    <row r="1202" spans="1:35" x14ac:dyDescent="0.15">
      <c r="A1202" s="4" t="s">
        <v>2662</v>
      </c>
      <c r="D1202" s="4">
        <v>303</v>
      </c>
      <c r="E1202" s="4">
        <v>48</v>
      </c>
      <c r="H1202" s="29">
        <v>1001</v>
      </c>
      <c r="I1202" s="4">
        <v>1576</v>
      </c>
      <c r="L1202" s="30">
        <v>800</v>
      </c>
      <c r="M1202" s="4">
        <v>412</v>
      </c>
      <c r="N1202" s="4">
        <v>100</v>
      </c>
      <c r="O1202" s="4">
        <v>3338</v>
      </c>
      <c r="P1202" s="4">
        <v>0</v>
      </c>
      <c r="Q1202" s="4">
        <v>372</v>
      </c>
      <c r="R1202" s="4">
        <v>1.5</v>
      </c>
      <c r="S1202" s="4">
        <v>54</v>
      </c>
      <c r="T1202" s="4">
        <v>0</v>
      </c>
      <c r="U1202" s="4">
        <v>0</v>
      </c>
      <c r="V1202" s="4">
        <v>0</v>
      </c>
      <c r="Y1202" s="4">
        <f>[1]伙伴成长!$AB49</f>
        <v>2432</v>
      </c>
      <c r="Z1202" s="4">
        <f>[1]伙伴成长!$W49</f>
        <v>624</v>
      </c>
      <c r="AA1202" s="4">
        <f>[1]伙伴成长!$X49</f>
        <v>196</v>
      </c>
      <c r="AB1202" s="4">
        <f>[1]伙伴成长!$Y49</f>
        <v>5242</v>
      </c>
      <c r="AC1202" s="4">
        <v>0</v>
      </c>
      <c r="AD1202" s="4">
        <f>[1]伙伴成长!$Z49</f>
        <v>496</v>
      </c>
      <c r="AE1202" s="4">
        <v>1.5</v>
      </c>
      <c r="AF1202" s="4">
        <f>[1]伙伴成长!$AA49</f>
        <v>55</v>
      </c>
      <c r="AG1202" s="4">
        <v>0</v>
      </c>
      <c r="AH1202" s="4">
        <v>0</v>
      </c>
      <c r="AI1202" s="4">
        <v>0</v>
      </c>
    </row>
    <row r="1203" spans="1:35" x14ac:dyDescent="0.15">
      <c r="A1203" s="4" t="s">
        <v>2662</v>
      </c>
      <c r="D1203" s="4">
        <v>303</v>
      </c>
      <c r="E1203" s="4">
        <v>49</v>
      </c>
      <c r="H1203" s="29">
        <v>1001</v>
      </c>
      <c r="I1203" s="4">
        <v>1604</v>
      </c>
      <c r="L1203" s="30">
        <v>800</v>
      </c>
      <c r="M1203" s="4">
        <v>420</v>
      </c>
      <c r="N1203" s="4">
        <v>102</v>
      </c>
      <c r="O1203" s="4">
        <v>3392</v>
      </c>
      <c r="P1203" s="4">
        <v>0</v>
      </c>
      <c r="Q1203" s="4">
        <v>378</v>
      </c>
      <c r="R1203" s="4">
        <v>1.5</v>
      </c>
      <c r="S1203" s="4">
        <v>55</v>
      </c>
      <c r="T1203" s="4">
        <v>0</v>
      </c>
      <c r="U1203" s="4">
        <v>0</v>
      </c>
      <c r="V1203" s="4">
        <v>0</v>
      </c>
      <c r="Y1203" s="4">
        <f>[1]伙伴成长!$AB50</f>
        <v>2476</v>
      </c>
      <c r="Z1203" s="4">
        <f>[1]伙伴成长!$W50</f>
        <v>636</v>
      </c>
      <c r="AA1203" s="4">
        <f>[1]伙伴成长!$X50</f>
        <v>200</v>
      </c>
      <c r="AB1203" s="4">
        <f>[1]伙伴成长!$Y50</f>
        <v>5328</v>
      </c>
      <c r="AC1203" s="4">
        <v>0</v>
      </c>
      <c r="AD1203" s="4">
        <f>[1]伙伴成长!$Z50</f>
        <v>504</v>
      </c>
      <c r="AE1203" s="4">
        <v>1.5</v>
      </c>
      <c r="AF1203" s="4">
        <f>[1]伙伴成长!$AA50</f>
        <v>56</v>
      </c>
      <c r="AG1203" s="4">
        <v>0</v>
      </c>
      <c r="AH1203" s="4">
        <v>0</v>
      </c>
      <c r="AI1203" s="4">
        <v>0</v>
      </c>
    </row>
    <row r="1204" spans="1:35" x14ac:dyDescent="0.15">
      <c r="A1204" s="4" t="s">
        <v>2662</v>
      </c>
      <c r="D1204" s="4">
        <v>303</v>
      </c>
      <c r="E1204" s="4">
        <v>50</v>
      </c>
      <c r="H1204" s="29">
        <v>1001</v>
      </c>
      <c r="I1204" s="4">
        <v>1633</v>
      </c>
      <c r="L1204" s="30">
        <v>800</v>
      </c>
      <c r="M1204" s="4">
        <v>428</v>
      </c>
      <c r="N1204" s="4">
        <v>104</v>
      </c>
      <c r="O1204" s="4">
        <v>3446</v>
      </c>
      <c r="P1204" s="4">
        <v>0</v>
      </c>
      <c r="Q1204" s="4">
        <v>384</v>
      </c>
      <c r="R1204" s="4">
        <v>1.5</v>
      </c>
      <c r="S1204" s="4">
        <v>56</v>
      </c>
      <c r="T1204" s="4">
        <v>0</v>
      </c>
      <c r="U1204" s="4">
        <v>0</v>
      </c>
      <c r="V1204" s="4">
        <v>0</v>
      </c>
      <c r="Y1204" s="4">
        <f>[1]伙伴成长!$AB51</f>
        <v>2520</v>
      </c>
      <c r="Z1204" s="4">
        <f>[1]伙伴成长!$W51</f>
        <v>648</v>
      </c>
      <c r="AA1204" s="4">
        <f>[1]伙伴成长!$X51</f>
        <v>204</v>
      </c>
      <c r="AB1204" s="4">
        <f>[1]伙伴成长!$Y51</f>
        <v>5414</v>
      </c>
      <c r="AC1204" s="4">
        <v>0</v>
      </c>
      <c r="AD1204" s="4">
        <f>[1]伙伴成长!$Z51</f>
        <v>512</v>
      </c>
      <c r="AE1204" s="4">
        <v>1.5</v>
      </c>
      <c r="AF1204" s="4">
        <f>[1]伙伴成长!$AA51</f>
        <v>57</v>
      </c>
      <c r="AG1204" s="4">
        <v>0</v>
      </c>
      <c r="AH1204" s="4">
        <v>0</v>
      </c>
      <c r="AI1204" s="4">
        <v>0</v>
      </c>
    </row>
    <row r="1206" spans="1:35" x14ac:dyDescent="0.15">
      <c r="A1206" s="4" t="s">
        <v>2662</v>
      </c>
      <c r="C1206" s="4" t="s">
        <v>3551</v>
      </c>
      <c r="D1206" s="4">
        <f>D1154+1</f>
        <v>304</v>
      </c>
      <c r="E1206" s="4">
        <v>0</v>
      </c>
      <c r="H1206" s="29">
        <v>1000</v>
      </c>
      <c r="I1206" s="30">
        <v>299</v>
      </c>
      <c r="M1206" s="4">
        <v>0</v>
      </c>
      <c r="N1206" s="4">
        <v>0</v>
      </c>
      <c r="O1206" s="4">
        <v>0</v>
      </c>
      <c r="P1206" s="4">
        <v>0</v>
      </c>
      <c r="Q1206" s="4">
        <v>0</v>
      </c>
      <c r="R1206" s="4">
        <v>0</v>
      </c>
      <c r="S1206" s="4">
        <v>0</v>
      </c>
      <c r="T1206" s="4">
        <v>0</v>
      </c>
      <c r="U1206" s="4">
        <v>0</v>
      </c>
      <c r="V1206" s="4">
        <v>0</v>
      </c>
    </row>
    <row r="1207" spans="1:35" x14ac:dyDescent="0.15">
      <c r="A1207" s="4" t="s">
        <v>2662</v>
      </c>
      <c r="D1207" s="4">
        <f t="shared" ref="D1207:D1256" si="12">D1155+1</f>
        <v>304</v>
      </c>
      <c r="E1207" s="4">
        <v>1</v>
      </c>
      <c r="H1207" s="29">
        <v>1001</v>
      </c>
      <c r="I1207" s="4">
        <v>370</v>
      </c>
      <c r="L1207" s="30">
        <v>800</v>
      </c>
      <c r="M1207" s="4">
        <v>60</v>
      </c>
      <c r="N1207" s="4">
        <v>8</v>
      </c>
      <c r="O1207" s="4">
        <v>1200</v>
      </c>
      <c r="P1207" s="4">
        <v>0</v>
      </c>
      <c r="Q1207" s="4">
        <v>120</v>
      </c>
      <c r="R1207" s="4">
        <v>1.5</v>
      </c>
      <c r="S1207" s="4">
        <v>8</v>
      </c>
      <c r="T1207" s="4">
        <v>0</v>
      </c>
      <c r="U1207" s="4">
        <v>0</v>
      </c>
      <c r="V1207" s="4">
        <v>0</v>
      </c>
    </row>
    <row r="1208" spans="1:35" x14ac:dyDescent="0.15">
      <c r="A1208" s="4" t="s">
        <v>2662</v>
      </c>
      <c r="D1208" s="4">
        <f t="shared" si="12"/>
        <v>304</v>
      </c>
      <c r="E1208" s="4">
        <v>2</v>
      </c>
      <c r="H1208" s="29">
        <v>1001</v>
      </c>
      <c r="I1208" s="4">
        <v>414</v>
      </c>
      <c r="L1208" s="30">
        <v>800</v>
      </c>
      <c r="M1208" s="4">
        <v>72</v>
      </c>
      <c r="N1208" s="4">
        <v>12</v>
      </c>
      <c r="O1208" s="4">
        <v>1286</v>
      </c>
      <c r="P1208" s="4">
        <v>0</v>
      </c>
      <c r="Q1208" s="4">
        <v>128</v>
      </c>
      <c r="R1208" s="4">
        <v>1.5</v>
      </c>
      <c r="S1208" s="4">
        <v>9</v>
      </c>
      <c r="T1208" s="4">
        <v>0</v>
      </c>
      <c r="U1208" s="4">
        <v>0</v>
      </c>
      <c r="V1208" s="4">
        <v>0</v>
      </c>
    </row>
    <row r="1209" spans="1:35" x14ac:dyDescent="0.15">
      <c r="A1209" s="4" t="s">
        <v>2662</v>
      </c>
      <c r="D1209" s="4">
        <f t="shared" si="12"/>
        <v>304</v>
      </c>
      <c r="E1209" s="4">
        <v>3</v>
      </c>
      <c r="H1209" s="29">
        <v>1001</v>
      </c>
      <c r="I1209" s="4">
        <v>458</v>
      </c>
      <c r="L1209" s="30">
        <v>800</v>
      </c>
      <c r="M1209" s="4">
        <v>84</v>
      </c>
      <c r="N1209" s="4">
        <v>16</v>
      </c>
      <c r="O1209" s="4">
        <v>1372</v>
      </c>
      <c r="P1209" s="4">
        <v>0</v>
      </c>
      <c r="Q1209" s="4">
        <v>136</v>
      </c>
      <c r="R1209" s="4">
        <v>1.5</v>
      </c>
      <c r="S1209" s="4">
        <v>10</v>
      </c>
      <c r="T1209" s="4">
        <v>0</v>
      </c>
      <c r="U1209" s="4">
        <v>0</v>
      </c>
      <c r="V1209" s="4">
        <v>0</v>
      </c>
    </row>
    <row r="1210" spans="1:35" x14ac:dyDescent="0.15">
      <c r="A1210" s="4" t="s">
        <v>2662</v>
      </c>
      <c r="D1210" s="4">
        <f t="shared" si="12"/>
        <v>304</v>
      </c>
      <c r="E1210" s="4">
        <v>4</v>
      </c>
      <c r="H1210" s="29">
        <v>1001</v>
      </c>
      <c r="I1210" s="4">
        <v>502</v>
      </c>
      <c r="L1210" s="30">
        <v>800</v>
      </c>
      <c r="M1210" s="4">
        <v>96</v>
      </c>
      <c r="N1210" s="4">
        <v>20</v>
      </c>
      <c r="O1210" s="4">
        <v>1458</v>
      </c>
      <c r="P1210" s="4">
        <v>0</v>
      </c>
      <c r="Q1210" s="4">
        <v>144</v>
      </c>
      <c r="R1210" s="4">
        <v>1.5</v>
      </c>
      <c r="S1210" s="4">
        <v>11</v>
      </c>
      <c r="T1210" s="4">
        <v>0</v>
      </c>
      <c r="U1210" s="4">
        <v>0</v>
      </c>
      <c r="V1210" s="4">
        <v>0</v>
      </c>
    </row>
    <row r="1211" spans="1:35" x14ac:dyDescent="0.15">
      <c r="A1211" s="4" t="s">
        <v>2662</v>
      </c>
      <c r="D1211" s="4">
        <f t="shared" si="12"/>
        <v>304</v>
      </c>
      <c r="E1211" s="4">
        <v>5</v>
      </c>
      <c r="H1211" s="29">
        <v>1001</v>
      </c>
      <c r="I1211" s="4">
        <v>546</v>
      </c>
      <c r="L1211" s="30">
        <v>800</v>
      </c>
      <c r="M1211" s="4">
        <v>108</v>
      </c>
      <c r="N1211" s="4">
        <v>24</v>
      </c>
      <c r="O1211" s="4">
        <v>1544</v>
      </c>
      <c r="P1211" s="4">
        <v>0</v>
      </c>
      <c r="Q1211" s="4">
        <v>152</v>
      </c>
      <c r="R1211" s="4">
        <v>1.5</v>
      </c>
      <c r="S1211" s="4">
        <v>12</v>
      </c>
      <c r="T1211" s="4">
        <v>0</v>
      </c>
      <c r="U1211" s="4">
        <v>0</v>
      </c>
      <c r="V1211" s="4">
        <v>0</v>
      </c>
    </row>
    <row r="1212" spans="1:35" x14ac:dyDescent="0.15">
      <c r="A1212" s="4" t="s">
        <v>2662</v>
      </c>
      <c r="D1212" s="4">
        <f t="shared" si="12"/>
        <v>304</v>
      </c>
      <c r="E1212" s="4">
        <v>6</v>
      </c>
      <c r="H1212" s="29">
        <v>1001</v>
      </c>
      <c r="I1212" s="4">
        <v>590</v>
      </c>
      <c r="L1212" s="30">
        <v>800</v>
      </c>
      <c r="M1212" s="4">
        <v>120</v>
      </c>
      <c r="N1212" s="4">
        <v>28</v>
      </c>
      <c r="O1212" s="4">
        <v>1630</v>
      </c>
      <c r="P1212" s="4">
        <v>0</v>
      </c>
      <c r="Q1212" s="4">
        <v>160</v>
      </c>
      <c r="R1212" s="4">
        <v>1.5</v>
      </c>
      <c r="S1212" s="4">
        <v>13</v>
      </c>
      <c r="T1212" s="4">
        <v>0</v>
      </c>
      <c r="U1212" s="4">
        <v>0</v>
      </c>
      <c r="V1212" s="4">
        <v>0</v>
      </c>
    </row>
    <row r="1213" spans="1:35" x14ac:dyDescent="0.15">
      <c r="A1213" s="4" t="s">
        <v>2662</v>
      </c>
      <c r="D1213" s="4">
        <f t="shared" si="12"/>
        <v>304</v>
      </c>
      <c r="E1213" s="4">
        <v>7</v>
      </c>
      <c r="H1213" s="29">
        <v>1001</v>
      </c>
      <c r="I1213" s="4">
        <v>634</v>
      </c>
      <c r="L1213" s="30">
        <v>800</v>
      </c>
      <c r="M1213" s="4">
        <v>132</v>
      </c>
      <c r="N1213" s="4">
        <v>32</v>
      </c>
      <c r="O1213" s="4">
        <v>1716</v>
      </c>
      <c r="P1213" s="4">
        <v>0</v>
      </c>
      <c r="Q1213" s="4">
        <v>168</v>
      </c>
      <c r="R1213" s="4">
        <v>1.5</v>
      </c>
      <c r="S1213" s="4">
        <v>14</v>
      </c>
      <c r="T1213" s="4">
        <v>0</v>
      </c>
      <c r="U1213" s="4">
        <v>0</v>
      </c>
      <c r="V1213" s="4">
        <v>0</v>
      </c>
    </row>
    <row r="1214" spans="1:35" x14ac:dyDescent="0.15">
      <c r="A1214" s="4" t="s">
        <v>2662</v>
      </c>
      <c r="D1214" s="4">
        <f t="shared" si="12"/>
        <v>304</v>
      </c>
      <c r="E1214" s="4">
        <v>8</v>
      </c>
      <c r="H1214" s="29">
        <v>1001</v>
      </c>
      <c r="I1214" s="4">
        <v>677</v>
      </c>
      <c r="L1214" s="30">
        <v>800</v>
      </c>
      <c r="M1214" s="4">
        <v>144</v>
      </c>
      <c r="N1214" s="4">
        <v>36</v>
      </c>
      <c r="O1214" s="4">
        <v>1802</v>
      </c>
      <c r="P1214" s="4">
        <v>0</v>
      </c>
      <c r="Q1214" s="4">
        <v>176</v>
      </c>
      <c r="R1214" s="4">
        <v>1.5</v>
      </c>
      <c r="S1214" s="4">
        <v>15</v>
      </c>
      <c r="T1214" s="4">
        <v>0</v>
      </c>
      <c r="U1214" s="4">
        <v>0</v>
      </c>
      <c r="V1214" s="4">
        <v>0</v>
      </c>
    </row>
    <row r="1215" spans="1:35" x14ac:dyDescent="0.15">
      <c r="A1215" s="4" t="s">
        <v>2662</v>
      </c>
      <c r="D1215" s="4">
        <f t="shared" si="12"/>
        <v>304</v>
      </c>
      <c r="E1215" s="4">
        <v>9</v>
      </c>
      <c r="H1215" s="29">
        <v>1001</v>
      </c>
      <c r="I1215" s="4">
        <v>721</v>
      </c>
      <c r="L1215" s="30">
        <v>800</v>
      </c>
      <c r="M1215" s="4">
        <v>156</v>
      </c>
      <c r="N1215" s="4">
        <v>40</v>
      </c>
      <c r="O1215" s="4">
        <v>1888</v>
      </c>
      <c r="P1215" s="4">
        <v>0</v>
      </c>
      <c r="Q1215" s="4">
        <v>184</v>
      </c>
      <c r="R1215" s="4">
        <v>1.5</v>
      </c>
      <c r="S1215" s="4">
        <v>16</v>
      </c>
      <c r="T1215" s="4">
        <v>0</v>
      </c>
      <c r="U1215" s="4">
        <v>0</v>
      </c>
      <c r="V1215" s="4">
        <v>0</v>
      </c>
    </row>
    <row r="1216" spans="1:35" x14ac:dyDescent="0.15">
      <c r="A1216" s="4" t="s">
        <v>2662</v>
      </c>
      <c r="D1216" s="4">
        <f t="shared" si="12"/>
        <v>304</v>
      </c>
      <c r="E1216" s="4">
        <v>10</v>
      </c>
      <c r="H1216" s="29">
        <v>1001</v>
      </c>
      <c r="I1216" s="4">
        <v>765</v>
      </c>
      <c r="L1216" s="30">
        <v>800</v>
      </c>
      <c r="M1216" s="4">
        <v>168</v>
      </c>
      <c r="N1216" s="4">
        <v>44</v>
      </c>
      <c r="O1216" s="4">
        <v>1974</v>
      </c>
      <c r="P1216" s="4">
        <v>0</v>
      </c>
      <c r="Q1216" s="4">
        <v>192</v>
      </c>
      <c r="R1216" s="4">
        <v>1.5</v>
      </c>
      <c r="S1216" s="4">
        <v>17</v>
      </c>
      <c r="T1216" s="4">
        <v>0</v>
      </c>
      <c r="U1216" s="4">
        <v>0</v>
      </c>
      <c r="V1216" s="4">
        <v>0</v>
      </c>
    </row>
    <row r="1217" spans="1:22" x14ac:dyDescent="0.15">
      <c r="A1217" s="4" t="s">
        <v>2662</v>
      </c>
      <c r="D1217" s="4">
        <f t="shared" si="12"/>
        <v>304</v>
      </c>
      <c r="E1217" s="4">
        <v>11</v>
      </c>
      <c r="H1217" s="29">
        <v>1001</v>
      </c>
      <c r="I1217" s="4">
        <v>809</v>
      </c>
      <c r="L1217" s="30">
        <v>800</v>
      </c>
      <c r="M1217" s="4">
        <v>180</v>
      </c>
      <c r="N1217" s="4">
        <v>48</v>
      </c>
      <c r="O1217" s="4">
        <v>2060</v>
      </c>
      <c r="P1217" s="4">
        <v>0</v>
      </c>
      <c r="Q1217" s="4">
        <v>200</v>
      </c>
      <c r="R1217" s="4">
        <v>1.5</v>
      </c>
      <c r="S1217" s="4">
        <v>18</v>
      </c>
      <c r="T1217" s="4">
        <v>0</v>
      </c>
      <c r="U1217" s="4">
        <v>0</v>
      </c>
      <c r="V1217" s="4">
        <v>0</v>
      </c>
    </row>
    <row r="1218" spans="1:22" x14ac:dyDescent="0.15">
      <c r="A1218" s="4" t="s">
        <v>2662</v>
      </c>
      <c r="D1218" s="4">
        <f t="shared" si="12"/>
        <v>304</v>
      </c>
      <c r="E1218" s="4">
        <v>12</v>
      </c>
      <c r="H1218" s="29">
        <v>1001</v>
      </c>
      <c r="I1218" s="4">
        <v>853</v>
      </c>
      <c r="L1218" s="30">
        <v>800</v>
      </c>
      <c r="M1218" s="4">
        <v>192</v>
      </c>
      <c r="N1218" s="4">
        <v>52</v>
      </c>
      <c r="O1218" s="4">
        <v>2146</v>
      </c>
      <c r="P1218" s="4">
        <v>0</v>
      </c>
      <c r="Q1218" s="4">
        <v>208</v>
      </c>
      <c r="R1218" s="4">
        <v>1.5</v>
      </c>
      <c r="S1218" s="4">
        <v>19</v>
      </c>
      <c r="T1218" s="4">
        <v>0</v>
      </c>
      <c r="U1218" s="4">
        <v>0</v>
      </c>
      <c r="V1218" s="4">
        <v>0</v>
      </c>
    </row>
    <row r="1219" spans="1:22" x14ac:dyDescent="0.15">
      <c r="A1219" s="4" t="s">
        <v>2662</v>
      </c>
      <c r="D1219" s="4">
        <f t="shared" si="12"/>
        <v>304</v>
      </c>
      <c r="E1219" s="4">
        <v>13</v>
      </c>
      <c r="H1219" s="29">
        <v>1001</v>
      </c>
      <c r="I1219" s="4">
        <v>897</v>
      </c>
      <c r="L1219" s="30">
        <v>800</v>
      </c>
      <c r="M1219" s="4">
        <v>204</v>
      </c>
      <c r="N1219" s="4">
        <v>56</v>
      </c>
      <c r="O1219" s="4">
        <v>2232</v>
      </c>
      <c r="P1219" s="4">
        <v>0</v>
      </c>
      <c r="Q1219" s="4">
        <v>216</v>
      </c>
      <c r="R1219" s="4">
        <v>1.5</v>
      </c>
      <c r="S1219" s="4">
        <v>20</v>
      </c>
      <c r="T1219" s="4">
        <v>0</v>
      </c>
      <c r="U1219" s="4">
        <v>0</v>
      </c>
      <c r="V1219" s="4">
        <v>0</v>
      </c>
    </row>
    <row r="1220" spans="1:22" x14ac:dyDescent="0.15">
      <c r="A1220" s="4" t="s">
        <v>2662</v>
      </c>
      <c r="D1220" s="4">
        <f t="shared" si="12"/>
        <v>304</v>
      </c>
      <c r="E1220" s="4">
        <v>14</v>
      </c>
      <c r="H1220" s="29">
        <v>1001</v>
      </c>
      <c r="I1220" s="4">
        <v>941</v>
      </c>
      <c r="L1220" s="30">
        <v>800</v>
      </c>
      <c r="M1220" s="4">
        <v>216</v>
      </c>
      <c r="N1220" s="4">
        <v>60</v>
      </c>
      <c r="O1220" s="4">
        <v>2318</v>
      </c>
      <c r="P1220" s="4">
        <v>0</v>
      </c>
      <c r="Q1220" s="4">
        <v>224</v>
      </c>
      <c r="R1220" s="4">
        <v>1.5</v>
      </c>
      <c r="S1220" s="4">
        <v>21</v>
      </c>
      <c r="T1220" s="4">
        <v>0</v>
      </c>
      <c r="U1220" s="4">
        <v>0</v>
      </c>
      <c r="V1220" s="4">
        <v>0</v>
      </c>
    </row>
    <row r="1221" spans="1:22" x14ac:dyDescent="0.15">
      <c r="A1221" s="4" t="s">
        <v>2662</v>
      </c>
      <c r="D1221" s="4">
        <f t="shared" si="12"/>
        <v>304</v>
      </c>
      <c r="E1221" s="4">
        <v>15</v>
      </c>
      <c r="H1221" s="29">
        <v>1001</v>
      </c>
      <c r="I1221" s="4">
        <v>984</v>
      </c>
      <c r="L1221" s="30">
        <v>800</v>
      </c>
      <c r="M1221" s="4">
        <v>228</v>
      </c>
      <c r="N1221" s="4">
        <v>64</v>
      </c>
      <c r="O1221" s="4">
        <v>2404</v>
      </c>
      <c r="P1221" s="4">
        <v>0</v>
      </c>
      <c r="Q1221" s="4">
        <v>232</v>
      </c>
      <c r="R1221" s="4">
        <v>1.5</v>
      </c>
      <c r="S1221" s="4">
        <v>22</v>
      </c>
      <c r="T1221" s="4">
        <v>0</v>
      </c>
      <c r="U1221" s="4">
        <v>0</v>
      </c>
      <c r="V1221" s="4">
        <v>0</v>
      </c>
    </row>
    <row r="1222" spans="1:22" x14ac:dyDescent="0.15">
      <c r="A1222" s="4" t="s">
        <v>2662</v>
      </c>
      <c r="D1222" s="4">
        <f t="shared" si="12"/>
        <v>304</v>
      </c>
      <c r="E1222" s="4">
        <v>16</v>
      </c>
      <c r="H1222" s="29">
        <v>1001</v>
      </c>
      <c r="I1222" s="4">
        <v>1028</v>
      </c>
      <c r="L1222" s="30">
        <v>800</v>
      </c>
      <c r="M1222" s="4">
        <v>240</v>
      </c>
      <c r="N1222" s="4">
        <v>68</v>
      </c>
      <c r="O1222" s="4">
        <v>2490</v>
      </c>
      <c r="P1222" s="4">
        <v>0</v>
      </c>
      <c r="Q1222" s="4">
        <v>240</v>
      </c>
      <c r="R1222" s="4">
        <v>1.5</v>
      </c>
      <c r="S1222" s="4">
        <v>23</v>
      </c>
      <c r="T1222" s="4">
        <v>0</v>
      </c>
      <c r="U1222" s="4">
        <v>0</v>
      </c>
      <c r="V1222" s="4">
        <v>0</v>
      </c>
    </row>
    <row r="1223" spans="1:22" x14ac:dyDescent="0.15">
      <c r="A1223" s="4" t="s">
        <v>2662</v>
      </c>
      <c r="D1223" s="4">
        <f t="shared" si="12"/>
        <v>304</v>
      </c>
      <c r="E1223" s="4">
        <v>17</v>
      </c>
      <c r="H1223" s="29">
        <v>1001</v>
      </c>
      <c r="I1223" s="4">
        <v>1072</v>
      </c>
      <c r="L1223" s="30">
        <v>800</v>
      </c>
      <c r="M1223" s="4">
        <v>252</v>
      </c>
      <c r="N1223" s="4">
        <v>72</v>
      </c>
      <c r="O1223" s="4">
        <v>2576</v>
      </c>
      <c r="P1223" s="4">
        <v>0</v>
      </c>
      <c r="Q1223" s="4">
        <v>248</v>
      </c>
      <c r="R1223" s="4">
        <v>1.5</v>
      </c>
      <c r="S1223" s="4">
        <v>24</v>
      </c>
      <c r="T1223" s="4">
        <v>0</v>
      </c>
      <c r="U1223" s="4">
        <v>0</v>
      </c>
      <c r="V1223" s="4">
        <v>0</v>
      </c>
    </row>
    <row r="1224" spans="1:22" x14ac:dyDescent="0.15">
      <c r="A1224" s="4" t="s">
        <v>2662</v>
      </c>
      <c r="D1224" s="4">
        <f t="shared" si="12"/>
        <v>304</v>
      </c>
      <c r="E1224" s="4">
        <v>18</v>
      </c>
      <c r="H1224" s="29">
        <v>1001</v>
      </c>
      <c r="I1224" s="4">
        <v>1116</v>
      </c>
      <c r="L1224" s="30">
        <v>800</v>
      </c>
      <c r="M1224" s="4">
        <v>264</v>
      </c>
      <c r="N1224" s="4">
        <v>76</v>
      </c>
      <c r="O1224" s="4">
        <v>2662</v>
      </c>
      <c r="P1224" s="4">
        <v>0</v>
      </c>
      <c r="Q1224" s="4">
        <v>256</v>
      </c>
      <c r="R1224" s="4">
        <v>1.5</v>
      </c>
      <c r="S1224" s="4">
        <v>25</v>
      </c>
      <c r="T1224" s="4">
        <v>0</v>
      </c>
      <c r="U1224" s="4">
        <v>0</v>
      </c>
      <c r="V1224" s="4">
        <v>0</v>
      </c>
    </row>
    <row r="1225" spans="1:22" x14ac:dyDescent="0.15">
      <c r="A1225" s="4" t="s">
        <v>2662</v>
      </c>
      <c r="D1225" s="4">
        <f t="shared" si="12"/>
        <v>304</v>
      </c>
      <c r="E1225" s="4">
        <v>19</v>
      </c>
      <c r="H1225" s="29">
        <v>1001</v>
      </c>
      <c r="I1225" s="4">
        <v>1160</v>
      </c>
      <c r="L1225" s="30">
        <v>800</v>
      </c>
      <c r="M1225" s="4">
        <v>276</v>
      </c>
      <c r="N1225" s="4">
        <v>80</v>
      </c>
      <c r="O1225" s="4">
        <v>2748</v>
      </c>
      <c r="P1225" s="4">
        <v>0</v>
      </c>
      <c r="Q1225" s="4">
        <v>264</v>
      </c>
      <c r="R1225" s="4">
        <v>1.5</v>
      </c>
      <c r="S1225" s="4">
        <v>26</v>
      </c>
      <c r="T1225" s="4">
        <v>0</v>
      </c>
      <c r="U1225" s="4">
        <v>0</v>
      </c>
      <c r="V1225" s="4">
        <v>0</v>
      </c>
    </row>
    <row r="1226" spans="1:22" x14ac:dyDescent="0.15">
      <c r="A1226" s="4" t="s">
        <v>2662</v>
      </c>
      <c r="D1226" s="4">
        <f t="shared" si="12"/>
        <v>304</v>
      </c>
      <c r="E1226" s="4">
        <v>20</v>
      </c>
      <c r="H1226" s="29">
        <v>1001</v>
      </c>
      <c r="I1226" s="4">
        <v>1204</v>
      </c>
      <c r="L1226" s="30">
        <v>800</v>
      </c>
      <c r="M1226" s="4">
        <v>288</v>
      </c>
      <c r="N1226" s="4">
        <v>84</v>
      </c>
      <c r="O1226" s="4">
        <v>2834</v>
      </c>
      <c r="P1226" s="4">
        <v>0</v>
      </c>
      <c r="Q1226" s="4">
        <v>272</v>
      </c>
      <c r="R1226" s="4">
        <v>1.5</v>
      </c>
      <c r="S1226" s="4">
        <v>27</v>
      </c>
      <c r="T1226" s="4">
        <v>0</v>
      </c>
      <c r="U1226" s="4">
        <v>0</v>
      </c>
      <c r="V1226" s="4">
        <v>0</v>
      </c>
    </row>
    <row r="1227" spans="1:22" x14ac:dyDescent="0.15">
      <c r="A1227" s="4" t="s">
        <v>2662</v>
      </c>
      <c r="D1227" s="4">
        <f t="shared" si="12"/>
        <v>304</v>
      </c>
      <c r="E1227" s="4">
        <v>21</v>
      </c>
      <c r="H1227" s="29">
        <v>1001</v>
      </c>
      <c r="I1227" s="4">
        <v>1248</v>
      </c>
      <c r="L1227" s="30">
        <v>800</v>
      </c>
      <c r="M1227" s="4">
        <v>300</v>
      </c>
      <c r="N1227" s="4">
        <v>88</v>
      </c>
      <c r="O1227" s="4">
        <v>2920</v>
      </c>
      <c r="P1227" s="4">
        <v>0</v>
      </c>
      <c r="Q1227" s="4">
        <v>280</v>
      </c>
      <c r="R1227" s="4">
        <v>1.5</v>
      </c>
      <c r="S1227" s="4">
        <v>28</v>
      </c>
      <c r="T1227" s="4">
        <v>0</v>
      </c>
      <c r="U1227" s="4">
        <v>0</v>
      </c>
      <c r="V1227" s="4">
        <v>0</v>
      </c>
    </row>
    <row r="1228" spans="1:22" x14ac:dyDescent="0.15">
      <c r="A1228" s="4" t="s">
        <v>2662</v>
      </c>
      <c r="D1228" s="4">
        <f t="shared" si="12"/>
        <v>304</v>
      </c>
      <c r="E1228" s="4">
        <v>22</v>
      </c>
      <c r="H1228" s="29">
        <v>1001</v>
      </c>
      <c r="I1228" s="4">
        <v>1291</v>
      </c>
      <c r="L1228" s="30">
        <v>800</v>
      </c>
      <c r="M1228" s="4">
        <v>312</v>
      </c>
      <c r="N1228" s="4">
        <v>92</v>
      </c>
      <c r="O1228" s="4">
        <v>3006</v>
      </c>
      <c r="P1228" s="4">
        <v>0</v>
      </c>
      <c r="Q1228" s="4">
        <v>288</v>
      </c>
      <c r="R1228" s="4">
        <v>1.5</v>
      </c>
      <c r="S1228" s="4">
        <v>29</v>
      </c>
      <c r="T1228" s="4">
        <v>0</v>
      </c>
      <c r="U1228" s="4">
        <v>0</v>
      </c>
      <c r="V1228" s="4">
        <v>0</v>
      </c>
    </row>
    <row r="1229" spans="1:22" x14ac:dyDescent="0.15">
      <c r="A1229" s="4" t="s">
        <v>2662</v>
      </c>
      <c r="D1229" s="4">
        <f t="shared" si="12"/>
        <v>304</v>
      </c>
      <c r="E1229" s="4">
        <v>23</v>
      </c>
      <c r="H1229" s="29">
        <v>1001</v>
      </c>
      <c r="I1229" s="4">
        <v>1335</v>
      </c>
      <c r="L1229" s="30">
        <v>800</v>
      </c>
      <c r="M1229" s="4">
        <v>324</v>
      </c>
      <c r="N1229" s="4">
        <v>96</v>
      </c>
      <c r="O1229" s="4">
        <v>3092</v>
      </c>
      <c r="P1229" s="4">
        <v>0</v>
      </c>
      <c r="Q1229" s="4">
        <v>296</v>
      </c>
      <c r="R1229" s="4">
        <v>1.5</v>
      </c>
      <c r="S1229" s="4">
        <v>30</v>
      </c>
      <c r="T1229" s="4">
        <v>0</v>
      </c>
      <c r="U1229" s="4">
        <v>0</v>
      </c>
      <c r="V1229" s="4">
        <v>0</v>
      </c>
    </row>
    <row r="1230" spans="1:22" x14ac:dyDescent="0.15">
      <c r="A1230" s="4" t="s">
        <v>2662</v>
      </c>
      <c r="D1230" s="4">
        <f t="shared" si="12"/>
        <v>304</v>
      </c>
      <c r="E1230" s="4">
        <v>24</v>
      </c>
      <c r="H1230" s="29">
        <v>1001</v>
      </c>
      <c r="I1230" s="4">
        <v>1379</v>
      </c>
      <c r="L1230" s="30">
        <v>800</v>
      </c>
      <c r="M1230" s="4">
        <v>336</v>
      </c>
      <c r="N1230" s="4">
        <v>100</v>
      </c>
      <c r="O1230" s="4">
        <v>3178</v>
      </c>
      <c r="P1230" s="4">
        <v>0</v>
      </c>
      <c r="Q1230" s="4">
        <v>304</v>
      </c>
      <c r="R1230" s="4">
        <v>1.5</v>
      </c>
      <c r="S1230" s="4">
        <v>31</v>
      </c>
      <c r="T1230" s="4">
        <v>0</v>
      </c>
      <c r="U1230" s="4">
        <v>0</v>
      </c>
      <c r="V1230" s="4">
        <v>0</v>
      </c>
    </row>
    <row r="1231" spans="1:22" x14ac:dyDescent="0.15">
      <c r="A1231" s="4" t="s">
        <v>2662</v>
      </c>
      <c r="D1231" s="4">
        <f t="shared" si="12"/>
        <v>304</v>
      </c>
      <c r="E1231" s="4">
        <v>25</v>
      </c>
      <c r="H1231" s="29">
        <v>1001</v>
      </c>
      <c r="I1231" s="4">
        <v>1423</v>
      </c>
      <c r="L1231" s="30">
        <v>800</v>
      </c>
      <c r="M1231" s="4">
        <v>348</v>
      </c>
      <c r="N1231" s="4">
        <v>104</v>
      </c>
      <c r="O1231" s="4">
        <v>3264</v>
      </c>
      <c r="P1231" s="4">
        <v>0</v>
      </c>
      <c r="Q1231" s="4">
        <v>312</v>
      </c>
      <c r="R1231" s="4">
        <v>1.5</v>
      </c>
      <c r="S1231" s="4">
        <v>32</v>
      </c>
      <c r="T1231" s="4">
        <v>0</v>
      </c>
      <c r="U1231" s="4">
        <v>0</v>
      </c>
      <c r="V1231" s="4">
        <v>0</v>
      </c>
    </row>
    <row r="1232" spans="1:22" x14ac:dyDescent="0.15">
      <c r="A1232" s="4" t="s">
        <v>2662</v>
      </c>
      <c r="D1232" s="4">
        <f t="shared" si="12"/>
        <v>304</v>
      </c>
      <c r="E1232" s="4">
        <v>26</v>
      </c>
      <c r="H1232" s="29">
        <v>1001</v>
      </c>
      <c r="I1232" s="4">
        <v>1467</v>
      </c>
      <c r="L1232" s="30">
        <v>800</v>
      </c>
      <c r="M1232" s="4">
        <v>360</v>
      </c>
      <c r="N1232" s="4">
        <v>108</v>
      </c>
      <c r="O1232" s="4">
        <v>3350</v>
      </c>
      <c r="P1232" s="4">
        <v>0</v>
      </c>
      <c r="Q1232" s="4">
        <v>320</v>
      </c>
      <c r="R1232" s="4">
        <v>1.5</v>
      </c>
      <c r="S1232" s="4">
        <v>33</v>
      </c>
      <c r="T1232" s="4">
        <v>0</v>
      </c>
      <c r="U1232" s="4">
        <v>0</v>
      </c>
      <c r="V1232" s="4">
        <v>0</v>
      </c>
    </row>
    <row r="1233" spans="1:22" x14ac:dyDescent="0.15">
      <c r="A1233" s="4" t="s">
        <v>2662</v>
      </c>
      <c r="D1233" s="4">
        <f t="shared" si="12"/>
        <v>304</v>
      </c>
      <c r="E1233" s="4">
        <v>27</v>
      </c>
      <c r="H1233" s="29">
        <v>1001</v>
      </c>
      <c r="I1233" s="4">
        <v>1511</v>
      </c>
      <c r="L1233" s="30">
        <v>800</v>
      </c>
      <c r="M1233" s="4">
        <v>372</v>
      </c>
      <c r="N1233" s="4">
        <v>112</v>
      </c>
      <c r="O1233" s="4">
        <v>3436</v>
      </c>
      <c r="P1233" s="4">
        <v>0</v>
      </c>
      <c r="Q1233" s="4">
        <v>328</v>
      </c>
      <c r="R1233" s="4">
        <v>1.5</v>
      </c>
      <c r="S1233" s="4">
        <v>34</v>
      </c>
      <c r="T1233" s="4">
        <v>0</v>
      </c>
      <c r="U1233" s="4">
        <v>0</v>
      </c>
      <c r="V1233" s="4">
        <v>0</v>
      </c>
    </row>
    <row r="1234" spans="1:22" x14ac:dyDescent="0.15">
      <c r="A1234" s="4" t="s">
        <v>2662</v>
      </c>
      <c r="D1234" s="4">
        <f t="shared" si="12"/>
        <v>304</v>
      </c>
      <c r="E1234" s="4">
        <v>28</v>
      </c>
      <c r="H1234" s="29">
        <v>1001</v>
      </c>
      <c r="I1234" s="4">
        <v>1555</v>
      </c>
      <c r="L1234" s="30">
        <v>800</v>
      </c>
      <c r="M1234" s="4">
        <v>384</v>
      </c>
      <c r="N1234" s="4">
        <v>116</v>
      </c>
      <c r="O1234" s="4">
        <v>3522</v>
      </c>
      <c r="P1234" s="4">
        <v>0</v>
      </c>
      <c r="Q1234" s="4">
        <v>336</v>
      </c>
      <c r="R1234" s="4">
        <v>1.5</v>
      </c>
      <c r="S1234" s="4">
        <v>35</v>
      </c>
      <c r="T1234" s="4">
        <v>0</v>
      </c>
      <c r="U1234" s="4">
        <v>0</v>
      </c>
      <c r="V1234" s="4">
        <v>0</v>
      </c>
    </row>
    <row r="1235" spans="1:22" x14ac:dyDescent="0.15">
      <c r="A1235" s="4" t="s">
        <v>2662</v>
      </c>
      <c r="D1235" s="4">
        <f t="shared" si="12"/>
        <v>304</v>
      </c>
      <c r="E1235" s="4">
        <v>29</v>
      </c>
      <c r="H1235" s="29">
        <v>1001</v>
      </c>
      <c r="I1235" s="4">
        <v>1598</v>
      </c>
      <c r="L1235" s="30">
        <v>800</v>
      </c>
      <c r="M1235" s="4">
        <v>396</v>
      </c>
      <c r="N1235" s="4">
        <v>120</v>
      </c>
      <c r="O1235" s="4">
        <v>3608</v>
      </c>
      <c r="P1235" s="4">
        <v>0</v>
      </c>
      <c r="Q1235" s="4">
        <v>344</v>
      </c>
      <c r="R1235" s="4">
        <v>1.5</v>
      </c>
      <c r="S1235" s="4">
        <v>36</v>
      </c>
      <c r="T1235" s="4">
        <v>0</v>
      </c>
      <c r="U1235" s="4">
        <v>0</v>
      </c>
      <c r="V1235" s="4">
        <v>0</v>
      </c>
    </row>
    <row r="1236" spans="1:22" x14ac:dyDescent="0.15">
      <c r="A1236" s="4" t="s">
        <v>2662</v>
      </c>
      <c r="D1236" s="4">
        <f t="shared" si="12"/>
        <v>304</v>
      </c>
      <c r="E1236" s="4">
        <v>30</v>
      </c>
      <c r="H1236" s="29">
        <v>1001</v>
      </c>
      <c r="I1236" s="4">
        <v>1642</v>
      </c>
      <c r="L1236" s="30">
        <v>800</v>
      </c>
      <c r="M1236" s="4">
        <v>408</v>
      </c>
      <c r="N1236" s="4">
        <v>124</v>
      </c>
      <c r="O1236" s="4">
        <v>3694</v>
      </c>
      <c r="P1236" s="4">
        <v>0</v>
      </c>
      <c r="Q1236" s="4">
        <v>352</v>
      </c>
      <c r="R1236" s="4">
        <v>1.5</v>
      </c>
      <c r="S1236" s="4">
        <v>37</v>
      </c>
      <c r="T1236" s="4">
        <v>0</v>
      </c>
      <c r="U1236" s="4">
        <v>0</v>
      </c>
      <c r="V1236" s="4">
        <v>0</v>
      </c>
    </row>
    <row r="1237" spans="1:22" x14ac:dyDescent="0.15">
      <c r="A1237" s="4" t="s">
        <v>2662</v>
      </c>
      <c r="D1237" s="4">
        <f t="shared" si="12"/>
        <v>304</v>
      </c>
      <c r="E1237" s="4">
        <v>31</v>
      </c>
      <c r="H1237" s="29">
        <v>1001</v>
      </c>
      <c r="I1237" s="4">
        <v>1686</v>
      </c>
      <c r="L1237" s="30">
        <v>800</v>
      </c>
      <c r="M1237" s="4">
        <v>420</v>
      </c>
      <c r="N1237" s="4">
        <v>128</v>
      </c>
      <c r="O1237" s="4">
        <v>3780</v>
      </c>
      <c r="P1237" s="4">
        <v>0</v>
      </c>
      <c r="Q1237" s="4">
        <v>360</v>
      </c>
      <c r="R1237" s="4">
        <v>1.5</v>
      </c>
      <c r="S1237" s="4">
        <v>38</v>
      </c>
      <c r="T1237" s="4">
        <v>0</v>
      </c>
      <c r="U1237" s="4">
        <v>0</v>
      </c>
      <c r="V1237" s="4">
        <v>0</v>
      </c>
    </row>
    <row r="1238" spans="1:22" x14ac:dyDescent="0.15">
      <c r="A1238" s="4" t="s">
        <v>2662</v>
      </c>
      <c r="D1238" s="4">
        <f t="shared" si="12"/>
        <v>304</v>
      </c>
      <c r="E1238" s="4">
        <v>32</v>
      </c>
      <c r="H1238" s="29">
        <v>1001</v>
      </c>
      <c r="I1238" s="4">
        <v>1730</v>
      </c>
      <c r="L1238" s="30">
        <v>800</v>
      </c>
      <c r="M1238" s="4">
        <v>432</v>
      </c>
      <c r="N1238" s="4">
        <v>132</v>
      </c>
      <c r="O1238" s="4">
        <v>3866</v>
      </c>
      <c r="P1238" s="4">
        <v>0</v>
      </c>
      <c r="Q1238" s="4">
        <v>368</v>
      </c>
      <c r="R1238" s="4">
        <v>1.5</v>
      </c>
      <c r="S1238" s="4">
        <v>39</v>
      </c>
      <c r="T1238" s="4">
        <v>0</v>
      </c>
      <c r="U1238" s="4">
        <v>0</v>
      </c>
      <c r="V1238" s="4">
        <v>0</v>
      </c>
    </row>
    <row r="1239" spans="1:22" x14ac:dyDescent="0.15">
      <c r="A1239" s="4" t="s">
        <v>2662</v>
      </c>
      <c r="D1239" s="4">
        <f t="shared" si="12"/>
        <v>304</v>
      </c>
      <c r="E1239" s="4">
        <v>33</v>
      </c>
      <c r="H1239" s="29">
        <v>1001</v>
      </c>
      <c r="I1239" s="4">
        <v>1774</v>
      </c>
      <c r="L1239" s="30">
        <v>800</v>
      </c>
      <c r="M1239" s="4">
        <v>444</v>
      </c>
      <c r="N1239" s="4">
        <v>136</v>
      </c>
      <c r="O1239" s="4">
        <v>3952</v>
      </c>
      <c r="P1239" s="4">
        <v>0</v>
      </c>
      <c r="Q1239" s="4">
        <v>376</v>
      </c>
      <c r="R1239" s="4">
        <v>1.5</v>
      </c>
      <c r="S1239" s="4">
        <v>40</v>
      </c>
      <c r="T1239" s="4">
        <v>0</v>
      </c>
      <c r="U1239" s="4">
        <v>0</v>
      </c>
      <c r="V1239" s="4">
        <v>0</v>
      </c>
    </row>
    <row r="1240" spans="1:22" x14ac:dyDescent="0.15">
      <c r="A1240" s="4" t="s">
        <v>2662</v>
      </c>
      <c r="D1240" s="4">
        <f t="shared" si="12"/>
        <v>304</v>
      </c>
      <c r="E1240" s="4">
        <v>34</v>
      </c>
      <c r="H1240" s="29">
        <v>1001</v>
      </c>
      <c r="I1240" s="4">
        <v>1818</v>
      </c>
      <c r="L1240" s="30">
        <v>800</v>
      </c>
      <c r="M1240" s="4">
        <v>456</v>
      </c>
      <c r="N1240" s="4">
        <v>140</v>
      </c>
      <c r="O1240" s="4">
        <v>4038</v>
      </c>
      <c r="P1240" s="4">
        <v>0</v>
      </c>
      <c r="Q1240" s="4">
        <v>384</v>
      </c>
      <c r="R1240" s="4">
        <v>1.5</v>
      </c>
      <c r="S1240" s="4">
        <v>41</v>
      </c>
      <c r="T1240" s="4">
        <v>0</v>
      </c>
      <c r="U1240" s="4">
        <v>0</v>
      </c>
      <c r="V1240" s="4">
        <v>0</v>
      </c>
    </row>
    <row r="1241" spans="1:22" x14ac:dyDescent="0.15">
      <c r="A1241" s="4" t="s">
        <v>2662</v>
      </c>
      <c r="D1241" s="4">
        <f t="shared" si="12"/>
        <v>304</v>
      </c>
      <c r="E1241" s="4">
        <v>35</v>
      </c>
      <c r="H1241" s="29">
        <v>1001</v>
      </c>
      <c r="I1241" s="4">
        <v>1862</v>
      </c>
      <c r="L1241" s="30">
        <v>800</v>
      </c>
      <c r="M1241" s="4">
        <v>468</v>
      </c>
      <c r="N1241" s="4">
        <v>144</v>
      </c>
      <c r="O1241" s="4">
        <v>4124</v>
      </c>
      <c r="P1241" s="4">
        <v>0</v>
      </c>
      <c r="Q1241" s="4">
        <v>392</v>
      </c>
      <c r="R1241" s="4">
        <v>1.5</v>
      </c>
      <c r="S1241" s="4">
        <v>42</v>
      </c>
      <c r="T1241" s="4">
        <v>0</v>
      </c>
      <c r="U1241" s="4">
        <v>0</v>
      </c>
      <c r="V1241" s="4">
        <v>0</v>
      </c>
    </row>
    <row r="1242" spans="1:22" x14ac:dyDescent="0.15">
      <c r="A1242" s="4" t="s">
        <v>2662</v>
      </c>
      <c r="D1242" s="4">
        <f t="shared" si="12"/>
        <v>304</v>
      </c>
      <c r="E1242" s="4">
        <v>36</v>
      </c>
      <c r="H1242" s="29">
        <v>1001</v>
      </c>
      <c r="I1242" s="4">
        <v>1906</v>
      </c>
      <c r="L1242" s="30">
        <v>800</v>
      </c>
      <c r="M1242" s="4">
        <v>480</v>
      </c>
      <c r="N1242" s="4">
        <v>148</v>
      </c>
      <c r="O1242" s="4">
        <v>4210</v>
      </c>
      <c r="P1242" s="4">
        <v>0</v>
      </c>
      <c r="Q1242" s="4">
        <v>400</v>
      </c>
      <c r="R1242" s="4">
        <v>1.5</v>
      </c>
      <c r="S1242" s="4">
        <v>43</v>
      </c>
      <c r="T1242" s="4">
        <v>0</v>
      </c>
      <c r="U1242" s="4">
        <v>0</v>
      </c>
      <c r="V1242" s="4">
        <v>0</v>
      </c>
    </row>
    <row r="1243" spans="1:22" x14ac:dyDescent="0.15">
      <c r="A1243" s="4" t="s">
        <v>2662</v>
      </c>
      <c r="D1243" s="4">
        <f t="shared" si="12"/>
        <v>304</v>
      </c>
      <c r="E1243" s="4">
        <v>37</v>
      </c>
      <c r="H1243" s="29">
        <v>1001</v>
      </c>
      <c r="I1243" s="4">
        <v>1949</v>
      </c>
      <c r="L1243" s="30">
        <v>800</v>
      </c>
      <c r="M1243" s="4">
        <v>492</v>
      </c>
      <c r="N1243" s="4">
        <v>152</v>
      </c>
      <c r="O1243" s="4">
        <v>4296</v>
      </c>
      <c r="P1243" s="4">
        <v>0</v>
      </c>
      <c r="Q1243" s="4">
        <v>408</v>
      </c>
      <c r="R1243" s="4">
        <v>1.5</v>
      </c>
      <c r="S1243" s="4">
        <v>44</v>
      </c>
      <c r="T1243" s="4">
        <v>0</v>
      </c>
      <c r="U1243" s="4">
        <v>0</v>
      </c>
      <c r="V1243" s="4">
        <v>0</v>
      </c>
    </row>
    <row r="1244" spans="1:22" x14ac:dyDescent="0.15">
      <c r="A1244" s="4" t="s">
        <v>2662</v>
      </c>
      <c r="D1244" s="4">
        <f t="shared" si="12"/>
        <v>304</v>
      </c>
      <c r="E1244" s="4">
        <v>38</v>
      </c>
      <c r="H1244" s="29">
        <v>1001</v>
      </c>
      <c r="I1244" s="4">
        <v>1993</v>
      </c>
      <c r="L1244" s="30">
        <v>800</v>
      </c>
      <c r="M1244" s="4">
        <v>504</v>
      </c>
      <c r="N1244" s="4">
        <v>156</v>
      </c>
      <c r="O1244" s="4">
        <v>4382</v>
      </c>
      <c r="P1244" s="4">
        <v>0</v>
      </c>
      <c r="Q1244" s="4">
        <v>416</v>
      </c>
      <c r="R1244" s="4">
        <v>1.5</v>
      </c>
      <c r="S1244" s="4">
        <v>45</v>
      </c>
      <c r="T1244" s="4">
        <v>0</v>
      </c>
      <c r="U1244" s="4">
        <v>0</v>
      </c>
      <c r="V1244" s="4">
        <v>0</v>
      </c>
    </row>
    <row r="1245" spans="1:22" x14ac:dyDescent="0.15">
      <c r="A1245" s="4" t="s">
        <v>2662</v>
      </c>
      <c r="D1245" s="4">
        <f t="shared" si="12"/>
        <v>304</v>
      </c>
      <c r="E1245" s="4">
        <v>39</v>
      </c>
      <c r="H1245" s="29">
        <v>1001</v>
      </c>
      <c r="I1245" s="4">
        <v>2037</v>
      </c>
      <c r="L1245" s="30">
        <v>800</v>
      </c>
      <c r="M1245" s="4">
        <v>516</v>
      </c>
      <c r="N1245" s="4">
        <v>160</v>
      </c>
      <c r="O1245" s="4">
        <v>4468</v>
      </c>
      <c r="P1245" s="4">
        <v>0</v>
      </c>
      <c r="Q1245" s="4">
        <v>424</v>
      </c>
      <c r="R1245" s="4">
        <v>1.5</v>
      </c>
      <c r="S1245" s="4">
        <v>46</v>
      </c>
      <c r="T1245" s="4">
        <v>0</v>
      </c>
      <c r="U1245" s="4">
        <v>0</v>
      </c>
      <c r="V1245" s="4">
        <v>0</v>
      </c>
    </row>
    <row r="1246" spans="1:22" x14ac:dyDescent="0.15">
      <c r="A1246" s="4" t="s">
        <v>2662</v>
      </c>
      <c r="D1246" s="4">
        <f t="shared" si="12"/>
        <v>304</v>
      </c>
      <c r="E1246" s="4">
        <v>40</v>
      </c>
      <c r="H1246" s="29">
        <v>1001</v>
      </c>
      <c r="I1246" s="4">
        <v>2081</v>
      </c>
      <c r="L1246" s="30">
        <v>800</v>
      </c>
      <c r="M1246" s="4">
        <v>528</v>
      </c>
      <c r="N1246" s="4">
        <v>164</v>
      </c>
      <c r="O1246" s="4">
        <v>4554</v>
      </c>
      <c r="P1246" s="4">
        <v>0</v>
      </c>
      <c r="Q1246" s="4">
        <v>432</v>
      </c>
      <c r="R1246" s="4">
        <v>1.5</v>
      </c>
      <c r="S1246" s="4">
        <v>47</v>
      </c>
      <c r="T1246" s="4">
        <v>0</v>
      </c>
      <c r="U1246" s="4">
        <v>0</v>
      </c>
      <c r="V1246" s="4">
        <v>0</v>
      </c>
    </row>
    <row r="1247" spans="1:22" x14ac:dyDescent="0.15">
      <c r="A1247" s="4" t="s">
        <v>2662</v>
      </c>
      <c r="D1247" s="4">
        <f t="shared" si="12"/>
        <v>304</v>
      </c>
      <c r="E1247" s="4">
        <v>41</v>
      </c>
      <c r="H1247" s="29">
        <v>1001</v>
      </c>
      <c r="I1247" s="4">
        <v>2125</v>
      </c>
      <c r="L1247" s="30">
        <v>800</v>
      </c>
      <c r="M1247" s="4">
        <v>540</v>
      </c>
      <c r="N1247" s="4">
        <v>168</v>
      </c>
      <c r="O1247" s="4">
        <v>4640</v>
      </c>
      <c r="P1247" s="4">
        <v>0</v>
      </c>
      <c r="Q1247" s="4">
        <v>440</v>
      </c>
      <c r="R1247" s="4">
        <v>1.5</v>
      </c>
      <c r="S1247" s="4">
        <v>48</v>
      </c>
      <c r="T1247" s="4">
        <v>0</v>
      </c>
      <c r="U1247" s="4">
        <v>0</v>
      </c>
      <c r="V1247" s="4">
        <v>0</v>
      </c>
    </row>
    <row r="1248" spans="1:22" x14ac:dyDescent="0.15">
      <c r="A1248" s="4" t="s">
        <v>2662</v>
      </c>
      <c r="D1248" s="4">
        <f t="shared" si="12"/>
        <v>304</v>
      </c>
      <c r="E1248" s="4">
        <v>42</v>
      </c>
      <c r="H1248" s="29">
        <v>1001</v>
      </c>
      <c r="I1248" s="4">
        <v>2169</v>
      </c>
      <c r="L1248" s="30">
        <v>800</v>
      </c>
      <c r="M1248" s="4">
        <v>552</v>
      </c>
      <c r="N1248" s="4">
        <v>172</v>
      </c>
      <c r="O1248" s="4">
        <v>4726</v>
      </c>
      <c r="P1248" s="4">
        <v>0</v>
      </c>
      <c r="Q1248" s="4">
        <v>448</v>
      </c>
      <c r="R1248" s="4">
        <v>1.5</v>
      </c>
      <c r="S1248" s="4">
        <v>49</v>
      </c>
      <c r="T1248" s="4">
        <v>0</v>
      </c>
      <c r="U1248" s="4">
        <v>0</v>
      </c>
      <c r="V1248" s="4">
        <v>0</v>
      </c>
    </row>
    <row r="1249" spans="1:22" x14ac:dyDescent="0.15">
      <c r="A1249" s="4" t="s">
        <v>2662</v>
      </c>
      <c r="D1249" s="4">
        <f t="shared" si="12"/>
        <v>304</v>
      </c>
      <c r="E1249" s="4">
        <v>43</v>
      </c>
      <c r="H1249" s="29">
        <v>1001</v>
      </c>
      <c r="I1249" s="4">
        <v>2213</v>
      </c>
      <c r="L1249" s="30">
        <v>800</v>
      </c>
      <c r="M1249" s="4">
        <v>564</v>
      </c>
      <c r="N1249" s="4">
        <v>176</v>
      </c>
      <c r="O1249" s="4">
        <v>4812</v>
      </c>
      <c r="P1249" s="4">
        <v>0</v>
      </c>
      <c r="Q1249" s="4">
        <v>456</v>
      </c>
      <c r="R1249" s="4">
        <v>1.5</v>
      </c>
      <c r="S1249" s="4">
        <v>50</v>
      </c>
      <c r="T1249" s="4">
        <v>0</v>
      </c>
      <c r="U1249" s="4">
        <v>0</v>
      </c>
      <c r="V1249" s="4">
        <v>0</v>
      </c>
    </row>
    <row r="1250" spans="1:22" x14ac:dyDescent="0.15">
      <c r="A1250" s="4" t="s">
        <v>2662</v>
      </c>
      <c r="D1250" s="4">
        <f t="shared" si="12"/>
        <v>304</v>
      </c>
      <c r="E1250" s="4">
        <v>44</v>
      </c>
      <c r="H1250" s="29">
        <v>1001</v>
      </c>
      <c r="I1250" s="4">
        <v>2256</v>
      </c>
      <c r="L1250" s="30">
        <v>800</v>
      </c>
      <c r="M1250" s="4">
        <v>576</v>
      </c>
      <c r="N1250" s="4">
        <v>180</v>
      </c>
      <c r="O1250" s="4">
        <v>4898</v>
      </c>
      <c r="P1250" s="4">
        <v>0</v>
      </c>
      <c r="Q1250" s="4">
        <v>464</v>
      </c>
      <c r="R1250" s="4">
        <v>1.5</v>
      </c>
      <c r="S1250" s="4">
        <v>51</v>
      </c>
      <c r="T1250" s="4">
        <v>0</v>
      </c>
      <c r="U1250" s="4">
        <v>0</v>
      </c>
      <c r="V1250" s="4">
        <v>0</v>
      </c>
    </row>
    <row r="1251" spans="1:22" x14ac:dyDescent="0.15">
      <c r="A1251" s="4" t="s">
        <v>2662</v>
      </c>
      <c r="D1251" s="4">
        <f t="shared" si="12"/>
        <v>304</v>
      </c>
      <c r="E1251" s="4">
        <v>45</v>
      </c>
      <c r="H1251" s="29">
        <v>1001</v>
      </c>
      <c r="I1251" s="4">
        <v>2300</v>
      </c>
      <c r="L1251" s="30">
        <v>800</v>
      </c>
      <c r="M1251" s="4">
        <v>588</v>
      </c>
      <c r="N1251" s="4">
        <v>184</v>
      </c>
      <c r="O1251" s="4">
        <v>4984</v>
      </c>
      <c r="P1251" s="4">
        <v>0</v>
      </c>
      <c r="Q1251" s="4">
        <v>472</v>
      </c>
      <c r="R1251" s="4">
        <v>1.5</v>
      </c>
      <c r="S1251" s="4">
        <v>52</v>
      </c>
      <c r="T1251" s="4">
        <v>0</v>
      </c>
      <c r="U1251" s="4">
        <v>0</v>
      </c>
      <c r="V1251" s="4">
        <v>0</v>
      </c>
    </row>
    <row r="1252" spans="1:22" x14ac:dyDescent="0.15">
      <c r="A1252" s="4" t="s">
        <v>2662</v>
      </c>
      <c r="D1252" s="4">
        <f t="shared" si="12"/>
        <v>304</v>
      </c>
      <c r="E1252" s="4">
        <v>46</v>
      </c>
      <c r="H1252" s="29">
        <v>1001</v>
      </c>
      <c r="I1252" s="4">
        <v>2344</v>
      </c>
      <c r="L1252" s="30">
        <v>800</v>
      </c>
      <c r="M1252" s="4">
        <v>600</v>
      </c>
      <c r="N1252" s="4">
        <v>188</v>
      </c>
      <c r="O1252" s="4">
        <v>5070</v>
      </c>
      <c r="P1252" s="4">
        <v>0</v>
      </c>
      <c r="Q1252" s="4">
        <v>480</v>
      </c>
      <c r="R1252" s="4">
        <v>1.5</v>
      </c>
      <c r="S1252" s="4">
        <v>53</v>
      </c>
      <c r="T1252" s="4">
        <v>0</v>
      </c>
      <c r="U1252" s="4">
        <v>0</v>
      </c>
      <c r="V1252" s="4">
        <v>0</v>
      </c>
    </row>
    <row r="1253" spans="1:22" x14ac:dyDescent="0.15">
      <c r="A1253" s="4" t="s">
        <v>2662</v>
      </c>
      <c r="D1253" s="4">
        <f t="shared" si="12"/>
        <v>304</v>
      </c>
      <c r="E1253" s="4">
        <v>47</v>
      </c>
      <c r="H1253" s="29">
        <v>1001</v>
      </c>
      <c r="I1253" s="4">
        <v>2388</v>
      </c>
      <c r="L1253" s="30">
        <v>800</v>
      </c>
      <c r="M1253" s="4">
        <v>612</v>
      </c>
      <c r="N1253" s="4">
        <v>192</v>
      </c>
      <c r="O1253" s="4">
        <v>5156</v>
      </c>
      <c r="P1253" s="4">
        <v>0</v>
      </c>
      <c r="Q1253" s="4">
        <v>488</v>
      </c>
      <c r="R1253" s="4">
        <v>1.5</v>
      </c>
      <c r="S1253" s="4">
        <v>54</v>
      </c>
      <c r="T1253" s="4">
        <v>0</v>
      </c>
      <c r="U1253" s="4">
        <v>0</v>
      </c>
      <c r="V1253" s="4">
        <v>0</v>
      </c>
    </row>
    <row r="1254" spans="1:22" x14ac:dyDescent="0.15">
      <c r="A1254" s="4" t="s">
        <v>2662</v>
      </c>
      <c r="D1254" s="4">
        <f t="shared" si="12"/>
        <v>304</v>
      </c>
      <c r="E1254" s="4">
        <v>48</v>
      </c>
      <c r="H1254" s="29">
        <v>1001</v>
      </c>
      <c r="I1254" s="4">
        <v>2432</v>
      </c>
      <c r="L1254" s="30">
        <v>800</v>
      </c>
      <c r="M1254" s="4">
        <v>624</v>
      </c>
      <c r="N1254" s="4">
        <v>196</v>
      </c>
      <c r="O1254" s="4">
        <v>5242</v>
      </c>
      <c r="P1254" s="4">
        <v>0</v>
      </c>
      <c r="Q1254" s="4">
        <v>496</v>
      </c>
      <c r="R1254" s="4">
        <v>1.5</v>
      </c>
      <c r="S1254" s="4">
        <v>55</v>
      </c>
      <c r="T1254" s="4">
        <v>0</v>
      </c>
      <c r="U1254" s="4">
        <v>0</v>
      </c>
      <c r="V1254" s="4">
        <v>0</v>
      </c>
    </row>
    <row r="1255" spans="1:22" x14ac:dyDescent="0.15">
      <c r="A1255" s="4" t="s">
        <v>2662</v>
      </c>
      <c r="D1255" s="4">
        <f t="shared" si="12"/>
        <v>304</v>
      </c>
      <c r="E1255" s="4">
        <v>49</v>
      </c>
      <c r="H1255" s="29">
        <v>1001</v>
      </c>
      <c r="I1255" s="4">
        <v>2476</v>
      </c>
      <c r="L1255" s="30">
        <v>800</v>
      </c>
      <c r="M1255" s="4">
        <v>636</v>
      </c>
      <c r="N1255" s="4">
        <v>200</v>
      </c>
      <c r="O1255" s="4">
        <v>5328</v>
      </c>
      <c r="P1255" s="4">
        <v>0</v>
      </c>
      <c r="Q1255" s="4">
        <v>504</v>
      </c>
      <c r="R1255" s="4">
        <v>1.5</v>
      </c>
      <c r="S1255" s="4">
        <v>56</v>
      </c>
      <c r="T1255" s="4">
        <v>0</v>
      </c>
      <c r="U1255" s="4">
        <v>0</v>
      </c>
      <c r="V1255" s="4">
        <v>0</v>
      </c>
    </row>
    <row r="1256" spans="1:22" x14ac:dyDescent="0.15">
      <c r="A1256" s="4" t="s">
        <v>2662</v>
      </c>
      <c r="D1256" s="4">
        <f t="shared" si="12"/>
        <v>304</v>
      </c>
      <c r="E1256" s="4">
        <v>50</v>
      </c>
      <c r="H1256" s="29">
        <v>1001</v>
      </c>
      <c r="I1256" s="4">
        <v>2520</v>
      </c>
      <c r="L1256" s="30">
        <v>800</v>
      </c>
      <c r="M1256" s="4">
        <v>648</v>
      </c>
      <c r="N1256" s="4">
        <v>204</v>
      </c>
      <c r="O1256" s="4">
        <v>5414</v>
      </c>
      <c r="P1256" s="4">
        <v>0</v>
      </c>
      <c r="Q1256" s="4">
        <v>512</v>
      </c>
      <c r="R1256" s="4">
        <v>1.5</v>
      </c>
      <c r="S1256" s="4">
        <v>57</v>
      </c>
      <c r="T1256" s="4">
        <v>0</v>
      </c>
      <c r="U1256" s="4">
        <v>0</v>
      </c>
      <c r="V1256" s="4">
        <v>0</v>
      </c>
    </row>
    <row r="1258" spans="1:22" x14ac:dyDescent="0.15">
      <c r="A1258" s="4" t="s">
        <v>2662</v>
      </c>
      <c r="C1258" s="4" t="s">
        <v>3552</v>
      </c>
      <c r="D1258" s="4">
        <f t="shared" ref="D1258:D1321" si="13">D1206+1</f>
        <v>305</v>
      </c>
      <c r="E1258" s="4">
        <v>0</v>
      </c>
      <c r="H1258" s="29">
        <v>3004</v>
      </c>
      <c r="I1258" s="30">
        <v>1</v>
      </c>
      <c r="L1258" s="30">
        <v>112</v>
      </c>
      <c r="M1258" s="4">
        <v>0</v>
      </c>
      <c r="N1258" s="4">
        <v>0</v>
      </c>
      <c r="O1258" s="4">
        <v>0</v>
      </c>
      <c r="P1258" s="4">
        <v>0</v>
      </c>
      <c r="Q1258" s="4">
        <v>0</v>
      </c>
      <c r="R1258" s="4">
        <v>0</v>
      </c>
      <c r="S1258" s="4">
        <v>0</v>
      </c>
      <c r="T1258" s="4">
        <v>0</v>
      </c>
      <c r="U1258" s="4">
        <v>0</v>
      </c>
      <c r="V1258" s="4">
        <v>0</v>
      </c>
    </row>
    <row r="1259" spans="1:22" x14ac:dyDescent="0.15">
      <c r="A1259" s="4" t="s">
        <v>2662</v>
      </c>
      <c r="D1259" s="4">
        <f t="shared" si="13"/>
        <v>305</v>
      </c>
      <c r="E1259" s="4">
        <v>1</v>
      </c>
      <c r="H1259" s="29">
        <v>1001</v>
      </c>
      <c r="I1259" s="4">
        <v>370</v>
      </c>
      <c r="L1259" s="30">
        <v>800</v>
      </c>
      <c r="M1259" s="4">
        <v>60</v>
      </c>
      <c r="N1259" s="4">
        <v>8</v>
      </c>
      <c r="O1259" s="4">
        <v>1200</v>
      </c>
      <c r="P1259" s="4">
        <v>0</v>
      </c>
      <c r="Q1259" s="4">
        <v>120</v>
      </c>
      <c r="R1259" s="4">
        <v>1.5</v>
      </c>
      <c r="S1259" s="4">
        <v>8</v>
      </c>
      <c r="T1259" s="4">
        <v>0</v>
      </c>
      <c r="U1259" s="4">
        <v>0</v>
      </c>
      <c r="V1259" s="4">
        <v>0</v>
      </c>
    </row>
    <row r="1260" spans="1:22" x14ac:dyDescent="0.15">
      <c r="A1260" s="4" t="s">
        <v>2662</v>
      </c>
      <c r="D1260" s="4">
        <f t="shared" si="13"/>
        <v>305</v>
      </c>
      <c r="E1260" s="4">
        <v>2</v>
      </c>
      <c r="H1260" s="29">
        <v>1001</v>
      </c>
      <c r="I1260" s="4">
        <v>414</v>
      </c>
      <c r="L1260" s="30">
        <v>800</v>
      </c>
      <c r="M1260" s="4">
        <v>72</v>
      </c>
      <c r="N1260" s="4">
        <v>12</v>
      </c>
      <c r="O1260" s="4">
        <v>1286</v>
      </c>
      <c r="P1260" s="4">
        <v>0</v>
      </c>
      <c r="Q1260" s="4">
        <v>128</v>
      </c>
      <c r="R1260" s="4">
        <v>1.5</v>
      </c>
      <c r="S1260" s="4">
        <v>9</v>
      </c>
      <c r="T1260" s="4">
        <v>0</v>
      </c>
      <c r="U1260" s="4">
        <v>0</v>
      </c>
      <c r="V1260" s="4">
        <v>0</v>
      </c>
    </row>
    <row r="1261" spans="1:22" x14ac:dyDescent="0.15">
      <c r="A1261" s="4" t="s">
        <v>2662</v>
      </c>
      <c r="D1261" s="4">
        <f t="shared" si="13"/>
        <v>305</v>
      </c>
      <c r="E1261" s="4">
        <v>3</v>
      </c>
      <c r="H1261" s="29">
        <v>1001</v>
      </c>
      <c r="I1261" s="4">
        <v>458</v>
      </c>
      <c r="L1261" s="30">
        <v>800</v>
      </c>
      <c r="M1261" s="4">
        <v>84</v>
      </c>
      <c r="N1261" s="4">
        <v>16</v>
      </c>
      <c r="O1261" s="4">
        <v>1372</v>
      </c>
      <c r="P1261" s="4">
        <v>0</v>
      </c>
      <c r="Q1261" s="4">
        <v>136</v>
      </c>
      <c r="R1261" s="4">
        <v>1.5</v>
      </c>
      <c r="S1261" s="4">
        <v>10</v>
      </c>
      <c r="T1261" s="4">
        <v>0</v>
      </c>
      <c r="U1261" s="4">
        <v>0</v>
      </c>
      <c r="V1261" s="4">
        <v>0</v>
      </c>
    </row>
    <row r="1262" spans="1:22" x14ac:dyDescent="0.15">
      <c r="A1262" s="4" t="s">
        <v>2662</v>
      </c>
      <c r="D1262" s="4">
        <f t="shared" si="13"/>
        <v>305</v>
      </c>
      <c r="E1262" s="4">
        <v>4</v>
      </c>
      <c r="H1262" s="29">
        <v>1001</v>
      </c>
      <c r="I1262" s="4">
        <v>502</v>
      </c>
      <c r="L1262" s="30">
        <v>800</v>
      </c>
      <c r="M1262" s="4">
        <v>96</v>
      </c>
      <c r="N1262" s="4">
        <v>20</v>
      </c>
      <c r="O1262" s="4">
        <v>1458</v>
      </c>
      <c r="P1262" s="4">
        <v>0</v>
      </c>
      <c r="Q1262" s="4">
        <v>144</v>
      </c>
      <c r="R1262" s="4">
        <v>1.5</v>
      </c>
      <c r="S1262" s="4">
        <v>11</v>
      </c>
      <c r="T1262" s="4">
        <v>0</v>
      </c>
      <c r="U1262" s="4">
        <v>0</v>
      </c>
      <c r="V1262" s="4">
        <v>0</v>
      </c>
    </row>
    <row r="1263" spans="1:22" x14ac:dyDescent="0.15">
      <c r="A1263" s="4" t="s">
        <v>2662</v>
      </c>
      <c r="D1263" s="4">
        <f t="shared" si="13"/>
        <v>305</v>
      </c>
      <c r="E1263" s="4">
        <v>5</v>
      </c>
      <c r="H1263" s="29">
        <v>1001</v>
      </c>
      <c r="I1263" s="4">
        <v>546</v>
      </c>
      <c r="L1263" s="30">
        <v>800</v>
      </c>
      <c r="M1263" s="4">
        <v>108</v>
      </c>
      <c r="N1263" s="4">
        <v>24</v>
      </c>
      <c r="O1263" s="4">
        <v>1544</v>
      </c>
      <c r="P1263" s="4">
        <v>0</v>
      </c>
      <c r="Q1263" s="4">
        <v>152</v>
      </c>
      <c r="R1263" s="4">
        <v>1.5</v>
      </c>
      <c r="S1263" s="4">
        <v>12</v>
      </c>
      <c r="T1263" s="4">
        <v>0</v>
      </c>
      <c r="U1263" s="4">
        <v>0</v>
      </c>
      <c r="V1263" s="4">
        <v>0</v>
      </c>
    </row>
    <row r="1264" spans="1:22" x14ac:dyDescent="0.15">
      <c r="A1264" s="4" t="s">
        <v>2662</v>
      </c>
      <c r="D1264" s="4">
        <f t="shared" si="13"/>
        <v>305</v>
      </c>
      <c r="E1264" s="4">
        <v>6</v>
      </c>
      <c r="H1264" s="29">
        <v>1001</v>
      </c>
      <c r="I1264" s="4">
        <v>590</v>
      </c>
      <c r="L1264" s="30">
        <v>800</v>
      </c>
      <c r="M1264" s="4">
        <v>120</v>
      </c>
      <c r="N1264" s="4">
        <v>28</v>
      </c>
      <c r="O1264" s="4">
        <v>1630</v>
      </c>
      <c r="P1264" s="4">
        <v>0</v>
      </c>
      <c r="Q1264" s="4">
        <v>160</v>
      </c>
      <c r="R1264" s="4">
        <v>1.5</v>
      </c>
      <c r="S1264" s="4">
        <v>13</v>
      </c>
      <c r="T1264" s="4">
        <v>0</v>
      </c>
      <c r="U1264" s="4">
        <v>0</v>
      </c>
      <c r="V1264" s="4">
        <v>0</v>
      </c>
    </row>
    <row r="1265" spans="1:22" x14ac:dyDescent="0.15">
      <c r="A1265" s="4" t="s">
        <v>2662</v>
      </c>
      <c r="D1265" s="4">
        <f t="shared" si="13"/>
        <v>305</v>
      </c>
      <c r="E1265" s="4">
        <v>7</v>
      </c>
      <c r="H1265" s="29">
        <v>1001</v>
      </c>
      <c r="I1265" s="4">
        <v>634</v>
      </c>
      <c r="L1265" s="30">
        <v>800</v>
      </c>
      <c r="M1265" s="4">
        <v>132</v>
      </c>
      <c r="N1265" s="4">
        <v>32</v>
      </c>
      <c r="O1265" s="4">
        <v>1716</v>
      </c>
      <c r="P1265" s="4">
        <v>0</v>
      </c>
      <c r="Q1265" s="4">
        <v>168</v>
      </c>
      <c r="R1265" s="4">
        <v>1.5</v>
      </c>
      <c r="S1265" s="4">
        <v>14</v>
      </c>
      <c r="T1265" s="4">
        <v>0</v>
      </c>
      <c r="U1265" s="4">
        <v>0</v>
      </c>
      <c r="V1265" s="4">
        <v>0</v>
      </c>
    </row>
    <row r="1266" spans="1:22" x14ac:dyDescent="0.15">
      <c r="A1266" s="4" t="s">
        <v>2662</v>
      </c>
      <c r="D1266" s="4">
        <f t="shared" si="13"/>
        <v>305</v>
      </c>
      <c r="E1266" s="4">
        <v>8</v>
      </c>
      <c r="H1266" s="29">
        <v>1001</v>
      </c>
      <c r="I1266" s="4">
        <v>677</v>
      </c>
      <c r="L1266" s="30">
        <v>800</v>
      </c>
      <c r="M1266" s="4">
        <v>144</v>
      </c>
      <c r="N1266" s="4">
        <v>36</v>
      </c>
      <c r="O1266" s="4">
        <v>1802</v>
      </c>
      <c r="P1266" s="4">
        <v>0</v>
      </c>
      <c r="Q1266" s="4">
        <v>176</v>
      </c>
      <c r="R1266" s="4">
        <v>1.5</v>
      </c>
      <c r="S1266" s="4">
        <v>15</v>
      </c>
      <c r="T1266" s="4">
        <v>0</v>
      </c>
      <c r="U1266" s="4">
        <v>0</v>
      </c>
      <c r="V1266" s="4">
        <v>0</v>
      </c>
    </row>
    <row r="1267" spans="1:22" x14ac:dyDescent="0.15">
      <c r="A1267" s="4" t="s">
        <v>2662</v>
      </c>
      <c r="D1267" s="4">
        <f t="shared" si="13"/>
        <v>305</v>
      </c>
      <c r="E1267" s="4">
        <v>9</v>
      </c>
      <c r="H1267" s="29">
        <v>1001</v>
      </c>
      <c r="I1267" s="4">
        <v>721</v>
      </c>
      <c r="L1267" s="30">
        <v>800</v>
      </c>
      <c r="M1267" s="4">
        <v>156</v>
      </c>
      <c r="N1267" s="4">
        <v>40</v>
      </c>
      <c r="O1267" s="4">
        <v>1888</v>
      </c>
      <c r="P1267" s="4">
        <v>0</v>
      </c>
      <c r="Q1267" s="4">
        <v>184</v>
      </c>
      <c r="R1267" s="4">
        <v>1.5</v>
      </c>
      <c r="S1267" s="4">
        <v>16</v>
      </c>
      <c r="T1267" s="4">
        <v>0</v>
      </c>
      <c r="U1267" s="4">
        <v>0</v>
      </c>
      <c r="V1267" s="4">
        <v>0</v>
      </c>
    </row>
    <row r="1268" spans="1:22" x14ac:dyDescent="0.15">
      <c r="A1268" s="4" t="s">
        <v>2662</v>
      </c>
      <c r="D1268" s="4">
        <f t="shared" si="13"/>
        <v>305</v>
      </c>
      <c r="E1268" s="4">
        <v>10</v>
      </c>
      <c r="H1268" s="29">
        <v>1001</v>
      </c>
      <c r="I1268" s="4">
        <v>765</v>
      </c>
      <c r="L1268" s="30">
        <v>800</v>
      </c>
      <c r="M1268" s="4">
        <v>168</v>
      </c>
      <c r="N1268" s="4">
        <v>44</v>
      </c>
      <c r="O1268" s="4">
        <v>1974</v>
      </c>
      <c r="P1268" s="4">
        <v>0</v>
      </c>
      <c r="Q1268" s="4">
        <v>192</v>
      </c>
      <c r="R1268" s="4">
        <v>1.5</v>
      </c>
      <c r="S1268" s="4">
        <v>17</v>
      </c>
      <c r="T1268" s="4">
        <v>0</v>
      </c>
      <c r="U1268" s="4">
        <v>0</v>
      </c>
      <c r="V1268" s="4">
        <v>0</v>
      </c>
    </row>
    <row r="1269" spans="1:22" x14ac:dyDescent="0.15">
      <c r="A1269" s="4" t="s">
        <v>2662</v>
      </c>
      <c r="D1269" s="4">
        <f t="shared" si="13"/>
        <v>305</v>
      </c>
      <c r="E1269" s="4">
        <v>11</v>
      </c>
      <c r="H1269" s="29">
        <v>1001</v>
      </c>
      <c r="I1269" s="4">
        <v>809</v>
      </c>
      <c r="L1269" s="30">
        <v>800</v>
      </c>
      <c r="M1269" s="4">
        <v>180</v>
      </c>
      <c r="N1269" s="4">
        <v>48</v>
      </c>
      <c r="O1269" s="4">
        <v>2060</v>
      </c>
      <c r="P1269" s="4">
        <v>0</v>
      </c>
      <c r="Q1269" s="4">
        <v>200</v>
      </c>
      <c r="R1269" s="4">
        <v>1.5</v>
      </c>
      <c r="S1269" s="4">
        <v>18</v>
      </c>
      <c r="T1269" s="4">
        <v>0</v>
      </c>
      <c r="U1269" s="4">
        <v>0</v>
      </c>
      <c r="V1269" s="4">
        <v>0</v>
      </c>
    </row>
    <row r="1270" spans="1:22" x14ac:dyDescent="0.15">
      <c r="A1270" s="4" t="s">
        <v>2662</v>
      </c>
      <c r="D1270" s="4">
        <f t="shared" si="13"/>
        <v>305</v>
      </c>
      <c r="E1270" s="4">
        <v>12</v>
      </c>
      <c r="H1270" s="29">
        <v>1001</v>
      </c>
      <c r="I1270" s="4">
        <v>853</v>
      </c>
      <c r="L1270" s="30">
        <v>800</v>
      </c>
      <c r="M1270" s="4">
        <v>192</v>
      </c>
      <c r="N1270" s="4">
        <v>52</v>
      </c>
      <c r="O1270" s="4">
        <v>2146</v>
      </c>
      <c r="P1270" s="4">
        <v>0</v>
      </c>
      <c r="Q1270" s="4">
        <v>208</v>
      </c>
      <c r="R1270" s="4">
        <v>1.5</v>
      </c>
      <c r="S1270" s="4">
        <v>19</v>
      </c>
      <c r="T1270" s="4">
        <v>0</v>
      </c>
      <c r="U1270" s="4">
        <v>0</v>
      </c>
      <c r="V1270" s="4">
        <v>0</v>
      </c>
    </row>
    <row r="1271" spans="1:22" x14ac:dyDescent="0.15">
      <c r="A1271" s="4" t="s">
        <v>2662</v>
      </c>
      <c r="D1271" s="4">
        <f t="shared" si="13"/>
        <v>305</v>
      </c>
      <c r="E1271" s="4">
        <v>13</v>
      </c>
      <c r="H1271" s="29">
        <v>1001</v>
      </c>
      <c r="I1271" s="4">
        <v>897</v>
      </c>
      <c r="L1271" s="30">
        <v>800</v>
      </c>
      <c r="M1271" s="4">
        <v>204</v>
      </c>
      <c r="N1271" s="4">
        <v>56</v>
      </c>
      <c r="O1271" s="4">
        <v>2232</v>
      </c>
      <c r="P1271" s="4">
        <v>0</v>
      </c>
      <c r="Q1271" s="4">
        <v>216</v>
      </c>
      <c r="R1271" s="4">
        <v>1.5</v>
      </c>
      <c r="S1271" s="4">
        <v>20</v>
      </c>
      <c r="T1271" s="4">
        <v>0</v>
      </c>
      <c r="U1271" s="4">
        <v>0</v>
      </c>
      <c r="V1271" s="4">
        <v>0</v>
      </c>
    </row>
    <row r="1272" spans="1:22" x14ac:dyDescent="0.15">
      <c r="A1272" s="4" t="s">
        <v>2662</v>
      </c>
      <c r="D1272" s="4">
        <f t="shared" si="13"/>
        <v>305</v>
      </c>
      <c r="E1272" s="4">
        <v>14</v>
      </c>
      <c r="H1272" s="29">
        <v>1001</v>
      </c>
      <c r="I1272" s="4">
        <v>941</v>
      </c>
      <c r="L1272" s="30">
        <v>800</v>
      </c>
      <c r="M1272" s="4">
        <v>216</v>
      </c>
      <c r="N1272" s="4">
        <v>60</v>
      </c>
      <c r="O1272" s="4">
        <v>2318</v>
      </c>
      <c r="P1272" s="4">
        <v>0</v>
      </c>
      <c r="Q1272" s="4">
        <v>224</v>
      </c>
      <c r="R1272" s="4">
        <v>1.5</v>
      </c>
      <c r="S1272" s="4">
        <v>21</v>
      </c>
      <c r="T1272" s="4">
        <v>0</v>
      </c>
      <c r="U1272" s="4">
        <v>0</v>
      </c>
      <c r="V1272" s="4">
        <v>0</v>
      </c>
    </row>
    <row r="1273" spans="1:22" x14ac:dyDescent="0.15">
      <c r="A1273" s="4" t="s">
        <v>2662</v>
      </c>
      <c r="D1273" s="4">
        <f t="shared" si="13"/>
        <v>305</v>
      </c>
      <c r="E1273" s="4">
        <v>15</v>
      </c>
      <c r="H1273" s="29">
        <v>1001</v>
      </c>
      <c r="I1273" s="4">
        <v>984</v>
      </c>
      <c r="L1273" s="30">
        <v>800</v>
      </c>
      <c r="M1273" s="4">
        <v>228</v>
      </c>
      <c r="N1273" s="4">
        <v>64</v>
      </c>
      <c r="O1273" s="4">
        <v>2404</v>
      </c>
      <c r="P1273" s="4">
        <v>0</v>
      </c>
      <c r="Q1273" s="4">
        <v>232</v>
      </c>
      <c r="R1273" s="4">
        <v>1.5</v>
      </c>
      <c r="S1273" s="4">
        <v>22</v>
      </c>
      <c r="T1273" s="4">
        <v>0</v>
      </c>
      <c r="U1273" s="4">
        <v>0</v>
      </c>
      <c r="V1273" s="4">
        <v>0</v>
      </c>
    </row>
    <row r="1274" spans="1:22" x14ac:dyDescent="0.15">
      <c r="A1274" s="4" t="s">
        <v>2662</v>
      </c>
      <c r="D1274" s="4">
        <f t="shared" si="13"/>
        <v>305</v>
      </c>
      <c r="E1274" s="4">
        <v>16</v>
      </c>
      <c r="H1274" s="29">
        <v>1001</v>
      </c>
      <c r="I1274" s="4">
        <v>1028</v>
      </c>
      <c r="L1274" s="30">
        <v>800</v>
      </c>
      <c r="M1274" s="4">
        <v>240</v>
      </c>
      <c r="N1274" s="4">
        <v>68</v>
      </c>
      <c r="O1274" s="4">
        <v>2490</v>
      </c>
      <c r="P1274" s="4">
        <v>0</v>
      </c>
      <c r="Q1274" s="4">
        <v>240</v>
      </c>
      <c r="R1274" s="4">
        <v>1.5</v>
      </c>
      <c r="S1274" s="4">
        <v>23</v>
      </c>
      <c r="T1274" s="4">
        <v>0</v>
      </c>
      <c r="U1274" s="4">
        <v>0</v>
      </c>
      <c r="V1274" s="4">
        <v>0</v>
      </c>
    </row>
    <row r="1275" spans="1:22" x14ac:dyDescent="0.15">
      <c r="A1275" s="4" t="s">
        <v>2662</v>
      </c>
      <c r="D1275" s="4">
        <f t="shared" si="13"/>
        <v>305</v>
      </c>
      <c r="E1275" s="4">
        <v>17</v>
      </c>
      <c r="H1275" s="29">
        <v>1001</v>
      </c>
      <c r="I1275" s="4">
        <v>1072</v>
      </c>
      <c r="L1275" s="30">
        <v>800</v>
      </c>
      <c r="M1275" s="4">
        <v>252</v>
      </c>
      <c r="N1275" s="4">
        <v>72</v>
      </c>
      <c r="O1275" s="4">
        <v>2576</v>
      </c>
      <c r="P1275" s="4">
        <v>0</v>
      </c>
      <c r="Q1275" s="4">
        <v>248</v>
      </c>
      <c r="R1275" s="4">
        <v>1.5</v>
      </c>
      <c r="S1275" s="4">
        <v>24</v>
      </c>
      <c r="T1275" s="4">
        <v>0</v>
      </c>
      <c r="U1275" s="4">
        <v>0</v>
      </c>
      <c r="V1275" s="4">
        <v>0</v>
      </c>
    </row>
    <row r="1276" spans="1:22" x14ac:dyDescent="0.15">
      <c r="A1276" s="4" t="s">
        <v>2662</v>
      </c>
      <c r="D1276" s="4">
        <f t="shared" si="13"/>
        <v>305</v>
      </c>
      <c r="E1276" s="4">
        <v>18</v>
      </c>
      <c r="H1276" s="29">
        <v>1001</v>
      </c>
      <c r="I1276" s="4">
        <v>1116</v>
      </c>
      <c r="L1276" s="30">
        <v>800</v>
      </c>
      <c r="M1276" s="4">
        <v>264</v>
      </c>
      <c r="N1276" s="4">
        <v>76</v>
      </c>
      <c r="O1276" s="4">
        <v>2662</v>
      </c>
      <c r="P1276" s="4">
        <v>0</v>
      </c>
      <c r="Q1276" s="4">
        <v>256</v>
      </c>
      <c r="R1276" s="4">
        <v>1.5</v>
      </c>
      <c r="S1276" s="4">
        <v>25</v>
      </c>
      <c r="T1276" s="4">
        <v>0</v>
      </c>
      <c r="U1276" s="4">
        <v>0</v>
      </c>
      <c r="V1276" s="4">
        <v>0</v>
      </c>
    </row>
    <row r="1277" spans="1:22" x14ac:dyDescent="0.15">
      <c r="A1277" s="4" t="s">
        <v>2662</v>
      </c>
      <c r="D1277" s="4">
        <f t="shared" si="13"/>
        <v>305</v>
      </c>
      <c r="E1277" s="4">
        <v>19</v>
      </c>
      <c r="H1277" s="29">
        <v>1001</v>
      </c>
      <c r="I1277" s="4">
        <v>1160</v>
      </c>
      <c r="L1277" s="30">
        <v>800</v>
      </c>
      <c r="M1277" s="4">
        <v>276</v>
      </c>
      <c r="N1277" s="4">
        <v>80</v>
      </c>
      <c r="O1277" s="4">
        <v>2748</v>
      </c>
      <c r="P1277" s="4">
        <v>0</v>
      </c>
      <c r="Q1277" s="4">
        <v>264</v>
      </c>
      <c r="R1277" s="4">
        <v>1.5</v>
      </c>
      <c r="S1277" s="4">
        <v>26</v>
      </c>
      <c r="T1277" s="4">
        <v>0</v>
      </c>
      <c r="U1277" s="4">
        <v>0</v>
      </c>
      <c r="V1277" s="4">
        <v>0</v>
      </c>
    </row>
    <row r="1278" spans="1:22" x14ac:dyDescent="0.15">
      <c r="A1278" s="4" t="s">
        <v>2662</v>
      </c>
      <c r="D1278" s="4">
        <f t="shared" si="13"/>
        <v>305</v>
      </c>
      <c r="E1278" s="4">
        <v>20</v>
      </c>
      <c r="H1278" s="29">
        <v>1001</v>
      </c>
      <c r="I1278" s="4">
        <v>1204</v>
      </c>
      <c r="L1278" s="30">
        <v>800</v>
      </c>
      <c r="M1278" s="4">
        <v>288</v>
      </c>
      <c r="N1278" s="4">
        <v>84</v>
      </c>
      <c r="O1278" s="4">
        <v>2834</v>
      </c>
      <c r="P1278" s="4">
        <v>0</v>
      </c>
      <c r="Q1278" s="4">
        <v>272</v>
      </c>
      <c r="R1278" s="4">
        <v>1.5</v>
      </c>
      <c r="S1278" s="4">
        <v>27</v>
      </c>
      <c r="T1278" s="4">
        <v>0</v>
      </c>
      <c r="U1278" s="4">
        <v>0</v>
      </c>
      <c r="V1278" s="4">
        <v>0</v>
      </c>
    </row>
    <row r="1279" spans="1:22" x14ac:dyDescent="0.15">
      <c r="A1279" s="4" t="s">
        <v>2662</v>
      </c>
      <c r="D1279" s="4">
        <f t="shared" si="13"/>
        <v>305</v>
      </c>
      <c r="E1279" s="4">
        <v>21</v>
      </c>
      <c r="H1279" s="29">
        <v>1001</v>
      </c>
      <c r="I1279" s="4">
        <v>1248</v>
      </c>
      <c r="L1279" s="30">
        <v>800</v>
      </c>
      <c r="M1279" s="4">
        <v>300</v>
      </c>
      <c r="N1279" s="4">
        <v>88</v>
      </c>
      <c r="O1279" s="4">
        <v>2920</v>
      </c>
      <c r="P1279" s="4">
        <v>0</v>
      </c>
      <c r="Q1279" s="4">
        <v>280</v>
      </c>
      <c r="R1279" s="4">
        <v>1.5</v>
      </c>
      <c r="S1279" s="4">
        <v>28</v>
      </c>
      <c r="T1279" s="4">
        <v>0</v>
      </c>
      <c r="U1279" s="4">
        <v>0</v>
      </c>
      <c r="V1279" s="4">
        <v>0</v>
      </c>
    </row>
    <row r="1280" spans="1:22" x14ac:dyDescent="0.15">
      <c r="A1280" s="4" t="s">
        <v>2662</v>
      </c>
      <c r="D1280" s="4">
        <f t="shared" si="13"/>
        <v>305</v>
      </c>
      <c r="E1280" s="4">
        <v>22</v>
      </c>
      <c r="H1280" s="29">
        <v>1001</v>
      </c>
      <c r="I1280" s="4">
        <v>1291</v>
      </c>
      <c r="L1280" s="30">
        <v>800</v>
      </c>
      <c r="M1280" s="4">
        <v>312</v>
      </c>
      <c r="N1280" s="4">
        <v>92</v>
      </c>
      <c r="O1280" s="4">
        <v>3006</v>
      </c>
      <c r="P1280" s="4">
        <v>0</v>
      </c>
      <c r="Q1280" s="4">
        <v>288</v>
      </c>
      <c r="R1280" s="4">
        <v>1.5</v>
      </c>
      <c r="S1280" s="4">
        <v>29</v>
      </c>
      <c r="T1280" s="4">
        <v>0</v>
      </c>
      <c r="U1280" s="4">
        <v>0</v>
      </c>
      <c r="V1280" s="4">
        <v>0</v>
      </c>
    </row>
    <row r="1281" spans="1:22" x14ac:dyDescent="0.15">
      <c r="A1281" s="4" t="s">
        <v>2662</v>
      </c>
      <c r="D1281" s="4">
        <f t="shared" si="13"/>
        <v>305</v>
      </c>
      <c r="E1281" s="4">
        <v>23</v>
      </c>
      <c r="H1281" s="29">
        <v>1001</v>
      </c>
      <c r="I1281" s="4">
        <v>1335</v>
      </c>
      <c r="L1281" s="30">
        <v>800</v>
      </c>
      <c r="M1281" s="4">
        <v>324</v>
      </c>
      <c r="N1281" s="4">
        <v>96</v>
      </c>
      <c r="O1281" s="4">
        <v>3092</v>
      </c>
      <c r="P1281" s="4">
        <v>0</v>
      </c>
      <c r="Q1281" s="4">
        <v>296</v>
      </c>
      <c r="R1281" s="4">
        <v>1.5</v>
      </c>
      <c r="S1281" s="4">
        <v>30</v>
      </c>
      <c r="T1281" s="4">
        <v>0</v>
      </c>
      <c r="U1281" s="4">
        <v>0</v>
      </c>
      <c r="V1281" s="4">
        <v>0</v>
      </c>
    </row>
    <row r="1282" spans="1:22" x14ac:dyDescent="0.15">
      <c r="A1282" s="4" t="s">
        <v>2662</v>
      </c>
      <c r="D1282" s="4">
        <f t="shared" si="13"/>
        <v>305</v>
      </c>
      <c r="E1282" s="4">
        <v>24</v>
      </c>
      <c r="H1282" s="29">
        <v>1001</v>
      </c>
      <c r="I1282" s="4">
        <v>1379</v>
      </c>
      <c r="L1282" s="30">
        <v>800</v>
      </c>
      <c r="M1282" s="4">
        <v>336</v>
      </c>
      <c r="N1282" s="4">
        <v>100</v>
      </c>
      <c r="O1282" s="4">
        <v>3178</v>
      </c>
      <c r="P1282" s="4">
        <v>0</v>
      </c>
      <c r="Q1282" s="4">
        <v>304</v>
      </c>
      <c r="R1282" s="4">
        <v>1.5</v>
      </c>
      <c r="S1282" s="4">
        <v>31</v>
      </c>
      <c r="T1282" s="4">
        <v>0</v>
      </c>
      <c r="U1282" s="4">
        <v>0</v>
      </c>
      <c r="V1282" s="4">
        <v>0</v>
      </c>
    </row>
    <row r="1283" spans="1:22" x14ac:dyDescent="0.15">
      <c r="A1283" s="4" t="s">
        <v>2662</v>
      </c>
      <c r="D1283" s="4">
        <f t="shared" si="13"/>
        <v>305</v>
      </c>
      <c r="E1283" s="4">
        <v>25</v>
      </c>
      <c r="H1283" s="29">
        <v>1001</v>
      </c>
      <c r="I1283" s="4">
        <v>1423</v>
      </c>
      <c r="L1283" s="30">
        <v>800</v>
      </c>
      <c r="M1283" s="4">
        <v>348</v>
      </c>
      <c r="N1283" s="4">
        <v>104</v>
      </c>
      <c r="O1283" s="4">
        <v>3264</v>
      </c>
      <c r="P1283" s="4">
        <v>0</v>
      </c>
      <c r="Q1283" s="4">
        <v>312</v>
      </c>
      <c r="R1283" s="4">
        <v>1.5</v>
      </c>
      <c r="S1283" s="4">
        <v>32</v>
      </c>
      <c r="T1283" s="4">
        <v>0</v>
      </c>
      <c r="U1283" s="4">
        <v>0</v>
      </c>
      <c r="V1283" s="4">
        <v>0</v>
      </c>
    </row>
    <row r="1284" spans="1:22" x14ac:dyDescent="0.15">
      <c r="A1284" s="4" t="s">
        <v>2662</v>
      </c>
      <c r="D1284" s="4">
        <f t="shared" si="13"/>
        <v>305</v>
      </c>
      <c r="E1284" s="4">
        <v>26</v>
      </c>
      <c r="H1284" s="29">
        <v>1001</v>
      </c>
      <c r="I1284" s="4">
        <v>1467</v>
      </c>
      <c r="L1284" s="30">
        <v>800</v>
      </c>
      <c r="M1284" s="4">
        <v>360</v>
      </c>
      <c r="N1284" s="4">
        <v>108</v>
      </c>
      <c r="O1284" s="4">
        <v>3350</v>
      </c>
      <c r="P1284" s="4">
        <v>0</v>
      </c>
      <c r="Q1284" s="4">
        <v>320</v>
      </c>
      <c r="R1284" s="4">
        <v>1.5</v>
      </c>
      <c r="S1284" s="4">
        <v>33</v>
      </c>
      <c r="T1284" s="4">
        <v>0</v>
      </c>
      <c r="U1284" s="4">
        <v>0</v>
      </c>
      <c r="V1284" s="4">
        <v>0</v>
      </c>
    </row>
    <row r="1285" spans="1:22" x14ac:dyDescent="0.15">
      <c r="A1285" s="4" t="s">
        <v>2662</v>
      </c>
      <c r="D1285" s="4">
        <f t="shared" si="13"/>
        <v>305</v>
      </c>
      <c r="E1285" s="4">
        <v>27</v>
      </c>
      <c r="H1285" s="29">
        <v>1001</v>
      </c>
      <c r="I1285" s="4">
        <v>1511</v>
      </c>
      <c r="L1285" s="30">
        <v>800</v>
      </c>
      <c r="M1285" s="4">
        <v>372</v>
      </c>
      <c r="N1285" s="4">
        <v>112</v>
      </c>
      <c r="O1285" s="4">
        <v>3436</v>
      </c>
      <c r="P1285" s="4">
        <v>0</v>
      </c>
      <c r="Q1285" s="4">
        <v>328</v>
      </c>
      <c r="R1285" s="4">
        <v>1.5</v>
      </c>
      <c r="S1285" s="4">
        <v>34</v>
      </c>
      <c r="T1285" s="4">
        <v>0</v>
      </c>
      <c r="U1285" s="4">
        <v>0</v>
      </c>
      <c r="V1285" s="4">
        <v>0</v>
      </c>
    </row>
    <row r="1286" spans="1:22" x14ac:dyDescent="0.15">
      <c r="A1286" s="4" t="s">
        <v>2662</v>
      </c>
      <c r="D1286" s="4">
        <f t="shared" si="13"/>
        <v>305</v>
      </c>
      <c r="E1286" s="4">
        <v>28</v>
      </c>
      <c r="H1286" s="29">
        <v>1001</v>
      </c>
      <c r="I1286" s="4">
        <v>1555</v>
      </c>
      <c r="L1286" s="30">
        <v>800</v>
      </c>
      <c r="M1286" s="4">
        <v>384</v>
      </c>
      <c r="N1286" s="4">
        <v>116</v>
      </c>
      <c r="O1286" s="4">
        <v>3522</v>
      </c>
      <c r="P1286" s="4">
        <v>0</v>
      </c>
      <c r="Q1286" s="4">
        <v>336</v>
      </c>
      <c r="R1286" s="4">
        <v>1.5</v>
      </c>
      <c r="S1286" s="4">
        <v>35</v>
      </c>
      <c r="T1286" s="4">
        <v>0</v>
      </c>
      <c r="U1286" s="4">
        <v>0</v>
      </c>
      <c r="V1286" s="4">
        <v>0</v>
      </c>
    </row>
    <row r="1287" spans="1:22" x14ac:dyDescent="0.15">
      <c r="A1287" s="4" t="s">
        <v>2662</v>
      </c>
      <c r="D1287" s="4">
        <f t="shared" si="13"/>
        <v>305</v>
      </c>
      <c r="E1287" s="4">
        <v>29</v>
      </c>
      <c r="H1287" s="29">
        <v>1001</v>
      </c>
      <c r="I1287" s="4">
        <v>1598</v>
      </c>
      <c r="L1287" s="30">
        <v>800</v>
      </c>
      <c r="M1287" s="4">
        <v>396</v>
      </c>
      <c r="N1287" s="4">
        <v>120</v>
      </c>
      <c r="O1287" s="4">
        <v>3608</v>
      </c>
      <c r="P1287" s="4">
        <v>0</v>
      </c>
      <c r="Q1287" s="4">
        <v>344</v>
      </c>
      <c r="R1287" s="4">
        <v>1.5</v>
      </c>
      <c r="S1287" s="4">
        <v>36</v>
      </c>
      <c r="T1287" s="4">
        <v>0</v>
      </c>
      <c r="U1287" s="4">
        <v>0</v>
      </c>
      <c r="V1287" s="4">
        <v>0</v>
      </c>
    </row>
    <row r="1288" spans="1:22" x14ac:dyDescent="0.15">
      <c r="A1288" s="4" t="s">
        <v>2662</v>
      </c>
      <c r="D1288" s="4">
        <f t="shared" si="13"/>
        <v>305</v>
      </c>
      <c r="E1288" s="4">
        <v>30</v>
      </c>
      <c r="H1288" s="29">
        <v>1001</v>
      </c>
      <c r="I1288" s="4">
        <v>1642</v>
      </c>
      <c r="L1288" s="30">
        <v>800</v>
      </c>
      <c r="M1288" s="4">
        <v>408</v>
      </c>
      <c r="N1288" s="4">
        <v>124</v>
      </c>
      <c r="O1288" s="4">
        <v>3694</v>
      </c>
      <c r="P1288" s="4">
        <v>0</v>
      </c>
      <c r="Q1288" s="4">
        <v>352</v>
      </c>
      <c r="R1288" s="4">
        <v>1.5</v>
      </c>
      <c r="S1288" s="4">
        <v>37</v>
      </c>
      <c r="T1288" s="4">
        <v>0</v>
      </c>
      <c r="U1288" s="4">
        <v>0</v>
      </c>
      <c r="V1288" s="4">
        <v>0</v>
      </c>
    </row>
    <row r="1289" spans="1:22" x14ac:dyDescent="0.15">
      <c r="A1289" s="4" t="s">
        <v>2662</v>
      </c>
      <c r="D1289" s="4">
        <f t="shared" si="13"/>
        <v>305</v>
      </c>
      <c r="E1289" s="4">
        <v>31</v>
      </c>
      <c r="H1289" s="29">
        <v>1001</v>
      </c>
      <c r="I1289" s="4">
        <v>1686</v>
      </c>
      <c r="L1289" s="30">
        <v>800</v>
      </c>
      <c r="M1289" s="4">
        <v>420</v>
      </c>
      <c r="N1289" s="4">
        <v>128</v>
      </c>
      <c r="O1289" s="4">
        <v>3780</v>
      </c>
      <c r="P1289" s="4">
        <v>0</v>
      </c>
      <c r="Q1289" s="4">
        <v>360</v>
      </c>
      <c r="R1289" s="4">
        <v>1.5</v>
      </c>
      <c r="S1289" s="4">
        <v>38</v>
      </c>
      <c r="T1289" s="4">
        <v>0</v>
      </c>
      <c r="U1289" s="4">
        <v>0</v>
      </c>
      <c r="V1289" s="4">
        <v>0</v>
      </c>
    </row>
    <row r="1290" spans="1:22" x14ac:dyDescent="0.15">
      <c r="A1290" s="4" t="s">
        <v>2662</v>
      </c>
      <c r="D1290" s="4">
        <f t="shared" si="13"/>
        <v>305</v>
      </c>
      <c r="E1290" s="4">
        <v>32</v>
      </c>
      <c r="H1290" s="29">
        <v>1001</v>
      </c>
      <c r="I1290" s="4">
        <v>1730</v>
      </c>
      <c r="L1290" s="30">
        <v>800</v>
      </c>
      <c r="M1290" s="4">
        <v>432</v>
      </c>
      <c r="N1290" s="4">
        <v>132</v>
      </c>
      <c r="O1290" s="4">
        <v>3866</v>
      </c>
      <c r="P1290" s="4">
        <v>0</v>
      </c>
      <c r="Q1290" s="4">
        <v>368</v>
      </c>
      <c r="R1290" s="4">
        <v>1.5</v>
      </c>
      <c r="S1290" s="4">
        <v>39</v>
      </c>
      <c r="T1290" s="4">
        <v>0</v>
      </c>
      <c r="U1290" s="4">
        <v>0</v>
      </c>
      <c r="V1290" s="4">
        <v>0</v>
      </c>
    </row>
    <row r="1291" spans="1:22" x14ac:dyDescent="0.15">
      <c r="A1291" s="4" t="s">
        <v>2662</v>
      </c>
      <c r="D1291" s="4">
        <f t="shared" si="13"/>
        <v>305</v>
      </c>
      <c r="E1291" s="4">
        <v>33</v>
      </c>
      <c r="H1291" s="29">
        <v>1001</v>
      </c>
      <c r="I1291" s="4">
        <v>1774</v>
      </c>
      <c r="L1291" s="30">
        <v>800</v>
      </c>
      <c r="M1291" s="4">
        <v>444</v>
      </c>
      <c r="N1291" s="4">
        <v>136</v>
      </c>
      <c r="O1291" s="4">
        <v>3952</v>
      </c>
      <c r="P1291" s="4">
        <v>0</v>
      </c>
      <c r="Q1291" s="4">
        <v>376</v>
      </c>
      <c r="R1291" s="4">
        <v>1.5</v>
      </c>
      <c r="S1291" s="4">
        <v>40</v>
      </c>
      <c r="T1291" s="4">
        <v>0</v>
      </c>
      <c r="U1291" s="4">
        <v>0</v>
      </c>
      <c r="V1291" s="4">
        <v>0</v>
      </c>
    </row>
    <row r="1292" spans="1:22" x14ac:dyDescent="0.15">
      <c r="A1292" s="4" t="s">
        <v>2662</v>
      </c>
      <c r="D1292" s="4">
        <f t="shared" si="13"/>
        <v>305</v>
      </c>
      <c r="E1292" s="4">
        <v>34</v>
      </c>
      <c r="H1292" s="29">
        <v>1001</v>
      </c>
      <c r="I1292" s="4">
        <v>1818</v>
      </c>
      <c r="L1292" s="30">
        <v>800</v>
      </c>
      <c r="M1292" s="4">
        <v>456</v>
      </c>
      <c r="N1292" s="4">
        <v>140</v>
      </c>
      <c r="O1292" s="4">
        <v>4038</v>
      </c>
      <c r="P1292" s="4">
        <v>0</v>
      </c>
      <c r="Q1292" s="4">
        <v>384</v>
      </c>
      <c r="R1292" s="4">
        <v>1.5</v>
      </c>
      <c r="S1292" s="4">
        <v>41</v>
      </c>
      <c r="T1292" s="4">
        <v>0</v>
      </c>
      <c r="U1292" s="4">
        <v>0</v>
      </c>
      <c r="V1292" s="4">
        <v>0</v>
      </c>
    </row>
    <row r="1293" spans="1:22" x14ac:dyDescent="0.15">
      <c r="A1293" s="4" t="s">
        <v>2662</v>
      </c>
      <c r="D1293" s="4">
        <f t="shared" si="13"/>
        <v>305</v>
      </c>
      <c r="E1293" s="4">
        <v>35</v>
      </c>
      <c r="H1293" s="29">
        <v>1001</v>
      </c>
      <c r="I1293" s="4">
        <v>1862</v>
      </c>
      <c r="L1293" s="30">
        <v>800</v>
      </c>
      <c r="M1293" s="4">
        <v>468</v>
      </c>
      <c r="N1293" s="4">
        <v>144</v>
      </c>
      <c r="O1293" s="4">
        <v>4124</v>
      </c>
      <c r="P1293" s="4">
        <v>0</v>
      </c>
      <c r="Q1293" s="4">
        <v>392</v>
      </c>
      <c r="R1293" s="4">
        <v>1.5</v>
      </c>
      <c r="S1293" s="4">
        <v>42</v>
      </c>
      <c r="T1293" s="4">
        <v>0</v>
      </c>
      <c r="U1293" s="4">
        <v>0</v>
      </c>
      <c r="V1293" s="4">
        <v>0</v>
      </c>
    </row>
    <row r="1294" spans="1:22" x14ac:dyDescent="0.15">
      <c r="A1294" s="4" t="s">
        <v>2662</v>
      </c>
      <c r="D1294" s="4">
        <f t="shared" si="13"/>
        <v>305</v>
      </c>
      <c r="E1294" s="4">
        <v>36</v>
      </c>
      <c r="H1294" s="29">
        <v>1001</v>
      </c>
      <c r="I1294" s="4">
        <v>1906</v>
      </c>
      <c r="L1294" s="30">
        <v>800</v>
      </c>
      <c r="M1294" s="4">
        <v>480</v>
      </c>
      <c r="N1294" s="4">
        <v>148</v>
      </c>
      <c r="O1294" s="4">
        <v>4210</v>
      </c>
      <c r="P1294" s="4">
        <v>0</v>
      </c>
      <c r="Q1294" s="4">
        <v>400</v>
      </c>
      <c r="R1294" s="4">
        <v>1.5</v>
      </c>
      <c r="S1294" s="4">
        <v>43</v>
      </c>
      <c r="T1294" s="4">
        <v>0</v>
      </c>
      <c r="U1294" s="4">
        <v>0</v>
      </c>
      <c r="V1294" s="4">
        <v>0</v>
      </c>
    </row>
    <row r="1295" spans="1:22" x14ac:dyDescent="0.15">
      <c r="A1295" s="4" t="s">
        <v>2662</v>
      </c>
      <c r="D1295" s="4">
        <f t="shared" si="13"/>
        <v>305</v>
      </c>
      <c r="E1295" s="4">
        <v>37</v>
      </c>
      <c r="H1295" s="29">
        <v>1001</v>
      </c>
      <c r="I1295" s="4">
        <v>1949</v>
      </c>
      <c r="L1295" s="30">
        <v>800</v>
      </c>
      <c r="M1295" s="4">
        <v>492</v>
      </c>
      <c r="N1295" s="4">
        <v>152</v>
      </c>
      <c r="O1295" s="4">
        <v>4296</v>
      </c>
      <c r="P1295" s="4">
        <v>0</v>
      </c>
      <c r="Q1295" s="4">
        <v>408</v>
      </c>
      <c r="R1295" s="4">
        <v>1.5</v>
      </c>
      <c r="S1295" s="4">
        <v>44</v>
      </c>
      <c r="T1295" s="4">
        <v>0</v>
      </c>
      <c r="U1295" s="4">
        <v>0</v>
      </c>
      <c r="V1295" s="4">
        <v>0</v>
      </c>
    </row>
    <row r="1296" spans="1:22" x14ac:dyDescent="0.15">
      <c r="A1296" s="4" t="s">
        <v>2662</v>
      </c>
      <c r="D1296" s="4">
        <f t="shared" si="13"/>
        <v>305</v>
      </c>
      <c r="E1296" s="4">
        <v>38</v>
      </c>
      <c r="H1296" s="29">
        <v>1001</v>
      </c>
      <c r="I1296" s="4">
        <v>1993</v>
      </c>
      <c r="L1296" s="30">
        <v>800</v>
      </c>
      <c r="M1296" s="4">
        <v>504</v>
      </c>
      <c r="N1296" s="4">
        <v>156</v>
      </c>
      <c r="O1296" s="4">
        <v>4382</v>
      </c>
      <c r="P1296" s="4">
        <v>0</v>
      </c>
      <c r="Q1296" s="4">
        <v>416</v>
      </c>
      <c r="R1296" s="4">
        <v>1.5</v>
      </c>
      <c r="S1296" s="4">
        <v>45</v>
      </c>
      <c r="T1296" s="4">
        <v>0</v>
      </c>
      <c r="U1296" s="4">
        <v>0</v>
      </c>
      <c r="V1296" s="4">
        <v>0</v>
      </c>
    </row>
    <row r="1297" spans="1:22" x14ac:dyDescent="0.15">
      <c r="A1297" s="4" t="s">
        <v>2662</v>
      </c>
      <c r="D1297" s="4">
        <f t="shared" si="13"/>
        <v>305</v>
      </c>
      <c r="E1297" s="4">
        <v>39</v>
      </c>
      <c r="H1297" s="29">
        <v>1001</v>
      </c>
      <c r="I1297" s="4">
        <v>2037</v>
      </c>
      <c r="L1297" s="30">
        <v>800</v>
      </c>
      <c r="M1297" s="4">
        <v>516</v>
      </c>
      <c r="N1297" s="4">
        <v>160</v>
      </c>
      <c r="O1297" s="4">
        <v>4468</v>
      </c>
      <c r="P1297" s="4">
        <v>0</v>
      </c>
      <c r="Q1297" s="4">
        <v>424</v>
      </c>
      <c r="R1297" s="4">
        <v>1.5</v>
      </c>
      <c r="S1297" s="4">
        <v>46</v>
      </c>
      <c r="T1297" s="4">
        <v>0</v>
      </c>
      <c r="U1297" s="4">
        <v>0</v>
      </c>
      <c r="V1297" s="4">
        <v>0</v>
      </c>
    </row>
    <row r="1298" spans="1:22" x14ac:dyDescent="0.15">
      <c r="A1298" s="4" t="s">
        <v>2662</v>
      </c>
      <c r="D1298" s="4">
        <f t="shared" si="13"/>
        <v>305</v>
      </c>
      <c r="E1298" s="4">
        <v>40</v>
      </c>
      <c r="H1298" s="29">
        <v>1001</v>
      </c>
      <c r="I1298" s="4">
        <v>2081</v>
      </c>
      <c r="L1298" s="30">
        <v>800</v>
      </c>
      <c r="M1298" s="4">
        <v>528</v>
      </c>
      <c r="N1298" s="4">
        <v>164</v>
      </c>
      <c r="O1298" s="4">
        <v>4554</v>
      </c>
      <c r="P1298" s="4">
        <v>0</v>
      </c>
      <c r="Q1298" s="4">
        <v>432</v>
      </c>
      <c r="R1298" s="4">
        <v>1.5</v>
      </c>
      <c r="S1298" s="4">
        <v>47</v>
      </c>
      <c r="T1298" s="4">
        <v>0</v>
      </c>
      <c r="U1298" s="4">
        <v>0</v>
      </c>
      <c r="V1298" s="4">
        <v>0</v>
      </c>
    </row>
    <row r="1299" spans="1:22" x14ac:dyDescent="0.15">
      <c r="A1299" s="4" t="s">
        <v>2662</v>
      </c>
      <c r="D1299" s="4">
        <f t="shared" si="13"/>
        <v>305</v>
      </c>
      <c r="E1299" s="4">
        <v>41</v>
      </c>
      <c r="H1299" s="29">
        <v>1001</v>
      </c>
      <c r="I1299" s="4">
        <v>2125</v>
      </c>
      <c r="L1299" s="30">
        <v>800</v>
      </c>
      <c r="M1299" s="4">
        <v>540</v>
      </c>
      <c r="N1299" s="4">
        <v>168</v>
      </c>
      <c r="O1299" s="4">
        <v>4640</v>
      </c>
      <c r="P1299" s="4">
        <v>0</v>
      </c>
      <c r="Q1299" s="4">
        <v>440</v>
      </c>
      <c r="R1299" s="4">
        <v>1.5</v>
      </c>
      <c r="S1299" s="4">
        <v>48</v>
      </c>
      <c r="T1299" s="4">
        <v>0</v>
      </c>
      <c r="U1299" s="4">
        <v>0</v>
      </c>
      <c r="V1299" s="4">
        <v>0</v>
      </c>
    </row>
    <row r="1300" spans="1:22" x14ac:dyDescent="0.15">
      <c r="A1300" s="4" t="s">
        <v>2662</v>
      </c>
      <c r="D1300" s="4">
        <f t="shared" si="13"/>
        <v>305</v>
      </c>
      <c r="E1300" s="4">
        <v>42</v>
      </c>
      <c r="H1300" s="29">
        <v>1001</v>
      </c>
      <c r="I1300" s="4">
        <v>2169</v>
      </c>
      <c r="L1300" s="30">
        <v>800</v>
      </c>
      <c r="M1300" s="4">
        <v>552</v>
      </c>
      <c r="N1300" s="4">
        <v>172</v>
      </c>
      <c r="O1300" s="4">
        <v>4726</v>
      </c>
      <c r="P1300" s="4">
        <v>0</v>
      </c>
      <c r="Q1300" s="4">
        <v>448</v>
      </c>
      <c r="R1300" s="4">
        <v>1.5</v>
      </c>
      <c r="S1300" s="4">
        <v>49</v>
      </c>
      <c r="T1300" s="4">
        <v>0</v>
      </c>
      <c r="U1300" s="4">
        <v>0</v>
      </c>
      <c r="V1300" s="4">
        <v>0</v>
      </c>
    </row>
    <row r="1301" spans="1:22" x14ac:dyDescent="0.15">
      <c r="A1301" s="4" t="s">
        <v>2662</v>
      </c>
      <c r="D1301" s="4">
        <f t="shared" si="13"/>
        <v>305</v>
      </c>
      <c r="E1301" s="4">
        <v>43</v>
      </c>
      <c r="H1301" s="29">
        <v>1001</v>
      </c>
      <c r="I1301" s="4">
        <v>2213</v>
      </c>
      <c r="L1301" s="30">
        <v>800</v>
      </c>
      <c r="M1301" s="4">
        <v>564</v>
      </c>
      <c r="N1301" s="4">
        <v>176</v>
      </c>
      <c r="O1301" s="4">
        <v>4812</v>
      </c>
      <c r="P1301" s="4">
        <v>0</v>
      </c>
      <c r="Q1301" s="4">
        <v>456</v>
      </c>
      <c r="R1301" s="4">
        <v>1.5</v>
      </c>
      <c r="S1301" s="4">
        <v>50</v>
      </c>
      <c r="T1301" s="4">
        <v>0</v>
      </c>
      <c r="U1301" s="4">
        <v>0</v>
      </c>
      <c r="V1301" s="4">
        <v>0</v>
      </c>
    </row>
    <row r="1302" spans="1:22" x14ac:dyDescent="0.15">
      <c r="A1302" s="4" t="s">
        <v>2662</v>
      </c>
      <c r="D1302" s="4">
        <f t="shared" si="13"/>
        <v>305</v>
      </c>
      <c r="E1302" s="4">
        <v>44</v>
      </c>
      <c r="H1302" s="29">
        <v>1001</v>
      </c>
      <c r="I1302" s="4">
        <v>2256</v>
      </c>
      <c r="L1302" s="30">
        <v>800</v>
      </c>
      <c r="M1302" s="4">
        <v>576</v>
      </c>
      <c r="N1302" s="4">
        <v>180</v>
      </c>
      <c r="O1302" s="4">
        <v>4898</v>
      </c>
      <c r="P1302" s="4">
        <v>0</v>
      </c>
      <c r="Q1302" s="4">
        <v>464</v>
      </c>
      <c r="R1302" s="4">
        <v>1.5</v>
      </c>
      <c r="S1302" s="4">
        <v>51</v>
      </c>
      <c r="T1302" s="4">
        <v>0</v>
      </c>
      <c r="U1302" s="4">
        <v>0</v>
      </c>
      <c r="V1302" s="4">
        <v>0</v>
      </c>
    </row>
    <row r="1303" spans="1:22" x14ac:dyDescent="0.15">
      <c r="A1303" s="4" t="s">
        <v>2662</v>
      </c>
      <c r="D1303" s="4">
        <f t="shared" si="13"/>
        <v>305</v>
      </c>
      <c r="E1303" s="4">
        <v>45</v>
      </c>
      <c r="H1303" s="29">
        <v>1001</v>
      </c>
      <c r="I1303" s="4">
        <v>2300</v>
      </c>
      <c r="L1303" s="30">
        <v>800</v>
      </c>
      <c r="M1303" s="4">
        <v>588</v>
      </c>
      <c r="N1303" s="4">
        <v>184</v>
      </c>
      <c r="O1303" s="4">
        <v>4984</v>
      </c>
      <c r="P1303" s="4">
        <v>0</v>
      </c>
      <c r="Q1303" s="4">
        <v>472</v>
      </c>
      <c r="R1303" s="4">
        <v>1.5</v>
      </c>
      <c r="S1303" s="4">
        <v>52</v>
      </c>
      <c r="T1303" s="4">
        <v>0</v>
      </c>
      <c r="U1303" s="4">
        <v>0</v>
      </c>
      <c r="V1303" s="4">
        <v>0</v>
      </c>
    </row>
    <row r="1304" spans="1:22" x14ac:dyDescent="0.15">
      <c r="A1304" s="4" t="s">
        <v>2662</v>
      </c>
      <c r="D1304" s="4">
        <f t="shared" si="13"/>
        <v>305</v>
      </c>
      <c r="E1304" s="4">
        <v>46</v>
      </c>
      <c r="H1304" s="29">
        <v>1001</v>
      </c>
      <c r="I1304" s="4">
        <v>2344</v>
      </c>
      <c r="L1304" s="30">
        <v>800</v>
      </c>
      <c r="M1304" s="4">
        <v>600</v>
      </c>
      <c r="N1304" s="4">
        <v>188</v>
      </c>
      <c r="O1304" s="4">
        <v>5070</v>
      </c>
      <c r="P1304" s="4">
        <v>0</v>
      </c>
      <c r="Q1304" s="4">
        <v>480</v>
      </c>
      <c r="R1304" s="4">
        <v>1.5</v>
      </c>
      <c r="S1304" s="4">
        <v>53</v>
      </c>
      <c r="T1304" s="4">
        <v>0</v>
      </c>
      <c r="U1304" s="4">
        <v>0</v>
      </c>
      <c r="V1304" s="4">
        <v>0</v>
      </c>
    </row>
    <row r="1305" spans="1:22" x14ac:dyDescent="0.15">
      <c r="A1305" s="4" t="s">
        <v>2662</v>
      </c>
      <c r="D1305" s="4">
        <f t="shared" si="13"/>
        <v>305</v>
      </c>
      <c r="E1305" s="4">
        <v>47</v>
      </c>
      <c r="H1305" s="29">
        <v>1001</v>
      </c>
      <c r="I1305" s="4">
        <v>2388</v>
      </c>
      <c r="L1305" s="30">
        <v>800</v>
      </c>
      <c r="M1305" s="4">
        <v>612</v>
      </c>
      <c r="N1305" s="4">
        <v>192</v>
      </c>
      <c r="O1305" s="4">
        <v>5156</v>
      </c>
      <c r="P1305" s="4">
        <v>0</v>
      </c>
      <c r="Q1305" s="4">
        <v>488</v>
      </c>
      <c r="R1305" s="4">
        <v>1.5</v>
      </c>
      <c r="S1305" s="4">
        <v>54</v>
      </c>
      <c r="T1305" s="4">
        <v>0</v>
      </c>
      <c r="U1305" s="4">
        <v>0</v>
      </c>
      <c r="V1305" s="4">
        <v>0</v>
      </c>
    </row>
    <row r="1306" spans="1:22" x14ac:dyDescent="0.15">
      <c r="A1306" s="4" t="s">
        <v>2662</v>
      </c>
      <c r="D1306" s="4">
        <f t="shared" si="13"/>
        <v>305</v>
      </c>
      <c r="E1306" s="4">
        <v>48</v>
      </c>
      <c r="H1306" s="29">
        <v>1001</v>
      </c>
      <c r="I1306" s="4">
        <v>2432</v>
      </c>
      <c r="L1306" s="30">
        <v>800</v>
      </c>
      <c r="M1306" s="4">
        <v>624</v>
      </c>
      <c r="N1306" s="4">
        <v>196</v>
      </c>
      <c r="O1306" s="4">
        <v>5242</v>
      </c>
      <c r="P1306" s="4">
        <v>0</v>
      </c>
      <c r="Q1306" s="4">
        <v>496</v>
      </c>
      <c r="R1306" s="4">
        <v>1.5</v>
      </c>
      <c r="S1306" s="4">
        <v>55</v>
      </c>
      <c r="T1306" s="4">
        <v>0</v>
      </c>
      <c r="U1306" s="4">
        <v>0</v>
      </c>
      <c r="V1306" s="4">
        <v>0</v>
      </c>
    </row>
    <row r="1307" spans="1:22" x14ac:dyDescent="0.15">
      <c r="A1307" s="4" t="s">
        <v>2662</v>
      </c>
      <c r="D1307" s="4">
        <f t="shared" si="13"/>
        <v>305</v>
      </c>
      <c r="E1307" s="4">
        <v>49</v>
      </c>
      <c r="H1307" s="29">
        <v>1001</v>
      </c>
      <c r="I1307" s="4">
        <v>2476</v>
      </c>
      <c r="L1307" s="30">
        <v>800</v>
      </c>
      <c r="M1307" s="4">
        <v>636</v>
      </c>
      <c r="N1307" s="4">
        <v>200</v>
      </c>
      <c r="O1307" s="4">
        <v>5328</v>
      </c>
      <c r="P1307" s="4">
        <v>0</v>
      </c>
      <c r="Q1307" s="4">
        <v>504</v>
      </c>
      <c r="R1307" s="4">
        <v>1.5</v>
      </c>
      <c r="S1307" s="4">
        <v>56</v>
      </c>
      <c r="T1307" s="4">
        <v>0</v>
      </c>
      <c r="U1307" s="4">
        <v>0</v>
      </c>
      <c r="V1307" s="4">
        <v>0</v>
      </c>
    </row>
    <row r="1308" spans="1:22" x14ac:dyDescent="0.15">
      <c r="A1308" s="4" t="s">
        <v>2662</v>
      </c>
      <c r="D1308" s="4">
        <f t="shared" si="13"/>
        <v>305</v>
      </c>
      <c r="E1308" s="4">
        <v>50</v>
      </c>
      <c r="H1308" s="29">
        <v>1001</v>
      </c>
      <c r="I1308" s="4">
        <v>2520</v>
      </c>
      <c r="L1308" s="30">
        <v>800</v>
      </c>
      <c r="M1308" s="4">
        <v>648</v>
      </c>
      <c r="N1308" s="4">
        <v>204</v>
      </c>
      <c r="O1308" s="4">
        <v>5414</v>
      </c>
      <c r="P1308" s="4">
        <v>0</v>
      </c>
      <c r="Q1308" s="4">
        <v>512</v>
      </c>
      <c r="R1308" s="4">
        <v>1.5</v>
      </c>
      <c r="S1308" s="4">
        <v>57</v>
      </c>
      <c r="T1308" s="4">
        <v>0</v>
      </c>
      <c r="U1308" s="4">
        <v>0</v>
      </c>
      <c r="V1308" s="4">
        <v>0</v>
      </c>
    </row>
    <row r="1310" spans="1:22" x14ac:dyDescent="0.15">
      <c r="A1310" s="4" t="s">
        <v>2662</v>
      </c>
      <c r="C1310" s="4" t="s">
        <v>3553</v>
      </c>
      <c r="D1310" s="4">
        <f t="shared" ref="D1310" si="14">D1258+1</f>
        <v>306</v>
      </c>
      <c r="E1310" s="4">
        <v>0</v>
      </c>
      <c r="H1310" s="29">
        <v>1000</v>
      </c>
      <c r="I1310" s="30">
        <v>199</v>
      </c>
      <c r="M1310" s="4">
        <v>0</v>
      </c>
      <c r="N1310" s="4">
        <v>0</v>
      </c>
      <c r="O1310" s="4">
        <v>0</v>
      </c>
      <c r="P1310" s="4">
        <v>0</v>
      </c>
      <c r="Q1310" s="4">
        <v>0</v>
      </c>
      <c r="R1310" s="4">
        <v>0</v>
      </c>
      <c r="S1310" s="4">
        <v>0</v>
      </c>
      <c r="T1310" s="4">
        <v>0</v>
      </c>
      <c r="U1310" s="4">
        <v>0</v>
      </c>
      <c r="V1310" s="4">
        <v>0</v>
      </c>
    </row>
    <row r="1311" spans="1:22" x14ac:dyDescent="0.15">
      <c r="A1311" s="4" t="s">
        <v>2662</v>
      </c>
      <c r="D1311" s="4">
        <f t="shared" si="13"/>
        <v>306</v>
      </c>
      <c r="E1311" s="4">
        <v>1</v>
      </c>
      <c r="H1311" s="29">
        <v>1001</v>
      </c>
      <c r="I1311" s="4">
        <v>240</v>
      </c>
      <c r="L1311" s="30">
        <v>800</v>
      </c>
      <c r="M1311" s="4">
        <v>36</v>
      </c>
      <c r="N1311" s="4">
        <v>6</v>
      </c>
      <c r="O1311" s="4">
        <v>800</v>
      </c>
      <c r="P1311" s="4">
        <v>0</v>
      </c>
      <c r="Q1311" s="4">
        <v>90</v>
      </c>
      <c r="R1311" s="4">
        <v>1.5</v>
      </c>
      <c r="S1311" s="4">
        <v>7</v>
      </c>
      <c r="T1311" s="4">
        <v>0</v>
      </c>
      <c r="U1311" s="4">
        <v>0</v>
      </c>
      <c r="V1311" s="4">
        <v>0</v>
      </c>
    </row>
    <row r="1312" spans="1:22" x14ac:dyDescent="0.15">
      <c r="A1312" s="4" t="s">
        <v>2662</v>
      </c>
      <c r="D1312" s="4">
        <f t="shared" si="13"/>
        <v>306</v>
      </c>
      <c r="E1312" s="4">
        <v>2</v>
      </c>
      <c r="H1312" s="29">
        <v>1001</v>
      </c>
      <c r="I1312" s="4">
        <v>269</v>
      </c>
      <c r="L1312" s="30">
        <v>800</v>
      </c>
      <c r="M1312" s="4">
        <v>44</v>
      </c>
      <c r="N1312" s="4">
        <v>8</v>
      </c>
      <c r="O1312" s="4">
        <v>854</v>
      </c>
      <c r="P1312" s="4">
        <v>0</v>
      </c>
      <c r="Q1312" s="4">
        <v>96</v>
      </c>
      <c r="R1312" s="4">
        <v>1.5</v>
      </c>
      <c r="S1312" s="4">
        <v>8</v>
      </c>
      <c r="T1312" s="4">
        <v>0</v>
      </c>
      <c r="U1312" s="4">
        <v>0</v>
      </c>
      <c r="V1312" s="4">
        <v>0</v>
      </c>
    </row>
    <row r="1313" spans="1:22" x14ac:dyDescent="0.15">
      <c r="A1313" s="4" t="s">
        <v>2662</v>
      </c>
      <c r="D1313" s="4">
        <f t="shared" si="13"/>
        <v>306</v>
      </c>
      <c r="E1313" s="4">
        <v>3</v>
      </c>
      <c r="H1313" s="29">
        <v>1001</v>
      </c>
      <c r="I1313" s="4">
        <v>297</v>
      </c>
      <c r="L1313" s="30">
        <v>800</v>
      </c>
      <c r="M1313" s="4">
        <v>52</v>
      </c>
      <c r="N1313" s="4">
        <v>10</v>
      </c>
      <c r="O1313" s="4">
        <v>908</v>
      </c>
      <c r="P1313" s="4">
        <v>0</v>
      </c>
      <c r="Q1313" s="4">
        <v>102</v>
      </c>
      <c r="R1313" s="4">
        <v>1.5</v>
      </c>
      <c r="S1313" s="4">
        <v>9</v>
      </c>
      <c r="T1313" s="4">
        <v>0</v>
      </c>
      <c r="U1313" s="4">
        <v>0</v>
      </c>
      <c r="V1313" s="4">
        <v>0</v>
      </c>
    </row>
    <row r="1314" spans="1:22" x14ac:dyDescent="0.15">
      <c r="A1314" s="4" t="s">
        <v>2662</v>
      </c>
      <c r="D1314" s="4">
        <f t="shared" si="13"/>
        <v>306</v>
      </c>
      <c r="E1314" s="4">
        <v>4</v>
      </c>
      <c r="H1314" s="29">
        <v>1001</v>
      </c>
      <c r="I1314" s="4">
        <v>326</v>
      </c>
      <c r="L1314" s="30">
        <v>800</v>
      </c>
      <c r="M1314" s="4">
        <v>60</v>
      </c>
      <c r="N1314" s="4">
        <v>12</v>
      </c>
      <c r="O1314" s="4">
        <v>962</v>
      </c>
      <c r="P1314" s="4">
        <v>0</v>
      </c>
      <c r="Q1314" s="4">
        <v>108</v>
      </c>
      <c r="R1314" s="4">
        <v>1.5</v>
      </c>
      <c r="S1314" s="4">
        <v>10</v>
      </c>
      <c r="T1314" s="4">
        <v>0</v>
      </c>
      <c r="U1314" s="4">
        <v>0</v>
      </c>
      <c r="V1314" s="4">
        <v>0</v>
      </c>
    </row>
    <row r="1315" spans="1:22" x14ac:dyDescent="0.15">
      <c r="A1315" s="4" t="s">
        <v>2662</v>
      </c>
      <c r="D1315" s="4">
        <f t="shared" si="13"/>
        <v>306</v>
      </c>
      <c r="E1315" s="4">
        <v>5</v>
      </c>
      <c r="H1315" s="29">
        <v>1001</v>
      </c>
      <c r="I1315" s="4">
        <v>354</v>
      </c>
      <c r="L1315" s="30">
        <v>800</v>
      </c>
      <c r="M1315" s="4">
        <v>68</v>
      </c>
      <c r="N1315" s="4">
        <v>14</v>
      </c>
      <c r="O1315" s="4">
        <v>1016</v>
      </c>
      <c r="P1315" s="4">
        <v>0</v>
      </c>
      <c r="Q1315" s="4">
        <v>114</v>
      </c>
      <c r="R1315" s="4">
        <v>1.5</v>
      </c>
      <c r="S1315" s="4">
        <v>11</v>
      </c>
      <c r="T1315" s="4">
        <v>0</v>
      </c>
      <c r="U1315" s="4">
        <v>0</v>
      </c>
      <c r="V1315" s="4">
        <v>0</v>
      </c>
    </row>
    <row r="1316" spans="1:22" x14ac:dyDescent="0.15">
      <c r="A1316" s="4" t="s">
        <v>2662</v>
      </c>
      <c r="D1316" s="4">
        <f t="shared" si="13"/>
        <v>306</v>
      </c>
      <c r="E1316" s="4">
        <v>6</v>
      </c>
      <c r="H1316" s="29">
        <v>1001</v>
      </c>
      <c r="I1316" s="4">
        <v>382</v>
      </c>
      <c r="L1316" s="30">
        <v>800</v>
      </c>
      <c r="M1316" s="4">
        <v>76</v>
      </c>
      <c r="N1316" s="4">
        <v>16</v>
      </c>
      <c r="O1316" s="4">
        <v>1070</v>
      </c>
      <c r="P1316" s="4">
        <v>0</v>
      </c>
      <c r="Q1316" s="4">
        <v>120</v>
      </c>
      <c r="R1316" s="4">
        <v>1.5</v>
      </c>
      <c r="S1316" s="4">
        <v>12</v>
      </c>
      <c r="T1316" s="4">
        <v>0</v>
      </c>
      <c r="U1316" s="4">
        <v>0</v>
      </c>
      <c r="V1316" s="4">
        <v>0</v>
      </c>
    </row>
    <row r="1317" spans="1:22" x14ac:dyDescent="0.15">
      <c r="A1317" s="4" t="s">
        <v>2662</v>
      </c>
      <c r="D1317" s="4">
        <f t="shared" si="13"/>
        <v>306</v>
      </c>
      <c r="E1317" s="4">
        <v>7</v>
      </c>
      <c r="H1317" s="29">
        <v>1001</v>
      </c>
      <c r="I1317" s="4">
        <v>411</v>
      </c>
      <c r="L1317" s="30">
        <v>800</v>
      </c>
      <c r="M1317" s="4">
        <v>84</v>
      </c>
      <c r="N1317" s="4">
        <v>18</v>
      </c>
      <c r="O1317" s="4">
        <v>1124</v>
      </c>
      <c r="P1317" s="4">
        <v>0</v>
      </c>
      <c r="Q1317" s="4">
        <v>126</v>
      </c>
      <c r="R1317" s="4">
        <v>1.5</v>
      </c>
      <c r="S1317" s="4">
        <v>13</v>
      </c>
      <c r="T1317" s="4">
        <v>0</v>
      </c>
      <c r="U1317" s="4">
        <v>0</v>
      </c>
      <c r="V1317" s="4">
        <v>0</v>
      </c>
    </row>
    <row r="1318" spans="1:22" x14ac:dyDescent="0.15">
      <c r="A1318" s="4" t="s">
        <v>2662</v>
      </c>
      <c r="D1318" s="4">
        <f t="shared" si="13"/>
        <v>306</v>
      </c>
      <c r="E1318" s="4">
        <v>8</v>
      </c>
      <c r="H1318" s="29">
        <v>1001</v>
      </c>
      <c r="I1318" s="4">
        <v>439</v>
      </c>
      <c r="L1318" s="30">
        <v>800</v>
      </c>
      <c r="M1318" s="4">
        <v>92</v>
      </c>
      <c r="N1318" s="4">
        <v>20</v>
      </c>
      <c r="O1318" s="4">
        <v>1178</v>
      </c>
      <c r="P1318" s="4">
        <v>0</v>
      </c>
      <c r="Q1318" s="4">
        <v>132</v>
      </c>
      <c r="R1318" s="4">
        <v>1.5</v>
      </c>
      <c r="S1318" s="4">
        <v>14</v>
      </c>
      <c r="T1318" s="4">
        <v>0</v>
      </c>
      <c r="U1318" s="4">
        <v>0</v>
      </c>
      <c r="V1318" s="4">
        <v>0</v>
      </c>
    </row>
    <row r="1319" spans="1:22" x14ac:dyDescent="0.15">
      <c r="A1319" s="4" t="s">
        <v>2662</v>
      </c>
      <c r="D1319" s="4">
        <f t="shared" si="13"/>
        <v>306</v>
      </c>
      <c r="E1319" s="4">
        <v>9</v>
      </c>
      <c r="H1319" s="29">
        <v>1001</v>
      </c>
      <c r="I1319" s="4">
        <v>468</v>
      </c>
      <c r="L1319" s="30">
        <v>800</v>
      </c>
      <c r="M1319" s="4">
        <v>100</v>
      </c>
      <c r="N1319" s="4">
        <v>22</v>
      </c>
      <c r="O1319" s="4">
        <v>1232</v>
      </c>
      <c r="P1319" s="4">
        <v>0</v>
      </c>
      <c r="Q1319" s="4">
        <v>138</v>
      </c>
      <c r="R1319" s="4">
        <v>1.5</v>
      </c>
      <c r="S1319" s="4">
        <v>15</v>
      </c>
      <c r="T1319" s="4">
        <v>0</v>
      </c>
      <c r="U1319" s="4">
        <v>0</v>
      </c>
      <c r="V1319" s="4">
        <v>0</v>
      </c>
    </row>
    <row r="1320" spans="1:22" x14ac:dyDescent="0.15">
      <c r="A1320" s="4" t="s">
        <v>2662</v>
      </c>
      <c r="D1320" s="4">
        <f t="shared" si="13"/>
        <v>306</v>
      </c>
      <c r="E1320" s="4">
        <v>10</v>
      </c>
      <c r="H1320" s="29">
        <v>1001</v>
      </c>
      <c r="I1320" s="4">
        <v>496</v>
      </c>
      <c r="L1320" s="30">
        <v>800</v>
      </c>
      <c r="M1320" s="4">
        <v>108</v>
      </c>
      <c r="N1320" s="4">
        <v>24</v>
      </c>
      <c r="O1320" s="4">
        <v>1286</v>
      </c>
      <c r="P1320" s="4">
        <v>0</v>
      </c>
      <c r="Q1320" s="4">
        <v>144</v>
      </c>
      <c r="R1320" s="4">
        <v>1.5</v>
      </c>
      <c r="S1320" s="4">
        <v>16</v>
      </c>
      <c r="T1320" s="4">
        <v>0</v>
      </c>
      <c r="U1320" s="4">
        <v>0</v>
      </c>
      <c r="V1320" s="4">
        <v>0</v>
      </c>
    </row>
    <row r="1321" spans="1:22" x14ac:dyDescent="0.15">
      <c r="A1321" s="4" t="s">
        <v>2662</v>
      </c>
      <c r="D1321" s="4">
        <f t="shared" si="13"/>
        <v>306</v>
      </c>
      <c r="E1321" s="4">
        <v>11</v>
      </c>
      <c r="H1321" s="29">
        <v>1001</v>
      </c>
      <c r="I1321" s="4">
        <v>525</v>
      </c>
      <c r="L1321" s="30">
        <v>800</v>
      </c>
      <c r="M1321" s="4">
        <v>116</v>
      </c>
      <c r="N1321" s="4">
        <v>26</v>
      </c>
      <c r="O1321" s="4">
        <v>1340</v>
      </c>
      <c r="P1321" s="4">
        <v>0</v>
      </c>
      <c r="Q1321" s="4">
        <v>150</v>
      </c>
      <c r="R1321" s="4">
        <v>1.5</v>
      </c>
      <c r="S1321" s="4">
        <v>17</v>
      </c>
      <c r="T1321" s="4">
        <v>0</v>
      </c>
      <c r="U1321" s="4">
        <v>0</v>
      </c>
      <c r="V1321" s="4">
        <v>0</v>
      </c>
    </row>
    <row r="1322" spans="1:22" x14ac:dyDescent="0.15">
      <c r="A1322" s="4" t="s">
        <v>2662</v>
      </c>
      <c r="D1322" s="4">
        <f t="shared" ref="D1322:D1385" si="15">D1270+1</f>
        <v>306</v>
      </c>
      <c r="E1322" s="4">
        <v>12</v>
      </c>
      <c r="H1322" s="29">
        <v>1001</v>
      </c>
      <c r="I1322" s="4">
        <v>553</v>
      </c>
      <c r="L1322" s="30">
        <v>800</v>
      </c>
      <c r="M1322" s="4">
        <v>124</v>
      </c>
      <c r="N1322" s="4">
        <v>28</v>
      </c>
      <c r="O1322" s="4">
        <v>1394</v>
      </c>
      <c r="P1322" s="4">
        <v>0</v>
      </c>
      <c r="Q1322" s="4">
        <v>156</v>
      </c>
      <c r="R1322" s="4">
        <v>1.5</v>
      </c>
      <c r="S1322" s="4">
        <v>18</v>
      </c>
      <c r="T1322" s="4">
        <v>0</v>
      </c>
      <c r="U1322" s="4">
        <v>0</v>
      </c>
      <c r="V1322" s="4">
        <v>0</v>
      </c>
    </row>
    <row r="1323" spans="1:22" x14ac:dyDescent="0.15">
      <c r="A1323" s="4" t="s">
        <v>2662</v>
      </c>
      <c r="D1323" s="4">
        <f t="shared" si="15"/>
        <v>306</v>
      </c>
      <c r="E1323" s="4">
        <v>13</v>
      </c>
      <c r="H1323" s="29">
        <v>1001</v>
      </c>
      <c r="I1323" s="4">
        <v>581</v>
      </c>
      <c r="L1323" s="30">
        <v>800</v>
      </c>
      <c r="M1323" s="4">
        <v>132</v>
      </c>
      <c r="N1323" s="4">
        <v>30</v>
      </c>
      <c r="O1323" s="4">
        <v>1448</v>
      </c>
      <c r="P1323" s="4">
        <v>0</v>
      </c>
      <c r="Q1323" s="4">
        <v>162</v>
      </c>
      <c r="R1323" s="4">
        <v>1.5</v>
      </c>
      <c r="S1323" s="4">
        <v>19</v>
      </c>
      <c r="T1323" s="4">
        <v>0</v>
      </c>
      <c r="U1323" s="4">
        <v>0</v>
      </c>
      <c r="V1323" s="4">
        <v>0</v>
      </c>
    </row>
    <row r="1324" spans="1:22" x14ac:dyDescent="0.15">
      <c r="A1324" s="4" t="s">
        <v>2662</v>
      </c>
      <c r="D1324" s="4">
        <f t="shared" si="15"/>
        <v>306</v>
      </c>
      <c r="E1324" s="4">
        <v>14</v>
      </c>
      <c r="H1324" s="29">
        <v>1001</v>
      </c>
      <c r="I1324" s="4">
        <v>610</v>
      </c>
      <c r="L1324" s="30">
        <v>800</v>
      </c>
      <c r="M1324" s="4">
        <v>140</v>
      </c>
      <c r="N1324" s="4">
        <v>32</v>
      </c>
      <c r="O1324" s="4">
        <v>1502</v>
      </c>
      <c r="P1324" s="4">
        <v>0</v>
      </c>
      <c r="Q1324" s="4">
        <v>168</v>
      </c>
      <c r="R1324" s="4">
        <v>1.5</v>
      </c>
      <c r="S1324" s="4">
        <v>20</v>
      </c>
      <c r="T1324" s="4">
        <v>0</v>
      </c>
      <c r="U1324" s="4">
        <v>0</v>
      </c>
      <c r="V1324" s="4">
        <v>0</v>
      </c>
    </row>
    <row r="1325" spans="1:22" x14ac:dyDescent="0.15">
      <c r="A1325" s="4" t="s">
        <v>2662</v>
      </c>
      <c r="D1325" s="4">
        <f t="shared" si="15"/>
        <v>306</v>
      </c>
      <c r="E1325" s="4">
        <v>15</v>
      </c>
      <c r="H1325" s="29">
        <v>1001</v>
      </c>
      <c r="I1325" s="4">
        <v>638</v>
      </c>
      <c r="L1325" s="30">
        <v>800</v>
      </c>
      <c r="M1325" s="4">
        <v>148</v>
      </c>
      <c r="N1325" s="4">
        <v>34</v>
      </c>
      <c r="O1325" s="4">
        <v>1556</v>
      </c>
      <c r="P1325" s="4">
        <v>0</v>
      </c>
      <c r="Q1325" s="4">
        <v>174</v>
      </c>
      <c r="R1325" s="4">
        <v>1.5</v>
      </c>
      <c r="S1325" s="4">
        <v>21</v>
      </c>
      <c r="T1325" s="4">
        <v>0</v>
      </c>
      <c r="U1325" s="4">
        <v>0</v>
      </c>
      <c r="V1325" s="4">
        <v>0</v>
      </c>
    </row>
    <row r="1326" spans="1:22" x14ac:dyDescent="0.15">
      <c r="A1326" s="4" t="s">
        <v>2662</v>
      </c>
      <c r="D1326" s="4">
        <f t="shared" si="15"/>
        <v>306</v>
      </c>
      <c r="E1326" s="4">
        <v>16</v>
      </c>
      <c r="H1326" s="29">
        <v>1001</v>
      </c>
      <c r="I1326" s="4">
        <v>667</v>
      </c>
      <c r="L1326" s="30">
        <v>800</v>
      </c>
      <c r="M1326" s="4">
        <v>156</v>
      </c>
      <c r="N1326" s="4">
        <v>36</v>
      </c>
      <c r="O1326" s="4">
        <v>1610</v>
      </c>
      <c r="P1326" s="4">
        <v>0</v>
      </c>
      <c r="Q1326" s="4">
        <v>180</v>
      </c>
      <c r="R1326" s="4">
        <v>1.5</v>
      </c>
      <c r="S1326" s="4">
        <v>22</v>
      </c>
      <c r="T1326" s="4">
        <v>0</v>
      </c>
      <c r="U1326" s="4">
        <v>0</v>
      </c>
      <c r="V1326" s="4">
        <v>0</v>
      </c>
    </row>
    <row r="1327" spans="1:22" x14ac:dyDescent="0.15">
      <c r="A1327" s="4" t="s">
        <v>2662</v>
      </c>
      <c r="D1327" s="4">
        <f t="shared" si="15"/>
        <v>306</v>
      </c>
      <c r="E1327" s="4">
        <v>17</v>
      </c>
      <c r="H1327" s="29">
        <v>1001</v>
      </c>
      <c r="I1327" s="4">
        <v>695</v>
      </c>
      <c r="L1327" s="30">
        <v>800</v>
      </c>
      <c r="M1327" s="4">
        <v>164</v>
      </c>
      <c r="N1327" s="4">
        <v>38</v>
      </c>
      <c r="O1327" s="4">
        <v>1664</v>
      </c>
      <c r="P1327" s="4">
        <v>0</v>
      </c>
      <c r="Q1327" s="4">
        <v>186</v>
      </c>
      <c r="R1327" s="4">
        <v>1.5</v>
      </c>
      <c r="S1327" s="4">
        <v>23</v>
      </c>
      <c r="T1327" s="4">
        <v>0</v>
      </c>
      <c r="U1327" s="4">
        <v>0</v>
      </c>
      <c r="V1327" s="4">
        <v>0</v>
      </c>
    </row>
    <row r="1328" spans="1:22" x14ac:dyDescent="0.15">
      <c r="A1328" s="4" t="s">
        <v>2662</v>
      </c>
      <c r="D1328" s="4">
        <f t="shared" si="15"/>
        <v>306</v>
      </c>
      <c r="E1328" s="4">
        <v>18</v>
      </c>
      <c r="H1328" s="29">
        <v>1001</v>
      </c>
      <c r="I1328" s="4">
        <v>723</v>
      </c>
      <c r="L1328" s="30">
        <v>800</v>
      </c>
      <c r="M1328" s="4">
        <v>172</v>
      </c>
      <c r="N1328" s="4">
        <v>40</v>
      </c>
      <c r="O1328" s="4">
        <v>1718</v>
      </c>
      <c r="P1328" s="4">
        <v>0</v>
      </c>
      <c r="Q1328" s="4">
        <v>192</v>
      </c>
      <c r="R1328" s="4">
        <v>1.5</v>
      </c>
      <c r="S1328" s="4">
        <v>24</v>
      </c>
      <c r="T1328" s="4">
        <v>0</v>
      </c>
      <c r="U1328" s="4">
        <v>0</v>
      </c>
      <c r="V1328" s="4">
        <v>0</v>
      </c>
    </row>
    <row r="1329" spans="1:22" x14ac:dyDescent="0.15">
      <c r="A1329" s="4" t="s">
        <v>2662</v>
      </c>
      <c r="D1329" s="4">
        <f t="shared" si="15"/>
        <v>306</v>
      </c>
      <c r="E1329" s="4">
        <v>19</v>
      </c>
      <c r="H1329" s="29">
        <v>1001</v>
      </c>
      <c r="I1329" s="4">
        <v>752</v>
      </c>
      <c r="L1329" s="30">
        <v>800</v>
      </c>
      <c r="M1329" s="4">
        <v>180</v>
      </c>
      <c r="N1329" s="4">
        <v>42</v>
      </c>
      <c r="O1329" s="4">
        <v>1772</v>
      </c>
      <c r="P1329" s="4">
        <v>0</v>
      </c>
      <c r="Q1329" s="4">
        <v>198</v>
      </c>
      <c r="R1329" s="4">
        <v>1.5</v>
      </c>
      <c r="S1329" s="4">
        <v>25</v>
      </c>
      <c r="T1329" s="4">
        <v>0</v>
      </c>
      <c r="U1329" s="4">
        <v>0</v>
      </c>
      <c r="V1329" s="4">
        <v>0</v>
      </c>
    </row>
    <row r="1330" spans="1:22" x14ac:dyDescent="0.15">
      <c r="A1330" s="4" t="s">
        <v>2662</v>
      </c>
      <c r="D1330" s="4">
        <f t="shared" si="15"/>
        <v>306</v>
      </c>
      <c r="E1330" s="4">
        <v>20</v>
      </c>
      <c r="H1330" s="29">
        <v>1001</v>
      </c>
      <c r="I1330" s="4">
        <v>780</v>
      </c>
      <c r="L1330" s="30">
        <v>800</v>
      </c>
      <c r="M1330" s="4">
        <v>188</v>
      </c>
      <c r="N1330" s="4">
        <v>44</v>
      </c>
      <c r="O1330" s="4">
        <v>1826</v>
      </c>
      <c r="P1330" s="4">
        <v>0</v>
      </c>
      <c r="Q1330" s="4">
        <v>204</v>
      </c>
      <c r="R1330" s="4">
        <v>1.5</v>
      </c>
      <c r="S1330" s="4">
        <v>26</v>
      </c>
      <c r="T1330" s="4">
        <v>0</v>
      </c>
      <c r="U1330" s="4">
        <v>0</v>
      </c>
      <c r="V1330" s="4">
        <v>0</v>
      </c>
    </row>
    <row r="1331" spans="1:22" x14ac:dyDescent="0.15">
      <c r="A1331" s="4" t="s">
        <v>2662</v>
      </c>
      <c r="D1331" s="4">
        <f t="shared" si="15"/>
        <v>306</v>
      </c>
      <c r="E1331" s="4">
        <v>21</v>
      </c>
      <c r="H1331" s="29">
        <v>1001</v>
      </c>
      <c r="I1331" s="4">
        <v>809</v>
      </c>
      <c r="L1331" s="30">
        <v>800</v>
      </c>
      <c r="M1331" s="4">
        <v>196</v>
      </c>
      <c r="N1331" s="4">
        <v>46</v>
      </c>
      <c r="O1331" s="4">
        <v>1880</v>
      </c>
      <c r="P1331" s="4">
        <v>0</v>
      </c>
      <c r="Q1331" s="4">
        <v>210</v>
      </c>
      <c r="R1331" s="4">
        <v>1.5</v>
      </c>
      <c r="S1331" s="4">
        <v>27</v>
      </c>
      <c r="T1331" s="4">
        <v>0</v>
      </c>
      <c r="U1331" s="4">
        <v>0</v>
      </c>
      <c r="V1331" s="4">
        <v>0</v>
      </c>
    </row>
    <row r="1332" spans="1:22" x14ac:dyDescent="0.15">
      <c r="A1332" s="4" t="s">
        <v>2662</v>
      </c>
      <c r="D1332" s="4">
        <f t="shared" si="15"/>
        <v>306</v>
      </c>
      <c r="E1332" s="4">
        <v>22</v>
      </c>
      <c r="H1332" s="29">
        <v>1001</v>
      </c>
      <c r="I1332" s="4">
        <v>837</v>
      </c>
      <c r="L1332" s="30">
        <v>800</v>
      </c>
      <c r="M1332" s="4">
        <v>204</v>
      </c>
      <c r="N1332" s="4">
        <v>48</v>
      </c>
      <c r="O1332" s="4">
        <v>1934</v>
      </c>
      <c r="P1332" s="4">
        <v>0</v>
      </c>
      <c r="Q1332" s="4">
        <v>216</v>
      </c>
      <c r="R1332" s="4">
        <v>1.5</v>
      </c>
      <c r="S1332" s="4">
        <v>28</v>
      </c>
      <c r="T1332" s="4">
        <v>0</v>
      </c>
      <c r="U1332" s="4">
        <v>0</v>
      </c>
      <c r="V1332" s="4">
        <v>0</v>
      </c>
    </row>
    <row r="1333" spans="1:22" x14ac:dyDescent="0.15">
      <c r="A1333" s="4" t="s">
        <v>2662</v>
      </c>
      <c r="D1333" s="4">
        <f t="shared" si="15"/>
        <v>306</v>
      </c>
      <c r="E1333" s="4">
        <v>23</v>
      </c>
      <c r="H1333" s="29">
        <v>1001</v>
      </c>
      <c r="I1333" s="4">
        <v>866</v>
      </c>
      <c r="L1333" s="30">
        <v>800</v>
      </c>
      <c r="M1333" s="4">
        <v>212</v>
      </c>
      <c r="N1333" s="4">
        <v>50</v>
      </c>
      <c r="O1333" s="4">
        <v>1988</v>
      </c>
      <c r="P1333" s="4">
        <v>0</v>
      </c>
      <c r="Q1333" s="4">
        <v>222</v>
      </c>
      <c r="R1333" s="4">
        <v>1.5</v>
      </c>
      <c r="S1333" s="4">
        <v>29</v>
      </c>
      <c r="T1333" s="4">
        <v>0</v>
      </c>
      <c r="U1333" s="4">
        <v>0</v>
      </c>
      <c r="V1333" s="4">
        <v>0</v>
      </c>
    </row>
    <row r="1334" spans="1:22" x14ac:dyDescent="0.15">
      <c r="A1334" s="4" t="s">
        <v>2662</v>
      </c>
      <c r="D1334" s="4">
        <f t="shared" si="15"/>
        <v>306</v>
      </c>
      <c r="E1334" s="4">
        <v>24</v>
      </c>
      <c r="H1334" s="29">
        <v>1001</v>
      </c>
      <c r="I1334" s="4">
        <v>894</v>
      </c>
      <c r="L1334" s="30">
        <v>800</v>
      </c>
      <c r="M1334" s="4">
        <v>220</v>
      </c>
      <c r="N1334" s="4">
        <v>52</v>
      </c>
      <c r="O1334" s="4">
        <v>2042</v>
      </c>
      <c r="P1334" s="4">
        <v>0</v>
      </c>
      <c r="Q1334" s="4">
        <v>228</v>
      </c>
      <c r="R1334" s="4">
        <v>1.5</v>
      </c>
      <c r="S1334" s="4">
        <v>30</v>
      </c>
      <c r="T1334" s="4">
        <v>0</v>
      </c>
      <c r="U1334" s="4">
        <v>0</v>
      </c>
      <c r="V1334" s="4">
        <v>0</v>
      </c>
    </row>
    <row r="1335" spans="1:22" x14ac:dyDescent="0.15">
      <c r="A1335" s="4" t="s">
        <v>2662</v>
      </c>
      <c r="D1335" s="4">
        <f t="shared" si="15"/>
        <v>306</v>
      </c>
      <c r="E1335" s="4">
        <v>25</v>
      </c>
      <c r="H1335" s="29">
        <v>1001</v>
      </c>
      <c r="I1335" s="4">
        <v>922</v>
      </c>
      <c r="L1335" s="30">
        <v>800</v>
      </c>
      <c r="M1335" s="4">
        <v>228</v>
      </c>
      <c r="N1335" s="4">
        <v>54</v>
      </c>
      <c r="O1335" s="4">
        <v>2096</v>
      </c>
      <c r="P1335" s="4">
        <v>0</v>
      </c>
      <c r="Q1335" s="4">
        <v>234</v>
      </c>
      <c r="R1335" s="4">
        <v>1.5</v>
      </c>
      <c r="S1335" s="4">
        <v>31</v>
      </c>
      <c r="T1335" s="4">
        <v>0</v>
      </c>
      <c r="U1335" s="4">
        <v>0</v>
      </c>
      <c r="V1335" s="4">
        <v>0</v>
      </c>
    </row>
    <row r="1336" spans="1:22" x14ac:dyDescent="0.15">
      <c r="A1336" s="4" t="s">
        <v>2662</v>
      </c>
      <c r="D1336" s="4">
        <f t="shared" si="15"/>
        <v>306</v>
      </c>
      <c r="E1336" s="4">
        <v>26</v>
      </c>
      <c r="H1336" s="29">
        <v>1001</v>
      </c>
      <c r="I1336" s="4">
        <v>951</v>
      </c>
      <c r="L1336" s="30">
        <v>800</v>
      </c>
      <c r="M1336" s="4">
        <v>236</v>
      </c>
      <c r="N1336" s="4">
        <v>56</v>
      </c>
      <c r="O1336" s="4">
        <v>2150</v>
      </c>
      <c r="P1336" s="4">
        <v>0</v>
      </c>
      <c r="Q1336" s="4">
        <v>240</v>
      </c>
      <c r="R1336" s="4">
        <v>1.5</v>
      </c>
      <c r="S1336" s="4">
        <v>32</v>
      </c>
      <c r="T1336" s="4">
        <v>0</v>
      </c>
      <c r="U1336" s="4">
        <v>0</v>
      </c>
      <c r="V1336" s="4">
        <v>0</v>
      </c>
    </row>
    <row r="1337" spans="1:22" x14ac:dyDescent="0.15">
      <c r="A1337" s="4" t="s">
        <v>2662</v>
      </c>
      <c r="D1337" s="4">
        <f t="shared" si="15"/>
        <v>306</v>
      </c>
      <c r="E1337" s="4">
        <v>27</v>
      </c>
      <c r="H1337" s="29">
        <v>1001</v>
      </c>
      <c r="I1337" s="4">
        <v>979</v>
      </c>
      <c r="L1337" s="30">
        <v>800</v>
      </c>
      <c r="M1337" s="4">
        <v>244</v>
      </c>
      <c r="N1337" s="4">
        <v>58</v>
      </c>
      <c r="O1337" s="4">
        <v>2204</v>
      </c>
      <c r="P1337" s="4">
        <v>0</v>
      </c>
      <c r="Q1337" s="4">
        <v>246</v>
      </c>
      <c r="R1337" s="4">
        <v>1.5</v>
      </c>
      <c r="S1337" s="4">
        <v>33</v>
      </c>
      <c r="T1337" s="4">
        <v>0</v>
      </c>
      <c r="U1337" s="4">
        <v>0</v>
      </c>
      <c r="V1337" s="4">
        <v>0</v>
      </c>
    </row>
    <row r="1338" spans="1:22" x14ac:dyDescent="0.15">
      <c r="A1338" s="4" t="s">
        <v>2662</v>
      </c>
      <c r="D1338" s="4">
        <f t="shared" si="15"/>
        <v>306</v>
      </c>
      <c r="E1338" s="4">
        <v>28</v>
      </c>
      <c r="H1338" s="29">
        <v>1001</v>
      </c>
      <c r="I1338" s="4">
        <v>1008</v>
      </c>
      <c r="L1338" s="30">
        <v>800</v>
      </c>
      <c r="M1338" s="4">
        <v>252</v>
      </c>
      <c r="N1338" s="4">
        <v>60</v>
      </c>
      <c r="O1338" s="4">
        <v>2258</v>
      </c>
      <c r="P1338" s="4">
        <v>0</v>
      </c>
      <c r="Q1338" s="4">
        <v>252</v>
      </c>
      <c r="R1338" s="4">
        <v>1.5</v>
      </c>
      <c r="S1338" s="4">
        <v>34</v>
      </c>
      <c r="T1338" s="4">
        <v>0</v>
      </c>
      <c r="U1338" s="4">
        <v>0</v>
      </c>
      <c r="V1338" s="4">
        <v>0</v>
      </c>
    </row>
    <row r="1339" spans="1:22" x14ac:dyDescent="0.15">
      <c r="A1339" s="4" t="s">
        <v>2662</v>
      </c>
      <c r="D1339" s="4">
        <f t="shared" si="15"/>
        <v>306</v>
      </c>
      <c r="E1339" s="4">
        <v>29</v>
      </c>
      <c r="H1339" s="29">
        <v>1001</v>
      </c>
      <c r="I1339" s="4">
        <v>1036</v>
      </c>
      <c r="L1339" s="30">
        <v>800</v>
      </c>
      <c r="M1339" s="4">
        <v>260</v>
      </c>
      <c r="N1339" s="4">
        <v>62</v>
      </c>
      <c r="O1339" s="4">
        <v>2312</v>
      </c>
      <c r="P1339" s="4">
        <v>0</v>
      </c>
      <c r="Q1339" s="4">
        <v>258</v>
      </c>
      <c r="R1339" s="4">
        <v>1.5</v>
      </c>
      <c r="S1339" s="4">
        <v>35</v>
      </c>
      <c r="T1339" s="4">
        <v>0</v>
      </c>
      <c r="U1339" s="4">
        <v>0</v>
      </c>
      <c r="V1339" s="4">
        <v>0</v>
      </c>
    </row>
    <row r="1340" spans="1:22" x14ac:dyDescent="0.15">
      <c r="A1340" s="4" t="s">
        <v>2662</v>
      </c>
      <c r="D1340" s="4">
        <f t="shared" si="15"/>
        <v>306</v>
      </c>
      <c r="E1340" s="4">
        <v>30</v>
      </c>
      <c r="H1340" s="29">
        <v>1001</v>
      </c>
      <c r="I1340" s="4">
        <v>1064</v>
      </c>
      <c r="L1340" s="30">
        <v>800</v>
      </c>
      <c r="M1340" s="4">
        <v>268</v>
      </c>
      <c r="N1340" s="4">
        <v>64</v>
      </c>
      <c r="O1340" s="4">
        <v>2366</v>
      </c>
      <c r="P1340" s="4">
        <v>0</v>
      </c>
      <c r="Q1340" s="4">
        <v>264</v>
      </c>
      <c r="R1340" s="4">
        <v>1.5</v>
      </c>
      <c r="S1340" s="4">
        <v>36</v>
      </c>
      <c r="T1340" s="4">
        <v>0</v>
      </c>
      <c r="U1340" s="4">
        <v>0</v>
      </c>
      <c r="V1340" s="4">
        <v>0</v>
      </c>
    </row>
    <row r="1341" spans="1:22" x14ac:dyDescent="0.15">
      <c r="A1341" s="4" t="s">
        <v>2662</v>
      </c>
      <c r="D1341" s="4">
        <f t="shared" si="15"/>
        <v>306</v>
      </c>
      <c r="E1341" s="4">
        <v>31</v>
      </c>
      <c r="H1341" s="29">
        <v>1001</v>
      </c>
      <c r="I1341" s="4">
        <v>1093</v>
      </c>
      <c r="L1341" s="30">
        <v>800</v>
      </c>
      <c r="M1341" s="4">
        <v>276</v>
      </c>
      <c r="N1341" s="4">
        <v>66</v>
      </c>
      <c r="O1341" s="4">
        <v>2420</v>
      </c>
      <c r="P1341" s="4">
        <v>0</v>
      </c>
      <c r="Q1341" s="4">
        <v>270</v>
      </c>
      <c r="R1341" s="4">
        <v>1.5</v>
      </c>
      <c r="S1341" s="4">
        <v>37</v>
      </c>
      <c r="T1341" s="4">
        <v>0</v>
      </c>
      <c r="U1341" s="4">
        <v>0</v>
      </c>
      <c r="V1341" s="4">
        <v>0</v>
      </c>
    </row>
    <row r="1342" spans="1:22" x14ac:dyDescent="0.15">
      <c r="A1342" s="4" t="s">
        <v>2662</v>
      </c>
      <c r="D1342" s="4">
        <f t="shared" si="15"/>
        <v>306</v>
      </c>
      <c r="E1342" s="4">
        <v>32</v>
      </c>
      <c r="H1342" s="29">
        <v>1001</v>
      </c>
      <c r="I1342" s="4">
        <v>1121</v>
      </c>
      <c r="L1342" s="30">
        <v>800</v>
      </c>
      <c r="M1342" s="4">
        <v>284</v>
      </c>
      <c r="N1342" s="4">
        <v>68</v>
      </c>
      <c r="O1342" s="4">
        <v>2474</v>
      </c>
      <c r="P1342" s="4">
        <v>0</v>
      </c>
      <c r="Q1342" s="4">
        <v>276</v>
      </c>
      <c r="R1342" s="4">
        <v>1.5</v>
      </c>
      <c r="S1342" s="4">
        <v>38</v>
      </c>
      <c r="T1342" s="4">
        <v>0</v>
      </c>
      <c r="U1342" s="4">
        <v>0</v>
      </c>
      <c r="V1342" s="4">
        <v>0</v>
      </c>
    </row>
    <row r="1343" spans="1:22" x14ac:dyDescent="0.15">
      <c r="A1343" s="4" t="s">
        <v>2662</v>
      </c>
      <c r="D1343" s="4">
        <f t="shared" si="15"/>
        <v>306</v>
      </c>
      <c r="E1343" s="4">
        <v>33</v>
      </c>
      <c r="H1343" s="29">
        <v>1001</v>
      </c>
      <c r="I1343" s="4">
        <v>1150</v>
      </c>
      <c r="L1343" s="30">
        <v>800</v>
      </c>
      <c r="M1343" s="4">
        <v>292</v>
      </c>
      <c r="N1343" s="4">
        <v>70</v>
      </c>
      <c r="O1343" s="4">
        <v>2528</v>
      </c>
      <c r="P1343" s="4">
        <v>0</v>
      </c>
      <c r="Q1343" s="4">
        <v>282</v>
      </c>
      <c r="R1343" s="4">
        <v>1.5</v>
      </c>
      <c r="S1343" s="4">
        <v>39</v>
      </c>
      <c r="T1343" s="4">
        <v>0</v>
      </c>
      <c r="U1343" s="4">
        <v>0</v>
      </c>
      <c r="V1343" s="4">
        <v>0</v>
      </c>
    </row>
    <row r="1344" spans="1:22" x14ac:dyDescent="0.15">
      <c r="A1344" s="4" t="s">
        <v>2662</v>
      </c>
      <c r="D1344" s="4">
        <f t="shared" si="15"/>
        <v>306</v>
      </c>
      <c r="E1344" s="4">
        <v>34</v>
      </c>
      <c r="H1344" s="29">
        <v>1001</v>
      </c>
      <c r="I1344" s="4">
        <v>1178</v>
      </c>
      <c r="L1344" s="30">
        <v>800</v>
      </c>
      <c r="M1344" s="4">
        <v>300</v>
      </c>
      <c r="N1344" s="4">
        <v>72</v>
      </c>
      <c r="O1344" s="4">
        <v>2582</v>
      </c>
      <c r="P1344" s="4">
        <v>0</v>
      </c>
      <c r="Q1344" s="4">
        <v>288</v>
      </c>
      <c r="R1344" s="4">
        <v>1.5</v>
      </c>
      <c r="S1344" s="4">
        <v>40</v>
      </c>
      <c r="T1344" s="4">
        <v>0</v>
      </c>
      <c r="U1344" s="4">
        <v>0</v>
      </c>
      <c r="V1344" s="4">
        <v>0</v>
      </c>
    </row>
    <row r="1345" spans="1:22" x14ac:dyDescent="0.15">
      <c r="A1345" s="4" t="s">
        <v>2662</v>
      </c>
      <c r="D1345" s="4">
        <f t="shared" si="15"/>
        <v>306</v>
      </c>
      <c r="E1345" s="4">
        <v>35</v>
      </c>
      <c r="H1345" s="29">
        <v>1001</v>
      </c>
      <c r="I1345" s="4">
        <v>1207</v>
      </c>
      <c r="L1345" s="30">
        <v>800</v>
      </c>
      <c r="M1345" s="4">
        <v>308</v>
      </c>
      <c r="N1345" s="4">
        <v>74</v>
      </c>
      <c r="O1345" s="4">
        <v>2636</v>
      </c>
      <c r="P1345" s="4">
        <v>0</v>
      </c>
      <c r="Q1345" s="4">
        <v>294</v>
      </c>
      <c r="R1345" s="4">
        <v>1.5</v>
      </c>
      <c r="S1345" s="4">
        <v>41</v>
      </c>
      <c r="T1345" s="4">
        <v>0</v>
      </c>
      <c r="U1345" s="4">
        <v>0</v>
      </c>
      <c r="V1345" s="4">
        <v>0</v>
      </c>
    </row>
    <row r="1346" spans="1:22" x14ac:dyDescent="0.15">
      <c r="A1346" s="4" t="s">
        <v>2662</v>
      </c>
      <c r="D1346" s="4">
        <f t="shared" si="15"/>
        <v>306</v>
      </c>
      <c r="E1346" s="4">
        <v>36</v>
      </c>
      <c r="H1346" s="29">
        <v>1001</v>
      </c>
      <c r="I1346" s="4">
        <v>1235</v>
      </c>
      <c r="L1346" s="30">
        <v>800</v>
      </c>
      <c r="M1346" s="4">
        <v>316</v>
      </c>
      <c r="N1346" s="4">
        <v>76</v>
      </c>
      <c r="O1346" s="4">
        <v>2690</v>
      </c>
      <c r="P1346" s="4">
        <v>0</v>
      </c>
      <c r="Q1346" s="4">
        <v>300</v>
      </c>
      <c r="R1346" s="4">
        <v>1.5</v>
      </c>
      <c r="S1346" s="4">
        <v>42</v>
      </c>
      <c r="T1346" s="4">
        <v>0</v>
      </c>
      <c r="U1346" s="4">
        <v>0</v>
      </c>
      <c r="V1346" s="4">
        <v>0</v>
      </c>
    </row>
    <row r="1347" spans="1:22" x14ac:dyDescent="0.15">
      <c r="A1347" s="4" t="s">
        <v>2662</v>
      </c>
      <c r="D1347" s="4">
        <f t="shared" si="15"/>
        <v>306</v>
      </c>
      <c r="E1347" s="4">
        <v>37</v>
      </c>
      <c r="H1347" s="29">
        <v>1001</v>
      </c>
      <c r="I1347" s="4">
        <v>1263</v>
      </c>
      <c r="L1347" s="30">
        <v>800</v>
      </c>
      <c r="M1347" s="4">
        <v>324</v>
      </c>
      <c r="N1347" s="4">
        <v>78</v>
      </c>
      <c r="O1347" s="4">
        <v>2744</v>
      </c>
      <c r="P1347" s="4">
        <v>0</v>
      </c>
      <c r="Q1347" s="4">
        <v>306</v>
      </c>
      <c r="R1347" s="4">
        <v>1.5</v>
      </c>
      <c r="S1347" s="4">
        <v>43</v>
      </c>
      <c r="T1347" s="4">
        <v>0</v>
      </c>
      <c r="U1347" s="4">
        <v>0</v>
      </c>
      <c r="V1347" s="4">
        <v>0</v>
      </c>
    </row>
    <row r="1348" spans="1:22" x14ac:dyDescent="0.15">
      <c r="A1348" s="4" t="s">
        <v>2662</v>
      </c>
      <c r="D1348" s="4">
        <f t="shared" si="15"/>
        <v>306</v>
      </c>
      <c r="E1348" s="4">
        <v>38</v>
      </c>
      <c r="H1348" s="29">
        <v>1001</v>
      </c>
      <c r="I1348" s="4">
        <v>1292</v>
      </c>
      <c r="L1348" s="30">
        <v>800</v>
      </c>
      <c r="M1348" s="4">
        <v>332</v>
      </c>
      <c r="N1348" s="4">
        <v>80</v>
      </c>
      <c r="O1348" s="4">
        <v>2798</v>
      </c>
      <c r="P1348" s="4">
        <v>0</v>
      </c>
      <c r="Q1348" s="4">
        <v>312</v>
      </c>
      <c r="R1348" s="4">
        <v>1.5</v>
      </c>
      <c r="S1348" s="4">
        <v>44</v>
      </c>
      <c r="T1348" s="4">
        <v>0</v>
      </c>
      <c r="U1348" s="4">
        <v>0</v>
      </c>
      <c r="V1348" s="4">
        <v>0</v>
      </c>
    </row>
    <row r="1349" spans="1:22" x14ac:dyDescent="0.15">
      <c r="A1349" s="4" t="s">
        <v>2662</v>
      </c>
      <c r="D1349" s="4">
        <f t="shared" si="15"/>
        <v>306</v>
      </c>
      <c r="E1349" s="4">
        <v>39</v>
      </c>
      <c r="H1349" s="29">
        <v>1001</v>
      </c>
      <c r="I1349" s="4">
        <v>1320</v>
      </c>
      <c r="L1349" s="30">
        <v>800</v>
      </c>
      <c r="M1349" s="4">
        <v>340</v>
      </c>
      <c r="N1349" s="4">
        <v>82</v>
      </c>
      <c r="O1349" s="4">
        <v>2852</v>
      </c>
      <c r="P1349" s="4">
        <v>0</v>
      </c>
      <c r="Q1349" s="4">
        <v>318</v>
      </c>
      <c r="R1349" s="4">
        <v>1.5</v>
      </c>
      <c r="S1349" s="4">
        <v>45</v>
      </c>
      <c r="T1349" s="4">
        <v>0</v>
      </c>
      <c r="U1349" s="4">
        <v>0</v>
      </c>
      <c r="V1349" s="4">
        <v>0</v>
      </c>
    </row>
    <row r="1350" spans="1:22" x14ac:dyDescent="0.15">
      <c r="A1350" s="4" t="s">
        <v>2662</v>
      </c>
      <c r="D1350" s="4">
        <f t="shared" si="15"/>
        <v>306</v>
      </c>
      <c r="E1350" s="4">
        <v>40</v>
      </c>
      <c r="H1350" s="29">
        <v>1001</v>
      </c>
      <c r="I1350" s="4">
        <v>1349</v>
      </c>
      <c r="L1350" s="30">
        <v>800</v>
      </c>
      <c r="M1350" s="4">
        <v>348</v>
      </c>
      <c r="N1350" s="4">
        <v>84</v>
      </c>
      <c r="O1350" s="4">
        <v>2906</v>
      </c>
      <c r="P1350" s="4">
        <v>0</v>
      </c>
      <c r="Q1350" s="4">
        <v>324</v>
      </c>
      <c r="R1350" s="4">
        <v>1.5</v>
      </c>
      <c r="S1350" s="4">
        <v>46</v>
      </c>
      <c r="T1350" s="4">
        <v>0</v>
      </c>
      <c r="U1350" s="4">
        <v>0</v>
      </c>
      <c r="V1350" s="4">
        <v>0</v>
      </c>
    </row>
    <row r="1351" spans="1:22" x14ac:dyDescent="0.15">
      <c r="A1351" s="4" t="s">
        <v>2662</v>
      </c>
      <c r="D1351" s="4">
        <f t="shared" si="15"/>
        <v>306</v>
      </c>
      <c r="E1351" s="4">
        <v>41</v>
      </c>
      <c r="H1351" s="29">
        <v>1001</v>
      </c>
      <c r="I1351" s="4">
        <v>1377</v>
      </c>
      <c r="L1351" s="30">
        <v>800</v>
      </c>
      <c r="M1351" s="4">
        <v>356</v>
      </c>
      <c r="N1351" s="4">
        <v>86</v>
      </c>
      <c r="O1351" s="4">
        <v>2960</v>
      </c>
      <c r="P1351" s="4">
        <v>0</v>
      </c>
      <c r="Q1351" s="4">
        <v>330</v>
      </c>
      <c r="R1351" s="4">
        <v>1.5</v>
      </c>
      <c r="S1351" s="4">
        <v>47</v>
      </c>
      <c r="T1351" s="4">
        <v>0</v>
      </c>
      <c r="U1351" s="4">
        <v>0</v>
      </c>
      <c r="V1351" s="4">
        <v>0</v>
      </c>
    </row>
    <row r="1352" spans="1:22" x14ac:dyDescent="0.15">
      <c r="A1352" s="4" t="s">
        <v>2662</v>
      </c>
      <c r="D1352" s="4">
        <f t="shared" si="15"/>
        <v>306</v>
      </c>
      <c r="E1352" s="4">
        <v>42</v>
      </c>
      <c r="H1352" s="29">
        <v>1001</v>
      </c>
      <c r="I1352" s="4">
        <v>1406</v>
      </c>
      <c r="L1352" s="30">
        <v>800</v>
      </c>
      <c r="M1352" s="4">
        <v>364</v>
      </c>
      <c r="N1352" s="4">
        <v>88</v>
      </c>
      <c r="O1352" s="4">
        <v>3014</v>
      </c>
      <c r="P1352" s="4">
        <v>0</v>
      </c>
      <c r="Q1352" s="4">
        <v>336</v>
      </c>
      <c r="R1352" s="4">
        <v>1.5</v>
      </c>
      <c r="S1352" s="4">
        <v>48</v>
      </c>
      <c r="T1352" s="4">
        <v>0</v>
      </c>
      <c r="U1352" s="4">
        <v>0</v>
      </c>
      <c r="V1352" s="4">
        <v>0</v>
      </c>
    </row>
    <row r="1353" spans="1:22" x14ac:dyDescent="0.15">
      <c r="A1353" s="4" t="s">
        <v>2662</v>
      </c>
      <c r="D1353" s="4">
        <f t="shared" si="15"/>
        <v>306</v>
      </c>
      <c r="E1353" s="4">
        <v>43</v>
      </c>
      <c r="H1353" s="29">
        <v>1001</v>
      </c>
      <c r="I1353" s="4">
        <v>1434</v>
      </c>
      <c r="L1353" s="30">
        <v>800</v>
      </c>
      <c r="M1353" s="4">
        <v>372</v>
      </c>
      <c r="N1353" s="4">
        <v>90</v>
      </c>
      <c r="O1353" s="4">
        <v>3068</v>
      </c>
      <c r="P1353" s="4">
        <v>0</v>
      </c>
      <c r="Q1353" s="4">
        <v>342</v>
      </c>
      <c r="R1353" s="4">
        <v>1.5</v>
      </c>
      <c r="S1353" s="4">
        <v>49</v>
      </c>
      <c r="T1353" s="4">
        <v>0</v>
      </c>
      <c r="U1353" s="4">
        <v>0</v>
      </c>
      <c r="V1353" s="4">
        <v>0</v>
      </c>
    </row>
    <row r="1354" spans="1:22" x14ac:dyDescent="0.15">
      <c r="A1354" s="4" t="s">
        <v>2662</v>
      </c>
      <c r="D1354" s="4">
        <f t="shared" si="15"/>
        <v>306</v>
      </c>
      <c r="E1354" s="4">
        <v>44</v>
      </c>
      <c r="H1354" s="29">
        <v>1001</v>
      </c>
      <c r="I1354" s="4">
        <v>1462</v>
      </c>
      <c r="L1354" s="30">
        <v>800</v>
      </c>
      <c r="M1354" s="4">
        <v>380</v>
      </c>
      <c r="N1354" s="4">
        <v>92</v>
      </c>
      <c r="O1354" s="4">
        <v>3122</v>
      </c>
      <c r="P1354" s="4">
        <v>0</v>
      </c>
      <c r="Q1354" s="4">
        <v>348</v>
      </c>
      <c r="R1354" s="4">
        <v>1.5</v>
      </c>
      <c r="S1354" s="4">
        <v>50</v>
      </c>
      <c r="T1354" s="4">
        <v>0</v>
      </c>
      <c r="U1354" s="4">
        <v>0</v>
      </c>
      <c r="V1354" s="4">
        <v>0</v>
      </c>
    </row>
    <row r="1355" spans="1:22" x14ac:dyDescent="0.15">
      <c r="A1355" s="4" t="s">
        <v>2662</v>
      </c>
      <c r="D1355" s="4">
        <f t="shared" si="15"/>
        <v>306</v>
      </c>
      <c r="E1355" s="4">
        <v>45</v>
      </c>
      <c r="H1355" s="29">
        <v>1001</v>
      </c>
      <c r="I1355" s="4">
        <v>1491</v>
      </c>
      <c r="L1355" s="30">
        <v>800</v>
      </c>
      <c r="M1355" s="4">
        <v>388</v>
      </c>
      <c r="N1355" s="4">
        <v>94</v>
      </c>
      <c r="O1355" s="4">
        <v>3176</v>
      </c>
      <c r="P1355" s="4">
        <v>0</v>
      </c>
      <c r="Q1355" s="4">
        <v>354</v>
      </c>
      <c r="R1355" s="4">
        <v>1.5</v>
      </c>
      <c r="S1355" s="4">
        <v>51</v>
      </c>
      <c r="T1355" s="4">
        <v>0</v>
      </c>
      <c r="U1355" s="4">
        <v>0</v>
      </c>
      <c r="V1355" s="4">
        <v>0</v>
      </c>
    </row>
    <row r="1356" spans="1:22" x14ac:dyDescent="0.15">
      <c r="A1356" s="4" t="s">
        <v>2662</v>
      </c>
      <c r="D1356" s="4">
        <f t="shared" si="15"/>
        <v>306</v>
      </c>
      <c r="E1356" s="4">
        <v>46</v>
      </c>
      <c r="H1356" s="29">
        <v>1001</v>
      </c>
      <c r="I1356" s="4">
        <v>1519</v>
      </c>
      <c r="L1356" s="30">
        <v>800</v>
      </c>
      <c r="M1356" s="4">
        <v>396</v>
      </c>
      <c r="N1356" s="4">
        <v>96</v>
      </c>
      <c r="O1356" s="4">
        <v>3230</v>
      </c>
      <c r="P1356" s="4">
        <v>0</v>
      </c>
      <c r="Q1356" s="4">
        <v>360</v>
      </c>
      <c r="R1356" s="4">
        <v>1.5</v>
      </c>
      <c r="S1356" s="4">
        <v>52</v>
      </c>
      <c r="T1356" s="4">
        <v>0</v>
      </c>
      <c r="U1356" s="4">
        <v>0</v>
      </c>
      <c r="V1356" s="4">
        <v>0</v>
      </c>
    </row>
    <row r="1357" spans="1:22" x14ac:dyDescent="0.15">
      <c r="A1357" s="4" t="s">
        <v>2662</v>
      </c>
      <c r="D1357" s="4">
        <f t="shared" si="15"/>
        <v>306</v>
      </c>
      <c r="E1357" s="4">
        <v>47</v>
      </c>
      <c r="H1357" s="29">
        <v>1001</v>
      </c>
      <c r="I1357" s="4">
        <v>1548</v>
      </c>
      <c r="L1357" s="30">
        <v>800</v>
      </c>
      <c r="M1357" s="4">
        <v>404</v>
      </c>
      <c r="N1357" s="4">
        <v>98</v>
      </c>
      <c r="O1357" s="4">
        <v>3284</v>
      </c>
      <c r="P1357" s="4">
        <v>0</v>
      </c>
      <c r="Q1357" s="4">
        <v>366</v>
      </c>
      <c r="R1357" s="4">
        <v>1.5</v>
      </c>
      <c r="S1357" s="4">
        <v>53</v>
      </c>
      <c r="T1357" s="4">
        <v>0</v>
      </c>
      <c r="U1357" s="4">
        <v>0</v>
      </c>
      <c r="V1357" s="4">
        <v>0</v>
      </c>
    </row>
    <row r="1358" spans="1:22" x14ac:dyDescent="0.15">
      <c r="A1358" s="4" t="s">
        <v>2662</v>
      </c>
      <c r="D1358" s="4">
        <f t="shared" si="15"/>
        <v>306</v>
      </c>
      <c r="E1358" s="4">
        <v>48</v>
      </c>
      <c r="H1358" s="29">
        <v>1001</v>
      </c>
      <c r="I1358" s="4">
        <v>1576</v>
      </c>
      <c r="L1358" s="30">
        <v>800</v>
      </c>
      <c r="M1358" s="4">
        <v>412</v>
      </c>
      <c r="N1358" s="4">
        <v>100</v>
      </c>
      <c r="O1358" s="4">
        <v>3338</v>
      </c>
      <c r="P1358" s="4">
        <v>0</v>
      </c>
      <c r="Q1358" s="4">
        <v>372</v>
      </c>
      <c r="R1358" s="4">
        <v>1.5</v>
      </c>
      <c r="S1358" s="4">
        <v>54</v>
      </c>
      <c r="T1358" s="4">
        <v>0</v>
      </c>
      <c r="U1358" s="4">
        <v>0</v>
      </c>
      <c r="V1358" s="4">
        <v>0</v>
      </c>
    </row>
    <row r="1359" spans="1:22" x14ac:dyDescent="0.15">
      <c r="A1359" s="4" t="s">
        <v>2662</v>
      </c>
      <c r="D1359" s="4">
        <f t="shared" si="15"/>
        <v>306</v>
      </c>
      <c r="E1359" s="4">
        <v>49</v>
      </c>
      <c r="H1359" s="29">
        <v>1001</v>
      </c>
      <c r="I1359" s="4">
        <v>1604</v>
      </c>
      <c r="L1359" s="30">
        <v>800</v>
      </c>
      <c r="M1359" s="4">
        <v>420</v>
      </c>
      <c r="N1359" s="4">
        <v>102</v>
      </c>
      <c r="O1359" s="4">
        <v>3392</v>
      </c>
      <c r="P1359" s="4">
        <v>0</v>
      </c>
      <c r="Q1359" s="4">
        <v>378</v>
      </c>
      <c r="R1359" s="4">
        <v>1.5</v>
      </c>
      <c r="S1359" s="4">
        <v>55</v>
      </c>
      <c r="T1359" s="4">
        <v>0</v>
      </c>
      <c r="U1359" s="4">
        <v>0</v>
      </c>
      <c r="V1359" s="4">
        <v>0</v>
      </c>
    </row>
    <row r="1360" spans="1:22" x14ac:dyDescent="0.15">
      <c r="A1360" s="4" t="s">
        <v>2662</v>
      </c>
      <c r="D1360" s="4">
        <f t="shared" si="15"/>
        <v>306</v>
      </c>
      <c r="E1360" s="4">
        <v>50</v>
      </c>
      <c r="H1360" s="29">
        <v>1001</v>
      </c>
      <c r="I1360" s="4">
        <v>1633</v>
      </c>
      <c r="L1360" s="30">
        <v>800</v>
      </c>
      <c r="M1360" s="4">
        <v>428</v>
      </c>
      <c r="N1360" s="4">
        <v>104</v>
      </c>
      <c r="O1360" s="4">
        <v>3446</v>
      </c>
      <c r="P1360" s="4">
        <v>0</v>
      </c>
      <c r="Q1360" s="4">
        <v>384</v>
      </c>
      <c r="R1360" s="4">
        <v>1.5</v>
      </c>
      <c r="S1360" s="4">
        <v>56</v>
      </c>
      <c r="T1360" s="4">
        <v>0</v>
      </c>
      <c r="U1360" s="4">
        <v>0</v>
      </c>
      <c r="V1360" s="4">
        <v>0</v>
      </c>
    </row>
    <row r="1362" spans="1:22" x14ac:dyDescent="0.15">
      <c r="A1362" s="4" t="s">
        <v>2662</v>
      </c>
      <c r="C1362" s="4" t="s">
        <v>3554</v>
      </c>
      <c r="D1362" s="4">
        <f t="shared" ref="D1362" si="16">D1310+1</f>
        <v>307</v>
      </c>
      <c r="E1362" s="4">
        <v>0</v>
      </c>
      <c r="H1362" s="29">
        <v>1000</v>
      </c>
      <c r="I1362" s="30">
        <v>299</v>
      </c>
      <c r="M1362" s="4">
        <v>0</v>
      </c>
      <c r="N1362" s="4">
        <v>0</v>
      </c>
      <c r="O1362" s="4">
        <v>0</v>
      </c>
      <c r="P1362" s="4">
        <v>0</v>
      </c>
      <c r="Q1362" s="4">
        <v>0</v>
      </c>
      <c r="R1362" s="4">
        <v>0</v>
      </c>
      <c r="S1362" s="4">
        <v>0</v>
      </c>
      <c r="T1362" s="4">
        <v>0</v>
      </c>
      <c r="U1362" s="4">
        <v>0</v>
      </c>
      <c r="V1362" s="4">
        <v>0</v>
      </c>
    </row>
    <row r="1363" spans="1:22" x14ac:dyDescent="0.15">
      <c r="A1363" s="4" t="s">
        <v>2662</v>
      </c>
      <c r="D1363" s="4">
        <f t="shared" si="15"/>
        <v>307</v>
      </c>
      <c r="E1363" s="4">
        <v>1</v>
      </c>
      <c r="H1363" s="29">
        <v>1001</v>
      </c>
      <c r="I1363" s="4">
        <v>370</v>
      </c>
      <c r="L1363" s="30">
        <v>800</v>
      </c>
      <c r="M1363" s="4">
        <v>60</v>
      </c>
      <c r="N1363" s="4">
        <v>8</v>
      </c>
      <c r="O1363" s="4">
        <v>1200</v>
      </c>
      <c r="P1363" s="4">
        <v>0</v>
      </c>
      <c r="Q1363" s="4">
        <v>120</v>
      </c>
      <c r="R1363" s="4">
        <v>1.5</v>
      </c>
      <c r="S1363" s="4">
        <v>8</v>
      </c>
      <c r="T1363" s="4">
        <v>0</v>
      </c>
      <c r="U1363" s="4">
        <v>0</v>
      </c>
      <c r="V1363" s="4">
        <v>0</v>
      </c>
    </row>
    <row r="1364" spans="1:22" x14ac:dyDescent="0.15">
      <c r="A1364" s="4" t="s">
        <v>2662</v>
      </c>
      <c r="D1364" s="4">
        <f t="shared" si="15"/>
        <v>307</v>
      </c>
      <c r="E1364" s="4">
        <v>2</v>
      </c>
      <c r="H1364" s="29">
        <v>1001</v>
      </c>
      <c r="I1364" s="4">
        <v>414</v>
      </c>
      <c r="L1364" s="30">
        <v>800</v>
      </c>
      <c r="M1364" s="4">
        <v>72</v>
      </c>
      <c r="N1364" s="4">
        <v>12</v>
      </c>
      <c r="O1364" s="4">
        <v>1286</v>
      </c>
      <c r="P1364" s="4">
        <v>0</v>
      </c>
      <c r="Q1364" s="4">
        <v>128</v>
      </c>
      <c r="R1364" s="4">
        <v>1.5</v>
      </c>
      <c r="S1364" s="4">
        <v>9</v>
      </c>
      <c r="T1364" s="4">
        <v>0</v>
      </c>
      <c r="U1364" s="4">
        <v>0</v>
      </c>
      <c r="V1364" s="4">
        <v>0</v>
      </c>
    </row>
    <row r="1365" spans="1:22" x14ac:dyDescent="0.15">
      <c r="A1365" s="4" t="s">
        <v>2662</v>
      </c>
      <c r="D1365" s="4">
        <f t="shared" si="15"/>
        <v>307</v>
      </c>
      <c r="E1365" s="4">
        <v>3</v>
      </c>
      <c r="H1365" s="29">
        <v>1001</v>
      </c>
      <c r="I1365" s="4">
        <v>458</v>
      </c>
      <c r="L1365" s="30">
        <v>800</v>
      </c>
      <c r="M1365" s="4">
        <v>84</v>
      </c>
      <c r="N1365" s="4">
        <v>16</v>
      </c>
      <c r="O1365" s="4">
        <v>1372</v>
      </c>
      <c r="P1365" s="4">
        <v>0</v>
      </c>
      <c r="Q1365" s="4">
        <v>136</v>
      </c>
      <c r="R1365" s="4">
        <v>1.5</v>
      </c>
      <c r="S1365" s="4">
        <v>10</v>
      </c>
      <c r="T1365" s="4">
        <v>0</v>
      </c>
      <c r="U1365" s="4">
        <v>0</v>
      </c>
      <c r="V1365" s="4">
        <v>0</v>
      </c>
    </row>
    <row r="1366" spans="1:22" x14ac:dyDescent="0.15">
      <c r="A1366" s="4" t="s">
        <v>2662</v>
      </c>
      <c r="D1366" s="4">
        <f t="shared" si="15"/>
        <v>307</v>
      </c>
      <c r="E1366" s="4">
        <v>4</v>
      </c>
      <c r="H1366" s="29">
        <v>1001</v>
      </c>
      <c r="I1366" s="4">
        <v>502</v>
      </c>
      <c r="L1366" s="30">
        <v>800</v>
      </c>
      <c r="M1366" s="4">
        <v>96</v>
      </c>
      <c r="N1366" s="4">
        <v>20</v>
      </c>
      <c r="O1366" s="4">
        <v>1458</v>
      </c>
      <c r="P1366" s="4">
        <v>0</v>
      </c>
      <c r="Q1366" s="4">
        <v>144</v>
      </c>
      <c r="R1366" s="4">
        <v>1.5</v>
      </c>
      <c r="S1366" s="4">
        <v>11</v>
      </c>
      <c r="T1366" s="4">
        <v>0</v>
      </c>
      <c r="U1366" s="4">
        <v>0</v>
      </c>
      <c r="V1366" s="4">
        <v>0</v>
      </c>
    </row>
    <row r="1367" spans="1:22" x14ac:dyDescent="0.15">
      <c r="A1367" s="4" t="s">
        <v>2662</v>
      </c>
      <c r="D1367" s="4">
        <f t="shared" si="15"/>
        <v>307</v>
      </c>
      <c r="E1367" s="4">
        <v>5</v>
      </c>
      <c r="H1367" s="29">
        <v>1001</v>
      </c>
      <c r="I1367" s="4">
        <v>546</v>
      </c>
      <c r="L1367" s="30">
        <v>800</v>
      </c>
      <c r="M1367" s="4">
        <v>108</v>
      </c>
      <c r="N1367" s="4">
        <v>24</v>
      </c>
      <c r="O1367" s="4">
        <v>1544</v>
      </c>
      <c r="P1367" s="4">
        <v>0</v>
      </c>
      <c r="Q1367" s="4">
        <v>152</v>
      </c>
      <c r="R1367" s="4">
        <v>1.5</v>
      </c>
      <c r="S1367" s="4">
        <v>12</v>
      </c>
      <c r="T1367" s="4">
        <v>0</v>
      </c>
      <c r="U1367" s="4">
        <v>0</v>
      </c>
      <c r="V1367" s="4">
        <v>0</v>
      </c>
    </row>
    <row r="1368" spans="1:22" x14ac:dyDescent="0.15">
      <c r="A1368" s="4" t="s">
        <v>2662</v>
      </c>
      <c r="D1368" s="4">
        <f t="shared" si="15"/>
        <v>307</v>
      </c>
      <c r="E1368" s="4">
        <v>6</v>
      </c>
      <c r="H1368" s="29">
        <v>1001</v>
      </c>
      <c r="I1368" s="4">
        <v>590</v>
      </c>
      <c r="L1368" s="30">
        <v>800</v>
      </c>
      <c r="M1368" s="4">
        <v>120</v>
      </c>
      <c r="N1368" s="4">
        <v>28</v>
      </c>
      <c r="O1368" s="4">
        <v>1630</v>
      </c>
      <c r="P1368" s="4">
        <v>0</v>
      </c>
      <c r="Q1368" s="4">
        <v>160</v>
      </c>
      <c r="R1368" s="4">
        <v>1.5</v>
      </c>
      <c r="S1368" s="4">
        <v>13</v>
      </c>
      <c r="T1368" s="4">
        <v>0</v>
      </c>
      <c r="U1368" s="4">
        <v>0</v>
      </c>
      <c r="V1368" s="4">
        <v>0</v>
      </c>
    </row>
    <row r="1369" spans="1:22" x14ac:dyDescent="0.15">
      <c r="A1369" s="4" t="s">
        <v>2662</v>
      </c>
      <c r="D1369" s="4">
        <f t="shared" si="15"/>
        <v>307</v>
      </c>
      <c r="E1369" s="4">
        <v>7</v>
      </c>
      <c r="H1369" s="29">
        <v>1001</v>
      </c>
      <c r="I1369" s="4">
        <v>634</v>
      </c>
      <c r="L1369" s="30">
        <v>800</v>
      </c>
      <c r="M1369" s="4">
        <v>132</v>
      </c>
      <c r="N1369" s="4">
        <v>32</v>
      </c>
      <c r="O1369" s="4">
        <v>1716</v>
      </c>
      <c r="P1369" s="4">
        <v>0</v>
      </c>
      <c r="Q1369" s="4">
        <v>168</v>
      </c>
      <c r="R1369" s="4">
        <v>1.5</v>
      </c>
      <c r="S1369" s="4">
        <v>14</v>
      </c>
      <c r="T1369" s="4">
        <v>0</v>
      </c>
      <c r="U1369" s="4">
        <v>0</v>
      </c>
      <c r="V1369" s="4">
        <v>0</v>
      </c>
    </row>
    <row r="1370" spans="1:22" x14ac:dyDescent="0.15">
      <c r="A1370" s="4" t="s">
        <v>2662</v>
      </c>
      <c r="D1370" s="4">
        <f t="shared" si="15"/>
        <v>307</v>
      </c>
      <c r="E1370" s="4">
        <v>8</v>
      </c>
      <c r="H1370" s="29">
        <v>1001</v>
      </c>
      <c r="I1370" s="4">
        <v>677</v>
      </c>
      <c r="L1370" s="30">
        <v>800</v>
      </c>
      <c r="M1370" s="4">
        <v>144</v>
      </c>
      <c r="N1370" s="4">
        <v>36</v>
      </c>
      <c r="O1370" s="4">
        <v>1802</v>
      </c>
      <c r="P1370" s="4">
        <v>0</v>
      </c>
      <c r="Q1370" s="4">
        <v>176</v>
      </c>
      <c r="R1370" s="4">
        <v>1.5</v>
      </c>
      <c r="S1370" s="4">
        <v>15</v>
      </c>
      <c r="T1370" s="4">
        <v>0</v>
      </c>
      <c r="U1370" s="4">
        <v>0</v>
      </c>
      <c r="V1370" s="4">
        <v>0</v>
      </c>
    </row>
    <row r="1371" spans="1:22" x14ac:dyDescent="0.15">
      <c r="A1371" s="4" t="s">
        <v>2662</v>
      </c>
      <c r="D1371" s="4">
        <f t="shared" si="15"/>
        <v>307</v>
      </c>
      <c r="E1371" s="4">
        <v>9</v>
      </c>
      <c r="H1371" s="29">
        <v>1001</v>
      </c>
      <c r="I1371" s="4">
        <v>721</v>
      </c>
      <c r="L1371" s="30">
        <v>800</v>
      </c>
      <c r="M1371" s="4">
        <v>156</v>
      </c>
      <c r="N1371" s="4">
        <v>40</v>
      </c>
      <c r="O1371" s="4">
        <v>1888</v>
      </c>
      <c r="P1371" s="4">
        <v>0</v>
      </c>
      <c r="Q1371" s="4">
        <v>184</v>
      </c>
      <c r="R1371" s="4">
        <v>1.5</v>
      </c>
      <c r="S1371" s="4">
        <v>16</v>
      </c>
      <c r="T1371" s="4">
        <v>0</v>
      </c>
      <c r="U1371" s="4">
        <v>0</v>
      </c>
      <c r="V1371" s="4">
        <v>0</v>
      </c>
    </row>
    <row r="1372" spans="1:22" x14ac:dyDescent="0.15">
      <c r="A1372" s="4" t="s">
        <v>2662</v>
      </c>
      <c r="D1372" s="4">
        <f t="shared" si="15"/>
        <v>307</v>
      </c>
      <c r="E1372" s="4">
        <v>10</v>
      </c>
      <c r="H1372" s="29">
        <v>1001</v>
      </c>
      <c r="I1372" s="4">
        <v>765</v>
      </c>
      <c r="L1372" s="30">
        <v>800</v>
      </c>
      <c r="M1372" s="4">
        <v>168</v>
      </c>
      <c r="N1372" s="4">
        <v>44</v>
      </c>
      <c r="O1372" s="4">
        <v>1974</v>
      </c>
      <c r="P1372" s="4">
        <v>0</v>
      </c>
      <c r="Q1372" s="4">
        <v>192</v>
      </c>
      <c r="R1372" s="4">
        <v>1.5</v>
      </c>
      <c r="S1372" s="4">
        <v>17</v>
      </c>
      <c r="T1372" s="4">
        <v>0</v>
      </c>
      <c r="U1372" s="4">
        <v>0</v>
      </c>
      <c r="V1372" s="4">
        <v>0</v>
      </c>
    </row>
    <row r="1373" spans="1:22" x14ac:dyDescent="0.15">
      <c r="A1373" s="4" t="s">
        <v>2662</v>
      </c>
      <c r="D1373" s="4">
        <f t="shared" si="15"/>
        <v>307</v>
      </c>
      <c r="E1373" s="4">
        <v>11</v>
      </c>
      <c r="H1373" s="29">
        <v>1001</v>
      </c>
      <c r="I1373" s="4">
        <v>809</v>
      </c>
      <c r="L1373" s="30">
        <v>800</v>
      </c>
      <c r="M1373" s="4">
        <v>180</v>
      </c>
      <c r="N1373" s="4">
        <v>48</v>
      </c>
      <c r="O1373" s="4">
        <v>2060</v>
      </c>
      <c r="P1373" s="4">
        <v>0</v>
      </c>
      <c r="Q1373" s="4">
        <v>200</v>
      </c>
      <c r="R1373" s="4">
        <v>1.5</v>
      </c>
      <c r="S1373" s="4">
        <v>18</v>
      </c>
      <c r="T1373" s="4">
        <v>0</v>
      </c>
      <c r="U1373" s="4">
        <v>0</v>
      </c>
      <c r="V1373" s="4">
        <v>0</v>
      </c>
    </row>
    <row r="1374" spans="1:22" x14ac:dyDescent="0.15">
      <c r="A1374" s="4" t="s">
        <v>2662</v>
      </c>
      <c r="D1374" s="4">
        <f t="shared" si="15"/>
        <v>307</v>
      </c>
      <c r="E1374" s="4">
        <v>12</v>
      </c>
      <c r="H1374" s="29">
        <v>1001</v>
      </c>
      <c r="I1374" s="4">
        <v>853</v>
      </c>
      <c r="L1374" s="30">
        <v>800</v>
      </c>
      <c r="M1374" s="4">
        <v>192</v>
      </c>
      <c r="N1374" s="4">
        <v>52</v>
      </c>
      <c r="O1374" s="4">
        <v>2146</v>
      </c>
      <c r="P1374" s="4">
        <v>0</v>
      </c>
      <c r="Q1374" s="4">
        <v>208</v>
      </c>
      <c r="R1374" s="4">
        <v>1.5</v>
      </c>
      <c r="S1374" s="4">
        <v>19</v>
      </c>
      <c r="T1374" s="4">
        <v>0</v>
      </c>
      <c r="U1374" s="4">
        <v>0</v>
      </c>
      <c r="V1374" s="4">
        <v>0</v>
      </c>
    </row>
    <row r="1375" spans="1:22" x14ac:dyDescent="0.15">
      <c r="A1375" s="4" t="s">
        <v>2662</v>
      </c>
      <c r="D1375" s="4">
        <f t="shared" si="15"/>
        <v>307</v>
      </c>
      <c r="E1375" s="4">
        <v>13</v>
      </c>
      <c r="H1375" s="29">
        <v>1001</v>
      </c>
      <c r="I1375" s="4">
        <v>897</v>
      </c>
      <c r="L1375" s="30">
        <v>800</v>
      </c>
      <c r="M1375" s="4">
        <v>204</v>
      </c>
      <c r="N1375" s="4">
        <v>56</v>
      </c>
      <c r="O1375" s="4">
        <v>2232</v>
      </c>
      <c r="P1375" s="4">
        <v>0</v>
      </c>
      <c r="Q1375" s="4">
        <v>216</v>
      </c>
      <c r="R1375" s="4">
        <v>1.5</v>
      </c>
      <c r="S1375" s="4">
        <v>20</v>
      </c>
      <c r="T1375" s="4">
        <v>0</v>
      </c>
      <c r="U1375" s="4">
        <v>0</v>
      </c>
      <c r="V1375" s="4">
        <v>0</v>
      </c>
    </row>
    <row r="1376" spans="1:22" x14ac:dyDescent="0.15">
      <c r="A1376" s="4" t="s">
        <v>2662</v>
      </c>
      <c r="D1376" s="4">
        <f t="shared" si="15"/>
        <v>307</v>
      </c>
      <c r="E1376" s="4">
        <v>14</v>
      </c>
      <c r="H1376" s="29">
        <v>1001</v>
      </c>
      <c r="I1376" s="4">
        <v>941</v>
      </c>
      <c r="L1376" s="30">
        <v>800</v>
      </c>
      <c r="M1376" s="4">
        <v>216</v>
      </c>
      <c r="N1376" s="4">
        <v>60</v>
      </c>
      <c r="O1376" s="4">
        <v>2318</v>
      </c>
      <c r="P1376" s="4">
        <v>0</v>
      </c>
      <c r="Q1376" s="4">
        <v>224</v>
      </c>
      <c r="R1376" s="4">
        <v>1.5</v>
      </c>
      <c r="S1376" s="4">
        <v>21</v>
      </c>
      <c r="T1376" s="4">
        <v>0</v>
      </c>
      <c r="U1376" s="4">
        <v>0</v>
      </c>
      <c r="V1376" s="4">
        <v>0</v>
      </c>
    </row>
    <row r="1377" spans="1:22" x14ac:dyDescent="0.15">
      <c r="A1377" s="4" t="s">
        <v>2662</v>
      </c>
      <c r="D1377" s="4">
        <f t="shared" si="15"/>
        <v>307</v>
      </c>
      <c r="E1377" s="4">
        <v>15</v>
      </c>
      <c r="H1377" s="29">
        <v>1001</v>
      </c>
      <c r="I1377" s="4">
        <v>984</v>
      </c>
      <c r="L1377" s="30">
        <v>800</v>
      </c>
      <c r="M1377" s="4">
        <v>228</v>
      </c>
      <c r="N1377" s="4">
        <v>64</v>
      </c>
      <c r="O1377" s="4">
        <v>2404</v>
      </c>
      <c r="P1377" s="4">
        <v>0</v>
      </c>
      <c r="Q1377" s="4">
        <v>232</v>
      </c>
      <c r="R1377" s="4">
        <v>1.5</v>
      </c>
      <c r="S1377" s="4">
        <v>22</v>
      </c>
      <c r="T1377" s="4">
        <v>0</v>
      </c>
      <c r="U1377" s="4">
        <v>0</v>
      </c>
      <c r="V1377" s="4">
        <v>0</v>
      </c>
    </row>
    <row r="1378" spans="1:22" x14ac:dyDescent="0.15">
      <c r="A1378" s="4" t="s">
        <v>2662</v>
      </c>
      <c r="D1378" s="4">
        <f t="shared" si="15"/>
        <v>307</v>
      </c>
      <c r="E1378" s="4">
        <v>16</v>
      </c>
      <c r="H1378" s="29">
        <v>1001</v>
      </c>
      <c r="I1378" s="4">
        <v>1028</v>
      </c>
      <c r="L1378" s="30">
        <v>800</v>
      </c>
      <c r="M1378" s="4">
        <v>240</v>
      </c>
      <c r="N1378" s="4">
        <v>68</v>
      </c>
      <c r="O1378" s="4">
        <v>2490</v>
      </c>
      <c r="P1378" s="4">
        <v>0</v>
      </c>
      <c r="Q1378" s="4">
        <v>240</v>
      </c>
      <c r="R1378" s="4">
        <v>1.5</v>
      </c>
      <c r="S1378" s="4">
        <v>23</v>
      </c>
      <c r="T1378" s="4">
        <v>0</v>
      </c>
      <c r="U1378" s="4">
        <v>0</v>
      </c>
      <c r="V1378" s="4">
        <v>0</v>
      </c>
    </row>
    <row r="1379" spans="1:22" x14ac:dyDescent="0.15">
      <c r="A1379" s="4" t="s">
        <v>2662</v>
      </c>
      <c r="D1379" s="4">
        <f t="shared" si="15"/>
        <v>307</v>
      </c>
      <c r="E1379" s="4">
        <v>17</v>
      </c>
      <c r="H1379" s="29">
        <v>1001</v>
      </c>
      <c r="I1379" s="4">
        <v>1072</v>
      </c>
      <c r="L1379" s="30">
        <v>800</v>
      </c>
      <c r="M1379" s="4">
        <v>252</v>
      </c>
      <c r="N1379" s="4">
        <v>72</v>
      </c>
      <c r="O1379" s="4">
        <v>2576</v>
      </c>
      <c r="P1379" s="4">
        <v>0</v>
      </c>
      <c r="Q1379" s="4">
        <v>248</v>
      </c>
      <c r="R1379" s="4">
        <v>1.5</v>
      </c>
      <c r="S1379" s="4">
        <v>24</v>
      </c>
      <c r="T1379" s="4">
        <v>0</v>
      </c>
      <c r="U1379" s="4">
        <v>0</v>
      </c>
      <c r="V1379" s="4">
        <v>0</v>
      </c>
    </row>
    <row r="1380" spans="1:22" x14ac:dyDescent="0.15">
      <c r="A1380" s="4" t="s">
        <v>2662</v>
      </c>
      <c r="D1380" s="4">
        <f t="shared" si="15"/>
        <v>307</v>
      </c>
      <c r="E1380" s="4">
        <v>18</v>
      </c>
      <c r="H1380" s="29">
        <v>1001</v>
      </c>
      <c r="I1380" s="4">
        <v>1116</v>
      </c>
      <c r="L1380" s="30">
        <v>800</v>
      </c>
      <c r="M1380" s="4">
        <v>264</v>
      </c>
      <c r="N1380" s="4">
        <v>76</v>
      </c>
      <c r="O1380" s="4">
        <v>2662</v>
      </c>
      <c r="P1380" s="4">
        <v>0</v>
      </c>
      <c r="Q1380" s="4">
        <v>256</v>
      </c>
      <c r="R1380" s="4">
        <v>1.5</v>
      </c>
      <c r="S1380" s="4">
        <v>25</v>
      </c>
      <c r="T1380" s="4">
        <v>0</v>
      </c>
      <c r="U1380" s="4">
        <v>0</v>
      </c>
      <c r="V1380" s="4">
        <v>0</v>
      </c>
    </row>
    <row r="1381" spans="1:22" x14ac:dyDescent="0.15">
      <c r="A1381" s="4" t="s">
        <v>2662</v>
      </c>
      <c r="D1381" s="4">
        <f t="shared" si="15"/>
        <v>307</v>
      </c>
      <c r="E1381" s="4">
        <v>19</v>
      </c>
      <c r="H1381" s="29">
        <v>1001</v>
      </c>
      <c r="I1381" s="4">
        <v>1160</v>
      </c>
      <c r="L1381" s="30">
        <v>800</v>
      </c>
      <c r="M1381" s="4">
        <v>276</v>
      </c>
      <c r="N1381" s="4">
        <v>80</v>
      </c>
      <c r="O1381" s="4">
        <v>2748</v>
      </c>
      <c r="P1381" s="4">
        <v>0</v>
      </c>
      <c r="Q1381" s="4">
        <v>264</v>
      </c>
      <c r="R1381" s="4">
        <v>1.5</v>
      </c>
      <c r="S1381" s="4">
        <v>26</v>
      </c>
      <c r="T1381" s="4">
        <v>0</v>
      </c>
      <c r="U1381" s="4">
        <v>0</v>
      </c>
      <c r="V1381" s="4">
        <v>0</v>
      </c>
    </row>
    <row r="1382" spans="1:22" x14ac:dyDescent="0.15">
      <c r="A1382" s="4" t="s">
        <v>2662</v>
      </c>
      <c r="D1382" s="4">
        <f t="shared" si="15"/>
        <v>307</v>
      </c>
      <c r="E1382" s="4">
        <v>20</v>
      </c>
      <c r="H1382" s="29">
        <v>1001</v>
      </c>
      <c r="I1382" s="4">
        <v>1204</v>
      </c>
      <c r="L1382" s="30">
        <v>800</v>
      </c>
      <c r="M1382" s="4">
        <v>288</v>
      </c>
      <c r="N1382" s="4">
        <v>84</v>
      </c>
      <c r="O1382" s="4">
        <v>2834</v>
      </c>
      <c r="P1382" s="4">
        <v>0</v>
      </c>
      <c r="Q1382" s="4">
        <v>272</v>
      </c>
      <c r="R1382" s="4">
        <v>1.5</v>
      </c>
      <c r="S1382" s="4">
        <v>27</v>
      </c>
      <c r="T1382" s="4">
        <v>0</v>
      </c>
      <c r="U1382" s="4">
        <v>0</v>
      </c>
      <c r="V1382" s="4">
        <v>0</v>
      </c>
    </row>
    <row r="1383" spans="1:22" x14ac:dyDescent="0.15">
      <c r="A1383" s="4" t="s">
        <v>2662</v>
      </c>
      <c r="D1383" s="4">
        <f t="shared" si="15"/>
        <v>307</v>
      </c>
      <c r="E1383" s="4">
        <v>21</v>
      </c>
      <c r="H1383" s="29">
        <v>1001</v>
      </c>
      <c r="I1383" s="4">
        <v>1248</v>
      </c>
      <c r="L1383" s="30">
        <v>800</v>
      </c>
      <c r="M1383" s="4">
        <v>300</v>
      </c>
      <c r="N1383" s="4">
        <v>88</v>
      </c>
      <c r="O1383" s="4">
        <v>2920</v>
      </c>
      <c r="P1383" s="4">
        <v>0</v>
      </c>
      <c r="Q1383" s="4">
        <v>280</v>
      </c>
      <c r="R1383" s="4">
        <v>1.5</v>
      </c>
      <c r="S1383" s="4">
        <v>28</v>
      </c>
      <c r="T1383" s="4">
        <v>0</v>
      </c>
      <c r="U1383" s="4">
        <v>0</v>
      </c>
      <c r="V1383" s="4">
        <v>0</v>
      </c>
    </row>
    <row r="1384" spans="1:22" x14ac:dyDescent="0.15">
      <c r="A1384" s="4" t="s">
        <v>2662</v>
      </c>
      <c r="D1384" s="4">
        <f t="shared" si="15"/>
        <v>307</v>
      </c>
      <c r="E1384" s="4">
        <v>22</v>
      </c>
      <c r="H1384" s="29">
        <v>1001</v>
      </c>
      <c r="I1384" s="4">
        <v>1291</v>
      </c>
      <c r="L1384" s="30">
        <v>800</v>
      </c>
      <c r="M1384" s="4">
        <v>312</v>
      </c>
      <c r="N1384" s="4">
        <v>92</v>
      </c>
      <c r="O1384" s="4">
        <v>3006</v>
      </c>
      <c r="P1384" s="4">
        <v>0</v>
      </c>
      <c r="Q1384" s="4">
        <v>288</v>
      </c>
      <c r="R1384" s="4">
        <v>1.5</v>
      </c>
      <c r="S1384" s="4">
        <v>29</v>
      </c>
      <c r="T1384" s="4">
        <v>0</v>
      </c>
      <c r="U1384" s="4">
        <v>0</v>
      </c>
      <c r="V1384" s="4">
        <v>0</v>
      </c>
    </row>
    <row r="1385" spans="1:22" x14ac:dyDescent="0.15">
      <c r="A1385" s="4" t="s">
        <v>2662</v>
      </c>
      <c r="D1385" s="4">
        <f t="shared" si="15"/>
        <v>307</v>
      </c>
      <c r="E1385" s="4">
        <v>23</v>
      </c>
      <c r="H1385" s="29">
        <v>1001</v>
      </c>
      <c r="I1385" s="4">
        <v>1335</v>
      </c>
      <c r="L1385" s="30">
        <v>800</v>
      </c>
      <c r="M1385" s="4">
        <v>324</v>
      </c>
      <c r="N1385" s="4">
        <v>96</v>
      </c>
      <c r="O1385" s="4">
        <v>3092</v>
      </c>
      <c r="P1385" s="4">
        <v>0</v>
      </c>
      <c r="Q1385" s="4">
        <v>296</v>
      </c>
      <c r="R1385" s="4">
        <v>1.5</v>
      </c>
      <c r="S1385" s="4">
        <v>30</v>
      </c>
      <c r="T1385" s="4">
        <v>0</v>
      </c>
      <c r="U1385" s="4">
        <v>0</v>
      </c>
      <c r="V1385" s="4">
        <v>0</v>
      </c>
    </row>
    <row r="1386" spans="1:22" x14ac:dyDescent="0.15">
      <c r="A1386" s="4" t="s">
        <v>2662</v>
      </c>
      <c r="D1386" s="4">
        <f t="shared" ref="D1386:D1449" si="17">D1334+1</f>
        <v>307</v>
      </c>
      <c r="E1386" s="4">
        <v>24</v>
      </c>
      <c r="H1386" s="29">
        <v>1001</v>
      </c>
      <c r="I1386" s="4">
        <v>1379</v>
      </c>
      <c r="L1386" s="30">
        <v>800</v>
      </c>
      <c r="M1386" s="4">
        <v>336</v>
      </c>
      <c r="N1386" s="4">
        <v>100</v>
      </c>
      <c r="O1386" s="4">
        <v>3178</v>
      </c>
      <c r="P1386" s="4">
        <v>0</v>
      </c>
      <c r="Q1386" s="4">
        <v>304</v>
      </c>
      <c r="R1386" s="4">
        <v>1.5</v>
      </c>
      <c r="S1386" s="4">
        <v>31</v>
      </c>
      <c r="T1386" s="4">
        <v>0</v>
      </c>
      <c r="U1386" s="4">
        <v>0</v>
      </c>
      <c r="V1386" s="4">
        <v>0</v>
      </c>
    </row>
    <row r="1387" spans="1:22" x14ac:dyDescent="0.15">
      <c r="A1387" s="4" t="s">
        <v>2662</v>
      </c>
      <c r="D1387" s="4">
        <f t="shared" si="17"/>
        <v>307</v>
      </c>
      <c r="E1387" s="4">
        <v>25</v>
      </c>
      <c r="H1387" s="29">
        <v>1001</v>
      </c>
      <c r="I1387" s="4">
        <v>1423</v>
      </c>
      <c r="L1387" s="30">
        <v>800</v>
      </c>
      <c r="M1387" s="4">
        <v>348</v>
      </c>
      <c r="N1387" s="4">
        <v>104</v>
      </c>
      <c r="O1387" s="4">
        <v>3264</v>
      </c>
      <c r="P1387" s="4">
        <v>0</v>
      </c>
      <c r="Q1387" s="4">
        <v>312</v>
      </c>
      <c r="R1387" s="4">
        <v>1.5</v>
      </c>
      <c r="S1387" s="4">
        <v>32</v>
      </c>
      <c r="T1387" s="4">
        <v>0</v>
      </c>
      <c r="U1387" s="4">
        <v>0</v>
      </c>
      <c r="V1387" s="4">
        <v>0</v>
      </c>
    </row>
    <row r="1388" spans="1:22" x14ac:dyDescent="0.15">
      <c r="A1388" s="4" t="s">
        <v>2662</v>
      </c>
      <c r="D1388" s="4">
        <f t="shared" si="17"/>
        <v>307</v>
      </c>
      <c r="E1388" s="4">
        <v>26</v>
      </c>
      <c r="H1388" s="29">
        <v>1001</v>
      </c>
      <c r="I1388" s="4">
        <v>1467</v>
      </c>
      <c r="L1388" s="30">
        <v>800</v>
      </c>
      <c r="M1388" s="4">
        <v>360</v>
      </c>
      <c r="N1388" s="4">
        <v>108</v>
      </c>
      <c r="O1388" s="4">
        <v>3350</v>
      </c>
      <c r="P1388" s="4">
        <v>0</v>
      </c>
      <c r="Q1388" s="4">
        <v>320</v>
      </c>
      <c r="R1388" s="4">
        <v>1.5</v>
      </c>
      <c r="S1388" s="4">
        <v>33</v>
      </c>
      <c r="T1388" s="4">
        <v>0</v>
      </c>
      <c r="U1388" s="4">
        <v>0</v>
      </c>
      <c r="V1388" s="4">
        <v>0</v>
      </c>
    </row>
    <row r="1389" spans="1:22" x14ac:dyDescent="0.15">
      <c r="A1389" s="4" t="s">
        <v>2662</v>
      </c>
      <c r="D1389" s="4">
        <f t="shared" si="17"/>
        <v>307</v>
      </c>
      <c r="E1389" s="4">
        <v>27</v>
      </c>
      <c r="H1389" s="29">
        <v>1001</v>
      </c>
      <c r="I1389" s="4">
        <v>1511</v>
      </c>
      <c r="L1389" s="30">
        <v>800</v>
      </c>
      <c r="M1389" s="4">
        <v>372</v>
      </c>
      <c r="N1389" s="4">
        <v>112</v>
      </c>
      <c r="O1389" s="4">
        <v>3436</v>
      </c>
      <c r="P1389" s="4">
        <v>0</v>
      </c>
      <c r="Q1389" s="4">
        <v>328</v>
      </c>
      <c r="R1389" s="4">
        <v>1.5</v>
      </c>
      <c r="S1389" s="4">
        <v>34</v>
      </c>
      <c r="T1389" s="4">
        <v>0</v>
      </c>
      <c r="U1389" s="4">
        <v>0</v>
      </c>
      <c r="V1389" s="4">
        <v>0</v>
      </c>
    </row>
    <row r="1390" spans="1:22" x14ac:dyDescent="0.15">
      <c r="A1390" s="4" t="s">
        <v>2662</v>
      </c>
      <c r="D1390" s="4">
        <f t="shared" si="17"/>
        <v>307</v>
      </c>
      <c r="E1390" s="4">
        <v>28</v>
      </c>
      <c r="H1390" s="29">
        <v>1001</v>
      </c>
      <c r="I1390" s="4">
        <v>1555</v>
      </c>
      <c r="L1390" s="30">
        <v>800</v>
      </c>
      <c r="M1390" s="4">
        <v>384</v>
      </c>
      <c r="N1390" s="4">
        <v>116</v>
      </c>
      <c r="O1390" s="4">
        <v>3522</v>
      </c>
      <c r="P1390" s="4">
        <v>0</v>
      </c>
      <c r="Q1390" s="4">
        <v>336</v>
      </c>
      <c r="R1390" s="4">
        <v>1.5</v>
      </c>
      <c r="S1390" s="4">
        <v>35</v>
      </c>
      <c r="T1390" s="4">
        <v>0</v>
      </c>
      <c r="U1390" s="4">
        <v>0</v>
      </c>
      <c r="V1390" s="4">
        <v>0</v>
      </c>
    </row>
    <row r="1391" spans="1:22" x14ac:dyDescent="0.15">
      <c r="A1391" s="4" t="s">
        <v>2662</v>
      </c>
      <c r="D1391" s="4">
        <f t="shared" si="17"/>
        <v>307</v>
      </c>
      <c r="E1391" s="4">
        <v>29</v>
      </c>
      <c r="H1391" s="29">
        <v>1001</v>
      </c>
      <c r="I1391" s="4">
        <v>1598</v>
      </c>
      <c r="L1391" s="30">
        <v>800</v>
      </c>
      <c r="M1391" s="4">
        <v>396</v>
      </c>
      <c r="N1391" s="4">
        <v>120</v>
      </c>
      <c r="O1391" s="4">
        <v>3608</v>
      </c>
      <c r="P1391" s="4">
        <v>0</v>
      </c>
      <c r="Q1391" s="4">
        <v>344</v>
      </c>
      <c r="R1391" s="4">
        <v>1.5</v>
      </c>
      <c r="S1391" s="4">
        <v>36</v>
      </c>
      <c r="T1391" s="4">
        <v>0</v>
      </c>
      <c r="U1391" s="4">
        <v>0</v>
      </c>
      <c r="V1391" s="4">
        <v>0</v>
      </c>
    </row>
    <row r="1392" spans="1:22" x14ac:dyDescent="0.15">
      <c r="A1392" s="4" t="s">
        <v>2662</v>
      </c>
      <c r="D1392" s="4">
        <f t="shared" si="17"/>
        <v>307</v>
      </c>
      <c r="E1392" s="4">
        <v>30</v>
      </c>
      <c r="H1392" s="29">
        <v>1001</v>
      </c>
      <c r="I1392" s="4">
        <v>1642</v>
      </c>
      <c r="L1392" s="30">
        <v>800</v>
      </c>
      <c r="M1392" s="4">
        <v>408</v>
      </c>
      <c r="N1392" s="4">
        <v>124</v>
      </c>
      <c r="O1392" s="4">
        <v>3694</v>
      </c>
      <c r="P1392" s="4">
        <v>0</v>
      </c>
      <c r="Q1392" s="4">
        <v>352</v>
      </c>
      <c r="R1392" s="4">
        <v>1.5</v>
      </c>
      <c r="S1392" s="4">
        <v>37</v>
      </c>
      <c r="T1392" s="4">
        <v>0</v>
      </c>
      <c r="U1392" s="4">
        <v>0</v>
      </c>
      <c r="V1392" s="4">
        <v>0</v>
      </c>
    </row>
    <row r="1393" spans="1:22" x14ac:dyDescent="0.15">
      <c r="A1393" s="4" t="s">
        <v>2662</v>
      </c>
      <c r="D1393" s="4">
        <f t="shared" si="17"/>
        <v>307</v>
      </c>
      <c r="E1393" s="4">
        <v>31</v>
      </c>
      <c r="H1393" s="29">
        <v>1001</v>
      </c>
      <c r="I1393" s="4">
        <v>1686</v>
      </c>
      <c r="L1393" s="30">
        <v>800</v>
      </c>
      <c r="M1393" s="4">
        <v>420</v>
      </c>
      <c r="N1393" s="4">
        <v>128</v>
      </c>
      <c r="O1393" s="4">
        <v>3780</v>
      </c>
      <c r="P1393" s="4">
        <v>0</v>
      </c>
      <c r="Q1393" s="4">
        <v>360</v>
      </c>
      <c r="R1393" s="4">
        <v>1.5</v>
      </c>
      <c r="S1393" s="4">
        <v>38</v>
      </c>
      <c r="T1393" s="4">
        <v>0</v>
      </c>
      <c r="U1393" s="4">
        <v>0</v>
      </c>
      <c r="V1393" s="4">
        <v>0</v>
      </c>
    </row>
    <row r="1394" spans="1:22" x14ac:dyDescent="0.15">
      <c r="A1394" s="4" t="s">
        <v>2662</v>
      </c>
      <c r="D1394" s="4">
        <f t="shared" si="17"/>
        <v>307</v>
      </c>
      <c r="E1394" s="4">
        <v>32</v>
      </c>
      <c r="H1394" s="29">
        <v>1001</v>
      </c>
      <c r="I1394" s="4">
        <v>1730</v>
      </c>
      <c r="L1394" s="30">
        <v>800</v>
      </c>
      <c r="M1394" s="4">
        <v>432</v>
      </c>
      <c r="N1394" s="4">
        <v>132</v>
      </c>
      <c r="O1394" s="4">
        <v>3866</v>
      </c>
      <c r="P1394" s="4">
        <v>0</v>
      </c>
      <c r="Q1394" s="4">
        <v>368</v>
      </c>
      <c r="R1394" s="4">
        <v>1.5</v>
      </c>
      <c r="S1394" s="4">
        <v>39</v>
      </c>
      <c r="T1394" s="4">
        <v>0</v>
      </c>
      <c r="U1394" s="4">
        <v>0</v>
      </c>
      <c r="V1394" s="4">
        <v>0</v>
      </c>
    </row>
    <row r="1395" spans="1:22" x14ac:dyDescent="0.15">
      <c r="A1395" s="4" t="s">
        <v>2662</v>
      </c>
      <c r="D1395" s="4">
        <f t="shared" si="17"/>
        <v>307</v>
      </c>
      <c r="E1395" s="4">
        <v>33</v>
      </c>
      <c r="H1395" s="29">
        <v>1001</v>
      </c>
      <c r="I1395" s="4">
        <v>1774</v>
      </c>
      <c r="L1395" s="30">
        <v>800</v>
      </c>
      <c r="M1395" s="4">
        <v>444</v>
      </c>
      <c r="N1395" s="4">
        <v>136</v>
      </c>
      <c r="O1395" s="4">
        <v>3952</v>
      </c>
      <c r="P1395" s="4">
        <v>0</v>
      </c>
      <c r="Q1395" s="4">
        <v>376</v>
      </c>
      <c r="R1395" s="4">
        <v>1.5</v>
      </c>
      <c r="S1395" s="4">
        <v>40</v>
      </c>
      <c r="T1395" s="4">
        <v>0</v>
      </c>
      <c r="U1395" s="4">
        <v>0</v>
      </c>
      <c r="V1395" s="4">
        <v>0</v>
      </c>
    </row>
    <row r="1396" spans="1:22" x14ac:dyDescent="0.15">
      <c r="A1396" s="4" t="s">
        <v>2662</v>
      </c>
      <c r="D1396" s="4">
        <f t="shared" si="17"/>
        <v>307</v>
      </c>
      <c r="E1396" s="4">
        <v>34</v>
      </c>
      <c r="H1396" s="29">
        <v>1001</v>
      </c>
      <c r="I1396" s="4">
        <v>1818</v>
      </c>
      <c r="L1396" s="30">
        <v>800</v>
      </c>
      <c r="M1396" s="4">
        <v>456</v>
      </c>
      <c r="N1396" s="4">
        <v>140</v>
      </c>
      <c r="O1396" s="4">
        <v>4038</v>
      </c>
      <c r="P1396" s="4">
        <v>0</v>
      </c>
      <c r="Q1396" s="4">
        <v>384</v>
      </c>
      <c r="R1396" s="4">
        <v>1.5</v>
      </c>
      <c r="S1396" s="4">
        <v>41</v>
      </c>
      <c r="T1396" s="4">
        <v>0</v>
      </c>
      <c r="U1396" s="4">
        <v>0</v>
      </c>
      <c r="V1396" s="4">
        <v>0</v>
      </c>
    </row>
    <row r="1397" spans="1:22" x14ac:dyDescent="0.15">
      <c r="A1397" s="4" t="s">
        <v>2662</v>
      </c>
      <c r="D1397" s="4">
        <f t="shared" si="17"/>
        <v>307</v>
      </c>
      <c r="E1397" s="4">
        <v>35</v>
      </c>
      <c r="H1397" s="29">
        <v>1001</v>
      </c>
      <c r="I1397" s="4">
        <v>1862</v>
      </c>
      <c r="L1397" s="30">
        <v>800</v>
      </c>
      <c r="M1397" s="4">
        <v>468</v>
      </c>
      <c r="N1397" s="4">
        <v>144</v>
      </c>
      <c r="O1397" s="4">
        <v>4124</v>
      </c>
      <c r="P1397" s="4">
        <v>0</v>
      </c>
      <c r="Q1397" s="4">
        <v>392</v>
      </c>
      <c r="R1397" s="4">
        <v>1.5</v>
      </c>
      <c r="S1397" s="4">
        <v>42</v>
      </c>
      <c r="T1397" s="4">
        <v>0</v>
      </c>
      <c r="U1397" s="4">
        <v>0</v>
      </c>
      <c r="V1397" s="4">
        <v>0</v>
      </c>
    </row>
    <row r="1398" spans="1:22" x14ac:dyDescent="0.15">
      <c r="A1398" s="4" t="s">
        <v>2662</v>
      </c>
      <c r="D1398" s="4">
        <f t="shared" si="17"/>
        <v>307</v>
      </c>
      <c r="E1398" s="4">
        <v>36</v>
      </c>
      <c r="H1398" s="29">
        <v>1001</v>
      </c>
      <c r="I1398" s="4">
        <v>1906</v>
      </c>
      <c r="L1398" s="30">
        <v>800</v>
      </c>
      <c r="M1398" s="4">
        <v>480</v>
      </c>
      <c r="N1398" s="4">
        <v>148</v>
      </c>
      <c r="O1398" s="4">
        <v>4210</v>
      </c>
      <c r="P1398" s="4">
        <v>0</v>
      </c>
      <c r="Q1398" s="4">
        <v>400</v>
      </c>
      <c r="R1398" s="4">
        <v>1.5</v>
      </c>
      <c r="S1398" s="4">
        <v>43</v>
      </c>
      <c r="T1398" s="4">
        <v>0</v>
      </c>
      <c r="U1398" s="4">
        <v>0</v>
      </c>
      <c r="V1398" s="4">
        <v>0</v>
      </c>
    </row>
    <row r="1399" spans="1:22" x14ac:dyDescent="0.15">
      <c r="A1399" s="4" t="s">
        <v>2662</v>
      </c>
      <c r="D1399" s="4">
        <f t="shared" si="17"/>
        <v>307</v>
      </c>
      <c r="E1399" s="4">
        <v>37</v>
      </c>
      <c r="H1399" s="29">
        <v>1001</v>
      </c>
      <c r="I1399" s="4">
        <v>1949</v>
      </c>
      <c r="L1399" s="30">
        <v>800</v>
      </c>
      <c r="M1399" s="4">
        <v>492</v>
      </c>
      <c r="N1399" s="4">
        <v>152</v>
      </c>
      <c r="O1399" s="4">
        <v>4296</v>
      </c>
      <c r="P1399" s="4">
        <v>0</v>
      </c>
      <c r="Q1399" s="4">
        <v>408</v>
      </c>
      <c r="R1399" s="4">
        <v>1.5</v>
      </c>
      <c r="S1399" s="4">
        <v>44</v>
      </c>
      <c r="T1399" s="4">
        <v>0</v>
      </c>
      <c r="U1399" s="4">
        <v>0</v>
      </c>
      <c r="V1399" s="4">
        <v>0</v>
      </c>
    </row>
    <row r="1400" spans="1:22" x14ac:dyDescent="0.15">
      <c r="A1400" s="4" t="s">
        <v>2662</v>
      </c>
      <c r="D1400" s="4">
        <f t="shared" si="17"/>
        <v>307</v>
      </c>
      <c r="E1400" s="4">
        <v>38</v>
      </c>
      <c r="H1400" s="29">
        <v>1001</v>
      </c>
      <c r="I1400" s="4">
        <v>1993</v>
      </c>
      <c r="L1400" s="30">
        <v>800</v>
      </c>
      <c r="M1400" s="4">
        <v>504</v>
      </c>
      <c r="N1400" s="4">
        <v>156</v>
      </c>
      <c r="O1400" s="4">
        <v>4382</v>
      </c>
      <c r="P1400" s="4">
        <v>0</v>
      </c>
      <c r="Q1400" s="4">
        <v>416</v>
      </c>
      <c r="R1400" s="4">
        <v>1.5</v>
      </c>
      <c r="S1400" s="4">
        <v>45</v>
      </c>
      <c r="T1400" s="4">
        <v>0</v>
      </c>
      <c r="U1400" s="4">
        <v>0</v>
      </c>
      <c r="V1400" s="4">
        <v>0</v>
      </c>
    </row>
    <row r="1401" spans="1:22" x14ac:dyDescent="0.15">
      <c r="A1401" s="4" t="s">
        <v>2662</v>
      </c>
      <c r="D1401" s="4">
        <f t="shared" si="17"/>
        <v>307</v>
      </c>
      <c r="E1401" s="4">
        <v>39</v>
      </c>
      <c r="H1401" s="29">
        <v>1001</v>
      </c>
      <c r="I1401" s="4">
        <v>2037</v>
      </c>
      <c r="L1401" s="30">
        <v>800</v>
      </c>
      <c r="M1401" s="4">
        <v>516</v>
      </c>
      <c r="N1401" s="4">
        <v>160</v>
      </c>
      <c r="O1401" s="4">
        <v>4468</v>
      </c>
      <c r="P1401" s="4">
        <v>0</v>
      </c>
      <c r="Q1401" s="4">
        <v>424</v>
      </c>
      <c r="R1401" s="4">
        <v>1.5</v>
      </c>
      <c r="S1401" s="4">
        <v>46</v>
      </c>
      <c r="T1401" s="4">
        <v>0</v>
      </c>
      <c r="U1401" s="4">
        <v>0</v>
      </c>
      <c r="V1401" s="4">
        <v>0</v>
      </c>
    </row>
    <row r="1402" spans="1:22" x14ac:dyDescent="0.15">
      <c r="A1402" s="4" t="s">
        <v>2662</v>
      </c>
      <c r="D1402" s="4">
        <f t="shared" si="17"/>
        <v>307</v>
      </c>
      <c r="E1402" s="4">
        <v>40</v>
      </c>
      <c r="H1402" s="29">
        <v>1001</v>
      </c>
      <c r="I1402" s="4">
        <v>2081</v>
      </c>
      <c r="L1402" s="30">
        <v>800</v>
      </c>
      <c r="M1402" s="4">
        <v>528</v>
      </c>
      <c r="N1402" s="4">
        <v>164</v>
      </c>
      <c r="O1402" s="4">
        <v>4554</v>
      </c>
      <c r="P1402" s="4">
        <v>0</v>
      </c>
      <c r="Q1402" s="4">
        <v>432</v>
      </c>
      <c r="R1402" s="4">
        <v>1.5</v>
      </c>
      <c r="S1402" s="4">
        <v>47</v>
      </c>
      <c r="T1402" s="4">
        <v>0</v>
      </c>
      <c r="U1402" s="4">
        <v>0</v>
      </c>
      <c r="V1402" s="4">
        <v>0</v>
      </c>
    </row>
    <row r="1403" spans="1:22" x14ac:dyDescent="0.15">
      <c r="A1403" s="4" t="s">
        <v>2662</v>
      </c>
      <c r="D1403" s="4">
        <f t="shared" si="17"/>
        <v>307</v>
      </c>
      <c r="E1403" s="4">
        <v>41</v>
      </c>
      <c r="H1403" s="29">
        <v>1001</v>
      </c>
      <c r="I1403" s="4">
        <v>2125</v>
      </c>
      <c r="L1403" s="30">
        <v>800</v>
      </c>
      <c r="M1403" s="4">
        <v>540</v>
      </c>
      <c r="N1403" s="4">
        <v>168</v>
      </c>
      <c r="O1403" s="4">
        <v>4640</v>
      </c>
      <c r="P1403" s="4">
        <v>0</v>
      </c>
      <c r="Q1403" s="4">
        <v>440</v>
      </c>
      <c r="R1403" s="4">
        <v>1.5</v>
      </c>
      <c r="S1403" s="4">
        <v>48</v>
      </c>
      <c r="T1403" s="4">
        <v>0</v>
      </c>
      <c r="U1403" s="4">
        <v>0</v>
      </c>
      <c r="V1403" s="4">
        <v>0</v>
      </c>
    </row>
    <row r="1404" spans="1:22" x14ac:dyDescent="0.15">
      <c r="A1404" s="4" t="s">
        <v>2662</v>
      </c>
      <c r="D1404" s="4">
        <f t="shared" si="17"/>
        <v>307</v>
      </c>
      <c r="E1404" s="4">
        <v>42</v>
      </c>
      <c r="H1404" s="29">
        <v>1001</v>
      </c>
      <c r="I1404" s="4">
        <v>2169</v>
      </c>
      <c r="L1404" s="30">
        <v>800</v>
      </c>
      <c r="M1404" s="4">
        <v>552</v>
      </c>
      <c r="N1404" s="4">
        <v>172</v>
      </c>
      <c r="O1404" s="4">
        <v>4726</v>
      </c>
      <c r="P1404" s="4">
        <v>0</v>
      </c>
      <c r="Q1404" s="4">
        <v>448</v>
      </c>
      <c r="R1404" s="4">
        <v>1.5</v>
      </c>
      <c r="S1404" s="4">
        <v>49</v>
      </c>
      <c r="T1404" s="4">
        <v>0</v>
      </c>
      <c r="U1404" s="4">
        <v>0</v>
      </c>
      <c r="V1404" s="4">
        <v>0</v>
      </c>
    </row>
    <row r="1405" spans="1:22" x14ac:dyDescent="0.15">
      <c r="A1405" s="4" t="s">
        <v>2662</v>
      </c>
      <c r="D1405" s="4">
        <f t="shared" si="17"/>
        <v>307</v>
      </c>
      <c r="E1405" s="4">
        <v>43</v>
      </c>
      <c r="H1405" s="29">
        <v>1001</v>
      </c>
      <c r="I1405" s="4">
        <v>2213</v>
      </c>
      <c r="L1405" s="30">
        <v>800</v>
      </c>
      <c r="M1405" s="4">
        <v>564</v>
      </c>
      <c r="N1405" s="4">
        <v>176</v>
      </c>
      <c r="O1405" s="4">
        <v>4812</v>
      </c>
      <c r="P1405" s="4">
        <v>0</v>
      </c>
      <c r="Q1405" s="4">
        <v>456</v>
      </c>
      <c r="R1405" s="4">
        <v>1.5</v>
      </c>
      <c r="S1405" s="4">
        <v>50</v>
      </c>
      <c r="T1405" s="4">
        <v>0</v>
      </c>
      <c r="U1405" s="4">
        <v>0</v>
      </c>
      <c r="V1405" s="4">
        <v>0</v>
      </c>
    </row>
    <row r="1406" spans="1:22" x14ac:dyDescent="0.15">
      <c r="A1406" s="4" t="s">
        <v>2662</v>
      </c>
      <c r="D1406" s="4">
        <f t="shared" si="17"/>
        <v>307</v>
      </c>
      <c r="E1406" s="4">
        <v>44</v>
      </c>
      <c r="H1406" s="29">
        <v>1001</v>
      </c>
      <c r="I1406" s="4">
        <v>2256</v>
      </c>
      <c r="L1406" s="30">
        <v>800</v>
      </c>
      <c r="M1406" s="4">
        <v>576</v>
      </c>
      <c r="N1406" s="4">
        <v>180</v>
      </c>
      <c r="O1406" s="4">
        <v>4898</v>
      </c>
      <c r="P1406" s="4">
        <v>0</v>
      </c>
      <c r="Q1406" s="4">
        <v>464</v>
      </c>
      <c r="R1406" s="4">
        <v>1.5</v>
      </c>
      <c r="S1406" s="4">
        <v>51</v>
      </c>
      <c r="T1406" s="4">
        <v>0</v>
      </c>
      <c r="U1406" s="4">
        <v>0</v>
      </c>
      <c r="V1406" s="4">
        <v>0</v>
      </c>
    </row>
    <row r="1407" spans="1:22" x14ac:dyDescent="0.15">
      <c r="A1407" s="4" t="s">
        <v>2662</v>
      </c>
      <c r="D1407" s="4">
        <f t="shared" si="17"/>
        <v>307</v>
      </c>
      <c r="E1407" s="4">
        <v>45</v>
      </c>
      <c r="H1407" s="29">
        <v>1001</v>
      </c>
      <c r="I1407" s="4">
        <v>2300</v>
      </c>
      <c r="L1407" s="30">
        <v>800</v>
      </c>
      <c r="M1407" s="4">
        <v>588</v>
      </c>
      <c r="N1407" s="4">
        <v>184</v>
      </c>
      <c r="O1407" s="4">
        <v>4984</v>
      </c>
      <c r="P1407" s="4">
        <v>0</v>
      </c>
      <c r="Q1407" s="4">
        <v>472</v>
      </c>
      <c r="R1407" s="4">
        <v>1.5</v>
      </c>
      <c r="S1407" s="4">
        <v>52</v>
      </c>
      <c r="T1407" s="4">
        <v>0</v>
      </c>
      <c r="U1407" s="4">
        <v>0</v>
      </c>
      <c r="V1407" s="4">
        <v>0</v>
      </c>
    </row>
    <row r="1408" spans="1:22" x14ac:dyDescent="0.15">
      <c r="A1408" s="4" t="s">
        <v>2662</v>
      </c>
      <c r="D1408" s="4">
        <f t="shared" si="17"/>
        <v>307</v>
      </c>
      <c r="E1408" s="4">
        <v>46</v>
      </c>
      <c r="H1408" s="29">
        <v>1001</v>
      </c>
      <c r="I1408" s="4">
        <v>2344</v>
      </c>
      <c r="L1408" s="30">
        <v>800</v>
      </c>
      <c r="M1408" s="4">
        <v>600</v>
      </c>
      <c r="N1408" s="4">
        <v>188</v>
      </c>
      <c r="O1408" s="4">
        <v>5070</v>
      </c>
      <c r="P1408" s="4">
        <v>0</v>
      </c>
      <c r="Q1408" s="4">
        <v>480</v>
      </c>
      <c r="R1408" s="4">
        <v>1.5</v>
      </c>
      <c r="S1408" s="4">
        <v>53</v>
      </c>
      <c r="T1408" s="4">
        <v>0</v>
      </c>
      <c r="U1408" s="4">
        <v>0</v>
      </c>
      <c r="V1408" s="4">
        <v>0</v>
      </c>
    </row>
    <row r="1409" spans="1:22" x14ac:dyDescent="0.15">
      <c r="A1409" s="4" t="s">
        <v>2662</v>
      </c>
      <c r="D1409" s="4">
        <f t="shared" si="17"/>
        <v>307</v>
      </c>
      <c r="E1409" s="4">
        <v>47</v>
      </c>
      <c r="H1409" s="29">
        <v>1001</v>
      </c>
      <c r="I1409" s="4">
        <v>2388</v>
      </c>
      <c r="L1409" s="30">
        <v>800</v>
      </c>
      <c r="M1409" s="4">
        <v>612</v>
      </c>
      <c r="N1409" s="4">
        <v>192</v>
      </c>
      <c r="O1409" s="4">
        <v>5156</v>
      </c>
      <c r="P1409" s="4">
        <v>0</v>
      </c>
      <c r="Q1409" s="4">
        <v>488</v>
      </c>
      <c r="R1409" s="4">
        <v>1.5</v>
      </c>
      <c r="S1409" s="4">
        <v>54</v>
      </c>
      <c r="T1409" s="4">
        <v>0</v>
      </c>
      <c r="U1409" s="4">
        <v>0</v>
      </c>
      <c r="V1409" s="4">
        <v>0</v>
      </c>
    </row>
    <row r="1410" spans="1:22" x14ac:dyDescent="0.15">
      <c r="A1410" s="4" t="s">
        <v>2662</v>
      </c>
      <c r="D1410" s="4">
        <f t="shared" si="17"/>
        <v>307</v>
      </c>
      <c r="E1410" s="4">
        <v>48</v>
      </c>
      <c r="H1410" s="29">
        <v>1001</v>
      </c>
      <c r="I1410" s="4">
        <v>2432</v>
      </c>
      <c r="L1410" s="30">
        <v>800</v>
      </c>
      <c r="M1410" s="4">
        <v>624</v>
      </c>
      <c r="N1410" s="4">
        <v>196</v>
      </c>
      <c r="O1410" s="4">
        <v>5242</v>
      </c>
      <c r="P1410" s="4">
        <v>0</v>
      </c>
      <c r="Q1410" s="4">
        <v>496</v>
      </c>
      <c r="R1410" s="4">
        <v>1.5</v>
      </c>
      <c r="S1410" s="4">
        <v>55</v>
      </c>
      <c r="T1410" s="4">
        <v>0</v>
      </c>
      <c r="U1410" s="4">
        <v>0</v>
      </c>
      <c r="V1410" s="4">
        <v>0</v>
      </c>
    </row>
    <row r="1411" spans="1:22" x14ac:dyDescent="0.15">
      <c r="A1411" s="4" t="s">
        <v>2662</v>
      </c>
      <c r="D1411" s="4">
        <f t="shared" si="17"/>
        <v>307</v>
      </c>
      <c r="E1411" s="4">
        <v>49</v>
      </c>
      <c r="H1411" s="29">
        <v>1001</v>
      </c>
      <c r="I1411" s="4">
        <v>2476</v>
      </c>
      <c r="L1411" s="30">
        <v>800</v>
      </c>
      <c r="M1411" s="4">
        <v>636</v>
      </c>
      <c r="N1411" s="4">
        <v>200</v>
      </c>
      <c r="O1411" s="4">
        <v>5328</v>
      </c>
      <c r="P1411" s="4">
        <v>0</v>
      </c>
      <c r="Q1411" s="4">
        <v>504</v>
      </c>
      <c r="R1411" s="4">
        <v>1.5</v>
      </c>
      <c r="S1411" s="4">
        <v>56</v>
      </c>
      <c r="T1411" s="4">
        <v>0</v>
      </c>
      <c r="U1411" s="4">
        <v>0</v>
      </c>
      <c r="V1411" s="4">
        <v>0</v>
      </c>
    </row>
    <row r="1412" spans="1:22" x14ac:dyDescent="0.15">
      <c r="A1412" s="4" t="s">
        <v>2662</v>
      </c>
      <c r="D1412" s="4">
        <f t="shared" si="17"/>
        <v>307</v>
      </c>
      <c r="E1412" s="4">
        <v>50</v>
      </c>
      <c r="H1412" s="29">
        <v>1001</v>
      </c>
      <c r="I1412" s="4">
        <v>2520</v>
      </c>
      <c r="L1412" s="30">
        <v>800</v>
      </c>
      <c r="M1412" s="4">
        <v>648</v>
      </c>
      <c r="N1412" s="4">
        <v>204</v>
      </c>
      <c r="O1412" s="4">
        <v>5414</v>
      </c>
      <c r="P1412" s="4">
        <v>0</v>
      </c>
      <c r="Q1412" s="4">
        <v>512</v>
      </c>
      <c r="R1412" s="4">
        <v>1.5</v>
      </c>
      <c r="S1412" s="4">
        <v>57</v>
      </c>
      <c r="T1412" s="4">
        <v>0</v>
      </c>
      <c r="U1412" s="4">
        <v>0</v>
      </c>
      <c r="V1412" s="4">
        <v>0</v>
      </c>
    </row>
    <row r="1414" spans="1:22" x14ac:dyDescent="0.15">
      <c r="A1414" s="4" t="s">
        <v>2662</v>
      </c>
      <c r="C1414" s="4" t="s">
        <v>3555</v>
      </c>
      <c r="D1414" s="4">
        <f t="shared" ref="D1414" si="18">D1362+1</f>
        <v>308</v>
      </c>
      <c r="E1414" s="4">
        <v>0</v>
      </c>
      <c r="H1414" s="29">
        <v>3007</v>
      </c>
      <c r="I1414" s="30">
        <v>1</v>
      </c>
      <c r="M1414" s="4">
        <v>0</v>
      </c>
      <c r="N1414" s="4">
        <v>0</v>
      </c>
      <c r="O1414" s="4">
        <v>0</v>
      </c>
      <c r="P1414" s="4">
        <v>0</v>
      </c>
      <c r="Q1414" s="4">
        <v>0</v>
      </c>
      <c r="R1414" s="4">
        <v>0</v>
      </c>
      <c r="S1414" s="4">
        <v>0</v>
      </c>
      <c r="T1414" s="4">
        <v>0</v>
      </c>
      <c r="U1414" s="4">
        <v>0</v>
      </c>
      <c r="V1414" s="4">
        <v>0</v>
      </c>
    </row>
    <row r="1415" spans="1:22" x14ac:dyDescent="0.15">
      <c r="A1415" s="4" t="s">
        <v>2662</v>
      </c>
      <c r="D1415" s="4">
        <f t="shared" si="17"/>
        <v>308</v>
      </c>
      <c r="E1415" s="4">
        <v>1</v>
      </c>
      <c r="H1415" s="29">
        <v>1001</v>
      </c>
      <c r="I1415" s="4">
        <v>110</v>
      </c>
      <c r="L1415" s="30">
        <v>800</v>
      </c>
      <c r="M1415" s="4">
        <v>12</v>
      </c>
      <c r="N1415" s="4">
        <v>4</v>
      </c>
      <c r="O1415" s="4">
        <v>400</v>
      </c>
      <c r="P1415" s="4">
        <v>0</v>
      </c>
      <c r="Q1415" s="4">
        <v>50</v>
      </c>
      <c r="R1415" s="4">
        <v>1.5</v>
      </c>
      <c r="S1415" s="4">
        <v>5</v>
      </c>
      <c r="T1415" s="4">
        <v>0</v>
      </c>
      <c r="U1415" s="4">
        <v>0</v>
      </c>
      <c r="V1415" s="4">
        <v>0</v>
      </c>
    </row>
    <row r="1416" spans="1:22" x14ac:dyDescent="0.15">
      <c r="A1416" s="4" t="s">
        <v>2662</v>
      </c>
      <c r="D1416" s="4">
        <f t="shared" si="17"/>
        <v>308</v>
      </c>
      <c r="E1416" s="4">
        <v>2</v>
      </c>
      <c r="H1416" s="29">
        <v>1001</v>
      </c>
      <c r="I1416" s="4">
        <v>123</v>
      </c>
      <c r="L1416" s="30">
        <v>800</v>
      </c>
      <c r="M1416" s="4">
        <v>16</v>
      </c>
      <c r="N1416" s="4">
        <v>5</v>
      </c>
      <c r="O1416" s="4">
        <v>424</v>
      </c>
      <c r="P1416" s="4">
        <v>0</v>
      </c>
      <c r="Q1416" s="4">
        <v>55</v>
      </c>
      <c r="R1416" s="4">
        <v>1.5</v>
      </c>
      <c r="S1416" s="4">
        <v>6</v>
      </c>
      <c r="T1416" s="4">
        <v>0</v>
      </c>
      <c r="U1416" s="4">
        <v>0</v>
      </c>
      <c r="V1416" s="4">
        <v>0</v>
      </c>
    </row>
    <row r="1417" spans="1:22" x14ac:dyDescent="0.15">
      <c r="A1417" s="4" t="s">
        <v>2662</v>
      </c>
      <c r="D1417" s="4">
        <f t="shared" si="17"/>
        <v>308</v>
      </c>
      <c r="E1417" s="4">
        <v>3</v>
      </c>
      <c r="H1417" s="29">
        <v>1001</v>
      </c>
      <c r="I1417" s="4">
        <v>137</v>
      </c>
      <c r="L1417" s="30">
        <v>800</v>
      </c>
      <c r="M1417" s="4">
        <v>20</v>
      </c>
      <c r="N1417" s="4">
        <v>6</v>
      </c>
      <c r="O1417" s="4">
        <v>448</v>
      </c>
      <c r="P1417" s="4">
        <v>0</v>
      </c>
      <c r="Q1417" s="4">
        <v>60</v>
      </c>
      <c r="R1417" s="4">
        <v>1.5</v>
      </c>
      <c r="S1417" s="4">
        <v>7</v>
      </c>
      <c r="T1417" s="4">
        <v>0</v>
      </c>
      <c r="U1417" s="4">
        <v>0</v>
      </c>
      <c r="V1417" s="4">
        <v>0</v>
      </c>
    </row>
    <row r="1418" spans="1:22" x14ac:dyDescent="0.15">
      <c r="A1418" s="4" t="s">
        <v>2662</v>
      </c>
      <c r="D1418" s="4">
        <f t="shared" si="17"/>
        <v>308</v>
      </c>
      <c r="E1418" s="4">
        <v>4</v>
      </c>
      <c r="H1418" s="29">
        <v>1001</v>
      </c>
      <c r="I1418" s="4">
        <v>151</v>
      </c>
      <c r="L1418" s="30">
        <v>800</v>
      </c>
      <c r="M1418" s="4">
        <v>24</v>
      </c>
      <c r="N1418" s="4">
        <v>7</v>
      </c>
      <c r="O1418" s="4">
        <v>472</v>
      </c>
      <c r="P1418" s="4">
        <v>0</v>
      </c>
      <c r="Q1418" s="4">
        <v>65</v>
      </c>
      <c r="R1418" s="4">
        <v>1.5</v>
      </c>
      <c r="S1418" s="4">
        <v>8</v>
      </c>
      <c r="T1418" s="4">
        <v>0</v>
      </c>
      <c r="U1418" s="4">
        <v>0</v>
      </c>
      <c r="V1418" s="4">
        <v>0</v>
      </c>
    </row>
    <row r="1419" spans="1:22" x14ac:dyDescent="0.15">
      <c r="A1419" s="4" t="s">
        <v>2662</v>
      </c>
      <c r="D1419" s="4">
        <f t="shared" si="17"/>
        <v>308</v>
      </c>
      <c r="E1419" s="4">
        <v>5</v>
      </c>
      <c r="H1419" s="29">
        <v>1001</v>
      </c>
      <c r="I1419" s="4">
        <v>165</v>
      </c>
      <c r="L1419" s="30">
        <v>800</v>
      </c>
      <c r="M1419" s="4">
        <v>28</v>
      </c>
      <c r="N1419" s="4">
        <v>8</v>
      </c>
      <c r="O1419" s="4">
        <v>496</v>
      </c>
      <c r="P1419" s="4">
        <v>0</v>
      </c>
      <c r="Q1419" s="4">
        <v>70</v>
      </c>
      <c r="R1419" s="4">
        <v>1.5</v>
      </c>
      <c r="S1419" s="4">
        <v>9</v>
      </c>
      <c r="T1419" s="4">
        <v>0</v>
      </c>
      <c r="U1419" s="4">
        <v>0</v>
      </c>
      <c r="V1419" s="4">
        <v>0</v>
      </c>
    </row>
    <row r="1420" spans="1:22" x14ac:dyDescent="0.15">
      <c r="A1420" s="4" t="s">
        <v>2662</v>
      </c>
      <c r="D1420" s="4">
        <f t="shared" si="17"/>
        <v>308</v>
      </c>
      <c r="E1420" s="4">
        <v>6</v>
      </c>
      <c r="H1420" s="29">
        <v>1001</v>
      </c>
      <c r="I1420" s="4">
        <v>179</v>
      </c>
      <c r="L1420" s="30">
        <v>800</v>
      </c>
      <c r="M1420" s="4">
        <v>32</v>
      </c>
      <c r="N1420" s="4">
        <v>9</v>
      </c>
      <c r="O1420" s="4">
        <v>520</v>
      </c>
      <c r="P1420" s="4">
        <v>0</v>
      </c>
      <c r="Q1420" s="4">
        <v>75</v>
      </c>
      <c r="R1420" s="4">
        <v>1.5</v>
      </c>
      <c r="S1420" s="4">
        <v>10</v>
      </c>
      <c r="T1420" s="4">
        <v>0</v>
      </c>
      <c r="U1420" s="4">
        <v>0</v>
      </c>
      <c r="V1420" s="4">
        <v>0</v>
      </c>
    </row>
    <row r="1421" spans="1:22" x14ac:dyDescent="0.15">
      <c r="A1421" s="4" t="s">
        <v>2662</v>
      </c>
      <c r="D1421" s="4">
        <f t="shared" si="17"/>
        <v>308</v>
      </c>
      <c r="E1421" s="4">
        <v>7</v>
      </c>
      <c r="H1421" s="29">
        <v>1001</v>
      </c>
      <c r="I1421" s="4">
        <v>193</v>
      </c>
      <c r="L1421" s="30">
        <v>800</v>
      </c>
      <c r="M1421" s="4">
        <v>36</v>
      </c>
      <c r="N1421" s="4">
        <v>10</v>
      </c>
      <c r="O1421" s="4">
        <v>544</v>
      </c>
      <c r="P1421" s="4">
        <v>0</v>
      </c>
      <c r="Q1421" s="4">
        <v>80</v>
      </c>
      <c r="R1421" s="4">
        <v>1.5</v>
      </c>
      <c r="S1421" s="4">
        <v>11</v>
      </c>
      <c r="T1421" s="4">
        <v>0</v>
      </c>
      <c r="U1421" s="4">
        <v>0</v>
      </c>
      <c r="V1421" s="4">
        <v>0</v>
      </c>
    </row>
    <row r="1422" spans="1:22" x14ac:dyDescent="0.15">
      <c r="A1422" s="4" t="s">
        <v>2662</v>
      </c>
      <c r="D1422" s="4">
        <f t="shared" si="17"/>
        <v>308</v>
      </c>
      <c r="E1422" s="4">
        <v>8</v>
      </c>
      <c r="H1422" s="29">
        <v>1001</v>
      </c>
      <c r="I1422" s="4">
        <v>207</v>
      </c>
      <c r="L1422" s="30">
        <v>800</v>
      </c>
      <c r="M1422" s="4">
        <v>40</v>
      </c>
      <c r="N1422" s="4">
        <v>11</v>
      </c>
      <c r="O1422" s="4">
        <v>568</v>
      </c>
      <c r="P1422" s="4">
        <v>0</v>
      </c>
      <c r="Q1422" s="4">
        <v>85</v>
      </c>
      <c r="R1422" s="4">
        <v>1.5</v>
      </c>
      <c r="S1422" s="4">
        <v>12</v>
      </c>
      <c r="T1422" s="4">
        <v>0</v>
      </c>
      <c r="U1422" s="4">
        <v>0</v>
      </c>
      <c r="V1422" s="4">
        <v>0</v>
      </c>
    </row>
    <row r="1423" spans="1:22" x14ac:dyDescent="0.15">
      <c r="A1423" s="4" t="s">
        <v>2662</v>
      </c>
      <c r="D1423" s="4">
        <f t="shared" si="17"/>
        <v>308</v>
      </c>
      <c r="E1423" s="4">
        <v>9</v>
      </c>
      <c r="H1423" s="29">
        <v>1001</v>
      </c>
      <c r="I1423" s="4">
        <v>221</v>
      </c>
      <c r="L1423" s="30">
        <v>800</v>
      </c>
      <c r="M1423" s="4">
        <v>44</v>
      </c>
      <c r="N1423" s="4">
        <v>12</v>
      </c>
      <c r="O1423" s="4">
        <v>592</v>
      </c>
      <c r="P1423" s="4">
        <v>0</v>
      </c>
      <c r="Q1423" s="4">
        <v>90</v>
      </c>
      <c r="R1423" s="4">
        <v>1.5</v>
      </c>
      <c r="S1423" s="4">
        <v>13</v>
      </c>
      <c r="T1423" s="4">
        <v>0</v>
      </c>
      <c r="U1423" s="4">
        <v>0</v>
      </c>
      <c r="V1423" s="4">
        <v>0</v>
      </c>
    </row>
    <row r="1424" spans="1:22" x14ac:dyDescent="0.15">
      <c r="A1424" s="4" t="s">
        <v>2662</v>
      </c>
      <c r="D1424" s="4">
        <f t="shared" si="17"/>
        <v>308</v>
      </c>
      <c r="E1424" s="4">
        <v>10</v>
      </c>
      <c r="H1424" s="29">
        <v>1001</v>
      </c>
      <c r="I1424" s="4">
        <v>235</v>
      </c>
      <c r="L1424" s="30">
        <v>800</v>
      </c>
      <c r="M1424" s="4">
        <v>48</v>
      </c>
      <c r="N1424" s="4">
        <v>13</v>
      </c>
      <c r="O1424" s="4">
        <v>616</v>
      </c>
      <c r="P1424" s="4">
        <v>0</v>
      </c>
      <c r="Q1424" s="4">
        <v>95</v>
      </c>
      <c r="R1424" s="4">
        <v>1.5</v>
      </c>
      <c r="S1424" s="4">
        <v>14</v>
      </c>
      <c r="T1424" s="4">
        <v>0</v>
      </c>
      <c r="U1424" s="4">
        <v>0</v>
      </c>
      <c r="V1424" s="4">
        <v>0</v>
      </c>
    </row>
    <row r="1425" spans="1:22" x14ac:dyDescent="0.15">
      <c r="A1425" s="4" t="s">
        <v>2662</v>
      </c>
      <c r="D1425" s="4">
        <f t="shared" si="17"/>
        <v>308</v>
      </c>
      <c r="E1425" s="4">
        <v>11</v>
      </c>
      <c r="H1425" s="29">
        <v>1001</v>
      </c>
      <c r="I1425" s="4">
        <v>249</v>
      </c>
      <c r="L1425" s="30">
        <v>800</v>
      </c>
      <c r="M1425" s="4">
        <v>52</v>
      </c>
      <c r="N1425" s="4">
        <v>14</v>
      </c>
      <c r="O1425" s="4">
        <v>640</v>
      </c>
      <c r="P1425" s="4">
        <v>0</v>
      </c>
      <c r="Q1425" s="4">
        <v>100</v>
      </c>
      <c r="R1425" s="4">
        <v>1.5</v>
      </c>
      <c r="S1425" s="4">
        <v>15</v>
      </c>
      <c r="T1425" s="4">
        <v>0</v>
      </c>
      <c r="U1425" s="4">
        <v>0</v>
      </c>
      <c r="V1425" s="4">
        <v>0</v>
      </c>
    </row>
    <row r="1426" spans="1:22" x14ac:dyDescent="0.15">
      <c r="A1426" s="4" t="s">
        <v>2662</v>
      </c>
      <c r="D1426" s="4">
        <f t="shared" si="17"/>
        <v>308</v>
      </c>
      <c r="E1426" s="4">
        <v>12</v>
      </c>
      <c r="H1426" s="29">
        <v>1001</v>
      </c>
      <c r="I1426" s="4">
        <v>262</v>
      </c>
      <c r="L1426" s="30">
        <v>800</v>
      </c>
      <c r="M1426" s="4">
        <v>56</v>
      </c>
      <c r="N1426" s="4">
        <v>15</v>
      </c>
      <c r="O1426" s="4">
        <v>664</v>
      </c>
      <c r="P1426" s="4">
        <v>0</v>
      </c>
      <c r="Q1426" s="4">
        <v>105</v>
      </c>
      <c r="R1426" s="4">
        <v>1.5</v>
      </c>
      <c r="S1426" s="4">
        <v>16</v>
      </c>
      <c r="T1426" s="4">
        <v>0</v>
      </c>
      <c r="U1426" s="4">
        <v>0</v>
      </c>
      <c r="V1426" s="4">
        <v>0</v>
      </c>
    </row>
    <row r="1427" spans="1:22" x14ac:dyDescent="0.15">
      <c r="A1427" s="4" t="s">
        <v>2662</v>
      </c>
      <c r="D1427" s="4">
        <f t="shared" si="17"/>
        <v>308</v>
      </c>
      <c r="E1427" s="4">
        <v>13</v>
      </c>
      <c r="H1427" s="29">
        <v>1001</v>
      </c>
      <c r="I1427" s="4">
        <v>276</v>
      </c>
      <c r="L1427" s="30">
        <v>800</v>
      </c>
      <c r="M1427" s="4">
        <v>60</v>
      </c>
      <c r="N1427" s="4">
        <v>16</v>
      </c>
      <c r="O1427" s="4">
        <v>688</v>
      </c>
      <c r="P1427" s="4">
        <v>0</v>
      </c>
      <c r="Q1427" s="4">
        <v>110</v>
      </c>
      <c r="R1427" s="4">
        <v>1.5</v>
      </c>
      <c r="S1427" s="4">
        <v>17</v>
      </c>
      <c r="T1427" s="4">
        <v>0</v>
      </c>
      <c r="U1427" s="4">
        <v>0</v>
      </c>
      <c r="V1427" s="4">
        <v>0</v>
      </c>
    </row>
    <row r="1428" spans="1:22" x14ac:dyDescent="0.15">
      <c r="A1428" s="4" t="s">
        <v>2662</v>
      </c>
      <c r="D1428" s="4">
        <f t="shared" si="17"/>
        <v>308</v>
      </c>
      <c r="E1428" s="4">
        <v>14</v>
      </c>
      <c r="H1428" s="29">
        <v>1001</v>
      </c>
      <c r="I1428" s="4">
        <v>290</v>
      </c>
      <c r="L1428" s="30">
        <v>800</v>
      </c>
      <c r="M1428" s="4">
        <v>64</v>
      </c>
      <c r="N1428" s="4">
        <v>17</v>
      </c>
      <c r="O1428" s="4">
        <v>712</v>
      </c>
      <c r="P1428" s="4">
        <v>0</v>
      </c>
      <c r="Q1428" s="4">
        <v>115</v>
      </c>
      <c r="R1428" s="4">
        <v>1.5</v>
      </c>
      <c r="S1428" s="4">
        <v>18</v>
      </c>
      <c r="T1428" s="4">
        <v>0</v>
      </c>
      <c r="U1428" s="4">
        <v>0</v>
      </c>
      <c r="V1428" s="4">
        <v>0</v>
      </c>
    </row>
    <row r="1429" spans="1:22" x14ac:dyDescent="0.15">
      <c r="A1429" s="4" t="s">
        <v>2662</v>
      </c>
      <c r="D1429" s="4">
        <f t="shared" si="17"/>
        <v>308</v>
      </c>
      <c r="E1429" s="4">
        <v>15</v>
      </c>
      <c r="H1429" s="29">
        <v>1001</v>
      </c>
      <c r="I1429" s="4">
        <v>304</v>
      </c>
      <c r="L1429" s="30">
        <v>800</v>
      </c>
      <c r="M1429" s="4">
        <v>68</v>
      </c>
      <c r="N1429" s="4">
        <v>18</v>
      </c>
      <c r="O1429" s="4">
        <v>736</v>
      </c>
      <c r="P1429" s="4">
        <v>0</v>
      </c>
      <c r="Q1429" s="4">
        <v>120</v>
      </c>
      <c r="R1429" s="4">
        <v>1.5</v>
      </c>
      <c r="S1429" s="4">
        <v>19</v>
      </c>
      <c r="T1429" s="4">
        <v>0</v>
      </c>
      <c r="U1429" s="4">
        <v>0</v>
      </c>
      <c r="V1429" s="4">
        <v>0</v>
      </c>
    </row>
    <row r="1430" spans="1:22" x14ac:dyDescent="0.15">
      <c r="A1430" s="4" t="s">
        <v>2662</v>
      </c>
      <c r="D1430" s="4">
        <f t="shared" si="17"/>
        <v>308</v>
      </c>
      <c r="E1430" s="4">
        <v>16</v>
      </c>
      <c r="H1430" s="29">
        <v>1001</v>
      </c>
      <c r="I1430" s="4">
        <v>318</v>
      </c>
      <c r="L1430" s="30">
        <v>800</v>
      </c>
      <c r="M1430" s="4">
        <v>72</v>
      </c>
      <c r="N1430" s="4">
        <v>19</v>
      </c>
      <c r="O1430" s="4">
        <v>760</v>
      </c>
      <c r="P1430" s="4">
        <v>0</v>
      </c>
      <c r="Q1430" s="4">
        <v>125</v>
      </c>
      <c r="R1430" s="4">
        <v>1.5</v>
      </c>
      <c r="S1430" s="4">
        <v>20</v>
      </c>
      <c r="T1430" s="4">
        <v>0</v>
      </c>
      <c r="U1430" s="4">
        <v>0</v>
      </c>
      <c r="V1430" s="4">
        <v>0</v>
      </c>
    </row>
    <row r="1431" spans="1:22" x14ac:dyDescent="0.15">
      <c r="A1431" s="4" t="s">
        <v>2662</v>
      </c>
      <c r="D1431" s="4">
        <f t="shared" si="17"/>
        <v>308</v>
      </c>
      <c r="E1431" s="4">
        <v>17</v>
      </c>
      <c r="H1431" s="29">
        <v>1001</v>
      </c>
      <c r="I1431" s="4">
        <v>332</v>
      </c>
      <c r="L1431" s="30">
        <v>800</v>
      </c>
      <c r="M1431" s="4">
        <v>76</v>
      </c>
      <c r="N1431" s="4">
        <v>20</v>
      </c>
      <c r="O1431" s="4">
        <v>784</v>
      </c>
      <c r="P1431" s="4">
        <v>0</v>
      </c>
      <c r="Q1431" s="4">
        <v>130</v>
      </c>
      <c r="R1431" s="4">
        <v>1.5</v>
      </c>
      <c r="S1431" s="4">
        <v>21</v>
      </c>
      <c r="T1431" s="4">
        <v>0</v>
      </c>
      <c r="U1431" s="4">
        <v>0</v>
      </c>
      <c r="V1431" s="4">
        <v>0</v>
      </c>
    </row>
    <row r="1432" spans="1:22" x14ac:dyDescent="0.15">
      <c r="A1432" s="4" t="s">
        <v>2662</v>
      </c>
      <c r="D1432" s="4">
        <f t="shared" si="17"/>
        <v>308</v>
      </c>
      <c r="E1432" s="4">
        <v>18</v>
      </c>
      <c r="H1432" s="29">
        <v>1001</v>
      </c>
      <c r="I1432" s="4">
        <v>346</v>
      </c>
      <c r="L1432" s="30">
        <v>800</v>
      </c>
      <c r="M1432" s="4">
        <v>80</v>
      </c>
      <c r="N1432" s="4">
        <v>21</v>
      </c>
      <c r="O1432" s="4">
        <v>808</v>
      </c>
      <c r="P1432" s="4">
        <v>0</v>
      </c>
      <c r="Q1432" s="4">
        <v>135</v>
      </c>
      <c r="R1432" s="4">
        <v>1.5</v>
      </c>
      <c r="S1432" s="4">
        <v>22</v>
      </c>
      <c r="T1432" s="4">
        <v>0</v>
      </c>
      <c r="U1432" s="4">
        <v>0</v>
      </c>
      <c r="V1432" s="4">
        <v>0</v>
      </c>
    </row>
    <row r="1433" spans="1:22" x14ac:dyDescent="0.15">
      <c r="A1433" s="4" t="s">
        <v>2662</v>
      </c>
      <c r="D1433" s="4">
        <f t="shared" si="17"/>
        <v>308</v>
      </c>
      <c r="E1433" s="4">
        <v>19</v>
      </c>
      <c r="H1433" s="29">
        <v>1001</v>
      </c>
      <c r="I1433" s="4">
        <v>360</v>
      </c>
      <c r="L1433" s="30">
        <v>800</v>
      </c>
      <c r="M1433" s="4">
        <v>84</v>
      </c>
      <c r="N1433" s="4">
        <v>22</v>
      </c>
      <c r="O1433" s="4">
        <v>832</v>
      </c>
      <c r="P1433" s="4">
        <v>0</v>
      </c>
      <c r="Q1433" s="4">
        <v>140</v>
      </c>
      <c r="R1433" s="4">
        <v>1.5</v>
      </c>
      <c r="S1433" s="4">
        <v>23</v>
      </c>
      <c r="T1433" s="4">
        <v>0</v>
      </c>
      <c r="U1433" s="4">
        <v>0</v>
      </c>
      <c r="V1433" s="4">
        <v>0</v>
      </c>
    </row>
    <row r="1434" spans="1:22" x14ac:dyDescent="0.15">
      <c r="A1434" s="4" t="s">
        <v>2662</v>
      </c>
      <c r="D1434" s="4">
        <f t="shared" si="17"/>
        <v>308</v>
      </c>
      <c r="E1434" s="4">
        <v>20</v>
      </c>
      <c r="H1434" s="29">
        <v>1001</v>
      </c>
      <c r="I1434" s="4">
        <v>374</v>
      </c>
      <c r="L1434" s="30">
        <v>800</v>
      </c>
      <c r="M1434" s="4">
        <v>88</v>
      </c>
      <c r="N1434" s="4">
        <v>23</v>
      </c>
      <c r="O1434" s="4">
        <v>856</v>
      </c>
      <c r="P1434" s="4">
        <v>0</v>
      </c>
      <c r="Q1434" s="4">
        <v>145</v>
      </c>
      <c r="R1434" s="4">
        <v>1.5</v>
      </c>
      <c r="S1434" s="4">
        <v>24</v>
      </c>
      <c r="T1434" s="4">
        <v>0</v>
      </c>
      <c r="U1434" s="4">
        <v>0</v>
      </c>
      <c r="V1434" s="4">
        <v>0</v>
      </c>
    </row>
    <row r="1435" spans="1:22" x14ac:dyDescent="0.15">
      <c r="A1435" s="4" t="s">
        <v>2662</v>
      </c>
      <c r="D1435" s="4">
        <f t="shared" si="17"/>
        <v>308</v>
      </c>
      <c r="E1435" s="4">
        <v>21</v>
      </c>
      <c r="H1435" s="29">
        <v>1001</v>
      </c>
      <c r="I1435" s="4">
        <v>388</v>
      </c>
      <c r="L1435" s="30">
        <v>800</v>
      </c>
      <c r="M1435" s="4">
        <v>92</v>
      </c>
      <c r="N1435" s="4">
        <v>24</v>
      </c>
      <c r="O1435" s="4">
        <v>880</v>
      </c>
      <c r="P1435" s="4">
        <v>0</v>
      </c>
      <c r="Q1435" s="4">
        <v>150</v>
      </c>
      <c r="R1435" s="4">
        <v>1.5</v>
      </c>
      <c r="S1435" s="4">
        <v>25</v>
      </c>
      <c r="T1435" s="4">
        <v>0</v>
      </c>
      <c r="U1435" s="4">
        <v>0</v>
      </c>
      <c r="V1435" s="4">
        <v>0</v>
      </c>
    </row>
    <row r="1436" spans="1:22" x14ac:dyDescent="0.15">
      <c r="A1436" s="4" t="s">
        <v>2662</v>
      </c>
      <c r="D1436" s="4">
        <f t="shared" si="17"/>
        <v>308</v>
      </c>
      <c r="E1436" s="4">
        <v>22</v>
      </c>
      <c r="H1436" s="29">
        <v>1001</v>
      </c>
      <c r="I1436" s="4">
        <v>401</v>
      </c>
      <c r="L1436" s="30">
        <v>800</v>
      </c>
      <c r="M1436" s="4">
        <v>96</v>
      </c>
      <c r="N1436" s="4">
        <v>25</v>
      </c>
      <c r="O1436" s="4">
        <v>904</v>
      </c>
      <c r="P1436" s="4">
        <v>0</v>
      </c>
      <c r="Q1436" s="4">
        <v>155</v>
      </c>
      <c r="R1436" s="4">
        <v>1.5</v>
      </c>
      <c r="S1436" s="4">
        <v>26</v>
      </c>
      <c r="T1436" s="4">
        <v>0</v>
      </c>
      <c r="U1436" s="4">
        <v>0</v>
      </c>
      <c r="V1436" s="4">
        <v>0</v>
      </c>
    </row>
    <row r="1437" spans="1:22" x14ac:dyDescent="0.15">
      <c r="A1437" s="4" t="s">
        <v>2662</v>
      </c>
      <c r="D1437" s="4">
        <f t="shared" si="17"/>
        <v>308</v>
      </c>
      <c r="E1437" s="4">
        <v>23</v>
      </c>
      <c r="H1437" s="29">
        <v>1001</v>
      </c>
      <c r="I1437" s="4">
        <v>415</v>
      </c>
      <c r="L1437" s="30">
        <v>800</v>
      </c>
      <c r="M1437" s="4">
        <v>100</v>
      </c>
      <c r="N1437" s="4">
        <v>26</v>
      </c>
      <c r="O1437" s="4">
        <v>928</v>
      </c>
      <c r="P1437" s="4">
        <v>0</v>
      </c>
      <c r="Q1437" s="4">
        <v>160</v>
      </c>
      <c r="R1437" s="4">
        <v>1.5</v>
      </c>
      <c r="S1437" s="4">
        <v>27</v>
      </c>
      <c r="T1437" s="4">
        <v>0</v>
      </c>
      <c r="U1437" s="4">
        <v>0</v>
      </c>
      <c r="V1437" s="4">
        <v>0</v>
      </c>
    </row>
    <row r="1438" spans="1:22" x14ac:dyDescent="0.15">
      <c r="A1438" s="4" t="s">
        <v>2662</v>
      </c>
      <c r="D1438" s="4">
        <f t="shared" si="17"/>
        <v>308</v>
      </c>
      <c r="E1438" s="4">
        <v>24</v>
      </c>
      <c r="H1438" s="29">
        <v>1001</v>
      </c>
      <c r="I1438" s="4">
        <v>429</v>
      </c>
      <c r="L1438" s="30">
        <v>800</v>
      </c>
      <c r="M1438" s="4">
        <v>104</v>
      </c>
      <c r="N1438" s="4">
        <v>27</v>
      </c>
      <c r="O1438" s="4">
        <v>952</v>
      </c>
      <c r="P1438" s="4">
        <v>0</v>
      </c>
      <c r="Q1438" s="4">
        <v>165</v>
      </c>
      <c r="R1438" s="4">
        <v>1.5</v>
      </c>
      <c r="S1438" s="4">
        <v>28</v>
      </c>
      <c r="T1438" s="4">
        <v>0</v>
      </c>
      <c r="U1438" s="4">
        <v>0</v>
      </c>
      <c r="V1438" s="4">
        <v>0</v>
      </c>
    </row>
    <row r="1439" spans="1:22" x14ac:dyDescent="0.15">
      <c r="A1439" s="4" t="s">
        <v>2662</v>
      </c>
      <c r="D1439" s="4">
        <f t="shared" si="17"/>
        <v>308</v>
      </c>
      <c r="E1439" s="4">
        <v>25</v>
      </c>
      <c r="H1439" s="29">
        <v>1001</v>
      </c>
      <c r="I1439" s="4">
        <v>443</v>
      </c>
      <c r="L1439" s="30">
        <v>800</v>
      </c>
      <c r="M1439" s="4">
        <v>108</v>
      </c>
      <c r="N1439" s="4">
        <v>28</v>
      </c>
      <c r="O1439" s="4">
        <v>976</v>
      </c>
      <c r="P1439" s="4">
        <v>0</v>
      </c>
      <c r="Q1439" s="4">
        <v>170</v>
      </c>
      <c r="R1439" s="4">
        <v>1.5</v>
      </c>
      <c r="S1439" s="4">
        <v>29</v>
      </c>
      <c r="T1439" s="4">
        <v>0</v>
      </c>
      <c r="U1439" s="4">
        <v>0</v>
      </c>
      <c r="V1439" s="4">
        <v>0</v>
      </c>
    </row>
    <row r="1440" spans="1:22" x14ac:dyDescent="0.15">
      <c r="A1440" s="4" t="s">
        <v>2662</v>
      </c>
      <c r="D1440" s="4">
        <f t="shared" si="17"/>
        <v>308</v>
      </c>
      <c r="E1440" s="4">
        <v>26</v>
      </c>
      <c r="H1440" s="29">
        <v>1001</v>
      </c>
      <c r="I1440" s="4">
        <v>457</v>
      </c>
      <c r="L1440" s="30">
        <v>800</v>
      </c>
      <c r="M1440" s="4">
        <v>112</v>
      </c>
      <c r="N1440" s="4">
        <v>29</v>
      </c>
      <c r="O1440" s="4">
        <v>1000</v>
      </c>
      <c r="P1440" s="4">
        <v>0</v>
      </c>
      <c r="Q1440" s="4">
        <v>175</v>
      </c>
      <c r="R1440" s="4">
        <v>1.5</v>
      </c>
      <c r="S1440" s="4">
        <v>30</v>
      </c>
      <c r="T1440" s="4">
        <v>0</v>
      </c>
      <c r="U1440" s="4">
        <v>0</v>
      </c>
      <c r="V1440" s="4">
        <v>0</v>
      </c>
    </row>
    <row r="1441" spans="1:22" x14ac:dyDescent="0.15">
      <c r="A1441" s="4" t="s">
        <v>2662</v>
      </c>
      <c r="D1441" s="4">
        <f t="shared" si="17"/>
        <v>308</v>
      </c>
      <c r="E1441" s="4">
        <v>27</v>
      </c>
      <c r="H1441" s="29">
        <v>1001</v>
      </c>
      <c r="I1441" s="4">
        <v>471</v>
      </c>
      <c r="L1441" s="30">
        <v>800</v>
      </c>
      <c r="M1441" s="4">
        <v>116</v>
      </c>
      <c r="N1441" s="4">
        <v>30</v>
      </c>
      <c r="O1441" s="4">
        <v>1024</v>
      </c>
      <c r="P1441" s="4">
        <v>0</v>
      </c>
      <c r="Q1441" s="4">
        <v>180</v>
      </c>
      <c r="R1441" s="4">
        <v>1.5</v>
      </c>
      <c r="S1441" s="4">
        <v>31</v>
      </c>
      <c r="T1441" s="4">
        <v>0</v>
      </c>
      <c r="U1441" s="4">
        <v>0</v>
      </c>
      <c r="V1441" s="4">
        <v>0</v>
      </c>
    </row>
    <row r="1442" spans="1:22" x14ac:dyDescent="0.15">
      <c r="A1442" s="4" t="s">
        <v>2662</v>
      </c>
      <c r="D1442" s="4">
        <f t="shared" si="17"/>
        <v>308</v>
      </c>
      <c r="E1442" s="4">
        <v>28</v>
      </c>
      <c r="H1442" s="29">
        <v>1001</v>
      </c>
      <c r="I1442" s="4">
        <v>485</v>
      </c>
      <c r="L1442" s="30">
        <v>800</v>
      </c>
      <c r="M1442" s="4">
        <v>120</v>
      </c>
      <c r="N1442" s="4">
        <v>31</v>
      </c>
      <c r="O1442" s="4">
        <v>1048</v>
      </c>
      <c r="P1442" s="4">
        <v>0</v>
      </c>
      <c r="Q1442" s="4">
        <v>185</v>
      </c>
      <c r="R1442" s="4">
        <v>1.5</v>
      </c>
      <c r="S1442" s="4">
        <v>32</v>
      </c>
      <c r="T1442" s="4">
        <v>0</v>
      </c>
      <c r="U1442" s="4">
        <v>0</v>
      </c>
      <c r="V1442" s="4">
        <v>0</v>
      </c>
    </row>
    <row r="1443" spans="1:22" x14ac:dyDescent="0.15">
      <c r="A1443" s="4" t="s">
        <v>2662</v>
      </c>
      <c r="D1443" s="4">
        <f t="shared" si="17"/>
        <v>308</v>
      </c>
      <c r="E1443" s="4">
        <v>29</v>
      </c>
      <c r="H1443" s="29">
        <v>1001</v>
      </c>
      <c r="I1443" s="4">
        <v>499</v>
      </c>
      <c r="L1443" s="30">
        <v>800</v>
      </c>
      <c r="M1443" s="4">
        <v>124</v>
      </c>
      <c r="N1443" s="4">
        <v>32</v>
      </c>
      <c r="O1443" s="4">
        <v>1072</v>
      </c>
      <c r="P1443" s="4">
        <v>0</v>
      </c>
      <c r="Q1443" s="4">
        <v>190</v>
      </c>
      <c r="R1443" s="4">
        <v>1.5</v>
      </c>
      <c r="S1443" s="4">
        <v>33</v>
      </c>
      <c r="T1443" s="4">
        <v>0</v>
      </c>
      <c r="U1443" s="4">
        <v>0</v>
      </c>
      <c r="V1443" s="4">
        <v>0</v>
      </c>
    </row>
    <row r="1444" spans="1:22" x14ac:dyDescent="0.15">
      <c r="A1444" s="4" t="s">
        <v>2662</v>
      </c>
      <c r="D1444" s="4">
        <f t="shared" si="17"/>
        <v>308</v>
      </c>
      <c r="E1444" s="4">
        <v>30</v>
      </c>
      <c r="H1444" s="29">
        <v>1001</v>
      </c>
      <c r="I1444" s="4">
        <v>513</v>
      </c>
      <c r="L1444" s="30">
        <v>800</v>
      </c>
      <c r="M1444" s="4">
        <v>128</v>
      </c>
      <c r="N1444" s="4">
        <v>33</v>
      </c>
      <c r="O1444" s="4">
        <v>1096</v>
      </c>
      <c r="P1444" s="4">
        <v>0</v>
      </c>
      <c r="Q1444" s="4">
        <v>195</v>
      </c>
      <c r="R1444" s="4">
        <v>1.5</v>
      </c>
      <c r="S1444" s="4">
        <v>34</v>
      </c>
      <c r="T1444" s="4">
        <v>0</v>
      </c>
      <c r="U1444" s="4">
        <v>0</v>
      </c>
      <c r="V1444" s="4">
        <v>0</v>
      </c>
    </row>
    <row r="1445" spans="1:22" x14ac:dyDescent="0.15">
      <c r="A1445" s="4" t="s">
        <v>2662</v>
      </c>
      <c r="D1445" s="4">
        <f t="shared" si="17"/>
        <v>308</v>
      </c>
      <c r="E1445" s="4">
        <v>31</v>
      </c>
      <c r="H1445" s="29">
        <v>1001</v>
      </c>
      <c r="I1445" s="4">
        <v>527</v>
      </c>
      <c r="L1445" s="30">
        <v>800</v>
      </c>
      <c r="M1445" s="4">
        <v>132</v>
      </c>
      <c r="N1445" s="4">
        <v>34</v>
      </c>
      <c r="O1445" s="4">
        <v>1120</v>
      </c>
      <c r="P1445" s="4">
        <v>0</v>
      </c>
      <c r="Q1445" s="4">
        <v>200</v>
      </c>
      <c r="R1445" s="4">
        <v>1.5</v>
      </c>
      <c r="S1445" s="4">
        <v>35</v>
      </c>
      <c r="T1445" s="4">
        <v>0</v>
      </c>
      <c r="U1445" s="4">
        <v>0</v>
      </c>
      <c r="V1445" s="4">
        <v>0</v>
      </c>
    </row>
    <row r="1446" spans="1:22" x14ac:dyDescent="0.15">
      <c r="A1446" s="4" t="s">
        <v>2662</v>
      </c>
      <c r="D1446" s="4">
        <f t="shared" si="17"/>
        <v>308</v>
      </c>
      <c r="E1446" s="4">
        <v>32</v>
      </c>
      <c r="H1446" s="29">
        <v>1001</v>
      </c>
      <c r="I1446" s="4">
        <v>540</v>
      </c>
      <c r="L1446" s="30">
        <v>800</v>
      </c>
      <c r="M1446" s="4">
        <v>136</v>
      </c>
      <c r="N1446" s="4">
        <v>35</v>
      </c>
      <c r="O1446" s="4">
        <v>1144</v>
      </c>
      <c r="P1446" s="4">
        <v>0</v>
      </c>
      <c r="Q1446" s="4">
        <v>205</v>
      </c>
      <c r="R1446" s="4">
        <v>1.5</v>
      </c>
      <c r="S1446" s="4">
        <v>36</v>
      </c>
      <c r="T1446" s="4">
        <v>0</v>
      </c>
      <c r="U1446" s="4">
        <v>0</v>
      </c>
      <c r="V1446" s="4">
        <v>0</v>
      </c>
    </row>
    <row r="1447" spans="1:22" x14ac:dyDescent="0.15">
      <c r="A1447" s="4" t="s">
        <v>2662</v>
      </c>
      <c r="D1447" s="4">
        <f t="shared" si="17"/>
        <v>308</v>
      </c>
      <c r="E1447" s="4">
        <v>33</v>
      </c>
      <c r="H1447" s="29">
        <v>1001</v>
      </c>
      <c r="I1447" s="4">
        <v>554</v>
      </c>
      <c r="L1447" s="30">
        <v>800</v>
      </c>
      <c r="M1447" s="4">
        <v>140</v>
      </c>
      <c r="N1447" s="4">
        <v>36</v>
      </c>
      <c r="O1447" s="4">
        <v>1168</v>
      </c>
      <c r="P1447" s="4">
        <v>0</v>
      </c>
      <c r="Q1447" s="4">
        <v>210</v>
      </c>
      <c r="R1447" s="4">
        <v>1.5</v>
      </c>
      <c r="S1447" s="4">
        <v>37</v>
      </c>
      <c r="T1447" s="4">
        <v>0</v>
      </c>
      <c r="U1447" s="4">
        <v>0</v>
      </c>
      <c r="V1447" s="4">
        <v>0</v>
      </c>
    </row>
    <row r="1448" spans="1:22" x14ac:dyDescent="0.15">
      <c r="A1448" s="4" t="s">
        <v>2662</v>
      </c>
      <c r="D1448" s="4">
        <f t="shared" si="17"/>
        <v>308</v>
      </c>
      <c r="E1448" s="4">
        <v>34</v>
      </c>
      <c r="H1448" s="29">
        <v>1001</v>
      </c>
      <c r="I1448" s="4">
        <v>568</v>
      </c>
      <c r="L1448" s="30">
        <v>800</v>
      </c>
      <c r="M1448" s="4">
        <v>144</v>
      </c>
      <c r="N1448" s="4">
        <v>37</v>
      </c>
      <c r="O1448" s="4">
        <v>1192</v>
      </c>
      <c r="P1448" s="4">
        <v>0</v>
      </c>
      <c r="Q1448" s="4">
        <v>215</v>
      </c>
      <c r="R1448" s="4">
        <v>1.5</v>
      </c>
      <c r="S1448" s="4">
        <v>38</v>
      </c>
      <c r="T1448" s="4">
        <v>0</v>
      </c>
      <c r="U1448" s="4">
        <v>0</v>
      </c>
      <c r="V1448" s="4">
        <v>0</v>
      </c>
    </row>
    <row r="1449" spans="1:22" x14ac:dyDescent="0.15">
      <c r="A1449" s="4" t="s">
        <v>2662</v>
      </c>
      <c r="D1449" s="4">
        <f t="shared" si="17"/>
        <v>308</v>
      </c>
      <c r="E1449" s="4">
        <v>35</v>
      </c>
      <c r="H1449" s="29">
        <v>1001</v>
      </c>
      <c r="I1449" s="4">
        <v>582</v>
      </c>
      <c r="L1449" s="30">
        <v>800</v>
      </c>
      <c r="M1449" s="4">
        <v>148</v>
      </c>
      <c r="N1449" s="4">
        <v>38</v>
      </c>
      <c r="O1449" s="4">
        <v>1216</v>
      </c>
      <c r="P1449" s="4">
        <v>0</v>
      </c>
      <c r="Q1449" s="4">
        <v>220</v>
      </c>
      <c r="R1449" s="4">
        <v>1.5</v>
      </c>
      <c r="S1449" s="4">
        <v>39</v>
      </c>
      <c r="T1449" s="4">
        <v>0</v>
      </c>
      <c r="U1449" s="4">
        <v>0</v>
      </c>
      <c r="V1449" s="4">
        <v>0</v>
      </c>
    </row>
    <row r="1450" spans="1:22" x14ac:dyDescent="0.15">
      <c r="A1450" s="4" t="s">
        <v>2662</v>
      </c>
      <c r="D1450" s="4">
        <f t="shared" ref="D1450:D1513" si="19">D1398+1</f>
        <v>308</v>
      </c>
      <c r="E1450" s="4">
        <v>36</v>
      </c>
      <c r="H1450" s="29">
        <v>1001</v>
      </c>
      <c r="I1450" s="4">
        <v>596</v>
      </c>
      <c r="L1450" s="30">
        <v>800</v>
      </c>
      <c r="M1450" s="4">
        <v>152</v>
      </c>
      <c r="N1450" s="4">
        <v>39</v>
      </c>
      <c r="O1450" s="4">
        <v>1240</v>
      </c>
      <c r="P1450" s="4">
        <v>0</v>
      </c>
      <c r="Q1450" s="4">
        <v>225</v>
      </c>
      <c r="R1450" s="4">
        <v>1.5</v>
      </c>
      <c r="S1450" s="4">
        <v>40</v>
      </c>
      <c r="T1450" s="4">
        <v>0</v>
      </c>
      <c r="U1450" s="4">
        <v>0</v>
      </c>
      <c r="V1450" s="4">
        <v>0</v>
      </c>
    </row>
    <row r="1451" spans="1:22" x14ac:dyDescent="0.15">
      <c r="A1451" s="4" t="s">
        <v>2662</v>
      </c>
      <c r="D1451" s="4">
        <f t="shared" si="19"/>
        <v>308</v>
      </c>
      <c r="E1451" s="4">
        <v>37</v>
      </c>
      <c r="H1451" s="29">
        <v>1001</v>
      </c>
      <c r="I1451" s="4">
        <v>610</v>
      </c>
      <c r="L1451" s="30">
        <v>800</v>
      </c>
      <c r="M1451" s="4">
        <v>156</v>
      </c>
      <c r="N1451" s="4">
        <v>40</v>
      </c>
      <c r="O1451" s="4">
        <v>1264</v>
      </c>
      <c r="P1451" s="4">
        <v>0</v>
      </c>
      <c r="Q1451" s="4">
        <v>230</v>
      </c>
      <c r="R1451" s="4">
        <v>1.5</v>
      </c>
      <c r="S1451" s="4">
        <v>41</v>
      </c>
      <c r="T1451" s="4">
        <v>0</v>
      </c>
      <c r="U1451" s="4">
        <v>0</v>
      </c>
      <c r="V1451" s="4">
        <v>0</v>
      </c>
    </row>
    <row r="1452" spans="1:22" x14ac:dyDescent="0.15">
      <c r="A1452" s="4" t="s">
        <v>2662</v>
      </c>
      <c r="D1452" s="4">
        <f t="shared" si="19"/>
        <v>308</v>
      </c>
      <c r="E1452" s="4">
        <v>38</v>
      </c>
      <c r="H1452" s="29">
        <v>1001</v>
      </c>
      <c r="I1452" s="4">
        <v>624</v>
      </c>
      <c r="L1452" s="30">
        <v>800</v>
      </c>
      <c r="M1452" s="4">
        <v>160</v>
      </c>
      <c r="N1452" s="4">
        <v>41</v>
      </c>
      <c r="O1452" s="4">
        <v>1288</v>
      </c>
      <c r="P1452" s="4">
        <v>0</v>
      </c>
      <c r="Q1452" s="4">
        <v>235</v>
      </c>
      <c r="R1452" s="4">
        <v>1.5</v>
      </c>
      <c r="S1452" s="4">
        <v>42</v>
      </c>
      <c r="T1452" s="4">
        <v>0</v>
      </c>
      <c r="U1452" s="4">
        <v>0</v>
      </c>
      <c r="V1452" s="4">
        <v>0</v>
      </c>
    </row>
    <row r="1453" spans="1:22" x14ac:dyDescent="0.15">
      <c r="A1453" s="4" t="s">
        <v>2662</v>
      </c>
      <c r="D1453" s="4">
        <f t="shared" si="19"/>
        <v>308</v>
      </c>
      <c r="E1453" s="4">
        <v>39</v>
      </c>
      <c r="H1453" s="29">
        <v>1001</v>
      </c>
      <c r="I1453" s="4">
        <v>638</v>
      </c>
      <c r="L1453" s="30">
        <v>800</v>
      </c>
      <c r="M1453" s="4">
        <v>164</v>
      </c>
      <c r="N1453" s="4">
        <v>42</v>
      </c>
      <c r="O1453" s="4">
        <v>1312</v>
      </c>
      <c r="P1453" s="4">
        <v>0</v>
      </c>
      <c r="Q1453" s="4">
        <v>240</v>
      </c>
      <c r="R1453" s="4">
        <v>1.5</v>
      </c>
      <c r="S1453" s="4">
        <v>43</v>
      </c>
      <c r="T1453" s="4">
        <v>0</v>
      </c>
      <c r="U1453" s="4">
        <v>0</v>
      </c>
      <c r="V1453" s="4">
        <v>0</v>
      </c>
    </row>
    <row r="1454" spans="1:22" x14ac:dyDescent="0.15">
      <c r="A1454" s="4" t="s">
        <v>2662</v>
      </c>
      <c r="D1454" s="4">
        <f t="shared" si="19"/>
        <v>308</v>
      </c>
      <c r="E1454" s="4">
        <v>40</v>
      </c>
      <c r="H1454" s="29">
        <v>1001</v>
      </c>
      <c r="I1454" s="4">
        <v>652</v>
      </c>
      <c r="L1454" s="30">
        <v>800</v>
      </c>
      <c r="M1454" s="4">
        <v>168</v>
      </c>
      <c r="N1454" s="4">
        <v>43</v>
      </c>
      <c r="O1454" s="4">
        <v>1336</v>
      </c>
      <c r="P1454" s="4">
        <v>0</v>
      </c>
      <c r="Q1454" s="4">
        <v>245</v>
      </c>
      <c r="R1454" s="4">
        <v>1.5</v>
      </c>
      <c r="S1454" s="4">
        <v>44</v>
      </c>
      <c r="T1454" s="4">
        <v>0</v>
      </c>
      <c r="U1454" s="4">
        <v>0</v>
      </c>
      <c r="V1454" s="4">
        <v>0</v>
      </c>
    </row>
    <row r="1455" spans="1:22" x14ac:dyDescent="0.15">
      <c r="A1455" s="4" t="s">
        <v>2662</v>
      </c>
      <c r="D1455" s="4">
        <f t="shared" si="19"/>
        <v>308</v>
      </c>
      <c r="E1455" s="4">
        <v>41</v>
      </c>
      <c r="H1455" s="29">
        <v>1001</v>
      </c>
      <c r="I1455" s="4">
        <v>666</v>
      </c>
      <c r="L1455" s="30">
        <v>800</v>
      </c>
      <c r="M1455" s="4">
        <v>172</v>
      </c>
      <c r="N1455" s="4">
        <v>44</v>
      </c>
      <c r="O1455" s="4">
        <v>1360</v>
      </c>
      <c r="P1455" s="4">
        <v>0</v>
      </c>
      <c r="Q1455" s="4">
        <v>250</v>
      </c>
      <c r="R1455" s="4">
        <v>1.5</v>
      </c>
      <c r="S1455" s="4">
        <v>45</v>
      </c>
      <c r="T1455" s="4">
        <v>0</v>
      </c>
      <c r="U1455" s="4">
        <v>0</v>
      </c>
      <c r="V1455" s="4">
        <v>0</v>
      </c>
    </row>
    <row r="1456" spans="1:22" x14ac:dyDescent="0.15">
      <c r="A1456" s="4" t="s">
        <v>2662</v>
      </c>
      <c r="D1456" s="4">
        <f t="shared" si="19"/>
        <v>308</v>
      </c>
      <c r="E1456" s="4">
        <v>42</v>
      </c>
      <c r="H1456" s="29">
        <v>1001</v>
      </c>
      <c r="I1456" s="4">
        <v>679</v>
      </c>
      <c r="L1456" s="30">
        <v>800</v>
      </c>
      <c r="M1456" s="4">
        <v>176</v>
      </c>
      <c r="N1456" s="4">
        <v>45</v>
      </c>
      <c r="O1456" s="4">
        <v>1384</v>
      </c>
      <c r="P1456" s="4">
        <v>0</v>
      </c>
      <c r="Q1456" s="4">
        <v>255</v>
      </c>
      <c r="R1456" s="4">
        <v>1.5</v>
      </c>
      <c r="S1456" s="4">
        <v>46</v>
      </c>
      <c r="T1456" s="4">
        <v>0</v>
      </c>
      <c r="U1456" s="4">
        <v>0</v>
      </c>
      <c r="V1456" s="4">
        <v>0</v>
      </c>
    </row>
    <row r="1457" spans="1:22" x14ac:dyDescent="0.15">
      <c r="A1457" s="4" t="s">
        <v>2662</v>
      </c>
      <c r="D1457" s="4">
        <f t="shared" si="19"/>
        <v>308</v>
      </c>
      <c r="E1457" s="4">
        <v>43</v>
      </c>
      <c r="H1457" s="29">
        <v>1001</v>
      </c>
      <c r="I1457" s="4">
        <v>693</v>
      </c>
      <c r="L1457" s="30">
        <v>800</v>
      </c>
      <c r="M1457" s="4">
        <v>180</v>
      </c>
      <c r="N1457" s="4">
        <v>46</v>
      </c>
      <c r="O1457" s="4">
        <v>1408</v>
      </c>
      <c r="P1457" s="4">
        <v>0</v>
      </c>
      <c r="Q1457" s="4">
        <v>260</v>
      </c>
      <c r="R1457" s="4">
        <v>1.5</v>
      </c>
      <c r="S1457" s="4">
        <v>47</v>
      </c>
      <c r="T1457" s="4">
        <v>0</v>
      </c>
      <c r="U1457" s="4">
        <v>0</v>
      </c>
      <c r="V1457" s="4">
        <v>0</v>
      </c>
    </row>
    <row r="1458" spans="1:22" x14ac:dyDescent="0.15">
      <c r="A1458" s="4" t="s">
        <v>2662</v>
      </c>
      <c r="D1458" s="4">
        <f t="shared" si="19"/>
        <v>308</v>
      </c>
      <c r="E1458" s="4">
        <v>44</v>
      </c>
      <c r="H1458" s="29">
        <v>1001</v>
      </c>
      <c r="I1458" s="4">
        <v>707</v>
      </c>
      <c r="L1458" s="30">
        <v>800</v>
      </c>
      <c r="M1458" s="4">
        <v>184</v>
      </c>
      <c r="N1458" s="4">
        <v>47</v>
      </c>
      <c r="O1458" s="4">
        <v>1432</v>
      </c>
      <c r="P1458" s="4">
        <v>0</v>
      </c>
      <c r="Q1458" s="4">
        <v>265</v>
      </c>
      <c r="R1458" s="4">
        <v>1.5</v>
      </c>
      <c r="S1458" s="4">
        <v>48</v>
      </c>
      <c r="T1458" s="4">
        <v>0</v>
      </c>
      <c r="U1458" s="4">
        <v>0</v>
      </c>
      <c r="V1458" s="4">
        <v>0</v>
      </c>
    </row>
    <row r="1459" spans="1:22" x14ac:dyDescent="0.15">
      <c r="A1459" s="4" t="s">
        <v>2662</v>
      </c>
      <c r="D1459" s="4">
        <f t="shared" si="19"/>
        <v>308</v>
      </c>
      <c r="E1459" s="4">
        <v>45</v>
      </c>
      <c r="H1459" s="29">
        <v>1001</v>
      </c>
      <c r="I1459" s="4">
        <v>721</v>
      </c>
      <c r="L1459" s="30">
        <v>800</v>
      </c>
      <c r="M1459" s="4">
        <v>188</v>
      </c>
      <c r="N1459" s="4">
        <v>48</v>
      </c>
      <c r="O1459" s="4">
        <v>1456</v>
      </c>
      <c r="P1459" s="4">
        <v>0</v>
      </c>
      <c r="Q1459" s="4">
        <v>270</v>
      </c>
      <c r="R1459" s="4">
        <v>1.5</v>
      </c>
      <c r="S1459" s="4">
        <v>49</v>
      </c>
      <c r="T1459" s="4">
        <v>0</v>
      </c>
      <c r="U1459" s="4">
        <v>0</v>
      </c>
      <c r="V1459" s="4">
        <v>0</v>
      </c>
    </row>
    <row r="1460" spans="1:22" x14ac:dyDescent="0.15">
      <c r="A1460" s="4" t="s">
        <v>2662</v>
      </c>
      <c r="D1460" s="4">
        <f t="shared" si="19"/>
        <v>308</v>
      </c>
      <c r="E1460" s="4">
        <v>46</v>
      </c>
      <c r="H1460" s="29">
        <v>1001</v>
      </c>
      <c r="I1460" s="4">
        <v>735</v>
      </c>
      <c r="L1460" s="30">
        <v>800</v>
      </c>
      <c r="M1460" s="4">
        <v>192</v>
      </c>
      <c r="N1460" s="4">
        <v>49</v>
      </c>
      <c r="O1460" s="4">
        <v>1480</v>
      </c>
      <c r="P1460" s="4">
        <v>0</v>
      </c>
      <c r="Q1460" s="4">
        <v>275</v>
      </c>
      <c r="R1460" s="4">
        <v>1.5</v>
      </c>
      <c r="S1460" s="4">
        <v>50</v>
      </c>
      <c r="T1460" s="4">
        <v>0</v>
      </c>
      <c r="U1460" s="4">
        <v>0</v>
      </c>
      <c r="V1460" s="4">
        <v>0</v>
      </c>
    </row>
    <row r="1461" spans="1:22" x14ac:dyDescent="0.15">
      <c r="A1461" s="4" t="s">
        <v>2662</v>
      </c>
      <c r="D1461" s="4">
        <f t="shared" si="19"/>
        <v>308</v>
      </c>
      <c r="E1461" s="4">
        <v>47</v>
      </c>
      <c r="H1461" s="29">
        <v>1001</v>
      </c>
      <c r="I1461" s="4">
        <v>749</v>
      </c>
      <c r="L1461" s="30">
        <v>800</v>
      </c>
      <c r="M1461" s="4">
        <v>196</v>
      </c>
      <c r="N1461" s="4">
        <v>50</v>
      </c>
      <c r="O1461" s="4">
        <v>1504</v>
      </c>
      <c r="P1461" s="4">
        <v>0</v>
      </c>
      <c r="Q1461" s="4">
        <v>280</v>
      </c>
      <c r="R1461" s="4">
        <v>1.5</v>
      </c>
      <c r="S1461" s="4">
        <v>51</v>
      </c>
      <c r="T1461" s="4">
        <v>0</v>
      </c>
      <c r="U1461" s="4">
        <v>0</v>
      </c>
      <c r="V1461" s="4">
        <v>0</v>
      </c>
    </row>
    <row r="1462" spans="1:22" x14ac:dyDescent="0.15">
      <c r="A1462" s="4" t="s">
        <v>2662</v>
      </c>
      <c r="D1462" s="4">
        <f t="shared" si="19"/>
        <v>308</v>
      </c>
      <c r="E1462" s="4">
        <v>48</v>
      </c>
      <c r="H1462" s="29">
        <v>1001</v>
      </c>
      <c r="I1462" s="4">
        <v>763</v>
      </c>
      <c r="L1462" s="30">
        <v>800</v>
      </c>
      <c r="M1462" s="4">
        <v>200</v>
      </c>
      <c r="N1462" s="4">
        <v>51</v>
      </c>
      <c r="O1462" s="4">
        <v>1528</v>
      </c>
      <c r="P1462" s="4">
        <v>0</v>
      </c>
      <c r="Q1462" s="4">
        <v>285</v>
      </c>
      <c r="R1462" s="4">
        <v>1.5</v>
      </c>
      <c r="S1462" s="4">
        <v>52</v>
      </c>
      <c r="T1462" s="4">
        <v>0</v>
      </c>
      <c r="U1462" s="4">
        <v>0</v>
      </c>
      <c r="V1462" s="4">
        <v>0</v>
      </c>
    </row>
    <row r="1463" spans="1:22" x14ac:dyDescent="0.15">
      <c r="A1463" s="4" t="s">
        <v>2662</v>
      </c>
      <c r="D1463" s="4">
        <f t="shared" si="19"/>
        <v>308</v>
      </c>
      <c r="E1463" s="4">
        <v>49</v>
      </c>
      <c r="H1463" s="29">
        <v>1001</v>
      </c>
      <c r="I1463" s="4">
        <v>777</v>
      </c>
      <c r="L1463" s="30">
        <v>800</v>
      </c>
      <c r="M1463" s="4">
        <v>204</v>
      </c>
      <c r="N1463" s="4">
        <v>52</v>
      </c>
      <c r="O1463" s="4">
        <v>1552</v>
      </c>
      <c r="P1463" s="4">
        <v>0</v>
      </c>
      <c r="Q1463" s="4">
        <v>290</v>
      </c>
      <c r="R1463" s="4">
        <v>1.5</v>
      </c>
      <c r="S1463" s="4">
        <v>53</v>
      </c>
      <c r="T1463" s="4">
        <v>0</v>
      </c>
      <c r="U1463" s="4">
        <v>0</v>
      </c>
      <c r="V1463" s="4">
        <v>0</v>
      </c>
    </row>
    <row r="1464" spans="1:22" x14ac:dyDescent="0.15">
      <c r="A1464" s="4" t="s">
        <v>2662</v>
      </c>
      <c r="D1464" s="4">
        <f t="shared" si="19"/>
        <v>308</v>
      </c>
      <c r="E1464" s="4">
        <v>50</v>
      </c>
      <c r="H1464" s="29">
        <v>1001</v>
      </c>
      <c r="I1464" s="4">
        <v>791</v>
      </c>
      <c r="L1464" s="30">
        <v>800</v>
      </c>
      <c r="M1464" s="4">
        <v>208</v>
      </c>
      <c r="N1464" s="4">
        <v>53</v>
      </c>
      <c r="O1464" s="4">
        <v>1576</v>
      </c>
      <c r="P1464" s="4">
        <v>0</v>
      </c>
      <c r="Q1464" s="4">
        <v>295</v>
      </c>
      <c r="R1464" s="4">
        <v>1.5</v>
      </c>
      <c r="S1464" s="4">
        <v>54</v>
      </c>
      <c r="T1464" s="4">
        <v>0</v>
      </c>
      <c r="U1464" s="4">
        <v>0</v>
      </c>
      <c r="V1464" s="4">
        <v>0</v>
      </c>
    </row>
    <row r="1466" spans="1:22" x14ac:dyDescent="0.15">
      <c r="A1466" s="4" t="s">
        <v>2662</v>
      </c>
      <c r="C1466" s="4" t="s">
        <v>3556</v>
      </c>
      <c r="D1466" s="4">
        <f t="shared" ref="D1466" si="20">D1414+1</f>
        <v>309</v>
      </c>
      <c r="E1466" s="4">
        <v>0</v>
      </c>
      <c r="H1466" s="29">
        <v>1000</v>
      </c>
      <c r="I1466" s="30">
        <v>299</v>
      </c>
      <c r="M1466" s="4">
        <v>0</v>
      </c>
      <c r="N1466" s="4">
        <v>0</v>
      </c>
      <c r="O1466" s="4">
        <v>0</v>
      </c>
      <c r="P1466" s="4">
        <v>0</v>
      </c>
      <c r="Q1466" s="4">
        <v>0</v>
      </c>
      <c r="R1466" s="4">
        <v>0</v>
      </c>
      <c r="S1466" s="4">
        <v>0</v>
      </c>
      <c r="T1466" s="4">
        <v>0</v>
      </c>
      <c r="U1466" s="4">
        <v>0</v>
      </c>
      <c r="V1466" s="4">
        <v>0</v>
      </c>
    </row>
    <row r="1467" spans="1:22" x14ac:dyDescent="0.15">
      <c r="A1467" s="4" t="s">
        <v>2662</v>
      </c>
      <c r="D1467" s="4">
        <f t="shared" si="19"/>
        <v>309</v>
      </c>
      <c r="E1467" s="4">
        <v>1</v>
      </c>
      <c r="H1467" s="29">
        <v>1001</v>
      </c>
      <c r="I1467" s="4">
        <v>370</v>
      </c>
      <c r="M1467" s="4">
        <v>60</v>
      </c>
      <c r="N1467" s="4">
        <v>8</v>
      </c>
      <c r="O1467" s="4">
        <v>1200</v>
      </c>
      <c r="P1467" s="4">
        <v>0</v>
      </c>
      <c r="Q1467" s="4">
        <v>120</v>
      </c>
      <c r="R1467" s="4">
        <v>1.5</v>
      </c>
      <c r="S1467" s="4">
        <v>8</v>
      </c>
      <c r="T1467" s="4">
        <v>0</v>
      </c>
      <c r="U1467" s="4">
        <v>0</v>
      </c>
      <c r="V1467" s="4">
        <v>0</v>
      </c>
    </row>
    <row r="1468" spans="1:22" x14ac:dyDescent="0.15">
      <c r="A1468" s="4" t="s">
        <v>2662</v>
      </c>
      <c r="D1468" s="4">
        <f t="shared" si="19"/>
        <v>309</v>
      </c>
      <c r="E1468" s="4">
        <v>2</v>
      </c>
      <c r="H1468" s="29">
        <v>1001</v>
      </c>
      <c r="I1468" s="4">
        <v>414</v>
      </c>
      <c r="L1468" s="30">
        <v>800</v>
      </c>
      <c r="M1468" s="4">
        <v>72</v>
      </c>
      <c r="N1468" s="4">
        <v>12</v>
      </c>
      <c r="O1468" s="4">
        <v>1286</v>
      </c>
      <c r="P1468" s="4">
        <v>0</v>
      </c>
      <c r="Q1468" s="4">
        <v>128</v>
      </c>
      <c r="R1468" s="4">
        <v>1.5</v>
      </c>
      <c r="S1468" s="4">
        <v>9</v>
      </c>
      <c r="T1468" s="4">
        <v>0</v>
      </c>
      <c r="U1468" s="4">
        <v>0</v>
      </c>
      <c r="V1468" s="4">
        <v>0</v>
      </c>
    </row>
    <row r="1469" spans="1:22" x14ac:dyDescent="0.15">
      <c r="A1469" s="4" t="s">
        <v>2662</v>
      </c>
      <c r="D1469" s="4">
        <f t="shared" si="19"/>
        <v>309</v>
      </c>
      <c r="E1469" s="4">
        <v>3</v>
      </c>
      <c r="H1469" s="29">
        <v>1001</v>
      </c>
      <c r="I1469" s="4">
        <v>458</v>
      </c>
      <c r="L1469" s="30">
        <v>800</v>
      </c>
      <c r="M1469" s="4">
        <v>84</v>
      </c>
      <c r="N1469" s="4">
        <v>16</v>
      </c>
      <c r="O1469" s="4">
        <v>1372</v>
      </c>
      <c r="P1469" s="4">
        <v>0</v>
      </c>
      <c r="Q1469" s="4">
        <v>136</v>
      </c>
      <c r="R1469" s="4">
        <v>1.5</v>
      </c>
      <c r="S1469" s="4">
        <v>10</v>
      </c>
      <c r="T1469" s="4">
        <v>0</v>
      </c>
      <c r="U1469" s="4">
        <v>0</v>
      </c>
      <c r="V1469" s="4">
        <v>0</v>
      </c>
    </row>
    <row r="1470" spans="1:22" x14ac:dyDescent="0.15">
      <c r="A1470" s="4" t="s">
        <v>2662</v>
      </c>
      <c r="D1470" s="4">
        <f t="shared" si="19"/>
        <v>309</v>
      </c>
      <c r="E1470" s="4">
        <v>4</v>
      </c>
      <c r="H1470" s="29">
        <v>1001</v>
      </c>
      <c r="I1470" s="4">
        <v>502</v>
      </c>
      <c r="L1470" s="30">
        <v>800</v>
      </c>
      <c r="M1470" s="4">
        <v>96</v>
      </c>
      <c r="N1470" s="4">
        <v>20</v>
      </c>
      <c r="O1470" s="4">
        <v>1458</v>
      </c>
      <c r="P1470" s="4">
        <v>0</v>
      </c>
      <c r="Q1470" s="4">
        <v>144</v>
      </c>
      <c r="R1470" s="4">
        <v>1.5</v>
      </c>
      <c r="S1470" s="4">
        <v>11</v>
      </c>
      <c r="T1470" s="4">
        <v>0</v>
      </c>
      <c r="U1470" s="4">
        <v>0</v>
      </c>
      <c r="V1470" s="4">
        <v>0</v>
      </c>
    </row>
    <row r="1471" spans="1:22" x14ac:dyDescent="0.15">
      <c r="A1471" s="4" t="s">
        <v>2662</v>
      </c>
      <c r="D1471" s="4">
        <f t="shared" si="19"/>
        <v>309</v>
      </c>
      <c r="E1471" s="4">
        <v>5</v>
      </c>
      <c r="H1471" s="29">
        <v>1001</v>
      </c>
      <c r="I1471" s="4">
        <v>546</v>
      </c>
      <c r="L1471" s="30">
        <v>800</v>
      </c>
      <c r="M1471" s="4">
        <v>108</v>
      </c>
      <c r="N1471" s="4">
        <v>24</v>
      </c>
      <c r="O1471" s="4">
        <v>1544</v>
      </c>
      <c r="P1471" s="4">
        <v>0</v>
      </c>
      <c r="Q1471" s="4">
        <v>152</v>
      </c>
      <c r="R1471" s="4">
        <v>1.5</v>
      </c>
      <c r="S1471" s="4">
        <v>12</v>
      </c>
      <c r="T1471" s="4">
        <v>0</v>
      </c>
      <c r="U1471" s="4">
        <v>0</v>
      </c>
      <c r="V1471" s="4">
        <v>0</v>
      </c>
    </row>
    <row r="1472" spans="1:22" x14ac:dyDescent="0.15">
      <c r="A1472" s="4" t="s">
        <v>2662</v>
      </c>
      <c r="D1472" s="4">
        <f t="shared" si="19"/>
        <v>309</v>
      </c>
      <c r="E1472" s="4">
        <v>6</v>
      </c>
      <c r="H1472" s="29">
        <v>1001</v>
      </c>
      <c r="I1472" s="4">
        <v>590</v>
      </c>
      <c r="L1472" s="30">
        <v>800</v>
      </c>
      <c r="M1472" s="4">
        <v>120</v>
      </c>
      <c r="N1472" s="4">
        <v>28</v>
      </c>
      <c r="O1472" s="4">
        <v>1630</v>
      </c>
      <c r="P1472" s="4">
        <v>0</v>
      </c>
      <c r="Q1472" s="4">
        <v>160</v>
      </c>
      <c r="R1472" s="4">
        <v>1.5</v>
      </c>
      <c r="S1472" s="4">
        <v>13</v>
      </c>
      <c r="T1472" s="4">
        <v>0</v>
      </c>
      <c r="U1472" s="4">
        <v>0</v>
      </c>
      <c r="V1472" s="4">
        <v>0</v>
      </c>
    </row>
    <row r="1473" spans="1:22" x14ac:dyDescent="0.15">
      <c r="A1473" s="4" t="s">
        <v>2662</v>
      </c>
      <c r="D1473" s="4">
        <f t="shared" si="19"/>
        <v>309</v>
      </c>
      <c r="E1473" s="4">
        <v>7</v>
      </c>
      <c r="H1473" s="29">
        <v>1001</v>
      </c>
      <c r="I1473" s="4">
        <v>634</v>
      </c>
      <c r="L1473" s="30">
        <v>800</v>
      </c>
      <c r="M1473" s="4">
        <v>132</v>
      </c>
      <c r="N1473" s="4">
        <v>32</v>
      </c>
      <c r="O1473" s="4">
        <v>1716</v>
      </c>
      <c r="P1473" s="4">
        <v>0</v>
      </c>
      <c r="Q1473" s="4">
        <v>168</v>
      </c>
      <c r="R1473" s="4">
        <v>1.5</v>
      </c>
      <c r="S1473" s="4">
        <v>14</v>
      </c>
      <c r="T1473" s="4">
        <v>0</v>
      </c>
      <c r="U1473" s="4">
        <v>0</v>
      </c>
      <c r="V1473" s="4">
        <v>0</v>
      </c>
    </row>
    <row r="1474" spans="1:22" x14ac:dyDescent="0.15">
      <c r="A1474" s="4" t="s">
        <v>2662</v>
      </c>
      <c r="D1474" s="4">
        <f t="shared" si="19"/>
        <v>309</v>
      </c>
      <c r="E1474" s="4">
        <v>8</v>
      </c>
      <c r="H1474" s="29">
        <v>1001</v>
      </c>
      <c r="I1474" s="4">
        <v>677</v>
      </c>
      <c r="L1474" s="30">
        <v>800</v>
      </c>
      <c r="M1474" s="4">
        <v>144</v>
      </c>
      <c r="N1474" s="4">
        <v>36</v>
      </c>
      <c r="O1474" s="4">
        <v>1802</v>
      </c>
      <c r="P1474" s="4">
        <v>0</v>
      </c>
      <c r="Q1474" s="4">
        <v>176</v>
      </c>
      <c r="R1474" s="4">
        <v>1.5</v>
      </c>
      <c r="S1474" s="4">
        <v>15</v>
      </c>
      <c r="T1474" s="4">
        <v>0</v>
      </c>
      <c r="U1474" s="4">
        <v>0</v>
      </c>
      <c r="V1474" s="4">
        <v>0</v>
      </c>
    </row>
    <row r="1475" spans="1:22" x14ac:dyDescent="0.15">
      <c r="A1475" s="4" t="s">
        <v>2662</v>
      </c>
      <c r="D1475" s="4">
        <f t="shared" si="19"/>
        <v>309</v>
      </c>
      <c r="E1475" s="4">
        <v>9</v>
      </c>
      <c r="H1475" s="29">
        <v>1001</v>
      </c>
      <c r="I1475" s="4">
        <v>721</v>
      </c>
      <c r="L1475" s="30">
        <v>800</v>
      </c>
      <c r="M1475" s="4">
        <v>156</v>
      </c>
      <c r="N1475" s="4">
        <v>40</v>
      </c>
      <c r="O1475" s="4">
        <v>1888</v>
      </c>
      <c r="P1475" s="4">
        <v>0</v>
      </c>
      <c r="Q1475" s="4">
        <v>184</v>
      </c>
      <c r="R1475" s="4">
        <v>1.5</v>
      </c>
      <c r="S1475" s="4">
        <v>16</v>
      </c>
      <c r="T1475" s="4">
        <v>0</v>
      </c>
      <c r="U1475" s="4">
        <v>0</v>
      </c>
      <c r="V1475" s="4">
        <v>0</v>
      </c>
    </row>
    <row r="1476" spans="1:22" x14ac:dyDescent="0.15">
      <c r="A1476" s="4" t="s">
        <v>2662</v>
      </c>
      <c r="D1476" s="4">
        <f t="shared" si="19"/>
        <v>309</v>
      </c>
      <c r="E1476" s="4">
        <v>10</v>
      </c>
      <c r="H1476" s="29">
        <v>1001</v>
      </c>
      <c r="I1476" s="4">
        <v>765</v>
      </c>
      <c r="L1476" s="30">
        <v>800</v>
      </c>
      <c r="M1476" s="4">
        <v>168</v>
      </c>
      <c r="N1476" s="4">
        <v>44</v>
      </c>
      <c r="O1476" s="4">
        <v>1974</v>
      </c>
      <c r="P1476" s="4">
        <v>0</v>
      </c>
      <c r="Q1476" s="4">
        <v>192</v>
      </c>
      <c r="R1476" s="4">
        <v>1.5</v>
      </c>
      <c r="S1476" s="4">
        <v>17</v>
      </c>
      <c r="T1476" s="4">
        <v>0</v>
      </c>
      <c r="U1476" s="4">
        <v>0</v>
      </c>
      <c r="V1476" s="4">
        <v>0</v>
      </c>
    </row>
    <row r="1477" spans="1:22" x14ac:dyDescent="0.15">
      <c r="A1477" s="4" t="s">
        <v>2662</v>
      </c>
      <c r="D1477" s="4">
        <f t="shared" si="19"/>
        <v>309</v>
      </c>
      <c r="E1477" s="4">
        <v>11</v>
      </c>
      <c r="H1477" s="29">
        <v>1001</v>
      </c>
      <c r="I1477" s="4">
        <v>809</v>
      </c>
      <c r="L1477" s="30">
        <v>800</v>
      </c>
      <c r="M1477" s="4">
        <v>180</v>
      </c>
      <c r="N1477" s="4">
        <v>48</v>
      </c>
      <c r="O1477" s="4">
        <v>2060</v>
      </c>
      <c r="P1477" s="4">
        <v>0</v>
      </c>
      <c r="Q1477" s="4">
        <v>200</v>
      </c>
      <c r="R1477" s="4">
        <v>1.5</v>
      </c>
      <c r="S1477" s="4">
        <v>18</v>
      </c>
      <c r="T1477" s="4">
        <v>0</v>
      </c>
      <c r="U1477" s="4">
        <v>0</v>
      </c>
      <c r="V1477" s="4">
        <v>0</v>
      </c>
    </row>
    <row r="1478" spans="1:22" x14ac:dyDescent="0.15">
      <c r="A1478" s="4" t="s">
        <v>2662</v>
      </c>
      <c r="D1478" s="4">
        <f t="shared" si="19"/>
        <v>309</v>
      </c>
      <c r="E1478" s="4">
        <v>12</v>
      </c>
      <c r="H1478" s="29">
        <v>1001</v>
      </c>
      <c r="I1478" s="4">
        <v>853</v>
      </c>
      <c r="L1478" s="30">
        <v>800</v>
      </c>
      <c r="M1478" s="4">
        <v>192</v>
      </c>
      <c r="N1478" s="4">
        <v>52</v>
      </c>
      <c r="O1478" s="4">
        <v>2146</v>
      </c>
      <c r="P1478" s="4">
        <v>0</v>
      </c>
      <c r="Q1478" s="4">
        <v>208</v>
      </c>
      <c r="R1478" s="4">
        <v>1.5</v>
      </c>
      <c r="S1478" s="4">
        <v>19</v>
      </c>
      <c r="T1478" s="4">
        <v>0</v>
      </c>
      <c r="U1478" s="4">
        <v>0</v>
      </c>
      <c r="V1478" s="4">
        <v>0</v>
      </c>
    </row>
    <row r="1479" spans="1:22" x14ac:dyDescent="0.15">
      <c r="A1479" s="4" t="s">
        <v>2662</v>
      </c>
      <c r="D1479" s="4">
        <f t="shared" si="19"/>
        <v>309</v>
      </c>
      <c r="E1479" s="4">
        <v>13</v>
      </c>
      <c r="H1479" s="29">
        <v>1001</v>
      </c>
      <c r="I1479" s="4">
        <v>897</v>
      </c>
      <c r="L1479" s="30">
        <v>800</v>
      </c>
      <c r="M1479" s="4">
        <v>204</v>
      </c>
      <c r="N1479" s="4">
        <v>56</v>
      </c>
      <c r="O1479" s="4">
        <v>2232</v>
      </c>
      <c r="P1479" s="4">
        <v>0</v>
      </c>
      <c r="Q1479" s="4">
        <v>216</v>
      </c>
      <c r="R1479" s="4">
        <v>1.5</v>
      </c>
      <c r="S1479" s="4">
        <v>20</v>
      </c>
      <c r="T1479" s="4">
        <v>0</v>
      </c>
      <c r="U1479" s="4">
        <v>0</v>
      </c>
      <c r="V1479" s="4">
        <v>0</v>
      </c>
    </row>
    <row r="1480" spans="1:22" x14ac:dyDescent="0.15">
      <c r="A1480" s="4" t="s">
        <v>2662</v>
      </c>
      <c r="D1480" s="4">
        <f t="shared" si="19"/>
        <v>309</v>
      </c>
      <c r="E1480" s="4">
        <v>14</v>
      </c>
      <c r="H1480" s="29">
        <v>1001</v>
      </c>
      <c r="I1480" s="4">
        <v>941</v>
      </c>
      <c r="L1480" s="30">
        <v>800</v>
      </c>
      <c r="M1480" s="4">
        <v>216</v>
      </c>
      <c r="N1480" s="4">
        <v>60</v>
      </c>
      <c r="O1480" s="4">
        <v>2318</v>
      </c>
      <c r="P1480" s="4">
        <v>0</v>
      </c>
      <c r="Q1480" s="4">
        <v>224</v>
      </c>
      <c r="R1480" s="4">
        <v>1.5</v>
      </c>
      <c r="S1480" s="4">
        <v>21</v>
      </c>
      <c r="T1480" s="4">
        <v>0</v>
      </c>
      <c r="U1480" s="4">
        <v>0</v>
      </c>
      <c r="V1480" s="4">
        <v>0</v>
      </c>
    </row>
    <row r="1481" spans="1:22" x14ac:dyDescent="0.15">
      <c r="A1481" s="4" t="s">
        <v>2662</v>
      </c>
      <c r="D1481" s="4">
        <f t="shared" si="19"/>
        <v>309</v>
      </c>
      <c r="E1481" s="4">
        <v>15</v>
      </c>
      <c r="H1481" s="29">
        <v>1001</v>
      </c>
      <c r="I1481" s="4">
        <v>984</v>
      </c>
      <c r="L1481" s="30">
        <v>800</v>
      </c>
      <c r="M1481" s="4">
        <v>228</v>
      </c>
      <c r="N1481" s="4">
        <v>64</v>
      </c>
      <c r="O1481" s="4">
        <v>2404</v>
      </c>
      <c r="P1481" s="4">
        <v>0</v>
      </c>
      <c r="Q1481" s="4">
        <v>232</v>
      </c>
      <c r="R1481" s="4">
        <v>1.5</v>
      </c>
      <c r="S1481" s="4">
        <v>22</v>
      </c>
      <c r="T1481" s="4">
        <v>0</v>
      </c>
      <c r="U1481" s="4">
        <v>0</v>
      </c>
      <c r="V1481" s="4">
        <v>0</v>
      </c>
    </row>
    <row r="1482" spans="1:22" x14ac:dyDescent="0.15">
      <c r="A1482" s="4" t="s">
        <v>2662</v>
      </c>
      <c r="D1482" s="4">
        <f t="shared" si="19"/>
        <v>309</v>
      </c>
      <c r="E1482" s="4">
        <v>16</v>
      </c>
      <c r="H1482" s="29">
        <v>1001</v>
      </c>
      <c r="I1482" s="4">
        <v>1028</v>
      </c>
      <c r="L1482" s="30">
        <v>800</v>
      </c>
      <c r="M1482" s="4">
        <v>240</v>
      </c>
      <c r="N1482" s="4">
        <v>68</v>
      </c>
      <c r="O1482" s="4">
        <v>2490</v>
      </c>
      <c r="P1482" s="4">
        <v>0</v>
      </c>
      <c r="Q1482" s="4">
        <v>240</v>
      </c>
      <c r="R1482" s="4">
        <v>1.5</v>
      </c>
      <c r="S1482" s="4">
        <v>23</v>
      </c>
      <c r="T1482" s="4">
        <v>0</v>
      </c>
      <c r="U1482" s="4">
        <v>0</v>
      </c>
      <c r="V1482" s="4">
        <v>0</v>
      </c>
    </row>
    <row r="1483" spans="1:22" x14ac:dyDescent="0.15">
      <c r="A1483" s="4" t="s">
        <v>2662</v>
      </c>
      <c r="D1483" s="4">
        <f t="shared" si="19"/>
        <v>309</v>
      </c>
      <c r="E1483" s="4">
        <v>17</v>
      </c>
      <c r="H1483" s="29">
        <v>1001</v>
      </c>
      <c r="I1483" s="4">
        <v>1072</v>
      </c>
      <c r="L1483" s="30">
        <v>800</v>
      </c>
      <c r="M1483" s="4">
        <v>252</v>
      </c>
      <c r="N1483" s="4">
        <v>72</v>
      </c>
      <c r="O1483" s="4">
        <v>2576</v>
      </c>
      <c r="P1483" s="4">
        <v>0</v>
      </c>
      <c r="Q1483" s="4">
        <v>248</v>
      </c>
      <c r="R1483" s="4">
        <v>1.5</v>
      </c>
      <c r="S1483" s="4">
        <v>24</v>
      </c>
      <c r="T1483" s="4">
        <v>0</v>
      </c>
      <c r="U1483" s="4">
        <v>0</v>
      </c>
      <c r="V1483" s="4">
        <v>0</v>
      </c>
    </row>
    <row r="1484" spans="1:22" x14ac:dyDescent="0.15">
      <c r="A1484" s="4" t="s">
        <v>2662</v>
      </c>
      <c r="D1484" s="4">
        <f t="shared" si="19"/>
        <v>309</v>
      </c>
      <c r="E1484" s="4">
        <v>18</v>
      </c>
      <c r="H1484" s="29">
        <v>1001</v>
      </c>
      <c r="I1484" s="4">
        <v>1116</v>
      </c>
      <c r="L1484" s="30">
        <v>800</v>
      </c>
      <c r="M1484" s="4">
        <v>264</v>
      </c>
      <c r="N1484" s="4">
        <v>76</v>
      </c>
      <c r="O1484" s="4">
        <v>2662</v>
      </c>
      <c r="P1484" s="4">
        <v>0</v>
      </c>
      <c r="Q1484" s="4">
        <v>256</v>
      </c>
      <c r="R1484" s="4">
        <v>1.5</v>
      </c>
      <c r="S1484" s="4">
        <v>25</v>
      </c>
      <c r="T1484" s="4">
        <v>0</v>
      </c>
      <c r="U1484" s="4">
        <v>0</v>
      </c>
      <c r="V1484" s="4">
        <v>0</v>
      </c>
    </row>
    <row r="1485" spans="1:22" x14ac:dyDescent="0.15">
      <c r="A1485" s="4" t="s">
        <v>2662</v>
      </c>
      <c r="D1485" s="4">
        <f t="shared" si="19"/>
        <v>309</v>
      </c>
      <c r="E1485" s="4">
        <v>19</v>
      </c>
      <c r="H1485" s="29">
        <v>1001</v>
      </c>
      <c r="I1485" s="4">
        <v>1160</v>
      </c>
      <c r="L1485" s="30">
        <v>800</v>
      </c>
      <c r="M1485" s="4">
        <v>276</v>
      </c>
      <c r="N1485" s="4">
        <v>80</v>
      </c>
      <c r="O1485" s="4">
        <v>2748</v>
      </c>
      <c r="P1485" s="4">
        <v>0</v>
      </c>
      <c r="Q1485" s="4">
        <v>264</v>
      </c>
      <c r="R1485" s="4">
        <v>1.5</v>
      </c>
      <c r="S1485" s="4">
        <v>26</v>
      </c>
      <c r="T1485" s="4">
        <v>0</v>
      </c>
      <c r="U1485" s="4">
        <v>0</v>
      </c>
      <c r="V1485" s="4">
        <v>0</v>
      </c>
    </row>
    <row r="1486" spans="1:22" x14ac:dyDescent="0.15">
      <c r="A1486" s="4" t="s">
        <v>2662</v>
      </c>
      <c r="D1486" s="4">
        <f t="shared" si="19"/>
        <v>309</v>
      </c>
      <c r="E1486" s="4">
        <v>20</v>
      </c>
      <c r="H1486" s="29">
        <v>1001</v>
      </c>
      <c r="I1486" s="4">
        <v>1204</v>
      </c>
      <c r="L1486" s="30">
        <v>800</v>
      </c>
      <c r="M1486" s="4">
        <v>288</v>
      </c>
      <c r="N1486" s="4">
        <v>84</v>
      </c>
      <c r="O1486" s="4">
        <v>2834</v>
      </c>
      <c r="P1486" s="4">
        <v>0</v>
      </c>
      <c r="Q1486" s="4">
        <v>272</v>
      </c>
      <c r="R1486" s="4">
        <v>1.5</v>
      </c>
      <c r="S1486" s="4">
        <v>27</v>
      </c>
      <c r="T1486" s="4">
        <v>0</v>
      </c>
      <c r="U1486" s="4">
        <v>0</v>
      </c>
      <c r="V1486" s="4">
        <v>0</v>
      </c>
    </row>
    <row r="1487" spans="1:22" x14ac:dyDescent="0.15">
      <c r="A1487" s="4" t="s">
        <v>2662</v>
      </c>
      <c r="D1487" s="4">
        <f t="shared" si="19"/>
        <v>309</v>
      </c>
      <c r="E1487" s="4">
        <v>21</v>
      </c>
      <c r="H1487" s="29">
        <v>1001</v>
      </c>
      <c r="I1487" s="4">
        <v>1248</v>
      </c>
      <c r="L1487" s="30">
        <v>800</v>
      </c>
      <c r="M1487" s="4">
        <v>300</v>
      </c>
      <c r="N1487" s="4">
        <v>88</v>
      </c>
      <c r="O1487" s="4">
        <v>2920</v>
      </c>
      <c r="P1487" s="4">
        <v>0</v>
      </c>
      <c r="Q1487" s="4">
        <v>280</v>
      </c>
      <c r="R1487" s="4">
        <v>1.5</v>
      </c>
      <c r="S1487" s="4">
        <v>28</v>
      </c>
      <c r="T1487" s="4">
        <v>0</v>
      </c>
      <c r="U1487" s="4">
        <v>0</v>
      </c>
      <c r="V1487" s="4">
        <v>0</v>
      </c>
    </row>
    <row r="1488" spans="1:22" x14ac:dyDescent="0.15">
      <c r="A1488" s="4" t="s">
        <v>2662</v>
      </c>
      <c r="D1488" s="4">
        <f t="shared" si="19"/>
        <v>309</v>
      </c>
      <c r="E1488" s="4">
        <v>22</v>
      </c>
      <c r="H1488" s="29">
        <v>1001</v>
      </c>
      <c r="I1488" s="4">
        <v>1291</v>
      </c>
      <c r="L1488" s="30">
        <v>800</v>
      </c>
      <c r="M1488" s="4">
        <v>312</v>
      </c>
      <c r="N1488" s="4">
        <v>92</v>
      </c>
      <c r="O1488" s="4">
        <v>3006</v>
      </c>
      <c r="P1488" s="4">
        <v>0</v>
      </c>
      <c r="Q1488" s="4">
        <v>288</v>
      </c>
      <c r="R1488" s="4">
        <v>1.5</v>
      </c>
      <c r="S1488" s="4">
        <v>29</v>
      </c>
      <c r="T1488" s="4">
        <v>0</v>
      </c>
      <c r="U1488" s="4">
        <v>0</v>
      </c>
      <c r="V1488" s="4">
        <v>0</v>
      </c>
    </row>
    <row r="1489" spans="1:22" x14ac:dyDescent="0.15">
      <c r="A1489" s="4" t="s">
        <v>2662</v>
      </c>
      <c r="D1489" s="4">
        <f t="shared" si="19"/>
        <v>309</v>
      </c>
      <c r="E1489" s="4">
        <v>23</v>
      </c>
      <c r="H1489" s="29">
        <v>1001</v>
      </c>
      <c r="I1489" s="4">
        <v>1335</v>
      </c>
      <c r="L1489" s="30">
        <v>800</v>
      </c>
      <c r="M1489" s="4">
        <v>324</v>
      </c>
      <c r="N1489" s="4">
        <v>96</v>
      </c>
      <c r="O1489" s="4">
        <v>3092</v>
      </c>
      <c r="P1489" s="4">
        <v>0</v>
      </c>
      <c r="Q1489" s="4">
        <v>296</v>
      </c>
      <c r="R1489" s="4">
        <v>1.5</v>
      </c>
      <c r="S1489" s="4">
        <v>30</v>
      </c>
      <c r="T1489" s="4">
        <v>0</v>
      </c>
      <c r="U1489" s="4">
        <v>0</v>
      </c>
      <c r="V1489" s="4">
        <v>0</v>
      </c>
    </row>
    <row r="1490" spans="1:22" x14ac:dyDescent="0.15">
      <c r="A1490" s="4" t="s">
        <v>2662</v>
      </c>
      <c r="D1490" s="4">
        <f t="shared" si="19"/>
        <v>309</v>
      </c>
      <c r="E1490" s="4">
        <v>24</v>
      </c>
      <c r="H1490" s="29">
        <v>1001</v>
      </c>
      <c r="I1490" s="4">
        <v>1379</v>
      </c>
      <c r="L1490" s="30">
        <v>800</v>
      </c>
      <c r="M1490" s="4">
        <v>336</v>
      </c>
      <c r="N1490" s="4">
        <v>100</v>
      </c>
      <c r="O1490" s="4">
        <v>3178</v>
      </c>
      <c r="P1490" s="4">
        <v>0</v>
      </c>
      <c r="Q1490" s="4">
        <v>304</v>
      </c>
      <c r="R1490" s="4">
        <v>1.5</v>
      </c>
      <c r="S1490" s="4">
        <v>31</v>
      </c>
      <c r="T1490" s="4">
        <v>0</v>
      </c>
      <c r="U1490" s="4">
        <v>0</v>
      </c>
      <c r="V1490" s="4">
        <v>0</v>
      </c>
    </row>
    <row r="1491" spans="1:22" x14ac:dyDescent="0.15">
      <c r="A1491" s="4" t="s">
        <v>2662</v>
      </c>
      <c r="D1491" s="4">
        <f t="shared" si="19"/>
        <v>309</v>
      </c>
      <c r="E1491" s="4">
        <v>25</v>
      </c>
      <c r="H1491" s="29">
        <v>1001</v>
      </c>
      <c r="I1491" s="4">
        <v>1423</v>
      </c>
      <c r="L1491" s="30">
        <v>800</v>
      </c>
      <c r="M1491" s="4">
        <v>348</v>
      </c>
      <c r="N1491" s="4">
        <v>104</v>
      </c>
      <c r="O1491" s="4">
        <v>3264</v>
      </c>
      <c r="P1491" s="4">
        <v>0</v>
      </c>
      <c r="Q1491" s="4">
        <v>312</v>
      </c>
      <c r="R1491" s="4">
        <v>1.5</v>
      </c>
      <c r="S1491" s="4">
        <v>32</v>
      </c>
      <c r="T1491" s="4">
        <v>0</v>
      </c>
      <c r="U1491" s="4">
        <v>0</v>
      </c>
      <c r="V1491" s="4">
        <v>0</v>
      </c>
    </row>
    <row r="1492" spans="1:22" x14ac:dyDescent="0.15">
      <c r="A1492" s="4" t="s">
        <v>2662</v>
      </c>
      <c r="D1492" s="4">
        <f t="shared" si="19"/>
        <v>309</v>
      </c>
      <c r="E1492" s="4">
        <v>26</v>
      </c>
      <c r="H1492" s="29">
        <v>1001</v>
      </c>
      <c r="I1492" s="4">
        <v>1467</v>
      </c>
      <c r="L1492" s="30">
        <v>800</v>
      </c>
      <c r="M1492" s="4">
        <v>360</v>
      </c>
      <c r="N1492" s="4">
        <v>108</v>
      </c>
      <c r="O1492" s="4">
        <v>3350</v>
      </c>
      <c r="P1492" s="4">
        <v>0</v>
      </c>
      <c r="Q1492" s="4">
        <v>320</v>
      </c>
      <c r="R1492" s="4">
        <v>1.5</v>
      </c>
      <c r="S1492" s="4">
        <v>33</v>
      </c>
      <c r="T1492" s="4">
        <v>0</v>
      </c>
      <c r="U1492" s="4">
        <v>0</v>
      </c>
      <c r="V1492" s="4">
        <v>0</v>
      </c>
    </row>
    <row r="1493" spans="1:22" x14ac:dyDescent="0.15">
      <c r="A1493" s="4" t="s">
        <v>2662</v>
      </c>
      <c r="D1493" s="4">
        <f t="shared" si="19"/>
        <v>309</v>
      </c>
      <c r="E1493" s="4">
        <v>27</v>
      </c>
      <c r="H1493" s="29">
        <v>1001</v>
      </c>
      <c r="I1493" s="4">
        <v>1511</v>
      </c>
      <c r="L1493" s="30">
        <v>800</v>
      </c>
      <c r="M1493" s="4">
        <v>372</v>
      </c>
      <c r="N1493" s="4">
        <v>112</v>
      </c>
      <c r="O1493" s="4">
        <v>3436</v>
      </c>
      <c r="P1493" s="4">
        <v>0</v>
      </c>
      <c r="Q1493" s="4">
        <v>328</v>
      </c>
      <c r="R1493" s="4">
        <v>1.5</v>
      </c>
      <c r="S1493" s="4">
        <v>34</v>
      </c>
      <c r="T1493" s="4">
        <v>0</v>
      </c>
      <c r="U1493" s="4">
        <v>0</v>
      </c>
      <c r="V1493" s="4">
        <v>0</v>
      </c>
    </row>
    <row r="1494" spans="1:22" x14ac:dyDescent="0.15">
      <c r="A1494" s="4" t="s">
        <v>2662</v>
      </c>
      <c r="D1494" s="4">
        <f t="shared" si="19"/>
        <v>309</v>
      </c>
      <c r="E1494" s="4">
        <v>28</v>
      </c>
      <c r="H1494" s="29">
        <v>1001</v>
      </c>
      <c r="I1494" s="4">
        <v>1555</v>
      </c>
      <c r="L1494" s="30">
        <v>800</v>
      </c>
      <c r="M1494" s="4">
        <v>384</v>
      </c>
      <c r="N1494" s="4">
        <v>116</v>
      </c>
      <c r="O1494" s="4">
        <v>3522</v>
      </c>
      <c r="P1494" s="4">
        <v>0</v>
      </c>
      <c r="Q1494" s="4">
        <v>336</v>
      </c>
      <c r="R1494" s="4">
        <v>1.5</v>
      </c>
      <c r="S1494" s="4">
        <v>35</v>
      </c>
      <c r="T1494" s="4">
        <v>0</v>
      </c>
      <c r="U1494" s="4">
        <v>0</v>
      </c>
      <c r="V1494" s="4">
        <v>0</v>
      </c>
    </row>
    <row r="1495" spans="1:22" x14ac:dyDescent="0.15">
      <c r="A1495" s="4" t="s">
        <v>2662</v>
      </c>
      <c r="D1495" s="4">
        <f t="shared" si="19"/>
        <v>309</v>
      </c>
      <c r="E1495" s="4">
        <v>29</v>
      </c>
      <c r="H1495" s="29">
        <v>1001</v>
      </c>
      <c r="I1495" s="4">
        <v>1598</v>
      </c>
      <c r="L1495" s="30">
        <v>800</v>
      </c>
      <c r="M1495" s="4">
        <v>396</v>
      </c>
      <c r="N1495" s="4">
        <v>120</v>
      </c>
      <c r="O1495" s="4">
        <v>3608</v>
      </c>
      <c r="P1495" s="4">
        <v>0</v>
      </c>
      <c r="Q1495" s="4">
        <v>344</v>
      </c>
      <c r="R1495" s="4">
        <v>1.5</v>
      </c>
      <c r="S1495" s="4">
        <v>36</v>
      </c>
      <c r="T1495" s="4">
        <v>0</v>
      </c>
      <c r="U1495" s="4">
        <v>0</v>
      </c>
      <c r="V1495" s="4">
        <v>0</v>
      </c>
    </row>
    <row r="1496" spans="1:22" x14ac:dyDescent="0.15">
      <c r="A1496" s="4" t="s">
        <v>2662</v>
      </c>
      <c r="D1496" s="4">
        <f t="shared" si="19"/>
        <v>309</v>
      </c>
      <c r="E1496" s="4">
        <v>30</v>
      </c>
      <c r="H1496" s="29">
        <v>1001</v>
      </c>
      <c r="I1496" s="4">
        <v>1642</v>
      </c>
      <c r="L1496" s="30">
        <v>800</v>
      </c>
      <c r="M1496" s="4">
        <v>408</v>
      </c>
      <c r="N1496" s="4">
        <v>124</v>
      </c>
      <c r="O1496" s="4">
        <v>3694</v>
      </c>
      <c r="P1496" s="4">
        <v>0</v>
      </c>
      <c r="Q1496" s="4">
        <v>352</v>
      </c>
      <c r="R1496" s="4">
        <v>1.5</v>
      </c>
      <c r="S1496" s="4">
        <v>37</v>
      </c>
      <c r="T1496" s="4">
        <v>0</v>
      </c>
      <c r="U1496" s="4">
        <v>0</v>
      </c>
      <c r="V1496" s="4">
        <v>0</v>
      </c>
    </row>
    <row r="1497" spans="1:22" x14ac:dyDescent="0.15">
      <c r="A1497" s="4" t="s">
        <v>2662</v>
      </c>
      <c r="D1497" s="4">
        <f t="shared" si="19"/>
        <v>309</v>
      </c>
      <c r="E1497" s="4">
        <v>31</v>
      </c>
      <c r="H1497" s="29">
        <v>1001</v>
      </c>
      <c r="I1497" s="4">
        <v>1686</v>
      </c>
      <c r="L1497" s="30">
        <v>800</v>
      </c>
      <c r="M1497" s="4">
        <v>420</v>
      </c>
      <c r="N1497" s="4">
        <v>128</v>
      </c>
      <c r="O1497" s="4">
        <v>3780</v>
      </c>
      <c r="P1497" s="4">
        <v>0</v>
      </c>
      <c r="Q1497" s="4">
        <v>360</v>
      </c>
      <c r="R1497" s="4">
        <v>1.5</v>
      </c>
      <c r="S1497" s="4">
        <v>38</v>
      </c>
      <c r="T1497" s="4">
        <v>0</v>
      </c>
      <c r="U1497" s="4">
        <v>0</v>
      </c>
      <c r="V1497" s="4">
        <v>0</v>
      </c>
    </row>
    <row r="1498" spans="1:22" x14ac:dyDescent="0.15">
      <c r="A1498" s="4" t="s">
        <v>2662</v>
      </c>
      <c r="D1498" s="4">
        <f t="shared" si="19"/>
        <v>309</v>
      </c>
      <c r="E1498" s="4">
        <v>32</v>
      </c>
      <c r="H1498" s="29">
        <v>1001</v>
      </c>
      <c r="I1498" s="4">
        <v>1730</v>
      </c>
      <c r="L1498" s="30">
        <v>800</v>
      </c>
      <c r="M1498" s="4">
        <v>432</v>
      </c>
      <c r="N1498" s="4">
        <v>132</v>
      </c>
      <c r="O1498" s="4">
        <v>3866</v>
      </c>
      <c r="P1498" s="4">
        <v>0</v>
      </c>
      <c r="Q1498" s="4">
        <v>368</v>
      </c>
      <c r="R1498" s="4">
        <v>1.5</v>
      </c>
      <c r="S1498" s="4">
        <v>39</v>
      </c>
      <c r="T1498" s="4">
        <v>0</v>
      </c>
      <c r="U1498" s="4">
        <v>0</v>
      </c>
      <c r="V1498" s="4">
        <v>0</v>
      </c>
    </row>
    <row r="1499" spans="1:22" x14ac:dyDescent="0.15">
      <c r="A1499" s="4" t="s">
        <v>2662</v>
      </c>
      <c r="D1499" s="4">
        <f t="shared" si="19"/>
        <v>309</v>
      </c>
      <c r="E1499" s="4">
        <v>33</v>
      </c>
      <c r="H1499" s="29">
        <v>1001</v>
      </c>
      <c r="I1499" s="4">
        <v>1774</v>
      </c>
      <c r="L1499" s="30">
        <v>800</v>
      </c>
      <c r="M1499" s="4">
        <v>444</v>
      </c>
      <c r="N1499" s="4">
        <v>136</v>
      </c>
      <c r="O1499" s="4">
        <v>3952</v>
      </c>
      <c r="P1499" s="4">
        <v>0</v>
      </c>
      <c r="Q1499" s="4">
        <v>376</v>
      </c>
      <c r="R1499" s="4">
        <v>1.5</v>
      </c>
      <c r="S1499" s="4">
        <v>40</v>
      </c>
      <c r="T1499" s="4">
        <v>0</v>
      </c>
      <c r="U1499" s="4">
        <v>0</v>
      </c>
      <c r="V1499" s="4">
        <v>0</v>
      </c>
    </row>
    <row r="1500" spans="1:22" x14ac:dyDescent="0.15">
      <c r="A1500" s="4" t="s">
        <v>2662</v>
      </c>
      <c r="D1500" s="4">
        <f t="shared" si="19"/>
        <v>309</v>
      </c>
      <c r="E1500" s="4">
        <v>34</v>
      </c>
      <c r="H1500" s="29">
        <v>1001</v>
      </c>
      <c r="I1500" s="4">
        <v>1818</v>
      </c>
      <c r="L1500" s="30">
        <v>800</v>
      </c>
      <c r="M1500" s="4">
        <v>456</v>
      </c>
      <c r="N1500" s="4">
        <v>140</v>
      </c>
      <c r="O1500" s="4">
        <v>4038</v>
      </c>
      <c r="P1500" s="4">
        <v>0</v>
      </c>
      <c r="Q1500" s="4">
        <v>384</v>
      </c>
      <c r="R1500" s="4">
        <v>1.5</v>
      </c>
      <c r="S1500" s="4">
        <v>41</v>
      </c>
      <c r="T1500" s="4">
        <v>0</v>
      </c>
      <c r="U1500" s="4">
        <v>0</v>
      </c>
      <c r="V1500" s="4">
        <v>0</v>
      </c>
    </row>
    <row r="1501" spans="1:22" x14ac:dyDescent="0.15">
      <c r="A1501" s="4" t="s">
        <v>2662</v>
      </c>
      <c r="D1501" s="4">
        <f t="shared" si="19"/>
        <v>309</v>
      </c>
      <c r="E1501" s="4">
        <v>35</v>
      </c>
      <c r="H1501" s="29">
        <v>1001</v>
      </c>
      <c r="I1501" s="4">
        <v>1862</v>
      </c>
      <c r="L1501" s="30">
        <v>800</v>
      </c>
      <c r="M1501" s="4">
        <v>468</v>
      </c>
      <c r="N1501" s="4">
        <v>144</v>
      </c>
      <c r="O1501" s="4">
        <v>4124</v>
      </c>
      <c r="P1501" s="4">
        <v>0</v>
      </c>
      <c r="Q1501" s="4">
        <v>392</v>
      </c>
      <c r="R1501" s="4">
        <v>1.5</v>
      </c>
      <c r="S1501" s="4">
        <v>42</v>
      </c>
      <c r="T1501" s="4">
        <v>0</v>
      </c>
      <c r="U1501" s="4">
        <v>0</v>
      </c>
      <c r="V1501" s="4">
        <v>0</v>
      </c>
    </row>
    <row r="1502" spans="1:22" x14ac:dyDescent="0.15">
      <c r="A1502" s="4" t="s">
        <v>2662</v>
      </c>
      <c r="D1502" s="4">
        <f t="shared" si="19"/>
        <v>309</v>
      </c>
      <c r="E1502" s="4">
        <v>36</v>
      </c>
      <c r="H1502" s="29">
        <v>1001</v>
      </c>
      <c r="I1502" s="4">
        <v>1906</v>
      </c>
      <c r="L1502" s="30">
        <v>800</v>
      </c>
      <c r="M1502" s="4">
        <v>480</v>
      </c>
      <c r="N1502" s="4">
        <v>148</v>
      </c>
      <c r="O1502" s="4">
        <v>4210</v>
      </c>
      <c r="P1502" s="4">
        <v>0</v>
      </c>
      <c r="Q1502" s="4">
        <v>400</v>
      </c>
      <c r="R1502" s="4">
        <v>1.5</v>
      </c>
      <c r="S1502" s="4">
        <v>43</v>
      </c>
      <c r="T1502" s="4">
        <v>0</v>
      </c>
      <c r="U1502" s="4">
        <v>0</v>
      </c>
      <c r="V1502" s="4">
        <v>0</v>
      </c>
    </row>
    <row r="1503" spans="1:22" x14ac:dyDescent="0.15">
      <c r="A1503" s="4" t="s">
        <v>2662</v>
      </c>
      <c r="D1503" s="4">
        <f t="shared" si="19"/>
        <v>309</v>
      </c>
      <c r="E1503" s="4">
        <v>37</v>
      </c>
      <c r="H1503" s="29">
        <v>1001</v>
      </c>
      <c r="I1503" s="4">
        <v>1949</v>
      </c>
      <c r="L1503" s="30">
        <v>800</v>
      </c>
      <c r="M1503" s="4">
        <v>492</v>
      </c>
      <c r="N1503" s="4">
        <v>152</v>
      </c>
      <c r="O1503" s="4">
        <v>4296</v>
      </c>
      <c r="P1503" s="4">
        <v>0</v>
      </c>
      <c r="Q1503" s="4">
        <v>408</v>
      </c>
      <c r="R1503" s="4">
        <v>1.5</v>
      </c>
      <c r="S1503" s="4">
        <v>44</v>
      </c>
      <c r="T1503" s="4">
        <v>0</v>
      </c>
      <c r="U1503" s="4">
        <v>0</v>
      </c>
      <c r="V1503" s="4">
        <v>0</v>
      </c>
    </row>
    <row r="1504" spans="1:22" x14ac:dyDescent="0.15">
      <c r="A1504" s="4" t="s">
        <v>2662</v>
      </c>
      <c r="D1504" s="4">
        <f t="shared" si="19"/>
        <v>309</v>
      </c>
      <c r="E1504" s="4">
        <v>38</v>
      </c>
      <c r="H1504" s="29">
        <v>1001</v>
      </c>
      <c r="I1504" s="4">
        <v>1993</v>
      </c>
      <c r="L1504" s="30">
        <v>800</v>
      </c>
      <c r="M1504" s="4">
        <v>504</v>
      </c>
      <c r="N1504" s="4">
        <v>156</v>
      </c>
      <c r="O1504" s="4">
        <v>4382</v>
      </c>
      <c r="P1504" s="4">
        <v>0</v>
      </c>
      <c r="Q1504" s="4">
        <v>416</v>
      </c>
      <c r="R1504" s="4">
        <v>1.5</v>
      </c>
      <c r="S1504" s="4">
        <v>45</v>
      </c>
      <c r="T1504" s="4">
        <v>0</v>
      </c>
      <c r="U1504" s="4">
        <v>0</v>
      </c>
      <c r="V1504" s="4">
        <v>0</v>
      </c>
    </row>
    <row r="1505" spans="1:22" x14ac:dyDescent="0.15">
      <c r="A1505" s="4" t="s">
        <v>2662</v>
      </c>
      <c r="D1505" s="4">
        <f t="shared" si="19"/>
        <v>309</v>
      </c>
      <c r="E1505" s="4">
        <v>39</v>
      </c>
      <c r="H1505" s="29">
        <v>1001</v>
      </c>
      <c r="I1505" s="4">
        <v>2037</v>
      </c>
      <c r="L1505" s="30">
        <v>800</v>
      </c>
      <c r="M1505" s="4">
        <v>516</v>
      </c>
      <c r="N1505" s="4">
        <v>160</v>
      </c>
      <c r="O1505" s="4">
        <v>4468</v>
      </c>
      <c r="P1505" s="4">
        <v>0</v>
      </c>
      <c r="Q1505" s="4">
        <v>424</v>
      </c>
      <c r="R1505" s="4">
        <v>1.5</v>
      </c>
      <c r="S1505" s="4">
        <v>46</v>
      </c>
      <c r="T1505" s="4">
        <v>0</v>
      </c>
      <c r="U1505" s="4">
        <v>0</v>
      </c>
      <c r="V1505" s="4">
        <v>0</v>
      </c>
    </row>
    <row r="1506" spans="1:22" x14ac:dyDescent="0.15">
      <c r="A1506" s="4" t="s">
        <v>2662</v>
      </c>
      <c r="D1506" s="4">
        <f t="shared" si="19"/>
        <v>309</v>
      </c>
      <c r="E1506" s="4">
        <v>40</v>
      </c>
      <c r="H1506" s="29">
        <v>1001</v>
      </c>
      <c r="I1506" s="4">
        <v>2081</v>
      </c>
      <c r="L1506" s="30">
        <v>800</v>
      </c>
      <c r="M1506" s="4">
        <v>528</v>
      </c>
      <c r="N1506" s="4">
        <v>164</v>
      </c>
      <c r="O1506" s="4">
        <v>4554</v>
      </c>
      <c r="P1506" s="4">
        <v>0</v>
      </c>
      <c r="Q1506" s="4">
        <v>432</v>
      </c>
      <c r="R1506" s="4">
        <v>1.5</v>
      </c>
      <c r="S1506" s="4">
        <v>47</v>
      </c>
      <c r="T1506" s="4">
        <v>0</v>
      </c>
      <c r="U1506" s="4">
        <v>0</v>
      </c>
      <c r="V1506" s="4">
        <v>0</v>
      </c>
    </row>
    <row r="1507" spans="1:22" x14ac:dyDescent="0.15">
      <c r="A1507" s="4" t="s">
        <v>2662</v>
      </c>
      <c r="D1507" s="4">
        <f t="shared" si="19"/>
        <v>309</v>
      </c>
      <c r="E1507" s="4">
        <v>41</v>
      </c>
      <c r="H1507" s="29">
        <v>1001</v>
      </c>
      <c r="I1507" s="4">
        <v>2125</v>
      </c>
      <c r="L1507" s="30">
        <v>800</v>
      </c>
      <c r="M1507" s="4">
        <v>540</v>
      </c>
      <c r="N1507" s="4">
        <v>168</v>
      </c>
      <c r="O1507" s="4">
        <v>4640</v>
      </c>
      <c r="P1507" s="4">
        <v>0</v>
      </c>
      <c r="Q1507" s="4">
        <v>440</v>
      </c>
      <c r="R1507" s="4">
        <v>1.5</v>
      </c>
      <c r="S1507" s="4">
        <v>48</v>
      </c>
      <c r="T1507" s="4">
        <v>0</v>
      </c>
      <c r="U1507" s="4">
        <v>0</v>
      </c>
      <c r="V1507" s="4">
        <v>0</v>
      </c>
    </row>
    <row r="1508" spans="1:22" x14ac:dyDescent="0.15">
      <c r="A1508" s="4" t="s">
        <v>2662</v>
      </c>
      <c r="D1508" s="4">
        <f t="shared" si="19"/>
        <v>309</v>
      </c>
      <c r="E1508" s="4">
        <v>42</v>
      </c>
      <c r="H1508" s="29">
        <v>1001</v>
      </c>
      <c r="I1508" s="4">
        <v>2169</v>
      </c>
      <c r="L1508" s="30">
        <v>800</v>
      </c>
      <c r="M1508" s="4">
        <v>552</v>
      </c>
      <c r="N1508" s="4">
        <v>172</v>
      </c>
      <c r="O1508" s="4">
        <v>4726</v>
      </c>
      <c r="P1508" s="4">
        <v>0</v>
      </c>
      <c r="Q1508" s="4">
        <v>448</v>
      </c>
      <c r="R1508" s="4">
        <v>1.5</v>
      </c>
      <c r="S1508" s="4">
        <v>49</v>
      </c>
      <c r="T1508" s="4">
        <v>0</v>
      </c>
      <c r="U1508" s="4">
        <v>0</v>
      </c>
      <c r="V1508" s="4">
        <v>0</v>
      </c>
    </row>
    <row r="1509" spans="1:22" x14ac:dyDescent="0.15">
      <c r="A1509" s="4" t="s">
        <v>2662</v>
      </c>
      <c r="D1509" s="4">
        <f t="shared" si="19"/>
        <v>309</v>
      </c>
      <c r="E1509" s="4">
        <v>43</v>
      </c>
      <c r="H1509" s="29">
        <v>1001</v>
      </c>
      <c r="I1509" s="4">
        <v>2213</v>
      </c>
      <c r="L1509" s="30">
        <v>800</v>
      </c>
      <c r="M1509" s="4">
        <v>564</v>
      </c>
      <c r="N1509" s="4">
        <v>176</v>
      </c>
      <c r="O1509" s="4">
        <v>4812</v>
      </c>
      <c r="P1509" s="4">
        <v>0</v>
      </c>
      <c r="Q1509" s="4">
        <v>456</v>
      </c>
      <c r="R1509" s="4">
        <v>1.5</v>
      </c>
      <c r="S1509" s="4">
        <v>50</v>
      </c>
      <c r="T1509" s="4">
        <v>0</v>
      </c>
      <c r="U1509" s="4">
        <v>0</v>
      </c>
      <c r="V1509" s="4">
        <v>0</v>
      </c>
    </row>
    <row r="1510" spans="1:22" x14ac:dyDescent="0.15">
      <c r="A1510" s="4" t="s">
        <v>2662</v>
      </c>
      <c r="D1510" s="4">
        <f t="shared" si="19"/>
        <v>309</v>
      </c>
      <c r="E1510" s="4">
        <v>44</v>
      </c>
      <c r="H1510" s="29">
        <v>1001</v>
      </c>
      <c r="I1510" s="4">
        <v>2256</v>
      </c>
      <c r="L1510" s="30">
        <v>800</v>
      </c>
      <c r="M1510" s="4">
        <v>576</v>
      </c>
      <c r="N1510" s="4">
        <v>180</v>
      </c>
      <c r="O1510" s="4">
        <v>4898</v>
      </c>
      <c r="P1510" s="4">
        <v>0</v>
      </c>
      <c r="Q1510" s="4">
        <v>464</v>
      </c>
      <c r="R1510" s="4">
        <v>1.5</v>
      </c>
      <c r="S1510" s="4">
        <v>51</v>
      </c>
      <c r="T1510" s="4">
        <v>0</v>
      </c>
      <c r="U1510" s="4">
        <v>0</v>
      </c>
      <c r="V1510" s="4">
        <v>0</v>
      </c>
    </row>
    <row r="1511" spans="1:22" x14ac:dyDescent="0.15">
      <c r="A1511" s="4" t="s">
        <v>2662</v>
      </c>
      <c r="D1511" s="4">
        <f t="shared" si="19"/>
        <v>309</v>
      </c>
      <c r="E1511" s="4">
        <v>45</v>
      </c>
      <c r="H1511" s="29">
        <v>1001</v>
      </c>
      <c r="I1511" s="4">
        <v>2300</v>
      </c>
      <c r="L1511" s="30">
        <v>800</v>
      </c>
      <c r="M1511" s="4">
        <v>588</v>
      </c>
      <c r="N1511" s="4">
        <v>184</v>
      </c>
      <c r="O1511" s="4">
        <v>4984</v>
      </c>
      <c r="P1511" s="4">
        <v>0</v>
      </c>
      <c r="Q1511" s="4">
        <v>472</v>
      </c>
      <c r="R1511" s="4">
        <v>1.5</v>
      </c>
      <c r="S1511" s="4">
        <v>52</v>
      </c>
      <c r="T1511" s="4">
        <v>0</v>
      </c>
      <c r="U1511" s="4">
        <v>0</v>
      </c>
      <c r="V1511" s="4">
        <v>0</v>
      </c>
    </row>
    <row r="1512" spans="1:22" x14ac:dyDescent="0.15">
      <c r="A1512" s="4" t="s">
        <v>2662</v>
      </c>
      <c r="D1512" s="4">
        <f t="shared" si="19"/>
        <v>309</v>
      </c>
      <c r="E1512" s="4">
        <v>46</v>
      </c>
      <c r="H1512" s="29">
        <v>1001</v>
      </c>
      <c r="I1512" s="4">
        <v>2344</v>
      </c>
      <c r="L1512" s="30">
        <v>800</v>
      </c>
      <c r="M1512" s="4">
        <v>600</v>
      </c>
      <c r="N1512" s="4">
        <v>188</v>
      </c>
      <c r="O1512" s="4">
        <v>5070</v>
      </c>
      <c r="P1512" s="4">
        <v>0</v>
      </c>
      <c r="Q1512" s="4">
        <v>480</v>
      </c>
      <c r="R1512" s="4">
        <v>1.5</v>
      </c>
      <c r="S1512" s="4">
        <v>53</v>
      </c>
      <c r="T1512" s="4">
        <v>0</v>
      </c>
      <c r="U1512" s="4">
        <v>0</v>
      </c>
      <c r="V1512" s="4">
        <v>0</v>
      </c>
    </row>
    <row r="1513" spans="1:22" x14ac:dyDescent="0.15">
      <c r="A1513" s="4" t="s">
        <v>2662</v>
      </c>
      <c r="D1513" s="4">
        <f t="shared" si="19"/>
        <v>309</v>
      </c>
      <c r="E1513" s="4">
        <v>47</v>
      </c>
      <c r="H1513" s="29">
        <v>1001</v>
      </c>
      <c r="I1513" s="4">
        <v>2388</v>
      </c>
      <c r="L1513" s="30">
        <v>800</v>
      </c>
      <c r="M1513" s="4">
        <v>612</v>
      </c>
      <c r="N1513" s="4">
        <v>192</v>
      </c>
      <c r="O1513" s="4">
        <v>5156</v>
      </c>
      <c r="P1513" s="4">
        <v>0</v>
      </c>
      <c r="Q1513" s="4">
        <v>488</v>
      </c>
      <c r="R1513" s="4">
        <v>1.5</v>
      </c>
      <c r="S1513" s="4">
        <v>54</v>
      </c>
      <c r="T1513" s="4">
        <v>0</v>
      </c>
      <c r="U1513" s="4">
        <v>0</v>
      </c>
      <c r="V1513" s="4">
        <v>0</v>
      </c>
    </row>
    <row r="1514" spans="1:22" x14ac:dyDescent="0.15">
      <c r="A1514" s="4" t="s">
        <v>2662</v>
      </c>
      <c r="D1514" s="4">
        <f t="shared" ref="D1514:D1516" si="21">D1462+1</f>
        <v>309</v>
      </c>
      <c r="E1514" s="4">
        <v>48</v>
      </c>
      <c r="H1514" s="29">
        <v>1001</v>
      </c>
      <c r="I1514" s="4">
        <v>2432</v>
      </c>
      <c r="L1514" s="30">
        <v>800</v>
      </c>
      <c r="M1514" s="4">
        <v>624</v>
      </c>
      <c r="N1514" s="4">
        <v>196</v>
      </c>
      <c r="O1514" s="4">
        <v>5242</v>
      </c>
      <c r="P1514" s="4">
        <v>0</v>
      </c>
      <c r="Q1514" s="4">
        <v>496</v>
      </c>
      <c r="R1514" s="4">
        <v>1.5</v>
      </c>
      <c r="S1514" s="4">
        <v>55</v>
      </c>
      <c r="T1514" s="4">
        <v>0</v>
      </c>
      <c r="U1514" s="4">
        <v>0</v>
      </c>
      <c r="V1514" s="4">
        <v>0</v>
      </c>
    </row>
    <row r="1515" spans="1:22" x14ac:dyDescent="0.15">
      <c r="A1515" s="4" t="s">
        <v>2662</v>
      </c>
      <c r="D1515" s="4">
        <f t="shared" si="21"/>
        <v>309</v>
      </c>
      <c r="E1515" s="4">
        <v>49</v>
      </c>
      <c r="H1515" s="29">
        <v>1001</v>
      </c>
      <c r="I1515" s="4">
        <v>2476</v>
      </c>
      <c r="L1515" s="30">
        <v>800</v>
      </c>
      <c r="M1515" s="4">
        <v>636</v>
      </c>
      <c r="N1515" s="4">
        <v>200</v>
      </c>
      <c r="O1515" s="4">
        <v>5328</v>
      </c>
      <c r="P1515" s="4">
        <v>0</v>
      </c>
      <c r="Q1515" s="4">
        <v>504</v>
      </c>
      <c r="R1515" s="4">
        <v>1.5</v>
      </c>
      <c r="S1515" s="4">
        <v>56</v>
      </c>
      <c r="T1515" s="4">
        <v>0</v>
      </c>
      <c r="U1515" s="4">
        <v>0</v>
      </c>
      <c r="V1515" s="4">
        <v>0</v>
      </c>
    </row>
    <row r="1516" spans="1:22" x14ac:dyDescent="0.15">
      <c r="A1516" s="4" t="s">
        <v>2662</v>
      </c>
      <c r="D1516" s="4">
        <f t="shared" si="21"/>
        <v>309</v>
      </c>
      <c r="E1516" s="4">
        <v>50</v>
      </c>
      <c r="H1516" s="29">
        <v>1001</v>
      </c>
      <c r="I1516" s="4">
        <v>2520</v>
      </c>
      <c r="L1516" s="30">
        <v>800</v>
      </c>
      <c r="M1516" s="4">
        <v>648</v>
      </c>
      <c r="N1516" s="4">
        <v>204</v>
      </c>
      <c r="O1516" s="4">
        <v>5414</v>
      </c>
      <c r="P1516" s="4">
        <v>0</v>
      </c>
      <c r="Q1516" s="4">
        <v>512</v>
      </c>
      <c r="R1516" s="4">
        <v>1.5</v>
      </c>
      <c r="S1516" s="4">
        <v>57</v>
      </c>
      <c r="T1516" s="4">
        <v>0</v>
      </c>
      <c r="U1516" s="4">
        <v>0</v>
      </c>
      <c r="V1516" s="4">
        <v>0</v>
      </c>
    </row>
    <row r="1518" spans="1:22" x14ac:dyDescent="0.15">
      <c r="A1518" s="4" t="s">
        <v>2662</v>
      </c>
      <c r="C1518" s="4" t="s">
        <v>3557</v>
      </c>
      <c r="D1518" s="4">
        <f t="shared" ref="D1518:D1568" si="22">D1466+1</f>
        <v>310</v>
      </c>
      <c r="E1518" s="4">
        <v>0</v>
      </c>
      <c r="H1518" s="29">
        <v>3009</v>
      </c>
      <c r="I1518" s="30">
        <v>1</v>
      </c>
      <c r="L1518" s="30">
        <v>110</v>
      </c>
      <c r="M1518" s="4">
        <v>0</v>
      </c>
      <c r="N1518" s="4">
        <v>0</v>
      </c>
      <c r="O1518" s="4">
        <v>0</v>
      </c>
      <c r="P1518" s="4">
        <v>0</v>
      </c>
      <c r="Q1518" s="4">
        <v>0</v>
      </c>
      <c r="R1518" s="4">
        <v>0</v>
      </c>
      <c r="S1518" s="4">
        <v>0</v>
      </c>
      <c r="T1518" s="4">
        <v>0</v>
      </c>
      <c r="U1518" s="4">
        <v>0</v>
      </c>
      <c r="V1518" s="4">
        <v>0</v>
      </c>
    </row>
    <row r="1519" spans="1:22" x14ac:dyDescent="0.15">
      <c r="A1519" s="4" t="s">
        <v>2662</v>
      </c>
      <c r="D1519" s="4">
        <f t="shared" si="22"/>
        <v>310</v>
      </c>
      <c r="E1519" s="4">
        <v>1</v>
      </c>
      <c r="H1519" s="29">
        <v>1001</v>
      </c>
      <c r="I1519" s="4">
        <v>370</v>
      </c>
      <c r="L1519" s="30">
        <v>800</v>
      </c>
      <c r="M1519" s="4">
        <v>60</v>
      </c>
      <c r="N1519" s="4">
        <v>8</v>
      </c>
      <c r="O1519" s="4">
        <v>1200</v>
      </c>
      <c r="P1519" s="4">
        <v>0</v>
      </c>
      <c r="Q1519" s="4">
        <v>120</v>
      </c>
      <c r="R1519" s="4">
        <v>1.5</v>
      </c>
      <c r="S1519" s="4">
        <v>8</v>
      </c>
      <c r="T1519" s="4">
        <v>0</v>
      </c>
      <c r="U1519" s="4">
        <v>0</v>
      </c>
      <c r="V1519" s="4">
        <v>0</v>
      </c>
    </row>
    <row r="1520" spans="1:22" x14ac:dyDescent="0.15">
      <c r="A1520" s="4" t="s">
        <v>2662</v>
      </c>
      <c r="D1520" s="4">
        <f t="shared" si="22"/>
        <v>310</v>
      </c>
      <c r="E1520" s="4">
        <v>2</v>
      </c>
      <c r="H1520" s="29">
        <v>1001</v>
      </c>
      <c r="I1520" s="4">
        <v>414</v>
      </c>
      <c r="L1520" s="30">
        <v>800</v>
      </c>
      <c r="M1520" s="4">
        <v>72</v>
      </c>
      <c r="N1520" s="4">
        <v>12</v>
      </c>
      <c r="O1520" s="4">
        <v>1286</v>
      </c>
      <c r="P1520" s="4">
        <v>0</v>
      </c>
      <c r="Q1520" s="4">
        <v>128</v>
      </c>
      <c r="R1520" s="4">
        <v>1.5</v>
      </c>
      <c r="S1520" s="4">
        <v>9</v>
      </c>
      <c r="T1520" s="4">
        <v>0</v>
      </c>
      <c r="U1520" s="4">
        <v>0</v>
      </c>
      <c r="V1520" s="4">
        <v>0</v>
      </c>
    </row>
    <row r="1521" spans="1:22" x14ac:dyDescent="0.15">
      <c r="A1521" s="4" t="s">
        <v>2662</v>
      </c>
      <c r="D1521" s="4">
        <f t="shared" si="22"/>
        <v>310</v>
      </c>
      <c r="E1521" s="4">
        <v>3</v>
      </c>
      <c r="H1521" s="29">
        <v>1001</v>
      </c>
      <c r="I1521" s="4">
        <v>458</v>
      </c>
      <c r="L1521" s="30">
        <v>800</v>
      </c>
      <c r="M1521" s="4">
        <v>84</v>
      </c>
      <c r="N1521" s="4">
        <v>16</v>
      </c>
      <c r="O1521" s="4">
        <v>1372</v>
      </c>
      <c r="P1521" s="4">
        <v>0</v>
      </c>
      <c r="Q1521" s="4">
        <v>136</v>
      </c>
      <c r="R1521" s="4">
        <v>1.5</v>
      </c>
      <c r="S1521" s="4">
        <v>10</v>
      </c>
      <c r="T1521" s="4">
        <v>0</v>
      </c>
      <c r="U1521" s="4">
        <v>0</v>
      </c>
      <c r="V1521" s="4">
        <v>0</v>
      </c>
    </row>
    <row r="1522" spans="1:22" x14ac:dyDescent="0.15">
      <c r="A1522" s="4" t="s">
        <v>2662</v>
      </c>
      <c r="D1522" s="4">
        <f t="shared" si="22"/>
        <v>310</v>
      </c>
      <c r="E1522" s="4">
        <v>4</v>
      </c>
      <c r="H1522" s="29">
        <v>1001</v>
      </c>
      <c r="I1522" s="4">
        <v>502</v>
      </c>
      <c r="L1522" s="30">
        <v>800</v>
      </c>
      <c r="M1522" s="4">
        <v>96</v>
      </c>
      <c r="N1522" s="4">
        <v>20</v>
      </c>
      <c r="O1522" s="4">
        <v>1458</v>
      </c>
      <c r="P1522" s="4">
        <v>0</v>
      </c>
      <c r="Q1522" s="4">
        <v>144</v>
      </c>
      <c r="R1522" s="4">
        <v>1.5</v>
      </c>
      <c r="S1522" s="4">
        <v>11</v>
      </c>
      <c r="T1522" s="4">
        <v>0</v>
      </c>
      <c r="U1522" s="4">
        <v>0</v>
      </c>
      <c r="V1522" s="4">
        <v>0</v>
      </c>
    </row>
    <row r="1523" spans="1:22" x14ac:dyDescent="0.15">
      <c r="A1523" s="4" t="s">
        <v>2662</v>
      </c>
      <c r="D1523" s="4">
        <f t="shared" si="22"/>
        <v>310</v>
      </c>
      <c r="E1523" s="4">
        <v>5</v>
      </c>
      <c r="H1523" s="29">
        <v>1001</v>
      </c>
      <c r="I1523" s="4">
        <v>546</v>
      </c>
      <c r="L1523" s="30">
        <v>800</v>
      </c>
      <c r="M1523" s="4">
        <v>108</v>
      </c>
      <c r="N1523" s="4">
        <v>24</v>
      </c>
      <c r="O1523" s="4">
        <v>1544</v>
      </c>
      <c r="P1523" s="4">
        <v>0</v>
      </c>
      <c r="Q1523" s="4">
        <v>152</v>
      </c>
      <c r="R1523" s="4">
        <v>1.5</v>
      </c>
      <c r="S1523" s="4">
        <v>12</v>
      </c>
      <c r="T1523" s="4">
        <v>0</v>
      </c>
      <c r="U1523" s="4">
        <v>0</v>
      </c>
      <c r="V1523" s="4">
        <v>0</v>
      </c>
    </row>
    <row r="1524" spans="1:22" x14ac:dyDescent="0.15">
      <c r="A1524" s="4" t="s">
        <v>2662</v>
      </c>
      <c r="D1524" s="4">
        <f t="shared" si="22"/>
        <v>310</v>
      </c>
      <c r="E1524" s="4">
        <v>6</v>
      </c>
      <c r="H1524" s="29">
        <v>1001</v>
      </c>
      <c r="I1524" s="4">
        <v>590</v>
      </c>
      <c r="L1524" s="30">
        <v>800</v>
      </c>
      <c r="M1524" s="4">
        <v>120</v>
      </c>
      <c r="N1524" s="4">
        <v>28</v>
      </c>
      <c r="O1524" s="4">
        <v>1630</v>
      </c>
      <c r="P1524" s="4">
        <v>0</v>
      </c>
      <c r="Q1524" s="4">
        <v>160</v>
      </c>
      <c r="R1524" s="4">
        <v>1.5</v>
      </c>
      <c r="S1524" s="4">
        <v>13</v>
      </c>
      <c r="T1524" s="4">
        <v>0</v>
      </c>
      <c r="U1524" s="4">
        <v>0</v>
      </c>
      <c r="V1524" s="4">
        <v>0</v>
      </c>
    </row>
    <row r="1525" spans="1:22" x14ac:dyDescent="0.15">
      <c r="A1525" s="4" t="s">
        <v>2662</v>
      </c>
      <c r="D1525" s="4">
        <f t="shared" si="22"/>
        <v>310</v>
      </c>
      <c r="E1525" s="4">
        <v>7</v>
      </c>
      <c r="H1525" s="29">
        <v>1001</v>
      </c>
      <c r="I1525" s="4">
        <v>634</v>
      </c>
      <c r="L1525" s="30">
        <v>800</v>
      </c>
      <c r="M1525" s="4">
        <v>132</v>
      </c>
      <c r="N1525" s="4">
        <v>32</v>
      </c>
      <c r="O1525" s="4">
        <v>1716</v>
      </c>
      <c r="P1525" s="4">
        <v>0</v>
      </c>
      <c r="Q1525" s="4">
        <v>168</v>
      </c>
      <c r="R1525" s="4">
        <v>1.5</v>
      </c>
      <c r="S1525" s="4">
        <v>14</v>
      </c>
      <c r="T1525" s="4">
        <v>0</v>
      </c>
      <c r="U1525" s="4">
        <v>0</v>
      </c>
      <c r="V1525" s="4">
        <v>0</v>
      </c>
    </row>
    <row r="1526" spans="1:22" x14ac:dyDescent="0.15">
      <c r="A1526" s="4" t="s">
        <v>2662</v>
      </c>
      <c r="D1526" s="4">
        <f t="shared" si="22"/>
        <v>310</v>
      </c>
      <c r="E1526" s="4">
        <v>8</v>
      </c>
      <c r="H1526" s="29">
        <v>1001</v>
      </c>
      <c r="I1526" s="4">
        <v>677</v>
      </c>
      <c r="L1526" s="30">
        <v>800</v>
      </c>
      <c r="M1526" s="4">
        <v>144</v>
      </c>
      <c r="N1526" s="4">
        <v>36</v>
      </c>
      <c r="O1526" s="4">
        <v>1802</v>
      </c>
      <c r="P1526" s="4">
        <v>0</v>
      </c>
      <c r="Q1526" s="4">
        <v>176</v>
      </c>
      <c r="R1526" s="4">
        <v>1.5</v>
      </c>
      <c r="S1526" s="4">
        <v>15</v>
      </c>
      <c r="T1526" s="4">
        <v>0</v>
      </c>
      <c r="U1526" s="4">
        <v>0</v>
      </c>
      <c r="V1526" s="4">
        <v>0</v>
      </c>
    </row>
    <row r="1527" spans="1:22" x14ac:dyDescent="0.15">
      <c r="A1527" s="4" t="s">
        <v>2662</v>
      </c>
      <c r="D1527" s="4">
        <f t="shared" si="22"/>
        <v>310</v>
      </c>
      <c r="E1527" s="4">
        <v>9</v>
      </c>
      <c r="H1527" s="29">
        <v>1001</v>
      </c>
      <c r="I1527" s="4">
        <v>721</v>
      </c>
      <c r="L1527" s="30">
        <v>800</v>
      </c>
      <c r="M1527" s="4">
        <v>156</v>
      </c>
      <c r="N1527" s="4">
        <v>40</v>
      </c>
      <c r="O1527" s="4">
        <v>1888</v>
      </c>
      <c r="P1527" s="4">
        <v>0</v>
      </c>
      <c r="Q1527" s="4">
        <v>184</v>
      </c>
      <c r="R1527" s="4">
        <v>1.5</v>
      </c>
      <c r="S1527" s="4">
        <v>16</v>
      </c>
      <c r="T1527" s="4">
        <v>0</v>
      </c>
      <c r="U1527" s="4">
        <v>0</v>
      </c>
      <c r="V1527" s="4">
        <v>0</v>
      </c>
    </row>
    <row r="1528" spans="1:22" x14ac:dyDescent="0.15">
      <c r="A1528" s="4" t="s">
        <v>2662</v>
      </c>
      <c r="D1528" s="4">
        <f t="shared" si="22"/>
        <v>310</v>
      </c>
      <c r="E1528" s="4">
        <v>10</v>
      </c>
      <c r="H1528" s="29">
        <v>1001</v>
      </c>
      <c r="I1528" s="4">
        <v>765</v>
      </c>
      <c r="L1528" s="30">
        <v>800</v>
      </c>
      <c r="M1528" s="4">
        <v>168</v>
      </c>
      <c r="N1528" s="4">
        <v>44</v>
      </c>
      <c r="O1528" s="4">
        <v>1974</v>
      </c>
      <c r="P1528" s="4">
        <v>0</v>
      </c>
      <c r="Q1528" s="4">
        <v>192</v>
      </c>
      <c r="R1528" s="4">
        <v>1.5</v>
      </c>
      <c r="S1528" s="4">
        <v>17</v>
      </c>
      <c r="T1528" s="4">
        <v>0</v>
      </c>
      <c r="U1528" s="4">
        <v>0</v>
      </c>
      <c r="V1528" s="4">
        <v>0</v>
      </c>
    </row>
    <row r="1529" spans="1:22" x14ac:dyDescent="0.15">
      <c r="A1529" s="4" t="s">
        <v>2662</v>
      </c>
      <c r="D1529" s="4">
        <f t="shared" si="22"/>
        <v>310</v>
      </c>
      <c r="E1529" s="4">
        <v>11</v>
      </c>
      <c r="H1529" s="29">
        <v>1001</v>
      </c>
      <c r="I1529" s="4">
        <v>809</v>
      </c>
      <c r="L1529" s="30">
        <v>800</v>
      </c>
      <c r="M1529" s="4">
        <v>180</v>
      </c>
      <c r="N1529" s="4">
        <v>48</v>
      </c>
      <c r="O1529" s="4">
        <v>2060</v>
      </c>
      <c r="P1529" s="4">
        <v>0</v>
      </c>
      <c r="Q1529" s="4">
        <v>200</v>
      </c>
      <c r="R1529" s="4">
        <v>1.5</v>
      </c>
      <c r="S1529" s="4">
        <v>18</v>
      </c>
      <c r="T1529" s="4">
        <v>0</v>
      </c>
      <c r="U1529" s="4">
        <v>0</v>
      </c>
      <c r="V1529" s="4">
        <v>0</v>
      </c>
    </row>
    <row r="1530" spans="1:22" x14ac:dyDescent="0.15">
      <c r="A1530" s="4" t="s">
        <v>2662</v>
      </c>
      <c r="D1530" s="4">
        <f t="shared" si="22"/>
        <v>310</v>
      </c>
      <c r="E1530" s="4">
        <v>12</v>
      </c>
      <c r="H1530" s="29">
        <v>1001</v>
      </c>
      <c r="I1530" s="4">
        <v>853</v>
      </c>
      <c r="L1530" s="30">
        <v>800</v>
      </c>
      <c r="M1530" s="4">
        <v>192</v>
      </c>
      <c r="N1530" s="4">
        <v>52</v>
      </c>
      <c r="O1530" s="4">
        <v>2146</v>
      </c>
      <c r="P1530" s="4">
        <v>0</v>
      </c>
      <c r="Q1530" s="4">
        <v>208</v>
      </c>
      <c r="R1530" s="4">
        <v>1.5</v>
      </c>
      <c r="S1530" s="4">
        <v>19</v>
      </c>
      <c r="T1530" s="4">
        <v>0</v>
      </c>
      <c r="U1530" s="4">
        <v>0</v>
      </c>
      <c r="V1530" s="4">
        <v>0</v>
      </c>
    </row>
    <row r="1531" spans="1:22" x14ac:dyDescent="0.15">
      <c r="A1531" s="4" t="s">
        <v>2662</v>
      </c>
      <c r="D1531" s="4">
        <f t="shared" si="22"/>
        <v>310</v>
      </c>
      <c r="E1531" s="4">
        <v>13</v>
      </c>
      <c r="H1531" s="29">
        <v>1001</v>
      </c>
      <c r="I1531" s="4">
        <v>897</v>
      </c>
      <c r="L1531" s="30">
        <v>800</v>
      </c>
      <c r="M1531" s="4">
        <v>204</v>
      </c>
      <c r="N1531" s="4">
        <v>56</v>
      </c>
      <c r="O1531" s="4">
        <v>2232</v>
      </c>
      <c r="P1531" s="4">
        <v>0</v>
      </c>
      <c r="Q1531" s="4">
        <v>216</v>
      </c>
      <c r="R1531" s="4">
        <v>1.5</v>
      </c>
      <c r="S1531" s="4">
        <v>20</v>
      </c>
      <c r="T1531" s="4">
        <v>0</v>
      </c>
      <c r="U1531" s="4">
        <v>0</v>
      </c>
      <c r="V1531" s="4">
        <v>0</v>
      </c>
    </row>
    <row r="1532" spans="1:22" x14ac:dyDescent="0.15">
      <c r="A1532" s="4" t="s">
        <v>2662</v>
      </c>
      <c r="D1532" s="4">
        <f t="shared" si="22"/>
        <v>310</v>
      </c>
      <c r="E1532" s="4">
        <v>14</v>
      </c>
      <c r="H1532" s="29">
        <v>1001</v>
      </c>
      <c r="I1532" s="4">
        <v>941</v>
      </c>
      <c r="L1532" s="30">
        <v>800</v>
      </c>
      <c r="M1532" s="4">
        <v>216</v>
      </c>
      <c r="N1532" s="4">
        <v>60</v>
      </c>
      <c r="O1532" s="4">
        <v>2318</v>
      </c>
      <c r="P1532" s="4">
        <v>0</v>
      </c>
      <c r="Q1532" s="4">
        <v>224</v>
      </c>
      <c r="R1532" s="4">
        <v>1.5</v>
      </c>
      <c r="S1532" s="4">
        <v>21</v>
      </c>
      <c r="T1532" s="4">
        <v>0</v>
      </c>
      <c r="U1532" s="4">
        <v>0</v>
      </c>
      <c r="V1532" s="4">
        <v>0</v>
      </c>
    </row>
    <row r="1533" spans="1:22" x14ac:dyDescent="0.15">
      <c r="A1533" s="4" t="s">
        <v>2662</v>
      </c>
      <c r="D1533" s="4">
        <f t="shared" si="22"/>
        <v>310</v>
      </c>
      <c r="E1533" s="4">
        <v>15</v>
      </c>
      <c r="H1533" s="29">
        <v>1001</v>
      </c>
      <c r="I1533" s="4">
        <v>984</v>
      </c>
      <c r="L1533" s="30">
        <v>800</v>
      </c>
      <c r="M1533" s="4">
        <v>228</v>
      </c>
      <c r="N1533" s="4">
        <v>64</v>
      </c>
      <c r="O1533" s="4">
        <v>2404</v>
      </c>
      <c r="P1533" s="4">
        <v>0</v>
      </c>
      <c r="Q1533" s="4">
        <v>232</v>
      </c>
      <c r="R1533" s="4">
        <v>1.5</v>
      </c>
      <c r="S1533" s="4">
        <v>22</v>
      </c>
      <c r="T1533" s="4">
        <v>0</v>
      </c>
      <c r="U1533" s="4">
        <v>0</v>
      </c>
      <c r="V1533" s="4">
        <v>0</v>
      </c>
    </row>
    <row r="1534" spans="1:22" x14ac:dyDescent="0.15">
      <c r="A1534" s="4" t="s">
        <v>2662</v>
      </c>
      <c r="D1534" s="4">
        <f t="shared" si="22"/>
        <v>310</v>
      </c>
      <c r="E1534" s="4">
        <v>16</v>
      </c>
      <c r="H1534" s="29">
        <v>1001</v>
      </c>
      <c r="I1534" s="4">
        <v>1028</v>
      </c>
      <c r="L1534" s="30">
        <v>800</v>
      </c>
      <c r="M1534" s="4">
        <v>240</v>
      </c>
      <c r="N1534" s="4">
        <v>68</v>
      </c>
      <c r="O1534" s="4">
        <v>2490</v>
      </c>
      <c r="P1534" s="4">
        <v>0</v>
      </c>
      <c r="Q1534" s="4">
        <v>240</v>
      </c>
      <c r="R1534" s="4">
        <v>1.5</v>
      </c>
      <c r="S1534" s="4">
        <v>23</v>
      </c>
      <c r="T1534" s="4">
        <v>0</v>
      </c>
      <c r="U1534" s="4">
        <v>0</v>
      </c>
      <c r="V1534" s="4">
        <v>0</v>
      </c>
    </row>
    <row r="1535" spans="1:22" x14ac:dyDescent="0.15">
      <c r="A1535" s="4" t="s">
        <v>2662</v>
      </c>
      <c r="D1535" s="4">
        <f t="shared" si="22"/>
        <v>310</v>
      </c>
      <c r="E1535" s="4">
        <v>17</v>
      </c>
      <c r="H1535" s="29">
        <v>1001</v>
      </c>
      <c r="I1535" s="4">
        <v>1072</v>
      </c>
      <c r="L1535" s="30">
        <v>800</v>
      </c>
      <c r="M1535" s="4">
        <v>252</v>
      </c>
      <c r="N1535" s="4">
        <v>72</v>
      </c>
      <c r="O1535" s="4">
        <v>2576</v>
      </c>
      <c r="P1535" s="4">
        <v>0</v>
      </c>
      <c r="Q1535" s="4">
        <v>248</v>
      </c>
      <c r="R1535" s="4">
        <v>1.5</v>
      </c>
      <c r="S1535" s="4">
        <v>24</v>
      </c>
      <c r="T1535" s="4">
        <v>0</v>
      </c>
      <c r="U1535" s="4">
        <v>0</v>
      </c>
      <c r="V1535" s="4">
        <v>0</v>
      </c>
    </row>
    <row r="1536" spans="1:22" x14ac:dyDescent="0.15">
      <c r="A1536" s="4" t="s">
        <v>2662</v>
      </c>
      <c r="D1536" s="4">
        <f t="shared" si="22"/>
        <v>310</v>
      </c>
      <c r="E1536" s="4">
        <v>18</v>
      </c>
      <c r="H1536" s="29">
        <v>1001</v>
      </c>
      <c r="I1536" s="4">
        <v>1116</v>
      </c>
      <c r="L1536" s="30">
        <v>800</v>
      </c>
      <c r="M1536" s="4">
        <v>264</v>
      </c>
      <c r="N1536" s="4">
        <v>76</v>
      </c>
      <c r="O1536" s="4">
        <v>2662</v>
      </c>
      <c r="P1536" s="4">
        <v>0</v>
      </c>
      <c r="Q1536" s="4">
        <v>256</v>
      </c>
      <c r="R1536" s="4">
        <v>1.5</v>
      </c>
      <c r="S1536" s="4">
        <v>25</v>
      </c>
      <c r="T1536" s="4">
        <v>0</v>
      </c>
      <c r="U1536" s="4">
        <v>0</v>
      </c>
      <c r="V1536" s="4">
        <v>0</v>
      </c>
    </row>
    <row r="1537" spans="1:22" x14ac:dyDescent="0.15">
      <c r="A1537" s="4" t="s">
        <v>2662</v>
      </c>
      <c r="D1537" s="4">
        <f t="shared" si="22"/>
        <v>310</v>
      </c>
      <c r="E1537" s="4">
        <v>19</v>
      </c>
      <c r="H1537" s="29">
        <v>1001</v>
      </c>
      <c r="I1537" s="4">
        <v>1160</v>
      </c>
      <c r="L1537" s="30">
        <v>800</v>
      </c>
      <c r="M1537" s="4">
        <v>276</v>
      </c>
      <c r="N1537" s="4">
        <v>80</v>
      </c>
      <c r="O1537" s="4">
        <v>2748</v>
      </c>
      <c r="P1537" s="4">
        <v>0</v>
      </c>
      <c r="Q1537" s="4">
        <v>264</v>
      </c>
      <c r="R1537" s="4">
        <v>1.5</v>
      </c>
      <c r="S1537" s="4">
        <v>26</v>
      </c>
      <c r="T1537" s="4">
        <v>0</v>
      </c>
      <c r="U1537" s="4">
        <v>0</v>
      </c>
      <c r="V1537" s="4">
        <v>0</v>
      </c>
    </row>
    <row r="1538" spans="1:22" x14ac:dyDescent="0.15">
      <c r="A1538" s="4" t="s">
        <v>2662</v>
      </c>
      <c r="D1538" s="4">
        <f t="shared" si="22"/>
        <v>310</v>
      </c>
      <c r="E1538" s="4">
        <v>20</v>
      </c>
      <c r="H1538" s="29">
        <v>1001</v>
      </c>
      <c r="I1538" s="4">
        <v>1204</v>
      </c>
      <c r="L1538" s="30">
        <v>800</v>
      </c>
      <c r="M1538" s="4">
        <v>288</v>
      </c>
      <c r="N1538" s="4">
        <v>84</v>
      </c>
      <c r="O1538" s="4">
        <v>2834</v>
      </c>
      <c r="P1538" s="4">
        <v>0</v>
      </c>
      <c r="Q1538" s="4">
        <v>272</v>
      </c>
      <c r="R1538" s="4">
        <v>1.5</v>
      </c>
      <c r="S1538" s="4">
        <v>27</v>
      </c>
      <c r="T1538" s="4">
        <v>0</v>
      </c>
      <c r="U1538" s="4">
        <v>0</v>
      </c>
      <c r="V1538" s="4">
        <v>0</v>
      </c>
    </row>
    <row r="1539" spans="1:22" x14ac:dyDescent="0.15">
      <c r="A1539" s="4" t="s">
        <v>2662</v>
      </c>
      <c r="D1539" s="4">
        <f t="shared" si="22"/>
        <v>310</v>
      </c>
      <c r="E1539" s="4">
        <v>21</v>
      </c>
      <c r="H1539" s="29">
        <v>1001</v>
      </c>
      <c r="I1539" s="4">
        <v>1248</v>
      </c>
      <c r="L1539" s="30">
        <v>800</v>
      </c>
      <c r="M1539" s="4">
        <v>300</v>
      </c>
      <c r="N1539" s="4">
        <v>88</v>
      </c>
      <c r="O1539" s="4">
        <v>2920</v>
      </c>
      <c r="P1539" s="4">
        <v>0</v>
      </c>
      <c r="Q1539" s="4">
        <v>280</v>
      </c>
      <c r="R1539" s="4">
        <v>1.5</v>
      </c>
      <c r="S1539" s="4">
        <v>28</v>
      </c>
      <c r="T1539" s="4">
        <v>0</v>
      </c>
      <c r="U1539" s="4">
        <v>0</v>
      </c>
      <c r="V1539" s="4">
        <v>0</v>
      </c>
    </row>
    <row r="1540" spans="1:22" x14ac:dyDescent="0.15">
      <c r="A1540" s="4" t="s">
        <v>2662</v>
      </c>
      <c r="D1540" s="4">
        <f t="shared" si="22"/>
        <v>310</v>
      </c>
      <c r="E1540" s="4">
        <v>22</v>
      </c>
      <c r="H1540" s="29">
        <v>1001</v>
      </c>
      <c r="I1540" s="4">
        <v>1291</v>
      </c>
      <c r="L1540" s="30">
        <v>800</v>
      </c>
      <c r="M1540" s="4">
        <v>312</v>
      </c>
      <c r="N1540" s="4">
        <v>92</v>
      </c>
      <c r="O1540" s="4">
        <v>3006</v>
      </c>
      <c r="P1540" s="4">
        <v>0</v>
      </c>
      <c r="Q1540" s="4">
        <v>288</v>
      </c>
      <c r="R1540" s="4">
        <v>1.5</v>
      </c>
      <c r="S1540" s="4">
        <v>29</v>
      </c>
      <c r="T1540" s="4">
        <v>0</v>
      </c>
      <c r="U1540" s="4">
        <v>0</v>
      </c>
      <c r="V1540" s="4">
        <v>0</v>
      </c>
    </row>
    <row r="1541" spans="1:22" x14ac:dyDescent="0.15">
      <c r="A1541" s="4" t="s">
        <v>2662</v>
      </c>
      <c r="D1541" s="4">
        <f t="shared" si="22"/>
        <v>310</v>
      </c>
      <c r="E1541" s="4">
        <v>23</v>
      </c>
      <c r="H1541" s="29">
        <v>1001</v>
      </c>
      <c r="I1541" s="4">
        <v>1335</v>
      </c>
      <c r="L1541" s="30">
        <v>800</v>
      </c>
      <c r="M1541" s="4">
        <v>324</v>
      </c>
      <c r="N1541" s="4">
        <v>96</v>
      </c>
      <c r="O1541" s="4">
        <v>3092</v>
      </c>
      <c r="P1541" s="4">
        <v>0</v>
      </c>
      <c r="Q1541" s="4">
        <v>296</v>
      </c>
      <c r="R1541" s="4">
        <v>1.5</v>
      </c>
      <c r="S1541" s="4">
        <v>30</v>
      </c>
      <c r="T1541" s="4">
        <v>0</v>
      </c>
      <c r="U1541" s="4">
        <v>0</v>
      </c>
      <c r="V1541" s="4">
        <v>0</v>
      </c>
    </row>
    <row r="1542" spans="1:22" x14ac:dyDescent="0.15">
      <c r="A1542" s="4" t="s">
        <v>2662</v>
      </c>
      <c r="D1542" s="4">
        <f t="shared" si="22"/>
        <v>310</v>
      </c>
      <c r="E1542" s="4">
        <v>24</v>
      </c>
      <c r="H1542" s="29">
        <v>1001</v>
      </c>
      <c r="I1542" s="4">
        <v>1379</v>
      </c>
      <c r="L1542" s="30">
        <v>800</v>
      </c>
      <c r="M1542" s="4">
        <v>336</v>
      </c>
      <c r="N1542" s="4">
        <v>100</v>
      </c>
      <c r="O1542" s="4">
        <v>3178</v>
      </c>
      <c r="P1542" s="4">
        <v>0</v>
      </c>
      <c r="Q1542" s="4">
        <v>304</v>
      </c>
      <c r="R1542" s="4">
        <v>1.5</v>
      </c>
      <c r="S1542" s="4">
        <v>31</v>
      </c>
      <c r="T1542" s="4">
        <v>0</v>
      </c>
      <c r="U1542" s="4">
        <v>0</v>
      </c>
      <c r="V1542" s="4">
        <v>0</v>
      </c>
    </row>
    <row r="1543" spans="1:22" x14ac:dyDescent="0.15">
      <c r="A1543" s="4" t="s">
        <v>2662</v>
      </c>
      <c r="D1543" s="4">
        <f t="shared" si="22"/>
        <v>310</v>
      </c>
      <c r="E1543" s="4">
        <v>25</v>
      </c>
      <c r="H1543" s="29">
        <v>1001</v>
      </c>
      <c r="I1543" s="4">
        <v>1423</v>
      </c>
      <c r="L1543" s="30">
        <v>800</v>
      </c>
      <c r="M1543" s="4">
        <v>348</v>
      </c>
      <c r="N1543" s="4">
        <v>104</v>
      </c>
      <c r="O1543" s="4">
        <v>3264</v>
      </c>
      <c r="P1543" s="4">
        <v>0</v>
      </c>
      <c r="Q1543" s="4">
        <v>312</v>
      </c>
      <c r="R1543" s="4">
        <v>1.5</v>
      </c>
      <c r="S1543" s="4">
        <v>32</v>
      </c>
      <c r="T1543" s="4">
        <v>0</v>
      </c>
      <c r="U1543" s="4">
        <v>0</v>
      </c>
      <c r="V1543" s="4">
        <v>0</v>
      </c>
    </row>
    <row r="1544" spans="1:22" x14ac:dyDescent="0.15">
      <c r="A1544" s="4" t="s">
        <v>2662</v>
      </c>
      <c r="D1544" s="4">
        <f t="shared" si="22"/>
        <v>310</v>
      </c>
      <c r="E1544" s="4">
        <v>26</v>
      </c>
      <c r="H1544" s="29">
        <v>1001</v>
      </c>
      <c r="I1544" s="4">
        <v>1467</v>
      </c>
      <c r="L1544" s="30">
        <v>800</v>
      </c>
      <c r="M1544" s="4">
        <v>360</v>
      </c>
      <c r="N1544" s="4">
        <v>108</v>
      </c>
      <c r="O1544" s="4">
        <v>3350</v>
      </c>
      <c r="P1544" s="4">
        <v>0</v>
      </c>
      <c r="Q1544" s="4">
        <v>320</v>
      </c>
      <c r="R1544" s="4">
        <v>1.5</v>
      </c>
      <c r="S1544" s="4">
        <v>33</v>
      </c>
      <c r="T1544" s="4">
        <v>0</v>
      </c>
      <c r="U1544" s="4">
        <v>0</v>
      </c>
      <c r="V1544" s="4">
        <v>0</v>
      </c>
    </row>
    <row r="1545" spans="1:22" x14ac:dyDescent="0.15">
      <c r="A1545" s="4" t="s">
        <v>2662</v>
      </c>
      <c r="D1545" s="4">
        <f t="shared" si="22"/>
        <v>310</v>
      </c>
      <c r="E1545" s="4">
        <v>27</v>
      </c>
      <c r="H1545" s="29">
        <v>1001</v>
      </c>
      <c r="I1545" s="4">
        <v>1511</v>
      </c>
      <c r="L1545" s="30">
        <v>800</v>
      </c>
      <c r="M1545" s="4">
        <v>372</v>
      </c>
      <c r="N1545" s="4">
        <v>112</v>
      </c>
      <c r="O1545" s="4">
        <v>3436</v>
      </c>
      <c r="P1545" s="4">
        <v>0</v>
      </c>
      <c r="Q1545" s="4">
        <v>328</v>
      </c>
      <c r="R1545" s="4">
        <v>1.5</v>
      </c>
      <c r="S1545" s="4">
        <v>34</v>
      </c>
      <c r="T1545" s="4">
        <v>0</v>
      </c>
      <c r="U1545" s="4">
        <v>0</v>
      </c>
      <c r="V1545" s="4">
        <v>0</v>
      </c>
    </row>
    <row r="1546" spans="1:22" x14ac:dyDescent="0.15">
      <c r="A1546" s="4" t="s">
        <v>2662</v>
      </c>
      <c r="D1546" s="4">
        <f t="shared" si="22"/>
        <v>310</v>
      </c>
      <c r="E1546" s="4">
        <v>28</v>
      </c>
      <c r="H1546" s="29">
        <v>1001</v>
      </c>
      <c r="I1546" s="4">
        <v>1555</v>
      </c>
      <c r="L1546" s="30">
        <v>800</v>
      </c>
      <c r="M1546" s="4">
        <v>384</v>
      </c>
      <c r="N1546" s="4">
        <v>116</v>
      </c>
      <c r="O1546" s="4">
        <v>3522</v>
      </c>
      <c r="P1546" s="4">
        <v>0</v>
      </c>
      <c r="Q1546" s="4">
        <v>336</v>
      </c>
      <c r="R1546" s="4">
        <v>1.5</v>
      </c>
      <c r="S1546" s="4">
        <v>35</v>
      </c>
      <c r="T1546" s="4">
        <v>0</v>
      </c>
      <c r="U1546" s="4">
        <v>0</v>
      </c>
      <c r="V1546" s="4">
        <v>0</v>
      </c>
    </row>
    <row r="1547" spans="1:22" x14ac:dyDescent="0.15">
      <c r="A1547" s="4" t="s">
        <v>2662</v>
      </c>
      <c r="D1547" s="4">
        <f t="shared" si="22"/>
        <v>310</v>
      </c>
      <c r="E1547" s="4">
        <v>29</v>
      </c>
      <c r="H1547" s="29">
        <v>1001</v>
      </c>
      <c r="I1547" s="4">
        <v>1598</v>
      </c>
      <c r="L1547" s="30">
        <v>800</v>
      </c>
      <c r="M1547" s="4">
        <v>396</v>
      </c>
      <c r="N1547" s="4">
        <v>120</v>
      </c>
      <c r="O1547" s="4">
        <v>3608</v>
      </c>
      <c r="P1547" s="4">
        <v>0</v>
      </c>
      <c r="Q1547" s="4">
        <v>344</v>
      </c>
      <c r="R1547" s="4">
        <v>1.5</v>
      </c>
      <c r="S1547" s="4">
        <v>36</v>
      </c>
      <c r="T1547" s="4">
        <v>0</v>
      </c>
      <c r="U1547" s="4">
        <v>0</v>
      </c>
      <c r="V1547" s="4">
        <v>0</v>
      </c>
    </row>
    <row r="1548" spans="1:22" x14ac:dyDescent="0.15">
      <c r="A1548" s="4" t="s">
        <v>2662</v>
      </c>
      <c r="D1548" s="4">
        <f t="shared" si="22"/>
        <v>310</v>
      </c>
      <c r="E1548" s="4">
        <v>30</v>
      </c>
      <c r="H1548" s="29">
        <v>1001</v>
      </c>
      <c r="I1548" s="4">
        <v>1642</v>
      </c>
      <c r="L1548" s="30">
        <v>800</v>
      </c>
      <c r="M1548" s="4">
        <v>408</v>
      </c>
      <c r="N1548" s="4">
        <v>124</v>
      </c>
      <c r="O1548" s="4">
        <v>3694</v>
      </c>
      <c r="P1548" s="4">
        <v>0</v>
      </c>
      <c r="Q1548" s="4">
        <v>352</v>
      </c>
      <c r="R1548" s="4">
        <v>1.5</v>
      </c>
      <c r="S1548" s="4">
        <v>37</v>
      </c>
      <c r="T1548" s="4">
        <v>0</v>
      </c>
      <c r="U1548" s="4">
        <v>0</v>
      </c>
      <c r="V1548" s="4">
        <v>0</v>
      </c>
    </row>
    <row r="1549" spans="1:22" x14ac:dyDescent="0.15">
      <c r="A1549" s="4" t="s">
        <v>2662</v>
      </c>
      <c r="D1549" s="4">
        <f t="shared" si="22"/>
        <v>310</v>
      </c>
      <c r="E1549" s="4">
        <v>31</v>
      </c>
      <c r="H1549" s="29">
        <v>1001</v>
      </c>
      <c r="I1549" s="4">
        <v>1686</v>
      </c>
      <c r="L1549" s="30">
        <v>800</v>
      </c>
      <c r="M1549" s="4">
        <v>420</v>
      </c>
      <c r="N1549" s="4">
        <v>128</v>
      </c>
      <c r="O1549" s="4">
        <v>3780</v>
      </c>
      <c r="P1549" s="4">
        <v>0</v>
      </c>
      <c r="Q1549" s="4">
        <v>360</v>
      </c>
      <c r="R1549" s="4">
        <v>1.5</v>
      </c>
      <c r="S1549" s="4">
        <v>38</v>
      </c>
      <c r="T1549" s="4">
        <v>0</v>
      </c>
      <c r="U1549" s="4">
        <v>0</v>
      </c>
      <c r="V1549" s="4">
        <v>0</v>
      </c>
    </row>
    <row r="1550" spans="1:22" x14ac:dyDescent="0.15">
      <c r="A1550" s="4" t="s">
        <v>2662</v>
      </c>
      <c r="D1550" s="4">
        <f t="shared" si="22"/>
        <v>310</v>
      </c>
      <c r="E1550" s="4">
        <v>32</v>
      </c>
      <c r="H1550" s="29">
        <v>1001</v>
      </c>
      <c r="I1550" s="4">
        <v>1730</v>
      </c>
      <c r="L1550" s="30">
        <v>800</v>
      </c>
      <c r="M1550" s="4">
        <v>432</v>
      </c>
      <c r="N1550" s="4">
        <v>132</v>
      </c>
      <c r="O1550" s="4">
        <v>3866</v>
      </c>
      <c r="P1550" s="4">
        <v>0</v>
      </c>
      <c r="Q1550" s="4">
        <v>368</v>
      </c>
      <c r="R1550" s="4">
        <v>1.5</v>
      </c>
      <c r="S1550" s="4">
        <v>39</v>
      </c>
      <c r="T1550" s="4">
        <v>0</v>
      </c>
      <c r="U1550" s="4">
        <v>0</v>
      </c>
      <c r="V1550" s="4">
        <v>0</v>
      </c>
    </row>
    <row r="1551" spans="1:22" x14ac:dyDescent="0.15">
      <c r="A1551" s="4" t="s">
        <v>2662</v>
      </c>
      <c r="D1551" s="4">
        <f t="shared" si="22"/>
        <v>310</v>
      </c>
      <c r="E1551" s="4">
        <v>33</v>
      </c>
      <c r="H1551" s="29">
        <v>1001</v>
      </c>
      <c r="I1551" s="4">
        <v>1774</v>
      </c>
      <c r="L1551" s="30">
        <v>800</v>
      </c>
      <c r="M1551" s="4">
        <v>444</v>
      </c>
      <c r="N1551" s="4">
        <v>136</v>
      </c>
      <c r="O1551" s="4">
        <v>3952</v>
      </c>
      <c r="P1551" s="4">
        <v>0</v>
      </c>
      <c r="Q1551" s="4">
        <v>376</v>
      </c>
      <c r="R1551" s="4">
        <v>1.5</v>
      </c>
      <c r="S1551" s="4">
        <v>40</v>
      </c>
      <c r="T1551" s="4">
        <v>0</v>
      </c>
      <c r="U1551" s="4">
        <v>0</v>
      </c>
      <c r="V1551" s="4">
        <v>0</v>
      </c>
    </row>
    <row r="1552" spans="1:22" x14ac:dyDescent="0.15">
      <c r="A1552" s="4" t="s">
        <v>2662</v>
      </c>
      <c r="D1552" s="4">
        <f t="shared" si="22"/>
        <v>310</v>
      </c>
      <c r="E1552" s="4">
        <v>34</v>
      </c>
      <c r="H1552" s="29">
        <v>1001</v>
      </c>
      <c r="I1552" s="4">
        <v>1818</v>
      </c>
      <c r="L1552" s="30">
        <v>800</v>
      </c>
      <c r="M1552" s="4">
        <v>456</v>
      </c>
      <c r="N1552" s="4">
        <v>140</v>
      </c>
      <c r="O1552" s="4">
        <v>4038</v>
      </c>
      <c r="P1552" s="4">
        <v>0</v>
      </c>
      <c r="Q1552" s="4">
        <v>384</v>
      </c>
      <c r="R1552" s="4">
        <v>1.5</v>
      </c>
      <c r="S1552" s="4">
        <v>41</v>
      </c>
      <c r="T1552" s="4">
        <v>0</v>
      </c>
      <c r="U1552" s="4">
        <v>0</v>
      </c>
      <c r="V1552" s="4">
        <v>0</v>
      </c>
    </row>
    <row r="1553" spans="1:22" x14ac:dyDescent="0.15">
      <c r="A1553" s="4" t="s">
        <v>2662</v>
      </c>
      <c r="D1553" s="4">
        <f t="shared" si="22"/>
        <v>310</v>
      </c>
      <c r="E1553" s="4">
        <v>35</v>
      </c>
      <c r="H1553" s="29">
        <v>1001</v>
      </c>
      <c r="I1553" s="4">
        <v>1862</v>
      </c>
      <c r="L1553" s="30">
        <v>800</v>
      </c>
      <c r="M1553" s="4">
        <v>468</v>
      </c>
      <c r="N1553" s="4">
        <v>144</v>
      </c>
      <c r="O1553" s="4">
        <v>4124</v>
      </c>
      <c r="P1553" s="4">
        <v>0</v>
      </c>
      <c r="Q1553" s="4">
        <v>392</v>
      </c>
      <c r="R1553" s="4">
        <v>1.5</v>
      </c>
      <c r="S1553" s="4">
        <v>42</v>
      </c>
      <c r="T1553" s="4">
        <v>0</v>
      </c>
      <c r="U1553" s="4">
        <v>0</v>
      </c>
      <c r="V1553" s="4">
        <v>0</v>
      </c>
    </row>
    <row r="1554" spans="1:22" x14ac:dyDescent="0.15">
      <c r="A1554" s="4" t="s">
        <v>2662</v>
      </c>
      <c r="D1554" s="4">
        <f t="shared" si="22"/>
        <v>310</v>
      </c>
      <c r="E1554" s="4">
        <v>36</v>
      </c>
      <c r="H1554" s="29">
        <v>1001</v>
      </c>
      <c r="I1554" s="4">
        <v>1906</v>
      </c>
      <c r="L1554" s="30">
        <v>800</v>
      </c>
      <c r="M1554" s="4">
        <v>480</v>
      </c>
      <c r="N1554" s="4">
        <v>148</v>
      </c>
      <c r="O1554" s="4">
        <v>4210</v>
      </c>
      <c r="P1554" s="4">
        <v>0</v>
      </c>
      <c r="Q1554" s="4">
        <v>400</v>
      </c>
      <c r="R1554" s="4">
        <v>1.5</v>
      </c>
      <c r="S1554" s="4">
        <v>43</v>
      </c>
      <c r="T1554" s="4">
        <v>0</v>
      </c>
      <c r="U1554" s="4">
        <v>0</v>
      </c>
      <c r="V1554" s="4">
        <v>0</v>
      </c>
    </row>
    <row r="1555" spans="1:22" x14ac:dyDescent="0.15">
      <c r="A1555" s="4" t="s">
        <v>2662</v>
      </c>
      <c r="D1555" s="4">
        <f t="shared" si="22"/>
        <v>310</v>
      </c>
      <c r="E1555" s="4">
        <v>37</v>
      </c>
      <c r="H1555" s="29">
        <v>1001</v>
      </c>
      <c r="I1555" s="4">
        <v>1949</v>
      </c>
      <c r="L1555" s="30">
        <v>800</v>
      </c>
      <c r="M1555" s="4">
        <v>492</v>
      </c>
      <c r="N1555" s="4">
        <v>152</v>
      </c>
      <c r="O1555" s="4">
        <v>4296</v>
      </c>
      <c r="P1555" s="4">
        <v>0</v>
      </c>
      <c r="Q1555" s="4">
        <v>408</v>
      </c>
      <c r="R1555" s="4">
        <v>1.5</v>
      </c>
      <c r="S1555" s="4">
        <v>44</v>
      </c>
      <c r="T1555" s="4">
        <v>0</v>
      </c>
      <c r="U1555" s="4">
        <v>0</v>
      </c>
      <c r="V1555" s="4">
        <v>0</v>
      </c>
    </row>
    <row r="1556" spans="1:22" x14ac:dyDescent="0.15">
      <c r="A1556" s="4" t="s">
        <v>2662</v>
      </c>
      <c r="D1556" s="4">
        <f t="shared" si="22"/>
        <v>310</v>
      </c>
      <c r="E1556" s="4">
        <v>38</v>
      </c>
      <c r="H1556" s="29">
        <v>1001</v>
      </c>
      <c r="I1556" s="4">
        <v>1993</v>
      </c>
      <c r="L1556" s="30">
        <v>800</v>
      </c>
      <c r="M1556" s="4">
        <v>504</v>
      </c>
      <c r="N1556" s="4">
        <v>156</v>
      </c>
      <c r="O1556" s="4">
        <v>4382</v>
      </c>
      <c r="P1556" s="4">
        <v>0</v>
      </c>
      <c r="Q1556" s="4">
        <v>416</v>
      </c>
      <c r="R1556" s="4">
        <v>1.5</v>
      </c>
      <c r="S1556" s="4">
        <v>45</v>
      </c>
      <c r="T1556" s="4">
        <v>0</v>
      </c>
      <c r="U1556" s="4">
        <v>0</v>
      </c>
      <c r="V1556" s="4">
        <v>0</v>
      </c>
    </row>
    <row r="1557" spans="1:22" x14ac:dyDescent="0.15">
      <c r="A1557" s="4" t="s">
        <v>2662</v>
      </c>
      <c r="D1557" s="4">
        <f t="shared" si="22"/>
        <v>310</v>
      </c>
      <c r="E1557" s="4">
        <v>39</v>
      </c>
      <c r="H1557" s="29">
        <v>1001</v>
      </c>
      <c r="I1557" s="4">
        <v>2037</v>
      </c>
      <c r="L1557" s="30">
        <v>800</v>
      </c>
      <c r="M1557" s="4">
        <v>516</v>
      </c>
      <c r="N1557" s="4">
        <v>160</v>
      </c>
      <c r="O1557" s="4">
        <v>4468</v>
      </c>
      <c r="P1557" s="4">
        <v>0</v>
      </c>
      <c r="Q1557" s="4">
        <v>424</v>
      </c>
      <c r="R1557" s="4">
        <v>1.5</v>
      </c>
      <c r="S1557" s="4">
        <v>46</v>
      </c>
      <c r="T1557" s="4">
        <v>0</v>
      </c>
      <c r="U1557" s="4">
        <v>0</v>
      </c>
      <c r="V1557" s="4">
        <v>0</v>
      </c>
    </row>
    <row r="1558" spans="1:22" x14ac:dyDescent="0.15">
      <c r="A1558" s="4" t="s">
        <v>2662</v>
      </c>
      <c r="D1558" s="4">
        <f t="shared" si="22"/>
        <v>310</v>
      </c>
      <c r="E1558" s="4">
        <v>40</v>
      </c>
      <c r="H1558" s="29">
        <v>1001</v>
      </c>
      <c r="I1558" s="4">
        <v>2081</v>
      </c>
      <c r="L1558" s="30">
        <v>800</v>
      </c>
      <c r="M1558" s="4">
        <v>528</v>
      </c>
      <c r="N1558" s="4">
        <v>164</v>
      </c>
      <c r="O1558" s="4">
        <v>4554</v>
      </c>
      <c r="P1558" s="4">
        <v>0</v>
      </c>
      <c r="Q1558" s="4">
        <v>432</v>
      </c>
      <c r="R1558" s="4">
        <v>1.5</v>
      </c>
      <c r="S1558" s="4">
        <v>47</v>
      </c>
      <c r="T1558" s="4">
        <v>0</v>
      </c>
      <c r="U1558" s="4">
        <v>0</v>
      </c>
      <c r="V1558" s="4">
        <v>0</v>
      </c>
    </row>
    <row r="1559" spans="1:22" x14ac:dyDescent="0.15">
      <c r="A1559" s="4" t="s">
        <v>2662</v>
      </c>
      <c r="D1559" s="4">
        <f t="shared" si="22"/>
        <v>310</v>
      </c>
      <c r="E1559" s="4">
        <v>41</v>
      </c>
      <c r="H1559" s="29">
        <v>1001</v>
      </c>
      <c r="I1559" s="4">
        <v>2125</v>
      </c>
      <c r="L1559" s="30">
        <v>800</v>
      </c>
      <c r="M1559" s="4">
        <v>540</v>
      </c>
      <c r="N1559" s="4">
        <v>168</v>
      </c>
      <c r="O1559" s="4">
        <v>4640</v>
      </c>
      <c r="P1559" s="4">
        <v>0</v>
      </c>
      <c r="Q1559" s="4">
        <v>440</v>
      </c>
      <c r="R1559" s="4">
        <v>1.5</v>
      </c>
      <c r="S1559" s="4">
        <v>48</v>
      </c>
      <c r="T1559" s="4">
        <v>0</v>
      </c>
      <c r="U1559" s="4">
        <v>0</v>
      </c>
      <c r="V1559" s="4">
        <v>0</v>
      </c>
    </row>
    <row r="1560" spans="1:22" x14ac:dyDescent="0.15">
      <c r="A1560" s="4" t="s">
        <v>2662</v>
      </c>
      <c r="D1560" s="4">
        <f t="shared" si="22"/>
        <v>310</v>
      </c>
      <c r="E1560" s="4">
        <v>42</v>
      </c>
      <c r="H1560" s="29">
        <v>1001</v>
      </c>
      <c r="I1560" s="4">
        <v>2169</v>
      </c>
      <c r="L1560" s="30">
        <v>800</v>
      </c>
      <c r="M1560" s="4">
        <v>552</v>
      </c>
      <c r="N1560" s="4">
        <v>172</v>
      </c>
      <c r="O1560" s="4">
        <v>4726</v>
      </c>
      <c r="P1560" s="4">
        <v>0</v>
      </c>
      <c r="Q1560" s="4">
        <v>448</v>
      </c>
      <c r="R1560" s="4">
        <v>1.5</v>
      </c>
      <c r="S1560" s="4">
        <v>49</v>
      </c>
      <c r="T1560" s="4">
        <v>0</v>
      </c>
      <c r="U1560" s="4">
        <v>0</v>
      </c>
      <c r="V1560" s="4">
        <v>0</v>
      </c>
    </row>
    <row r="1561" spans="1:22" x14ac:dyDescent="0.15">
      <c r="A1561" s="4" t="s">
        <v>2662</v>
      </c>
      <c r="D1561" s="4">
        <f t="shared" si="22"/>
        <v>310</v>
      </c>
      <c r="E1561" s="4">
        <v>43</v>
      </c>
      <c r="H1561" s="29">
        <v>1001</v>
      </c>
      <c r="I1561" s="4">
        <v>2213</v>
      </c>
      <c r="L1561" s="30">
        <v>800</v>
      </c>
      <c r="M1561" s="4">
        <v>564</v>
      </c>
      <c r="N1561" s="4">
        <v>176</v>
      </c>
      <c r="O1561" s="4">
        <v>4812</v>
      </c>
      <c r="P1561" s="4">
        <v>0</v>
      </c>
      <c r="Q1561" s="4">
        <v>456</v>
      </c>
      <c r="R1561" s="4">
        <v>1.5</v>
      </c>
      <c r="S1561" s="4">
        <v>50</v>
      </c>
      <c r="T1561" s="4">
        <v>0</v>
      </c>
      <c r="U1561" s="4">
        <v>0</v>
      </c>
      <c r="V1561" s="4">
        <v>0</v>
      </c>
    </row>
    <row r="1562" spans="1:22" x14ac:dyDescent="0.15">
      <c r="A1562" s="4" t="s">
        <v>2662</v>
      </c>
      <c r="D1562" s="4">
        <f t="shared" si="22"/>
        <v>310</v>
      </c>
      <c r="E1562" s="4">
        <v>44</v>
      </c>
      <c r="H1562" s="29">
        <v>1001</v>
      </c>
      <c r="I1562" s="4">
        <v>2256</v>
      </c>
      <c r="L1562" s="30">
        <v>800</v>
      </c>
      <c r="M1562" s="4">
        <v>576</v>
      </c>
      <c r="N1562" s="4">
        <v>180</v>
      </c>
      <c r="O1562" s="4">
        <v>4898</v>
      </c>
      <c r="P1562" s="4">
        <v>0</v>
      </c>
      <c r="Q1562" s="4">
        <v>464</v>
      </c>
      <c r="R1562" s="4">
        <v>1.5</v>
      </c>
      <c r="S1562" s="4">
        <v>51</v>
      </c>
      <c r="T1562" s="4">
        <v>0</v>
      </c>
      <c r="U1562" s="4">
        <v>0</v>
      </c>
      <c r="V1562" s="4">
        <v>0</v>
      </c>
    </row>
    <row r="1563" spans="1:22" x14ac:dyDescent="0.15">
      <c r="A1563" s="4" t="s">
        <v>2662</v>
      </c>
      <c r="D1563" s="4">
        <f t="shared" si="22"/>
        <v>310</v>
      </c>
      <c r="E1563" s="4">
        <v>45</v>
      </c>
      <c r="H1563" s="29">
        <v>1001</v>
      </c>
      <c r="I1563" s="4">
        <v>2300</v>
      </c>
      <c r="L1563" s="30">
        <v>800</v>
      </c>
      <c r="M1563" s="4">
        <v>588</v>
      </c>
      <c r="N1563" s="4">
        <v>184</v>
      </c>
      <c r="O1563" s="4">
        <v>4984</v>
      </c>
      <c r="P1563" s="4">
        <v>0</v>
      </c>
      <c r="Q1563" s="4">
        <v>472</v>
      </c>
      <c r="R1563" s="4">
        <v>1.5</v>
      </c>
      <c r="S1563" s="4">
        <v>52</v>
      </c>
      <c r="T1563" s="4">
        <v>0</v>
      </c>
      <c r="U1563" s="4">
        <v>0</v>
      </c>
      <c r="V1563" s="4">
        <v>0</v>
      </c>
    </row>
    <row r="1564" spans="1:22" x14ac:dyDescent="0.15">
      <c r="A1564" s="4" t="s">
        <v>2662</v>
      </c>
      <c r="D1564" s="4">
        <f t="shared" si="22"/>
        <v>310</v>
      </c>
      <c r="E1564" s="4">
        <v>46</v>
      </c>
      <c r="H1564" s="29">
        <v>1001</v>
      </c>
      <c r="I1564" s="4">
        <v>2344</v>
      </c>
      <c r="L1564" s="30">
        <v>800</v>
      </c>
      <c r="M1564" s="4">
        <v>600</v>
      </c>
      <c r="N1564" s="4">
        <v>188</v>
      </c>
      <c r="O1564" s="4">
        <v>5070</v>
      </c>
      <c r="P1564" s="4">
        <v>0</v>
      </c>
      <c r="Q1564" s="4">
        <v>480</v>
      </c>
      <c r="R1564" s="4">
        <v>1.5</v>
      </c>
      <c r="S1564" s="4">
        <v>53</v>
      </c>
      <c r="T1564" s="4">
        <v>0</v>
      </c>
      <c r="U1564" s="4">
        <v>0</v>
      </c>
      <c r="V1564" s="4">
        <v>0</v>
      </c>
    </row>
    <row r="1565" spans="1:22" x14ac:dyDescent="0.15">
      <c r="A1565" s="4" t="s">
        <v>2662</v>
      </c>
      <c r="D1565" s="4">
        <f t="shared" si="22"/>
        <v>310</v>
      </c>
      <c r="E1565" s="4">
        <v>47</v>
      </c>
      <c r="H1565" s="29">
        <v>1001</v>
      </c>
      <c r="I1565" s="4">
        <v>2388</v>
      </c>
      <c r="L1565" s="30">
        <v>800</v>
      </c>
      <c r="M1565" s="4">
        <v>612</v>
      </c>
      <c r="N1565" s="4">
        <v>192</v>
      </c>
      <c r="O1565" s="4">
        <v>5156</v>
      </c>
      <c r="P1565" s="4">
        <v>0</v>
      </c>
      <c r="Q1565" s="4">
        <v>488</v>
      </c>
      <c r="R1565" s="4">
        <v>1.5</v>
      </c>
      <c r="S1565" s="4">
        <v>54</v>
      </c>
      <c r="T1565" s="4">
        <v>0</v>
      </c>
      <c r="U1565" s="4">
        <v>0</v>
      </c>
      <c r="V1565" s="4">
        <v>0</v>
      </c>
    </row>
    <row r="1566" spans="1:22" x14ac:dyDescent="0.15">
      <c r="A1566" s="4" t="s">
        <v>2662</v>
      </c>
      <c r="D1566" s="4">
        <f t="shared" si="22"/>
        <v>310</v>
      </c>
      <c r="E1566" s="4">
        <v>48</v>
      </c>
      <c r="H1566" s="29">
        <v>1001</v>
      </c>
      <c r="I1566" s="4">
        <v>2432</v>
      </c>
      <c r="L1566" s="30">
        <v>800</v>
      </c>
      <c r="M1566" s="4">
        <v>624</v>
      </c>
      <c r="N1566" s="4">
        <v>196</v>
      </c>
      <c r="O1566" s="4">
        <v>5242</v>
      </c>
      <c r="P1566" s="4">
        <v>0</v>
      </c>
      <c r="Q1566" s="4">
        <v>496</v>
      </c>
      <c r="R1566" s="4">
        <v>1.5</v>
      </c>
      <c r="S1566" s="4">
        <v>55</v>
      </c>
      <c r="T1566" s="4">
        <v>0</v>
      </c>
      <c r="U1566" s="4">
        <v>0</v>
      </c>
      <c r="V1566" s="4">
        <v>0</v>
      </c>
    </row>
    <row r="1567" spans="1:22" x14ac:dyDescent="0.15">
      <c r="A1567" s="4" t="s">
        <v>2662</v>
      </c>
      <c r="D1567" s="4">
        <f t="shared" si="22"/>
        <v>310</v>
      </c>
      <c r="E1567" s="4">
        <v>49</v>
      </c>
      <c r="H1567" s="29">
        <v>1001</v>
      </c>
      <c r="I1567" s="4">
        <v>2476</v>
      </c>
      <c r="L1567" s="30">
        <v>800</v>
      </c>
      <c r="M1567" s="4">
        <v>636</v>
      </c>
      <c r="N1567" s="4">
        <v>200</v>
      </c>
      <c r="O1567" s="4">
        <v>5328</v>
      </c>
      <c r="P1567" s="4">
        <v>0</v>
      </c>
      <c r="Q1567" s="4">
        <v>504</v>
      </c>
      <c r="R1567" s="4">
        <v>1.5</v>
      </c>
      <c r="S1567" s="4">
        <v>56</v>
      </c>
      <c r="T1567" s="4">
        <v>0</v>
      </c>
      <c r="U1567" s="4">
        <v>0</v>
      </c>
      <c r="V1567" s="4">
        <v>0</v>
      </c>
    </row>
    <row r="1568" spans="1:22" x14ac:dyDescent="0.15">
      <c r="A1568" s="4" t="s">
        <v>2662</v>
      </c>
      <c r="D1568" s="4">
        <f t="shared" si="22"/>
        <v>310</v>
      </c>
      <c r="E1568" s="4">
        <v>50</v>
      </c>
      <c r="H1568" s="29">
        <v>1001</v>
      </c>
      <c r="I1568" s="4">
        <v>2520</v>
      </c>
      <c r="L1568" s="30">
        <v>800</v>
      </c>
      <c r="M1568" s="4">
        <v>648</v>
      </c>
      <c r="N1568" s="4">
        <v>204</v>
      </c>
      <c r="O1568" s="4">
        <v>5414</v>
      </c>
      <c r="P1568" s="4">
        <v>0</v>
      </c>
      <c r="Q1568" s="4">
        <v>512</v>
      </c>
      <c r="R1568" s="4">
        <v>1.5</v>
      </c>
      <c r="S1568" s="4">
        <v>57</v>
      </c>
      <c r="T1568" s="4">
        <v>0</v>
      </c>
      <c r="U1568" s="4">
        <v>0</v>
      </c>
      <c r="V1568" s="4">
        <v>0</v>
      </c>
    </row>
    <row r="1570" spans="1:22" x14ac:dyDescent="0.15">
      <c r="A1570" s="4" t="s">
        <v>2662</v>
      </c>
      <c r="C1570" s="4" t="s">
        <v>3118</v>
      </c>
      <c r="D1570" s="4">
        <v>401</v>
      </c>
      <c r="E1570" s="4">
        <v>0</v>
      </c>
      <c r="H1570" s="29">
        <v>0</v>
      </c>
      <c r="I1570" s="30">
        <v>0</v>
      </c>
      <c r="M1570" s="4">
        <v>0</v>
      </c>
      <c r="N1570" s="4">
        <v>0</v>
      </c>
      <c r="O1570" s="4">
        <v>0</v>
      </c>
      <c r="P1570" s="4">
        <v>0</v>
      </c>
      <c r="Q1570" s="4">
        <v>0</v>
      </c>
      <c r="R1570" s="4">
        <v>0</v>
      </c>
      <c r="S1570" s="4">
        <v>0</v>
      </c>
      <c r="T1570" s="4">
        <v>0</v>
      </c>
      <c r="U1570" s="4">
        <v>0</v>
      </c>
      <c r="V1570" s="4">
        <v>0</v>
      </c>
    </row>
    <row r="1571" spans="1:22" x14ac:dyDescent="0.15">
      <c r="A1571" s="4" t="s">
        <v>2662</v>
      </c>
      <c r="D1571" s="4">
        <v>401</v>
      </c>
      <c r="E1571" s="4">
        <v>1</v>
      </c>
      <c r="H1571" s="29">
        <v>1001</v>
      </c>
      <c r="I1571" s="4">
        <f>[1]森美拉!AB54</f>
        <v>0</v>
      </c>
      <c r="L1571" s="30">
        <v>800</v>
      </c>
      <c r="M1571" s="4">
        <f>[1]关卡数据!E164</f>
        <v>2</v>
      </c>
      <c r="N1571" s="4">
        <f>[1]关卡数据!F164</f>
        <v>0</v>
      </c>
      <c r="O1571" s="4">
        <f>[1]关卡数据!G164</f>
        <v>0</v>
      </c>
      <c r="P1571" s="4">
        <v>0</v>
      </c>
      <c r="Q1571" s="4">
        <f>[1]伙伴成长!Z54</f>
        <v>0</v>
      </c>
      <c r="R1571" s="4">
        <v>1.5</v>
      </c>
      <c r="S1571" s="4">
        <f>[1]伙伴成长!AA54</f>
        <v>0</v>
      </c>
      <c r="T1571" s="4">
        <v>0</v>
      </c>
      <c r="U1571" s="4">
        <v>0</v>
      </c>
      <c r="V1571" s="4">
        <v>0</v>
      </c>
    </row>
    <row r="1572" spans="1:22" x14ac:dyDescent="0.15">
      <c r="A1572" s="4" t="s">
        <v>2662</v>
      </c>
      <c r="D1572" s="4">
        <v>401</v>
      </c>
      <c r="E1572" s="4">
        <v>2</v>
      </c>
      <c r="H1572" s="29">
        <v>1001</v>
      </c>
      <c r="I1572" s="4">
        <f>[1]森美拉!AB55</f>
        <v>0</v>
      </c>
      <c r="L1572" s="30">
        <v>800</v>
      </c>
      <c r="M1572" s="4">
        <f>[1]关卡数据!E165</f>
        <v>2</v>
      </c>
      <c r="N1572" s="4">
        <f>[1]关卡数据!F165</f>
        <v>0</v>
      </c>
      <c r="O1572" s="4">
        <f>[1]关卡数据!G165</f>
        <v>0</v>
      </c>
      <c r="P1572" s="4">
        <v>0</v>
      </c>
      <c r="Q1572" s="4">
        <f>[1]伙伴成长!Z55</f>
        <v>0</v>
      </c>
      <c r="R1572" s="4">
        <v>1.5</v>
      </c>
      <c r="S1572" s="4">
        <f>[1]伙伴成长!AA55</f>
        <v>0</v>
      </c>
      <c r="T1572" s="4">
        <v>0</v>
      </c>
      <c r="U1572" s="4">
        <v>0</v>
      </c>
      <c r="V1572" s="4">
        <v>0</v>
      </c>
    </row>
    <row r="1573" spans="1:22" x14ac:dyDescent="0.15">
      <c r="A1573" s="4" t="s">
        <v>2662</v>
      </c>
      <c r="D1573" s="4">
        <v>401</v>
      </c>
      <c r="E1573" s="4">
        <v>3</v>
      </c>
      <c r="H1573" s="29">
        <v>1001</v>
      </c>
      <c r="I1573" s="4">
        <f>[1]森美拉!AB56</f>
        <v>0</v>
      </c>
      <c r="L1573" s="30">
        <v>800</v>
      </c>
      <c r="M1573" s="4">
        <f>[1]关卡数据!E166</f>
        <v>2</v>
      </c>
      <c r="N1573" s="4">
        <f>[1]关卡数据!F166</f>
        <v>0</v>
      </c>
      <c r="O1573" s="4">
        <f>[1]关卡数据!G166</f>
        <v>0</v>
      </c>
      <c r="P1573" s="4">
        <v>0</v>
      </c>
      <c r="Q1573" s="4">
        <f>[1]伙伴成长!Z56</f>
        <v>0</v>
      </c>
      <c r="R1573" s="4">
        <v>1.5</v>
      </c>
      <c r="S1573" s="4">
        <f>[1]伙伴成长!AA56</f>
        <v>0</v>
      </c>
      <c r="T1573" s="4">
        <v>0</v>
      </c>
      <c r="U1573" s="4">
        <v>0</v>
      </c>
      <c r="V1573" s="4">
        <v>0</v>
      </c>
    </row>
    <row r="1574" spans="1:22" x14ac:dyDescent="0.15">
      <c r="A1574" s="4" t="s">
        <v>2662</v>
      </c>
      <c r="D1574" s="4">
        <v>401</v>
      </c>
      <c r="E1574" s="4">
        <v>4</v>
      </c>
      <c r="H1574" s="29">
        <v>1001</v>
      </c>
      <c r="I1574" s="4">
        <f>[1]森美拉!AB57</f>
        <v>0</v>
      </c>
      <c r="L1574" s="30">
        <v>800</v>
      </c>
      <c r="M1574" s="4">
        <f>[1]关卡数据!E167</f>
        <v>3</v>
      </c>
      <c r="N1574" s="4">
        <f>[1]关卡数据!F167</f>
        <v>0</v>
      </c>
      <c r="O1574" s="4">
        <f>[1]关卡数据!G167</f>
        <v>0</v>
      </c>
      <c r="P1574" s="4">
        <v>0</v>
      </c>
      <c r="Q1574" s="4">
        <f>[1]伙伴成长!Z57</f>
        <v>0</v>
      </c>
      <c r="R1574" s="4">
        <v>1.5</v>
      </c>
      <c r="S1574" s="4">
        <f>[1]伙伴成长!AA57</f>
        <v>0</v>
      </c>
      <c r="T1574" s="4">
        <v>0</v>
      </c>
      <c r="U1574" s="4">
        <v>0</v>
      </c>
      <c r="V1574" s="4">
        <v>0</v>
      </c>
    </row>
    <row r="1575" spans="1:22" x14ac:dyDescent="0.15">
      <c r="A1575" s="4" t="s">
        <v>2662</v>
      </c>
      <c r="D1575" s="4">
        <v>401</v>
      </c>
      <c r="E1575" s="4">
        <v>5</v>
      </c>
      <c r="H1575" s="29">
        <v>1001</v>
      </c>
      <c r="I1575" s="4">
        <f>[1]森美拉!AB58</f>
        <v>0</v>
      </c>
      <c r="L1575" s="30">
        <v>800</v>
      </c>
      <c r="M1575" s="4">
        <f>[1]关卡数据!E168</f>
        <v>3</v>
      </c>
      <c r="N1575" s="4">
        <f>[1]关卡数据!F168</f>
        <v>0</v>
      </c>
      <c r="O1575" s="4">
        <f>[1]关卡数据!G168</f>
        <v>0</v>
      </c>
      <c r="P1575" s="4">
        <v>0</v>
      </c>
      <c r="Q1575" s="4">
        <f>[1]伙伴成长!Z58</f>
        <v>0</v>
      </c>
      <c r="R1575" s="4">
        <v>1.5</v>
      </c>
      <c r="S1575" s="4">
        <f>[1]伙伴成长!AA58</f>
        <v>0</v>
      </c>
      <c r="T1575" s="4">
        <v>0</v>
      </c>
      <c r="U1575" s="4">
        <v>0</v>
      </c>
      <c r="V1575" s="4">
        <v>0</v>
      </c>
    </row>
    <row r="1576" spans="1:22" x14ac:dyDescent="0.15">
      <c r="A1576" s="4" t="s">
        <v>2662</v>
      </c>
      <c r="D1576" s="4">
        <v>401</v>
      </c>
      <c r="E1576" s="4">
        <v>6</v>
      </c>
      <c r="H1576" s="29">
        <v>1001</v>
      </c>
      <c r="I1576" s="4">
        <f>[1]森美拉!AB59</f>
        <v>0</v>
      </c>
      <c r="L1576" s="30">
        <v>800</v>
      </c>
      <c r="M1576" s="4">
        <f>[1]关卡数据!E169</f>
        <v>4</v>
      </c>
      <c r="N1576" s="4">
        <f>[1]关卡数据!F169</f>
        <v>0</v>
      </c>
      <c r="O1576" s="4">
        <f>[1]关卡数据!G169</f>
        <v>0</v>
      </c>
      <c r="P1576" s="4">
        <v>0</v>
      </c>
      <c r="Q1576" s="4">
        <f>[1]伙伴成长!Z59</f>
        <v>0</v>
      </c>
      <c r="R1576" s="4">
        <v>1.5</v>
      </c>
      <c r="S1576" s="4">
        <f>[1]伙伴成长!AA59</f>
        <v>0</v>
      </c>
      <c r="T1576" s="4">
        <v>0</v>
      </c>
      <c r="U1576" s="4">
        <v>0</v>
      </c>
      <c r="V1576" s="4">
        <v>0</v>
      </c>
    </row>
    <row r="1577" spans="1:22" x14ac:dyDescent="0.15">
      <c r="A1577" s="4" t="s">
        <v>2662</v>
      </c>
      <c r="D1577" s="4">
        <v>401</v>
      </c>
      <c r="E1577" s="4">
        <v>7</v>
      </c>
      <c r="H1577" s="29">
        <v>1001</v>
      </c>
      <c r="I1577" s="4">
        <f>[1]森美拉!AB60</f>
        <v>0</v>
      </c>
      <c r="L1577" s="30">
        <v>800</v>
      </c>
      <c r="M1577" s="4">
        <f>[1]关卡数据!E170</f>
        <v>4</v>
      </c>
      <c r="N1577" s="4">
        <f>[1]关卡数据!F170</f>
        <v>0</v>
      </c>
      <c r="O1577" s="4">
        <f>[1]关卡数据!G170</f>
        <v>0</v>
      </c>
      <c r="P1577" s="4">
        <v>0</v>
      </c>
      <c r="Q1577" s="4">
        <f>[1]伙伴成长!Z60</f>
        <v>0</v>
      </c>
      <c r="R1577" s="4">
        <v>1.5</v>
      </c>
      <c r="S1577" s="4">
        <f>[1]伙伴成长!AA60</f>
        <v>0</v>
      </c>
      <c r="T1577" s="4">
        <v>0</v>
      </c>
      <c r="U1577" s="4">
        <v>0</v>
      </c>
      <c r="V1577" s="4">
        <v>0</v>
      </c>
    </row>
    <row r="1578" spans="1:22" x14ac:dyDescent="0.15">
      <c r="A1578" s="4" t="s">
        <v>2662</v>
      </c>
      <c r="D1578" s="4">
        <v>401</v>
      </c>
      <c r="E1578" s="4">
        <v>8</v>
      </c>
      <c r="H1578" s="29">
        <v>1001</v>
      </c>
      <c r="I1578" s="4">
        <f>[1]森美拉!AB61</f>
        <v>0</v>
      </c>
      <c r="L1578" s="30">
        <v>800</v>
      </c>
      <c r="M1578" s="4">
        <f>[1]关卡数据!E171</f>
        <v>5</v>
      </c>
      <c r="N1578" s="4">
        <f>[1]关卡数据!F171</f>
        <v>0</v>
      </c>
      <c r="O1578" s="4">
        <f>[1]关卡数据!G171</f>
        <v>0</v>
      </c>
      <c r="P1578" s="4">
        <v>0</v>
      </c>
      <c r="Q1578" s="4">
        <f>[1]伙伴成长!Z61</f>
        <v>0</v>
      </c>
      <c r="R1578" s="4">
        <v>1.5</v>
      </c>
      <c r="S1578" s="4">
        <f>[1]伙伴成长!AA61</f>
        <v>0</v>
      </c>
      <c r="T1578" s="4">
        <v>0</v>
      </c>
      <c r="U1578" s="4">
        <v>0</v>
      </c>
      <c r="V1578" s="4">
        <v>0</v>
      </c>
    </row>
    <row r="1579" spans="1:22" x14ac:dyDescent="0.15">
      <c r="A1579" s="4" t="s">
        <v>2662</v>
      </c>
      <c r="D1579" s="4">
        <v>401</v>
      </c>
      <c r="E1579" s="4">
        <v>9</v>
      </c>
      <c r="H1579" s="29">
        <v>1001</v>
      </c>
      <c r="I1579" s="4">
        <f>[1]森美拉!AB62</f>
        <v>0</v>
      </c>
      <c r="L1579" s="30">
        <v>800</v>
      </c>
      <c r="M1579" s="4">
        <f>[1]关卡数据!E172</f>
        <v>5</v>
      </c>
      <c r="N1579" s="4">
        <f>[1]关卡数据!F172</f>
        <v>0</v>
      </c>
      <c r="O1579" s="4">
        <f>[1]关卡数据!G172</f>
        <v>0</v>
      </c>
      <c r="P1579" s="4">
        <v>0</v>
      </c>
      <c r="Q1579" s="4">
        <f>[1]伙伴成长!Z62</f>
        <v>0</v>
      </c>
      <c r="R1579" s="4">
        <v>1.5</v>
      </c>
      <c r="S1579" s="4">
        <f>[1]伙伴成长!AA62</f>
        <v>0</v>
      </c>
      <c r="T1579" s="4">
        <v>0</v>
      </c>
      <c r="U1579" s="4">
        <v>0</v>
      </c>
      <c r="V1579" s="4">
        <v>0</v>
      </c>
    </row>
    <row r="1580" spans="1:22" x14ac:dyDescent="0.15">
      <c r="A1580" s="4" t="s">
        <v>2662</v>
      </c>
      <c r="D1580" s="4">
        <v>401</v>
      </c>
      <c r="E1580" s="4">
        <v>10</v>
      </c>
      <c r="H1580" s="29">
        <v>1001</v>
      </c>
      <c r="I1580" s="4">
        <f>[1]森美拉!AB63</f>
        <v>0</v>
      </c>
      <c r="L1580" s="30">
        <v>800</v>
      </c>
      <c r="M1580" s="4">
        <f>[1]关卡数据!E173</f>
        <v>6</v>
      </c>
      <c r="N1580" s="4">
        <f>[1]关卡数据!F173</f>
        <v>0</v>
      </c>
      <c r="O1580" s="4">
        <f>[1]关卡数据!G173</f>
        <v>0</v>
      </c>
      <c r="P1580" s="4">
        <v>0</v>
      </c>
      <c r="Q1580" s="4">
        <f>[1]伙伴成长!Z63</f>
        <v>0</v>
      </c>
      <c r="R1580" s="4">
        <v>1.5</v>
      </c>
      <c r="S1580" s="4">
        <f>[1]伙伴成长!AA63</f>
        <v>0</v>
      </c>
      <c r="T1580" s="4">
        <v>0</v>
      </c>
      <c r="U1580" s="4">
        <v>0</v>
      </c>
      <c r="V1580" s="4">
        <v>0</v>
      </c>
    </row>
    <row r="1581" spans="1:22" x14ac:dyDescent="0.15">
      <c r="A1581" s="4" t="s">
        <v>2662</v>
      </c>
      <c r="D1581" s="4">
        <v>401</v>
      </c>
      <c r="E1581" s="4">
        <v>11</v>
      </c>
      <c r="H1581" s="29">
        <v>1001</v>
      </c>
      <c r="I1581" s="4">
        <f>[1]森美拉!AB64</f>
        <v>0</v>
      </c>
      <c r="L1581" s="30">
        <v>800</v>
      </c>
      <c r="M1581" s="4">
        <f>[1]关卡数据!E174</f>
        <v>6</v>
      </c>
      <c r="N1581" s="4">
        <f>[1]关卡数据!F174</f>
        <v>0</v>
      </c>
      <c r="O1581" s="4">
        <f>[1]关卡数据!G174</f>
        <v>0</v>
      </c>
      <c r="P1581" s="4">
        <v>0</v>
      </c>
      <c r="Q1581" s="4">
        <f>[1]伙伴成长!Z64</f>
        <v>0</v>
      </c>
      <c r="R1581" s="4">
        <v>1.5</v>
      </c>
      <c r="S1581" s="4">
        <f>[1]伙伴成长!AA64</f>
        <v>0</v>
      </c>
      <c r="T1581" s="4">
        <v>0</v>
      </c>
      <c r="U1581" s="4">
        <v>0</v>
      </c>
      <c r="V1581" s="4">
        <v>0</v>
      </c>
    </row>
    <row r="1582" spans="1:22" x14ac:dyDescent="0.15">
      <c r="A1582" s="4" t="s">
        <v>2662</v>
      </c>
      <c r="D1582" s="4">
        <v>401</v>
      </c>
      <c r="E1582" s="4">
        <v>12</v>
      </c>
      <c r="H1582" s="29">
        <v>1001</v>
      </c>
      <c r="I1582" s="4">
        <f>[1]森美拉!AB65</f>
        <v>0</v>
      </c>
      <c r="L1582" s="30">
        <v>800</v>
      </c>
      <c r="M1582" s="4">
        <f>[1]关卡数据!E175</f>
        <v>7</v>
      </c>
      <c r="N1582" s="4">
        <f>[1]关卡数据!F175</f>
        <v>0</v>
      </c>
      <c r="O1582" s="4">
        <f>[1]关卡数据!G175</f>
        <v>0</v>
      </c>
      <c r="P1582" s="4">
        <v>0</v>
      </c>
      <c r="Q1582" s="4">
        <f>[1]伙伴成长!Z65</f>
        <v>0</v>
      </c>
      <c r="R1582" s="4">
        <v>1.5</v>
      </c>
      <c r="S1582" s="4">
        <f>[1]伙伴成长!AA65</f>
        <v>0</v>
      </c>
      <c r="T1582" s="4">
        <v>0</v>
      </c>
      <c r="U1582" s="4">
        <v>0</v>
      </c>
      <c r="V1582" s="4">
        <v>0</v>
      </c>
    </row>
    <row r="1583" spans="1:22" x14ac:dyDescent="0.15">
      <c r="A1583" s="4" t="s">
        <v>2662</v>
      </c>
      <c r="D1583" s="4">
        <v>401</v>
      </c>
      <c r="E1583" s="4">
        <v>13</v>
      </c>
      <c r="H1583" s="29">
        <v>1001</v>
      </c>
      <c r="I1583" s="4">
        <f>[1]森美拉!AB66</f>
        <v>0</v>
      </c>
      <c r="L1583" s="30">
        <v>800</v>
      </c>
      <c r="M1583" s="4">
        <f>[1]关卡数据!E176</f>
        <v>8</v>
      </c>
      <c r="N1583" s="4">
        <f>[1]关卡数据!F176</f>
        <v>0</v>
      </c>
      <c r="O1583" s="4">
        <f>[1]关卡数据!G176</f>
        <v>0</v>
      </c>
      <c r="P1583" s="4">
        <v>0</v>
      </c>
      <c r="Q1583" s="4">
        <f>[1]伙伴成长!Z66</f>
        <v>0</v>
      </c>
      <c r="R1583" s="4">
        <v>1.5</v>
      </c>
      <c r="S1583" s="4">
        <f>[1]伙伴成长!AA66</f>
        <v>0</v>
      </c>
      <c r="T1583" s="4">
        <v>0</v>
      </c>
      <c r="U1583" s="4">
        <v>0</v>
      </c>
      <c r="V1583" s="4">
        <v>0</v>
      </c>
    </row>
    <row r="1584" spans="1:22" x14ac:dyDescent="0.15">
      <c r="A1584" s="4" t="s">
        <v>2662</v>
      </c>
      <c r="D1584" s="4">
        <v>401</v>
      </c>
      <c r="E1584" s="4">
        <v>14</v>
      </c>
      <c r="H1584" s="29">
        <v>1001</v>
      </c>
      <c r="I1584" s="4">
        <f>[1]森美拉!AB67</f>
        <v>0</v>
      </c>
      <c r="L1584" s="30">
        <v>800</v>
      </c>
      <c r="M1584" s="4">
        <f>[1]关卡数据!E177</f>
        <v>9</v>
      </c>
      <c r="N1584" s="4">
        <f>[1]关卡数据!F177</f>
        <v>0</v>
      </c>
      <c r="O1584" s="4">
        <f>[1]关卡数据!G177</f>
        <v>0</v>
      </c>
      <c r="P1584" s="4">
        <v>0</v>
      </c>
      <c r="Q1584" s="4">
        <f>[1]伙伴成长!Z67</f>
        <v>0</v>
      </c>
      <c r="R1584" s="4">
        <v>1.5</v>
      </c>
      <c r="S1584" s="4">
        <f>[1]伙伴成长!AA67</f>
        <v>0</v>
      </c>
      <c r="T1584" s="4">
        <v>0</v>
      </c>
      <c r="U1584" s="4">
        <v>0</v>
      </c>
      <c r="V1584" s="4">
        <v>0</v>
      </c>
    </row>
    <row r="1585" spans="1:22" x14ac:dyDescent="0.15">
      <c r="A1585" s="4" t="s">
        <v>2662</v>
      </c>
      <c r="D1585" s="4">
        <v>401</v>
      </c>
      <c r="E1585" s="4">
        <v>15</v>
      </c>
      <c r="H1585" s="29">
        <v>1001</v>
      </c>
      <c r="I1585" s="4">
        <f>[1]森美拉!AB68</f>
        <v>0</v>
      </c>
      <c r="L1585" s="30">
        <v>800</v>
      </c>
      <c r="M1585" s="4">
        <f>[1]关卡数据!E178</f>
        <v>10</v>
      </c>
      <c r="N1585" s="4">
        <f>[1]关卡数据!F178</f>
        <v>0</v>
      </c>
      <c r="O1585" s="4">
        <f>[1]关卡数据!G178</f>
        <v>0</v>
      </c>
      <c r="P1585" s="4">
        <v>0</v>
      </c>
      <c r="Q1585" s="4">
        <f>[1]伙伴成长!Z68</f>
        <v>0</v>
      </c>
      <c r="R1585" s="4">
        <v>1.5</v>
      </c>
      <c r="S1585" s="4">
        <f>[1]伙伴成长!AA68</f>
        <v>0</v>
      </c>
      <c r="T1585" s="4">
        <v>0</v>
      </c>
      <c r="U1585" s="4">
        <v>0</v>
      </c>
      <c r="V1585" s="4">
        <v>0</v>
      </c>
    </row>
    <row r="1586" spans="1:22" x14ac:dyDescent="0.15">
      <c r="A1586" s="4" t="s">
        <v>2662</v>
      </c>
      <c r="D1586" s="4">
        <v>401</v>
      </c>
      <c r="E1586" s="4">
        <v>16</v>
      </c>
      <c r="H1586" s="29">
        <v>1001</v>
      </c>
      <c r="I1586" s="4">
        <f>[1]森美拉!AB69</f>
        <v>0</v>
      </c>
      <c r="L1586" s="30">
        <v>800</v>
      </c>
      <c r="M1586" s="4">
        <f>[1]关卡数据!E179</f>
        <v>12</v>
      </c>
      <c r="N1586" s="4">
        <f>[1]关卡数据!F179</f>
        <v>0</v>
      </c>
      <c r="O1586" s="4">
        <f>[1]关卡数据!G179</f>
        <v>0</v>
      </c>
      <c r="P1586" s="4">
        <v>0</v>
      </c>
      <c r="Q1586" s="4">
        <f>[1]伙伴成长!Z69</f>
        <v>0</v>
      </c>
      <c r="R1586" s="4">
        <v>1.5</v>
      </c>
      <c r="S1586" s="4">
        <f>[1]伙伴成长!AA69</f>
        <v>0</v>
      </c>
      <c r="T1586" s="4">
        <v>0</v>
      </c>
      <c r="U1586" s="4">
        <v>0</v>
      </c>
      <c r="V1586" s="4">
        <v>0</v>
      </c>
    </row>
    <row r="1587" spans="1:22" x14ac:dyDescent="0.15">
      <c r="A1587" s="4" t="s">
        <v>2662</v>
      </c>
      <c r="D1587" s="4">
        <v>401</v>
      </c>
      <c r="E1587" s="4">
        <v>17</v>
      </c>
      <c r="H1587" s="29">
        <v>1001</v>
      </c>
      <c r="I1587" s="4">
        <f>[1]森美拉!AB70</f>
        <v>0</v>
      </c>
      <c r="L1587" s="30">
        <v>800</v>
      </c>
      <c r="M1587" s="4">
        <f>[1]关卡数据!E180</f>
        <v>14</v>
      </c>
      <c r="N1587" s="4">
        <f>[1]关卡数据!F180</f>
        <v>0</v>
      </c>
      <c r="O1587" s="4">
        <f>[1]关卡数据!G180</f>
        <v>0</v>
      </c>
      <c r="P1587" s="4">
        <v>0</v>
      </c>
      <c r="Q1587" s="4">
        <f>[1]伙伴成长!Z70</f>
        <v>0</v>
      </c>
      <c r="R1587" s="4">
        <v>1.5</v>
      </c>
      <c r="S1587" s="4">
        <f>[1]伙伴成长!AA70</f>
        <v>0</v>
      </c>
      <c r="T1587" s="4">
        <v>0</v>
      </c>
      <c r="U1587" s="4">
        <v>0</v>
      </c>
      <c r="V1587" s="4">
        <v>0</v>
      </c>
    </row>
    <row r="1588" spans="1:22" x14ac:dyDescent="0.15">
      <c r="A1588" s="4" t="s">
        <v>2662</v>
      </c>
      <c r="D1588" s="4">
        <v>401</v>
      </c>
      <c r="E1588" s="4">
        <v>18</v>
      </c>
      <c r="H1588" s="29">
        <v>1001</v>
      </c>
      <c r="I1588" s="4">
        <f>[1]森美拉!AB71</f>
        <v>0</v>
      </c>
      <c r="L1588" s="30">
        <v>800</v>
      </c>
      <c r="M1588" s="4">
        <f>[1]关卡数据!E181</f>
        <v>17</v>
      </c>
      <c r="N1588" s="4">
        <f>[1]关卡数据!F181</f>
        <v>0</v>
      </c>
      <c r="O1588" s="4">
        <f>[1]关卡数据!G181</f>
        <v>0</v>
      </c>
      <c r="P1588" s="4">
        <v>0</v>
      </c>
      <c r="Q1588" s="4">
        <f>[1]伙伴成长!Z71</f>
        <v>0</v>
      </c>
      <c r="R1588" s="4">
        <v>1.5</v>
      </c>
      <c r="S1588" s="4">
        <f>[1]伙伴成长!AA71</f>
        <v>0</v>
      </c>
      <c r="T1588" s="4">
        <v>0</v>
      </c>
      <c r="U1588" s="4">
        <v>0</v>
      </c>
      <c r="V1588" s="4">
        <v>0</v>
      </c>
    </row>
    <row r="1589" spans="1:22" x14ac:dyDescent="0.15">
      <c r="A1589" s="4" t="s">
        <v>2662</v>
      </c>
      <c r="D1589" s="4">
        <v>401</v>
      </c>
      <c r="E1589" s="4">
        <v>19</v>
      </c>
      <c r="H1589" s="29">
        <v>1001</v>
      </c>
      <c r="I1589" s="4">
        <f>[1]森美拉!AB72</f>
        <v>0</v>
      </c>
      <c r="L1589" s="30">
        <v>800</v>
      </c>
      <c r="M1589" s="4">
        <f>[1]关卡数据!E182</f>
        <v>24</v>
      </c>
      <c r="N1589" s="4">
        <f>[1]关卡数据!F182</f>
        <v>0</v>
      </c>
      <c r="O1589" s="4">
        <f>[1]关卡数据!G182</f>
        <v>0</v>
      </c>
      <c r="P1589" s="4">
        <v>0</v>
      </c>
      <c r="Q1589" s="4">
        <f>[1]伙伴成长!Z72</f>
        <v>0</v>
      </c>
      <c r="R1589" s="4">
        <v>1.5</v>
      </c>
      <c r="S1589" s="4">
        <f>[1]伙伴成长!AA72</f>
        <v>0</v>
      </c>
      <c r="T1589" s="4">
        <v>0</v>
      </c>
      <c r="U1589" s="4">
        <v>0</v>
      </c>
      <c r="V1589" s="4">
        <v>0</v>
      </c>
    </row>
    <row r="1590" spans="1:22" x14ac:dyDescent="0.15">
      <c r="A1590" s="4" t="s">
        <v>2662</v>
      </c>
      <c r="D1590" s="4">
        <v>401</v>
      </c>
      <c r="E1590" s="4">
        <v>20</v>
      </c>
      <c r="H1590" s="29">
        <v>1001</v>
      </c>
      <c r="I1590" s="4">
        <f>[1]森美拉!AB73</f>
        <v>0</v>
      </c>
      <c r="L1590" s="30">
        <v>800</v>
      </c>
      <c r="M1590" s="4">
        <f>[1]关卡数据!E183</f>
        <v>27</v>
      </c>
      <c r="N1590" s="4">
        <f>[1]关卡数据!F183</f>
        <v>0</v>
      </c>
      <c r="O1590" s="4">
        <f>[1]关卡数据!G183</f>
        <v>0</v>
      </c>
      <c r="P1590" s="4">
        <v>0</v>
      </c>
      <c r="Q1590" s="4">
        <f>[1]伙伴成长!Z73</f>
        <v>0</v>
      </c>
      <c r="R1590" s="4">
        <v>1.5</v>
      </c>
      <c r="S1590" s="4">
        <f>[1]伙伴成长!AA73</f>
        <v>0</v>
      </c>
      <c r="T1590" s="4">
        <v>0</v>
      </c>
      <c r="U1590" s="4">
        <v>0</v>
      </c>
      <c r="V1590" s="4">
        <v>0</v>
      </c>
    </row>
    <row r="1591" spans="1:22" x14ac:dyDescent="0.15">
      <c r="A1591" s="4" t="s">
        <v>2662</v>
      </c>
      <c r="D1591" s="4">
        <v>401</v>
      </c>
      <c r="E1591" s="4">
        <v>21</v>
      </c>
      <c r="H1591" s="29">
        <v>1001</v>
      </c>
      <c r="I1591" s="4">
        <f>[1]森美拉!AB74</f>
        <v>0</v>
      </c>
      <c r="L1591" s="30">
        <v>800</v>
      </c>
      <c r="M1591" s="4">
        <f>[1]关卡数据!E184</f>
        <v>29</v>
      </c>
      <c r="N1591" s="4">
        <f>[1]关卡数据!F184</f>
        <v>0</v>
      </c>
      <c r="O1591" s="4">
        <f>[1]关卡数据!G184</f>
        <v>0</v>
      </c>
      <c r="P1591" s="4">
        <v>0</v>
      </c>
      <c r="Q1591" s="4">
        <f>[1]伙伴成长!Z74</f>
        <v>0</v>
      </c>
      <c r="R1591" s="4">
        <v>1.5</v>
      </c>
      <c r="S1591" s="4">
        <f>[1]伙伴成长!AA74</f>
        <v>0</v>
      </c>
      <c r="T1591" s="4">
        <v>0</v>
      </c>
      <c r="U1591" s="4">
        <v>0</v>
      </c>
      <c r="V1591" s="4">
        <v>0</v>
      </c>
    </row>
    <row r="1592" spans="1:22" x14ac:dyDescent="0.15">
      <c r="A1592" s="4" t="s">
        <v>2662</v>
      </c>
      <c r="D1592" s="4">
        <v>401</v>
      </c>
      <c r="E1592" s="4">
        <v>22</v>
      </c>
      <c r="H1592" s="29">
        <v>1001</v>
      </c>
      <c r="I1592" s="4">
        <f>[1]森美拉!AB75</f>
        <v>0</v>
      </c>
      <c r="L1592" s="30">
        <v>800</v>
      </c>
      <c r="M1592" s="4">
        <f>[1]关卡数据!E185</f>
        <v>31</v>
      </c>
      <c r="N1592" s="4">
        <f>[1]关卡数据!F185</f>
        <v>0</v>
      </c>
      <c r="O1592" s="4">
        <f>[1]关卡数据!G185</f>
        <v>0</v>
      </c>
      <c r="P1592" s="4">
        <v>0</v>
      </c>
      <c r="Q1592" s="4">
        <f>[1]伙伴成长!Z75</f>
        <v>0</v>
      </c>
      <c r="R1592" s="4">
        <v>1.5</v>
      </c>
      <c r="S1592" s="4">
        <f>[1]伙伴成长!AA75</f>
        <v>0</v>
      </c>
      <c r="T1592" s="4">
        <v>0</v>
      </c>
      <c r="U1592" s="4">
        <v>0</v>
      </c>
      <c r="V1592" s="4">
        <v>0</v>
      </c>
    </row>
    <row r="1593" spans="1:22" x14ac:dyDescent="0.15">
      <c r="A1593" s="4" t="s">
        <v>2662</v>
      </c>
      <c r="D1593" s="4">
        <v>401</v>
      </c>
      <c r="E1593" s="4">
        <v>23</v>
      </c>
      <c r="H1593" s="29">
        <v>1001</v>
      </c>
      <c r="I1593" s="4">
        <f>[1]森美拉!AB76</f>
        <v>0</v>
      </c>
      <c r="L1593" s="30">
        <v>800</v>
      </c>
      <c r="M1593" s="4">
        <f>[1]关卡数据!E186</f>
        <v>33</v>
      </c>
      <c r="N1593" s="4">
        <f>[1]关卡数据!F186</f>
        <v>0</v>
      </c>
      <c r="O1593" s="4">
        <f>[1]关卡数据!G186</f>
        <v>0</v>
      </c>
      <c r="P1593" s="4">
        <v>0</v>
      </c>
      <c r="Q1593" s="4">
        <f>[1]伙伴成长!Z76</f>
        <v>0</v>
      </c>
      <c r="R1593" s="4">
        <v>1.5</v>
      </c>
      <c r="S1593" s="4">
        <f>[1]伙伴成长!AA76</f>
        <v>0</v>
      </c>
      <c r="T1593" s="4">
        <v>0</v>
      </c>
      <c r="U1593" s="4">
        <v>0</v>
      </c>
      <c r="V1593" s="4">
        <v>0</v>
      </c>
    </row>
    <row r="1594" spans="1:22" x14ac:dyDescent="0.15">
      <c r="A1594" s="4" t="s">
        <v>2662</v>
      </c>
      <c r="D1594" s="4">
        <v>401</v>
      </c>
      <c r="E1594" s="4">
        <v>24</v>
      </c>
      <c r="H1594" s="29">
        <v>1001</v>
      </c>
      <c r="I1594" s="4">
        <f>[1]森美拉!AB77</f>
        <v>0</v>
      </c>
      <c r="L1594" s="30">
        <v>800</v>
      </c>
      <c r="M1594" s="4">
        <f>[1]关卡数据!E187</f>
        <v>36</v>
      </c>
      <c r="N1594" s="4">
        <f>[1]关卡数据!F187</f>
        <v>0</v>
      </c>
      <c r="O1594" s="4">
        <f>[1]关卡数据!G187</f>
        <v>0</v>
      </c>
      <c r="P1594" s="4">
        <v>0</v>
      </c>
      <c r="Q1594" s="4">
        <f>[1]伙伴成长!Z77</f>
        <v>0</v>
      </c>
      <c r="R1594" s="4">
        <v>1.5</v>
      </c>
      <c r="S1594" s="4">
        <f>[1]伙伴成长!AA77</f>
        <v>0</v>
      </c>
      <c r="T1594" s="4">
        <v>0</v>
      </c>
      <c r="U1594" s="4">
        <v>0</v>
      </c>
      <c r="V1594" s="4">
        <v>0</v>
      </c>
    </row>
    <row r="1595" spans="1:22" x14ac:dyDescent="0.15">
      <c r="A1595" s="4" t="s">
        <v>2662</v>
      </c>
      <c r="D1595" s="4">
        <v>401</v>
      </c>
      <c r="E1595" s="4">
        <v>25</v>
      </c>
      <c r="H1595" s="29">
        <v>1001</v>
      </c>
      <c r="I1595" s="4">
        <f>[1]森美拉!AB78</f>
        <v>0</v>
      </c>
      <c r="L1595" s="30">
        <v>800</v>
      </c>
      <c r="M1595" s="4">
        <f>[1]关卡数据!E188</f>
        <v>39</v>
      </c>
      <c r="N1595" s="4">
        <f>[1]关卡数据!F188</f>
        <v>0</v>
      </c>
      <c r="O1595" s="4">
        <f>[1]关卡数据!G188</f>
        <v>0</v>
      </c>
      <c r="P1595" s="4">
        <v>0</v>
      </c>
      <c r="Q1595" s="4">
        <f>[1]伙伴成长!Z78</f>
        <v>0</v>
      </c>
      <c r="R1595" s="4">
        <v>1.5</v>
      </c>
      <c r="S1595" s="4">
        <f>[1]伙伴成长!AA78</f>
        <v>0</v>
      </c>
      <c r="T1595" s="4">
        <v>0</v>
      </c>
      <c r="U1595" s="4">
        <v>0</v>
      </c>
      <c r="V1595" s="4">
        <v>0</v>
      </c>
    </row>
    <row r="1596" spans="1:22" x14ac:dyDescent="0.15">
      <c r="A1596" s="4" t="s">
        <v>2662</v>
      </c>
      <c r="D1596" s="4">
        <v>401</v>
      </c>
      <c r="E1596" s="4">
        <v>26</v>
      </c>
      <c r="H1596" s="29">
        <v>1001</v>
      </c>
      <c r="I1596" s="4">
        <f>[1]森美拉!AB79</f>
        <v>0</v>
      </c>
      <c r="L1596" s="30">
        <v>800</v>
      </c>
      <c r="M1596" s="4">
        <f>[1]关卡数据!E189</f>
        <v>54</v>
      </c>
      <c r="N1596" s="4">
        <f>[1]关卡数据!F189</f>
        <v>0</v>
      </c>
      <c r="O1596" s="4">
        <f>[1]关卡数据!G189</f>
        <v>0</v>
      </c>
      <c r="P1596" s="4">
        <v>0</v>
      </c>
      <c r="Q1596" s="4">
        <f>[1]伙伴成长!Z79</f>
        <v>0</v>
      </c>
      <c r="R1596" s="4">
        <v>1.5</v>
      </c>
      <c r="S1596" s="4">
        <f>[1]伙伴成长!AA79</f>
        <v>0</v>
      </c>
      <c r="T1596" s="4">
        <v>0</v>
      </c>
      <c r="U1596" s="4">
        <v>0</v>
      </c>
      <c r="V1596" s="4">
        <v>0</v>
      </c>
    </row>
    <row r="1597" spans="1:22" x14ac:dyDescent="0.15">
      <c r="A1597" s="4" t="s">
        <v>2662</v>
      </c>
      <c r="D1597" s="4">
        <v>401</v>
      </c>
      <c r="E1597" s="4">
        <v>27</v>
      </c>
      <c r="H1597" s="29">
        <v>1001</v>
      </c>
      <c r="I1597" s="4">
        <f>[1]森美拉!AB80</f>
        <v>0</v>
      </c>
      <c r="L1597" s="30">
        <v>800</v>
      </c>
      <c r="M1597" s="4">
        <f>[1]关卡数据!E190</f>
        <v>61</v>
      </c>
      <c r="N1597" s="4">
        <f>[1]关卡数据!F190</f>
        <v>0</v>
      </c>
      <c r="O1597" s="4">
        <f>[1]关卡数据!G190</f>
        <v>0</v>
      </c>
      <c r="P1597" s="4">
        <v>0</v>
      </c>
      <c r="Q1597" s="4">
        <f>[1]伙伴成长!Z80</f>
        <v>0</v>
      </c>
      <c r="R1597" s="4">
        <v>1.5</v>
      </c>
      <c r="S1597" s="4">
        <f>[1]伙伴成长!AA80</f>
        <v>0</v>
      </c>
      <c r="T1597" s="4">
        <v>0</v>
      </c>
      <c r="U1597" s="4">
        <v>0</v>
      </c>
      <c r="V1597" s="4">
        <v>0</v>
      </c>
    </row>
    <row r="1598" spans="1:22" x14ac:dyDescent="0.15">
      <c r="A1598" s="4" t="s">
        <v>2662</v>
      </c>
      <c r="D1598" s="4">
        <v>401</v>
      </c>
      <c r="E1598" s="4">
        <v>28</v>
      </c>
      <c r="H1598" s="29">
        <v>1001</v>
      </c>
      <c r="I1598" s="4">
        <f>[1]森美拉!AB81</f>
        <v>0</v>
      </c>
      <c r="L1598" s="30">
        <v>800</v>
      </c>
      <c r="M1598" s="4">
        <f>[1]关卡数据!E191</f>
        <v>70</v>
      </c>
      <c r="N1598" s="4">
        <f>[1]关卡数据!F191</f>
        <v>0</v>
      </c>
      <c r="O1598" s="4">
        <f>[1]关卡数据!G191</f>
        <v>0</v>
      </c>
      <c r="P1598" s="4">
        <v>0</v>
      </c>
      <c r="Q1598" s="4">
        <f>[1]伙伴成长!Z81</f>
        <v>0</v>
      </c>
      <c r="R1598" s="4">
        <v>1.5</v>
      </c>
      <c r="S1598" s="4">
        <f>[1]伙伴成长!AA81</f>
        <v>0</v>
      </c>
      <c r="T1598" s="4">
        <v>0</v>
      </c>
      <c r="U1598" s="4">
        <v>0</v>
      </c>
      <c r="V1598" s="4">
        <v>0</v>
      </c>
    </row>
    <row r="1599" spans="1:22" x14ac:dyDescent="0.15">
      <c r="A1599" s="4" t="s">
        <v>2662</v>
      </c>
      <c r="D1599" s="4">
        <v>401</v>
      </c>
      <c r="E1599" s="4">
        <v>29</v>
      </c>
      <c r="H1599" s="29">
        <v>1001</v>
      </c>
      <c r="I1599" s="4">
        <f>[1]森美拉!AB82</f>
        <v>0</v>
      </c>
      <c r="L1599" s="30">
        <v>800</v>
      </c>
      <c r="M1599" s="4">
        <f>[1]关卡数据!E192</f>
        <v>81</v>
      </c>
      <c r="N1599" s="4">
        <f>[1]关卡数据!F192</f>
        <v>0</v>
      </c>
      <c r="O1599" s="4">
        <f>[1]关卡数据!G192</f>
        <v>0</v>
      </c>
      <c r="P1599" s="4">
        <v>0</v>
      </c>
      <c r="Q1599" s="4">
        <f>[1]伙伴成长!Z82</f>
        <v>0</v>
      </c>
      <c r="R1599" s="4">
        <v>1.5</v>
      </c>
      <c r="S1599" s="4">
        <f>[1]伙伴成长!AA82</f>
        <v>0</v>
      </c>
      <c r="T1599" s="4">
        <v>0</v>
      </c>
      <c r="U1599" s="4">
        <v>0</v>
      </c>
      <c r="V1599" s="4">
        <v>0</v>
      </c>
    </row>
    <row r="1600" spans="1:22" x14ac:dyDescent="0.15">
      <c r="A1600" s="4" t="s">
        <v>2662</v>
      </c>
      <c r="D1600" s="4">
        <v>401</v>
      </c>
      <c r="E1600" s="4">
        <v>30</v>
      </c>
      <c r="H1600" s="29">
        <v>1001</v>
      </c>
      <c r="I1600" s="4">
        <f>[1]森美拉!AB83</f>
        <v>0</v>
      </c>
      <c r="L1600" s="30">
        <v>800</v>
      </c>
      <c r="M1600" s="4">
        <f>[1]关卡数据!E193</f>
        <v>97</v>
      </c>
      <c r="N1600" s="4">
        <f>[1]关卡数据!F193</f>
        <v>0</v>
      </c>
      <c r="O1600" s="4">
        <f>[1]关卡数据!G193</f>
        <v>0</v>
      </c>
      <c r="P1600" s="4">
        <v>0</v>
      </c>
      <c r="Q1600" s="4">
        <f>[1]伙伴成长!Z83</f>
        <v>0</v>
      </c>
      <c r="R1600" s="4">
        <v>1.5</v>
      </c>
      <c r="S1600" s="4">
        <f>[1]伙伴成长!AA83</f>
        <v>0</v>
      </c>
      <c r="T1600" s="4">
        <v>0</v>
      </c>
      <c r="U1600" s="4">
        <v>0</v>
      </c>
      <c r="V1600" s="4">
        <v>0</v>
      </c>
    </row>
    <row r="1601" spans="1:22" x14ac:dyDescent="0.15">
      <c r="A1601" s="4" t="s">
        <v>2662</v>
      </c>
      <c r="D1601" s="4">
        <v>401</v>
      </c>
      <c r="E1601" s="4">
        <v>31</v>
      </c>
      <c r="H1601" s="29">
        <v>1001</v>
      </c>
      <c r="I1601" s="4">
        <f>[1]森美拉!AB84</f>
        <v>0</v>
      </c>
      <c r="L1601" s="30">
        <v>800</v>
      </c>
      <c r="M1601" s="4">
        <f>[1]关卡数据!E194</f>
        <v>122</v>
      </c>
      <c r="N1601" s="4">
        <f>[1]关卡数据!F194</f>
        <v>0</v>
      </c>
      <c r="O1601" s="4">
        <f>[1]关卡数据!G194</f>
        <v>0</v>
      </c>
      <c r="P1601" s="4">
        <v>0</v>
      </c>
      <c r="Q1601" s="4">
        <f>[1]伙伴成长!Z84</f>
        <v>0</v>
      </c>
      <c r="R1601" s="4">
        <v>1.5</v>
      </c>
      <c r="S1601" s="4">
        <f>[1]伙伴成长!AA84</f>
        <v>0</v>
      </c>
      <c r="T1601" s="4">
        <v>0</v>
      </c>
      <c r="U1601" s="4">
        <v>0</v>
      </c>
      <c r="V1601" s="4">
        <v>0</v>
      </c>
    </row>
    <row r="1602" spans="1:22" x14ac:dyDescent="0.15">
      <c r="A1602" s="4" t="s">
        <v>2662</v>
      </c>
      <c r="D1602" s="4">
        <v>401</v>
      </c>
      <c r="E1602" s="4">
        <v>32</v>
      </c>
      <c r="H1602" s="29">
        <v>1001</v>
      </c>
      <c r="I1602" s="4">
        <f>[1]森美拉!AB85</f>
        <v>0</v>
      </c>
      <c r="L1602" s="30">
        <v>800</v>
      </c>
      <c r="M1602" s="4">
        <f>[1]关卡数据!E195</f>
        <v>124</v>
      </c>
      <c r="N1602" s="4">
        <f>[1]关卡数据!F195</f>
        <v>0</v>
      </c>
      <c r="O1602" s="4">
        <f>[1]关卡数据!G195</f>
        <v>0</v>
      </c>
      <c r="P1602" s="4">
        <v>0</v>
      </c>
      <c r="Q1602" s="4">
        <f>[1]伙伴成长!Z85</f>
        <v>0</v>
      </c>
      <c r="R1602" s="4">
        <v>1.5</v>
      </c>
      <c r="S1602" s="4">
        <f>[1]伙伴成长!AA85</f>
        <v>0</v>
      </c>
      <c r="T1602" s="4">
        <v>0</v>
      </c>
      <c r="U1602" s="4">
        <v>0</v>
      </c>
      <c r="V1602" s="4">
        <v>0</v>
      </c>
    </row>
    <row r="1603" spans="1:22" x14ac:dyDescent="0.15">
      <c r="A1603" s="4" t="s">
        <v>2662</v>
      </c>
      <c r="D1603" s="4">
        <v>401</v>
      </c>
      <c r="E1603" s="4">
        <v>33</v>
      </c>
      <c r="H1603" s="29">
        <v>1001</v>
      </c>
      <c r="I1603" s="4">
        <f>[1]森美拉!AB86</f>
        <v>0</v>
      </c>
      <c r="L1603" s="30">
        <v>800</v>
      </c>
      <c r="M1603" s="4">
        <f>[1]关卡数据!E196</f>
        <v>126</v>
      </c>
      <c r="N1603" s="4">
        <f>[1]关卡数据!F196</f>
        <v>0</v>
      </c>
      <c r="O1603" s="4">
        <f>[1]关卡数据!G196</f>
        <v>0</v>
      </c>
      <c r="P1603" s="4">
        <v>0</v>
      </c>
      <c r="Q1603" s="4">
        <f>[1]伙伴成长!Z86</f>
        <v>0</v>
      </c>
      <c r="R1603" s="4">
        <v>1.5</v>
      </c>
      <c r="S1603" s="4">
        <f>[1]伙伴成长!AA86</f>
        <v>0</v>
      </c>
      <c r="T1603" s="4">
        <v>0</v>
      </c>
      <c r="U1603" s="4">
        <v>0</v>
      </c>
      <c r="V1603" s="4">
        <v>0</v>
      </c>
    </row>
    <row r="1604" spans="1:22" x14ac:dyDescent="0.15">
      <c r="A1604" s="4" t="s">
        <v>2662</v>
      </c>
      <c r="D1604" s="4">
        <v>401</v>
      </c>
      <c r="E1604" s="4">
        <v>34</v>
      </c>
      <c r="H1604" s="29">
        <v>1001</v>
      </c>
      <c r="I1604" s="4">
        <f>[1]森美拉!AB87</f>
        <v>0</v>
      </c>
      <c r="L1604" s="30">
        <v>800</v>
      </c>
      <c r="M1604" s="4">
        <f>[1]关卡数据!E197</f>
        <v>128</v>
      </c>
      <c r="N1604" s="4">
        <f>[1]关卡数据!F197</f>
        <v>0</v>
      </c>
      <c r="O1604" s="4">
        <f>[1]关卡数据!G197</f>
        <v>0</v>
      </c>
      <c r="P1604" s="4">
        <v>0</v>
      </c>
      <c r="Q1604" s="4">
        <f>[1]伙伴成长!Z87</f>
        <v>0</v>
      </c>
      <c r="R1604" s="4">
        <v>1.5</v>
      </c>
      <c r="S1604" s="4">
        <f>[1]伙伴成长!AA87</f>
        <v>0</v>
      </c>
      <c r="T1604" s="4">
        <v>0</v>
      </c>
      <c r="U1604" s="4">
        <v>0</v>
      </c>
      <c r="V1604" s="4">
        <v>0</v>
      </c>
    </row>
    <row r="1605" spans="1:22" x14ac:dyDescent="0.15">
      <c r="A1605" s="4" t="s">
        <v>2662</v>
      </c>
      <c r="D1605" s="4">
        <v>401</v>
      </c>
      <c r="E1605" s="4">
        <v>35</v>
      </c>
      <c r="H1605" s="29">
        <v>1001</v>
      </c>
      <c r="I1605" s="4">
        <f>[1]森美拉!AB88</f>
        <v>0</v>
      </c>
      <c r="L1605" s="30">
        <v>800</v>
      </c>
      <c r="M1605" s="4">
        <f>[1]关卡数据!E198</f>
        <v>130</v>
      </c>
      <c r="N1605" s="4">
        <f>[1]关卡数据!F198</f>
        <v>0</v>
      </c>
      <c r="O1605" s="4">
        <f>[1]关卡数据!G198</f>
        <v>0</v>
      </c>
      <c r="P1605" s="4">
        <v>0</v>
      </c>
      <c r="Q1605" s="4">
        <f>[1]伙伴成长!Z88</f>
        <v>0</v>
      </c>
      <c r="R1605" s="4">
        <v>1.5</v>
      </c>
      <c r="S1605" s="4">
        <f>[1]伙伴成长!AA88</f>
        <v>0</v>
      </c>
      <c r="T1605" s="4">
        <v>0</v>
      </c>
      <c r="U1605" s="4">
        <v>0</v>
      </c>
      <c r="V1605" s="4">
        <v>0</v>
      </c>
    </row>
    <row r="1606" spans="1:22" x14ac:dyDescent="0.15">
      <c r="A1606" s="4" t="s">
        <v>2662</v>
      </c>
      <c r="D1606" s="4">
        <v>401</v>
      </c>
      <c r="E1606" s="4">
        <v>36</v>
      </c>
      <c r="H1606" s="29">
        <v>1001</v>
      </c>
      <c r="I1606" s="4">
        <f>[1]森美拉!AB89</f>
        <v>0</v>
      </c>
      <c r="L1606" s="30">
        <v>800</v>
      </c>
      <c r="M1606" s="4">
        <f>[1]关卡数据!E199</f>
        <v>132</v>
      </c>
      <c r="N1606" s="4">
        <f>[1]关卡数据!F199</f>
        <v>0</v>
      </c>
      <c r="O1606" s="4">
        <f>[1]关卡数据!G199</f>
        <v>0</v>
      </c>
      <c r="P1606" s="4">
        <v>0</v>
      </c>
      <c r="Q1606" s="4">
        <f>[1]伙伴成长!Z89</f>
        <v>0</v>
      </c>
      <c r="R1606" s="4">
        <v>1.5</v>
      </c>
      <c r="S1606" s="4">
        <f>[1]伙伴成长!AA89</f>
        <v>0</v>
      </c>
      <c r="T1606" s="4">
        <v>0</v>
      </c>
      <c r="U1606" s="4">
        <v>0</v>
      </c>
      <c r="V1606" s="4">
        <v>0</v>
      </c>
    </row>
    <row r="1607" spans="1:22" x14ac:dyDescent="0.15">
      <c r="A1607" s="4" t="s">
        <v>2662</v>
      </c>
      <c r="D1607" s="4">
        <v>401</v>
      </c>
      <c r="E1607" s="4">
        <v>37</v>
      </c>
      <c r="H1607" s="29">
        <v>1001</v>
      </c>
      <c r="I1607" s="4">
        <f>[1]森美拉!AB90</f>
        <v>0</v>
      </c>
      <c r="L1607" s="30">
        <v>800</v>
      </c>
      <c r="M1607" s="4">
        <f>[1]关卡数据!E200</f>
        <v>134</v>
      </c>
      <c r="N1607" s="4">
        <f>[1]关卡数据!F200</f>
        <v>0</v>
      </c>
      <c r="O1607" s="4">
        <f>[1]关卡数据!G200</f>
        <v>0</v>
      </c>
      <c r="P1607" s="4">
        <v>0</v>
      </c>
      <c r="Q1607" s="4">
        <f>[1]伙伴成长!Z90</f>
        <v>0</v>
      </c>
      <c r="R1607" s="4">
        <v>1.5</v>
      </c>
      <c r="S1607" s="4">
        <f>[1]伙伴成长!AA90</f>
        <v>0</v>
      </c>
      <c r="T1607" s="4">
        <v>0</v>
      </c>
      <c r="U1607" s="4">
        <v>0</v>
      </c>
      <c r="V1607" s="4">
        <v>0</v>
      </c>
    </row>
    <row r="1608" spans="1:22" x14ac:dyDescent="0.15">
      <c r="A1608" s="4" t="s">
        <v>2662</v>
      </c>
      <c r="D1608" s="4">
        <v>401</v>
      </c>
      <c r="E1608" s="4">
        <v>38</v>
      </c>
      <c r="H1608" s="29">
        <v>1001</v>
      </c>
      <c r="I1608" s="4">
        <f>[1]森美拉!AB91</f>
        <v>0</v>
      </c>
      <c r="L1608" s="30">
        <v>800</v>
      </c>
      <c r="M1608" s="4">
        <f>[1]关卡数据!E201</f>
        <v>136</v>
      </c>
      <c r="N1608" s="4">
        <f>[1]关卡数据!F201</f>
        <v>0</v>
      </c>
      <c r="O1608" s="4">
        <f>[1]关卡数据!G201</f>
        <v>0</v>
      </c>
      <c r="P1608" s="4">
        <v>0</v>
      </c>
      <c r="Q1608" s="4">
        <f>[1]伙伴成长!Z91</f>
        <v>0</v>
      </c>
      <c r="R1608" s="4">
        <v>1.5</v>
      </c>
      <c r="S1608" s="4">
        <f>[1]伙伴成长!AA91</f>
        <v>0</v>
      </c>
      <c r="T1608" s="4">
        <v>0</v>
      </c>
      <c r="U1608" s="4">
        <v>0</v>
      </c>
      <c r="V1608" s="4">
        <v>0</v>
      </c>
    </row>
    <row r="1609" spans="1:22" x14ac:dyDescent="0.15">
      <c r="A1609" s="4" t="s">
        <v>2662</v>
      </c>
      <c r="D1609" s="4">
        <v>401</v>
      </c>
      <c r="E1609" s="4">
        <v>39</v>
      </c>
      <c r="H1609" s="29">
        <v>1001</v>
      </c>
      <c r="I1609" s="4">
        <f>[1]森美拉!AB92</f>
        <v>0</v>
      </c>
      <c r="L1609" s="30">
        <v>800</v>
      </c>
      <c r="M1609" s="4">
        <f>[1]关卡数据!E202</f>
        <v>138</v>
      </c>
      <c r="N1609" s="4">
        <f>[1]关卡数据!F202</f>
        <v>0</v>
      </c>
      <c r="O1609" s="4">
        <f>[1]关卡数据!G202</f>
        <v>0</v>
      </c>
      <c r="P1609" s="4">
        <v>0</v>
      </c>
      <c r="Q1609" s="4">
        <f>[1]伙伴成长!Z92</f>
        <v>0</v>
      </c>
      <c r="R1609" s="4">
        <v>1.5</v>
      </c>
      <c r="S1609" s="4">
        <f>[1]伙伴成长!AA92</f>
        <v>0</v>
      </c>
      <c r="T1609" s="4">
        <v>0</v>
      </c>
      <c r="U1609" s="4">
        <v>0</v>
      </c>
      <c r="V1609" s="4">
        <v>0</v>
      </c>
    </row>
    <row r="1610" spans="1:22" x14ac:dyDescent="0.15">
      <c r="A1610" s="4" t="s">
        <v>2662</v>
      </c>
      <c r="D1610" s="4">
        <v>401</v>
      </c>
      <c r="E1610" s="4">
        <v>40</v>
      </c>
      <c r="H1610" s="29">
        <v>1001</v>
      </c>
      <c r="I1610" s="4">
        <f>[1]森美拉!AB93</f>
        <v>0</v>
      </c>
      <c r="L1610" s="30">
        <v>800</v>
      </c>
      <c r="M1610" s="4">
        <f>[1]关卡数据!E203</f>
        <v>140</v>
      </c>
      <c r="N1610" s="4">
        <f>[1]关卡数据!F203</f>
        <v>0</v>
      </c>
      <c r="O1610" s="4">
        <f>[1]关卡数据!G203</f>
        <v>0</v>
      </c>
      <c r="P1610" s="4">
        <v>0</v>
      </c>
      <c r="Q1610" s="4">
        <f>[1]伙伴成长!Z93</f>
        <v>0</v>
      </c>
      <c r="R1610" s="4">
        <v>1.5</v>
      </c>
      <c r="S1610" s="4">
        <f>[1]伙伴成长!AA93</f>
        <v>0</v>
      </c>
      <c r="T1610" s="4">
        <v>0</v>
      </c>
      <c r="U1610" s="4">
        <v>0</v>
      </c>
      <c r="V1610" s="4">
        <v>0</v>
      </c>
    </row>
    <row r="1611" spans="1:22" x14ac:dyDescent="0.15">
      <c r="A1611" s="4" t="s">
        <v>2662</v>
      </c>
      <c r="D1611" s="4">
        <v>401</v>
      </c>
      <c r="E1611" s="4">
        <v>41</v>
      </c>
      <c r="H1611" s="29">
        <v>1001</v>
      </c>
      <c r="I1611" s="4">
        <f>[1]森美拉!AB94</f>
        <v>0</v>
      </c>
      <c r="L1611" s="30">
        <v>800</v>
      </c>
      <c r="M1611" s="4">
        <f>[1]关卡数据!E204</f>
        <v>142</v>
      </c>
      <c r="N1611" s="4">
        <f>[1]关卡数据!F204</f>
        <v>0</v>
      </c>
      <c r="O1611" s="4">
        <f>[1]关卡数据!G204</f>
        <v>0</v>
      </c>
      <c r="P1611" s="4">
        <v>0</v>
      </c>
      <c r="Q1611" s="4">
        <f>[1]伙伴成长!Z94</f>
        <v>0</v>
      </c>
      <c r="R1611" s="4">
        <v>1.5</v>
      </c>
      <c r="S1611" s="4">
        <f>[1]伙伴成长!AA94</f>
        <v>0</v>
      </c>
      <c r="T1611" s="4">
        <v>0</v>
      </c>
      <c r="U1611" s="4">
        <v>0</v>
      </c>
      <c r="V1611" s="4">
        <v>0</v>
      </c>
    </row>
    <row r="1612" spans="1:22" x14ac:dyDescent="0.15">
      <c r="A1612" s="4" t="s">
        <v>2662</v>
      </c>
      <c r="D1612" s="4">
        <v>401</v>
      </c>
      <c r="E1612" s="4">
        <v>42</v>
      </c>
      <c r="H1612" s="29">
        <v>1001</v>
      </c>
      <c r="I1612" s="4">
        <f>[1]森美拉!AB95</f>
        <v>0</v>
      </c>
      <c r="L1612" s="30">
        <v>800</v>
      </c>
      <c r="M1612" s="4">
        <f>[1]关卡数据!E205</f>
        <v>144</v>
      </c>
      <c r="N1612" s="4">
        <f>[1]关卡数据!F205</f>
        <v>0</v>
      </c>
      <c r="O1612" s="4">
        <f>[1]关卡数据!G205</f>
        <v>0</v>
      </c>
      <c r="P1612" s="4">
        <v>0</v>
      </c>
      <c r="Q1612" s="4">
        <f>[1]伙伴成长!Z95</f>
        <v>0</v>
      </c>
      <c r="R1612" s="4">
        <v>1.5</v>
      </c>
      <c r="S1612" s="4">
        <f>[1]伙伴成长!AA95</f>
        <v>0</v>
      </c>
      <c r="T1612" s="4">
        <v>0</v>
      </c>
      <c r="U1612" s="4">
        <v>0</v>
      </c>
      <c r="V1612" s="4">
        <v>0</v>
      </c>
    </row>
    <row r="1613" spans="1:22" x14ac:dyDescent="0.15">
      <c r="A1613" s="4" t="s">
        <v>2662</v>
      </c>
      <c r="D1613" s="4">
        <v>401</v>
      </c>
      <c r="E1613" s="4">
        <v>43</v>
      </c>
      <c r="H1613" s="29">
        <v>1001</v>
      </c>
      <c r="I1613" s="4">
        <f>[1]森美拉!AB96</f>
        <v>0</v>
      </c>
      <c r="L1613" s="30">
        <v>800</v>
      </c>
      <c r="M1613" s="4">
        <f>[1]关卡数据!E206</f>
        <v>146</v>
      </c>
      <c r="N1613" s="4">
        <f>[1]关卡数据!F206</f>
        <v>0</v>
      </c>
      <c r="O1613" s="4">
        <f>[1]关卡数据!G206</f>
        <v>0</v>
      </c>
      <c r="P1613" s="4">
        <v>0</v>
      </c>
      <c r="Q1613" s="4">
        <f>[1]伙伴成长!Z96</f>
        <v>0</v>
      </c>
      <c r="R1613" s="4">
        <v>1.5</v>
      </c>
      <c r="S1613" s="4">
        <f>[1]伙伴成长!AA96</f>
        <v>0</v>
      </c>
      <c r="T1613" s="4">
        <v>0</v>
      </c>
      <c r="U1613" s="4">
        <v>0</v>
      </c>
      <c r="V1613" s="4">
        <v>0</v>
      </c>
    </row>
    <row r="1614" spans="1:22" x14ac:dyDescent="0.15">
      <c r="A1614" s="4" t="s">
        <v>2662</v>
      </c>
      <c r="D1614" s="4">
        <v>401</v>
      </c>
      <c r="E1614" s="4">
        <v>44</v>
      </c>
      <c r="H1614" s="29">
        <v>1001</v>
      </c>
      <c r="I1614" s="4">
        <f>[1]森美拉!AB97</f>
        <v>0</v>
      </c>
      <c r="L1614" s="30">
        <v>800</v>
      </c>
      <c r="M1614" s="4">
        <f>[1]关卡数据!E207</f>
        <v>149</v>
      </c>
      <c r="N1614" s="4">
        <f>[1]关卡数据!F207</f>
        <v>0</v>
      </c>
      <c r="O1614" s="4">
        <f>[1]关卡数据!G207</f>
        <v>0</v>
      </c>
      <c r="P1614" s="4">
        <v>0</v>
      </c>
      <c r="Q1614" s="4">
        <f>[1]伙伴成长!Z97</f>
        <v>0</v>
      </c>
      <c r="R1614" s="4">
        <v>1.5</v>
      </c>
      <c r="S1614" s="4">
        <f>[1]伙伴成长!AA97</f>
        <v>0</v>
      </c>
      <c r="T1614" s="4">
        <v>0</v>
      </c>
      <c r="U1614" s="4">
        <v>0</v>
      </c>
      <c r="V1614" s="4">
        <v>0</v>
      </c>
    </row>
    <row r="1615" spans="1:22" x14ac:dyDescent="0.15">
      <c r="A1615" s="4" t="s">
        <v>2662</v>
      </c>
      <c r="D1615" s="4">
        <v>401</v>
      </c>
      <c r="E1615" s="4">
        <v>45</v>
      </c>
      <c r="H1615" s="29">
        <v>1001</v>
      </c>
      <c r="I1615" s="4">
        <f>[1]森美拉!AB98</f>
        <v>0</v>
      </c>
      <c r="L1615" s="30">
        <v>800</v>
      </c>
      <c r="M1615" s="4">
        <f>[1]关卡数据!E208</f>
        <v>151</v>
      </c>
      <c r="N1615" s="4">
        <f>[1]关卡数据!F208</f>
        <v>0</v>
      </c>
      <c r="O1615" s="4">
        <f>[1]关卡数据!G208</f>
        <v>0</v>
      </c>
      <c r="P1615" s="4">
        <v>0</v>
      </c>
      <c r="Q1615" s="4">
        <f>[1]伙伴成长!Z98</f>
        <v>0</v>
      </c>
      <c r="R1615" s="4">
        <v>1.5</v>
      </c>
      <c r="S1615" s="4">
        <f>[1]伙伴成长!AA98</f>
        <v>0</v>
      </c>
      <c r="T1615" s="4">
        <v>0</v>
      </c>
      <c r="U1615" s="4">
        <v>0</v>
      </c>
      <c r="V1615" s="4">
        <v>0</v>
      </c>
    </row>
    <row r="1616" spans="1:22" x14ac:dyDescent="0.15">
      <c r="A1616" s="4" t="s">
        <v>2662</v>
      </c>
      <c r="D1616" s="4">
        <v>401</v>
      </c>
      <c r="E1616" s="4">
        <v>46</v>
      </c>
      <c r="H1616" s="29">
        <v>1001</v>
      </c>
      <c r="I1616" s="4">
        <f>[1]森美拉!AB99</f>
        <v>0</v>
      </c>
      <c r="L1616" s="30">
        <v>800</v>
      </c>
      <c r="M1616" s="4">
        <f>[1]关卡数据!E209</f>
        <v>153</v>
      </c>
      <c r="N1616" s="4">
        <f>[1]关卡数据!F209</f>
        <v>0</v>
      </c>
      <c r="O1616" s="4">
        <f>[1]关卡数据!G209</f>
        <v>0</v>
      </c>
      <c r="P1616" s="4">
        <v>0</v>
      </c>
      <c r="Q1616" s="4">
        <f>[1]伙伴成长!Z99</f>
        <v>0</v>
      </c>
      <c r="R1616" s="4">
        <v>1.5</v>
      </c>
      <c r="S1616" s="4">
        <f>[1]伙伴成长!AA99</f>
        <v>0</v>
      </c>
      <c r="T1616" s="4">
        <v>0</v>
      </c>
      <c r="U1616" s="4">
        <v>0</v>
      </c>
      <c r="V1616" s="4">
        <v>0</v>
      </c>
    </row>
    <row r="1617" spans="1:30" x14ac:dyDescent="0.15">
      <c r="A1617" s="4" t="s">
        <v>2662</v>
      </c>
      <c r="D1617" s="4">
        <v>401</v>
      </c>
      <c r="E1617" s="4">
        <v>47</v>
      </c>
      <c r="H1617" s="29">
        <v>1001</v>
      </c>
      <c r="I1617" s="4">
        <f>[1]森美拉!AB100</f>
        <v>0</v>
      </c>
      <c r="L1617" s="30">
        <v>800</v>
      </c>
      <c r="M1617" s="4">
        <f>[1]关卡数据!E210</f>
        <v>155</v>
      </c>
      <c r="N1617" s="4">
        <f>[1]关卡数据!F210</f>
        <v>0</v>
      </c>
      <c r="O1617" s="4">
        <f>[1]关卡数据!G210</f>
        <v>0</v>
      </c>
      <c r="P1617" s="4">
        <v>0</v>
      </c>
      <c r="Q1617" s="4">
        <f>[1]伙伴成长!Z100</f>
        <v>0</v>
      </c>
      <c r="R1617" s="4">
        <v>1.5</v>
      </c>
      <c r="S1617" s="4">
        <f>[1]伙伴成长!AA100</f>
        <v>0</v>
      </c>
      <c r="T1617" s="4">
        <v>0</v>
      </c>
      <c r="U1617" s="4">
        <v>0</v>
      </c>
      <c r="V1617" s="4">
        <v>0</v>
      </c>
    </row>
    <row r="1618" spans="1:30" x14ac:dyDescent="0.15">
      <c r="A1618" s="4" t="s">
        <v>2662</v>
      </c>
      <c r="D1618" s="4">
        <v>401</v>
      </c>
      <c r="E1618" s="4">
        <v>48</v>
      </c>
      <c r="H1618" s="29">
        <v>1001</v>
      </c>
      <c r="I1618" s="4">
        <f>[1]森美拉!AB101</f>
        <v>0</v>
      </c>
      <c r="L1618" s="30">
        <v>800</v>
      </c>
      <c r="M1618" s="4">
        <f>[1]关卡数据!E211</f>
        <v>157</v>
      </c>
      <c r="N1618" s="4">
        <f>[1]关卡数据!F211</f>
        <v>0</v>
      </c>
      <c r="O1618" s="4">
        <f>[1]关卡数据!G211</f>
        <v>0</v>
      </c>
      <c r="P1618" s="4">
        <v>0</v>
      </c>
      <c r="Q1618" s="4">
        <f>[1]伙伴成长!Z101</f>
        <v>0</v>
      </c>
      <c r="R1618" s="4">
        <v>1.5</v>
      </c>
      <c r="S1618" s="4">
        <f>[1]伙伴成长!AA101</f>
        <v>0</v>
      </c>
      <c r="T1618" s="4">
        <v>0</v>
      </c>
      <c r="U1618" s="4">
        <v>0</v>
      </c>
      <c r="V1618" s="4">
        <v>0</v>
      </c>
    </row>
    <row r="1619" spans="1:30" x14ac:dyDescent="0.15">
      <c r="A1619" s="4" t="s">
        <v>2662</v>
      </c>
      <c r="D1619" s="4">
        <v>401</v>
      </c>
      <c r="E1619" s="4">
        <v>49</v>
      </c>
      <c r="H1619" s="29">
        <v>1001</v>
      </c>
      <c r="I1619" s="4">
        <f>[1]森美拉!AB102</f>
        <v>0</v>
      </c>
      <c r="L1619" s="30">
        <v>800</v>
      </c>
      <c r="M1619" s="4">
        <f>[1]关卡数据!E212</f>
        <v>159</v>
      </c>
      <c r="N1619" s="4">
        <f>[1]关卡数据!F212</f>
        <v>0</v>
      </c>
      <c r="O1619" s="4">
        <f>[1]关卡数据!G212</f>
        <v>0</v>
      </c>
      <c r="P1619" s="4">
        <v>0</v>
      </c>
      <c r="Q1619" s="4">
        <f>[1]伙伴成长!Z102</f>
        <v>0</v>
      </c>
      <c r="R1619" s="4">
        <v>1.5</v>
      </c>
      <c r="S1619" s="4">
        <f>[1]伙伴成长!AA102</f>
        <v>0</v>
      </c>
      <c r="T1619" s="4">
        <v>0</v>
      </c>
      <c r="U1619" s="4">
        <v>0</v>
      </c>
      <c r="V1619" s="4">
        <v>0</v>
      </c>
    </row>
    <row r="1620" spans="1:30" x14ac:dyDescent="0.15">
      <c r="A1620" s="4" t="s">
        <v>2662</v>
      </c>
      <c r="D1620" s="4">
        <v>401</v>
      </c>
      <c r="E1620" s="4">
        <v>50</v>
      </c>
      <c r="H1620" s="29">
        <v>1001</v>
      </c>
      <c r="I1620" s="4">
        <f>[1]森美拉!AB103</f>
        <v>0</v>
      </c>
      <c r="L1620" s="30">
        <v>800</v>
      </c>
      <c r="M1620" s="4">
        <f>[1]关卡数据!E213</f>
        <v>161</v>
      </c>
      <c r="N1620" s="4">
        <f>[1]关卡数据!F213</f>
        <v>0</v>
      </c>
      <c r="O1620" s="4">
        <f>[1]关卡数据!G213</f>
        <v>0</v>
      </c>
      <c r="P1620" s="4">
        <v>0</v>
      </c>
      <c r="Q1620" s="4">
        <f>[1]伙伴成长!Z103</f>
        <v>0</v>
      </c>
      <c r="R1620" s="4">
        <v>1.5</v>
      </c>
      <c r="S1620" s="4">
        <f>[1]伙伴成长!AA103</f>
        <v>0</v>
      </c>
      <c r="T1620" s="4">
        <v>0</v>
      </c>
      <c r="U1620" s="4">
        <v>0</v>
      </c>
      <c r="V1620" s="4">
        <v>0</v>
      </c>
    </row>
    <row r="1621" spans="1:30" x14ac:dyDescent="0.15">
      <c r="A1621" s="4" t="s">
        <v>2662</v>
      </c>
      <c r="D1621" s="4">
        <v>401</v>
      </c>
      <c r="E1621" s="4">
        <v>51</v>
      </c>
      <c r="H1621" s="29">
        <v>1001</v>
      </c>
      <c r="I1621" s="4">
        <f>[1]森美拉!AB104</f>
        <v>0</v>
      </c>
      <c r="L1621" s="30">
        <v>800</v>
      </c>
      <c r="M1621" s="4">
        <v>2</v>
      </c>
      <c r="N1621" s="4">
        <f>[1]关卡数据!F214</f>
        <v>0</v>
      </c>
      <c r="O1621" s="4">
        <f>[1]关卡数据!G214</f>
        <v>0</v>
      </c>
      <c r="P1621" s="4">
        <v>0</v>
      </c>
      <c r="Q1621" s="4">
        <f>[1]伙伴成长!Z104</f>
        <v>0</v>
      </c>
      <c r="R1621" s="4">
        <v>1.5</v>
      </c>
      <c r="S1621" s="4">
        <f>[1]伙伴成长!AA104</f>
        <v>0</v>
      </c>
      <c r="T1621" s="4">
        <v>0</v>
      </c>
      <c r="U1621" s="4">
        <v>0</v>
      </c>
      <c r="V1621" s="4">
        <v>0</v>
      </c>
    </row>
    <row r="1622" spans="1:30" x14ac:dyDescent="0.15">
      <c r="A1622" s="4" t="s">
        <v>2662</v>
      </c>
      <c r="D1622" s="4">
        <v>401</v>
      </c>
      <c r="E1622" s="4">
        <v>52</v>
      </c>
      <c r="H1622" s="29">
        <v>1001</v>
      </c>
      <c r="I1622" s="4">
        <f>[1]森美拉!AB105</f>
        <v>0</v>
      </c>
      <c r="L1622" s="30">
        <v>800</v>
      </c>
      <c r="M1622" s="4">
        <v>2</v>
      </c>
      <c r="N1622" s="4">
        <f>[1]关卡数据!F215</f>
        <v>0</v>
      </c>
      <c r="O1622" s="4">
        <f>[1]关卡数据!G215</f>
        <v>0</v>
      </c>
      <c r="P1622" s="4">
        <v>0</v>
      </c>
      <c r="Q1622" s="4">
        <f>[1]伙伴成长!Z105</f>
        <v>0</v>
      </c>
      <c r="R1622" s="4">
        <v>1.5</v>
      </c>
      <c r="S1622" s="4">
        <f>[1]伙伴成长!AA105</f>
        <v>0</v>
      </c>
      <c r="T1622" s="4">
        <v>0</v>
      </c>
      <c r="U1622" s="4">
        <v>0</v>
      </c>
      <c r="V1622" s="4">
        <v>0</v>
      </c>
    </row>
    <row r="1623" spans="1:30" x14ac:dyDescent="0.15">
      <c r="B1623" s="4" t="s">
        <v>3125</v>
      </c>
      <c r="C1623" s="4">
        <v>1.5</v>
      </c>
    </row>
    <row r="1624" spans="1:30" ht="16.5" x14ac:dyDescent="0.15">
      <c r="A1624" s="4" t="s">
        <v>2662</v>
      </c>
      <c r="B1624" s="4" t="s">
        <v>3065</v>
      </c>
      <c r="C1624" s="4" t="s">
        <v>3066</v>
      </c>
      <c r="D1624" s="4">
        <v>511</v>
      </c>
      <c r="E1624" s="4">
        <v>0</v>
      </c>
      <c r="H1624" s="38">
        <v>2503</v>
      </c>
      <c r="I1624" s="31">
        <v>1</v>
      </c>
      <c r="L1624" s="8">
        <v>806</v>
      </c>
      <c r="M1624" s="4">
        <v>0</v>
      </c>
      <c r="N1624" s="4">
        <v>0</v>
      </c>
      <c r="O1624" s="4">
        <v>0</v>
      </c>
      <c r="P1624" s="4">
        <v>0</v>
      </c>
      <c r="Q1624" s="4">
        <v>0</v>
      </c>
      <c r="R1624" s="4">
        <v>0</v>
      </c>
      <c r="S1624" s="4">
        <v>0</v>
      </c>
      <c r="T1624" s="4">
        <v>0</v>
      </c>
      <c r="U1624" s="4">
        <v>0</v>
      </c>
      <c r="V1624" s="4">
        <v>0</v>
      </c>
    </row>
    <row r="1625" spans="1:30" ht="16.5" x14ac:dyDescent="0.35">
      <c r="A1625" s="4" t="s">
        <v>2662</v>
      </c>
      <c r="D1625" s="4">
        <v>511</v>
      </c>
      <c r="E1625" s="4">
        <v>1</v>
      </c>
      <c r="H1625" s="29">
        <v>1001</v>
      </c>
      <c r="I1625" s="30">
        <v>0</v>
      </c>
      <c r="M1625" s="4">
        <f t="shared" ref="M1625:V1625" si="23">M9*$C$1623</f>
        <v>360</v>
      </c>
      <c r="N1625" s="4">
        <f t="shared" si="23"/>
        <v>12</v>
      </c>
      <c r="O1625" s="4">
        <f t="shared" si="23"/>
        <v>5400</v>
      </c>
      <c r="P1625" s="4">
        <f t="shared" si="23"/>
        <v>0</v>
      </c>
      <c r="Q1625" s="4">
        <f t="shared" si="23"/>
        <v>3360</v>
      </c>
      <c r="R1625" s="4">
        <f t="shared" si="23"/>
        <v>3.75</v>
      </c>
      <c r="S1625" s="4">
        <f t="shared" si="23"/>
        <v>21</v>
      </c>
      <c r="T1625" s="4">
        <f t="shared" si="23"/>
        <v>0</v>
      </c>
      <c r="U1625" s="4">
        <f t="shared" si="23"/>
        <v>0</v>
      </c>
      <c r="V1625" s="4">
        <f t="shared" si="23"/>
        <v>0</v>
      </c>
      <c r="Z1625" s="8">
        <v>206</v>
      </c>
      <c r="AA1625" s="38" t="s">
        <v>3264</v>
      </c>
      <c r="AB1625" s="38" t="s">
        <v>3270</v>
      </c>
      <c r="AC1625" s="37"/>
      <c r="AD1625" s="8"/>
    </row>
    <row r="1626" spans="1:30" ht="16.5" x14ac:dyDescent="0.35">
      <c r="A1626" s="4" t="s">
        <v>2662</v>
      </c>
      <c r="D1626" s="4">
        <v>511</v>
      </c>
      <c r="E1626" s="4">
        <v>2</v>
      </c>
      <c r="H1626" s="29">
        <v>1001</v>
      </c>
      <c r="I1626" s="30">
        <v>0</v>
      </c>
      <c r="M1626" s="4">
        <f t="shared" ref="M1626:V1626" si="24">M10*$C$1623</f>
        <v>390</v>
      </c>
      <c r="N1626" s="4">
        <f t="shared" si="24"/>
        <v>27</v>
      </c>
      <c r="O1626" s="4">
        <f t="shared" si="24"/>
        <v>5670</v>
      </c>
      <c r="P1626" s="4">
        <f t="shared" si="24"/>
        <v>0</v>
      </c>
      <c r="Q1626" s="4">
        <f t="shared" si="24"/>
        <v>3381</v>
      </c>
      <c r="R1626" s="4">
        <f t="shared" si="24"/>
        <v>3.75</v>
      </c>
      <c r="S1626" s="4">
        <f t="shared" si="24"/>
        <v>27</v>
      </c>
      <c r="T1626" s="4">
        <f t="shared" si="24"/>
        <v>0</v>
      </c>
      <c r="U1626" s="4">
        <f t="shared" si="24"/>
        <v>0</v>
      </c>
      <c r="V1626" s="4">
        <f t="shared" si="24"/>
        <v>0</v>
      </c>
      <c r="Z1626" s="8">
        <v>207</v>
      </c>
      <c r="AA1626" s="38" t="s">
        <v>3265</v>
      </c>
      <c r="AB1626" s="38" t="s">
        <v>3271</v>
      </c>
      <c r="AC1626" s="37"/>
      <c r="AD1626" s="8"/>
    </row>
    <row r="1627" spans="1:30" ht="16.5" x14ac:dyDescent="0.35">
      <c r="A1627" s="4" t="s">
        <v>2662</v>
      </c>
      <c r="D1627" s="4">
        <v>511</v>
      </c>
      <c r="E1627" s="4">
        <v>3</v>
      </c>
      <c r="H1627" s="29">
        <v>1001</v>
      </c>
      <c r="I1627" s="30">
        <v>0</v>
      </c>
      <c r="M1627" s="4">
        <f t="shared" ref="M1627:V1627" si="25">M11*$C$1623</f>
        <v>420</v>
      </c>
      <c r="N1627" s="4">
        <f t="shared" si="25"/>
        <v>42</v>
      </c>
      <c r="O1627" s="4">
        <f t="shared" si="25"/>
        <v>5940</v>
      </c>
      <c r="P1627" s="4">
        <f t="shared" si="25"/>
        <v>0</v>
      </c>
      <c r="Q1627" s="4">
        <f t="shared" si="25"/>
        <v>3402</v>
      </c>
      <c r="R1627" s="4">
        <f t="shared" si="25"/>
        <v>3.75</v>
      </c>
      <c r="S1627" s="4">
        <f t="shared" si="25"/>
        <v>33</v>
      </c>
      <c r="T1627" s="4">
        <f t="shared" si="25"/>
        <v>0</v>
      </c>
      <c r="U1627" s="4">
        <f t="shared" si="25"/>
        <v>0</v>
      </c>
      <c r="V1627" s="4">
        <f t="shared" si="25"/>
        <v>0</v>
      </c>
      <c r="Z1627" s="8">
        <v>208</v>
      </c>
      <c r="AA1627" s="38" t="s">
        <v>3266</v>
      </c>
      <c r="AB1627" s="38" t="s">
        <v>3272</v>
      </c>
      <c r="AC1627" s="37"/>
      <c r="AD1627" s="8"/>
    </row>
    <row r="1628" spans="1:30" ht="16.5" x14ac:dyDescent="0.35">
      <c r="A1628" s="4" t="s">
        <v>2662</v>
      </c>
      <c r="D1628" s="4">
        <v>511</v>
      </c>
      <c r="E1628" s="4">
        <v>4</v>
      </c>
      <c r="H1628" s="29">
        <v>1001</v>
      </c>
      <c r="I1628" s="30">
        <v>0</v>
      </c>
      <c r="M1628" s="4">
        <f t="shared" ref="M1628:V1628" si="26">M12*$C$1623</f>
        <v>450</v>
      </c>
      <c r="N1628" s="4">
        <f t="shared" si="26"/>
        <v>57</v>
      </c>
      <c r="O1628" s="4">
        <f t="shared" si="26"/>
        <v>6210</v>
      </c>
      <c r="P1628" s="4">
        <f t="shared" si="26"/>
        <v>0</v>
      </c>
      <c r="Q1628" s="4">
        <f t="shared" si="26"/>
        <v>3423</v>
      </c>
      <c r="R1628" s="4">
        <f t="shared" si="26"/>
        <v>3.75</v>
      </c>
      <c r="S1628" s="4">
        <f t="shared" si="26"/>
        <v>39</v>
      </c>
      <c r="T1628" s="4">
        <f t="shared" si="26"/>
        <v>0</v>
      </c>
      <c r="U1628" s="4">
        <f t="shared" si="26"/>
        <v>0</v>
      </c>
      <c r="V1628" s="4">
        <f t="shared" si="26"/>
        <v>0</v>
      </c>
      <c r="Z1628" s="8">
        <v>209</v>
      </c>
      <c r="AA1628" s="38" t="s">
        <v>3267</v>
      </c>
      <c r="AB1628" s="38" t="s">
        <v>3273</v>
      </c>
      <c r="AC1628" s="37"/>
      <c r="AD1628" s="8"/>
    </row>
    <row r="1629" spans="1:30" ht="16.5" x14ac:dyDescent="0.35">
      <c r="A1629" s="4" t="s">
        <v>2662</v>
      </c>
      <c r="D1629" s="4">
        <v>511</v>
      </c>
      <c r="E1629" s="4">
        <v>5</v>
      </c>
      <c r="H1629" s="29">
        <v>1001</v>
      </c>
      <c r="I1629" s="30">
        <v>0</v>
      </c>
      <c r="M1629" s="4">
        <f t="shared" ref="M1629:V1629" si="27">M13*$C$1623</f>
        <v>480</v>
      </c>
      <c r="N1629" s="4">
        <f t="shared" si="27"/>
        <v>72</v>
      </c>
      <c r="O1629" s="4">
        <f t="shared" si="27"/>
        <v>6480</v>
      </c>
      <c r="P1629" s="4">
        <f t="shared" si="27"/>
        <v>0</v>
      </c>
      <c r="Q1629" s="4">
        <f t="shared" si="27"/>
        <v>3444</v>
      </c>
      <c r="R1629" s="4">
        <f t="shared" si="27"/>
        <v>3.75</v>
      </c>
      <c r="S1629" s="4">
        <f t="shared" si="27"/>
        <v>45</v>
      </c>
      <c r="T1629" s="4">
        <f t="shared" si="27"/>
        <v>0</v>
      </c>
      <c r="U1629" s="4">
        <f t="shared" si="27"/>
        <v>0</v>
      </c>
      <c r="V1629" s="4">
        <f t="shared" si="27"/>
        <v>0</v>
      </c>
      <c r="Z1629" s="8">
        <v>210</v>
      </c>
      <c r="AA1629" s="38" t="s">
        <v>3268</v>
      </c>
      <c r="AB1629" s="38" t="s">
        <v>3274</v>
      </c>
      <c r="AC1629" s="37"/>
      <c r="AD1629" s="8"/>
    </row>
    <row r="1630" spans="1:30" ht="16.5" x14ac:dyDescent="0.35">
      <c r="A1630" s="4" t="s">
        <v>2662</v>
      </c>
      <c r="D1630" s="4">
        <v>511</v>
      </c>
      <c r="E1630" s="4">
        <v>6</v>
      </c>
      <c r="H1630" s="29">
        <v>1001</v>
      </c>
      <c r="I1630" s="30">
        <v>0</v>
      </c>
      <c r="M1630" s="4">
        <f t="shared" ref="M1630:V1630" si="28">M14*$C$1623</f>
        <v>510</v>
      </c>
      <c r="N1630" s="4">
        <f t="shared" si="28"/>
        <v>87</v>
      </c>
      <c r="O1630" s="4">
        <f t="shared" si="28"/>
        <v>6750</v>
      </c>
      <c r="P1630" s="4">
        <f t="shared" si="28"/>
        <v>0</v>
      </c>
      <c r="Q1630" s="4">
        <f t="shared" si="28"/>
        <v>3465</v>
      </c>
      <c r="R1630" s="4">
        <f t="shared" si="28"/>
        <v>3.75</v>
      </c>
      <c r="S1630" s="4">
        <f t="shared" si="28"/>
        <v>51</v>
      </c>
      <c r="T1630" s="4">
        <f t="shared" si="28"/>
        <v>0</v>
      </c>
      <c r="U1630" s="4">
        <f t="shared" si="28"/>
        <v>0</v>
      </c>
      <c r="V1630" s="4">
        <f t="shared" si="28"/>
        <v>0</v>
      </c>
      <c r="Z1630" s="8">
        <v>211</v>
      </c>
      <c r="AA1630" s="38" t="s">
        <v>3269</v>
      </c>
      <c r="AB1630" s="38" t="s">
        <v>3275</v>
      </c>
      <c r="AC1630" s="37"/>
      <c r="AD1630" s="8"/>
    </row>
    <row r="1631" spans="1:30" x14ac:dyDescent="0.15">
      <c r="A1631" s="4" t="s">
        <v>2662</v>
      </c>
      <c r="D1631" s="4">
        <v>511</v>
      </c>
      <c r="E1631" s="4">
        <v>7</v>
      </c>
      <c r="H1631" s="29">
        <v>1001</v>
      </c>
      <c r="I1631" s="30">
        <v>0</v>
      </c>
      <c r="M1631" s="4">
        <f t="shared" ref="M1631:V1631" si="29">M15*$C$1623</f>
        <v>540</v>
      </c>
      <c r="N1631" s="4">
        <f t="shared" si="29"/>
        <v>102</v>
      </c>
      <c r="O1631" s="4">
        <f t="shared" si="29"/>
        <v>7020</v>
      </c>
      <c r="P1631" s="4">
        <f t="shared" si="29"/>
        <v>0</v>
      </c>
      <c r="Q1631" s="4">
        <f t="shared" si="29"/>
        <v>3486</v>
      </c>
      <c r="R1631" s="4">
        <f t="shared" si="29"/>
        <v>3.75</v>
      </c>
      <c r="S1631" s="4">
        <f t="shared" si="29"/>
        <v>57</v>
      </c>
      <c r="T1631" s="4">
        <f t="shared" si="29"/>
        <v>0</v>
      </c>
      <c r="U1631" s="4">
        <f t="shared" si="29"/>
        <v>0</v>
      </c>
      <c r="V1631" s="4">
        <f t="shared" si="29"/>
        <v>0</v>
      </c>
    </row>
    <row r="1632" spans="1:30" x14ac:dyDescent="0.15">
      <c r="A1632" s="4" t="s">
        <v>2662</v>
      </c>
      <c r="D1632" s="4">
        <v>511</v>
      </c>
      <c r="E1632" s="4">
        <v>8</v>
      </c>
      <c r="H1632" s="29">
        <v>1001</v>
      </c>
      <c r="I1632" s="30">
        <v>0</v>
      </c>
      <c r="M1632" s="4">
        <f t="shared" ref="M1632:V1632" si="30">M16*$C$1623</f>
        <v>570</v>
      </c>
      <c r="N1632" s="4">
        <f t="shared" si="30"/>
        <v>117</v>
      </c>
      <c r="O1632" s="4">
        <f t="shared" si="30"/>
        <v>7290</v>
      </c>
      <c r="P1632" s="4">
        <f t="shared" si="30"/>
        <v>0</v>
      </c>
      <c r="Q1632" s="4">
        <f t="shared" si="30"/>
        <v>3507</v>
      </c>
      <c r="R1632" s="4">
        <f t="shared" si="30"/>
        <v>3.75</v>
      </c>
      <c r="S1632" s="4">
        <f t="shared" si="30"/>
        <v>63</v>
      </c>
      <c r="T1632" s="4">
        <f t="shared" si="30"/>
        <v>0</v>
      </c>
      <c r="U1632" s="4">
        <f t="shared" si="30"/>
        <v>0</v>
      </c>
      <c r="V1632" s="4">
        <f t="shared" si="30"/>
        <v>0</v>
      </c>
    </row>
    <row r="1633" spans="1:22" x14ac:dyDescent="0.15">
      <c r="A1633" s="4" t="s">
        <v>2662</v>
      </c>
      <c r="D1633" s="4">
        <v>511</v>
      </c>
      <c r="E1633" s="4">
        <v>9</v>
      </c>
      <c r="H1633" s="29">
        <v>1001</v>
      </c>
      <c r="I1633" s="30">
        <v>0</v>
      </c>
      <c r="M1633" s="4">
        <f t="shared" ref="M1633:V1633" si="31">M17*$C$1623</f>
        <v>600</v>
      </c>
      <c r="N1633" s="4">
        <f t="shared" si="31"/>
        <v>132</v>
      </c>
      <c r="O1633" s="4">
        <f t="shared" si="31"/>
        <v>7560</v>
      </c>
      <c r="P1633" s="4">
        <f t="shared" si="31"/>
        <v>0</v>
      </c>
      <c r="Q1633" s="4">
        <f t="shared" si="31"/>
        <v>3528</v>
      </c>
      <c r="R1633" s="4">
        <f t="shared" si="31"/>
        <v>3.75</v>
      </c>
      <c r="S1633" s="4">
        <f t="shared" si="31"/>
        <v>69</v>
      </c>
      <c r="T1633" s="4">
        <f t="shared" si="31"/>
        <v>0</v>
      </c>
      <c r="U1633" s="4">
        <f t="shared" si="31"/>
        <v>0</v>
      </c>
      <c r="V1633" s="4">
        <f t="shared" si="31"/>
        <v>0</v>
      </c>
    </row>
    <row r="1634" spans="1:22" x14ac:dyDescent="0.15">
      <c r="A1634" s="4" t="s">
        <v>2662</v>
      </c>
      <c r="D1634" s="4">
        <v>511</v>
      </c>
      <c r="E1634" s="4">
        <v>10</v>
      </c>
      <c r="H1634" s="29">
        <v>1001</v>
      </c>
      <c r="I1634" s="30">
        <v>0</v>
      </c>
      <c r="M1634" s="4">
        <f t="shared" ref="M1634:V1634" si="32">M18*$C$1623</f>
        <v>630</v>
      </c>
      <c r="N1634" s="4">
        <f t="shared" si="32"/>
        <v>147</v>
      </c>
      <c r="O1634" s="4">
        <f t="shared" si="32"/>
        <v>7830</v>
      </c>
      <c r="P1634" s="4">
        <f t="shared" si="32"/>
        <v>0</v>
      </c>
      <c r="Q1634" s="4">
        <f t="shared" si="32"/>
        <v>3549</v>
      </c>
      <c r="R1634" s="4">
        <f t="shared" si="32"/>
        <v>3.75</v>
      </c>
      <c r="S1634" s="4">
        <f t="shared" si="32"/>
        <v>75</v>
      </c>
      <c r="T1634" s="4">
        <f t="shared" si="32"/>
        <v>0</v>
      </c>
      <c r="U1634" s="4">
        <f t="shared" si="32"/>
        <v>0</v>
      </c>
      <c r="V1634" s="4">
        <f t="shared" si="32"/>
        <v>0</v>
      </c>
    </row>
    <row r="1635" spans="1:22" x14ac:dyDescent="0.15">
      <c r="A1635" s="4" t="s">
        <v>2662</v>
      </c>
      <c r="D1635" s="4">
        <v>511</v>
      </c>
      <c r="E1635" s="4">
        <v>11</v>
      </c>
      <c r="H1635" s="29">
        <v>1001</v>
      </c>
      <c r="I1635" s="30">
        <v>0</v>
      </c>
      <c r="M1635" s="4">
        <f t="shared" ref="M1635:V1635" si="33">M19*$C$1623</f>
        <v>660</v>
      </c>
      <c r="N1635" s="4">
        <f t="shared" si="33"/>
        <v>162</v>
      </c>
      <c r="O1635" s="4">
        <f t="shared" si="33"/>
        <v>8100</v>
      </c>
      <c r="P1635" s="4">
        <f t="shared" si="33"/>
        <v>0</v>
      </c>
      <c r="Q1635" s="4">
        <f t="shared" si="33"/>
        <v>3570</v>
      </c>
      <c r="R1635" s="4">
        <f t="shared" si="33"/>
        <v>3.75</v>
      </c>
      <c r="S1635" s="4">
        <f t="shared" si="33"/>
        <v>81</v>
      </c>
      <c r="T1635" s="4">
        <f t="shared" si="33"/>
        <v>0</v>
      </c>
      <c r="U1635" s="4">
        <f t="shared" si="33"/>
        <v>0</v>
      </c>
      <c r="V1635" s="4">
        <f t="shared" si="33"/>
        <v>0</v>
      </c>
    </row>
    <row r="1636" spans="1:22" x14ac:dyDescent="0.15">
      <c r="A1636" s="4" t="s">
        <v>2662</v>
      </c>
      <c r="D1636" s="4">
        <v>511</v>
      </c>
      <c r="E1636" s="4">
        <v>12</v>
      </c>
      <c r="H1636" s="29">
        <v>1001</v>
      </c>
      <c r="I1636" s="30">
        <v>0</v>
      </c>
      <c r="M1636" s="4">
        <f t="shared" ref="M1636:V1636" si="34">M20*$C$1623</f>
        <v>690</v>
      </c>
      <c r="N1636" s="4">
        <f t="shared" si="34"/>
        <v>177</v>
      </c>
      <c r="O1636" s="4">
        <f t="shared" si="34"/>
        <v>8370</v>
      </c>
      <c r="P1636" s="4">
        <f t="shared" si="34"/>
        <v>0</v>
      </c>
      <c r="Q1636" s="4">
        <f t="shared" si="34"/>
        <v>3591</v>
      </c>
      <c r="R1636" s="4">
        <f t="shared" si="34"/>
        <v>3.75</v>
      </c>
      <c r="S1636" s="4">
        <f t="shared" si="34"/>
        <v>87</v>
      </c>
      <c r="T1636" s="4">
        <f t="shared" si="34"/>
        <v>0</v>
      </c>
      <c r="U1636" s="4">
        <f t="shared" si="34"/>
        <v>0</v>
      </c>
      <c r="V1636" s="4">
        <f t="shared" si="34"/>
        <v>0</v>
      </c>
    </row>
    <row r="1637" spans="1:22" x14ac:dyDescent="0.15">
      <c r="A1637" s="4" t="s">
        <v>2662</v>
      </c>
      <c r="D1637" s="4">
        <v>511</v>
      </c>
      <c r="E1637" s="4">
        <v>13</v>
      </c>
      <c r="H1637" s="29">
        <v>1001</v>
      </c>
      <c r="I1637" s="30">
        <v>0</v>
      </c>
      <c r="M1637" s="4">
        <f t="shared" ref="M1637:V1637" si="35">M21*$C$1623</f>
        <v>720</v>
      </c>
      <c r="N1637" s="4">
        <f t="shared" si="35"/>
        <v>192</v>
      </c>
      <c r="O1637" s="4">
        <f t="shared" si="35"/>
        <v>8640</v>
      </c>
      <c r="P1637" s="4">
        <f t="shared" si="35"/>
        <v>0</v>
      </c>
      <c r="Q1637" s="4">
        <f t="shared" si="35"/>
        <v>3612</v>
      </c>
      <c r="R1637" s="4">
        <f t="shared" si="35"/>
        <v>3.75</v>
      </c>
      <c r="S1637" s="4">
        <f t="shared" si="35"/>
        <v>93</v>
      </c>
      <c r="T1637" s="4">
        <f t="shared" si="35"/>
        <v>0</v>
      </c>
      <c r="U1637" s="4">
        <f t="shared" si="35"/>
        <v>0</v>
      </c>
      <c r="V1637" s="4">
        <f t="shared" si="35"/>
        <v>0</v>
      </c>
    </row>
    <row r="1638" spans="1:22" x14ac:dyDescent="0.15">
      <c r="A1638" s="4" t="s">
        <v>2662</v>
      </c>
      <c r="D1638" s="4">
        <v>511</v>
      </c>
      <c r="E1638" s="4">
        <v>14</v>
      </c>
      <c r="H1638" s="29">
        <v>1001</v>
      </c>
      <c r="I1638" s="30">
        <v>0</v>
      </c>
      <c r="M1638" s="4">
        <f t="shared" ref="M1638:V1638" si="36">M22*$C$1623</f>
        <v>750</v>
      </c>
      <c r="N1638" s="4">
        <f t="shared" si="36"/>
        <v>207</v>
      </c>
      <c r="O1638" s="4">
        <f t="shared" si="36"/>
        <v>8910</v>
      </c>
      <c r="P1638" s="4">
        <f t="shared" si="36"/>
        <v>0</v>
      </c>
      <c r="Q1638" s="4">
        <f t="shared" si="36"/>
        <v>3633</v>
      </c>
      <c r="R1638" s="4">
        <f t="shared" si="36"/>
        <v>3.75</v>
      </c>
      <c r="S1638" s="4">
        <f t="shared" si="36"/>
        <v>99</v>
      </c>
      <c r="T1638" s="4">
        <f t="shared" si="36"/>
        <v>0</v>
      </c>
      <c r="U1638" s="4">
        <f t="shared" si="36"/>
        <v>0</v>
      </c>
      <c r="V1638" s="4">
        <f t="shared" si="36"/>
        <v>0</v>
      </c>
    </row>
    <row r="1639" spans="1:22" x14ac:dyDescent="0.15">
      <c r="A1639" s="4" t="s">
        <v>2662</v>
      </c>
      <c r="D1639" s="4">
        <v>511</v>
      </c>
      <c r="E1639" s="4">
        <v>15</v>
      </c>
      <c r="H1639" s="29">
        <v>1001</v>
      </c>
      <c r="I1639" s="30">
        <v>0</v>
      </c>
      <c r="M1639" s="4">
        <f t="shared" ref="M1639:V1639" si="37">M23*$C$1623</f>
        <v>780</v>
      </c>
      <c r="N1639" s="4">
        <f t="shared" si="37"/>
        <v>222</v>
      </c>
      <c r="O1639" s="4">
        <f t="shared" si="37"/>
        <v>9180</v>
      </c>
      <c r="P1639" s="4">
        <f t="shared" si="37"/>
        <v>0</v>
      </c>
      <c r="Q1639" s="4">
        <f t="shared" si="37"/>
        <v>3654</v>
      </c>
      <c r="R1639" s="4">
        <f t="shared" si="37"/>
        <v>3.75</v>
      </c>
      <c r="S1639" s="4">
        <f t="shared" si="37"/>
        <v>105</v>
      </c>
      <c r="T1639" s="4">
        <f t="shared" si="37"/>
        <v>0</v>
      </c>
      <c r="U1639" s="4">
        <f t="shared" si="37"/>
        <v>0</v>
      </c>
      <c r="V1639" s="4">
        <f t="shared" si="37"/>
        <v>0</v>
      </c>
    </row>
    <row r="1640" spans="1:22" x14ac:dyDescent="0.15">
      <c r="A1640" s="4" t="s">
        <v>2662</v>
      </c>
      <c r="D1640" s="4">
        <v>511</v>
      </c>
      <c r="E1640" s="4">
        <v>16</v>
      </c>
      <c r="H1640" s="29">
        <v>1001</v>
      </c>
      <c r="I1640" s="30">
        <v>0</v>
      </c>
      <c r="M1640" s="4">
        <f t="shared" ref="M1640:V1640" si="38">M24*$C$1623</f>
        <v>810</v>
      </c>
      <c r="N1640" s="4">
        <f t="shared" si="38"/>
        <v>237</v>
      </c>
      <c r="O1640" s="4">
        <f t="shared" si="38"/>
        <v>9450</v>
      </c>
      <c r="P1640" s="4">
        <f t="shared" si="38"/>
        <v>0</v>
      </c>
      <c r="Q1640" s="4">
        <f t="shared" si="38"/>
        <v>3675</v>
      </c>
      <c r="R1640" s="4">
        <f t="shared" si="38"/>
        <v>3.75</v>
      </c>
      <c r="S1640" s="4">
        <f t="shared" si="38"/>
        <v>111</v>
      </c>
      <c r="T1640" s="4">
        <f t="shared" si="38"/>
        <v>0</v>
      </c>
      <c r="U1640" s="4">
        <f t="shared" si="38"/>
        <v>0</v>
      </c>
      <c r="V1640" s="4">
        <f t="shared" si="38"/>
        <v>0</v>
      </c>
    </row>
    <row r="1641" spans="1:22" x14ac:dyDescent="0.15">
      <c r="A1641" s="4" t="s">
        <v>2662</v>
      </c>
      <c r="D1641" s="4">
        <v>511</v>
      </c>
      <c r="E1641" s="4">
        <v>17</v>
      </c>
      <c r="H1641" s="29">
        <v>1001</v>
      </c>
      <c r="I1641" s="30">
        <v>0</v>
      </c>
      <c r="M1641" s="4">
        <f t="shared" ref="M1641:V1641" si="39">M25*$C$1623</f>
        <v>840</v>
      </c>
      <c r="N1641" s="4">
        <f t="shared" si="39"/>
        <v>252</v>
      </c>
      <c r="O1641" s="4">
        <f t="shared" si="39"/>
        <v>9720</v>
      </c>
      <c r="P1641" s="4">
        <f t="shared" si="39"/>
        <v>0</v>
      </c>
      <c r="Q1641" s="4">
        <f t="shared" si="39"/>
        <v>3696</v>
      </c>
      <c r="R1641" s="4">
        <f t="shared" si="39"/>
        <v>3.75</v>
      </c>
      <c r="S1641" s="4">
        <f t="shared" si="39"/>
        <v>117</v>
      </c>
      <c r="T1641" s="4">
        <f t="shared" si="39"/>
        <v>0</v>
      </c>
      <c r="U1641" s="4">
        <f t="shared" si="39"/>
        <v>0</v>
      </c>
      <c r="V1641" s="4">
        <f t="shared" si="39"/>
        <v>0</v>
      </c>
    </row>
    <row r="1642" spans="1:22" x14ac:dyDescent="0.15">
      <c r="A1642" s="4" t="s">
        <v>2662</v>
      </c>
      <c r="D1642" s="4">
        <v>511</v>
      </c>
      <c r="E1642" s="4">
        <v>18</v>
      </c>
      <c r="H1642" s="29">
        <v>1001</v>
      </c>
      <c r="I1642" s="30">
        <v>0</v>
      </c>
      <c r="M1642" s="4">
        <f t="shared" ref="M1642:V1642" si="40">M26*$C$1623</f>
        <v>870</v>
      </c>
      <c r="N1642" s="4">
        <f t="shared" si="40"/>
        <v>267</v>
      </c>
      <c r="O1642" s="4">
        <f t="shared" si="40"/>
        <v>9990</v>
      </c>
      <c r="P1642" s="4">
        <f t="shared" si="40"/>
        <v>0</v>
      </c>
      <c r="Q1642" s="4">
        <f t="shared" si="40"/>
        <v>3717</v>
      </c>
      <c r="R1642" s="4">
        <f t="shared" si="40"/>
        <v>3.75</v>
      </c>
      <c r="S1642" s="4">
        <f t="shared" si="40"/>
        <v>123</v>
      </c>
      <c r="T1642" s="4">
        <f t="shared" si="40"/>
        <v>0</v>
      </c>
      <c r="U1642" s="4">
        <f t="shared" si="40"/>
        <v>0</v>
      </c>
      <c r="V1642" s="4">
        <f t="shared" si="40"/>
        <v>0</v>
      </c>
    </row>
    <row r="1643" spans="1:22" x14ac:dyDescent="0.15">
      <c r="A1643" s="4" t="s">
        <v>2662</v>
      </c>
      <c r="D1643" s="4">
        <v>511</v>
      </c>
      <c r="E1643" s="4">
        <v>19</v>
      </c>
      <c r="H1643" s="29">
        <v>1001</v>
      </c>
      <c r="I1643" s="30">
        <v>0</v>
      </c>
      <c r="M1643" s="4">
        <f t="shared" ref="M1643:V1643" si="41">M27*$C$1623</f>
        <v>900</v>
      </c>
      <c r="N1643" s="4">
        <f t="shared" si="41"/>
        <v>282</v>
      </c>
      <c r="O1643" s="4">
        <f t="shared" si="41"/>
        <v>10260</v>
      </c>
      <c r="P1643" s="4">
        <f t="shared" si="41"/>
        <v>0</v>
      </c>
      <c r="Q1643" s="4">
        <f t="shared" si="41"/>
        <v>3738</v>
      </c>
      <c r="R1643" s="4">
        <f t="shared" si="41"/>
        <v>3.75</v>
      </c>
      <c r="S1643" s="4">
        <f t="shared" si="41"/>
        <v>129</v>
      </c>
      <c r="T1643" s="4">
        <f t="shared" si="41"/>
        <v>0</v>
      </c>
      <c r="U1643" s="4">
        <f t="shared" si="41"/>
        <v>0</v>
      </c>
      <c r="V1643" s="4">
        <f t="shared" si="41"/>
        <v>0</v>
      </c>
    </row>
    <row r="1644" spans="1:22" x14ac:dyDescent="0.15">
      <c r="A1644" s="4" t="s">
        <v>2662</v>
      </c>
      <c r="D1644" s="4">
        <v>511</v>
      </c>
      <c r="E1644" s="4">
        <v>20</v>
      </c>
      <c r="H1644" s="29">
        <v>1001</v>
      </c>
      <c r="I1644" s="30">
        <v>0</v>
      </c>
      <c r="M1644" s="4">
        <f t="shared" ref="M1644:V1644" si="42">M28*$C$1623</f>
        <v>930</v>
      </c>
      <c r="N1644" s="4">
        <f t="shared" si="42"/>
        <v>297</v>
      </c>
      <c r="O1644" s="4">
        <f t="shared" si="42"/>
        <v>10530</v>
      </c>
      <c r="P1644" s="4">
        <f t="shared" si="42"/>
        <v>0</v>
      </c>
      <c r="Q1644" s="4">
        <f t="shared" si="42"/>
        <v>3759</v>
      </c>
      <c r="R1644" s="4">
        <f t="shared" si="42"/>
        <v>3.75</v>
      </c>
      <c r="S1644" s="4">
        <f t="shared" si="42"/>
        <v>135</v>
      </c>
      <c r="T1644" s="4">
        <f t="shared" si="42"/>
        <v>0</v>
      </c>
      <c r="U1644" s="4">
        <f t="shared" si="42"/>
        <v>0</v>
      </c>
      <c r="V1644" s="4">
        <f t="shared" si="42"/>
        <v>0</v>
      </c>
    </row>
    <row r="1645" spans="1:22" x14ac:dyDescent="0.15">
      <c r="A1645" s="4" t="s">
        <v>2662</v>
      </c>
      <c r="D1645" s="4">
        <v>511</v>
      </c>
      <c r="E1645" s="4">
        <v>21</v>
      </c>
      <c r="H1645" s="29">
        <v>1001</v>
      </c>
      <c r="I1645" s="30">
        <v>0</v>
      </c>
      <c r="M1645" s="4">
        <f t="shared" ref="M1645:V1645" si="43">M29*$C$1623</f>
        <v>960</v>
      </c>
      <c r="N1645" s="4">
        <f t="shared" si="43"/>
        <v>312</v>
      </c>
      <c r="O1645" s="4">
        <f t="shared" si="43"/>
        <v>10800</v>
      </c>
      <c r="P1645" s="4">
        <f t="shared" si="43"/>
        <v>0</v>
      </c>
      <c r="Q1645" s="4">
        <f t="shared" si="43"/>
        <v>3780</v>
      </c>
      <c r="R1645" s="4">
        <f t="shared" si="43"/>
        <v>3.75</v>
      </c>
      <c r="S1645" s="4">
        <f t="shared" si="43"/>
        <v>141</v>
      </c>
      <c r="T1645" s="4">
        <f t="shared" si="43"/>
        <v>0</v>
      </c>
      <c r="U1645" s="4">
        <f t="shared" si="43"/>
        <v>0</v>
      </c>
      <c r="V1645" s="4">
        <f t="shared" si="43"/>
        <v>0</v>
      </c>
    </row>
    <row r="1646" spans="1:22" x14ac:dyDescent="0.15">
      <c r="A1646" s="4" t="s">
        <v>2662</v>
      </c>
      <c r="D1646" s="4">
        <v>511</v>
      </c>
      <c r="E1646" s="4">
        <v>22</v>
      </c>
      <c r="H1646" s="29">
        <v>1001</v>
      </c>
      <c r="I1646" s="30">
        <v>0</v>
      </c>
      <c r="M1646" s="4">
        <f t="shared" ref="M1646:V1646" si="44">M30*$C$1623</f>
        <v>990</v>
      </c>
      <c r="N1646" s="4">
        <f t="shared" si="44"/>
        <v>327</v>
      </c>
      <c r="O1646" s="4">
        <f t="shared" si="44"/>
        <v>11070</v>
      </c>
      <c r="P1646" s="4">
        <f t="shared" si="44"/>
        <v>0</v>
      </c>
      <c r="Q1646" s="4">
        <f t="shared" si="44"/>
        <v>3801</v>
      </c>
      <c r="R1646" s="4">
        <f t="shared" si="44"/>
        <v>3.75</v>
      </c>
      <c r="S1646" s="4">
        <f t="shared" si="44"/>
        <v>147</v>
      </c>
      <c r="T1646" s="4">
        <f t="shared" si="44"/>
        <v>0</v>
      </c>
      <c r="U1646" s="4">
        <f t="shared" si="44"/>
        <v>0</v>
      </c>
      <c r="V1646" s="4">
        <f t="shared" si="44"/>
        <v>0</v>
      </c>
    </row>
    <row r="1647" spans="1:22" x14ac:dyDescent="0.15">
      <c r="A1647" s="4" t="s">
        <v>2662</v>
      </c>
      <c r="D1647" s="4">
        <v>511</v>
      </c>
      <c r="E1647" s="4">
        <v>23</v>
      </c>
      <c r="H1647" s="29">
        <v>1001</v>
      </c>
      <c r="I1647" s="30">
        <v>0</v>
      </c>
      <c r="M1647" s="4">
        <f t="shared" ref="M1647:V1647" si="45">M31*$C$1623</f>
        <v>1020</v>
      </c>
      <c r="N1647" s="4">
        <f t="shared" si="45"/>
        <v>342</v>
      </c>
      <c r="O1647" s="4">
        <f t="shared" si="45"/>
        <v>11340</v>
      </c>
      <c r="P1647" s="4">
        <f t="shared" si="45"/>
        <v>0</v>
      </c>
      <c r="Q1647" s="4">
        <f t="shared" si="45"/>
        <v>3822</v>
      </c>
      <c r="R1647" s="4">
        <f t="shared" si="45"/>
        <v>3.75</v>
      </c>
      <c r="S1647" s="4">
        <f t="shared" si="45"/>
        <v>153</v>
      </c>
      <c r="T1647" s="4">
        <f t="shared" si="45"/>
        <v>0</v>
      </c>
      <c r="U1647" s="4">
        <f t="shared" si="45"/>
        <v>0</v>
      </c>
      <c r="V1647" s="4">
        <f t="shared" si="45"/>
        <v>0</v>
      </c>
    </row>
    <row r="1648" spans="1:22" x14ac:dyDescent="0.15">
      <c r="A1648" s="4" t="s">
        <v>2662</v>
      </c>
      <c r="D1648" s="4">
        <v>511</v>
      </c>
      <c r="E1648" s="4">
        <v>24</v>
      </c>
      <c r="H1648" s="29">
        <v>1001</v>
      </c>
      <c r="I1648" s="30">
        <v>0</v>
      </c>
      <c r="M1648" s="4">
        <f t="shared" ref="M1648:V1648" si="46">M32*$C$1623</f>
        <v>1050</v>
      </c>
      <c r="N1648" s="4">
        <f t="shared" si="46"/>
        <v>357</v>
      </c>
      <c r="O1648" s="4">
        <f t="shared" si="46"/>
        <v>11610</v>
      </c>
      <c r="P1648" s="4">
        <f t="shared" si="46"/>
        <v>0</v>
      </c>
      <c r="Q1648" s="4">
        <f t="shared" si="46"/>
        <v>3843</v>
      </c>
      <c r="R1648" s="4">
        <f t="shared" si="46"/>
        <v>3.75</v>
      </c>
      <c r="S1648" s="4">
        <f t="shared" si="46"/>
        <v>159</v>
      </c>
      <c r="T1648" s="4">
        <f t="shared" si="46"/>
        <v>0</v>
      </c>
      <c r="U1648" s="4">
        <f t="shared" si="46"/>
        <v>0</v>
      </c>
      <c r="V1648" s="4">
        <f t="shared" si="46"/>
        <v>0</v>
      </c>
    </row>
    <row r="1649" spans="1:22" x14ac:dyDescent="0.15">
      <c r="A1649" s="4" t="s">
        <v>2662</v>
      </c>
      <c r="D1649" s="4">
        <v>511</v>
      </c>
      <c r="E1649" s="4">
        <v>25</v>
      </c>
      <c r="H1649" s="29">
        <v>1001</v>
      </c>
      <c r="I1649" s="30">
        <v>0</v>
      </c>
      <c r="M1649" s="4">
        <f t="shared" ref="M1649:V1649" si="47">M33*$C$1623</f>
        <v>1080</v>
      </c>
      <c r="N1649" s="4">
        <f t="shared" si="47"/>
        <v>372</v>
      </c>
      <c r="O1649" s="4">
        <f t="shared" si="47"/>
        <v>11880</v>
      </c>
      <c r="P1649" s="4">
        <f t="shared" si="47"/>
        <v>0</v>
      </c>
      <c r="Q1649" s="4">
        <f t="shared" si="47"/>
        <v>3864</v>
      </c>
      <c r="R1649" s="4">
        <f t="shared" si="47"/>
        <v>3.75</v>
      </c>
      <c r="S1649" s="4">
        <f t="shared" si="47"/>
        <v>165</v>
      </c>
      <c r="T1649" s="4">
        <f t="shared" si="47"/>
        <v>0</v>
      </c>
      <c r="U1649" s="4">
        <f t="shared" si="47"/>
        <v>0</v>
      </c>
      <c r="V1649" s="4">
        <f t="shared" si="47"/>
        <v>0</v>
      </c>
    </row>
    <row r="1650" spans="1:22" x14ac:dyDescent="0.15">
      <c r="A1650" s="4" t="s">
        <v>2662</v>
      </c>
      <c r="D1650" s="4">
        <v>511</v>
      </c>
      <c r="E1650" s="4">
        <v>26</v>
      </c>
      <c r="H1650" s="29">
        <v>1001</v>
      </c>
      <c r="I1650" s="30">
        <v>0</v>
      </c>
      <c r="M1650" s="4">
        <f t="shared" ref="M1650:V1650" si="48">M34*$C$1623</f>
        <v>1110</v>
      </c>
      <c r="N1650" s="4">
        <f t="shared" si="48"/>
        <v>387</v>
      </c>
      <c r="O1650" s="4">
        <f t="shared" si="48"/>
        <v>12150</v>
      </c>
      <c r="P1650" s="4">
        <f t="shared" si="48"/>
        <v>0</v>
      </c>
      <c r="Q1650" s="4">
        <f t="shared" si="48"/>
        <v>3885</v>
      </c>
      <c r="R1650" s="4">
        <f t="shared" si="48"/>
        <v>3.75</v>
      </c>
      <c r="S1650" s="4">
        <f t="shared" si="48"/>
        <v>171</v>
      </c>
      <c r="T1650" s="4">
        <f t="shared" si="48"/>
        <v>0</v>
      </c>
      <c r="U1650" s="4">
        <f t="shared" si="48"/>
        <v>0</v>
      </c>
      <c r="V1650" s="4">
        <f t="shared" si="48"/>
        <v>0</v>
      </c>
    </row>
    <row r="1651" spans="1:22" x14ac:dyDescent="0.15">
      <c r="A1651" s="4" t="s">
        <v>2662</v>
      </c>
      <c r="D1651" s="4">
        <v>511</v>
      </c>
      <c r="E1651" s="4">
        <v>27</v>
      </c>
      <c r="H1651" s="29">
        <v>1001</v>
      </c>
      <c r="I1651" s="30">
        <v>0</v>
      </c>
      <c r="M1651" s="4">
        <f t="shared" ref="M1651:V1651" si="49">M35*$C$1623</f>
        <v>1140</v>
      </c>
      <c r="N1651" s="4">
        <f t="shared" si="49"/>
        <v>402</v>
      </c>
      <c r="O1651" s="4">
        <f t="shared" si="49"/>
        <v>12420</v>
      </c>
      <c r="P1651" s="4">
        <f t="shared" si="49"/>
        <v>0</v>
      </c>
      <c r="Q1651" s="4">
        <f t="shared" si="49"/>
        <v>3906</v>
      </c>
      <c r="R1651" s="4">
        <f t="shared" si="49"/>
        <v>3.75</v>
      </c>
      <c r="S1651" s="4">
        <f t="shared" si="49"/>
        <v>177</v>
      </c>
      <c r="T1651" s="4">
        <f t="shared" si="49"/>
        <v>0</v>
      </c>
      <c r="U1651" s="4">
        <f t="shared" si="49"/>
        <v>0</v>
      </c>
      <c r="V1651" s="4">
        <f t="shared" si="49"/>
        <v>0</v>
      </c>
    </row>
    <row r="1652" spans="1:22" x14ac:dyDescent="0.15">
      <c r="A1652" s="4" t="s">
        <v>2662</v>
      </c>
      <c r="D1652" s="4">
        <v>511</v>
      </c>
      <c r="E1652" s="4">
        <v>28</v>
      </c>
      <c r="H1652" s="29">
        <v>1001</v>
      </c>
      <c r="I1652" s="30">
        <v>0</v>
      </c>
      <c r="M1652" s="4">
        <f t="shared" ref="M1652:V1652" si="50">M36*$C$1623</f>
        <v>1170</v>
      </c>
      <c r="N1652" s="4">
        <f t="shared" si="50"/>
        <v>417</v>
      </c>
      <c r="O1652" s="4">
        <f t="shared" si="50"/>
        <v>12690</v>
      </c>
      <c r="P1652" s="4">
        <f t="shared" si="50"/>
        <v>0</v>
      </c>
      <c r="Q1652" s="4">
        <f t="shared" si="50"/>
        <v>3927</v>
      </c>
      <c r="R1652" s="4">
        <f t="shared" si="50"/>
        <v>3.75</v>
      </c>
      <c r="S1652" s="4">
        <f t="shared" si="50"/>
        <v>183</v>
      </c>
      <c r="T1652" s="4">
        <f t="shared" si="50"/>
        <v>0</v>
      </c>
      <c r="U1652" s="4">
        <f t="shared" si="50"/>
        <v>0</v>
      </c>
      <c r="V1652" s="4">
        <f t="shared" si="50"/>
        <v>0</v>
      </c>
    </row>
    <row r="1653" spans="1:22" x14ac:dyDescent="0.15">
      <c r="A1653" s="4" t="s">
        <v>2662</v>
      </c>
      <c r="D1653" s="4">
        <v>511</v>
      </c>
      <c r="E1653" s="4">
        <v>29</v>
      </c>
      <c r="H1653" s="29">
        <v>1001</v>
      </c>
      <c r="I1653" s="30">
        <v>0</v>
      </c>
      <c r="M1653" s="4">
        <f t="shared" ref="M1653:V1653" si="51">M37*$C$1623</f>
        <v>1200</v>
      </c>
      <c r="N1653" s="4">
        <f t="shared" si="51"/>
        <v>432</v>
      </c>
      <c r="O1653" s="4">
        <f t="shared" si="51"/>
        <v>12960</v>
      </c>
      <c r="P1653" s="4">
        <f t="shared" si="51"/>
        <v>0</v>
      </c>
      <c r="Q1653" s="4">
        <f t="shared" si="51"/>
        <v>3948</v>
      </c>
      <c r="R1653" s="4">
        <f t="shared" si="51"/>
        <v>3.75</v>
      </c>
      <c r="S1653" s="4">
        <f t="shared" si="51"/>
        <v>189</v>
      </c>
      <c r="T1653" s="4">
        <f t="shared" si="51"/>
        <v>0</v>
      </c>
      <c r="U1653" s="4">
        <f t="shared" si="51"/>
        <v>0</v>
      </c>
      <c r="V1653" s="4">
        <f t="shared" si="51"/>
        <v>0</v>
      </c>
    </row>
    <row r="1654" spans="1:22" x14ac:dyDescent="0.15">
      <c r="A1654" s="4" t="s">
        <v>2662</v>
      </c>
      <c r="D1654" s="4">
        <v>511</v>
      </c>
      <c r="E1654" s="4">
        <v>30</v>
      </c>
      <c r="H1654" s="29">
        <v>1001</v>
      </c>
      <c r="I1654" s="30">
        <v>0</v>
      </c>
      <c r="M1654" s="4">
        <f t="shared" ref="M1654:V1654" si="52">M38*$C$1623</f>
        <v>1230</v>
      </c>
      <c r="N1654" s="4">
        <f t="shared" si="52"/>
        <v>447</v>
      </c>
      <c r="O1654" s="4">
        <f t="shared" si="52"/>
        <v>13230</v>
      </c>
      <c r="P1654" s="4">
        <f t="shared" si="52"/>
        <v>0</v>
      </c>
      <c r="Q1654" s="4">
        <f t="shared" si="52"/>
        <v>3969</v>
      </c>
      <c r="R1654" s="4">
        <f t="shared" si="52"/>
        <v>3.75</v>
      </c>
      <c r="S1654" s="4">
        <f t="shared" si="52"/>
        <v>195</v>
      </c>
      <c r="T1654" s="4">
        <f t="shared" si="52"/>
        <v>0</v>
      </c>
      <c r="U1654" s="4">
        <f t="shared" si="52"/>
        <v>0</v>
      </c>
      <c r="V1654" s="4">
        <f t="shared" si="52"/>
        <v>0</v>
      </c>
    </row>
    <row r="1655" spans="1:22" x14ac:dyDescent="0.15">
      <c r="A1655" s="4" t="s">
        <v>2662</v>
      </c>
      <c r="D1655" s="4">
        <v>511</v>
      </c>
      <c r="E1655" s="4">
        <v>31</v>
      </c>
      <c r="H1655" s="29">
        <v>1001</v>
      </c>
      <c r="I1655" s="30">
        <v>0</v>
      </c>
      <c r="M1655" s="4">
        <f t="shared" ref="M1655:V1655" si="53">M39*$C$1623</f>
        <v>1260</v>
      </c>
      <c r="N1655" s="4">
        <f t="shared" si="53"/>
        <v>462</v>
      </c>
      <c r="O1655" s="4">
        <f t="shared" si="53"/>
        <v>13500</v>
      </c>
      <c r="P1655" s="4">
        <f t="shared" si="53"/>
        <v>0</v>
      </c>
      <c r="Q1655" s="4">
        <f t="shared" si="53"/>
        <v>3990</v>
      </c>
      <c r="R1655" s="4">
        <f t="shared" si="53"/>
        <v>3.75</v>
      </c>
      <c r="S1655" s="4">
        <f t="shared" si="53"/>
        <v>201</v>
      </c>
      <c r="T1655" s="4">
        <f t="shared" si="53"/>
        <v>0</v>
      </c>
      <c r="U1655" s="4">
        <f t="shared" si="53"/>
        <v>0</v>
      </c>
      <c r="V1655" s="4">
        <f t="shared" si="53"/>
        <v>0</v>
      </c>
    </row>
    <row r="1656" spans="1:22" x14ac:dyDescent="0.15">
      <c r="A1656" s="4" t="s">
        <v>2662</v>
      </c>
      <c r="D1656" s="4">
        <v>511</v>
      </c>
      <c r="E1656" s="4">
        <v>32</v>
      </c>
      <c r="H1656" s="29">
        <v>1001</v>
      </c>
      <c r="I1656" s="30">
        <v>0</v>
      </c>
      <c r="M1656" s="4">
        <f t="shared" ref="M1656:V1656" si="54">M40*$C$1623</f>
        <v>1290</v>
      </c>
      <c r="N1656" s="4">
        <f t="shared" si="54"/>
        <v>477</v>
      </c>
      <c r="O1656" s="4">
        <f t="shared" si="54"/>
        <v>13770</v>
      </c>
      <c r="P1656" s="4">
        <f t="shared" si="54"/>
        <v>0</v>
      </c>
      <c r="Q1656" s="4">
        <f t="shared" si="54"/>
        <v>4011</v>
      </c>
      <c r="R1656" s="4">
        <f t="shared" si="54"/>
        <v>3.75</v>
      </c>
      <c r="S1656" s="4">
        <f t="shared" si="54"/>
        <v>207</v>
      </c>
      <c r="T1656" s="4">
        <f t="shared" si="54"/>
        <v>0</v>
      </c>
      <c r="U1656" s="4">
        <f t="shared" si="54"/>
        <v>0</v>
      </c>
      <c r="V1656" s="4">
        <f t="shared" si="54"/>
        <v>0</v>
      </c>
    </row>
    <row r="1657" spans="1:22" x14ac:dyDescent="0.15">
      <c r="A1657" s="4" t="s">
        <v>2662</v>
      </c>
      <c r="D1657" s="4">
        <v>511</v>
      </c>
      <c r="E1657" s="4">
        <v>33</v>
      </c>
      <c r="H1657" s="29">
        <v>1001</v>
      </c>
      <c r="I1657" s="30">
        <v>0</v>
      </c>
      <c r="M1657" s="4">
        <f t="shared" ref="M1657:V1657" si="55">M41*$C$1623</f>
        <v>1320</v>
      </c>
      <c r="N1657" s="4">
        <f t="shared" si="55"/>
        <v>492</v>
      </c>
      <c r="O1657" s="4">
        <f t="shared" si="55"/>
        <v>14040</v>
      </c>
      <c r="P1657" s="4">
        <f t="shared" si="55"/>
        <v>0</v>
      </c>
      <c r="Q1657" s="4">
        <f t="shared" si="55"/>
        <v>4032</v>
      </c>
      <c r="R1657" s="4">
        <f t="shared" si="55"/>
        <v>3.75</v>
      </c>
      <c r="S1657" s="4">
        <f t="shared" si="55"/>
        <v>213</v>
      </c>
      <c r="T1657" s="4">
        <f t="shared" si="55"/>
        <v>0</v>
      </c>
      <c r="U1657" s="4">
        <f t="shared" si="55"/>
        <v>0</v>
      </c>
      <c r="V1657" s="4">
        <f t="shared" si="55"/>
        <v>0</v>
      </c>
    </row>
    <row r="1658" spans="1:22" x14ac:dyDescent="0.15">
      <c r="A1658" s="4" t="s">
        <v>2662</v>
      </c>
      <c r="D1658" s="4">
        <v>511</v>
      </c>
      <c r="E1658" s="4">
        <v>34</v>
      </c>
      <c r="H1658" s="29">
        <v>1001</v>
      </c>
      <c r="I1658" s="30">
        <v>0</v>
      </c>
      <c r="M1658" s="4">
        <f t="shared" ref="M1658:V1658" si="56">M42*$C$1623</f>
        <v>1350</v>
      </c>
      <c r="N1658" s="4">
        <f t="shared" si="56"/>
        <v>507</v>
      </c>
      <c r="O1658" s="4">
        <f t="shared" si="56"/>
        <v>14310</v>
      </c>
      <c r="P1658" s="4">
        <f t="shared" si="56"/>
        <v>0</v>
      </c>
      <c r="Q1658" s="4">
        <f t="shared" si="56"/>
        <v>4053</v>
      </c>
      <c r="R1658" s="4">
        <f t="shared" si="56"/>
        <v>3.75</v>
      </c>
      <c r="S1658" s="4">
        <f t="shared" si="56"/>
        <v>219</v>
      </c>
      <c r="T1658" s="4">
        <f t="shared" si="56"/>
        <v>0</v>
      </c>
      <c r="U1658" s="4">
        <f t="shared" si="56"/>
        <v>0</v>
      </c>
      <c r="V1658" s="4">
        <f t="shared" si="56"/>
        <v>0</v>
      </c>
    </row>
    <row r="1659" spans="1:22" x14ac:dyDescent="0.15">
      <c r="A1659" s="4" t="s">
        <v>2662</v>
      </c>
      <c r="D1659" s="4">
        <v>511</v>
      </c>
      <c r="E1659" s="4">
        <v>35</v>
      </c>
      <c r="H1659" s="29">
        <v>1001</v>
      </c>
      <c r="I1659" s="30">
        <v>0</v>
      </c>
      <c r="M1659" s="4">
        <f t="shared" ref="M1659:V1659" si="57">M43*$C$1623</f>
        <v>1380</v>
      </c>
      <c r="N1659" s="4">
        <f t="shared" si="57"/>
        <v>522</v>
      </c>
      <c r="O1659" s="4">
        <f t="shared" si="57"/>
        <v>14580</v>
      </c>
      <c r="P1659" s="4">
        <f t="shared" si="57"/>
        <v>0</v>
      </c>
      <c r="Q1659" s="4">
        <f t="shared" si="57"/>
        <v>4074</v>
      </c>
      <c r="R1659" s="4">
        <f t="shared" si="57"/>
        <v>3.75</v>
      </c>
      <c r="S1659" s="4">
        <f t="shared" si="57"/>
        <v>225</v>
      </c>
      <c r="T1659" s="4">
        <f t="shared" si="57"/>
        <v>0</v>
      </c>
      <c r="U1659" s="4">
        <f t="shared" si="57"/>
        <v>0</v>
      </c>
      <c r="V1659" s="4">
        <f t="shared" si="57"/>
        <v>0</v>
      </c>
    </row>
    <row r="1660" spans="1:22" x14ac:dyDescent="0.15">
      <c r="A1660" s="4" t="s">
        <v>2662</v>
      </c>
      <c r="D1660" s="4">
        <v>511</v>
      </c>
      <c r="E1660" s="4">
        <v>36</v>
      </c>
      <c r="H1660" s="29">
        <v>1001</v>
      </c>
      <c r="I1660" s="30">
        <v>0</v>
      </c>
      <c r="M1660" s="4">
        <f t="shared" ref="M1660:V1660" si="58">M44*$C$1623</f>
        <v>1410</v>
      </c>
      <c r="N1660" s="4">
        <f t="shared" si="58"/>
        <v>537</v>
      </c>
      <c r="O1660" s="4">
        <f t="shared" si="58"/>
        <v>14850</v>
      </c>
      <c r="P1660" s="4">
        <f t="shared" si="58"/>
        <v>0</v>
      </c>
      <c r="Q1660" s="4">
        <f t="shared" si="58"/>
        <v>4095</v>
      </c>
      <c r="R1660" s="4">
        <f t="shared" si="58"/>
        <v>3.75</v>
      </c>
      <c r="S1660" s="4">
        <f t="shared" si="58"/>
        <v>231</v>
      </c>
      <c r="T1660" s="4">
        <f t="shared" si="58"/>
        <v>0</v>
      </c>
      <c r="U1660" s="4">
        <f t="shared" si="58"/>
        <v>0</v>
      </c>
      <c r="V1660" s="4">
        <f t="shared" si="58"/>
        <v>0</v>
      </c>
    </row>
    <row r="1661" spans="1:22" x14ac:dyDescent="0.15">
      <c r="A1661" s="4" t="s">
        <v>2662</v>
      </c>
      <c r="D1661" s="4">
        <v>511</v>
      </c>
      <c r="E1661" s="4">
        <v>37</v>
      </c>
      <c r="H1661" s="29">
        <v>1001</v>
      </c>
      <c r="I1661" s="30">
        <v>0</v>
      </c>
      <c r="M1661" s="4">
        <f t="shared" ref="M1661:V1661" si="59">M45*$C$1623</f>
        <v>1440</v>
      </c>
      <c r="N1661" s="4">
        <f t="shared" si="59"/>
        <v>552</v>
      </c>
      <c r="O1661" s="4">
        <f t="shared" si="59"/>
        <v>15120</v>
      </c>
      <c r="P1661" s="4">
        <f t="shared" si="59"/>
        <v>0</v>
      </c>
      <c r="Q1661" s="4">
        <f t="shared" si="59"/>
        <v>4116</v>
      </c>
      <c r="R1661" s="4">
        <f t="shared" si="59"/>
        <v>3.75</v>
      </c>
      <c r="S1661" s="4">
        <f t="shared" si="59"/>
        <v>237</v>
      </c>
      <c r="T1661" s="4">
        <f t="shared" si="59"/>
        <v>0</v>
      </c>
      <c r="U1661" s="4">
        <f t="shared" si="59"/>
        <v>0</v>
      </c>
      <c r="V1661" s="4">
        <f t="shared" si="59"/>
        <v>0</v>
      </c>
    </row>
    <row r="1662" spans="1:22" x14ac:dyDescent="0.15">
      <c r="A1662" s="4" t="s">
        <v>2662</v>
      </c>
      <c r="D1662" s="4">
        <v>511</v>
      </c>
      <c r="E1662" s="4">
        <v>38</v>
      </c>
      <c r="H1662" s="29">
        <v>1001</v>
      </c>
      <c r="I1662" s="30">
        <v>0</v>
      </c>
      <c r="M1662" s="4">
        <f t="shared" ref="M1662:V1662" si="60">M46*$C$1623</f>
        <v>1470</v>
      </c>
      <c r="N1662" s="4">
        <f t="shared" si="60"/>
        <v>567</v>
      </c>
      <c r="O1662" s="4">
        <f t="shared" si="60"/>
        <v>15390</v>
      </c>
      <c r="P1662" s="4">
        <f t="shared" si="60"/>
        <v>0</v>
      </c>
      <c r="Q1662" s="4">
        <f t="shared" si="60"/>
        <v>4137</v>
      </c>
      <c r="R1662" s="4">
        <f t="shared" si="60"/>
        <v>3.75</v>
      </c>
      <c r="S1662" s="4">
        <f t="shared" si="60"/>
        <v>243</v>
      </c>
      <c r="T1662" s="4">
        <f t="shared" si="60"/>
        <v>0</v>
      </c>
      <c r="U1662" s="4">
        <f t="shared" si="60"/>
        <v>0</v>
      </c>
      <c r="V1662" s="4">
        <f t="shared" si="60"/>
        <v>0</v>
      </c>
    </row>
    <row r="1663" spans="1:22" x14ac:dyDescent="0.15">
      <c r="A1663" s="4" t="s">
        <v>2662</v>
      </c>
      <c r="D1663" s="4">
        <v>511</v>
      </c>
      <c r="E1663" s="4">
        <v>39</v>
      </c>
      <c r="H1663" s="29">
        <v>1001</v>
      </c>
      <c r="I1663" s="30">
        <v>0</v>
      </c>
      <c r="M1663" s="4">
        <f t="shared" ref="M1663:V1663" si="61">M47*$C$1623</f>
        <v>1500</v>
      </c>
      <c r="N1663" s="4">
        <f t="shared" si="61"/>
        <v>582</v>
      </c>
      <c r="O1663" s="4">
        <f t="shared" si="61"/>
        <v>15660</v>
      </c>
      <c r="P1663" s="4">
        <f t="shared" si="61"/>
        <v>0</v>
      </c>
      <c r="Q1663" s="4">
        <f t="shared" si="61"/>
        <v>4158</v>
      </c>
      <c r="R1663" s="4">
        <f t="shared" si="61"/>
        <v>3.75</v>
      </c>
      <c r="S1663" s="4">
        <f t="shared" si="61"/>
        <v>249</v>
      </c>
      <c r="T1663" s="4">
        <f t="shared" si="61"/>
        <v>0</v>
      </c>
      <c r="U1663" s="4">
        <f t="shared" si="61"/>
        <v>0</v>
      </c>
      <c r="V1663" s="4">
        <f t="shared" si="61"/>
        <v>0</v>
      </c>
    </row>
    <row r="1664" spans="1:22" x14ac:dyDescent="0.15">
      <c r="A1664" s="4" t="s">
        <v>2662</v>
      </c>
      <c r="D1664" s="4">
        <v>511</v>
      </c>
      <c r="E1664" s="4">
        <v>40</v>
      </c>
      <c r="H1664" s="29">
        <v>1001</v>
      </c>
      <c r="I1664" s="30">
        <v>0</v>
      </c>
      <c r="M1664" s="4">
        <f t="shared" ref="M1664:V1664" si="62">M48*$C$1623</f>
        <v>1530</v>
      </c>
      <c r="N1664" s="4">
        <f t="shared" si="62"/>
        <v>597</v>
      </c>
      <c r="O1664" s="4">
        <f t="shared" si="62"/>
        <v>15930</v>
      </c>
      <c r="P1664" s="4">
        <f t="shared" si="62"/>
        <v>0</v>
      </c>
      <c r="Q1664" s="4">
        <f t="shared" si="62"/>
        <v>4179</v>
      </c>
      <c r="R1664" s="4">
        <f t="shared" si="62"/>
        <v>3.75</v>
      </c>
      <c r="S1664" s="4">
        <f t="shared" si="62"/>
        <v>255</v>
      </c>
      <c r="T1664" s="4">
        <f t="shared" si="62"/>
        <v>0</v>
      </c>
      <c r="U1664" s="4">
        <f t="shared" si="62"/>
        <v>0</v>
      </c>
      <c r="V1664" s="4">
        <f t="shared" si="62"/>
        <v>0</v>
      </c>
    </row>
    <row r="1665" spans="1:22" x14ac:dyDescent="0.15">
      <c r="A1665" s="4" t="s">
        <v>2662</v>
      </c>
      <c r="D1665" s="4">
        <v>511</v>
      </c>
      <c r="E1665" s="4">
        <v>41</v>
      </c>
      <c r="H1665" s="29">
        <v>1001</v>
      </c>
      <c r="I1665" s="30">
        <v>0</v>
      </c>
      <c r="M1665" s="4">
        <f t="shared" ref="M1665:V1665" si="63">M49*$C$1623</f>
        <v>1560</v>
      </c>
      <c r="N1665" s="4">
        <f t="shared" si="63"/>
        <v>612</v>
      </c>
      <c r="O1665" s="4">
        <f t="shared" si="63"/>
        <v>16200</v>
      </c>
      <c r="P1665" s="4">
        <f t="shared" si="63"/>
        <v>0</v>
      </c>
      <c r="Q1665" s="4">
        <f t="shared" si="63"/>
        <v>4200</v>
      </c>
      <c r="R1665" s="4">
        <f t="shared" si="63"/>
        <v>3.75</v>
      </c>
      <c r="S1665" s="4">
        <f t="shared" si="63"/>
        <v>261</v>
      </c>
      <c r="T1665" s="4">
        <f t="shared" si="63"/>
        <v>0</v>
      </c>
      <c r="U1665" s="4">
        <f t="shared" si="63"/>
        <v>0</v>
      </c>
      <c r="V1665" s="4">
        <f t="shared" si="63"/>
        <v>0</v>
      </c>
    </row>
    <row r="1666" spans="1:22" x14ac:dyDescent="0.15">
      <c r="A1666" s="4" t="s">
        <v>2662</v>
      </c>
      <c r="D1666" s="4">
        <v>511</v>
      </c>
      <c r="E1666" s="4">
        <v>42</v>
      </c>
      <c r="H1666" s="29">
        <v>1001</v>
      </c>
      <c r="I1666" s="30">
        <v>0</v>
      </c>
      <c r="M1666" s="4">
        <f t="shared" ref="M1666:V1666" si="64">M50*$C$1623</f>
        <v>1590</v>
      </c>
      <c r="N1666" s="4">
        <f t="shared" si="64"/>
        <v>627</v>
      </c>
      <c r="O1666" s="4">
        <f t="shared" si="64"/>
        <v>16470</v>
      </c>
      <c r="P1666" s="4">
        <f t="shared" si="64"/>
        <v>0</v>
      </c>
      <c r="Q1666" s="4">
        <f t="shared" si="64"/>
        <v>4221</v>
      </c>
      <c r="R1666" s="4">
        <f t="shared" si="64"/>
        <v>3.75</v>
      </c>
      <c r="S1666" s="4">
        <f t="shared" si="64"/>
        <v>267</v>
      </c>
      <c r="T1666" s="4">
        <f t="shared" si="64"/>
        <v>0</v>
      </c>
      <c r="U1666" s="4">
        <f t="shared" si="64"/>
        <v>0</v>
      </c>
      <c r="V1666" s="4">
        <f t="shared" si="64"/>
        <v>0</v>
      </c>
    </row>
    <row r="1667" spans="1:22" x14ac:dyDescent="0.15">
      <c r="A1667" s="4" t="s">
        <v>2662</v>
      </c>
      <c r="D1667" s="4">
        <v>511</v>
      </c>
      <c r="E1667" s="4">
        <v>43</v>
      </c>
      <c r="H1667" s="29">
        <v>1001</v>
      </c>
      <c r="I1667" s="30">
        <v>0</v>
      </c>
      <c r="M1667" s="4">
        <f t="shared" ref="M1667:V1667" si="65">M51*$C$1623</f>
        <v>1620</v>
      </c>
      <c r="N1667" s="4">
        <f t="shared" si="65"/>
        <v>642</v>
      </c>
      <c r="O1667" s="4">
        <f t="shared" si="65"/>
        <v>16740</v>
      </c>
      <c r="P1667" s="4">
        <f t="shared" si="65"/>
        <v>0</v>
      </c>
      <c r="Q1667" s="4">
        <f t="shared" si="65"/>
        <v>4242</v>
      </c>
      <c r="R1667" s="4">
        <f t="shared" si="65"/>
        <v>3.75</v>
      </c>
      <c r="S1667" s="4">
        <f t="shared" si="65"/>
        <v>273</v>
      </c>
      <c r="T1667" s="4">
        <f t="shared" si="65"/>
        <v>0</v>
      </c>
      <c r="U1667" s="4">
        <f t="shared" si="65"/>
        <v>0</v>
      </c>
      <c r="V1667" s="4">
        <f t="shared" si="65"/>
        <v>0</v>
      </c>
    </row>
    <row r="1668" spans="1:22" x14ac:dyDescent="0.15">
      <c r="A1668" s="4" t="s">
        <v>2662</v>
      </c>
      <c r="D1668" s="4">
        <v>511</v>
      </c>
      <c r="E1668" s="4">
        <v>44</v>
      </c>
      <c r="H1668" s="29">
        <v>1001</v>
      </c>
      <c r="I1668" s="30">
        <v>0</v>
      </c>
      <c r="M1668" s="4">
        <f t="shared" ref="M1668:V1668" si="66">M52*$C$1623</f>
        <v>1650</v>
      </c>
      <c r="N1668" s="4">
        <f t="shared" si="66"/>
        <v>657</v>
      </c>
      <c r="O1668" s="4">
        <f t="shared" si="66"/>
        <v>17010</v>
      </c>
      <c r="P1668" s="4">
        <f t="shared" si="66"/>
        <v>0</v>
      </c>
      <c r="Q1668" s="4">
        <f t="shared" si="66"/>
        <v>4263</v>
      </c>
      <c r="R1668" s="4">
        <f t="shared" si="66"/>
        <v>3.75</v>
      </c>
      <c r="S1668" s="4">
        <f t="shared" si="66"/>
        <v>279</v>
      </c>
      <c r="T1668" s="4">
        <f t="shared" si="66"/>
        <v>0</v>
      </c>
      <c r="U1668" s="4">
        <f t="shared" si="66"/>
        <v>0</v>
      </c>
      <c r="V1668" s="4">
        <f t="shared" si="66"/>
        <v>0</v>
      </c>
    </row>
    <row r="1669" spans="1:22" x14ac:dyDescent="0.15">
      <c r="A1669" s="4" t="s">
        <v>2662</v>
      </c>
      <c r="D1669" s="4">
        <v>511</v>
      </c>
      <c r="E1669" s="4">
        <v>45</v>
      </c>
      <c r="H1669" s="29">
        <v>1001</v>
      </c>
      <c r="I1669" s="30">
        <v>0</v>
      </c>
      <c r="M1669" s="4">
        <f t="shared" ref="M1669:V1669" si="67">M53*$C$1623</f>
        <v>1680</v>
      </c>
      <c r="N1669" s="4">
        <f t="shared" si="67"/>
        <v>672</v>
      </c>
      <c r="O1669" s="4">
        <f t="shared" si="67"/>
        <v>17280</v>
      </c>
      <c r="P1669" s="4">
        <f t="shared" si="67"/>
        <v>0</v>
      </c>
      <c r="Q1669" s="4">
        <f t="shared" si="67"/>
        <v>4284</v>
      </c>
      <c r="R1669" s="4">
        <f t="shared" si="67"/>
        <v>3.75</v>
      </c>
      <c r="S1669" s="4">
        <f t="shared" si="67"/>
        <v>285</v>
      </c>
      <c r="T1669" s="4">
        <f t="shared" si="67"/>
        <v>0</v>
      </c>
      <c r="U1669" s="4">
        <f t="shared" si="67"/>
        <v>0</v>
      </c>
      <c r="V1669" s="4">
        <f t="shared" si="67"/>
        <v>0</v>
      </c>
    </row>
    <row r="1670" spans="1:22" x14ac:dyDescent="0.15">
      <c r="A1670" s="4" t="s">
        <v>2662</v>
      </c>
      <c r="D1670" s="4">
        <v>511</v>
      </c>
      <c r="E1670" s="4">
        <v>46</v>
      </c>
      <c r="H1670" s="29">
        <v>1001</v>
      </c>
      <c r="I1670" s="30">
        <v>0</v>
      </c>
      <c r="M1670" s="4">
        <f t="shared" ref="M1670:V1670" si="68">M54*$C$1623</f>
        <v>1710</v>
      </c>
      <c r="N1670" s="4">
        <f t="shared" si="68"/>
        <v>687</v>
      </c>
      <c r="O1670" s="4">
        <f t="shared" si="68"/>
        <v>17550</v>
      </c>
      <c r="P1670" s="4">
        <f t="shared" si="68"/>
        <v>0</v>
      </c>
      <c r="Q1670" s="4">
        <f t="shared" si="68"/>
        <v>4305</v>
      </c>
      <c r="R1670" s="4">
        <f t="shared" si="68"/>
        <v>3.75</v>
      </c>
      <c r="S1670" s="4">
        <f t="shared" si="68"/>
        <v>291</v>
      </c>
      <c r="T1670" s="4">
        <f t="shared" si="68"/>
        <v>0</v>
      </c>
      <c r="U1670" s="4">
        <f t="shared" si="68"/>
        <v>0</v>
      </c>
      <c r="V1670" s="4">
        <f t="shared" si="68"/>
        <v>0</v>
      </c>
    </row>
    <row r="1671" spans="1:22" x14ac:dyDescent="0.15">
      <c r="A1671" s="4" t="s">
        <v>2662</v>
      </c>
      <c r="D1671" s="4">
        <v>511</v>
      </c>
      <c r="E1671" s="4">
        <v>47</v>
      </c>
      <c r="H1671" s="29">
        <v>1001</v>
      </c>
      <c r="I1671" s="30">
        <v>0</v>
      </c>
      <c r="M1671" s="4">
        <f t="shared" ref="M1671:V1671" si="69">M55*$C$1623</f>
        <v>1740</v>
      </c>
      <c r="N1671" s="4">
        <f t="shared" si="69"/>
        <v>702</v>
      </c>
      <c r="O1671" s="4">
        <f t="shared" si="69"/>
        <v>17820</v>
      </c>
      <c r="P1671" s="4">
        <f t="shared" si="69"/>
        <v>0</v>
      </c>
      <c r="Q1671" s="4">
        <f t="shared" si="69"/>
        <v>4326</v>
      </c>
      <c r="R1671" s="4">
        <f t="shared" si="69"/>
        <v>3.75</v>
      </c>
      <c r="S1671" s="4">
        <f t="shared" si="69"/>
        <v>297</v>
      </c>
      <c r="T1671" s="4">
        <f t="shared" si="69"/>
        <v>0</v>
      </c>
      <c r="U1671" s="4">
        <f t="shared" si="69"/>
        <v>0</v>
      </c>
      <c r="V1671" s="4">
        <f t="shared" si="69"/>
        <v>0</v>
      </c>
    </row>
    <row r="1672" spans="1:22" x14ac:dyDescent="0.15">
      <c r="A1672" s="4" t="s">
        <v>2662</v>
      </c>
      <c r="D1672" s="4">
        <v>511</v>
      </c>
      <c r="E1672" s="4">
        <v>48</v>
      </c>
      <c r="H1672" s="29">
        <v>1001</v>
      </c>
      <c r="I1672" s="30">
        <v>0</v>
      </c>
      <c r="M1672" s="4">
        <f t="shared" ref="M1672:V1672" si="70">M56*$C$1623</f>
        <v>1770</v>
      </c>
      <c r="N1672" s="4">
        <f t="shared" si="70"/>
        <v>717</v>
      </c>
      <c r="O1672" s="4">
        <f t="shared" si="70"/>
        <v>18090</v>
      </c>
      <c r="P1672" s="4">
        <f t="shared" si="70"/>
        <v>0</v>
      </c>
      <c r="Q1672" s="4">
        <f t="shared" si="70"/>
        <v>4347</v>
      </c>
      <c r="R1672" s="4">
        <f t="shared" si="70"/>
        <v>3.75</v>
      </c>
      <c r="S1672" s="4">
        <f t="shared" si="70"/>
        <v>303</v>
      </c>
      <c r="T1672" s="4">
        <f t="shared" si="70"/>
        <v>0</v>
      </c>
      <c r="U1672" s="4">
        <f t="shared" si="70"/>
        <v>0</v>
      </c>
      <c r="V1672" s="4">
        <f t="shared" si="70"/>
        <v>0</v>
      </c>
    </row>
    <row r="1673" spans="1:22" x14ac:dyDescent="0.15">
      <c r="A1673" s="4" t="s">
        <v>2662</v>
      </c>
      <c r="D1673" s="4">
        <v>511</v>
      </c>
      <c r="E1673" s="4">
        <v>49</v>
      </c>
      <c r="H1673" s="29">
        <v>1001</v>
      </c>
      <c r="I1673" s="30">
        <v>0</v>
      </c>
      <c r="M1673" s="4">
        <f t="shared" ref="M1673:V1673" si="71">M57*$C$1623</f>
        <v>1800</v>
      </c>
      <c r="N1673" s="4">
        <f t="shared" si="71"/>
        <v>732</v>
      </c>
      <c r="O1673" s="4">
        <f t="shared" si="71"/>
        <v>18360</v>
      </c>
      <c r="P1673" s="4">
        <f t="shared" si="71"/>
        <v>0</v>
      </c>
      <c r="Q1673" s="4">
        <f t="shared" si="71"/>
        <v>4368</v>
      </c>
      <c r="R1673" s="4">
        <f t="shared" si="71"/>
        <v>3.75</v>
      </c>
      <c r="S1673" s="4">
        <f t="shared" si="71"/>
        <v>309</v>
      </c>
      <c r="T1673" s="4">
        <f t="shared" si="71"/>
        <v>0</v>
      </c>
      <c r="U1673" s="4">
        <f t="shared" si="71"/>
        <v>0</v>
      </c>
      <c r="V1673" s="4">
        <f t="shared" si="71"/>
        <v>0</v>
      </c>
    </row>
    <row r="1674" spans="1:22" x14ac:dyDescent="0.15">
      <c r="A1674" s="4" t="s">
        <v>2662</v>
      </c>
      <c r="D1674" s="4">
        <v>511</v>
      </c>
      <c r="E1674" s="4">
        <v>50</v>
      </c>
      <c r="H1674" s="29">
        <v>1001</v>
      </c>
      <c r="I1674" s="30">
        <v>0</v>
      </c>
      <c r="M1674" s="4">
        <f t="shared" ref="M1674:V1674" si="72">M58*$C$1623</f>
        <v>1830</v>
      </c>
      <c r="N1674" s="4">
        <f t="shared" si="72"/>
        <v>747</v>
      </c>
      <c r="O1674" s="4">
        <f t="shared" si="72"/>
        <v>18630</v>
      </c>
      <c r="P1674" s="4">
        <f t="shared" si="72"/>
        <v>0</v>
      </c>
      <c r="Q1674" s="4">
        <f t="shared" si="72"/>
        <v>4389</v>
      </c>
      <c r="R1674" s="4">
        <f t="shared" si="72"/>
        <v>3.75</v>
      </c>
      <c r="S1674" s="4">
        <f t="shared" si="72"/>
        <v>315</v>
      </c>
      <c r="T1674" s="4">
        <f t="shared" si="72"/>
        <v>0</v>
      </c>
      <c r="U1674" s="4">
        <f t="shared" si="72"/>
        <v>0</v>
      </c>
      <c r="V1674" s="4">
        <f t="shared" si="72"/>
        <v>0</v>
      </c>
    </row>
    <row r="1675" spans="1:22" x14ac:dyDescent="0.15">
      <c r="I1675" s="4"/>
      <c r="M1675" s="4">
        <f t="shared" ref="M1675:V1675" si="73">M59*$C$1623</f>
        <v>0</v>
      </c>
      <c r="N1675" s="4">
        <f t="shared" si="73"/>
        <v>0</v>
      </c>
      <c r="O1675" s="4">
        <f t="shared" si="73"/>
        <v>0</v>
      </c>
      <c r="P1675" s="4">
        <f t="shared" si="73"/>
        <v>0</v>
      </c>
      <c r="Q1675" s="4">
        <f t="shared" si="73"/>
        <v>0</v>
      </c>
      <c r="R1675" s="4">
        <f t="shared" si="73"/>
        <v>0</v>
      </c>
      <c r="S1675" s="4">
        <f t="shared" si="73"/>
        <v>0</v>
      </c>
      <c r="T1675" s="4">
        <f t="shared" si="73"/>
        <v>0</v>
      </c>
      <c r="U1675" s="4">
        <f t="shared" si="73"/>
        <v>0</v>
      </c>
      <c r="V1675" s="4">
        <f t="shared" si="73"/>
        <v>0</v>
      </c>
    </row>
    <row r="1676" spans="1:22" ht="16.5" x14ac:dyDescent="0.15">
      <c r="C1676" s="4" t="s">
        <v>3072</v>
      </c>
      <c r="D1676" s="4">
        <f>D1624+1</f>
        <v>512</v>
      </c>
      <c r="E1676" s="4">
        <v>0</v>
      </c>
      <c r="H1676" s="38">
        <v>2503</v>
      </c>
      <c r="I1676" s="31">
        <v>1</v>
      </c>
      <c r="L1676" s="8">
        <v>211</v>
      </c>
      <c r="M1676" s="4">
        <f t="shared" ref="M1676:V1676" si="74">M60*$C$1623</f>
        <v>0</v>
      </c>
      <c r="N1676" s="4">
        <f t="shared" si="74"/>
        <v>0</v>
      </c>
      <c r="O1676" s="4">
        <f t="shared" si="74"/>
        <v>0</v>
      </c>
      <c r="P1676" s="4">
        <f t="shared" si="74"/>
        <v>0</v>
      </c>
      <c r="Q1676" s="4">
        <f t="shared" si="74"/>
        <v>0</v>
      </c>
      <c r="R1676" s="4">
        <f t="shared" si="74"/>
        <v>0</v>
      </c>
      <c r="S1676" s="4">
        <f t="shared" si="74"/>
        <v>0</v>
      </c>
      <c r="T1676" s="4">
        <f t="shared" si="74"/>
        <v>0</v>
      </c>
      <c r="U1676" s="4">
        <f t="shared" si="74"/>
        <v>0</v>
      </c>
      <c r="V1676" s="4">
        <f t="shared" si="74"/>
        <v>0</v>
      </c>
    </row>
    <row r="1677" spans="1:22" x14ac:dyDescent="0.15">
      <c r="D1677" s="4">
        <f t="shared" ref="D1677:D1726" si="75">D1625+1</f>
        <v>512</v>
      </c>
      <c r="E1677" s="4">
        <v>1</v>
      </c>
      <c r="H1677" s="29">
        <v>1001</v>
      </c>
      <c r="I1677" s="30">
        <v>0</v>
      </c>
      <c r="M1677" s="4">
        <f t="shared" ref="M1677:V1677" si="76">M61*$C$1623</f>
        <v>648</v>
      </c>
      <c r="N1677" s="4">
        <f t="shared" si="76"/>
        <v>16.5</v>
      </c>
      <c r="O1677" s="4">
        <f t="shared" si="76"/>
        <v>6969</v>
      </c>
      <c r="P1677" s="4">
        <f t="shared" si="76"/>
        <v>0</v>
      </c>
      <c r="Q1677" s="4">
        <f t="shared" si="76"/>
        <v>3763.5</v>
      </c>
      <c r="R1677" s="4">
        <f t="shared" si="76"/>
        <v>3.75</v>
      </c>
      <c r="S1677" s="4">
        <f t="shared" si="76"/>
        <v>22.5</v>
      </c>
      <c r="T1677" s="4">
        <f t="shared" si="76"/>
        <v>0</v>
      </c>
      <c r="U1677" s="4">
        <f t="shared" si="76"/>
        <v>0</v>
      </c>
      <c r="V1677" s="4">
        <f t="shared" si="76"/>
        <v>0</v>
      </c>
    </row>
    <row r="1678" spans="1:22" x14ac:dyDescent="0.15">
      <c r="D1678" s="4">
        <f t="shared" si="75"/>
        <v>512</v>
      </c>
      <c r="E1678" s="4">
        <v>2</v>
      </c>
      <c r="H1678" s="29">
        <v>1001</v>
      </c>
      <c r="I1678" s="30">
        <v>0</v>
      </c>
      <c r="M1678" s="4">
        <f t="shared" ref="M1678:V1678" si="77">M62*$C$1623</f>
        <v>684</v>
      </c>
      <c r="N1678" s="4">
        <f t="shared" si="77"/>
        <v>31.5</v>
      </c>
      <c r="O1678" s="4">
        <f t="shared" si="77"/>
        <v>7269</v>
      </c>
      <c r="P1678" s="4">
        <f t="shared" si="77"/>
        <v>0</v>
      </c>
      <c r="Q1678" s="4">
        <f t="shared" si="77"/>
        <v>3784.5</v>
      </c>
      <c r="R1678" s="4">
        <f t="shared" si="77"/>
        <v>3.75</v>
      </c>
      <c r="S1678" s="4">
        <f t="shared" si="77"/>
        <v>28.5</v>
      </c>
      <c r="T1678" s="4">
        <f t="shared" si="77"/>
        <v>0</v>
      </c>
      <c r="U1678" s="4">
        <f t="shared" si="77"/>
        <v>0</v>
      </c>
      <c r="V1678" s="4">
        <f t="shared" si="77"/>
        <v>0</v>
      </c>
    </row>
    <row r="1679" spans="1:22" x14ac:dyDescent="0.15">
      <c r="D1679" s="4">
        <f t="shared" si="75"/>
        <v>512</v>
      </c>
      <c r="E1679" s="4">
        <v>3</v>
      </c>
      <c r="H1679" s="29">
        <v>1001</v>
      </c>
      <c r="I1679" s="30">
        <v>0</v>
      </c>
      <c r="M1679" s="4">
        <f t="shared" ref="M1679:V1679" si="78">M63*$C$1623</f>
        <v>720</v>
      </c>
      <c r="N1679" s="4">
        <f t="shared" si="78"/>
        <v>46.5</v>
      </c>
      <c r="O1679" s="4">
        <f t="shared" si="78"/>
        <v>7569</v>
      </c>
      <c r="P1679" s="4">
        <f t="shared" si="78"/>
        <v>0</v>
      </c>
      <c r="Q1679" s="4">
        <f t="shared" si="78"/>
        <v>3805.5</v>
      </c>
      <c r="R1679" s="4">
        <f t="shared" si="78"/>
        <v>3.75</v>
      </c>
      <c r="S1679" s="4">
        <f t="shared" si="78"/>
        <v>34.5</v>
      </c>
      <c r="T1679" s="4">
        <f t="shared" si="78"/>
        <v>0</v>
      </c>
      <c r="U1679" s="4">
        <f t="shared" si="78"/>
        <v>0</v>
      </c>
      <c r="V1679" s="4">
        <f t="shared" si="78"/>
        <v>0</v>
      </c>
    </row>
    <row r="1680" spans="1:22" x14ac:dyDescent="0.15">
      <c r="D1680" s="4">
        <f t="shared" si="75"/>
        <v>512</v>
      </c>
      <c r="E1680" s="4">
        <v>4</v>
      </c>
      <c r="H1680" s="29">
        <v>1001</v>
      </c>
      <c r="I1680" s="30">
        <v>0</v>
      </c>
      <c r="M1680" s="4">
        <f t="shared" ref="M1680:V1680" si="79">M64*$C$1623</f>
        <v>756</v>
      </c>
      <c r="N1680" s="4">
        <f t="shared" si="79"/>
        <v>61.5</v>
      </c>
      <c r="O1680" s="4">
        <f t="shared" si="79"/>
        <v>7869</v>
      </c>
      <c r="P1680" s="4">
        <f t="shared" si="79"/>
        <v>0</v>
      </c>
      <c r="Q1680" s="4">
        <f t="shared" si="79"/>
        <v>3826.5</v>
      </c>
      <c r="R1680" s="4">
        <f t="shared" si="79"/>
        <v>3.75</v>
      </c>
      <c r="S1680" s="4">
        <f t="shared" si="79"/>
        <v>40.5</v>
      </c>
      <c r="T1680" s="4">
        <f t="shared" si="79"/>
        <v>0</v>
      </c>
      <c r="U1680" s="4">
        <f t="shared" si="79"/>
        <v>0</v>
      </c>
      <c r="V1680" s="4">
        <f t="shared" si="79"/>
        <v>0</v>
      </c>
    </row>
    <row r="1681" spans="4:22" x14ac:dyDescent="0.15">
      <c r="D1681" s="4">
        <f t="shared" si="75"/>
        <v>512</v>
      </c>
      <c r="E1681" s="4">
        <v>5</v>
      </c>
      <c r="H1681" s="29">
        <v>1001</v>
      </c>
      <c r="I1681" s="30">
        <v>0</v>
      </c>
      <c r="M1681" s="4">
        <f t="shared" ref="M1681:V1681" si="80">M65*$C$1623</f>
        <v>792</v>
      </c>
      <c r="N1681" s="4">
        <f t="shared" si="80"/>
        <v>76.5</v>
      </c>
      <c r="O1681" s="4">
        <f t="shared" si="80"/>
        <v>8169</v>
      </c>
      <c r="P1681" s="4">
        <f t="shared" si="80"/>
        <v>0</v>
      </c>
      <c r="Q1681" s="4">
        <f t="shared" si="80"/>
        <v>3847.5</v>
      </c>
      <c r="R1681" s="4">
        <f t="shared" si="80"/>
        <v>3.75</v>
      </c>
      <c r="S1681" s="4">
        <f t="shared" si="80"/>
        <v>46.5</v>
      </c>
      <c r="T1681" s="4">
        <f t="shared" si="80"/>
        <v>0</v>
      </c>
      <c r="U1681" s="4">
        <f t="shared" si="80"/>
        <v>0</v>
      </c>
      <c r="V1681" s="4">
        <f t="shared" si="80"/>
        <v>0</v>
      </c>
    </row>
    <row r="1682" spans="4:22" x14ac:dyDescent="0.15">
      <c r="D1682" s="4">
        <f t="shared" si="75"/>
        <v>512</v>
      </c>
      <c r="E1682" s="4">
        <v>6</v>
      </c>
      <c r="H1682" s="29">
        <v>1001</v>
      </c>
      <c r="I1682" s="30">
        <v>0</v>
      </c>
      <c r="M1682" s="4">
        <f t="shared" ref="M1682:V1682" si="81">M66*$C$1623</f>
        <v>828</v>
      </c>
      <c r="N1682" s="4">
        <f t="shared" si="81"/>
        <v>91.5</v>
      </c>
      <c r="O1682" s="4">
        <f t="shared" si="81"/>
        <v>8469</v>
      </c>
      <c r="P1682" s="4">
        <f t="shared" si="81"/>
        <v>0</v>
      </c>
      <c r="Q1682" s="4">
        <f t="shared" si="81"/>
        <v>3868.5</v>
      </c>
      <c r="R1682" s="4">
        <f t="shared" si="81"/>
        <v>3.75</v>
      </c>
      <c r="S1682" s="4">
        <f t="shared" si="81"/>
        <v>52.5</v>
      </c>
      <c r="T1682" s="4">
        <f t="shared" si="81"/>
        <v>0</v>
      </c>
      <c r="U1682" s="4">
        <f t="shared" si="81"/>
        <v>0</v>
      </c>
      <c r="V1682" s="4">
        <f t="shared" si="81"/>
        <v>0</v>
      </c>
    </row>
    <row r="1683" spans="4:22" x14ac:dyDescent="0.15">
      <c r="D1683" s="4">
        <f t="shared" si="75"/>
        <v>512</v>
      </c>
      <c r="E1683" s="4">
        <v>7</v>
      </c>
      <c r="H1683" s="29">
        <v>1001</v>
      </c>
      <c r="I1683" s="30">
        <v>0</v>
      </c>
      <c r="M1683" s="4">
        <f t="shared" ref="M1683:V1683" si="82">M67*$C$1623</f>
        <v>864</v>
      </c>
      <c r="N1683" s="4">
        <f t="shared" si="82"/>
        <v>106.5</v>
      </c>
      <c r="O1683" s="4">
        <f t="shared" si="82"/>
        <v>8769</v>
      </c>
      <c r="P1683" s="4">
        <f t="shared" si="82"/>
        <v>0</v>
      </c>
      <c r="Q1683" s="4">
        <f t="shared" si="82"/>
        <v>3889.5</v>
      </c>
      <c r="R1683" s="4">
        <f t="shared" si="82"/>
        <v>3.75</v>
      </c>
      <c r="S1683" s="4">
        <f t="shared" si="82"/>
        <v>58.5</v>
      </c>
      <c r="T1683" s="4">
        <f t="shared" si="82"/>
        <v>0</v>
      </c>
      <c r="U1683" s="4">
        <f t="shared" si="82"/>
        <v>0</v>
      </c>
      <c r="V1683" s="4">
        <f t="shared" si="82"/>
        <v>0</v>
      </c>
    </row>
    <row r="1684" spans="4:22" x14ac:dyDescent="0.15">
      <c r="D1684" s="4">
        <f t="shared" si="75"/>
        <v>512</v>
      </c>
      <c r="E1684" s="4">
        <v>8</v>
      </c>
      <c r="H1684" s="29">
        <v>1001</v>
      </c>
      <c r="I1684" s="30">
        <v>0</v>
      </c>
      <c r="M1684" s="4">
        <f t="shared" ref="M1684:V1684" si="83">M68*$C$1623</f>
        <v>900</v>
      </c>
      <c r="N1684" s="4">
        <f t="shared" si="83"/>
        <v>121.5</v>
      </c>
      <c r="O1684" s="4">
        <f t="shared" si="83"/>
        <v>9069</v>
      </c>
      <c r="P1684" s="4">
        <f t="shared" si="83"/>
        <v>0</v>
      </c>
      <c r="Q1684" s="4">
        <f t="shared" si="83"/>
        <v>3910.5</v>
      </c>
      <c r="R1684" s="4">
        <f t="shared" si="83"/>
        <v>3.75</v>
      </c>
      <c r="S1684" s="4">
        <f t="shared" si="83"/>
        <v>64.5</v>
      </c>
      <c r="T1684" s="4">
        <f t="shared" si="83"/>
        <v>0</v>
      </c>
      <c r="U1684" s="4">
        <f t="shared" si="83"/>
        <v>0</v>
      </c>
      <c r="V1684" s="4">
        <f t="shared" si="83"/>
        <v>0</v>
      </c>
    </row>
    <row r="1685" spans="4:22" x14ac:dyDescent="0.15">
      <c r="D1685" s="4">
        <f t="shared" si="75"/>
        <v>512</v>
      </c>
      <c r="E1685" s="4">
        <v>9</v>
      </c>
      <c r="H1685" s="29">
        <v>1001</v>
      </c>
      <c r="I1685" s="30">
        <v>0</v>
      </c>
      <c r="M1685" s="4">
        <f t="shared" ref="M1685:V1685" si="84">M69*$C$1623</f>
        <v>936</v>
      </c>
      <c r="N1685" s="4">
        <f t="shared" si="84"/>
        <v>136.5</v>
      </c>
      <c r="O1685" s="4">
        <f t="shared" si="84"/>
        <v>9369</v>
      </c>
      <c r="P1685" s="4">
        <f t="shared" si="84"/>
        <v>0</v>
      </c>
      <c r="Q1685" s="4">
        <f t="shared" si="84"/>
        <v>3931.5</v>
      </c>
      <c r="R1685" s="4">
        <f t="shared" si="84"/>
        <v>3.75</v>
      </c>
      <c r="S1685" s="4">
        <f t="shared" si="84"/>
        <v>70.5</v>
      </c>
      <c r="T1685" s="4">
        <f t="shared" si="84"/>
        <v>0</v>
      </c>
      <c r="U1685" s="4">
        <f t="shared" si="84"/>
        <v>0</v>
      </c>
      <c r="V1685" s="4">
        <f t="shared" si="84"/>
        <v>0</v>
      </c>
    </row>
    <row r="1686" spans="4:22" x14ac:dyDescent="0.15">
      <c r="D1686" s="4">
        <f t="shared" si="75"/>
        <v>512</v>
      </c>
      <c r="E1686" s="4">
        <v>10</v>
      </c>
      <c r="H1686" s="29">
        <v>1001</v>
      </c>
      <c r="I1686" s="30">
        <v>0</v>
      </c>
      <c r="M1686" s="4">
        <f t="shared" ref="M1686:V1686" si="85">M70*$C$1623</f>
        <v>972</v>
      </c>
      <c r="N1686" s="4">
        <f t="shared" si="85"/>
        <v>151.5</v>
      </c>
      <c r="O1686" s="4">
        <f t="shared" si="85"/>
        <v>9669</v>
      </c>
      <c r="P1686" s="4">
        <f t="shared" si="85"/>
        <v>0</v>
      </c>
      <c r="Q1686" s="4">
        <f t="shared" si="85"/>
        <v>3952.5</v>
      </c>
      <c r="R1686" s="4">
        <f t="shared" si="85"/>
        <v>3.75</v>
      </c>
      <c r="S1686" s="4">
        <f t="shared" si="85"/>
        <v>76.5</v>
      </c>
      <c r="T1686" s="4">
        <f t="shared" si="85"/>
        <v>0</v>
      </c>
      <c r="U1686" s="4">
        <f t="shared" si="85"/>
        <v>0</v>
      </c>
      <c r="V1686" s="4">
        <f t="shared" si="85"/>
        <v>0</v>
      </c>
    </row>
    <row r="1687" spans="4:22" x14ac:dyDescent="0.15">
      <c r="D1687" s="4">
        <f t="shared" si="75"/>
        <v>512</v>
      </c>
      <c r="E1687" s="4">
        <v>11</v>
      </c>
      <c r="H1687" s="29">
        <v>1001</v>
      </c>
      <c r="I1687" s="30">
        <v>0</v>
      </c>
      <c r="M1687" s="4">
        <f t="shared" ref="M1687:V1687" si="86">M71*$C$1623</f>
        <v>1008</v>
      </c>
      <c r="N1687" s="4">
        <f t="shared" si="86"/>
        <v>166.5</v>
      </c>
      <c r="O1687" s="4">
        <f t="shared" si="86"/>
        <v>9969</v>
      </c>
      <c r="P1687" s="4">
        <f t="shared" si="86"/>
        <v>0</v>
      </c>
      <c r="Q1687" s="4">
        <f t="shared" si="86"/>
        <v>3973.5</v>
      </c>
      <c r="R1687" s="4">
        <f t="shared" si="86"/>
        <v>3.75</v>
      </c>
      <c r="S1687" s="4">
        <f t="shared" si="86"/>
        <v>82.5</v>
      </c>
      <c r="T1687" s="4">
        <f t="shared" si="86"/>
        <v>0</v>
      </c>
      <c r="U1687" s="4">
        <f t="shared" si="86"/>
        <v>0</v>
      </c>
      <c r="V1687" s="4">
        <f t="shared" si="86"/>
        <v>0</v>
      </c>
    </row>
    <row r="1688" spans="4:22" x14ac:dyDescent="0.15">
      <c r="D1688" s="4">
        <f t="shared" si="75"/>
        <v>512</v>
      </c>
      <c r="E1688" s="4">
        <v>12</v>
      </c>
      <c r="H1688" s="29">
        <v>1001</v>
      </c>
      <c r="I1688" s="30">
        <v>0</v>
      </c>
      <c r="M1688" s="4">
        <f t="shared" ref="M1688:V1688" si="87">M72*$C$1623</f>
        <v>1044</v>
      </c>
      <c r="N1688" s="4">
        <f t="shared" si="87"/>
        <v>181.5</v>
      </c>
      <c r="O1688" s="4">
        <f t="shared" si="87"/>
        <v>10269</v>
      </c>
      <c r="P1688" s="4">
        <f t="shared" si="87"/>
        <v>0</v>
      </c>
      <c r="Q1688" s="4">
        <f t="shared" si="87"/>
        <v>3994.5</v>
      </c>
      <c r="R1688" s="4">
        <f t="shared" si="87"/>
        <v>3.75</v>
      </c>
      <c r="S1688" s="4">
        <f t="shared" si="87"/>
        <v>88.5</v>
      </c>
      <c r="T1688" s="4">
        <f t="shared" si="87"/>
        <v>0</v>
      </c>
      <c r="U1688" s="4">
        <f t="shared" si="87"/>
        <v>0</v>
      </c>
      <c r="V1688" s="4">
        <f t="shared" si="87"/>
        <v>0</v>
      </c>
    </row>
    <row r="1689" spans="4:22" x14ac:dyDescent="0.15">
      <c r="D1689" s="4">
        <f t="shared" si="75"/>
        <v>512</v>
      </c>
      <c r="E1689" s="4">
        <v>13</v>
      </c>
      <c r="H1689" s="29">
        <v>1001</v>
      </c>
      <c r="I1689" s="30">
        <v>0</v>
      </c>
      <c r="M1689" s="4">
        <f t="shared" ref="M1689:V1689" si="88">M73*$C$1623</f>
        <v>1080</v>
      </c>
      <c r="N1689" s="4">
        <f t="shared" si="88"/>
        <v>196.5</v>
      </c>
      <c r="O1689" s="4">
        <f t="shared" si="88"/>
        <v>10569</v>
      </c>
      <c r="P1689" s="4">
        <f t="shared" si="88"/>
        <v>0</v>
      </c>
      <c r="Q1689" s="4">
        <f t="shared" si="88"/>
        <v>4015.5</v>
      </c>
      <c r="R1689" s="4">
        <f t="shared" si="88"/>
        <v>3.75</v>
      </c>
      <c r="S1689" s="4">
        <f t="shared" si="88"/>
        <v>94.5</v>
      </c>
      <c r="T1689" s="4">
        <f t="shared" si="88"/>
        <v>0</v>
      </c>
      <c r="U1689" s="4">
        <f t="shared" si="88"/>
        <v>0</v>
      </c>
      <c r="V1689" s="4">
        <f t="shared" si="88"/>
        <v>0</v>
      </c>
    </row>
    <row r="1690" spans="4:22" x14ac:dyDescent="0.15">
      <c r="D1690" s="4">
        <f t="shared" si="75"/>
        <v>512</v>
      </c>
      <c r="E1690" s="4">
        <v>14</v>
      </c>
      <c r="H1690" s="29">
        <v>1001</v>
      </c>
      <c r="I1690" s="30">
        <v>0</v>
      </c>
      <c r="M1690" s="4">
        <f t="shared" ref="M1690:V1690" si="89">M74*$C$1623</f>
        <v>1116</v>
      </c>
      <c r="N1690" s="4">
        <f t="shared" si="89"/>
        <v>211.5</v>
      </c>
      <c r="O1690" s="4">
        <f t="shared" si="89"/>
        <v>10869</v>
      </c>
      <c r="P1690" s="4">
        <f t="shared" si="89"/>
        <v>0</v>
      </c>
      <c r="Q1690" s="4">
        <f t="shared" si="89"/>
        <v>4036.5</v>
      </c>
      <c r="R1690" s="4">
        <f t="shared" si="89"/>
        <v>3.75</v>
      </c>
      <c r="S1690" s="4">
        <f t="shared" si="89"/>
        <v>100.5</v>
      </c>
      <c r="T1690" s="4">
        <f t="shared" si="89"/>
        <v>0</v>
      </c>
      <c r="U1690" s="4">
        <f t="shared" si="89"/>
        <v>0</v>
      </c>
      <c r="V1690" s="4">
        <f t="shared" si="89"/>
        <v>0</v>
      </c>
    </row>
    <row r="1691" spans="4:22" x14ac:dyDescent="0.15">
      <c r="D1691" s="4">
        <f t="shared" si="75"/>
        <v>512</v>
      </c>
      <c r="E1691" s="4">
        <v>15</v>
      </c>
      <c r="H1691" s="29">
        <v>1001</v>
      </c>
      <c r="I1691" s="30">
        <v>0</v>
      </c>
      <c r="M1691" s="4">
        <f t="shared" ref="M1691:V1691" si="90">M75*$C$1623</f>
        <v>1152</v>
      </c>
      <c r="N1691" s="4">
        <f t="shared" si="90"/>
        <v>226.5</v>
      </c>
      <c r="O1691" s="4">
        <f t="shared" si="90"/>
        <v>11169</v>
      </c>
      <c r="P1691" s="4">
        <f t="shared" si="90"/>
        <v>0</v>
      </c>
      <c r="Q1691" s="4">
        <f t="shared" si="90"/>
        <v>4057.5</v>
      </c>
      <c r="R1691" s="4">
        <f t="shared" si="90"/>
        <v>3.75</v>
      </c>
      <c r="S1691" s="4">
        <f t="shared" si="90"/>
        <v>106.5</v>
      </c>
      <c r="T1691" s="4">
        <f t="shared" si="90"/>
        <v>0</v>
      </c>
      <c r="U1691" s="4">
        <f t="shared" si="90"/>
        <v>0</v>
      </c>
      <c r="V1691" s="4">
        <f t="shared" si="90"/>
        <v>0</v>
      </c>
    </row>
    <row r="1692" spans="4:22" x14ac:dyDescent="0.15">
      <c r="D1692" s="4">
        <f t="shared" si="75"/>
        <v>512</v>
      </c>
      <c r="E1692" s="4">
        <v>16</v>
      </c>
      <c r="H1692" s="29">
        <v>1001</v>
      </c>
      <c r="I1692" s="30">
        <v>0</v>
      </c>
      <c r="M1692" s="4">
        <f t="shared" ref="M1692:V1692" si="91">M76*$C$1623</f>
        <v>1188</v>
      </c>
      <c r="N1692" s="4">
        <f t="shared" si="91"/>
        <v>241.5</v>
      </c>
      <c r="O1692" s="4">
        <f t="shared" si="91"/>
        <v>11469</v>
      </c>
      <c r="P1692" s="4">
        <f t="shared" si="91"/>
        <v>0</v>
      </c>
      <c r="Q1692" s="4">
        <f t="shared" si="91"/>
        <v>4078.5</v>
      </c>
      <c r="R1692" s="4">
        <f t="shared" si="91"/>
        <v>3.75</v>
      </c>
      <c r="S1692" s="4">
        <f t="shared" si="91"/>
        <v>112.5</v>
      </c>
      <c r="T1692" s="4">
        <f t="shared" si="91"/>
        <v>0</v>
      </c>
      <c r="U1692" s="4">
        <f t="shared" si="91"/>
        <v>0</v>
      </c>
      <c r="V1692" s="4">
        <f t="shared" si="91"/>
        <v>0</v>
      </c>
    </row>
    <row r="1693" spans="4:22" x14ac:dyDescent="0.15">
      <c r="D1693" s="4">
        <f t="shared" si="75"/>
        <v>512</v>
      </c>
      <c r="E1693" s="4">
        <v>17</v>
      </c>
      <c r="H1693" s="29">
        <v>1001</v>
      </c>
      <c r="I1693" s="30">
        <v>0</v>
      </c>
      <c r="M1693" s="4">
        <f t="shared" ref="M1693:V1693" si="92">M77*$C$1623</f>
        <v>1224</v>
      </c>
      <c r="N1693" s="4">
        <f t="shared" si="92"/>
        <v>256.5</v>
      </c>
      <c r="O1693" s="4">
        <f t="shared" si="92"/>
        <v>11769</v>
      </c>
      <c r="P1693" s="4">
        <f t="shared" si="92"/>
        <v>0</v>
      </c>
      <c r="Q1693" s="4">
        <f t="shared" si="92"/>
        <v>4099.5</v>
      </c>
      <c r="R1693" s="4">
        <f t="shared" si="92"/>
        <v>3.75</v>
      </c>
      <c r="S1693" s="4">
        <f t="shared" si="92"/>
        <v>118.5</v>
      </c>
      <c r="T1693" s="4">
        <f t="shared" si="92"/>
        <v>0</v>
      </c>
      <c r="U1693" s="4">
        <f t="shared" si="92"/>
        <v>0</v>
      </c>
      <c r="V1693" s="4">
        <f t="shared" si="92"/>
        <v>0</v>
      </c>
    </row>
    <row r="1694" spans="4:22" x14ac:dyDescent="0.15">
      <c r="D1694" s="4">
        <f t="shared" si="75"/>
        <v>512</v>
      </c>
      <c r="E1694" s="4">
        <v>18</v>
      </c>
      <c r="H1694" s="29">
        <v>1001</v>
      </c>
      <c r="I1694" s="30">
        <v>0</v>
      </c>
      <c r="M1694" s="4">
        <f t="shared" ref="M1694:V1694" si="93">M78*$C$1623</f>
        <v>1260</v>
      </c>
      <c r="N1694" s="4">
        <f t="shared" si="93"/>
        <v>271.5</v>
      </c>
      <c r="O1694" s="4">
        <f t="shared" si="93"/>
        <v>12069</v>
      </c>
      <c r="P1694" s="4">
        <f t="shared" si="93"/>
        <v>0</v>
      </c>
      <c r="Q1694" s="4">
        <f t="shared" si="93"/>
        <v>4120.5</v>
      </c>
      <c r="R1694" s="4">
        <f t="shared" si="93"/>
        <v>3.75</v>
      </c>
      <c r="S1694" s="4">
        <f t="shared" si="93"/>
        <v>124.5</v>
      </c>
      <c r="T1694" s="4">
        <f t="shared" si="93"/>
        <v>0</v>
      </c>
      <c r="U1694" s="4">
        <f t="shared" si="93"/>
        <v>0</v>
      </c>
      <c r="V1694" s="4">
        <f t="shared" si="93"/>
        <v>0</v>
      </c>
    </row>
    <row r="1695" spans="4:22" x14ac:dyDescent="0.15">
      <c r="D1695" s="4">
        <f t="shared" si="75"/>
        <v>512</v>
      </c>
      <c r="E1695" s="4">
        <v>19</v>
      </c>
      <c r="H1695" s="29">
        <v>1001</v>
      </c>
      <c r="I1695" s="30">
        <v>0</v>
      </c>
      <c r="M1695" s="4">
        <f t="shared" ref="M1695:V1695" si="94">M79*$C$1623</f>
        <v>1296</v>
      </c>
      <c r="N1695" s="4">
        <f t="shared" si="94"/>
        <v>286.5</v>
      </c>
      <c r="O1695" s="4">
        <f t="shared" si="94"/>
        <v>12369</v>
      </c>
      <c r="P1695" s="4">
        <f t="shared" si="94"/>
        <v>0</v>
      </c>
      <c r="Q1695" s="4">
        <f t="shared" si="94"/>
        <v>4141.5</v>
      </c>
      <c r="R1695" s="4">
        <f t="shared" si="94"/>
        <v>3.75</v>
      </c>
      <c r="S1695" s="4">
        <f t="shared" si="94"/>
        <v>130.5</v>
      </c>
      <c r="T1695" s="4">
        <f t="shared" si="94"/>
        <v>0</v>
      </c>
      <c r="U1695" s="4">
        <f t="shared" si="94"/>
        <v>0</v>
      </c>
      <c r="V1695" s="4">
        <f t="shared" si="94"/>
        <v>0</v>
      </c>
    </row>
    <row r="1696" spans="4:22" x14ac:dyDescent="0.15">
      <c r="D1696" s="4">
        <f t="shared" si="75"/>
        <v>512</v>
      </c>
      <c r="E1696" s="4">
        <v>20</v>
      </c>
      <c r="H1696" s="29">
        <v>1001</v>
      </c>
      <c r="I1696" s="30">
        <v>0</v>
      </c>
      <c r="M1696" s="4">
        <f t="shared" ref="M1696:V1696" si="95">M80*$C$1623</f>
        <v>1332</v>
      </c>
      <c r="N1696" s="4">
        <f t="shared" si="95"/>
        <v>301.5</v>
      </c>
      <c r="O1696" s="4">
        <f t="shared" si="95"/>
        <v>12669</v>
      </c>
      <c r="P1696" s="4">
        <f t="shared" si="95"/>
        <v>0</v>
      </c>
      <c r="Q1696" s="4">
        <f t="shared" si="95"/>
        <v>4162.5</v>
      </c>
      <c r="R1696" s="4">
        <f t="shared" si="95"/>
        <v>3.75</v>
      </c>
      <c r="S1696" s="4">
        <f t="shared" si="95"/>
        <v>136.5</v>
      </c>
      <c r="T1696" s="4">
        <f t="shared" si="95"/>
        <v>0</v>
      </c>
      <c r="U1696" s="4">
        <f t="shared" si="95"/>
        <v>0</v>
      </c>
      <c r="V1696" s="4">
        <f t="shared" si="95"/>
        <v>0</v>
      </c>
    </row>
    <row r="1697" spans="4:22" x14ac:dyDescent="0.15">
      <c r="D1697" s="4">
        <f t="shared" si="75"/>
        <v>512</v>
      </c>
      <c r="E1697" s="4">
        <v>21</v>
      </c>
      <c r="H1697" s="29">
        <v>1001</v>
      </c>
      <c r="I1697" s="30">
        <v>0</v>
      </c>
      <c r="M1697" s="4">
        <f t="shared" ref="M1697:V1697" si="96">M81*$C$1623</f>
        <v>1368</v>
      </c>
      <c r="N1697" s="4">
        <f t="shared" si="96"/>
        <v>316.5</v>
      </c>
      <c r="O1697" s="4">
        <f t="shared" si="96"/>
        <v>12969</v>
      </c>
      <c r="P1697" s="4">
        <f t="shared" si="96"/>
        <v>0</v>
      </c>
      <c r="Q1697" s="4">
        <f t="shared" si="96"/>
        <v>4183.5</v>
      </c>
      <c r="R1697" s="4">
        <f t="shared" si="96"/>
        <v>3.75</v>
      </c>
      <c r="S1697" s="4">
        <f t="shared" si="96"/>
        <v>142.5</v>
      </c>
      <c r="T1697" s="4">
        <f t="shared" si="96"/>
        <v>0</v>
      </c>
      <c r="U1697" s="4">
        <f t="shared" si="96"/>
        <v>0</v>
      </c>
      <c r="V1697" s="4">
        <f t="shared" si="96"/>
        <v>0</v>
      </c>
    </row>
    <row r="1698" spans="4:22" x14ac:dyDescent="0.15">
      <c r="D1698" s="4">
        <f t="shared" si="75"/>
        <v>512</v>
      </c>
      <c r="E1698" s="4">
        <v>22</v>
      </c>
      <c r="H1698" s="29">
        <v>1001</v>
      </c>
      <c r="I1698" s="30">
        <v>0</v>
      </c>
      <c r="M1698" s="4">
        <f t="shared" ref="M1698:V1698" si="97">M82*$C$1623</f>
        <v>1404</v>
      </c>
      <c r="N1698" s="4">
        <f t="shared" si="97"/>
        <v>331.5</v>
      </c>
      <c r="O1698" s="4">
        <f t="shared" si="97"/>
        <v>13269</v>
      </c>
      <c r="P1698" s="4">
        <f t="shared" si="97"/>
        <v>0</v>
      </c>
      <c r="Q1698" s="4">
        <f t="shared" si="97"/>
        <v>4204.5</v>
      </c>
      <c r="R1698" s="4">
        <f t="shared" si="97"/>
        <v>3.75</v>
      </c>
      <c r="S1698" s="4">
        <f t="shared" si="97"/>
        <v>148.5</v>
      </c>
      <c r="T1698" s="4">
        <f t="shared" si="97"/>
        <v>0</v>
      </c>
      <c r="U1698" s="4">
        <f t="shared" si="97"/>
        <v>0</v>
      </c>
      <c r="V1698" s="4">
        <f t="shared" si="97"/>
        <v>0</v>
      </c>
    </row>
    <row r="1699" spans="4:22" x14ac:dyDescent="0.15">
      <c r="D1699" s="4">
        <f t="shared" si="75"/>
        <v>512</v>
      </c>
      <c r="E1699" s="4">
        <v>23</v>
      </c>
      <c r="H1699" s="29">
        <v>1001</v>
      </c>
      <c r="I1699" s="30">
        <v>0</v>
      </c>
      <c r="M1699" s="4">
        <f t="shared" ref="M1699:V1699" si="98">M83*$C$1623</f>
        <v>1440</v>
      </c>
      <c r="N1699" s="4">
        <f t="shared" si="98"/>
        <v>346.5</v>
      </c>
      <c r="O1699" s="4">
        <f t="shared" si="98"/>
        <v>13569</v>
      </c>
      <c r="P1699" s="4">
        <f t="shared" si="98"/>
        <v>0</v>
      </c>
      <c r="Q1699" s="4">
        <f t="shared" si="98"/>
        <v>4225.5</v>
      </c>
      <c r="R1699" s="4">
        <f t="shared" si="98"/>
        <v>3.75</v>
      </c>
      <c r="S1699" s="4">
        <f t="shared" si="98"/>
        <v>154.5</v>
      </c>
      <c r="T1699" s="4">
        <f t="shared" si="98"/>
        <v>0</v>
      </c>
      <c r="U1699" s="4">
        <f t="shared" si="98"/>
        <v>0</v>
      </c>
      <c r="V1699" s="4">
        <f t="shared" si="98"/>
        <v>0</v>
      </c>
    </row>
    <row r="1700" spans="4:22" x14ac:dyDescent="0.15">
      <c r="D1700" s="4">
        <f t="shared" si="75"/>
        <v>512</v>
      </c>
      <c r="E1700" s="4">
        <v>24</v>
      </c>
      <c r="H1700" s="29">
        <v>1001</v>
      </c>
      <c r="I1700" s="30">
        <v>0</v>
      </c>
      <c r="M1700" s="4">
        <f t="shared" ref="M1700:V1700" si="99">M84*$C$1623</f>
        <v>1476</v>
      </c>
      <c r="N1700" s="4">
        <f t="shared" si="99"/>
        <v>361.5</v>
      </c>
      <c r="O1700" s="4">
        <f t="shared" si="99"/>
        <v>13869</v>
      </c>
      <c r="P1700" s="4">
        <f t="shared" si="99"/>
        <v>0</v>
      </c>
      <c r="Q1700" s="4">
        <f t="shared" si="99"/>
        <v>4246.5</v>
      </c>
      <c r="R1700" s="4">
        <f t="shared" si="99"/>
        <v>3.75</v>
      </c>
      <c r="S1700" s="4">
        <f t="shared" si="99"/>
        <v>160.5</v>
      </c>
      <c r="T1700" s="4">
        <f t="shared" si="99"/>
        <v>0</v>
      </c>
      <c r="U1700" s="4">
        <f t="shared" si="99"/>
        <v>0</v>
      </c>
      <c r="V1700" s="4">
        <f t="shared" si="99"/>
        <v>0</v>
      </c>
    </row>
    <row r="1701" spans="4:22" x14ac:dyDescent="0.15">
      <c r="D1701" s="4">
        <f t="shared" si="75"/>
        <v>512</v>
      </c>
      <c r="E1701" s="4">
        <v>25</v>
      </c>
      <c r="H1701" s="29">
        <v>1001</v>
      </c>
      <c r="I1701" s="30">
        <v>0</v>
      </c>
      <c r="M1701" s="4">
        <f t="shared" ref="M1701:V1701" si="100">M85*$C$1623</f>
        <v>1512</v>
      </c>
      <c r="N1701" s="4">
        <f t="shared" si="100"/>
        <v>376.5</v>
      </c>
      <c r="O1701" s="4">
        <f t="shared" si="100"/>
        <v>14169</v>
      </c>
      <c r="P1701" s="4">
        <f t="shared" si="100"/>
        <v>0</v>
      </c>
      <c r="Q1701" s="4">
        <f t="shared" si="100"/>
        <v>4267.5</v>
      </c>
      <c r="R1701" s="4">
        <f t="shared" si="100"/>
        <v>3.75</v>
      </c>
      <c r="S1701" s="4">
        <f t="shared" si="100"/>
        <v>166.5</v>
      </c>
      <c r="T1701" s="4">
        <f t="shared" si="100"/>
        <v>0</v>
      </c>
      <c r="U1701" s="4">
        <f t="shared" si="100"/>
        <v>0</v>
      </c>
      <c r="V1701" s="4">
        <f t="shared" si="100"/>
        <v>0</v>
      </c>
    </row>
    <row r="1702" spans="4:22" x14ac:dyDescent="0.15">
      <c r="D1702" s="4">
        <f t="shared" si="75"/>
        <v>512</v>
      </c>
      <c r="E1702" s="4">
        <v>26</v>
      </c>
      <c r="H1702" s="29">
        <v>1001</v>
      </c>
      <c r="I1702" s="30">
        <v>0</v>
      </c>
      <c r="M1702" s="4">
        <f t="shared" ref="M1702:V1702" si="101">M86*$C$1623</f>
        <v>1548</v>
      </c>
      <c r="N1702" s="4">
        <f t="shared" si="101"/>
        <v>391.5</v>
      </c>
      <c r="O1702" s="4">
        <f t="shared" si="101"/>
        <v>14469</v>
      </c>
      <c r="P1702" s="4">
        <f t="shared" si="101"/>
        <v>0</v>
      </c>
      <c r="Q1702" s="4">
        <f t="shared" si="101"/>
        <v>4288.5</v>
      </c>
      <c r="R1702" s="4">
        <f t="shared" si="101"/>
        <v>3.75</v>
      </c>
      <c r="S1702" s="4">
        <f t="shared" si="101"/>
        <v>172.5</v>
      </c>
      <c r="T1702" s="4">
        <f t="shared" si="101"/>
        <v>0</v>
      </c>
      <c r="U1702" s="4">
        <f t="shared" si="101"/>
        <v>0</v>
      </c>
      <c r="V1702" s="4">
        <f t="shared" si="101"/>
        <v>0</v>
      </c>
    </row>
    <row r="1703" spans="4:22" x14ac:dyDescent="0.15">
      <c r="D1703" s="4">
        <f t="shared" si="75"/>
        <v>512</v>
      </c>
      <c r="E1703" s="4">
        <v>27</v>
      </c>
      <c r="H1703" s="29">
        <v>1001</v>
      </c>
      <c r="I1703" s="30">
        <v>0</v>
      </c>
      <c r="M1703" s="4">
        <f t="shared" ref="M1703:V1703" si="102">M87*$C$1623</f>
        <v>1584</v>
      </c>
      <c r="N1703" s="4">
        <f t="shared" si="102"/>
        <v>406.5</v>
      </c>
      <c r="O1703" s="4">
        <f t="shared" si="102"/>
        <v>14769</v>
      </c>
      <c r="P1703" s="4">
        <f t="shared" si="102"/>
        <v>0</v>
      </c>
      <c r="Q1703" s="4">
        <f t="shared" si="102"/>
        <v>4309.5</v>
      </c>
      <c r="R1703" s="4">
        <f t="shared" si="102"/>
        <v>3.75</v>
      </c>
      <c r="S1703" s="4">
        <f t="shared" si="102"/>
        <v>178.5</v>
      </c>
      <c r="T1703" s="4">
        <f t="shared" si="102"/>
        <v>0</v>
      </c>
      <c r="U1703" s="4">
        <f t="shared" si="102"/>
        <v>0</v>
      </c>
      <c r="V1703" s="4">
        <f t="shared" si="102"/>
        <v>0</v>
      </c>
    </row>
    <row r="1704" spans="4:22" x14ac:dyDescent="0.15">
      <c r="D1704" s="4">
        <f t="shared" si="75"/>
        <v>512</v>
      </c>
      <c r="E1704" s="4">
        <v>28</v>
      </c>
      <c r="H1704" s="29">
        <v>1001</v>
      </c>
      <c r="I1704" s="30">
        <v>0</v>
      </c>
      <c r="M1704" s="4">
        <f t="shared" ref="M1704:V1704" si="103">M88*$C$1623</f>
        <v>1620</v>
      </c>
      <c r="N1704" s="4">
        <f t="shared" si="103"/>
        <v>421.5</v>
      </c>
      <c r="O1704" s="4">
        <f t="shared" si="103"/>
        <v>15069</v>
      </c>
      <c r="P1704" s="4">
        <f t="shared" si="103"/>
        <v>0</v>
      </c>
      <c r="Q1704" s="4">
        <f t="shared" si="103"/>
        <v>4330.5</v>
      </c>
      <c r="R1704" s="4">
        <f t="shared" si="103"/>
        <v>3.75</v>
      </c>
      <c r="S1704" s="4">
        <f t="shared" si="103"/>
        <v>184.5</v>
      </c>
      <c r="T1704" s="4">
        <f t="shared" si="103"/>
        <v>0</v>
      </c>
      <c r="U1704" s="4">
        <f t="shared" si="103"/>
        <v>0</v>
      </c>
      <c r="V1704" s="4">
        <f t="shared" si="103"/>
        <v>0</v>
      </c>
    </row>
    <row r="1705" spans="4:22" x14ac:dyDescent="0.15">
      <c r="D1705" s="4">
        <f t="shared" si="75"/>
        <v>512</v>
      </c>
      <c r="E1705" s="4">
        <v>29</v>
      </c>
      <c r="H1705" s="29">
        <v>1001</v>
      </c>
      <c r="I1705" s="30">
        <v>0</v>
      </c>
      <c r="M1705" s="4">
        <f t="shared" ref="M1705:V1705" si="104">M89*$C$1623</f>
        <v>1656</v>
      </c>
      <c r="N1705" s="4">
        <f t="shared" si="104"/>
        <v>436.5</v>
      </c>
      <c r="O1705" s="4">
        <f t="shared" si="104"/>
        <v>15369</v>
      </c>
      <c r="P1705" s="4">
        <f t="shared" si="104"/>
        <v>0</v>
      </c>
      <c r="Q1705" s="4">
        <f t="shared" si="104"/>
        <v>4351.5</v>
      </c>
      <c r="R1705" s="4">
        <f t="shared" si="104"/>
        <v>3.75</v>
      </c>
      <c r="S1705" s="4">
        <f t="shared" si="104"/>
        <v>190.5</v>
      </c>
      <c r="T1705" s="4">
        <f t="shared" si="104"/>
        <v>0</v>
      </c>
      <c r="U1705" s="4">
        <f t="shared" si="104"/>
        <v>0</v>
      </c>
      <c r="V1705" s="4">
        <f t="shared" si="104"/>
        <v>0</v>
      </c>
    </row>
    <row r="1706" spans="4:22" x14ac:dyDescent="0.15">
      <c r="D1706" s="4">
        <f t="shared" si="75"/>
        <v>512</v>
      </c>
      <c r="E1706" s="4">
        <v>30</v>
      </c>
      <c r="H1706" s="29">
        <v>1001</v>
      </c>
      <c r="I1706" s="30">
        <v>0</v>
      </c>
      <c r="M1706" s="4">
        <f t="shared" ref="M1706:V1706" si="105">M90*$C$1623</f>
        <v>1692</v>
      </c>
      <c r="N1706" s="4">
        <f t="shared" si="105"/>
        <v>451.5</v>
      </c>
      <c r="O1706" s="4">
        <f t="shared" si="105"/>
        <v>15669</v>
      </c>
      <c r="P1706" s="4">
        <f t="shared" si="105"/>
        <v>0</v>
      </c>
      <c r="Q1706" s="4">
        <f t="shared" si="105"/>
        <v>4372.5</v>
      </c>
      <c r="R1706" s="4">
        <f t="shared" si="105"/>
        <v>3.75</v>
      </c>
      <c r="S1706" s="4">
        <f t="shared" si="105"/>
        <v>196.5</v>
      </c>
      <c r="T1706" s="4">
        <f t="shared" si="105"/>
        <v>0</v>
      </c>
      <c r="U1706" s="4">
        <f t="shared" si="105"/>
        <v>0</v>
      </c>
      <c r="V1706" s="4">
        <f t="shared" si="105"/>
        <v>0</v>
      </c>
    </row>
    <row r="1707" spans="4:22" x14ac:dyDescent="0.15">
      <c r="D1707" s="4">
        <f t="shared" si="75"/>
        <v>512</v>
      </c>
      <c r="E1707" s="4">
        <v>31</v>
      </c>
      <c r="H1707" s="29">
        <v>1001</v>
      </c>
      <c r="I1707" s="30">
        <v>0</v>
      </c>
      <c r="M1707" s="4">
        <f t="shared" ref="M1707:V1707" si="106">M91*$C$1623</f>
        <v>1728</v>
      </c>
      <c r="N1707" s="4">
        <f t="shared" si="106"/>
        <v>466.5</v>
      </c>
      <c r="O1707" s="4">
        <f t="shared" si="106"/>
        <v>15969</v>
      </c>
      <c r="P1707" s="4">
        <f t="shared" si="106"/>
        <v>0</v>
      </c>
      <c r="Q1707" s="4">
        <f t="shared" si="106"/>
        <v>4393.5</v>
      </c>
      <c r="R1707" s="4">
        <f t="shared" si="106"/>
        <v>3.75</v>
      </c>
      <c r="S1707" s="4">
        <f t="shared" si="106"/>
        <v>202.5</v>
      </c>
      <c r="T1707" s="4">
        <f t="shared" si="106"/>
        <v>0</v>
      </c>
      <c r="U1707" s="4">
        <f t="shared" si="106"/>
        <v>0</v>
      </c>
      <c r="V1707" s="4">
        <f t="shared" si="106"/>
        <v>0</v>
      </c>
    </row>
    <row r="1708" spans="4:22" x14ac:dyDescent="0.15">
      <c r="D1708" s="4">
        <f t="shared" si="75"/>
        <v>512</v>
      </c>
      <c r="E1708" s="4">
        <v>32</v>
      </c>
      <c r="H1708" s="29">
        <v>1001</v>
      </c>
      <c r="I1708" s="30">
        <v>0</v>
      </c>
      <c r="M1708" s="4">
        <f t="shared" ref="M1708:V1708" si="107">M92*$C$1623</f>
        <v>1764</v>
      </c>
      <c r="N1708" s="4">
        <f t="shared" si="107"/>
        <v>481.5</v>
      </c>
      <c r="O1708" s="4">
        <f t="shared" si="107"/>
        <v>16269</v>
      </c>
      <c r="P1708" s="4">
        <f t="shared" si="107"/>
        <v>0</v>
      </c>
      <c r="Q1708" s="4">
        <f t="shared" si="107"/>
        <v>4414.5</v>
      </c>
      <c r="R1708" s="4">
        <f t="shared" si="107"/>
        <v>3.75</v>
      </c>
      <c r="S1708" s="4">
        <f t="shared" si="107"/>
        <v>208.5</v>
      </c>
      <c r="T1708" s="4">
        <f t="shared" si="107"/>
        <v>0</v>
      </c>
      <c r="U1708" s="4">
        <f t="shared" si="107"/>
        <v>0</v>
      </c>
      <c r="V1708" s="4">
        <f t="shared" si="107"/>
        <v>0</v>
      </c>
    </row>
    <row r="1709" spans="4:22" x14ac:dyDescent="0.15">
      <c r="D1709" s="4">
        <f t="shared" si="75"/>
        <v>512</v>
      </c>
      <c r="E1709" s="4">
        <v>33</v>
      </c>
      <c r="H1709" s="29">
        <v>1001</v>
      </c>
      <c r="I1709" s="30">
        <v>0</v>
      </c>
      <c r="M1709" s="4">
        <f t="shared" ref="M1709:V1709" si="108">M93*$C$1623</f>
        <v>1800</v>
      </c>
      <c r="N1709" s="4">
        <f t="shared" si="108"/>
        <v>496.5</v>
      </c>
      <c r="O1709" s="4">
        <f t="shared" si="108"/>
        <v>16569</v>
      </c>
      <c r="P1709" s="4">
        <f t="shared" si="108"/>
        <v>0</v>
      </c>
      <c r="Q1709" s="4">
        <f t="shared" si="108"/>
        <v>4435.5</v>
      </c>
      <c r="R1709" s="4">
        <f t="shared" si="108"/>
        <v>3.75</v>
      </c>
      <c r="S1709" s="4">
        <f t="shared" si="108"/>
        <v>214.5</v>
      </c>
      <c r="T1709" s="4">
        <f t="shared" si="108"/>
        <v>0</v>
      </c>
      <c r="U1709" s="4">
        <f t="shared" si="108"/>
        <v>0</v>
      </c>
      <c r="V1709" s="4">
        <f t="shared" si="108"/>
        <v>0</v>
      </c>
    </row>
    <row r="1710" spans="4:22" x14ac:dyDescent="0.15">
      <c r="D1710" s="4">
        <f t="shared" si="75"/>
        <v>512</v>
      </c>
      <c r="E1710" s="4">
        <v>34</v>
      </c>
      <c r="H1710" s="29">
        <v>1001</v>
      </c>
      <c r="I1710" s="30">
        <v>0</v>
      </c>
      <c r="M1710" s="4">
        <f t="shared" ref="M1710:V1710" si="109">M94*$C$1623</f>
        <v>1836</v>
      </c>
      <c r="N1710" s="4">
        <f t="shared" si="109"/>
        <v>511.5</v>
      </c>
      <c r="O1710" s="4">
        <f t="shared" si="109"/>
        <v>16869</v>
      </c>
      <c r="P1710" s="4">
        <f t="shared" si="109"/>
        <v>0</v>
      </c>
      <c r="Q1710" s="4">
        <f t="shared" si="109"/>
        <v>4456.5</v>
      </c>
      <c r="R1710" s="4">
        <f t="shared" si="109"/>
        <v>3.75</v>
      </c>
      <c r="S1710" s="4">
        <f t="shared" si="109"/>
        <v>220.5</v>
      </c>
      <c r="T1710" s="4">
        <f t="shared" si="109"/>
        <v>0</v>
      </c>
      <c r="U1710" s="4">
        <f t="shared" si="109"/>
        <v>0</v>
      </c>
      <c r="V1710" s="4">
        <f t="shared" si="109"/>
        <v>0</v>
      </c>
    </row>
    <row r="1711" spans="4:22" x14ac:dyDescent="0.15">
      <c r="D1711" s="4">
        <f t="shared" si="75"/>
        <v>512</v>
      </c>
      <c r="E1711" s="4">
        <v>35</v>
      </c>
      <c r="H1711" s="29">
        <v>1001</v>
      </c>
      <c r="I1711" s="30">
        <v>0</v>
      </c>
      <c r="M1711" s="4">
        <f t="shared" ref="M1711:V1711" si="110">M95*$C$1623</f>
        <v>1872</v>
      </c>
      <c r="N1711" s="4">
        <f t="shared" si="110"/>
        <v>526.5</v>
      </c>
      <c r="O1711" s="4">
        <f t="shared" si="110"/>
        <v>17169</v>
      </c>
      <c r="P1711" s="4">
        <f t="shared" si="110"/>
        <v>0</v>
      </c>
      <c r="Q1711" s="4">
        <f t="shared" si="110"/>
        <v>4477.5</v>
      </c>
      <c r="R1711" s="4">
        <f t="shared" si="110"/>
        <v>3.75</v>
      </c>
      <c r="S1711" s="4">
        <f t="shared" si="110"/>
        <v>226.5</v>
      </c>
      <c r="T1711" s="4">
        <f t="shared" si="110"/>
        <v>0</v>
      </c>
      <c r="U1711" s="4">
        <f t="shared" si="110"/>
        <v>0</v>
      </c>
      <c r="V1711" s="4">
        <f t="shared" si="110"/>
        <v>0</v>
      </c>
    </row>
    <row r="1712" spans="4:22" x14ac:dyDescent="0.15">
      <c r="D1712" s="4">
        <f t="shared" si="75"/>
        <v>512</v>
      </c>
      <c r="E1712" s="4">
        <v>36</v>
      </c>
      <c r="H1712" s="29">
        <v>1001</v>
      </c>
      <c r="I1712" s="30">
        <v>0</v>
      </c>
      <c r="M1712" s="4">
        <f t="shared" ref="M1712:V1712" si="111">M96*$C$1623</f>
        <v>1908</v>
      </c>
      <c r="N1712" s="4">
        <f t="shared" si="111"/>
        <v>541.5</v>
      </c>
      <c r="O1712" s="4">
        <f t="shared" si="111"/>
        <v>17469</v>
      </c>
      <c r="P1712" s="4">
        <f t="shared" si="111"/>
        <v>0</v>
      </c>
      <c r="Q1712" s="4">
        <f t="shared" si="111"/>
        <v>4498.5</v>
      </c>
      <c r="R1712" s="4">
        <f t="shared" si="111"/>
        <v>3.75</v>
      </c>
      <c r="S1712" s="4">
        <f t="shared" si="111"/>
        <v>232.5</v>
      </c>
      <c r="T1712" s="4">
        <f t="shared" si="111"/>
        <v>0</v>
      </c>
      <c r="U1712" s="4">
        <f t="shared" si="111"/>
        <v>0</v>
      </c>
      <c r="V1712" s="4">
        <f t="shared" si="111"/>
        <v>0</v>
      </c>
    </row>
    <row r="1713" spans="3:22" x14ac:dyDescent="0.15">
      <c r="D1713" s="4">
        <f t="shared" si="75"/>
        <v>512</v>
      </c>
      <c r="E1713" s="4">
        <v>37</v>
      </c>
      <c r="H1713" s="29">
        <v>1001</v>
      </c>
      <c r="I1713" s="30">
        <v>0</v>
      </c>
      <c r="M1713" s="4">
        <f t="shared" ref="M1713:V1713" si="112">M97*$C$1623</f>
        <v>1944</v>
      </c>
      <c r="N1713" s="4">
        <f t="shared" si="112"/>
        <v>556.5</v>
      </c>
      <c r="O1713" s="4">
        <f t="shared" si="112"/>
        <v>17769</v>
      </c>
      <c r="P1713" s="4">
        <f t="shared" si="112"/>
        <v>0</v>
      </c>
      <c r="Q1713" s="4">
        <f t="shared" si="112"/>
        <v>4519.5</v>
      </c>
      <c r="R1713" s="4">
        <f t="shared" si="112"/>
        <v>3.75</v>
      </c>
      <c r="S1713" s="4">
        <f t="shared" si="112"/>
        <v>238.5</v>
      </c>
      <c r="T1713" s="4">
        <f t="shared" si="112"/>
        <v>0</v>
      </c>
      <c r="U1713" s="4">
        <f t="shared" si="112"/>
        <v>0</v>
      </c>
      <c r="V1713" s="4">
        <f t="shared" si="112"/>
        <v>0</v>
      </c>
    </row>
    <row r="1714" spans="3:22" x14ac:dyDescent="0.15">
      <c r="D1714" s="4">
        <f t="shared" si="75"/>
        <v>512</v>
      </c>
      <c r="E1714" s="4">
        <v>38</v>
      </c>
      <c r="H1714" s="29">
        <v>1001</v>
      </c>
      <c r="I1714" s="30">
        <v>0</v>
      </c>
      <c r="M1714" s="4">
        <f t="shared" ref="M1714:V1714" si="113">M98*$C$1623</f>
        <v>1980</v>
      </c>
      <c r="N1714" s="4">
        <f t="shared" si="113"/>
        <v>571.5</v>
      </c>
      <c r="O1714" s="4">
        <f t="shared" si="113"/>
        <v>18069</v>
      </c>
      <c r="P1714" s="4">
        <f t="shared" si="113"/>
        <v>0</v>
      </c>
      <c r="Q1714" s="4">
        <f t="shared" si="113"/>
        <v>4540.5</v>
      </c>
      <c r="R1714" s="4">
        <f t="shared" si="113"/>
        <v>3.75</v>
      </c>
      <c r="S1714" s="4">
        <f t="shared" si="113"/>
        <v>244.5</v>
      </c>
      <c r="T1714" s="4">
        <f t="shared" si="113"/>
        <v>0</v>
      </c>
      <c r="U1714" s="4">
        <f t="shared" si="113"/>
        <v>0</v>
      </c>
      <c r="V1714" s="4">
        <f t="shared" si="113"/>
        <v>0</v>
      </c>
    </row>
    <row r="1715" spans="3:22" x14ac:dyDescent="0.15">
      <c r="D1715" s="4">
        <f t="shared" si="75"/>
        <v>512</v>
      </c>
      <c r="E1715" s="4">
        <v>39</v>
      </c>
      <c r="H1715" s="29">
        <v>1001</v>
      </c>
      <c r="I1715" s="30">
        <v>0</v>
      </c>
      <c r="M1715" s="4">
        <f t="shared" ref="M1715:V1715" si="114">M99*$C$1623</f>
        <v>2016</v>
      </c>
      <c r="N1715" s="4">
        <f t="shared" si="114"/>
        <v>586.5</v>
      </c>
      <c r="O1715" s="4">
        <f t="shared" si="114"/>
        <v>18369</v>
      </c>
      <c r="P1715" s="4">
        <f t="shared" si="114"/>
        <v>0</v>
      </c>
      <c r="Q1715" s="4">
        <f t="shared" si="114"/>
        <v>4561.5</v>
      </c>
      <c r="R1715" s="4">
        <f t="shared" si="114"/>
        <v>3.75</v>
      </c>
      <c r="S1715" s="4">
        <f t="shared" si="114"/>
        <v>250.5</v>
      </c>
      <c r="T1715" s="4">
        <f t="shared" si="114"/>
        <v>0</v>
      </c>
      <c r="U1715" s="4">
        <f t="shared" si="114"/>
        <v>0</v>
      </c>
      <c r="V1715" s="4">
        <f t="shared" si="114"/>
        <v>0</v>
      </c>
    </row>
    <row r="1716" spans="3:22" x14ac:dyDescent="0.15">
      <c r="D1716" s="4">
        <f t="shared" si="75"/>
        <v>512</v>
      </c>
      <c r="E1716" s="4">
        <v>40</v>
      </c>
      <c r="H1716" s="29">
        <v>1001</v>
      </c>
      <c r="I1716" s="30">
        <v>0</v>
      </c>
      <c r="M1716" s="4">
        <f t="shared" ref="M1716:V1716" si="115">M100*$C$1623</f>
        <v>2052</v>
      </c>
      <c r="N1716" s="4">
        <f t="shared" si="115"/>
        <v>601.5</v>
      </c>
      <c r="O1716" s="4">
        <f t="shared" si="115"/>
        <v>18669</v>
      </c>
      <c r="P1716" s="4">
        <f t="shared" si="115"/>
        <v>0</v>
      </c>
      <c r="Q1716" s="4">
        <f t="shared" si="115"/>
        <v>4582.5</v>
      </c>
      <c r="R1716" s="4">
        <f t="shared" si="115"/>
        <v>3.75</v>
      </c>
      <c r="S1716" s="4">
        <f t="shared" si="115"/>
        <v>256.5</v>
      </c>
      <c r="T1716" s="4">
        <f t="shared" si="115"/>
        <v>0</v>
      </c>
      <c r="U1716" s="4">
        <f t="shared" si="115"/>
        <v>0</v>
      </c>
      <c r="V1716" s="4">
        <f t="shared" si="115"/>
        <v>0</v>
      </c>
    </row>
    <row r="1717" spans="3:22" x14ac:dyDescent="0.15">
      <c r="D1717" s="4">
        <f t="shared" si="75"/>
        <v>512</v>
      </c>
      <c r="E1717" s="4">
        <v>41</v>
      </c>
      <c r="H1717" s="29">
        <v>1001</v>
      </c>
      <c r="I1717" s="30">
        <v>0</v>
      </c>
      <c r="M1717" s="4">
        <f t="shared" ref="M1717:V1717" si="116">M101*$C$1623</f>
        <v>2088</v>
      </c>
      <c r="N1717" s="4">
        <f t="shared" si="116"/>
        <v>616.5</v>
      </c>
      <c r="O1717" s="4">
        <f t="shared" si="116"/>
        <v>18969</v>
      </c>
      <c r="P1717" s="4">
        <f t="shared" si="116"/>
        <v>0</v>
      </c>
      <c r="Q1717" s="4">
        <f t="shared" si="116"/>
        <v>4603.5</v>
      </c>
      <c r="R1717" s="4">
        <f t="shared" si="116"/>
        <v>3.75</v>
      </c>
      <c r="S1717" s="4">
        <f t="shared" si="116"/>
        <v>262.5</v>
      </c>
      <c r="T1717" s="4">
        <f t="shared" si="116"/>
        <v>0</v>
      </c>
      <c r="U1717" s="4">
        <f t="shared" si="116"/>
        <v>0</v>
      </c>
      <c r="V1717" s="4">
        <f t="shared" si="116"/>
        <v>0</v>
      </c>
    </row>
    <row r="1718" spans="3:22" x14ac:dyDescent="0.15">
      <c r="D1718" s="4">
        <f t="shared" si="75"/>
        <v>512</v>
      </c>
      <c r="E1718" s="4">
        <v>42</v>
      </c>
      <c r="H1718" s="29">
        <v>1001</v>
      </c>
      <c r="I1718" s="30">
        <v>0</v>
      </c>
      <c r="M1718" s="4">
        <f t="shared" ref="M1718:V1718" si="117">M102*$C$1623</f>
        <v>2124</v>
      </c>
      <c r="N1718" s="4">
        <f t="shared" si="117"/>
        <v>631.5</v>
      </c>
      <c r="O1718" s="4">
        <f t="shared" si="117"/>
        <v>19269</v>
      </c>
      <c r="P1718" s="4">
        <f t="shared" si="117"/>
        <v>0</v>
      </c>
      <c r="Q1718" s="4">
        <f t="shared" si="117"/>
        <v>4624.5</v>
      </c>
      <c r="R1718" s="4">
        <f t="shared" si="117"/>
        <v>3.75</v>
      </c>
      <c r="S1718" s="4">
        <f t="shared" si="117"/>
        <v>268.5</v>
      </c>
      <c r="T1718" s="4">
        <f t="shared" si="117"/>
        <v>0</v>
      </c>
      <c r="U1718" s="4">
        <f t="shared" si="117"/>
        <v>0</v>
      </c>
      <c r="V1718" s="4">
        <f t="shared" si="117"/>
        <v>0</v>
      </c>
    </row>
    <row r="1719" spans="3:22" x14ac:dyDescent="0.15">
      <c r="D1719" s="4">
        <f t="shared" si="75"/>
        <v>512</v>
      </c>
      <c r="E1719" s="4">
        <v>43</v>
      </c>
      <c r="H1719" s="29">
        <v>1001</v>
      </c>
      <c r="I1719" s="30">
        <v>0</v>
      </c>
      <c r="M1719" s="4">
        <f t="shared" ref="M1719:V1719" si="118">M103*$C$1623</f>
        <v>2160</v>
      </c>
      <c r="N1719" s="4">
        <f t="shared" si="118"/>
        <v>646.5</v>
      </c>
      <c r="O1719" s="4">
        <f t="shared" si="118"/>
        <v>19569</v>
      </c>
      <c r="P1719" s="4">
        <f t="shared" si="118"/>
        <v>0</v>
      </c>
      <c r="Q1719" s="4">
        <f t="shared" si="118"/>
        <v>4645.5</v>
      </c>
      <c r="R1719" s="4">
        <f t="shared" si="118"/>
        <v>3.75</v>
      </c>
      <c r="S1719" s="4">
        <f t="shared" si="118"/>
        <v>274.5</v>
      </c>
      <c r="T1719" s="4">
        <f t="shared" si="118"/>
        <v>0</v>
      </c>
      <c r="U1719" s="4">
        <f t="shared" si="118"/>
        <v>0</v>
      </c>
      <c r="V1719" s="4">
        <f t="shared" si="118"/>
        <v>0</v>
      </c>
    </row>
    <row r="1720" spans="3:22" x14ac:dyDescent="0.15">
      <c r="D1720" s="4">
        <f t="shared" si="75"/>
        <v>512</v>
      </c>
      <c r="E1720" s="4">
        <v>44</v>
      </c>
      <c r="H1720" s="29">
        <v>1001</v>
      </c>
      <c r="I1720" s="30">
        <v>0</v>
      </c>
      <c r="M1720" s="4">
        <f t="shared" ref="M1720:V1720" si="119">M104*$C$1623</f>
        <v>2196</v>
      </c>
      <c r="N1720" s="4">
        <f t="shared" si="119"/>
        <v>661.5</v>
      </c>
      <c r="O1720" s="4">
        <f t="shared" si="119"/>
        <v>19869</v>
      </c>
      <c r="P1720" s="4">
        <f t="shared" si="119"/>
        <v>0</v>
      </c>
      <c r="Q1720" s="4">
        <f t="shared" si="119"/>
        <v>4666.5</v>
      </c>
      <c r="R1720" s="4">
        <f t="shared" si="119"/>
        <v>3.75</v>
      </c>
      <c r="S1720" s="4">
        <f t="shared" si="119"/>
        <v>280.5</v>
      </c>
      <c r="T1720" s="4">
        <f t="shared" si="119"/>
        <v>0</v>
      </c>
      <c r="U1720" s="4">
        <f t="shared" si="119"/>
        <v>0</v>
      </c>
      <c r="V1720" s="4">
        <f t="shared" si="119"/>
        <v>0</v>
      </c>
    </row>
    <row r="1721" spans="3:22" x14ac:dyDescent="0.15">
      <c r="D1721" s="4">
        <f t="shared" si="75"/>
        <v>512</v>
      </c>
      <c r="E1721" s="4">
        <v>45</v>
      </c>
      <c r="H1721" s="29">
        <v>1001</v>
      </c>
      <c r="I1721" s="30">
        <v>0</v>
      </c>
      <c r="M1721" s="4">
        <f t="shared" ref="M1721:V1721" si="120">M105*$C$1623</f>
        <v>2232</v>
      </c>
      <c r="N1721" s="4">
        <f t="shared" si="120"/>
        <v>676.5</v>
      </c>
      <c r="O1721" s="4">
        <f t="shared" si="120"/>
        <v>20169</v>
      </c>
      <c r="P1721" s="4">
        <f t="shared" si="120"/>
        <v>0</v>
      </c>
      <c r="Q1721" s="4">
        <f t="shared" si="120"/>
        <v>4687.5</v>
      </c>
      <c r="R1721" s="4">
        <f t="shared" si="120"/>
        <v>3.75</v>
      </c>
      <c r="S1721" s="4">
        <f t="shared" si="120"/>
        <v>286.5</v>
      </c>
      <c r="T1721" s="4">
        <f t="shared" si="120"/>
        <v>0</v>
      </c>
      <c r="U1721" s="4">
        <f t="shared" si="120"/>
        <v>0</v>
      </c>
      <c r="V1721" s="4">
        <f t="shared" si="120"/>
        <v>0</v>
      </c>
    </row>
    <row r="1722" spans="3:22" x14ac:dyDescent="0.15">
      <c r="D1722" s="4">
        <f t="shared" si="75"/>
        <v>512</v>
      </c>
      <c r="E1722" s="4">
        <v>46</v>
      </c>
      <c r="H1722" s="29">
        <v>1001</v>
      </c>
      <c r="I1722" s="30">
        <v>0</v>
      </c>
      <c r="M1722" s="4">
        <f t="shared" ref="M1722:V1722" si="121">M106*$C$1623</f>
        <v>2268</v>
      </c>
      <c r="N1722" s="4">
        <f t="shared" si="121"/>
        <v>691.5</v>
      </c>
      <c r="O1722" s="4">
        <f t="shared" si="121"/>
        <v>20469</v>
      </c>
      <c r="P1722" s="4">
        <f t="shared" si="121"/>
        <v>0</v>
      </c>
      <c r="Q1722" s="4">
        <f t="shared" si="121"/>
        <v>4708.5</v>
      </c>
      <c r="R1722" s="4">
        <f t="shared" si="121"/>
        <v>3.75</v>
      </c>
      <c r="S1722" s="4">
        <f t="shared" si="121"/>
        <v>292.5</v>
      </c>
      <c r="T1722" s="4">
        <f t="shared" si="121"/>
        <v>0</v>
      </c>
      <c r="U1722" s="4">
        <f t="shared" si="121"/>
        <v>0</v>
      </c>
      <c r="V1722" s="4">
        <f t="shared" si="121"/>
        <v>0</v>
      </c>
    </row>
    <row r="1723" spans="3:22" x14ac:dyDescent="0.15">
      <c r="D1723" s="4">
        <f t="shared" si="75"/>
        <v>512</v>
      </c>
      <c r="E1723" s="4">
        <v>47</v>
      </c>
      <c r="H1723" s="29">
        <v>1001</v>
      </c>
      <c r="I1723" s="30">
        <v>0</v>
      </c>
      <c r="M1723" s="4">
        <f t="shared" ref="M1723:V1723" si="122">M107*$C$1623</f>
        <v>2304</v>
      </c>
      <c r="N1723" s="4">
        <f t="shared" si="122"/>
        <v>706.5</v>
      </c>
      <c r="O1723" s="4">
        <f t="shared" si="122"/>
        <v>20769</v>
      </c>
      <c r="P1723" s="4">
        <f t="shared" si="122"/>
        <v>0</v>
      </c>
      <c r="Q1723" s="4">
        <f t="shared" si="122"/>
        <v>4729.5</v>
      </c>
      <c r="R1723" s="4">
        <f t="shared" si="122"/>
        <v>3.75</v>
      </c>
      <c r="S1723" s="4">
        <f t="shared" si="122"/>
        <v>298.5</v>
      </c>
      <c r="T1723" s="4">
        <f t="shared" si="122"/>
        <v>0</v>
      </c>
      <c r="U1723" s="4">
        <f t="shared" si="122"/>
        <v>0</v>
      </c>
      <c r="V1723" s="4">
        <f t="shared" si="122"/>
        <v>0</v>
      </c>
    </row>
    <row r="1724" spans="3:22" x14ac:dyDescent="0.15">
      <c r="D1724" s="4">
        <f t="shared" si="75"/>
        <v>512</v>
      </c>
      <c r="E1724" s="4">
        <v>48</v>
      </c>
      <c r="H1724" s="29">
        <v>1001</v>
      </c>
      <c r="I1724" s="30">
        <v>0</v>
      </c>
      <c r="M1724" s="4">
        <f t="shared" ref="M1724:V1724" si="123">M108*$C$1623</f>
        <v>2340</v>
      </c>
      <c r="N1724" s="4">
        <f t="shared" si="123"/>
        <v>721.5</v>
      </c>
      <c r="O1724" s="4">
        <f t="shared" si="123"/>
        <v>21069</v>
      </c>
      <c r="P1724" s="4">
        <f t="shared" si="123"/>
        <v>0</v>
      </c>
      <c r="Q1724" s="4">
        <f t="shared" si="123"/>
        <v>4750.5</v>
      </c>
      <c r="R1724" s="4">
        <f t="shared" si="123"/>
        <v>3.75</v>
      </c>
      <c r="S1724" s="4">
        <f t="shared" si="123"/>
        <v>304.5</v>
      </c>
      <c r="T1724" s="4">
        <f t="shared" si="123"/>
        <v>0</v>
      </c>
      <c r="U1724" s="4">
        <f t="shared" si="123"/>
        <v>0</v>
      </c>
      <c r="V1724" s="4">
        <f t="shared" si="123"/>
        <v>0</v>
      </c>
    </row>
    <row r="1725" spans="3:22" x14ac:dyDescent="0.15">
      <c r="D1725" s="4">
        <f t="shared" si="75"/>
        <v>512</v>
      </c>
      <c r="E1725" s="4">
        <v>49</v>
      </c>
      <c r="H1725" s="29">
        <v>1001</v>
      </c>
      <c r="I1725" s="30">
        <v>0</v>
      </c>
      <c r="M1725" s="4">
        <f t="shared" ref="M1725:V1725" si="124">M109*$C$1623</f>
        <v>2376</v>
      </c>
      <c r="N1725" s="4">
        <f t="shared" si="124"/>
        <v>736.5</v>
      </c>
      <c r="O1725" s="4">
        <f t="shared" si="124"/>
        <v>21369</v>
      </c>
      <c r="P1725" s="4">
        <f t="shared" si="124"/>
        <v>0</v>
      </c>
      <c r="Q1725" s="4">
        <f t="shared" si="124"/>
        <v>4771.5</v>
      </c>
      <c r="R1725" s="4">
        <f t="shared" si="124"/>
        <v>3.75</v>
      </c>
      <c r="S1725" s="4">
        <f t="shared" si="124"/>
        <v>310.5</v>
      </c>
      <c r="T1725" s="4">
        <f t="shared" si="124"/>
        <v>0</v>
      </c>
      <c r="U1725" s="4">
        <f t="shared" si="124"/>
        <v>0</v>
      </c>
      <c r="V1725" s="4">
        <f t="shared" si="124"/>
        <v>0</v>
      </c>
    </row>
    <row r="1726" spans="3:22" x14ac:dyDescent="0.15">
      <c r="D1726" s="4">
        <f t="shared" si="75"/>
        <v>512</v>
      </c>
      <c r="E1726" s="4">
        <v>50</v>
      </c>
      <c r="H1726" s="29">
        <v>1001</v>
      </c>
      <c r="I1726" s="30">
        <v>0</v>
      </c>
      <c r="M1726" s="4">
        <f t="shared" ref="M1726:V1726" si="125">M110*$C$1623</f>
        <v>2412</v>
      </c>
      <c r="N1726" s="4">
        <f t="shared" si="125"/>
        <v>751.5</v>
      </c>
      <c r="O1726" s="4">
        <f t="shared" si="125"/>
        <v>21669</v>
      </c>
      <c r="P1726" s="4">
        <f t="shared" si="125"/>
        <v>0</v>
      </c>
      <c r="Q1726" s="4">
        <f t="shared" si="125"/>
        <v>4792.5</v>
      </c>
      <c r="R1726" s="4">
        <f t="shared" si="125"/>
        <v>3.75</v>
      </c>
      <c r="S1726" s="4">
        <f t="shared" si="125"/>
        <v>316.5</v>
      </c>
      <c r="T1726" s="4">
        <f t="shared" si="125"/>
        <v>0</v>
      </c>
      <c r="U1726" s="4">
        <f t="shared" si="125"/>
        <v>0</v>
      </c>
      <c r="V1726" s="4">
        <f t="shared" si="125"/>
        <v>0</v>
      </c>
    </row>
    <row r="1727" spans="3:22" x14ac:dyDescent="0.15">
      <c r="I1727" s="4"/>
      <c r="M1727" s="4">
        <f t="shared" ref="M1727:V1727" si="126">M111*$C$1623</f>
        <v>0</v>
      </c>
      <c r="N1727" s="4">
        <f t="shared" si="126"/>
        <v>0</v>
      </c>
      <c r="O1727" s="4">
        <f t="shared" si="126"/>
        <v>0</v>
      </c>
      <c r="P1727" s="4">
        <f t="shared" si="126"/>
        <v>0</v>
      </c>
      <c r="Q1727" s="4">
        <f t="shared" si="126"/>
        <v>0</v>
      </c>
      <c r="R1727" s="4">
        <f t="shared" si="126"/>
        <v>0</v>
      </c>
      <c r="S1727" s="4">
        <f t="shared" si="126"/>
        <v>0</v>
      </c>
      <c r="T1727" s="4">
        <f t="shared" si="126"/>
        <v>0</v>
      </c>
      <c r="U1727" s="4">
        <f t="shared" si="126"/>
        <v>0</v>
      </c>
      <c r="V1727" s="4">
        <f t="shared" si="126"/>
        <v>0</v>
      </c>
    </row>
    <row r="1728" spans="3:22" ht="16.5" x14ac:dyDescent="0.15">
      <c r="C1728" s="4" t="s">
        <v>3075</v>
      </c>
      <c r="D1728" s="4">
        <f t="shared" ref="D1728:D1778" si="127">D1676+1</f>
        <v>513</v>
      </c>
      <c r="E1728" s="4">
        <v>0</v>
      </c>
      <c r="H1728" s="38">
        <v>2503</v>
      </c>
      <c r="I1728" s="31">
        <v>1</v>
      </c>
      <c r="L1728" s="8">
        <v>211</v>
      </c>
      <c r="M1728" s="4">
        <f t="shared" ref="M1728:V1728" si="128">M112*$C$1623</f>
        <v>0</v>
      </c>
      <c r="N1728" s="4">
        <f t="shared" si="128"/>
        <v>0</v>
      </c>
      <c r="O1728" s="4">
        <f t="shared" si="128"/>
        <v>0</v>
      </c>
      <c r="P1728" s="4">
        <f t="shared" si="128"/>
        <v>0</v>
      </c>
      <c r="Q1728" s="4">
        <f t="shared" si="128"/>
        <v>0</v>
      </c>
      <c r="R1728" s="4">
        <f t="shared" si="128"/>
        <v>0</v>
      </c>
      <c r="S1728" s="4">
        <f t="shared" si="128"/>
        <v>0</v>
      </c>
      <c r="T1728" s="4">
        <f t="shared" si="128"/>
        <v>0</v>
      </c>
      <c r="U1728" s="4">
        <f t="shared" si="128"/>
        <v>0</v>
      </c>
      <c r="V1728" s="4">
        <f t="shared" si="128"/>
        <v>0</v>
      </c>
    </row>
    <row r="1729" spans="4:22" x14ac:dyDescent="0.15">
      <c r="D1729" s="4">
        <f t="shared" si="127"/>
        <v>513</v>
      </c>
      <c r="E1729" s="4">
        <v>1</v>
      </c>
      <c r="H1729" s="29">
        <v>1001</v>
      </c>
      <c r="I1729" s="30">
        <v>0</v>
      </c>
      <c r="M1729" s="4">
        <f t="shared" ref="M1729:V1729" si="129">M113*$C$1623</f>
        <v>864</v>
      </c>
      <c r="N1729" s="4">
        <f t="shared" si="129"/>
        <v>19.5</v>
      </c>
      <c r="O1729" s="4">
        <f t="shared" si="129"/>
        <v>11232</v>
      </c>
      <c r="P1729" s="4">
        <f t="shared" si="129"/>
        <v>0</v>
      </c>
      <c r="Q1729" s="4">
        <f t="shared" si="129"/>
        <v>4839</v>
      </c>
      <c r="R1729" s="4">
        <f t="shared" si="129"/>
        <v>3.75</v>
      </c>
      <c r="S1729" s="4">
        <f t="shared" si="129"/>
        <v>30</v>
      </c>
      <c r="T1729" s="4">
        <f t="shared" si="129"/>
        <v>0</v>
      </c>
      <c r="U1729" s="4">
        <f t="shared" si="129"/>
        <v>0</v>
      </c>
      <c r="V1729" s="4">
        <f t="shared" si="129"/>
        <v>0</v>
      </c>
    </row>
    <row r="1730" spans="4:22" x14ac:dyDescent="0.15">
      <c r="D1730" s="4">
        <f t="shared" si="127"/>
        <v>513</v>
      </c>
      <c r="E1730" s="4">
        <v>2</v>
      </c>
      <c r="H1730" s="29">
        <v>1001</v>
      </c>
      <c r="I1730" s="30">
        <v>0</v>
      </c>
      <c r="M1730" s="4">
        <f t="shared" ref="M1730:V1730" si="130">M114*$C$1623</f>
        <v>903</v>
      </c>
      <c r="N1730" s="4">
        <f t="shared" si="130"/>
        <v>34.5</v>
      </c>
      <c r="O1730" s="4">
        <f t="shared" si="130"/>
        <v>11562</v>
      </c>
      <c r="P1730" s="4">
        <f t="shared" si="130"/>
        <v>0</v>
      </c>
      <c r="Q1730" s="4">
        <f t="shared" si="130"/>
        <v>4860</v>
      </c>
      <c r="R1730" s="4">
        <f t="shared" si="130"/>
        <v>3.75</v>
      </c>
      <c r="S1730" s="4">
        <f t="shared" si="130"/>
        <v>36</v>
      </c>
      <c r="T1730" s="4">
        <f t="shared" si="130"/>
        <v>0</v>
      </c>
      <c r="U1730" s="4">
        <f t="shared" si="130"/>
        <v>0</v>
      </c>
      <c r="V1730" s="4">
        <f t="shared" si="130"/>
        <v>0</v>
      </c>
    </row>
    <row r="1731" spans="4:22" x14ac:dyDescent="0.15">
      <c r="D1731" s="4">
        <f t="shared" si="127"/>
        <v>513</v>
      </c>
      <c r="E1731" s="4">
        <v>3</v>
      </c>
      <c r="H1731" s="29">
        <v>1001</v>
      </c>
      <c r="I1731" s="30">
        <v>0</v>
      </c>
      <c r="M1731" s="4">
        <f t="shared" ref="M1731:V1731" si="131">M115*$C$1623</f>
        <v>942</v>
      </c>
      <c r="N1731" s="4">
        <f t="shared" si="131"/>
        <v>49.5</v>
      </c>
      <c r="O1731" s="4">
        <f t="shared" si="131"/>
        <v>11892</v>
      </c>
      <c r="P1731" s="4">
        <f t="shared" si="131"/>
        <v>0</v>
      </c>
      <c r="Q1731" s="4">
        <f t="shared" si="131"/>
        <v>4881</v>
      </c>
      <c r="R1731" s="4">
        <f t="shared" si="131"/>
        <v>3.75</v>
      </c>
      <c r="S1731" s="4">
        <f t="shared" si="131"/>
        <v>42</v>
      </c>
      <c r="T1731" s="4">
        <f t="shared" si="131"/>
        <v>0</v>
      </c>
      <c r="U1731" s="4">
        <f t="shared" si="131"/>
        <v>0</v>
      </c>
      <c r="V1731" s="4">
        <f t="shared" si="131"/>
        <v>0</v>
      </c>
    </row>
    <row r="1732" spans="4:22" x14ac:dyDescent="0.15">
      <c r="D1732" s="4">
        <f t="shared" si="127"/>
        <v>513</v>
      </c>
      <c r="E1732" s="4">
        <v>4</v>
      </c>
      <c r="H1732" s="29">
        <v>1001</v>
      </c>
      <c r="I1732" s="30">
        <v>0</v>
      </c>
      <c r="M1732" s="4">
        <f t="shared" ref="M1732:V1732" si="132">M116*$C$1623</f>
        <v>981</v>
      </c>
      <c r="N1732" s="4">
        <f t="shared" si="132"/>
        <v>64.5</v>
      </c>
      <c r="O1732" s="4">
        <f t="shared" si="132"/>
        <v>12222</v>
      </c>
      <c r="P1732" s="4">
        <f t="shared" si="132"/>
        <v>0</v>
      </c>
      <c r="Q1732" s="4">
        <f t="shared" si="132"/>
        <v>4902</v>
      </c>
      <c r="R1732" s="4">
        <f t="shared" si="132"/>
        <v>3.75</v>
      </c>
      <c r="S1732" s="4">
        <f t="shared" si="132"/>
        <v>48</v>
      </c>
      <c r="T1732" s="4">
        <f t="shared" si="132"/>
        <v>0</v>
      </c>
      <c r="U1732" s="4">
        <f t="shared" si="132"/>
        <v>0</v>
      </c>
      <c r="V1732" s="4">
        <f t="shared" si="132"/>
        <v>0</v>
      </c>
    </row>
    <row r="1733" spans="4:22" x14ac:dyDescent="0.15">
      <c r="D1733" s="4">
        <f t="shared" si="127"/>
        <v>513</v>
      </c>
      <c r="E1733" s="4">
        <v>5</v>
      </c>
      <c r="H1733" s="29">
        <v>1001</v>
      </c>
      <c r="I1733" s="30">
        <v>0</v>
      </c>
      <c r="M1733" s="4">
        <f t="shared" ref="M1733:V1733" si="133">M117*$C$1623</f>
        <v>1020</v>
      </c>
      <c r="N1733" s="4">
        <f t="shared" si="133"/>
        <v>79.5</v>
      </c>
      <c r="O1733" s="4">
        <f t="shared" si="133"/>
        <v>12552</v>
      </c>
      <c r="P1733" s="4">
        <f t="shared" si="133"/>
        <v>0</v>
      </c>
      <c r="Q1733" s="4">
        <f t="shared" si="133"/>
        <v>4923</v>
      </c>
      <c r="R1733" s="4">
        <f t="shared" si="133"/>
        <v>3.75</v>
      </c>
      <c r="S1733" s="4">
        <f t="shared" si="133"/>
        <v>54</v>
      </c>
      <c r="T1733" s="4">
        <f t="shared" si="133"/>
        <v>0</v>
      </c>
      <c r="U1733" s="4">
        <f t="shared" si="133"/>
        <v>0</v>
      </c>
      <c r="V1733" s="4">
        <f t="shared" si="133"/>
        <v>0</v>
      </c>
    </row>
    <row r="1734" spans="4:22" x14ac:dyDescent="0.15">
      <c r="D1734" s="4">
        <f t="shared" si="127"/>
        <v>513</v>
      </c>
      <c r="E1734" s="4">
        <v>6</v>
      </c>
      <c r="H1734" s="29">
        <v>1001</v>
      </c>
      <c r="I1734" s="30">
        <v>0</v>
      </c>
      <c r="M1734" s="4">
        <f t="shared" ref="M1734:V1734" si="134">M118*$C$1623</f>
        <v>1059</v>
      </c>
      <c r="N1734" s="4">
        <f t="shared" si="134"/>
        <v>94.5</v>
      </c>
      <c r="O1734" s="4">
        <f t="shared" si="134"/>
        <v>12882</v>
      </c>
      <c r="P1734" s="4">
        <f t="shared" si="134"/>
        <v>0</v>
      </c>
      <c r="Q1734" s="4">
        <f t="shared" si="134"/>
        <v>4944</v>
      </c>
      <c r="R1734" s="4">
        <f t="shared" si="134"/>
        <v>3.75</v>
      </c>
      <c r="S1734" s="4">
        <f t="shared" si="134"/>
        <v>60</v>
      </c>
      <c r="T1734" s="4">
        <f t="shared" si="134"/>
        <v>0</v>
      </c>
      <c r="U1734" s="4">
        <f t="shared" si="134"/>
        <v>0</v>
      </c>
      <c r="V1734" s="4">
        <f t="shared" si="134"/>
        <v>0</v>
      </c>
    </row>
    <row r="1735" spans="4:22" x14ac:dyDescent="0.15">
      <c r="D1735" s="4">
        <f t="shared" si="127"/>
        <v>513</v>
      </c>
      <c r="E1735" s="4">
        <v>7</v>
      </c>
      <c r="H1735" s="29">
        <v>1001</v>
      </c>
      <c r="I1735" s="30">
        <v>0</v>
      </c>
      <c r="M1735" s="4">
        <f t="shared" ref="M1735:V1735" si="135">M119*$C$1623</f>
        <v>1098</v>
      </c>
      <c r="N1735" s="4">
        <f t="shared" si="135"/>
        <v>109.5</v>
      </c>
      <c r="O1735" s="4">
        <f t="shared" si="135"/>
        <v>13212</v>
      </c>
      <c r="P1735" s="4">
        <f t="shared" si="135"/>
        <v>0</v>
      </c>
      <c r="Q1735" s="4">
        <f t="shared" si="135"/>
        <v>4965</v>
      </c>
      <c r="R1735" s="4">
        <f t="shared" si="135"/>
        <v>3.75</v>
      </c>
      <c r="S1735" s="4">
        <f t="shared" si="135"/>
        <v>66</v>
      </c>
      <c r="T1735" s="4">
        <f t="shared" si="135"/>
        <v>0</v>
      </c>
      <c r="U1735" s="4">
        <f t="shared" si="135"/>
        <v>0</v>
      </c>
      <c r="V1735" s="4">
        <f t="shared" si="135"/>
        <v>0</v>
      </c>
    </row>
    <row r="1736" spans="4:22" x14ac:dyDescent="0.15">
      <c r="D1736" s="4">
        <f t="shared" si="127"/>
        <v>513</v>
      </c>
      <c r="E1736" s="4">
        <v>8</v>
      </c>
      <c r="H1736" s="29">
        <v>1001</v>
      </c>
      <c r="I1736" s="30">
        <v>0</v>
      </c>
      <c r="M1736" s="4">
        <f t="shared" ref="M1736:V1736" si="136">M120*$C$1623</f>
        <v>1137</v>
      </c>
      <c r="N1736" s="4">
        <f t="shared" si="136"/>
        <v>124.5</v>
      </c>
      <c r="O1736" s="4">
        <f t="shared" si="136"/>
        <v>13542</v>
      </c>
      <c r="P1736" s="4">
        <f t="shared" si="136"/>
        <v>0</v>
      </c>
      <c r="Q1736" s="4">
        <f t="shared" si="136"/>
        <v>4986</v>
      </c>
      <c r="R1736" s="4">
        <f t="shared" si="136"/>
        <v>3.75</v>
      </c>
      <c r="S1736" s="4">
        <f t="shared" si="136"/>
        <v>72</v>
      </c>
      <c r="T1736" s="4">
        <f t="shared" si="136"/>
        <v>0</v>
      </c>
      <c r="U1736" s="4">
        <f t="shared" si="136"/>
        <v>0</v>
      </c>
      <c r="V1736" s="4">
        <f t="shared" si="136"/>
        <v>0</v>
      </c>
    </row>
    <row r="1737" spans="4:22" x14ac:dyDescent="0.15">
      <c r="D1737" s="4">
        <f t="shared" si="127"/>
        <v>513</v>
      </c>
      <c r="E1737" s="4">
        <v>9</v>
      </c>
      <c r="H1737" s="29">
        <v>1001</v>
      </c>
      <c r="I1737" s="30">
        <v>0</v>
      </c>
      <c r="M1737" s="4">
        <f t="shared" ref="M1737:V1737" si="137">M121*$C$1623</f>
        <v>1176</v>
      </c>
      <c r="N1737" s="4">
        <f t="shared" si="137"/>
        <v>139.5</v>
      </c>
      <c r="O1737" s="4">
        <f t="shared" si="137"/>
        <v>13872</v>
      </c>
      <c r="P1737" s="4">
        <f t="shared" si="137"/>
        <v>0</v>
      </c>
      <c r="Q1737" s="4">
        <f t="shared" si="137"/>
        <v>5007</v>
      </c>
      <c r="R1737" s="4">
        <f t="shared" si="137"/>
        <v>3.75</v>
      </c>
      <c r="S1737" s="4">
        <f t="shared" si="137"/>
        <v>78</v>
      </c>
      <c r="T1737" s="4">
        <f t="shared" si="137"/>
        <v>0</v>
      </c>
      <c r="U1737" s="4">
        <f t="shared" si="137"/>
        <v>0</v>
      </c>
      <c r="V1737" s="4">
        <f t="shared" si="137"/>
        <v>0</v>
      </c>
    </row>
    <row r="1738" spans="4:22" x14ac:dyDescent="0.15">
      <c r="D1738" s="4">
        <f t="shared" si="127"/>
        <v>513</v>
      </c>
      <c r="E1738" s="4">
        <v>10</v>
      </c>
      <c r="H1738" s="29">
        <v>1001</v>
      </c>
      <c r="I1738" s="30">
        <v>0</v>
      </c>
      <c r="M1738" s="4">
        <f t="shared" ref="M1738:V1738" si="138">M122*$C$1623</f>
        <v>1215</v>
      </c>
      <c r="N1738" s="4">
        <f t="shared" si="138"/>
        <v>154.5</v>
      </c>
      <c r="O1738" s="4">
        <f t="shared" si="138"/>
        <v>14202</v>
      </c>
      <c r="P1738" s="4">
        <f t="shared" si="138"/>
        <v>0</v>
      </c>
      <c r="Q1738" s="4">
        <f t="shared" si="138"/>
        <v>5028</v>
      </c>
      <c r="R1738" s="4">
        <f t="shared" si="138"/>
        <v>3.75</v>
      </c>
      <c r="S1738" s="4">
        <f t="shared" si="138"/>
        <v>84</v>
      </c>
      <c r="T1738" s="4">
        <f t="shared" si="138"/>
        <v>0</v>
      </c>
      <c r="U1738" s="4">
        <f t="shared" si="138"/>
        <v>0</v>
      </c>
      <c r="V1738" s="4">
        <f t="shared" si="138"/>
        <v>0</v>
      </c>
    </row>
    <row r="1739" spans="4:22" x14ac:dyDescent="0.15">
      <c r="D1739" s="4">
        <f t="shared" si="127"/>
        <v>513</v>
      </c>
      <c r="E1739" s="4">
        <v>11</v>
      </c>
      <c r="H1739" s="29">
        <v>1001</v>
      </c>
      <c r="I1739" s="30">
        <v>0</v>
      </c>
      <c r="M1739" s="4">
        <f t="shared" ref="M1739:V1739" si="139">M123*$C$1623</f>
        <v>1254</v>
      </c>
      <c r="N1739" s="4">
        <f t="shared" si="139"/>
        <v>169.5</v>
      </c>
      <c r="O1739" s="4">
        <f t="shared" si="139"/>
        <v>14532</v>
      </c>
      <c r="P1739" s="4">
        <f t="shared" si="139"/>
        <v>0</v>
      </c>
      <c r="Q1739" s="4">
        <f t="shared" si="139"/>
        <v>5049</v>
      </c>
      <c r="R1739" s="4">
        <f t="shared" si="139"/>
        <v>3.75</v>
      </c>
      <c r="S1739" s="4">
        <f t="shared" si="139"/>
        <v>90</v>
      </c>
      <c r="T1739" s="4">
        <f t="shared" si="139"/>
        <v>0</v>
      </c>
      <c r="U1739" s="4">
        <f t="shared" si="139"/>
        <v>0</v>
      </c>
      <c r="V1739" s="4">
        <f t="shared" si="139"/>
        <v>0</v>
      </c>
    </row>
    <row r="1740" spans="4:22" x14ac:dyDescent="0.15">
      <c r="D1740" s="4">
        <f t="shared" si="127"/>
        <v>513</v>
      </c>
      <c r="E1740" s="4">
        <v>12</v>
      </c>
      <c r="H1740" s="29">
        <v>1001</v>
      </c>
      <c r="I1740" s="30">
        <v>0</v>
      </c>
      <c r="M1740" s="4">
        <f t="shared" ref="M1740:V1740" si="140">M124*$C$1623</f>
        <v>1293</v>
      </c>
      <c r="N1740" s="4">
        <f t="shared" si="140"/>
        <v>184.5</v>
      </c>
      <c r="O1740" s="4">
        <f t="shared" si="140"/>
        <v>14862</v>
      </c>
      <c r="P1740" s="4">
        <f t="shared" si="140"/>
        <v>0</v>
      </c>
      <c r="Q1740" s="4">
        <f t="shared" si="140"/>
        <v>5070</v>
      </c>
      <c r="R1740" s="4">
        <f t="shared" si="140"/>
        <v>3.75</v>
      </c>
      <c r="S1740" s="4">
        <f t="shared" si="140"/>
        <v>96</v>
      </c>
      <c r="T1740" s="4">
        <f t="shared" si="140"/>
        <v>0</v>
      </c>
      <c r="U1740" s="4">
        <f t="shared" si="140"/>
        <v>0</v>
      </c>
      <c r="V1740" s="4">
        <f t="shared" si="140"/>
        <v>0</v>
      </c>
    </row>
    <row r="1741" spans="4:22" x14ac:dyDescent="0.15">
      <c r="D1741" s="4">
        <f t="shared" si="127"/>
        <v>513</v>
      </c>
      <c r="E1741" s="4">
        <v>13</v>
      </c>
      <c r="H1741" s="29">
        <v>1001</v>
      </c>
      <c r="I1741" s="30">
        <v>0</v>
      </c>
      <c r="M1741" s="4">
        <f t="shared" ref="M1741:V1741" si="141">M125*$C$1623</f>
        <v>1332</v>
      </c>
      <c r="N1741" s="4">
        <f t="shared" si="141"/>
        <v>199.5</v>
      </c>
      <c r="O1741" s="4">
        <f t="shared" si="141"/>
        <v>15192</v>
      </c>
      <c r="P1741" s="4">
        <f t="shared" si="141"/>
        <v>0</v>
      </c>
      <c r="Q1741" s="4">
        <f t="shared" si="141"/>
        <v>5091</v>
      </c>
      <c r="R1741" s="4">
        <f t="shared" si="141"/>
        <v>3.75</v>
      </c>
      <c r="S1741" s="4">
        <f t="shared" si="141"/>
        <v>102</v>
      </c>
      <c r="T1741" s="4">
        <f t="shared" si="141"/>
        <v>0</v>
      </c>
      <c r="U1741" s="4">
        <f t="shared" si="141"/>
        <v>0</v>
      </c>
      <c r="V1741" s="4">
        <f t="shared" si="141"/>
        <v>0</v>
      </c>
    </row>
    <row r="1742" spans="4:22" x14ac:dyDescent="0.15">
      <c r="D1742" s="4">
        <f t="shared" si="127"/>
        <v>513</v>
      </c>
      <c r="E1742" s="4">
        <v>14</v>
      </c>
      <c r="H1742" s="29">
        <v>1001</v>
      </c>
      <c r="I1742" s="30">
        <v>0</v>
      </c>
      <c r="M1742" s="4">
        <f t="shared" ref="M1742:V1742" si="142">M126*$C$1623</f>
        <v>1371</v>
      </c>
      <c r="N1742" s="4">
        <f t="shared" si="142"/>
        <v>214.5</v>
      </c>
      <c r="O1742" s="4">
        <f t="shared" si="142"/>
        <v>15522</v>
      </c>
      <c r="P1742" s="4">
        <f t="shared" si="142"/>
        <v>0</v>
      </c>
      <c r="Q1742" s="4">
        <f t="shared" si="142"/>
        <v>5112</v>
      </c>
      <c r="R1742" s="4">
        <f t="shared" si="142"/>
        <v>3.75</v>
      </c>
      <c r="S1742" s="4">
        <f t="shared" si="142"/>
        <v>108</v>
      </c>
      <c r="T1742" s="4">
        <f t="shared" si="142"/>
        <v>0</v>
      </c>
      <c r="U1742" s="4">
        <f t="shared" si="142"/>
        <v>0</v>
      </c>
      <c r="V1742" s="4">
        <f t="shared" si="142"/>
        <v>0</v>
      </c>
    </row>
    <row r="1743" spans="4:22" x14ac:dyDescent="0.15">
      <c r="D1743" s="4">
        <f t="shared" si="127"/>
        <v>513</v>
      </c>
      <c r="E1743" s="4">
        <v>15</v>
      </c>
      <c r="H1743" s="29">
        <v>1001</v>
      </c>
      <c r="I1743" s="30">
        <v>0</v>
      </c>
      <c r="M1743" s="4">
        <f t="shared" ref="M1743:V1743" si="143">M127*$C$1623</f>
        <v>1410</v>
      </c>
      <c r="N1743" s="4">
        <f t="shared" si="143"/>
        <v>229.5</v>
      </c>
      <c r="O1743" s="4">
        <f t="shared" si="143"/>
        <v>15852</v>
      </c>
      <c r="P1743" s="4">
        <f t="shared" si="143"/>
        <v>0</v>
      </c>
      <c r="Q1743" s="4">
        <f t="shared" si="143"/>
        <v>5133</v>
      </c>
      <c r="R1743" s="4">
        <f t="shared" si="143"/>
        <v>3.75</v>
      </c>
      <c r="S1743" s="4">
        <f t="shared" si="143"/>
        <v>114</v>
      </c>
      <c r="T1743" s="4">
        <f t="shared" si="143"/>
        <v>0</v>
      </c>
      <c r="U1743" s="4">
        <f t="shared" si="143"/>
        <v>0</v>
      </c>
      <c r="V1743" s="4">
        <f t="shared" si="143"/>
        <v>0</v>
      </c>
    </row>
    <row r="1744" spans="4:22" x14ac:dyDescent="0.15">
      <c r="D1744" s="4">
        <f t="shared" si="127"/>
        <v>513</v>
      </c>
      <c r="E1744" s="4">
        <v>16</v>
      </c>
      <c r="H1744" s="29">
        <v>1001</v>
      </c>
      <c r="I1744" s="30">
        <v>0</v>
      </c>
      <c r="M1744" s="4">
        <f t="shared" ref="M1744:V1744" si="144">M128*$C$1623</f>
        <v>1449</v>
      </c>
      <c r="N1744" s="4">
        <f t="shared" si="144"/>
        <v>244.5</v>
      </c>
      <c r="O1744" s="4">
        <f t="shared" si="144"/>
        <v>16182</v>
      </c>
      <c r="P1744" s="4">
        <f t="shared" si="144"/>
        <v>0</v>
      </c>
      <c r="Q1744" s="4">
        <f t="shared" si="144"/>
        <v>5154</v>
      </c>
      <c r="R1744" s="4">
        <f t="shared" si="144"/>
        <v>3.75</v>
      </c>
      <c r="S1744" s="4">
        <f t="shared" si="144"/>
        <v>120</v>
      </c>
      <c r="T1744" s="4">
        <f t="shared" si="144"/>
        <v>0</v>
      </c>
      <c r="U1744" s="4">
        <f t="shared" si="144"/>
        <v>0</v>
      </c>
      <c r="V1744" s="4">
        <f t="shared" si="144"/>
        <v>0</v>
      </c>
    </row>
    <row r="1745" spans="4:22" x14ac:dyDescent="0.15">
      <c r="D1745" s="4">
        <f t="shared" si="127"/>
        <v>513</v>
      </c>
      <c r="E1745" s="4">
        <v>17</v>
      </c>
      <c r="H1745" s="29">
        <v>1001</v>
      </c>
      <c r="I1745" s="30">
        <v>0</v>
      </c>
      <c r="M1745" s="4">
        <f t="shared" ref="M1745:V1745" si="145">M129*$C$1623</f>
        <v>1488</v>
      </c>
      <c r="N1745" s="4">
        <f t="shared" si="145"/>
        <v>259.5</v>
      </c>
      <c r="O1745" s="4">
        <f t="shared" si="145"/>
        <v>16512</v>
      </c>
      <c r="P1745" s="4">
        <f t="shared" si="145"/>
        <v>0</v>
      </c>
      <c r="Q1745" s="4">
        <f t="shared" si="145"/>
        <v>5175</v>
      </c>
      <c r="R1745" s="4">
        <f t="shared" si="145"/>
        <v>3.75</v>
      </c>
      <c r="S1745" s="4">
        <f t="shared" si="145"/>
        <v>126</v>
      </c>
      <c r="T1745" s="4">
        <f t="shared" si="145"/>
        <v>0</v>
      </c>
      <c r="U1745" s="4">
        <f t="shared" si="145"/>
        <v>0</v>
      </c>
      <c r="V1745" s="4">
        <f t="shared" si="145"/>
        <v>0</v>
      </c>
    </row>
    <row r="1746" spans="4:22" x14ac:dyDescent="0.15">
      <c r="D1746" s="4">
        <f t="shared" si="127"/>
        <v>513</v>
      </c>
      <c r="E1746" s="4">
        <v>18</v>
      </c>
      <c r="H1746" s="29">
        <v>1001</v>
      </c>
      <c r="I1746" s="30">
        <v>0</v>
      </c>
      <c r="M1746" s="4">
        <f t="shared" ref="M1746:V1746" si="146">M130*$C$1623</f>
        <v>1527</v>
      </c>
      <c r="N1746" s="4">
        <f t="shared" si="146"/>
        <v>274.5</v>
      </c>
      <c r="O1746" s="4">
        <f t="shared" si="146"/>
        <v>16842</v>
      </c>
      <c r="P1746" s="4">
        <f t="shared" si="146"/>
        <v>0</v>
      </c>
      <c r="Q1746" s="4">
        <f t="shared" si="146"/>
        <v>5196</v>
      </c>
      <c r="R1746" s="4">
        <f t="shared" si="146"/>
        <v>3.75</v>
      </c>
      <c r="S1746" s="4">
        <f t="shared" si="146"/>
        <v>132</v>
      </c>
      <c r="T1746" s="4">
        <f t="shared" si="146"/>
        <v>0</v>
      </c>
      <c r="U1746" s="4">
        <f t="shared" si="146"/>
        <v>0</v>
      </c>
      <c r="V1746" s="4">
        <f t="shared" si="146"/>
        <v>0</v>
      </c>
    </row>
    <row r="1747" spans="4:22" x14ac:dyDescent="0.15">
      <c r="D1747" s="4">
        <f t="shared" si="127"/>
        <v>513</v>
      </c>
      <c r="E1747" s="4">
        <v>19</v>
      </c>
      <c r="H1747" s="29">
        <v>1001</v>
      </c>
      <c r="I1747" s="30">
        <v>0</v>
      </c>
      <c r="M1747" s="4">
        <f t="shared" ref="M1747:V1747" si="147">M131*$C$1623</f>
        <v>1566</v>
      </c>
      <c r="N1747" s="4">
        <f t="shared" si="147"/>
        <v>289.5</v>
      </c>
      <c r="O1747" s="4">
        <f t="shared" si="147"/>
        <v>17172</v>
      </c>
      <c r="P1747" s="4">
        <f t="shared" si="147"/>
        <v>0</v>
      </c>
      <c r="Q1747" s="4">
        <f t="shared" si="147"/>
        <v>5217</v>
      </c>
      <c r="R1747" s="4">
        <f t="shared" si="147"/>
        <v>3.75</v>
      </c>
      <c r="S1747" s="4">
        <f t="shared" si="147"/>
        <v>138</v>
      </c>
      <c r="T1747" s="4">
        <f t="shared" si="147"/>
        <v>0</v>
      </c>
      <c r="U1747" s="4">
        <f t="shared" si="147"/>
        <v>0</v>
      </c>
      <c r="V1747" s="4">
        <f t="shared" si="147"/>
        <v>0</v>
      </c>
    </row>
    <row r="1748" spans="4:22" x14ac:dyDescent="0.15">
      <c r="D1748" s="4">
        <f t="shared" si="127"/>
        <v>513</v>
      </c>
      <c r="E1748" s="4">
        <v>20</v>
      </c>
      <c r="H1748" s="29">
        <v>1001</v>
      </c>
      <c r="I1748" s="30">
        <v>0</v>
      </c>
      <c r="M1748" s="4">
        <f t="shared" ref="M1748:V1748" si="148">M132*$C$1623</f>
        <v>1605</v>
      </c>
      <c r="N1748" s="4">
        <f t="shared" si="148"/>
        <v>304.5</v>
      </c>
      <c r="O1748" s="4">
        <f t="shared" si="148"/>
        <v>17502</v>
      </c>
      <c r="P1748" s="4">
        <f t="shared" si="148"/>
        <v>0</v>
      </c>
      <c r="Q1748" s="4">
        <f t="shared" si="148"/>
        <v>5238</v>
      </c>
      <c r="R1748" s="4">
        <f t="shared" si="148"/>
        <v>3.75</v>
      </c>
      <c r="S1748" s="4">
        <f t="shared" si="148"/>
        <v>144</v>
      </c>
      <c r="T1748" s="4">
        <f t="shared" si="148"/>
        <v>0</v>
      </c>
      <c r="U1748" s="4">
        <f t="shared" si="148"/>
        <v>0</v>
      </c>
      <c r="V1748" s="4">
        <f t="shared" si="148"/>
        <v>0</v>
      </c>
    </row>
    <row r="1749" spans="4:22" x14ac:dyDescent="0.15">
      <c r="D1749" s="4">
        <f t="shared" si="127"/>
        <v>513</v>
      </c>
      <c r="E1749" s="4">
        <v>21</v>
      </c>
      <c r="H1749" s="29">
        <v>1001</v>
      </c>
      <c r="I1749" s="30">
        <v>0</v>
      </c>
      <c r="M1749" s="4">
        <f t="shared" ref="M1749:V1749" si="149">M133*$C$1623</f>
        <v>1644</v>
      </c>
      <c r="N1749" s="4">
        <f t="shared" si="149"/>
        <v>319.5</v>
      </c>
      <c r="O1749" s="4">
        <f t="shared" si="149"/>
        <v>17832</v>
      </c>
      <c r="P1749" s="4">
        <f t="shared" si="149"/>
        <v>0</v>
      </c>
      <c r="Q1749" s="4">
        <f t="shared" si="149"/>
        <v>5259</v>
      </c>
      <c r="R1749" s="4">
        <f t="shared" si="149"/>
        <v>3.75</v>
      </c>
      <c r="S1749" s="4">
        <f t="shared" si="149"/>
        <v>150</v>
      </c>
      <c r="T1749" s="4">
        <f t="shared" si="149"/>
        <v>0</v>
      </c>
      <c r="U1749" s="4">
        <f t="shared" si="149"/>
        <v>0</v>
      </c>
      <c r="V1749" s="4">
        <f t="shared" si="149"/>
        <v>0</v>
      </c>
    </row>
    <row r="1750" spans="4:22" x14ac:dyDescent="0.15">
      <c r="D1750" s="4">
        <f t="shared" si="127"/>
        <v>513</v>
      </c>
      <c r="E1750" s="4">
        <v>22</v>
      </c>
      <c r="H1750" s="29">
        <v>1001</v>
      </c>
      <c r="I1750" s="30">
        <v>0</v>
      </c>
      <c r="M1750" s="4">
        <f t="shared" ref="M1750:V1750" si="150">M134*$C$1623</f>
        <v>1683</v>
      </c>
      <c r="N1750" s="4">
        <f t="shared" si="150"/>
        <v>334.5</v>
      </c>
      <c r="O1750" s="4">
        <f t="shared" si="150"/>
        <v>18162</v>
      </c>
      <c r="P1750" s="4">
        <f t="shared" si="150"/>
        <v>0</v>
      </c>
      <c r="Q1750" s="4">
        <f t="shared" si="150"/>
        <v>5280</v>
      </c>
      <c r="R1750" s="4">
        <f t="shared" si="150"/>
        <v>3.75</v>
      </c>
      <c r="S1750" s="4">
        <f t="shared" si="150"/>
        <v>156</v>
      </c>
      <c r="T1750" s="4">
        <f t="shared" si="150"/>
        <v>0</v>
      </c>
      <c r="U1750" s="4">
        <f t="shared" si="150"/>
        <v>0</v>
      </c>
      <c r="V1750" s="4">
        <f t="shared" si="150"/>
        <v>0</v>
      </c>
    </row>
    <row r="1751" spans="4:22" x14ac:dyDescent="0.15">
      <c r="D1751" s="4">
        <f t="shared" si="127"/>
        <v>513</v>
      </c>
      <c r="E1751" s="4">
        <v>23</v>
      </c>
      <c r="H1751" s="29">
        <v>1001</v>
      </c>
      <c r="I1751" s="30">
        <v>0</v>
      </c>
      <c r="M1751" s="4">
        <f t="shared" ref="M1751:V1751" si="151">M135*$C$1623</f>
        <v>1722</v>
      </c>
      <c r="N1751" s="4">
        <f t="shared" si="151"/>
        <v>349.5</v>
      </c>
      <c r="O1751" s="4">
        <f t="shared" si="151"/>
        <v>18492</v>
      </c>
      <c r="P1751" s="4">
        <f t="shared" si="151"/>
        <v>0</v>
      </c>
      <c r="Q1751" s="4">
        <f t="shared" si="151"/>
        <v>5301</v>
      </c>
      <c r="R1751" s="4">
        <f t="shared" si="151"/>
        <v>3.75</v>
      </c>
      <c r="S1751" s="4">
        <f t="shared" si="151"/>
        <v>162</v>
      </c>
      <c r="T1751" s="4">
        <f t="shared" si="151"/>
        <v>0</v>
      </c>
      <c r="U1751" s="4">
        <f t="shared" si="151"/>
        <v>0</v>
      </c>
      <c r="V1751" s="4">
        <f t="shared" si="151"/>
        <v>0</v>
      </c>
    </row>
    <row r="1752" spans="4:22" x14ac:dyDescent="0.15">
      <c r="D1752" s="4">
        <f t="shared" si="127"/>
        <v>513</v>
      </c>
      <c r="E1752" s="4">
        <v>24</v>
      </c>
      <c r="H1752" s="29">
        <v>1001</v>
      </c>
      <c r="I1752" s="30">
        <v>0</v>
      </c>
      <c r="M1752" s="4">
        <f t="shared" ref="M1752:V1752" si="152">M136*$C$1623</f>
        <v>1761</v>
      </c>
      <c r="N1752" s="4">
        <f t="shared" si="152"/>
        <v>364.5</v>
      </c>
      <c r="O1752" s="4">
        <f t="shared" si="152"/>
        <v>18822</v>
      </c>
      <c r="P1752" s="4">
        <f t="shared" si="152"/>
        <v>0</v>
      </c>
      <c r="Q1752" s="4">
        <f t="shared" si="152"/>
        <v>5322</v>
      </c>
      <c r="R1752" s="4">
        <f t="shared" si="152"/>
        <v>3.75</v>
      </c>
      <c r="S1752" s="4">
        <f t="shared" si="152"/>
        <v>168</v>
      </c>
      <c r="T1752" s="4">
        <f t="shared" si="152"/>
        <v>0</v>
      </c>
      <c r="U1752" s="4">
        <f t="shared" si="152"/>
        <v>0</v>
      </c>
      <c r="V1752" s="4">
        <f t="shared" si="152"/>
        <v>0</v>
      </c>
    </row>
    <row r="1753" spans="4:22" x14ac:dyDescent="0.15">
      <c r="D1753" s="4">
        <f t="shared" si="127"/>
        <v>513</v>
      </c>
      <c r="E1753" s="4">
        <v>25</v>
      </c>
      <c r="H1753" s="29">
        <v>1001</v>
      </c>
      <c r="I1753" s="30">
        <v>0</v>
      </c>
      <c r="M1753" s="4">
        <f t="shared" ref="M1753:V1753" si="153">M137*$C$1623</f>
        <v>1800</v>
      </c>
      <c r="N1753" s="4">
        <f t="shared" si="153"/>
        <v>379.5</v>
      </c>
      <c r="O1753" s="4">
        <f t="shared" si="153"/>
        <v>19152</v>
      </c>
      <c r="P1753" s="4">
        <f t="shared" si="153"/>
        <v>0</v>
      </c>
      <c r="Q1753" s="4">
        <f t="shared" si="153"/>
        <v>5343</v>
      </c>
      <c r="R1753" s="4">
        <f t="shared" si="153"/>
        <v>3.75</v>
      </c>
      <c r="S1753" s="4">
        <f t="shared" si="153"/>
        <v>174</v>
      </c>
      <c r="T1753" s="4">
        <f t="shared" si="153"/>
        <v>0</v>
      </c>
      <c r="U1753" s="4">
        <f t="shared" si="153"/>
        <v>0</v>
      </c>
      <c r="V1753" s="4">
        <f t="shared" si="153"/>
        <v>0</v>
      </c>
    </row>
    <row r="1754" spans="4:22" x14ac:dyDescent="0.15">
      <c r="D1754" s="4">
        <f t="shared" si="127"/>
        <v>513</v>
      </c>
      <c r="E1754" s="4">
        <v>26</v>
      </c>
      <c r="H1754" s="29">
        <v>1001</v>
      </c>
      <c r="I1754" s="30">
        <v>0</v>
      </c>
      <c r="M1754" s="4">
        <f t="shared" ref="M1754:V1754" si="154">M138*$C$1623</f>
        <v>1839</v>
      </c>
      <c r="N1754" s="4">
        <f t="shared" si="154"/>
        <v>394.5</v>
      </c>
      <c r="O1754" s="4">
        <f t="shared" si="154"/>
        <v>19482</v>
      </c>
      <c r="P1754" s="4">
        <f t="shared" si="154"/>
        <v>0</v>
      </c>
      <c r="Q1754" s="4">
        <f t="shared" si="154"/>
        <v>5364</v>
      </c>
      <c r="R1754" s="4">
        <f t="shared" si="154"/>
        <v>3.75</v>
      </c>
      <c r="S1754" s="4">
        <f t="shared" si="154"/>
        <v>180</v>
      </c>
      <c r="T1754" s="4">
        <f t="shared" si="154"/>
        <v>0</v>
      </c>
      <c r="U1754" s="4">
        <f t="shared" si="154"/>
        <v>0</v>
      </c>
      <c r="V1754" s="4">
        <f t="shared" si="154"/>
        <v>0</v>
      </c>
    </row>
    <row r="1755" spans="4:22" x14ac:dyDescent="0.15">
      <c r="D1755" s="4">
        <f t="shared" si="127"/>
        <v>513</v>
      </c>
      <c r="E1755" s="4">
        <v>27</v>
      </c>
      <c r="H1755" s="29">
        <v>1001</v>
      </c>
      <c r="I1755" s="30">
        <v>0</v>
      </c>
      <c r="M1755" s="4">
        <f t="shared" ref="M1755:V1755" si="155">M139*$C$1623</f>
        <v>1878</v>
      </c>
      <c r="N1755" s="4">
        <f t="shared" si="155"/>
        <v>409.5</v>
      </c>
      <c r="O1755" s="4">
        <f t="shared" si="155"/>
        <v>19812</v>
      </c>
      <c r="P1755" s="4">
        <f t="shared" si="155"/>
        <v>0</v>
      </c>
      <c r="Q1755" s="4">
        <f t="shared" si="155"/>
        <v>5385</v>
      </c>
      <c r="R1755" s="4">
        <f t="shared" si="155"/>
        <v>3.75</v>
      </c>
      <c r="S1755" s="4">
        <f t="shared" si="155"/>
        <v>186</v>
      </c>
      <c r="T1755" s="4">
        <f t="shared" si="155"/>
        <v>0</v>
      </c>
      <c r="U1755" s="4">
        <f t="shared" si="155"/>
        <v>0</v>
      </c>
      <c r="V1755" s="4">
        <f t="shared" si="155"/>
        <v>0</v>
      </c>
    </row>
    <row r="1756" spans="4:22" x14ac:dyDescent="0.15">
      <c r="D1756" s="4">
        <f t="shared" si="127"/>
        <v>513</v>
      </c>
      <c r="E1756" s="4">
        <v>28</v>
      </c>
      <c r="H1756" s="29">
        <v>1001</v>
      </c>
      <c r="I1756" s="30">
        <v>0</v>
      </c>
      <c r="M1756" s="4">
        <f t="shared" ref="M1756:V1756" si="156">M140*$C$1623</f>
        <v>1917</v>
      </c>
      <c r="N1756" s="4">
        <f t="shared" si="156"/>
        <v>424.5</v>
      </c>
      <c r="O1756" s="4">
        <f t="shared" si="156"/>
        <v>20142</v>
      </c>
      <c r="P1756" s="4">
        <f t="shared" si="156"/>
        <v>0</v>
      </c>
      <c r="Q1756" s="4">
        <f t="shared" si="156"/>
        <v>5406</v>
      </c>
      <c r="R1756" s="4">
        <f t="shared" si="156"/>
        <v>3.75</v>
      </c>
      <c r="S1756" s="4">
        <f t="shared" si="156"/>
        <v>192</v>
      </c>
      <c r="T1756" s="4">
        <f t="shared" si="156"/>
        <v>0</v>
      </c>
      <c r="U1756" s="4">
        <f t="shared" si="156"/>
        <v>0</v>
      </c>
      <c r="V1756" s="4">
        <f t="shared" si="156"/>
        <v>0</v>
      </c>
    </row>
    <row r="1757" spans="4:22" x14ac:dyDescent="0.15">
      <c r="D1757" s="4">
        <f t="shared" si="127"/>
        <v>513</v>
      </c>
      <c r="E1757" s="4">
        <v>29</v>
      </c>
      <c r="H1757" s="29">
        <v>1001</v>
      </c>
      <c r="I1757" s="30">
        <v>0</v>
      </c>
      <c r="M1757" s="4">
        <f t="shared" ref="M1757:V1757" si="157">M141*$C$1623</f>
        <v>1956</v>
      </c>
      <c r="N1757" s="4">
        <f t="shared" si="157"/>
        <v>439.5</v>
      </c>
      <c r="O1757" s="4">
        <f t="shared" si="157"/>
        <v>20472</v>
      </c>
      <c r="P1757" s="4">
        <f t="shared" si="157"/>
        <v>0</v>
      </c>
      <c r="Q1757" s="4">
        <f t="shared" si="157"/>
        <v>5427</v>
      </c>
      <c r="R1757" s="4">
        <f t="shared" si="157"/>
        <v>3.75</v>
      </c>
      <c r="S1757" s="4">
        <f t="shared" si="157"/>
        <v>198</v>
      </c>
      <c r="T1757" s="4">
        <f t="shared" si="157"/>
        <v>0</v>
      </c>
      <c r="U1757" s="4">
        <f t="shared" si="157"/>
        <v>0</v>
      </c>
      <c r="V1757" s="4">
        <f t="shared" si="157"/>
        <v>0</v>
      </c>
    </row>
    <row r="1758" spans="4:22" x14ac:dyDescent="0.15">
      <c r="D1758" s="4">
        <f t="shared" si="127"/>
        <v>513</v>
      </c>
      <c r="E1758" s="4">
        <v>30</v>
      </c>
      <c r="H1758" s="29">
        <v>1001</v>
      </c>
      <c r="I1758" s="30">
        <v>0</v>
      </c>
      <c r="M1758" s="4">
        <f t="shared" ref="M1758:V1758" si="158">M142*$C$1623</f>
        <v>1995</v>
      </c>
      <c r="N1758" s="4">
        <f t="shared" si="158"/>
        <v>454.5</v>
      </c>
      <c r="O1758" s="4">
        <f t="shared" si="158"/>
        <v>20802</v>
      </c>
      <c r="P1758" s="4">
        <f t="shared" si="158"/>
        <v>0</v>
      </c>
      <c r="Q1758" s="4">
        <f t="shared" si="158"/>
        <v>5448</v>
      </c>
      <c r="R1758" s="4">
        <f t="shared" si="158"/>
        <v>3.75</v>
      </c>
      <c r="S1758" s="4">
        <f t="shared" si="158"/>
        <v>204</v>
      </c>
      <c r="T1758" s="4">
        <f t="shared" si="158"/>
        <v>0</v>
      </c>
      <c r="U1758" s="4">
        <f t="shared" si="158"/>
        <v>0</v>
      </c>
      <c r="V1758" s="4">
        <f t="shared" si="158"/>
        <v>0</v>
      </c>
    </row>
    <row r="1759" spans="4:22" x14ac:dyDescent="0.15">
      <c r="D1759" s="4">
        <f t="shared" si="127"/>
        <v>513</v>
      </c>
      <c r="E1759" s="4">
        <v>31</v>
      </c>
      <c r="H1759" s="29">
        <v>1001</v>
      </c>
      <c r="I1759" s="30">
        <v>0</v>
      </c>
      <c r="M1759" s="4">
        <f t="shared" ref="M1759:V1759" si="159">M143*$C$1623</f>
        <v>2034</v>
      </c>
      <c r="N1759" s="4">
        <f t="shared" si="159"/>
        <v>469.5</v>
      </c>
      <c r="O1759" s="4">
        <f t="shared" si="159"/>
        <v>21132</v>
      </c>
      <c r="P1759" s="4">
        <f t="shared" si="159"/>
        <v>0</v>
      </c>
      <c r="Q1759" s="4">
        <f t="shared" si="159"/>
        <v>5469</v>
      </c>
      <c r="R1759" s="4">
        <f t="shared" si="159"/>
        <v>3.75</v>
      </c>
      <c r="S1759" s="4">
        <f t="shared" si="159"/>
        <v>210</v>
      </c>
      <c r="T1759" s="4">
        <f t="shared" si="159"/>
        <v>0</v>
      </c>
      <c r="U1759" s="4">
        <f t="shared" si="159"/>
        <v>0</v>
      </c>
      <c r="V1759" s="4">
        <f t="shared" si="159"/>
        <v>0</v>
      </c>
    </row>
    <row r="1760" spans="4:22" x14ac:dyDescent="0.15">
      <c r="D1760" s="4">
        <f t="shared" si="127"/>
        <v>513</v>
      </c>
      <c r="E1760" s="4">
        <v>32</v>
      </c>
      <c r="H1760" s="29">
        <v>1001</v>
      </c>
      <c r="I1760" s="30">
        <v>0</v>
      </c>
      <c r="M1760" s="4">
        <f t="shared" ref="M1760:V1760" si="160">M144*$C$1623</f>
        <v>2073</v>
      </c>
      <c r="N1760" s="4">
        <f t="shared" si="160"/>
        <v>484.5</v>
      </c>
      <c r="O1760" s="4">
        <f t="shared" si="160"/>
        <v>21462</v>
      </c>
      <c r="P1760" s="4">
        <f t="shared" si="160"/>
        <v>0</v>
      </c>
      <c r="Q1760" s="4">
        <f t="shared" si="160"/>
        <v>5490</v>
      </c>
      <c r="R1760" s="4">
        <f t="shared" si="160"/>
        <v>3.75</v>
      </c>
      <c r="S1760" s="4">
        <f t="shared" si="160"/>
        <v>216</v>
      </c>
      <c r="T1760" s="4">
        <f t="shared" si="160"/>
        <v>0</v>
      </c>
      <c r="U1760" s="4">
        <f t="shared" si="160"/>
        <v>0</v>
      </c>
      <c r="V1760" s="4">
        <f t="shared" si="160"/>
        <v>0</v>
      </c>
    </row>
    <row r="1761" spans="4:22" x14ac:dyDescent="0.15">
      <c r="D1761" s="4">
        <f t="shared" si="127"/>
        <v>513</v>
      </c>
      <c r="E1761" s="4">
        <v>33</v>
      </c>
      <c r="H1761" s="29">
        <v>1001</v>
      </c>
      <c r="I1761" s="30">
        <v>0</v>
      </c>
      <c r="M1761" s="4">
        <f t="shared" ref="M1761:V1761" si="161">M145*$C$1623</f>
        <v>2112</v>
      </c>
      <c r="N1761" s="4">
        <f t="shared" si="161"/>
        <v>499.5</v>
      </c>
      <c r="O1761" s="4">
        <f t="shared" si="161"/>
        <v>21792</v>
      </c>
      <c r="P1761" s="4">
        <f t="shared" si="161"/>
        <v>0</v>
      </c>
      <c r="Q1761" s="4">
        <f t="shared" si="161"/>
        <v>5511</v>
      </c>
      <c r="R1761" s="4">
        <f t="shared" si="161"/>
        <v>3.75</v>
      </c>
      <c r="S1761" s="4">
        <f t="shared" si="161"/>
        <v>222</v>
      </c>
      <c r="T1761" s="4">
        <f t="shared" si="161"/>
        <v>0</v>
      </c>
      <c r="U1761" s="4">
        <f t="shared" si="161"/>
        <v>0</v>
      </c>
      <c r="V1761" s="4">
        <f t="shared" si="161"/>
        <v>0</v>
      </c>
    </row>
    <row r="1762" spans="4:22" x14ac:dyDescent="0.15">
      <c r="D1762" s="4">
        <f t="shared" si="127"/>
        <v>513</v>
      </c>
      <c r="E1762" s="4">
        <v>34</v>
      </c>
      <c r="H1762" s="29">
        <v>1001</v>
      </c>
      <c r="I1762" s="30">
        <v>0</v>
      </c>
      <c r="M1762" s="4">
        <f t="shared" ref="M1762:V1762" si="162">M146*$C$1623</f>
        <v>2151</v>
      </c>
      <c r="N1762" s="4">
        <f t="shared" si="162"/>
        <v>514.5</v>
      </c>
      <c r="O1762" s="4">
        <f t="shared" si="162"/>
        <v>22122</v>
      </c>
      <c r="P1762" s="4">
        <f t="shared" si="162"/>
        <v>0</v>
      </c>
      <c r="Q1762" s="4">
        <f t="shared" si="162"/>
        <v>5532</v>
      </c>
      <c r="R1762" s="4">
        <f t="shared" si="162"/>
        <v>3.75</v>
      </c>
      <c r="S1762" s="4">
        <f t="shared" si="162"/>
        <v>228</v>
      </c>
      <c r="T1762" s="4">
        <f t="shared" si="162"/>
        <v>0</v>
      </c>
      <c r="U1762" s="4">
        <f t="shared" si="162"/>
        <v>0</v>
      </c>
      <c r="V1762" s="4">
        <f t="shared" si="162"/>
        <v>0</v>
      </c>
    </row>
    <row r="1763" spans="4:22" x14ac:dyDescent="0.15">
      <c r="D1763" s="4">
        <f t="shared" si="127"/>
        <v>513</v>
      </c>
      <c r="E1763" s="4">
        <v>35</v>
      </c>
      <c r="H1763" s="29">
        <v>1001</v>
      </c>
      <c r="I1763" s="30">
        <v>0</v>
      </c>
      <c r="M1763" s="4">
        <f t="shared" ref="M1763:V1763" si="163">M147*$C$1623</f>
        <v>2190</v>
      </c>
      <c r="N1763" s="4">
        <f t="shared" si="163"/>
        <v>529.5</v>
      </c>
      <c r="O1763" s="4">
        <f t="shared" si="163"/>
        <v>22452</v>
      </c>
      <c r="P1763" s="4">
        <f t="shared" si="163"/>
        <v>0</v>
      </c>
      <c r="Q1763" s="4">
        <f t="shared" si="163"/>
        <v>5553</v>
      </c>
      <c r="R1763" s="4">
        <f t="shared" si="163"/>
        <v>3.75</v>
      </c>
      <c r="S1763" s="4">
        <f t="shared" si="163"/>
        <v>234</v>
      </c>
      <c r="T1763" s="4">
        <f t="shared" si="163"/>
        <v>0</v>
      </c>
      <c r="U1763" s="4">
        <f t="shared" si="163"/>
        <v>0</v>
      </c>
      <c r="V1763" s="4">
        <f t="shared" si="163"/>
        <v>0</v>
      </c>
    </row>
    <row r="1764" spans="4:22" x14ac:dyDescent="0.15">
      <c r="D1764" s="4">
        <f t="shared" si="127"/>
        <v>513</v>
      </c>
      <c r="E1764" s="4">
        <v>36</v>
      </c>
      <c r="H1764" s="29">
        <v>1001</v>
      </c>
      <c r="I1764" s="30">
        <v>0</v>
      </c>
      <c r="M1764" s="4">
        <f t="shared" ref="M1764:V1764" si="164">M148*$C$1623</f>
        <v>2229</v>
      </c>
      <c r="N1764" s="4">
        <f t="shared" si="164"/>
        <v>544.5</v>
      </c>
      <c r="O1764" s="4">
        <f t="shared" si="164"/>
        <v>22782</v>
      </c>
      <c r="P1764" s="4">
        <f t="shared" si="164"/>
        <v>0</v>
      </c>
      <c r="Q1764" s="4">
        <f t="shared" si="164"/>
        <v>5574</v>
      </c>
      <c r="R1764" s="4">
        <f t="shared" si="164"/>
        <v>3.75</v>
      </c>
      <c r="S1764" s="4">
        <f t="shared" si="164"/>
        <v>240</v>
      </c>
      <c r="T1764" s="4">
        <f t="shared" si="164"/>
        <v>0</v>
      </c>
      <c r="U1764" s="4">
        <f t="shared" si="164"/>
        <v>0</v>
      </c>
      <c r="V1764" s="4">
        <f t="shared" si="164"/>
        <v>0</v>
      </c>
    </row>
    <row r="1765" spans="4:22" x14ac:dyDescent="0.15">
      <c r="D1765" s="4">
        <f t="shared" si="127"/>
        <v>513</v>
      </c>
      <c r="E1765" s="4">
        <v>37</v>
      </c>
      <c r="H1765" s="29">
        <v>1001</v>
      </c>
      <c r="I1765" s="30">
        <v>0</v>
      </c>
      <c r="M1765" s="4">
        <f t="shared" ref="M1765:V1765" si="165">M149*$C$1623</f>
        <v>2268</v>
      </c>
      <c r="N1765" s="4">
        <f t="shared" si="165"/>
        <v>559.5</v>
      </c>
      <c r="O1765" s="4">
        <f t="shared" si="165"/>
        <v>23112</v>
      </c>
      <c r="P1765" s="4">
        <f t="shared" si="165"/>
        <v>0</v>
      </c>
      <c r="Q1765" s="4">
        <f t="shared" si="165"/>
        <v>5595</v>
      </c>
      <c r="R1765" s="4">
        <f t="shared" si="165"/>
        <v>3.75</v>
      </c>
      <c r="S1765" s="4">
        <f t="shared" si="165"/>
        <v>246</v>
      </c>
      <c r="T1765" s="4">
        <f t="shared" si="165"/>
        <v>0</v>
      </c>
      <c r="U1765" s="4">
        <f t="shared" si="165"/>
        <v>0</v>
      </c>
      <c r="V1765" s="4">
        <f t="shared" si="165"/>
        <v>0</v>
      </c>
    </row>
    <row r="1766" spans="4:22" x14ac:dyDescent="0.15">
      <c r="D1766" s="4">
        <f t="shared" si="127"/>
        <v>513</v>
      </c>
      <c r="E1766" s="4">
        <v>38</v>
      </c>
      <c r="H1766" s="29">
        <v>1001</v>
      </c>
      <c r="I1766" s="30">
        <v>0</v>
      </c>
      <c r="M1766" s="4">
        <f t="shared" ref="M1766:V1766" si="166">M150*$C$1623</f>
        <v>2307</v>
      </c>
      <c r="N1766" s="4">
        <f t="shared" si="166"/>
        <v>574.5</v>
      </c>
      <c r="O1766" s="4">
        <f t="shared" si="166"/>
        <v>23442</v>
      </c>
      <c r="P1766" s="4">
        <f t="shared" si="166"/>
        <v>0</v>
      </c>
      <c r="Q1766" s="4">
        <f t="shared" si="166"/>
        <v>5616</v>
      </c>
      <c r="R1766" s="4">
        <f t="shared" si="166"/>
        <v>3.75</v>
      </c>
      <c r="S1766" s="4">
        <f t="shared" si="166"/>
        <v>252</v>
      </c>
      <c r="T1766" s="4">
        <f t="shared" si="166"/>
        <v>0</v>
      </c>
      <c r="U1766" s="4">
        <f t="shared" si="166"/>
        <v>0</v>
      </c>
      <c r="V1766" s="4">
        <f t="shared" si="166"/>
        <v>0</v>
      </c>
    </row>
    <row r="1767" spans="4:22" x14ac:dyDescent="0.15">
      <c r="D1767" s="4">
        <f t="shared" si="127"/>
        <v>513</v>
      </c>
      <c r="E1767" s="4">
        <v>39</v>
      </c>
      <c r="H1767" s="29">
        <v>1001</v>
      </c>
      <c r="I1767" s="30">
        <v>0</v>
      </c>
      <c r="M1767" s="4">
        <f t="shared" ref="M1767:V1767" si="167">M151*$C$1623</f>
        <v>2346</v>
      </c>
      <c r="N1767" s="4">
        <f t="shared" si="167"/>
        <v>589.5</v>
      </c>
      <c r="O1767" s="4">
        <f t="shared" si="167"/>
        <v>23772</v>
      </c>
      <c r="P1767" s="4">
        <f t="shared" si="167"/>
        <v>0</v>
      </c>
      <c r="Q1767" s="4">
        <f t="shared" si="167"/>
        <v>5637</v>
      </c>
      <c r="R1767" s="4">
        <f t="shared" si="167"/>
        <v>3.75</v>
      </c>
      <c r="S1767" s="4">
        <f t="shared" si="167"/>
        <v>258</v>
      </c>
      <c r="T1767" s="4">
        <f t="shared" si="167"/>
        <v>0</v>
      </c>
      <c r="U1767" s="4">
        <f t="shared" si="167"/>
        <v>0</v>
      </c>
      <c r="V1767" s="4">
        <f t="shared" si="167"/>
        <v>0</v>
      </c>
    </row>
    <row r="1768" spans="4:22" x14ac:dyDescent="0.15">
      <c r="D1768" s="4">
        <f t="shared" si="127"/>
        <v>513</v>
      </c>
      <c r="E1768" s="4">
        <v>40</v>
      </c>
      <c r="H1768" s="29">
        <v>1001</v>
      </c>
      <c r="I1768" s="30">
        <v>0</v>
      </c>
      <c r="M1768" s="4">
        <f t="shared" ref="M1768:V1768" si="168">M152*$C$1623</f>
        <v>2385</v>
      </c>
      <c r="N1768" s="4">
        <f t="shared" si="168"/>
        <v>604.5</v>
      </c>
      <c r="O1768" s="4">
        <f t="shared" si="168"/>
        <v>24102</v>
      </c>
      <c r="P1768" s="4">
        <f t="shared" si="168"/>
        <v>0</v>
      </c>
      <c r="Q1768" s="4">
        <f t="shared" si="168"/>
        <v>5658</v>
      </c>
      <c r="R1768" s="4">
        <f t="shared" si="168"/>
        <v>3.75</v>
      </c>
      <c r="S1768" s="4">
        <f t="shared" si="168"/>
        <v>264</v>
      </c>
      <c r="T1768" s="4">
        <f t="shared" si="168"/>
        <v>0</v>
      </c>
      <c r="U1768" s="4">
        <f t="shared" si="168"/>
        <v>0</v>
      </c>
      <c r="V1768" s="4">
        <f t="shared" si="168"/>
        <v>0</v>
      </c>
    </row>
    <row r="1769" spans="4:22" x14ac:dyDescent="0.15">
      <c r="D1769" s="4">
        <f t="shared" si="127"/>
        <v>513</v>
      </c>
      <c r="E1769" s="4">
        <v>41</v>
      </c>
      <c r="H1769" s="29">
        <v>1001</v>
      </c>
      <c r="I1769" s="30">
        <v>0</v>
      </c>
      <c r="M1769" s="4">
        <f t="shared" ref="M1769:V1769" si="169">M153*$C$1623</f>
        <v>2424</v>
      </c>
      <c r="N1769" s="4">
        <f t="shared" si="169"/>
        <v>619.5</v>
      </c>
      <c r="O1769" s="4">
        <f t="shared" si="169"/>
        <v>24432</v>
      </c>
      <c r="P1769" s="4">
        <f t="shared" si="169"/>
        <v>0</v>
      </c>
      <c r="Q1769" s="4">
        <f t="shared" si="169"/>
        <v>5679</v>
      </c>
      <c r="R1769" s="4">
        <f t="shared" si="169"/>
        <v>3.75</v>
      </c>
      <c r="S1769" s="4">
        <f t="shared" si="169"/>
        <v>270</v>
      </c>
      <c r="T1769" s="4">
        <f t="shared" si="169"/>
        <v>0</v>
      </c>
      <c r="U1769" s="4">
        <f t="shared" si="169"/>
        <v>0</v>
      </c>
      <c r="V1769" s="4">
        <f t="shared" si="169"/>
        <v>0</v>
      </c>
    </row>
    <row r="1770" spans="4:22" x14ac:dyDescent="0.15">
      <c r="D1770" s="4">
        <f t="shared" si="127"/>
        <v>513</v>
      </c>
      <c r="E1770" s="4">
        <v>42</v>
      </c>
      <c r="H1770" s="29">
        <v>1001</v>
      </c>
      <c r="I1770" s="30">
        <v>0</v>
      </c>
      <c r="M1770" s="4">
        <f t="shared" ref="M1770:V1770" si="170">M154*$C$1623</f>
        <v>2463</v>
      </c>
      <c r="N1770" s="4">
        <f t="shared" si="170"/>
        <v>634.5</v>
      </c>
      <c r="O1770" s="4">
        <f t="shared" si="170"/>
        <v>24762</v>
      </c>
      <c r="P1770" s="4">
        <f t="shared" si="170"/>
        <v>0</v>
      </c>
      <c r="Q1770" s="4">
        <f t="shared" si="170"/>
        <v>5700</v>
      </c>
      <c r="R1770" s="4">
        <f t="shared" si="170"/>
        <v>3.75</v>
      </c>
      <c r="S1770" s="4">
        <f t="shared" si="170"/>
        <v>276</v>
      </c>
      <c r="T1770" s="4">
        <f t="shared" si="170"/>
        <v>0</v>
      </c>
      <c r="U1770" s="4">
        <f t="shared" si="170"/>
        <v>0</v>
      </c>
      <c r="V1770" s="4">
        <f t="shared" si="170"/>
        <v>0</v>
      </c>
    </row>
    <row r="1771" spans="4:22" x14ac:dyDescent="0.15">
      <c r="D1771" s="4">
        <f t="shared" si="127"/>
        <v>513</v>
      </c>
      <c r="E1771" s="4">
        <v>43</v>
      </c>
      <c r="H1771" s="29">
        <v>1001</v>
      </c>
      <c r="I1771" s="30">
        <v>0</v>
      </c>
      <c r="M1771" s="4">
        <f t="shared" ref="M1771:V1771" si="171">M155*$C$1623</f>
        <v>2502</v>
      </c>
      <c r="N1771" s="4">
        <f t="shared" si="171"/>
        <v>649.5</v>
      </c>
      <c r="O1771" s="4">
        <f t="shared" si="171"/>
        <v>25092</v>
      </c>
      <c r="P1771" s="4">
        <f t="shared" si="171"/>
        <v>0</v>
      </c>
      <c r="Q1771" s="4">
        <f t="shared" si="171"/>
        <v>5721</v>
      </c>
      <c r="R1771" s="4">
        <f t="shared" si="171"/>
        <v>3.75</v>
      </c>
      <c r="S1771" s="4">
        <f t="shared" si="171"/>
        <v>282</v>
      </c>
      <c r="T1771" s="4">
        <f t="shared" si="171"/>
        <v>0</v>
      </c>
      <c r="U1771" s="4">
        <f t="shared" si="171"/>
        <v>0</v>
      </c>
      <c r="V1771" s="4">
        <f t="shared" si="171"/>
        <v>0</v>
      </c>
    </row>
    <row r="1772" spans="4:22" x14ac:dyDescent="0.15">
      <c r="D1772" s="4">
        <f t="shared" si="127"/>
        <v>513</v>
      </c>
      <c r="E1772" s="4">
        <v>44</v>
      </c>
      <c r="H1772" s="29">
        <v>1001</v>
      </c>
      <c r="I1772" s="30">
        <v>0</v>
      </c>
      <c r="M1772" s="4">
        <f t="shared" ref="M1772:V1772" si="172">M156*$C$1623</f>
        <v>2541</v>
      </c>
      <c r="N1772" s="4">
        <f t="shared" si="172"/>
        <v>664.5</v>
      </c>
      <c r="O1772" s="4">
        <f t="shared" si="172"/>
        <v>25422</v>
      </c>
      <c r="P1772" s="4">
        <f t="shared" si="172"/>
        <v>0</v>
      </c>
      <c r="Q1772" s="4">
        <f t="shared" si="172"/>
        <v>5742</v>
      </c>
      <c r="R1772" s="4">
        <f t="shared" si="172"/>
        <v>3.75</v>
      </c>
      <c r="S1772" s="4">
        <f t="shared" si="172"/>
        <v>288</v>
      </c>
      <c r="T1772" s="4">
        <f t="shared" si="172"/>
        <v>0</v>
      </c>
      <c r="U1772" s="4">
        <f t="shared" si="172"/>
        <v>0</v>
      </c>
      <c r="V1772" s="4">
        <f t="shared" si="172"/>
        <v>0</v>
      </c>
    </row>
    <row r="1773" spans="4:22" x14ac:dyDescent="0.15">
      <c r="D1773" s="4">
        <f t="shared" si="127"/>
        <v>513</v>
      </c>
      <c r="E1773" s="4">
        <v>45</v>
      </c>
      <c r="H1773" s="29">
        <v>1001</v>
      </c>
      <c r="I1773" s="30">
        <v>0</v>
      </c>
      <c r="M1773" s="4">
        <f t="shared" ref="M1773:V1773" si="173">M157*$C$1623</f>
        <v>2580</v>
      </c>
      <c r="N1773" s="4">
        <f t="shared" si="173"/>
        <v>679.5</v>
      </c>
      <c r="O1773" s="4">
        <f t="shared" si="173"/>
        <v>25752</v>
      </c>
      <c r="P1773" s="4">
        <f t="shared" si="173"/>
        <v>0</v>
      </c>
      <c r="Q1773" s="4">
        <f t="shared" si="173"/>
        <v>5763</v>
      </c>
      <c r="R1773" s="4">
        <f t="shared" si="173"/>
        <v>3.75</v>
      </c>
      <c r="S1773" s="4">
        <f t="shared" si="173"/>
        <v>294</v>
      </c>
      <c r="T1773" s="4">
        <f t="shared" si="173"/>
        <v>0</v>
      </c>
      <c r="U1773" s="4">
        <f t="shared" si="173"/>
        <v>0</v>
      </c>
      <c r="V1773" s="4">
        <f t="shared" si="173"/>
        <v>0</v>
      </c>
    </row>
    <row r="1774" spans="4:22" x14ac:dyDescent="0.15">
      <c r="D1774" s="4">
        <f t="shared" si="127"/>
        <v>513</v>
      </c>
      <c r="E1774" s="4">
        <v>46</v>
      </c>
      <c r="H1774" s="29">
        <v>1001</v>
      </c>
      <c r="I1774" s="30">
        <v>0</v>
      </c>
      <c r="M1774" s="4">
        <f t="shared" ref="M1774:V1774" si="174">M158*$C$1623</f>
        <v>2619</v>
      </c>
      <c r="N1774" s="4">
        <f t="shared" si="174"/>
        <v>694.5</v>
      </c>
      <c r="O1774" s="4">
        <f t="shared" si="174"/>
        <v>26082</v>
      </c>
      <c r="P1774" s="4">
        <f t="shared" si="174"/>
        <v>0</v>
      </c>
      <c r="Q1774" s="4">
        <f t="shared" si="174"/>
        <v>5784</v>
      </c>
      <c r="R1774" s="4">
        <f t="shared" si="174"/>
        <v>3.75</v>
      </c>
      <c r="S1774" s="4">
        <f t="shared" si="174"/>
        <v>300</v>
      </c>
      <c r="T1774" s="4">
        <f t="shared" si="174"/>
        <v>0</v>
      </c>
      <c r="U1774" s="4">
        <f t="shared" si="174"/>
        <v>0</v>
      </c>
      <c r="V1774" s="4">
        <f t="shared" si="174"/>
        <v>0</v>
      </c>
    </row>
    <row r="1775" spans="4:22" x14ac:dyDescent="0.15">
      <c r="D1775" s="4">
        <f t="shared" si="127"/>
        <v>513</v>
      </c>
      <c r="E1775" s="4">
        <v>47</v>
      </c>
      <c r="H1775" s="29">
        <v>1001</v>
      </c>
      <c r="I1775" s="30">
        <v>0</v>
      </c>
      <c r="M1775" s="4">
        <f t="shared" ref="M1775:V1775" si="175">M159*$C$1623</f>
        <v>2658</v>
      </c>
      <c r="N1775" s="4">
        <f t="shared" si="175"/>
        <v>709.5</v>
      </c>
      <c r="O1775" s="4">
        <f t="shared" si="175"/>
        <v>26412</v>
      </c>
      <c r="P1775" s="4">
        <f t="shared" si="175"/>
        <v>0</v>
      </c>
      <c r="Q1775" s="4">
        <f t="shared" si="175"/>
        <v>5805</v>
      </c>
      <c r="R1775" s="4">
        <f t="shared" si="175"/>
        <v>3.75</v>
      </c>
      <c r="S1775" s="4">
        <f t="shared" si="175"/>
        <v>306</v>
      </c>
      <c r="T1775" s="4">
        <f t="shared" si="175"/>
        <v>0</v>
      </c>
      <c r="U1775" s="4">
        <f t="shared" si="175"/>
        <v>0</v>
      </c>
      <c r="V1775" s="4">
        <f t="shared" si="175"/>
        <v>0</v>
      </c>
    </row>
    <row r="1776" spans="4:22" x14ac:dyDescent="0.15">
      <c r="D1776" s="4">
        <f t="shared" si="127"/>
        <v>513</v>
      </c>
      <c r="E1776" s="4">
        <v>48</v>
      </c>
      <c r="H1776" s="29">
        <v>1001</v>
      </c>
      <c r="I1776" s="30">
        <v>0</v>
      </c>
      <c r="M1776" s="4">
        <f t="shared" ref="M1776:V1776" si="176">M160*$C$1623</f>
        <v>2697</v>
      </c>
      <c r="N1776" s="4">
        <f t="shared" si="176"/>
        <v>724.5</v>
      </c>
      <c r="O1776" s="4">
        <f t="shared" si="176"/>
        <v>26742</v>
      </c>
      <c r="P1776" s="4">
        <f t="shared" si="176"/>
        <v>0</v>
      </c>
      <c r="Q1776" s="4">
        <f t="shared" si="176"/>
        <v>5826</v>
      </c>
      <c r="R1776" s="4">
        <f t="shared" si="176"/>
        <v>3.75</v>
      </c>
      <c r="S1776" s="4">
        <f t="shared" si="176"/>
        <v>312</v>
      </c>
      <c r="T1776" s="4">
        <f t="shared" si="176"/>
        <v>0</v>
      </c>
      <c r="U1776" s="4">
        <f t="shared" si="176"/>
        <v>0</v>
      </c>
      <c r="V1776" s="4">
        <f t="shared" si="176"/>
        <v>0</v>
      </c>
    </row>
    <row r="1777" spans="1:22" x14ac:dyDescent="0.15">
      <c r="D1777" s="4">
        <f t="shared" si="127"/>
        <v>513</v>
      </c>
      <c r="E1777" s="4">
        <v>49</v>
      </c>
      <c r="H1777" s="29">
        <v>1001</v>
      </c>
      <c r="I1777" s="30">
        <v>0</v>
      </c>
      <c r="M1777" s="4">
        <f t="shared" ref="M1777:V1777" si="177">M161*$C$1623</f>
        <v>2736</v>
      </c>
      <c r="N1777" s="4">
        <f t="shared" si="177"/>
        <v>739.5</v>
      </c>
      <c r="O1777" s="4">
        <f t="shared" si="177"/>
        <v>27072</v>
      </c>
      <c r="P1777" s="4">
        <f t="shared" si="177"/>
        <v>0</v>
      </c>
      <c r="Q1777" s="4">
        <f t="shared" si="177"/>
        <v>5847</v>
      </c>
      <c r="R1777" s="4">
        <f t="shared" si="177"/>
        <v>3.75</v>
      </c>
      <c r="S1777" s="4">
        <f t="shared" si="177"/>
        <v>318</v>
      </c>
      <c r="T1777" s="4">
        <f t="shared" si="177"/>
        <v>0</v>
      </c>
      <c r="U1777" s="4">
        <f t="shared" si="177"/>
        <v>0</v>
      </c>
      <c r="V1777" s="4">
        <f t="shared" si="177"/>
        <v>0</v>
      </c>
    </row>
    <row r="1778" spans="1:22" x14ac:dyDescent="0.15">
      <c r="D1778" s="4">
        <f t="shared" si="127"/>
        <v>513</v>
      </c>
      <c r="E1778" s="4">
        <v>50</v>
      </c>
      <c r="H1778" s="29">
        <v>1001</v>
      </c>
      <c r="I1778" s="30">
        <v>0</v>
      </c>
      <c r="M1778" s="4">
        <f t="shared" ref="M1778:V1778" si="178">M162*$C$1623</f>
        <v>2775</v>
      </c>
      <c r="N1778" s="4">
        <f t="shared" si="178"/>
        <v>754.5</v>
      </c>
      <c r="O1778" s="4">
        <f t="shared" si="178"/>
        <v>27402</v>
      </c>
      <c r="P1778" s="4">
        <f t="shared" si="178"/>
        <v>0</v>
      </c>
      <c r="Q1778" s="4">
        <f t="shared" si="178"/>
        <v>5868</v>
      </c>
      <c r="R1778" s="4">
        <f t="shared" si="178"/>
        <v>3.75</v>
      </c>
      <c r="S1778" s="4">
        <f t="shared" si="178"/>
        <v>324</v>
      </c>
      <c r="T1778" s="4">
        <f t="shared" si="178"/>
        <v>0</v>
      </c>
      <c r="U1778" s="4">
        <f t="shared" si="178"/>
        <v>0</v>
      </c>
      <c r="V1778" s="4">
        <f t="shared" si="178"/>
        <v>0</v>
      </c>
    </row>
    <row r="1779" spans="1:22" x14ac:dyDescent="0.15">
      <c r="I1779" s="4"/>
      <c r="M1779" s="4">
        <f t="shared" ref="M1779:V1779" si="179">M163*$C$1623</f>
        <v>0</v>
      </c>
      <c r="N1779" s="4">
        <f t="shared" si="179"/>
        <v>0</v>
      </c>
      <c r="O1779" s="4">
        <f t="shared" si="179"/>
        <v>0</v>
      </c>
      <c r="P1779" s="4">
        <f t="shared" si="179"/>
        <v>0</v>
      </c>
      <c r="Q1779" s="4">
        <f t="shared" si="179"/>
        <v>0</v>
      </c>
      <c r="R1779" s="4">
        <f t="shared" si="179"/>
        <v>0</v>
      </c>
      <c r="S1779" s="4">
        <f t="shared" si="179"/>
        <v>0</v>
      </c>
      <c r="T1779" s="4">
        <f t="shared" si="179"/>
        <v>0</v>
      </c>
      <c r="U1779" s="4">
        <f t="shared" si="179"/>
        <v>0</v>
      </c>
      <c r="V1779" s="4">
        <f t="shared" si="179"/>
        <v>0</v>
      </c>
    </row>
    <row r="1780" spans="1:22" ht="16.5" x14ac:dyDescent="0.15">
      <c r="A1780" s="4" t="s">
        <v>2662</v>
      </c>
      <c r="B1780" s="4" t="s">
        <v>3076</v>
      </c>
      <c r="C1780" s="4" t="s">
        <v>3077</v>
      </c>
      <c r="D1780" s="4">
        <v>521</v>
      </c>
      <c r="E1780" s="4">
        <v>0</v>
      </c>
      <c r="H1780" s="38">
        <v>2403</v>
      </c>
      <c r="I1780" s="31">
        <v>1</v>
      </c>
      <c r="L1780" s="8">
        <v>805</v>
      </c>
      <c r="M1780" s="4">
        <f t="shared" ref="M1780:V1780" si="180">M164*$C$1623</f>
        <v>0</v>
      </c>
      <c r="N1780" s="4">
        <f t="shared" si="180"/>
        <v>0</v>
      </c>
      <c r="O1780" s="4">
        <f t="shared" si="180"/>
        <v>0</v>
      </c>
      <c r="P1780" s="4">
        <f t="shared" si="180"/>
        <v>0</v>
      </c>
      <c r="Q1780" s="4">
        <f t="shared" si="180"/>
        <v>0</v>
      </c>
      <c r="R1780" s="4">
        <f t="shared" si="180"/>
        <v>0</v>
      </c>
      <c r="S1780" s="4">
        <f t="shared" si="180"/>
        <v>0</v>
      </c>
      <c r="T1780" s="4">
        <f t="shared" si="180"/>
        <v>0</v>
      </c>
      <c r="U1780" s="4">
        <f t="shared" si="180"/>
        <v>0</v>
      </c>
      <c r="V1780" s="4">
        <f t="shared" si="180"/>
        <v>0</v>
      </c>
    </row>
    <row r="1781" spans="1:22" x14ac:dyDescent="0.15">
      <c r="A1781" s="4" t="s">
        <v>2662</v>
      </c>
      <c r="D1781" s="4">
        <v>521</v>
      </c>
      <c r="E1781" s="4">
        <v>1</v>
      </c>
      <c r="H1781" s="29">
        <v>1001</v>
      </c>
      <c r="I1781" s="30">
        <v>0</v>
      </c>
      <c r="M1781" s="4">
        <f t="shared" ref="M1781:V1781" si="181">M165*$C$1623</f>
        <v>270</v>
      </c>
      <c r="N1781" s="4">
        <f t="shared" si="181"/>
        <v>9</v>
      </c>
      <c r="O1781" s="4">
        <f t="shared" si="181"/>
        <v>3960</v>
      </c>
      <c r="P1781" s="4">
        <f t="shared" si="181"/>
        <v>0</v>
      </c>
      <c r="Q1781" s="4">
        <f t="shared" si="181"/>
        <v>2400</v>
      </c>
      <c r="R1781" s="4">
        <f t="shared" si="181"/>
        <v>3.75</v>
      </c>
      <c r="S1781" s="4">
        <f t="shared" si="181"/>
        <v>15</v>
      </c>
      <c r="T1781" s="4">
        <f t="shared" si="181"/>
        <v>0</v>
      </c>
      <c r="U1781" s="4">
        <f t="shared" si="181"/>
        <v>0</v>
      </c>
      <c r="V1781" s="4">
        <f t="shared" si="181"/>
        <v>0</v>
      </c>
    </row>
    <row r="1782" spans="1:22" x14ac:dyDescent="0.15">
      <c r="A1782" s="4" t="s">
        <v>2662</v>
      </c>
      <c r="D1782" s="4">
        <v>521</v>
      </c>
      <c r="E1782" s="4">
        <v>2</v>
      </c>
      <c r="H1782" s="29">
        <v>1001</v>
      </c>
      <c r="I1782" s="30">
        <v>0</v>
      </c>
      <c r="M1782" s="4">
        <f t="shared" ref="M1782:V1782" si="182">M166*$C$1623</f>
        <v>294</v>
      </c>
      <c r="N1782" s="4">
        <f t="shared" si="182"/>
        <v>21</v>
      </c>
      <c r="O1782" s="4">
        <f t="shared" si="182"/>
        <v>4170</v>
      </c>
      <c r="P1782" s="4">
        <f t="shared" si="182"/>
        <v>0</v>
      </c>
      <c r="Q1782" s="4">
        <f t="shared" si="182"/>
        <v>2418</v>
      </c>
      <c r="R1782" s="4">
        <f t="shared" si="182"/>
        <v>3.75</v>
      </c>
      <c r="S1782" s="4">
        <f t="shared" si="182"/>
        <v>19.5</v>
      </c>
      <c r="T1782" s="4">
        <f t="shared" si="182"/>
        <v>0</v>
      </c>
      <c r="U1782" s="4">
        <f t="shared" si="182"/>
        <v>0</v>
      </c>
      <c r="V1782" s="4">
        <f t="shared" si="182"/>
        <v>0</v>
      </c>
    </row>
    <row r="1783" spans="1:22" x14ac:dyDescent="0.15">
      <c r="A1783" s="4" t="s">
        <v>2662</v>
      </c>
      <c r="D1783" s="4">
        <v>521</v>
      </c>
      <c r="E1783" s="4">
        <v>3</v>
      </c>
      <c r="H1783" s="29">
        <v>1001</v>
      </c>
      <c r="I1783" s="30">
        <v>0</v>
      </c>
      <c r="M1783" s="4">
        <f t="shared" ref="M1783:V1783" si="183">M167*$C$1623</f>
        <v>318</v>
      </c>
      <c r="N1783" s="4">
        <f t="shared" si="183"/>
        <v>33</v>
      </c>
      <c r="O1783" s="4">
        <f t="shared" si="183"/>
        <v>4380</v>
      </c>
      <c r="P1783" s="4">
        <f t="shared" si="183"/>
        <v>0</v>
      </c>
      <c r="Q1783" s="4">
        <f t="shared" si="183"/>
        <v>2436</v>
      </c>
      <c r="R1783" s="4">
        <f t="shared" si="183"/>
        <v>3.75</v>
      </c>
      <c r="S1783" s="4">
        <f t="shared" si="183"/>
        <v>24</v>
      </c>
      <c r="T1783" s="4">
        <f t="shared" si="183"/>
        <v>0</v>
      </c>
      <c r="U1783" s="4">
        <f t="shared" si="183"/>
        <v>0</v>
      </c>
      <c r="V1783" s="4">
        <f t="shared" si="183"/>
        <v>0</v>
      </c>
    </row>
    <row r="1784" spans="1:22" x14ac:dyDescent="0.15">
      <c r="A1784" s="4" t="s">
        <v>2662</v>
      </c>
      <c r="D1784" s="4">
        <v>521</v>
      </c>
      <c r="E1784" s="4">
        <v>4</v>
      </c>
      <c r="H1784" s="29">
        <v>1001</v>
      </c>
      <c r="I1784" s="30">
        <v>0</v>
      </c>
      <c r="M1784" s="4">
        <f t="shared" ref="M1784:V1784" si="184">M168*$C$1623</f>
        <v>342</v>
      </c>
      <c r="N1784" s="4">
        <f t="shared" si="184"/>
        <v>45</v>
      </c>
      <c r="O1784" s="4">
        <f t="shared" si="184"/>
        <v>4590</v>
      </c>
      <c r="P1784" s="4">
        <f t="shared" si="184"/>
        <v>0</v>
      </c>
      <c r="Q1784" s="4">
        <f t="shared" si="184"/>
        <v>2454</v>
      </c>
      <c r="R1784" s="4">
        <f t="shared" si="184"/>
        <v>3.75</v>
      </c>
      <c r="S1784" s="4">
        <f t="shared" si="184"/>
        <v>28.5</v>
      </c>
      <c r="T1784" s="4">
        <f t="shared" si="184"/>
        <v>0</v>
      </c>
      <c r="U1784" s="4">
        <f t="shared" si="184"/>
        <v>0</v>
      </c>
      <c r="V1784" s="4">
        <f t="shared" si="184"/>
        <v>0</v>
      </c>
    </row>
    <row r="1785" spans="1:22" x14ac:dyDescent="0.15">
      <c r="A1785" s="4" t="s">
        <v>2662</v>
      </c>
      <c r="D1785" s="4">
        <v>521</v>
      </c>
      <c r="E1785" s="4">
        <v>5</v>
      </c>
      <c r="H1785" s="29">
        <v>1001</v>
      </c>
      <c r="I1785" s="30">
        <v>0</v>
      </c>
      <c r="M1785" s="4">
        <f t="shared" ref="M1785:V1785" si="185">M169*$C$1623</f>
        <v>366</v>
      </c>
      <c r="N1785" s="4">
        <f t="shared" si="185"/>
        <v>57</v>
      </c>
      <c r="O1785" s="4">
        <f t="shared" si="185"/>
        <v>4800</v>
      </c>
      <c r="P1785" s="4">
        <f t="shared" si="185"/>
        <v>0</v>
      </c>
      <c r="Q1785" s="4">
        <f t="shared" si="185"/>
        <v>2472</v>
      </c>
      <c r="R1785" s="4">
        <f t="shared" si="185"/>
        <v>3.75</v>
      </c>
      <c r="S1785" s="4">
        <f t="shared" si="185"/>
        <v>33</v>
      </c>
      <c r="T1785" s="4">
        <f t="shared" si="185"/>
        <v>0</v>
      </c>
      <c r="U1785" s="4">
        <f t="shared" si="185"/>
        <v>0</v>
      </c>
      <c r="V1785" s="4">
        <f t="shared" si="185"/>
        <v>0</v>
      </c>
    </row>
    <row r="1786" spans="1:22" x14ac:dyDescent="0.15">
      <c r="A1786" s="4" t="s">
        <v>2662</v>
      </c>
      <c r="D1786" s="4">
        <v>521</v>
      </c>
      <c r="E1786" s="4">
        <v>6</v>
      </c>
      <c r="H1786" s="29">
        <v>1001</v>
      </c>
      <c r="I1786" s="30">
        <v>0</v>
      </c>
      <c r="M1786" s="4">
        <f t="shared" ref="M1786:V1786" si="186">M170*$C$1623</f>
        <v>390</v>
      </c>
      <c r="N1786" s="4">
        <f t="shared" si="186"/>
        <v>69</v>
      </c>
      <c r="O1786" s="4">
        <f t="shared" si="186"/>
        <v>5010</v>
      </c>
      <c r="P1786" s="4">
        <f t="shared" si="186"/>
        <v>0</v>
      </c>
      <c r="Q1786" s="4">
        <f t="shared" si="186"/>
        <v>2490</v>
      </c>
      <c r="R1786" s="4">
        <f t="shared" si="186"/>
        <v>3.75</v>
      </c>
      <c r="S1786" s="4">
        <f t="shared" si="186"/>
        <v>37.5</v>
      </c>
      <c r="T1786" s="4">
        <f t="shared" si="186"/>
        <v>0</v>
      </c>
      <c r="U1786" s="4">
        <f t="shared" si="186"/>
        <v>0</v>
      </c>
      <c r="V1786" s="4">
        <f t="shared" si="186"/>
        <v>0</v>
      </c>
    </row>
    <row r="1787" spans="1:22" x14ac:dyDescent="0.15">
      <c r="A1787" s="4" t="s">
        <v>2662</v>
      </c>
      <c r="D1787" s="4">
        <v>521</v>
      </c>
      <c r="E1787" s="4">
        <v>7</v>
      </c>
      <c r="H1787" s="29">
        <v>1001</v>
      </c>
      <c r="I1787" s="30">
        <v>0</v>
      </c>
      <c r="M1787" s="4">
        <f t="shared" ref="M1787:V1787" si="187">M171*$C$1623</f>
        <v>414</v>
      </c>
      <c r="N1787" s="4">
        <f t="shared" si="187"/>
        <v>81</v>
      </c>
      <c r="O1787" s="4">
        <f t="shared" si="187"/>
        <v>5220</v>
      </c>
      <c r="P1787" s="4">
        <f t="shared" si="187"/>
        <v>0</v>
      </c>
      <c r="Q1787" s="4">
        <f t="shared" si="187"/>
        <v>2508</v>
      </c>
      <c r="R1787" s="4">
        <f t="shared" si="187"/>
        <v>3.75</v>
      </c>
      <c r="S1787" s="4">
        <f t="shared" si="187"/>
        <v>42</v>
      </c>
      <c r="T1787" s="4">
        <f t="shared" si="187"/>
        <v>0</v>
      </c>
      <c r="U1787" s="4">
        <f t="shared" si="187"/>
        <v>0</v>
      </c>
      <c r="V1787" s="4">
        <f t="shared" si="187"/>
        <v>0</v>
      </c>
    </row>
    <row r="1788" spans="1:22" x14ac:dyDescent="0.15">
      <c r="A1788" s="4" t="s">
        <v>2662</v>
      </c>
      <c r="D1788" s="4">
        <v>521</v>
      </c>
      <c r="E1788" s="4">
        <v>8</v>
      </c>
      <c r="H1788" s="29">
        <v>1001</v>
      </c>
      <c r="I1788" s="30">
        <v>0</v>
      </c>
      <c r="M1788" s="4">
        <f t="shared" ref="M1788:V1788" si="188">M172*$C$1623</f>
        <v>438</v>
      </c>
      <c r="N1788" s="4">
        <f t="shared" si="188"/>
        <v>93</v>
      </c>
      <c r="O1788" s="4">
        <f t="shared" si="188"/>
        <v>5430</v>
      </c>
      <c r="P1788" s="4">
        <f t="shared" si="188"/>
        <v>0</v>
      </c>
      <c r="Q1788" s="4">
        <f t="shared" si="188"/>
        <v>2526</v>
      </c>
      <c r="R1788" s="4">
        <f t="shared" si="188"/>
        <v>3.75</v>
      </c>
      <c r="S1788" s="4">
        <f t="shared" si="188"/>
        <v>46.5</v>
      </c>
      <c r="T1788" s="4">
        <f t="shared" si="188"/>
        <v>0</v>
      </c>
      <c r="U1788" s="4">
        <f t="shared" si="188"/>
        <v>0</v>
      </c>
      <c r="V1788" s="4">
        <f t="shared" si="188"/>
        <v>0</v>
      </c>
    </row>
    <row r="1789" spans="1:22" x14ac:dyDescent="0.15">
      <c r="A1789" s="4" t="s">
        <v>2662</v>
      </c>
      <c r="D1789" s="4">
        <v>521</v>
      </c>
      <c r="E1789" s="4">
        <v>9</v>
      </c>
      <c r="H1789" s="29">
        <v>1001</v>
      </c>
      <c r="I1789" s="30">
        <v>0</v>
      </c>
      <c r="M1789" s="4">
        <f t="shared" ref="M1789:V1789" si="189">M173*$C$1623</f>
        <v>462</v>
      </c>
      <c r="N1789" s="4">
        <f t="shared" si="189"/>
        <v>105</v>
      </c>
      <c r="O1789" s="4">
        <f t="shared" si="189"/>
        <v>5640</v>
      </c>
      <c r="P1789" s="4">
        <f t="shared" si="189"/>
        <v>0</v>
      </c>
      <c r="Q1789" s="4">
        <f t="shared" si="189"/>
        <v>2544</v>
      </c>
      <c r="R1789" s="4">
        <f t="shared" si="189"/>
        <v>3.75</v>
      </c>
      <c r="S1789" s="4">
        <f t="shared" si="189"/>
        <v>51</v>
      </c>
      <c r="T1789" s="4">
        <f t="shared" si="189"/>
        <v>0</v>
      </c>
      <c r="U1789" s="4">
        <f t="shared" si="189"/>
        <v>0</v>
      </c>
      <c r="V1789" s="4">
        <f t="shared" si="189"/>
        <v>0</v>
      </c>
    </row>
    <row r="1790" spans="1:22" x14ac:dyDescent="0.15">
      <c r="A1790" s="4" t="s">
        <v>2662</v>
      </c>
      <c r="D1790" s="4">
        <v>521</v>
      </c>
      <c r="E1790" s="4">
        <v>10</v>
      </c>
      <c r="H1790" s="29">
        <v>1001</v>
      </c>
      <c r="I1790" s="30">
        <v>0</v>
      </c>
      <c r="M1790" s="4">
        <f t="shared" ref="M1790:V1790" si="190">M174*$C$1623</f>
        <v>486</v>
      </c>
      <c r="N1790" s="4">
        <f t="shared" si="190"/>
        <v>117</v>
      </c>
      <c r="O1790" s="4">
        <f t="shared" si="190"/>
        <v>5850</v>
      </c>
      <c r="P1790" s="4">
        <f t="shared" si="190"/>
        <v>0</v>
      </c>
      <c r="Q1790" s="4">
        <f t="shared" si="190"/>
        <v>2562</v>
      </c>
      <c r="R1790" s="4">
        <f t="shared" si="190"/>
        <v>3.75</v>
      </c>
      <c r="S1790" s="4">
        <f t="shared" si="190"/>
        <v>55.5</v>
      </c>
      <c r="T1790" s="4">
        <f t="shared" si="190"/>
        <v>0</v>
      </c>
      <c r="U1790" s="4">
        <f t="shared" si="190"/>
        <v>0</v>
      </c>
      <c r="V1790" s="4">
        <f t="shared" si="190"/>
        <v>0</v>
      </c>
    </row>
    <row r="1791" spans="1:22" x14ac:dyDescent="0.15">
      <c r="A1791" s="4" t="s">
        <v>2662</v>
      </c>
      <c r="D1791" s="4">
        <v>521</v>
      </c>
      <c r="E1791" s="4">
        <v>11</v>
      </c>
      <c r="H1791" s="29">
        <v>1001</v>
      </c>
      <c r="I1791" s="30">
        <v>0</v>
      </c>
      <c r="M1791" s="4">
        <f t="shared" ref="M1791:V1791" si="191">M175*$C$1623</f>
        <v>510</v>
      </c>
      <c r="N1791" s="4">
        <f t="shared" si="191"/>
        <v>129</v>
      </c>
      <c r="O1791" s="4">
        <f t="shared" si="191"/>
        <v>6060</v>
      </c>
      <c r="P1791" s="4">
        <f t="shared" si="191"/>
        <v>0</v>
      </c>
      <c r="Q1791" s="4">
        <f t="shared" si="191"/>
        <v>2580</v>
      </c>
      <c r="R1791" s="4">
        <f t="shared" si="191"/>
        <v>3.75</v>
      </c>
      <c r="S1791" s="4">
        <f t="shared" si="191"/>
        <v>60</v>
      </c>
      <c r="T1791" s="4">
        <f t="shared" si="191"/>
        <v>0</v>
      </c>
      <c r="U1791" s="4">
        <f t="shared" si="191"/>
        <v>0</v>
      </c>
      <c r="V1791" s="4">
        <f t="shared" si="191"/>
        <v>0</v>
      </c>
    </row>
    <row r="1792" spans="1:22" x14ac:dyDescent="0.15">
      <c r="A1792" s="4" t="s">
        <v>2662</v>
      </c>
      <c r="D1792" s="4">
        <v>521</v>
      </c>
      <c r="E1792" s="4">
        <v>12</v>
      </c>
      <c r="H1792" s="29">
        <v>1001</v>
      </c>
      <c r="I1792" s="30">
        <v>0</v>
      </c>
      <c r="M1792" s="4">
        <f t="shared" ref="M1792:V1792" si="192">M176*$C$1623</f>
        <v>534</v>
      </c>
      <c r="N1792" s="4">
        <f t="shared" si="192"/>
        <v>141</v>
      </c>
      <c r="O1792" s="4">
        <f t="shared" si="192"/>
        <v>6270</v>
      </c>
      <c r="P1792" s="4">
        <f t="shared" si="192"/>
        <v>0</v>
      </c>
      <c r="Q1792" s="4">
        <f t="shared" si="192"/>
        <v>2598</v>
      </c>
      <c r="R1792" s="4">
        <f t="shared" si="192"/>
        <v>3.75</v>
      </c>
      <c r="S1792" s="4">
        <f t="shared" si="192"/>
        <v>64.5</v>
      </c>
      <c r="T1792" s="4">
        <f t="shared" si="192"/>
        <v>0</v>
      </c>
      <c r="U1792" s="4">
        <f t="shared" si="192"/>
        <v>0</v>
      </c>
      <c r="V1792" s="4">
        <f t="shared" si="192"/>
        <v>0</v>
      </c>
    </row>
    <row r="1793" spans="1:22" x14ac:dyDescent="0.15">
      <c r="A1793" s="4" t="s">
        <v>2662</v>
      </c>
      <c r="D1793" s="4">
        <v>521</v>
      </c>
      <c r="E1793" s="4">
        <v>13</v>
      </c>
      <c r="H1793" s="29">
        <v>1001</v>
      </c>
      <c r="I1793" s="30">
        <v>0</v>
      </c>
      <c r="M1793" s="4">
        <f t="shared" ref="M1793:V1793" si="193">M177*$C$1623</f>
        <v>558</v>
      </c>
      <c r="N1793" s="4">
        <f t="shared" si="193"/>
        <v>153</v>
      </c>
      <c r="O1793" s="4">
        <f t="shared" si="193"/>
        <v>6480</v>
      </c>
      <c r="P1793" s="4">
        <f t="shared" si="193"/>
        <v>0</v>
      </c>
      <c r="Q1793" s="4">
        <f t="shared" si="193"/>
        <v>2616</v>
      </c>
      <c r="R1793" s="4">
        <f t="shared" si="193"/>
        <v>3.75</v>
      </c>
      <c r="S1793" s="4">
        <f t="shared" si="193"/>
        <v>69</v>
      </c>
      <c r="T1793" s="4">
        <f t="shared" si="193"/>
        <v>0</v>
      </c>
      <c r="U1793" s="4">
        <f t="shared" si="193"/>
        <v>0</v>
      </c>
      <c r="V1793" s="4">
        <f t="shared" si="193"/>
        <v>0</v>
      </c>
    </row>
    <row r="1794" spans="1:22" x14ac:dyDescent="0.15">
      <c r="A1794" s="4" t="s">
        <v>2662</v>
      </c>
      <c r="D1794" s="4">
        <v>521</v>
      </c>
      <c r="E1794" s="4">
        <v>14</v>
      </c>
      <c r="H1794" s="29">
        <v>1001</v>
      </c>
      <c r="I1794" s="30">
        <v>0</v>
      </c>
      <c r="M1794" s="4">
        <f t="shared" ref="M1794:V1794" si="194">M178*$C$1623</f>
        <v>582</v>
      </c>
      <c r="N1794" s="4">
        <f t="shared" si="194"/>
        <v>165</v>
      </c>
      <c r="O1794" s="4">
        <f t="shared" si="194"/>
        <v>6690</v>
      </c>
      <c r="P1794" s="4">
        <f t="shared" si="194"/>
        <v>0</v>
      </c>
      <c r="Q1794" s="4">
        <f t="shared" si="194"/>
        <v>2634</v>
      </c>
      <c r="R1794" s="4">
        <f t="shared" si="194"/>
        <v>3.75</v>
      </c>
      <c r="S1794" s="4">
        <f t="shared" si="194"/>
        <v>73.5</v>
      </c>
      <c r="T1794" s="4">
        <f t="shared" si="194"/>
        <v>0</v>
      </c>
      <c r="U1794" s="4">
        <f t="shared" si="194"/>
        <v>0</v>
      </c>
      <c r="V1794" s="4">
        <f t="shared" si="194"/>
        <v>0</v>
      </c>
    </row>
    <row r="1795" spans="1:22" x14ac:dyDescent="0.15">
      <c r="A1795" s="4" t="s">
        <v>2662</v>
      </c>
      <c r="D1795" s="4">
        <v>521</v>
      </c>
      <c r="E1795" s="4">
        <v>15</v>
      </c>
      <c r="H1795" s="29">
        <v>1001</v>
      </c>
      <c r="I1795" s="30">
        <v>0</v>
      </c>
      <c r="M1795" s="4">
        <f t="shared" ref="M1795:V1795" si="195">M179*$C$1623</f>
        <v>606</v>
      </c>
      <c r="N1795" s="4">
        <f t="shared" si="195"/>
        <v>177</v>
      </c>
      <c r="O1795" s="4">
        <f t="shared" si="195"/>
        <v>6900</v>
      </c>
      <c r="P1795" s="4">
        <f t="shared" si="195"/>
        <v>0</v>
      </c>
      <c r="Q1795" s="4">
        <f t="shared" si="195"/>
        <v>2652</v>
      </c>
      <c r="R1795" s="4">
        <f t="shared" si="195"/>
        <v>3.75</v>
      </c>
      <c r="S1795" s="4">
        <f t="shared" si="195"/>
        <v>78</v>
      </c>
      <c r="T1795" s="4">
        <f t="shared" si="195"/>
        <v>0</v>
      </c>
      <c r="U1795" s="4">
        <f t="shared" si="195"/>
        <v>0</v>
      </c>
      <c r="V1795" s="4">
        <f t="shared" si="195"/>
        <v>0</v>
      </c>
    </row>
    <row r="1796" spans="1:22" x14ac:dyDescent="0.15">
      <c r="A1796" s="4" t="s">
        <v>2662</v>
      </c>
      <c r="D1796" s="4">
        <v>521</v>
      </c>
      <c r="E1796" s="4">
        <v>16</v>
      </c>
      <c r="H1796" s="29">
        <v>1001</v>
      </c>
      <c r="I1796" s="30">
        <v>0</v>
      </c>
      <c r="M1796" s="4">
        <f t="shared" ref="M1796:V1796" si="196">M180*$C$1623</f>
        <v>630</v>
      </c>
      <c r="N1796" s="4">
        <f t="shared" si="196"/>
        <v>189</v>
      </c>
      <c r="O1796" s="4">
        <f t="shared" si="196"/>
        <v>7110</v>
      </c>
      <c r="P1796" s="4">
        <f t="shared" si="196"/>
        <v>0</v>
      </c>
      <c r="Q1796" s="4">
        <f t="shared" si="196"/>
        <v>2670</v>
      </c>
      <c r="R1796" s="4">
        <f t="shared" si="196"/>
        <v>3.75</v>
      </c>
      <c r="S1796" s="4">
        <f t="shared" si="196"/>
        <v>82.5</v>
      </c>
      <c r="T1796" s="4">
        <f t="shared" si="196"/>
        <v>0</v>
      </c>
      <c r="U1796" s="4">
        <f t="shared" si="196"/>
        <v>0</v>
      </c>
      <c r="V1796" s="4">
        <f t="shared" si="196"/>
        <v>0</v>
      </c>
    </row>
    <row r="1797" spans="1:22" x14ac:dyDescent="0.15">
      <c r="A1797" s="4" t="s">
        <v>2662</v>
      </c>
      <c r="D1797" s="4">
        <v>521</v>
      </c>
      <c r="E1797" s="4">
        <v>17</v>
      </c>
      <c r="H1797" s="29">
        <v>1001</v>
      </c>
      <c r="I1797" s="30">
        <v>0</v>
      </c>
      <c r="M1797" s="4">
        <f t="shared" ref="M1797:V1797" si="197">M181*$C$1623</f>
        <v>654</v>
      </c>
      <c r="N1797" s="4">
        <f t="shared" si="197"/>
        <v>201</v>
      </c>
      <c r="O1797" s="4">
        <f t="shared" si="197"/>
        <v>7320</v>
      </c>
      <c r="P1797" s="4">
        <f t="shared" si="197"/>
        <v>0</v>
      </c>
      <c r="Q1797" s="4">
        <f t="shared" si="197"/>
        <v>2688</v>
      </c>
      <c r="R1797" s="4">
        <f t="shared" si="197"/>
        <v>3.75</v>
      </c>
      <c r="S1797" s="4">
        <f t="shared" si="197"/>
        <v>87</v>
      </c>
      <c r="T1797" s="4">
        <f t="shared" si="197"/>
        <v>0</v>
      </c>
      <c r="U1797" s="4">
        <f t="shared" si="197"/>
        <v>0</v>
      </c>
      <c r="V1797" s="4">
        <f t="shared" si="197"/>
        <v>0</v>
      </c>
    </row>
    <row r="1798" spans="1:22" x14ac:dyDescent="0.15">
      <c r="A1798" s="4" t="s">
        <v>2662</v>
      </c>
      <c r="D1798" s="4">
        <v>521</v>
      </c>
      <c r="E1798" s="4">
        <v>18</v>
      </c>
      <c r="H1798" s="29">
        <v>1001</v>
      </c>
      <c r="I1798" s="30">
        <v>0</v>
      </c>
      <c r="M1798" s="4">
        <f t="shared" ref="M1798:V1798" si="198">M182*$C$1623</f>
        <v>678</v>
      </c>
      <c r="N1798" s="4">
        <f t="shared" si="198"/>
        <v>213</v>
      </c>
      <c r="O1798" s="4">
        <f t="shared" si="198"/>
        <v>7530</v>
      </c>
      <c r="P1798" s="4">
        <f t="shared" si="198"/>
        <v>0</v>
      </c>
      <c r="Q1798" s="4">
        <f t="shared" si="198"/>
        <v>2706</v>
      </c>
      <c r="R1798" s="4">
        <f t="shared" si="198"/>
        <v>3.75</v>
      </c>
      <c r="S1798" s="4">
        <f t="shared" si="198"/>
        <v>91.5</v>
      </c>
      <c r="T1798" s="4">
        <f t="shared" si="198"/>
        <v>0</v>
      </c>
      <c r="U1798" s="4">
        <f t="shared" si="198"/>
        <v>0</v>
      </c>
      <c r="V1798" s="4">
        <f t="shared" si="198"/>
        <v>0</v>
      </c>
    </row>
    <row r="1799" spans="1:22" x14ac:dyDescent="0.15">
      <c r="A1799" s="4" t="s">
        <v>2662</v>
      </c>
      <c r="D1799" s="4">
        <v>521</v>
      </c>
      <c r="E1799" s="4">
        <v>19</v>
      </c>
      <c r="H1799" s="29">
        <v>1001</v>
      </c>
      <c r="I1799" s="30">
        <v>0</v>
      </c>
      <c r="M1799" s="4">
        <f t="shared" ref="M1799:V1799" si="199">M183*$C$1623</f>
        <v>702</v>
      </c>
      <c r="N1799" s="4">
        <f t="shared" si="199"/>
        <v>225</v>
      </c>
      <c r="O1799" s="4">
        <f t="shared" si="199"/>
        <v>7740</v>
      </c>
      <c r="P1799" s="4">
        <f t="shared" si="199"/>
        <v>0</v>
      </c>
      <c r="Q1799" s="4">
        <f t="shared" si="199"/>
        <v>2724</v>
      </c>
      <c r="R1799" s="4">
        <f t="shared" si="199"/>
        <v>3.75</v>
      </c>
      <c r="S1799" s="4">
        <f t="shared" si="199"/>
        <v>96</v>
      </c>
      <c r="T1799" s="4">
        <f t="shared" si="199"/>
        <v>0</v>
      </c>
      <c r="U1799" s="4">
        <f t="shared" si="199"/>
        <v>0</v>
      </c>
      <c r="V1799" s="4">
        <f t="shared" si="199"/>
        <v>0</v>
      </c>
    </row>
    <row r="1800" spans="1:22" x14ac:dyDescent="0.15">
      <c r="A1800" s="4" t="s">
        <v>2662</v>
      </c>
      <c r="D1800" s="4">
        <v>521</v>
      </c>
      <c r="E1800" s="4">
        <v>20</v>
      </c>
      <c r="H1800" s="29">
        <v>1001</v>
      </c>
      <c r="I1800" s="30">
        <v>0</v>
      </c>
      <c r="M1800" s="4">
        <f t="shared" ref="M1800:V1800" si="200">M184*$C$1623</f>
        <v>726</v>
      </c>
      <c r="N1800" s="4">
        <f t="shared" si="200"/>
        <v>237</v>
      </c>
      <c r="O1800" s="4">
        <f t="shared" si="200"/>
        <v>7950</v>
      </c>
      <c r="P1800" s="4">
        <f t="shared" si="200"/>
        <v>0</v>
      </c>
      <c r="Q1800" s="4">
        <f t="shared" si="200"/>
        <v>2742</v>
      </c>
      <c r="R1800" s="4">
        <f t="shared" si="200"/>
        <v>3.75</v>
      </c>
      <c r="S1800" s="4">
        <f t="shared" si="200"/>
        <v>100.5</v>
      </c>
      <c r="T1800" s="4">
        <f t="shared" si="200"/>
        <v>0</v>
      </c>
      <c r="U1800" s="4">
        <f t="shared" si="200"/>
        <v>0</v>
      </c>
      <c r="V1800" s="4">
        <f t="shared" si="200"/>
        <v>0</v>
      </c>
    </row>
    <row r="1801" spans="1:22" x14ac:dyDescent="0.15">
      <c r="A1801" s="4" t="s">
        <v>2662</v>
      </c>
      <c r="D1801" s="4">
        <v>521</v>
      </c>
      <c r="E1801" s="4">
        <v>21</v>
      </c>
      <c r="H1801" s="29">
        <v>1001</v>
      </c>
      <c r="I1801" s="30">
        <v>0</v>
      </c>
      <c r="M1801" s="4">
        <f t="shared" ref="M1801:V1801" si="201">M185*$C$1623</f>
        <v>750</v>
      </c>
      <c r="N1801" s="4">
        <f t="shared" si="201"/>
        <v>249</v>
      </c>
      <c r="O1801" s="4">
        <f t="shared" si="201"/>
        <v>8160</v>
      </c>
      <c r="P1801" s="4">
        <f t="shared" si="201"/>
        <v>0</v>
      </c>
      <c r="Q1801" s="4">
        <f t="shared" si="201"/>
        <v>2760</v>
      </c>
      <c r="R1801" s="4">
        <f t="shared" si="201"/>
        <v>3.75</v>
      </c>
      <c r="S1801" s="4">
        <f t="shared" si="201"/>
        <v>105</v>
      </c>
      <c r="T1801" s="4">
        <f t="shared" si="201"/>
        <v>0</v>
      </c>
      <c r="U1801" s="4">
        <f t="shared" si="201"/>
        <v>0</v>
      </c>
      <c r="V1801" s="4">
        <f t="shared" si="201"/>
        <v>0</v>
      </c>
    </row>
    <row r="1802" spans="1:22" x14ac:dyDescent="0.15">
      <c r="A1802" s="4" t="s">
        <v>2662</v>
      </c>
      <c r="D1802" s="4">
        <v>521</v>
      </c>
      <c r="E1802" s="4">
        <v>22</v>
      </c>
      <c r="H1802" s="29">
        <v>1001</v>
      </c>
      <c r="I1802" s="30">
        <v>0</v>
      </c>
      <c r="M1802" s="4">
        <f t="shared" ref="M1802:V1802" si="202">M186*$C$1623</f>
        <v>774</v>
      </c>
      <c r="N1802" s="4">
        <f t="shared" si="202"/>
        <v>261</v>
      </c>
      <c r="O1802" s="4">
        <f t="shared" si="202"/>
        <v>8370</v>
      </c>
      <c r="P1802" s="4">
        <f t="shared" si="202"/>
        <v>0</v>
      </c>
      <c r="Q1802" s="4">
        <f t="shared" si="202"/>
        <v>2778</v>
      </c>
      <c r="R1802" s="4">
        <f t="shared" si="202"/>
        <v>3.75</v>
      </c>
      <c r="S1802" s="4">
        <f t="shared" si="202"/>
        <v>109.5</v>
      </c>
      <c r="T1802" s="4">
        <f t="shared" si="202"/>
        <v>0</v>
      </c>
      <c r="U1802" s="4">
        <f t="shared" si="202"/>
        <v>0</v>
      </c>
      <c r="V1802" s="4">
        <f t="shared" si="202"/>
        <v>0</v>
      </c>
    </row>
    <row r="1803" spans="1:22" x14ac:dyDescent="0.15">
      <c r="A1803" s="4" t="s">
        <v>2662</v>
      </c>
      <c r="D1803" s="4">
        <v>521</v>
      </c>
      <c r="E1803" s="4">
        <v>23</v>
      </c>
      <c r="H1803" s="29">
        <v>1001</v>
      </c>
      <c r="I1803" s="30">
        <v>0</v>
      </c>
      <c r="M1803" s="4">
        <f t="shared" ref="M1803:V1803" si="203">M187*$C$1623</f>
        <v>798</v>
      </c>
      <c r="N1803" s="4">
        <f t="shared" si="203"/>
        <v>273</v>
      </c>
      <c r="O1803" s="4">
        <f t="shared" si="203"/>
        <v>8580</v>
      </c>
      <c r="P1803" s="4">
        <f t="shared" si="203"/>
        <v>0</v>
      </c>
      <c r="Q1803" s="4">
        <f t="shared" si="203"/>
        <v>2796</v>
      </c>
      <c r="R1803" s="4">
        <f t="shared" si="203"/>
        <v>3.75</v>
      </c>
      <c r="S1803" s="4">
        <f t="shared" si="203"/>
        <v>114</v>
      </c>
      <c r="T1803" s="4">
        <f t="shared" si="203"/>
        <v>0</v>
      </c>
      <c r="U1803" s="4">
        <f t="shared" si="203"/>
        <v>0</v>
      </c>
      <c r="V1803" s="4">
        <f t="shared" si="203"/>
        <v>0</v>
      </c>
    </row>
    <row r="1804" spans="1:22" x14ac:dyDescent="0.15">
      <c r="A1804" s="4" t="s">
        <v>2662</v>
      </c>
      <c r="D1804" s="4">
        <v>521</v>
      </c>
      <c r="E1804" s="4">
        <v>24</v>
      </c>
      <c r="H1804" s="29">
        <v>1001</v>
      </c>
      <c r="I1804" s="30">
        <v>0</v>
      </c>
      <c r="M1804" s="4">
        <f t="shared" ref="M1804:V1804" si="204">M188*$C$1623</f>
        <v>822</v>
      </c>
      <c r="N1804" s="4">
        <f t="shared" si="204"/>
        <v>285</v>
      </c>
      <c r="O1804" s="4">
        <f t="shared" si="204"/>
        <v>8790</v>
      </c>
      <c r="P1804" s="4">
        <f t="shared" si="204"/>
        <v>0</v>
      </c>
      <c r="Q1804" s="4">
        <f t="shared" si="204"/>
        <v>2814</v>
      </c>
      <c r="R1804" s="4">
        <f t="shared" si="204"/>
        <v>3.75</v>
      </c>
      <c r="S1804" s="4">
        <f t="shared" si="204"/>
        <v>118.5</v>
      </c>
      <c r="T1804" s="4">
        <f t="shared" si="204"/>
        <v>0</v>
      </c>
      <c r="U1804" s="4">
        <f t="shared" si="204"/>
        <v>0</v>
      </c>
      <c r="V1804" s="4">
        <f t="shared" si="204"/>
        <v>0</v>
      </c>
    </row>
    <row r="1805" spans="1:22" x14ac:dyDescent="0.15">
      <c r="A1805" s="4" t="s">
        <v>2662</v>
      </c>
      <c r="D1805" s="4">
        <v>521</v>
      </c>
      <c r="E1805" s="4">
        <v>25</v>
      </c>
      <c r="H1805" s="29">
        <v>1001</v>
      </c>
      <c r="I1805" s="30">
        <v>0</v>
      </c>
      <c r="M1805" s="4">
        <f t="shared" ref="M1805:V1805" si="205">M189*$C$1623</f>
        <v>846</v>
      </c>
      <c r="N1805" s="4">
        <f t="shared" si="205"/>
        <v>297</v>
      </c>
      <c r="O1805" s="4">
        <f t="shared" si="205"/>
        <v>9000</v>
      </c>
      <c r="P1805" s="4">
        <f t="shared" si="205"/>
        <v>0</v>
      </c>
      <c r="Q1805" s="4">
        <f t="shared" si="205"/>
        <v>2832</v>
      </c>
      <c r="R1805" s="4">
        <f t="shared" si="205"/>
        <v>3.75</v>
      </c>
      <c r="S1805" s="4">
        <f t="shared" si="205"/>
        <v>123</v>
      </c>
      <c r="T1805" s="4">
        <f t="shared" si="205"/>
        <v>0</v>
      </c>
      <c r="U1805" s="4">
        <f t="shared" si="205"/>
        <v>0</v>
      </c>
      <c r="V1805" s="4">
        <f t="shared" si="205"/>
        <v>0</v>
      </c>
    </row>
    <row r="1806" spans="1:22" x14ac:dyDescent="0.15">
      <c r="A1806" s="4" t="s">
        <v>2662</v>
      </c>
      <c r="D1806" s="4">
        <v>521</v>
      </c>
      <c r="E1806" s="4">
        <v>26</v>
      </c>
      <c r="H1806" s="29">
        <v>1001</v>
      </c>
      <c r="I1806" s="30">
        <v>0</v>
      </c>
      <c r="M1806" s="4">
        <f t="shared" ref="M1806:V1806" si="206">M190*$C$1623</f>
        <v>870</v>
      </c>
      <c r="N1806" s="4">
        <f t="shared" si="206"/>
        <v>309</v>
      </c>
      <c r="O1806" s="4">
        <f t="shared" si="206"/>
        <v>9210</v>
      </c>
      <c r="P1806" s="4">
        <f t="shared" si="206"/>
        <v>0</v>
      </c>
      <c r="Q1806" s="4">
        <f t="shared" si="206"/>
        <v>2850</v>
      </c>
      <c r="R1806" s="4">
        <f t="shared" si="206"/>
        <v>3.75</v>
      </c>
      <c r="S1806" s="4">
        <f t="shared" si="206"/>
        <v>127.5</v>
      </c>
      <c r="T1806" s="4">
        <f t="shared" si="206"/>
        <v>0</v>
      </c>
      <c r="U1806" s="4">
        <f t="shared" si="206"/>
        <v>0</v>
      </c>
      <c r="V1806" s="4">
        <f t="shared" si="206"/>
        <v>0</v>
      </c>
    </row>
    <row r="1807" spans="1:22" x14ac:dyDescent="0.15">
      <c r="A1807" s="4" t="s">
        <v>2662</v>
      </c>
      <c r="D1807" s="4">
        <v>521</v>
      </c>
      <c r="E1807" s="4">
        <v>27</v>
      </c>
      <c r="H1807" s="29">
        <v>1001</v>
      </c>
      <c r="I1807" s="30">
        <v>0</v>
      </c>
      <c r="M1807" s="4">
        <f t="shared" ref="M1807:V1807" si="207">M191*$C$1623</f>
        <v>894</v>
      </c>
      <c r="N1807" s="4">
        <f t="shared" si="207"/>
        <v>321</v>
      </c>
      <c r="O1807" s="4">
        <f t="shared" si="207"/>
        <v>9420</v>
      </c>
      <c r="P1807" s="4">
        <f t="shared" si="207"/>
        <v>0</v>
      </c>
      <c r="Q1807" s="4">
        <f t="shared" si="207"/>
        <v>2868</v>
      </c>
      <c r="R1807" s="4">
        <f t="shared" si="207"/>
        <v>3.75</v>
      </c>
      <c r="S1807" s="4">
        <f t="shared" si="207"/>
        <v>132</v>
      </c>
      <c r="T1807" s="4">
        <f t="shared" si="207"/>
        <v>0</v>
      </c>
      <c r="U1807" s="4">
        <f t="shared" si="207"/>
        <v>0</v>
      </c>
      <c r="V1807" s="4">
        <f t="shared" si="207"/>
        <v>0</v>
      </c>
    </row>
    <row r="1808" spans="1:22" x14ac:dyDescent="0.15">
      <c r="A1808" s="4" t="s">
        <v>2662</v>
      </c>
      <c r="D1808" s="4">
        <v>521</v>
      </c>
      <c r="E1808" s="4">
        <v>28</v>
      </c>
      <c r="H1808" s="29">
        <v>1001</v>
      </c>
      <c r="I1808" s="30">
        <v>0</v>
      </c>
      <c r="M1808" s="4">
        <f t="shared" ref="M1808:V1808" si="208">M192*$C$1623</f>
        <v>918</v>
      </c>
      <c r="N1808" s="4">
        <f t="shared" si="208"/>
        <v>333</v>
      </c>
      <c r="O1808" s="4">
        <f t="shared" si="208"/>
        <v>9630</v>
      </c>
      <c r="P1808" s="4">
        <f t="shared" si="208"/>
        <v>0</v>
      </c>
      <c r="Q1808" s="4">
        <f t="shared" si="208"/>
        <v>2886</v>
      </c>
      <c r="R1808" s="4">
        <f t="shared" si="208"/>
        <v>3.75</v>
      </c>
      <c r="S1808" s="4">
        <f t="shared" si="208"/>
        <v>136.5</v>
      </c>
      <c r="T1808" s="4">
        <f t="shared" si="208"/>
        <v>0</v>
      </c>
      <c r="U1808" s="4">
        <f t="shared" si="208"/>
        <v>0</v>
      </c>
      <c r="V1808" s="4">
        <f t="shared" si="208"/>
        <v>0</v>
      </c>
    </row>
    <row r="1809" spans="1:22" x14ac:dyDescent="0.15">
      <c r="A1809" s="4" t="s">
        <v>2662</v>
      </c>
      <c r="D1809" s="4">
        <v>521</v>
      </c>
      <c r="E1809" s="4">
        <v>29</v>
      </c>
      <c r="H1809" s="29">
        <v>1001</v>
      </c>
      <c r="I1809" s="30">
        <v>0</v>
      </c>
      <c r="M1809" s="4">
        <f t="shared" ref="M1809:V1809" si="209">M193*$C$1623</f>
        <v>942</v>
      </c>
      <c r="N1809" s="4">
        <f t="shared" si="209"/>
        <v>345</v>
      </c>
      <c r="O1809" s="4">
        <f t="shared" si="209"/>
        <v>9840</v>
      </c>
      <c r="P1809" s="4">
        <f t="shared" si="209"/>
        <v>0</v>
      </c>
      <c r="Q1809" s="4">
        <f t="shared" si="209"/>
        <v>2904</v>
      </c>
      <c r="R1809" s="4">
        <f t="shared" si="209"/>
        <v>3.75</v>
      </c>
      <c r="S1809" s="4">
        <f t="shared" si="209"/>
        <v>141</v>
      </c>
      <c r="T1809" s="4">
        <f t="shared" si="209"/>
        <v>0</v>
      </c>
      <c r="U1809" s="4">
        <f t="shared" si="209"/>
        <v>0</v>
      </c>
      <c r="V1809" s="4">
        <f t="shared" si="209"/>
        <v>0</v>
      </c>
    </row>
    <row r="1810" spans="1:22" x14ac:dyDescent="0.15">
      <c r="A1810" s="4" t="s">
        <v>2662</v>
      </c>
      <c r="D1810" s="4">
        <v>521</v>
      </c>
      <c r="E1810" s="4">
        <v>30</v>
      </c>
      <c r="H1810" s="29">
        <v>1001</v>
      </c>
      <c r="I1810" s="30">
        <v>0</v>
      </c>
      <c r="M1810" s="4">
        <f t="shared" ref="M1810:V1810" si="210">M194*$C$1623</f>
        <v>966</v>
      </c>
      <c r="N1810" s="4">
        <f t="shared" si="210"/>
        <v>357</v>
      </c>
      <c r="O1810" s="4">
        <f t="shared" si="210"/>
        <v>10050</v>
      </c>
      <c r="P1810" s="4">
        <f t="shared" si="210"/>
        <v>0</v>
      </c>
      <c r="Q1810" s="4">
        <f t="shared" si="210"/>
        <v>2922</v>
      </c>
      <c r="R1810" s="4">
        <f t="shared" si="210"/>
        <v>3.75</v>
      </c>
      <c r="S1810" s="4">
        <f t="shared" si="210"/>
        <v>145.5</v>
      </c>
      <c r="T1810" s="4">
        <f t="shared" si="210"/>
        <v>0</v>
      </c>
      <c r="U1810" s="4">
        <f t="shared" si="210"/>
        <v>0</v>
      </c>
      <c r="V1810" s="4">
        <f t="shared" si="210"/>
        <v>0</v>
      </c>
    </row>
    <row r="1811" spans="1:22" x14ac:dyDescent="0.15">
      <c r="A1811" s="4" t="s">
        <v>2662</v>
      </c>
      <c r="D1811" s="4">
        <v>521</v>
      </c>
      <c r="E1811" s="4">
        <v>31</v>
      </c>
      <c r="H1811" s="29">
        <v>1001</v>
      </c>
      <c r="I1811" s="30">
        <v>0</v>
      </c>
      <c r="M1811" s="4">
        <f t="shared" ref="M1811:V1811" si="211">M195*$C$1623</f>
        <v>990</v>
      </c>
      <c r="N1811" s="4">
        <f t="shared" si="211"/>
        <v>369</v>
      </c>
      <c r="O1811" s="4">
        <f t="shared" si="211"/>
        <v>10260</v>
      </c>
      <c r="P1811" s="4">
        <f t="shared" si="211"/>
        <v>0</v>
      </c>
      <c r="Q1811" s="4">
        <f t="shared" si="211"/>
        <v>2940</v>
      </c>
      <c r="R1811" s="4">
        <f t="shared" si="211"/>
        <v>3.75</v>
      </c>
      <c r="S1811" s="4">
        <f t="shared" si="211"/>
        <v>150</v>
      </c>
      <c r="T1811" s="4">
        <f t="shared" si="211"/>
        <v>0</v>
      </c>
      <c r="U1811" s="4">
        <f t="shared" si="211"/>
        <v>0</v>
      </c>
      <c r="V1811" s="4">
        <f t="shared" si="211"/>
        <v>0</v>
      </c>
    </row>
    <row r="1812" spans="1:22" x14ac:dyDescent="0.15">
      <c r="A1812" s="4" t="s">
        <v>2662</v>
      </c>
      <c r="D1812" s="4">
        <v>521</v>
      </c>
      <c r="E1812" s="4">
        <v>32</v>
      </c>
      <c r="H1812" s="29">
        <v>1001</v>
      </c>
      <c r="I1812" s="30">
        <v>0</v>
      </c>
      <c r="M1812" s="4">
        <f t="shared" ref="M1812:V1812" si="212">M196*$C$1623</f>
        <v>1014</v>
      </c>
      <c r="N1812" s="4">
        <f t="shared" si="212"/>
        <v>381</v>
      </c>
      <c r="O1812" s="4">
        <f t="shared" si="212"/>
        <v>10470</v>
      </c>
      <c r="P1812" s="4">
        <f t="shared" si="212"/>
        <v>0</v>
      </c>
      <c r="Q1812" s="4">
        <f t="shared" si="212"/>
        <v>2958</v>
      </c>
      <c r="R1812" s="4">
        <f t="shared" si="212"/>
        <v>3.75</v>
      </c>
      <c r="S1812" s="4">
        <f t="shared" si="212"/>
        <v>154.5</v>
      </c>
      <c r="T1812" s="4">
        <f t="shared" si="212"/>
        <v>0</v>
      </c>
      <c r="U1812" s="4">
        <f t="shared" si="212"/>
        <v>0</v>
      </c>
      <c r="V1812" s="4">
        <f t="shared" si="212"/>
        <v>0</v>
      </c>
    </row>
    <row r="1813" spans="1:22" x14ac:dyDescent="0.15">
      <c r="A1813" s="4" t="s">
        <v>2662</v>
      </c>
      <c r="D1813" s="4">
        <v>521</v>
      </c>
      <c r="E1813" s="4">
        <v>33</v>
      </c>
      <c r="H1813" s="29">
        <v>1001</v>
      </c>
      <c r="I1813" s="30">
        <v>0</v>
      </c>
      <c r="M1813" s="4">
        <f t="shared" ref="M1813:V1813" si="213">M197*$C$1623</f>
        <v>1038</v>
      </c>
      <c r="N1813" s="4">
        <f t="shared" si="213"/>
        <v>393</v>
      </c>
      <c r="O1813" s="4">
        <f t="shared" si="213"/>
        <v>10680</v>
      </c>
      <c r="P1813" s="4">
        <f t="shared" si="213"/>
        <v>0</v>
      </c>
      <c r="Q1813" s="4">
        <f t="shared" si="213"/>
        <v>2976</v>
      </c>
      <c r="R1813" s="4">
        <f t="shared" si="213"/>
        <v>3.75</v>
      </c>
      <c r="S1813" s="4">
        <f t="shared" si="213"/>
        <v>159</v>
      </c>
      <c r="T1813" s="4">
        <f t="shared" si="213"/>
        <v>0</v>
      </c>
      <c r="U1813" s="4">
        <f t="shared" si="213"/>
        <v>0</v>
      </c>
      <c r="V1813" s="4">
        <f t="shared" si="213"/>
        <v>0</v>
      </c>
    </row>
    <row r="1814" spans="1:22" x14ac:dyDescent="0.15">
      <c r="A1814" s="4" t="s">
        <v>2662</v>
      </c>
      <c r="D1814" s="4">
        <v>521</v>
      </c>
      <c r="E1814" s="4">
        <v>34</v>
      </c>
      <c r="H1814" s="29">
        <v>1001</v>
      </c>
      <c r="I1814" s="30">
        <v>0</v>
      </c>
      <c r="M1814" s="4">
        <f t="shared" ref="M1814:V1814" si="214">M198*$C$1623</f>
        <v>1062</v>
      </c>
      <c r="N1814" s="4">
        <f t="shared" si="214"/>
        <v>405</v>
      </c>
      <c r="O1814" s="4">
        <f t="shared" si="214"/>
        <v>10890</v>
      </c>
      <c r="P1814" s="4">
        <f t="shared" si="214"/>
        <v>0</v>
      </c>
      <c r="Q1814" s="4">
        <f t="shared" si="214"/>
        <v>2994</v>
      </c>
      <c r="R1814" s="4">
        <f t="shared" si="214"/>
        <v>3.75</v>
      </c>
      <c r="S1814" s="4">
        <f t="shared" si="214"/>
        <v>163.5</v>
      </c>
      <c r="T1814" s="4">
        <f t="shared" si="214"/>
        <v>0</v>
      </c>
      <c r="U1814" s="4">
        <f t="shared" si="214"/>
        <v>0</v>
      </c>
      <c r="V1814" s="4">
        <f t="shared" si="214"/>
        <v>0</v>
      </c>
    </row>
    <row r="1815" spans="1:22" x14ac:dyDescent="0.15">
      <c r="A1815" s="4" t="s">
        <v>2662</v>
      </c>
      <c r="D1815" s="4">
        <v>521</v>
      </c>
      <c r="E1815" s="4">
        <v>35</v>
      </c>
      <c r="H1815" s="29">
        <v>1001</v>
      </c>
      <c r="I1815" s="30">
        <v>0</v>
      </c>
      <c r="M1815" s="4">
        <f t="shared" ref="M1815:V1815" si="215">M199*$C$1623</f>
        <v>1086</v>
      </c>
      <c r="N1815" s="4">
        <f t="shared" si="215"/>
        <v>417</v>
      </c>
      <c r="O1815" s="4">
        <f t="shared" si="215"/>
        <v>11100</v>
      </c>
      <c r="P1815" s="4">
        <f t="shared" si="215"/>
        <v>0</v>
      </c>
      <c r="Q1815" s="4">
        <f t="shared" si="215"/>
        <v>3012</v>
      </c>
      <c r="R1815" s="4">
        <f t="shared" si="215"/>
        <v>3.75</v>
      </c>
      <c r="S1815" s="4">
        <f t="shared" si="215"/>
        <v>168</v>
      </c>
      <c r="T1815" s="4">
        <f t="shared" si="215"/>
        <v>0</v>
      </c>
      <c r="U1815" s="4">
        <f t="shared" si="215"/>
        <v>0</v>
      </c>
      <c r="V1815" s="4">
        <f t="shared" si="215"/>
        <v>0</v>
      </c>
    </row>
    <row r="1816" spans="1:22" x14ac:dyDescent="0.15">
      <c r="A1816" s="4" t="s">
        <v>2662</v>
      </c>
      <c r="D1816" s="4">
        <v>521</v>
      </c>
      <c r="E1816" s="4">
        <v>36</v>
      </c>
      <c r="H1816" s="29">
        <v>1001</v>
      </c>
      <c r="I1816" s="30">
        <v>0</v>
      </c>
      <c r="M1816" s="4">
        <f t="shared" ref="M1816:V1816" si="216">M200*$C$1623</f>
        <v>1110</v>
      </c>
      <c r="N1816" s="4">
        <f t="shared" si="216"/>
        <v>429</v>
      </c>
      <c r="O1816" s="4">
        <f t="shared" si="216"/>
        <v>11310</v>
      </c>
      <c r="P1816" s="4">
        <f t="shared" si="216"/>
        <v>0</v>
      </c>
      <c r="Q1816" s="4">
        <f t="shared" si="216"/>
        <v>3030</v>
      </c>
      <c r="R1816" s="4">
        <f t="shared" si="216"/>
        <v>3.75</v>
      </c>
      <c r="S1816" s="4">
        <f t="shared" si="216"/>
        <v>172.5</v>
      </c>
      <c r="T1816" s="4">
        <f t="shared" si="216"/>
        <v>0</v>
      </c>
      <c r="U1816" s="4">
        <f t="shared" si="216"/>
        <v>0</v>
      </c>
      <c r="V1816" s="4">
        <f t="shared" si="216"/>
        <v>0</v>
      </c>
    </row>
    <row r="1817" spans="1:22" x14ac:dyDescent="0.15">
      <c r="A1817" s="4" t="s">
        <v>2662</v>
      </c>
      <c r="D1817" s="4">
        <v>521</v>
      </c>
      <c r="E1817" s="4">
        <v>37</v>
      </c>
      <c r="H1817" s="29">
        <v>1001</v>
      </c>
      <c r="I1817" s="30">
        <v>0</v>
      </c>
      <c r="M1817" s="4">
        <f t="shared" ref="M1817:V1817" si="217">M201*$C$1623</f>
        <v>1134</v>
      </c>
      <c r="N1817" s="4">
        <f t="shared" si="217"/>
        <v>441</v>
      </c>
      <c r="O1817" s="4">
        <f t="shared" si="217"/>
        <v>11520</v>
      </c>
      <c r="P1817" s="4">
        <f t="shared" si="217"/>
        <v>0</v>
      </c>
      <c r="Q1817" s="4">
        <f t="shared" si="217"/>
        <v>3048</v>
      </c>
      <c r="R1817" s="4">
        <f t="shared" si="217"/>
        <v>3.75</v>
      </c>
      <c r="S1817" s="4">
        <f t="shared" si="217"/>
        <v>177</v>
      </c>
      <c r="T1817" s="4">
        <f t="shared" si="217"/>
        <v>0</v>
      </c>
      <c r="U1817" s="4">
        <f t="shared" si="217"/>
        <v>0</v>
      </c>
      <c r="V1817" s="4">
        <f t="shared" si="217"/>
        <v>0</v>
      </c>
    </row>
    <row r="1818" spans="1:22" x14ac:dyDescent="0.15">
      <c r="A1818" s="4" t="s">
        <v>2662</v>
      </c>
      <c r="D1818" s="4">
        <v>521</v>
      </c>
      <c r="E1818" s="4">
        <v>38</v>
      </c>
      <c r="H1818" s="29">
        <v>1001</v>
      </c>
      <c r="I1818" s="30">
        <v>0</v>
      </c>
      <c r="M1818" s="4">
        <f t="shared" ref="M1818:V1818" si="218">M202*$C$1623</f>
        <v>1158</v>
      </c>
      <c r="N1818" s="4">
        <f t="shared" si="218"/>
        <v>453</v>
      </c>
      <c r="O1818" s="4">
        <f t="shared" si="218"/>
        <v>11730</v>
      </c>
      <c r="P1818" s="4">
        <f t="shared" si="218"/>
        <v>0</v>
      </c>
      <c r="Q1818" s="4">
        <f t="shared" si="218"/>
        <v>3066</v>
      </c>
      <c r="R1818" s="4">
        <f t="shared" si="218"/>
        <v>3.75</v>
      </c>
      <c r="S1818" s="4">
        <f t="shared" si="218"/>
        <v>181.5</v>
      </c>
      <c r="T1818" s="4">
        <f t="shared" si="218"/>
        <v>0</v>
      </c>
      <c r="U1818" s="4">
        <f t="shared" si="218"/>
        <v>0</v>
      </c>
      <c r="V1818" s="4">
        <f t="shared" si="218"/>
        <v>0</v>
      </c>
    </row>
    <row r="1819" spans="1:22" x14ac:dyDescent="0.15">
      <c r="A1819" s="4" t="s">
        <v>2662</v>
      </c>
      <c r="D1819" s="4">
        <v>521</v>
      </c>
      <c r="E1819" s="4">
        <v>39</v>
      </c>
      <c r="H1819" s="29">
        <v>1001</v>
      </c>
      <c r="I1819" s="30">
        <v>0</v>
      </c>
      <c r="M1819" s="4">
        <f t="shared" ref="M1819:V1819" si="219">M203*$C$1623</f>
        <v>1182</v>
      </c>
      <c r="N1819" s="4">
        <f t="shared" si="219"/>
        <v>465</v>
      </c>
      <c r="O1819" s="4">
        <f t="shared" si="219"/>
        <v>11940</v>
      </c>
      <c r="P1819" s="4">
        <f t="shared" si="219"/>
        <v>0</v>
      </c>
      <c r="Q1819" s="4">
        <f t="shared" si="219"/>
        <v>3084</v>
      </c>
      <c r="R1819" s="4">
        <f t="shared" si="219"/>
        <v>3.75</v>
      </c>
      <c r="S1819" s="4">
        <f t="shared" si="219"/>
        <v>186</v>
      </c>
      <c r="T1819" s="4">
        <f t="shared" si="219"/>
        <v>0</v>
      </c>
      <c r="U1819" s="4">
        <f t="shared" si="219"/>
        <v>0</v>
      </c>
      <c r="V1819" s="4">
        <f t="shared" si="219"/>
        <v>0</v>
      </c>
    </row>
    <row r="1820" spans="1:22" x14ac:dyDescent="0.15">
      <c r="A1820" s="4" t="s">
        <v>2662</v>
      </c>
      <c r="D1820" s="4">
        <v>521</v>
      </c>
      <c r="E1820" s="4">
        <v>40</v>
      </c>
      <c r="H1820" s="29">
        <v>1001</v>
      </c>
      <c r="I1820" s="30">
        <v>0</v>
      </c>
      <c r="M1820" s="4">
        <f t="shared" ref="M1820:V1820" si="220">M204*$C$1623</f>
        <v>1206</v>
      </c>
      <c r="N1820" s="4">
        <f t="shared" si="220"/>
        <v>477</v>
      </c>
      <c r="O1820" s="4">
        <f t="shared" si="220"/>
        <v>12150</v>
      </c>
      <c r="P1820" s="4">
        <f t="shared" si="220"/>
        <v>0</v>
      </c>
      <c r="Q1820" s="4">
        <f t="shared" si="220"/>
        <v>3102</v>
      </c>
      <c r="R1820" s="4">
        <f t="shared" si="220"/>
        <v>3.75</v>
      </c>
      <c r="S1820" s="4">
        <f t="shared" si="220"/>
        <v>190.5</v>
      </c>
      <c r="T1820" s="4">
        <f t="shared" si="220"/>
        <v>0</v>
      </c>
      <c r="U1820" s="4">
        <f t="shared" si="220"/>
        <v>0</v>
      </c>
      <c r="V1820" s="4">
        <f t="shared" si="220"/>
        <v>0</v>
      </c>
    </row>
    <row r="1821" spans="1:22" x14ac:dyDescent="0.15">
      <c r="A1821" s="4" t="s">
        <v>2662</v>
      </c>
      <c r="D1821" s="4">
        <v>521</v>
      </c>
      <c r="E1821" s="4">
        <v>41</v>
      </c>
      <c r="H1821" s="29">
        <v>1001</v>
      </c>
      <c r="I1821" s="30">
        <v>0</v>
      </c>
      <c r="M1821" s="4">
        <f t="shared" ref="M1821:V1821" si="221">M205*$C$1623</f>
        <v>1230</v>
      </c>
      <c r="N1821" s="4">
        <f t="shared" si="221"/>
        <v>489</v>
      </c>
      <c r="O1821" s="4">
        <f t="shared" si="221"/>
        <v>12360</v>
      </c>
      <c r="P1821" s="4">
        <f t="shared" si="221"/>
        <v>0</v>
      </c>
      <c r="Q1821" s="4">
        <f t="shared" si="221"/>
        <v>3120</v>
      </c>
      <c r="R1821" s="4">
        <f t="shared" si="221"/>
        <v>3.75</v>
      </c>
      <c r="S1821" s="4">
        <f t="shared" si="221"/>
        <v>195</v>
      </c>
      <c r="T1821" s="4">
        <f t="shared" si="221"/>
        <v>0</v>
      </c>
      <c r="U1821" s="4">
        <f t="shared" si="221"/>
        <v>0</v>
      </c>
      <c r="V1821" s="4">
        <f t="shared" si="221"/>
        <v>0</v>
      </c>
    </row>
    <row r="1822" spans="1:22" x14ac:dyDescent="0.15">
      <c r="A1822" s="4" t="s">
        <v>2662</v>
      </c>
      <c r="D1822" s="4">
        <v>521</v>
      </c>
      <c r="E1822" s="4">
        <v>42</v>
      </c>
      <c r="H1822" s="29">
        <v>1001</v>
      </c>
      <c r="I1822" s="30">
        <v>0</v>
      </c>
      <c r="M1822" s="4">
        <f t="shared" ref="M1822:V1822" si="222">M206*$C$1623</f>
        <v>1254</v>
      </c>
      <c r="N1822" s="4">
        <f t="shared" si="222"/>
        <v>501</v>
      </c>
      <c r="O1822" s="4">
        <f t="shared" si="222"/>
        <v>12570</v>
      </c>
      <c r="P1822" s="4">
        <f t="shared" si="222"/>
        <v>0</v>
      </c>
      <c r="Q1822" s="4">
        <f t="shared" si="222"/>
        <v>3138</v>
      </c>
      <c r="R1822" s="4">
        <f t="shared" si="222"/>
        <v>3.75</v>
      </c>
      <c r="S1822" s="4">
        <f t="shared" si="222"/>
        <v>199.5</v>
      </c>
      <c r="T1822" s="4">
        <f t="shared" si="222"/>
        <v>0</v>
      </c>
      <c r="U1822" s="4">
        <f t="shared" si="222"/>
        <v>0</v>
      </c>
      <c r="V1822" s="4">
        <f t="shared" si="222"/>
        <v>0</v>
      </c>
    </row>
    <row r="1823" spans="1:22" x14ac:dyDescent="0.15">
      <c r="A1823" s="4" t="s">
        <v>2662</v>
      </c>
      <c r="D1823" s="4">
        <v>521</v>
      </c>
      <c r="E1823" s="4">
        <v>43</v>
      </c>
      <c r="H1823" s="29">
        <v>1001</v>
      </c>
      <c r="I1823" s="30">
        <v>0</v>
      </c>
      <c r="M1823" s="4">
        <f t="shared" ref="M1823:V1823" si="223">M207*$C$1623</f>
        <v>1278</v>
      </c>
      <c r="N1823" s="4">
        <f t="shared" si="223"/>
        <v>513</v>
      </c>
      <c r="O1823" s="4">
        <f t="shared" si="223"/>
        <v>12780</v>
      </c>
      <c r="P1823" s="4">
        <f t="shared" si="223"/>
        <v>0</v>
      </c>
      <c r="Q1823" s="4">
        <f t="shared" si="223"/>
        <v>3156</v>
      </c>
      <c r="R1823" s="4">
        <f t="shared" si="223"/>
        <v>3.75</v>
      </c>
      <c r="S1823" s="4">
        <f t="shared" si="223"/>
        <v>204</v>
      </c>
      <c r="T1823" s="4">
        <f t="shared" si="223"/>
        <v>0</v>
      </c>
      <c r="U1823" s="4">
        <f t="shared" si="223"/>
        <v>0</v>
      </c>
      <c r="V1823" s="4">
        <f t="shared" si="223"/>
        <v>0</v>
      </c>
    </row>
    <row r="1824" spans="1:22" x14ac:dyDescent="0.15">
      <c r="A1824" s="4" t="s">
        <v>2662</v>
      </c>
      <c r="D1824" s="4">
        <v>521</v>
      </c>
      <c r="E1824" s="4">
        <v>44</v>
      </c>
      <c r="H1824" s="29">
        <v>1001</v>
      </c>
      <c r="I1824" s="30">
        <v>0</v>
      </c>
      <c r="M1824" s="4">
        <f t="shared" ref="M1824:V1824" si="224">M208*$C$1623</f>
        <v>1302</v>
      </c>
      <c r="N1824" s="4">
        <f t="shared" si="224"/>
        <v>525</v>
      </c>
      <c r="O1824" s="4">
        <f t="shared" si="224"/>
        <v>12990</v>
      </c>
      <c r="P1824" s="4">
        <f t="shared" si="224"/>
        <v>0</v>
      </c>
      <c r="Q1824" s="4">
        <f t="shared" si="224"/>
        <v>3174</v>
      </c>
      <c r="R1824" s="4">
        <f t="shared" si="224"/>
        <v>3.75</v>
      </c>
      <c r="S1824" s="4">
        <f t="shared" si="224"/>
        <v>208.5</v>
      </c>
      <c r="T1824" s="4">
        <f t="shared" si="224"/>
        <v>0</v>
      </c>
      <c r="U1824" s="4">
        <f t="shared" si="224"/>
        <v>0</v>
      </c>
      <c r="V1824" s="4">
        <f t="shared" si="224"/>
        <v>0</v>
      </c>
    </row>
    <row r="1825" spans="1:22" x14ac:dyDescent="0.15">
      <c r="A1825" s="4" t="s">
        <v>2662</v>
      </c>
      <c r="D1825" s="4">
        <v>521</v>
      </c>
      <c r="E1825" s="4">
        <v>45</v>
      </c>
      <c r="H1825" s="29">
        <v>1001</v>
      </c>
      <c r="I1825" s="30">
        <v>0</v>
      </c>
      <c r="M1825" s="4">
        <f t="shared" ref="M1825:V1825" si="225">M209*$C$1623</f>
        <v>1326</v>
      </c>
      <c r="N1825" s="4">
        <f t="shared" si="225"/>
        <v>537</v>
      </c>
      <c r="O1825" s="4">
        <f t="shared" si="225"/>
        <v>13200</v>
      </c>
      <c r="P1825" s="4">
        <f t="shared" si="225"/>
        <v>0</v>
      </c>
      <c r="Q1825" s="4">
        <f t="shared" si="225"/>
        <v>3192</v>
      </c>
      <c r="R1825" s="4">
        <f t="shared" si="225"/>
        <v>3.75</v>
      </c>
      <c r="S1825" s="4">
        <f t="shared" si="225"/>
        <v>213</v>
      </c>
      <c r="T1825" s="4">
        <f t="shared" si="225"/>
        <v>0</v>
      </c>
      <c r="U1825" s="4">
        <f t="shared" si="225"/>
        <v>0</v>
      </c>
      <c r="V1825" s="4">
        <f t="shared" si="225"/>
        <v>0</v>
      </c>
    </row>
    <row r="1826" spans="1:22" x14ac:dyDescent="0.15">
      <c r="A1826" s="4" t="s">
        <v>2662</v>
      </c>
      <c r="D1826" s="4">
        <v>521</v>
      </c>
      <c r="E1826" s="4">
        <v>46</v>
      </c>
      <c r="H1826" s="29">
        <v>1001</v>
      </c>
      <c r="I1826" s="30">
        <v>0</v>
      </c>
      <c r="M1826" s="4">
        <f t="shared" ref="M1826:V1826" si="226">M210*$C$1623</f>
        <v>1350</v>
      </c>
      <c r="N1826" s="4">
        <f t="shared" si="226"/>
        <v>549</v>
      </c>
      <c r="O1826" s="4">
        <f t="shared" si="226"/>
        <v>13410</v>
      </c>
      <c r="P1826" s="4">
        <f t="shared" si="226"/>
        <v>0</v>
      </c>
      <c r="Q1826" s="4">
        <f t="shared" si="226"/>
        <v>3210</v>
      </c>
      <c r="R1826" s="4">
        <f t="shared" si="226"/>
        <v>3.75</v>
      </c>
      <c r="S1826" s="4">
        <f t="shared" si="226"/>
        <v>217.5</v>
      </c>
      <c r="T1826" s="4">
        <f t="shared" si="226"/>
        <v>0</v>
      </c>
      <c r="U1826" s="4">
        <f t="shared" si="226"/>
        <v>0</v>
      </c>
      <c r="V1826" s="4">
        <f t="shared" si="226"/>
        <v>0</v>
      </c>
    </row>
    <row r="1827" spans="1:22" x14ac:dyDescent="0.15">
      <c r="A1827" s="4" t="s">
        <v>2662</v>
      </c>
      <c r="D1827" s="4">
        <v>521</v>
      </c>
      <c r="E1827" s="4">
        <v>47</v>
      </c>
      <c r="H1827" s="29">
        <v>1001</v>
      </c>
      <c r="I1827" s="30">
        <v>0</v>
      </c>
      <c r="M1827" s="4">
        <f t="shared" ref="M1827:V1827" si="227">M211*$C$1623</f>
        <v>1374</v>
      </c>
      <c r="N1827" s="4">
        <f t="shared" si="227"/>
        <v>561</v>
      </c>
      <c r="O1827" s="4">
        <f t="shared" si="227"/>
        <v>13620</v>
      </c>
      <c r="P1827" s="4">
        <f t="shared" si="227"/>
        <v>0</v>
      </c>
      <c r="Q1827" s="4">
        <f t="shared" si="227"/>
        <v>3228</v>
      </c>
      <c r="R1827" s="4">
        <f t="shared" si="227"/>
        <v>3.75</v>
      </c>
      <c r="S1827" s="4">
        <f t="shared" si="227"/>
        <v>222</v>
      </c>
      <c r="T1827" s="4">
        <f t="shared" si="227"/>
        <v>0</v>
      </c>
      <c r="U1827" s="4">
        <f t="shared" si="227"/>
        <v>0</v>
      </c>
      <c r="V1827" s="4">
        <f t="shared" si="227"/>
        <v>0</v>
      </c>
    </row>
    <row r="1828" spans="1:22" x14ac:dyDescent="0.15">
      <c r="A1828" s="4" t="s">
        <v>2662</v>
      </c>
      <c r="D1828" s="4">
        <v>521</v>
      </c>
      <c r="E1828" s="4">
        <v>48</v>
      </c>
      <c r="H1828" s="29">
        <v>1001</v>
      </c>
      <c r="I1828" s="30">
        <v>0</v>
      </c>
      <c r="M1828" s="4">
        <f t="shared" ref="M1828:V1828" si="228">M212*$C$1623</f>
        <v>1398</v>
      </c>
      <c r="N1828" s="4">
        <f t="shared" si="228"/>
        <v>573</v>
      </c>
      <c r="O1828" s="4">
        <f t="shared" si="228"/>
        <v>13830</v>
      </c>
      <c r="P1828" s="4">
        <f t="shared" si="228"/>
        <v>0</v>
      </c>
      <c r="Q1828" s="4">
        <f t="shared" si="228"/>
        <v>3246</v>
      </c>
      <c r="R1828" s="4">
        <f t="shared" si="228"/>
        <v>3.75</v>
      </c>
      <c r="S1828" s="4">
        <f t="shared" si="228"/>
        <v>226.5</v>
      </c>
      <c r="T1828" s="4">
        <f t="shared" si="228"/>
        <v>0</v>
      </c>
      <c r="U1828" s="4">
        <f t="shared" si="228"/>
        <v>0</v>
      </c>
      <c r="V1828" s="4">
        <f t="shared" si="228"/>
        <v>0</v>
      </c>
    </row>
    <row r="1829" spans="1:22" x14ac:dyDescent="0.15">
      <c r="A1829" s="4" t="s">
        <v>2662</v>
      </c>
      <c r="D1829" s="4">
        <v>521</v>
      </c>
      <c r="E1829" s="4">
        <v>49</v>
      </c>
      <c r="H1829" s="29">
        <v>1001</v>
      </c>
      <c r="I1829" s="30">
        <v>0</v>
      </c>
      <c r="M1829" s="4">
        <f t="shared" ref="M1829:V1829" si="229">M213*$C$1623</f>
        <v>1422</v>
      </c>
      <c r="N1829" s="4">
        <f t="shared" si="229"/>
        <v>585</v>
      </c>
      <c r="O1829" s="4">
        <f t="shared" si="229"/>
        <v>14040</v>
      </c>
      <c r="P1829" s="4">
        <f t="shared" si="229"/>
        <v>0</v>
      </c>
      <c r="Q1829" s="4">
        <f t="shared" si="229"/>
        <v>3264</v>
      </c>
      <c r="R1829" s="4">
        <f t="shared" si="229"/>
        <v>3.75</v>
      </c>
      <c r="S1829" s="4">
        <f t="shared" si="229"/>
        <v>231</v>
      </c>
      <c r="T1829" s="4">
        <f t="shared" si="229"/>
        <v>0</v>
      </c>
      <c r="U1829" s="4">
        <f t="shared" si="229"/>
        <v>0</v>
      </c>
      <c r="V1829" s="4">
        <f t="shared" si="229"/>
        <v>0</v>
      </c>
    </row>
    <row r="1830" spans="1:22" x14ac:dyDescent="0.15">
      <c r="A1830" s="4" t="s">
        <v>2662</v>
      </c>
      <c r="D1830" s="4">
        <v>521</v>
      </c>
      <c r="E1830" s="4">
        <v>50</v>
      </c>
      <c r="H1830" s="29">
        <v>1001</v>
      </c>
      <c r="I1830" s="30">
        <v>0</v>
      </c>
      <c r="M1830" s="4">
        <f t="shared" ref="M1830:V1830" si="230">M214*$C$1623</f>
        <v>1446</v>
      </c>
      <c r="N1830" s="4">
        <f t="shared" si="230"/>
        <v>597</v>
      </c>
      <c r="O1830" s="4">
        <f t="shared" si="230"/>
        <v>14250</v>
      </c>
      <c r="P1830" s="4">
        <f t="shared" si="230"/>
        <v>0</v>
      </c>
      <c r="Q1830" s="4">
        <f t="shared" si="230"/>
        <v>3282</v>
      </c>
      <c r="R1830" s="4">
        <f t="shared" si="230"/>
        <v>3.75</v>
      </c>
      <c r="S1830" s="4">
        <f t="shared" si="230"/>
        <v>235.5</v>
      </c>
      <c r="T1830" s="4">
        <f t="shared" si="230"/>
        <v>0</v>
      </c>
      <c r="U1830" s="4">
        <f t="shared" si="230"/>
        <v>0</v>
      </c>
      <c r="V1830" s="4">
        <f t="shared" si="230"/>
        <v>0</v>
      </c>
    </row>
    <row r="1831" spans="1:22" x14ac:dyDescent="0.15">
      <c r="I1831" s="4"/>
      <c r="M1831" s="4">
        <f t="shared" ref="M1831:V1831" si="231">M215*$C$1623</f>
        <v>0</v>
      </c>
      <c r="N1831" s="4">
        <f t="shared" si="231"/>
        <v>0</v>
      </c>
      <c r="O1831" s="4">
        <f t="shared" si="231"/>
        <v>0</v>
      </c>
      <c r="P1831" s="4">
        <f t="shared" si="231"/>
        <v>0</v>
      </c>
      <c r="Q1831" s="4">
        <f t="shared" si="231"/>
        <v>0</v>
      </c>
      <c r="R1831" s="4">
        <f t="shared" si="231"/>
        <v>0</v>
      </c>
      <c r="S1831" s="4">
        <f t="shared" si="231"/>
        <v>0</v>
      </c>
      <c r="T1831" s="4">
        <f t="shared" si="231"/>
        <v>0</v>
      </c>
      <c r="U1831" s="4">
        <f t="shared" si="231"/>
        <v>0</v>
      </c>
      <c r="V1831" s="4">
        <f t="shared" si="231"/>
        <v>0</v>
      </c>
    </row>
    <row r="1832" spans="1:22" ht="16.5" x14ac:dyDescent="0.15">
      <c r="C1832" s="4" t="s">
        <v>3078</v>
      </c>
      <c r="D1832" s="4">
        <f>D1780+1</f>
        <v>522</v>
      </c>
      <c r="E1832" s="4">
        <v>0</v>
      </c>
      <c r="H1832" s="38">
        <v>2403</v>
      </c>
      <c r="I1832" s="31">
        <v>1</v>
      </c>
      <c r="L1832" s="8">
        <v>210</v>
      </c>
      <c r="M1832" s="4">
        <f t="shared" ref="M1832:V1832" si="232">M216*$C$1623</f>
        <v>0</v>
      </c>
      <c r="N1832" s="4">
        <f t="shared" si="232"/>
        <v>0</v>
      </c>
      <c r="O1832" s="4">
        <f t="shared" si="232"/>
        <v>0</v>
      </c>
      <c r="P1832" s="4">
        <f t="shared" si="232"/>
        <v>0</v>
      </c>
      <c r="Q1832" s="4">
        <f t="shared" si="232"/>
        <v>0</v>
      </c>
      <c r="R1832" s="4">
        <f t="shared" si="232"/>
        <v>0</v>
      </c>
      <c r="S1832" s="4">
        <f t="shared" si="232"/>
        <v>0</v>
      </c>
      <c r="T1832" s="4">
        <f t="shared" si="232"/>
        <v>0</v>
      </c>
      <c r="U1832" s="4">
        <f t="shared" si="232"/>
        <v>0</v>
      </c>
      <c r="V1832" s="4">
        <f t="shared" si="232"/>
        <v>0</v>
      </c>
    </row>
    <row r="1833" spans="1:22" x14ac:dyDescent="0.15">
      <c r="D1833" s="4">
        <f t="shared" ref="D1833:D1882" si="233">D1781+1</f>
        <v>522</v>
      </c>
      <c r="E1833" s="4">
        <v>1</v>
      </c>
      <c r="H1833" s="29">
        <v>1001</v>
      </c>
      <c r="I1833" s="30">
        <v>0</v>
      </c>
      <c r="M1833" s="4">
        <f t="shared" ref="M1833:V1833" si="234">M217*$C$1623</f>
        <v>432</v>
      </c>
      <c r="N1833" s="4">
        <f t="shared" si="234"/>
        <v>13.5</v>
      </c>
      <c r="O1833" s="4">
        <f t="shared" si="234"/>
        <v>5703</v>
      </c>
      <c r="P1833" s="4">
        <f t="shared" si="234"/>
        <v>0</v>
      </c>
      <c r="Q1833" s="4">
        <f t="shared" si="234"/>
        <v>3528</v>
      </c>
      <c r="R1833" s="4">
        <f t="shared" si="234"/>
        <v>3.75</v>
      </c>
      <c r="S1833" s="4">
        <f t="shared" si="234"/>
        <v>21</v>
      </c>
      <c r="T1833" s="4">
        <f t="shared" si="234"/>
        <v>0</v>
      </c>
      <c r="U1833" s="4">
        <f t="shared" si="234"/>
        <v>0</v>
      </c>
      <c r="V1833" s="4">
        <f t="shared" si="234"/>
        <v>0</v>
      </c>
    </row>
    <row r="1834" spans="1:22" x14ac:dyDescent="0.15">
      <c r="D1834" s="4">
        <f t="shared" si="233"/>
        <v>522</v>
      </c>
      <c r="E1834" s="4">
        <v>2</v>
      </c>
      <c r="H1834" s="29">
        <v>1001</v>
      </c>
      <c r="I1834" s="30">
        <v>0</v>
      </c>
      <c r="M1834" s="4">
        <f t="shared" ref="M1834:V1834" si="235">M218*$C$1623</f>
        <v>459</v>
      </c>
      <c r="N1834" s="4">
        <f t="shared" si="235"/>
        <v>25.5</v>
      </c>
      <c r="O1834" s="4">
        <f t="shared" si="235"/>
        <v>5943</v>
      </c>
      <c r="P1834" s="4">
        <f t="shared" si="235"/>
        <v>0</v>
      </c>
      <c r="Q1834" s="4">
        <f t="shared" si="235"/>
        <v>3546</v>
      </c>
      <c r="R1834" s="4">
        <f t="shared" si="235"/>
        <v>3.75</v>
      </c>
      <c r="S1834" s="4">
        <f t="shared" si="235"/>
        <v>25.5</v>
      </c>
      <c r="T1834" s="4">
        <f t="shared" si="235"/>
        <v>0</v>
      </c>
      <c r="U1834" s="4">
        <f t="shared" si="235"/>
        <v>0</v>
      </c>
      <c r="V1834" s="4">
        <f t="shared" si="235"/>
        <v>0</v>
      </c>
    </row>
    <row r="1835" spans="1:22" x14ac:dyDescent="0.15">
      <c r="D1835" s="4">
        <f t="shared" si="233"/>
        <v>522</v>
      </c>
      <c r="E1835" s="4">
        <v>3</v>
      </c>
      <c r="H1835" s="29">
        <v>1001</v>
      </c>
      <c r="I1835" s="30">
        <v>0</v>
      </c>
      <c r="M1835" s="4">
        <f t="shared" ref="M1835:V1835" si="236">M219*$C$1623</f>
        <v>486</v>
      </c>
      <c r="N1835" s="4">
        <f t="shared" si="236"/>
        <v>37.5</v>
      </c>
      <c r="O1835" s="4">
        <f t="shared" si="236"/>
        <v>6183</v>
      </c>
      <c r="P1835" s="4">
        <f t="shared" si="236"/>
        <v>0</v>
      </c>
      <c r="Q1835" s="4">
        <f t="shared" si="236"/>
        <v>3564</v>
      </c>
      <c r="R1835" s="4">
        <f t="shared" si="236"/>
        <v>3.75</v>
      </c>
      <c r="S1835" s="4">
        <f t="shared" si="236"/>
        <v>30</v>
      </c>
      <c r="T1835" s="4">
        <f t="shared" si="236"/>
        <v>0</v>
      </c>
      <c r="U1835" s="4">
        <f t="shared" si="236"/>
        <v>0</v>
      </c>
      <c r="V1835" s="4">
        <f t="shared" si="236"/>
        <v>0</v>
      </c>
    </row>
    <row r="1836" spans="1:22" x14ac:dyDescent="0.15">
      <c r="D1836" s="4">
        <f t="shared" si="233"/>
        <v>522</v>
      </c>
      <c r="E1836" s="4">
        <v>4</v>
      </c>
      <c r="H1836" s="29">
        <v>1001</v>
      </c>
      <c r="I1836" s="30">
        <v>0</v>
      </c>
      <c r="M1836" s="4">
        <f t="shared" ref="M1836:V1836" si="237">M220*$C$1623</f>
        <v>513</v>
      </c>
      <c r="N1836" s="4">
        <f t="shared" si="237"/>
        <v>49.5</v>
      </c>
      <c r="O1836" s="4">
        <f t="shared" si="237"/>
        <v>6423</v>
      </c>
      <c r="P1836" s="4">
        <f t="shared" si="237"/>
        <v>0</v>
      </c>
      <c r="Q1836" s="4">
        <f t="shared" si="237"/>
        <v>3582</v>
      </c>
      <c r="R1836" s="4">
        <f t="shared" si="237"/>
        <v>3.75</v>
      </c>
      <c r="S1836" s="4">
        <f t="shared" si="237"/>
        <v>34.5</v>
      </c>
      <c r="T1836" s="4">
        <f t="shared" si="237"/>
        <v>0</v>
      </c>
      <c r="U1836" s="4">
        <f t="shared" si="237"/>
        <v>0</v>
      </c>
      <c r="V1836" s="4">
        <f t="shared" si="237"/>
        <v>0</v>
      </c>
    </row>
    <row r="1837" spans="1:22" x14ac:dyDescent="0.15">
      <c r="D1837" s="4">
        <f t="shared" si="233"/>
        <v>522</v>
      </c>
      <c r="E1837" s="4">
        <v>5</v>
      </c>
      <c r="H1837" s="29">
        <v>1001</v>
      </c>
      <c r="I1837" s="30">
        <v>0</v>
      </c>
      <c r="M1837" s="4">
        <f t="shared" ref="M1837:V1837" si="238">M221*$C$1623</f>
        <v>540</v>
      </c>
      <c r="N1837" s="4">
        <f t="shared" si="238"/>
        <v>61.5</v>
      </c>
      <c r="O1837" s="4">
        <f t="shared" si="238"/>
        <v>6663</v>
      </c>
      <c r="P1837" s="4">
        <f t="shared" si="238"/>
        <v>0</v>
      </c>
      <c r="Q1837" s="4">
        <f t="shared" si="238"/>
        <v>3600</v>
      </c>
      <c r="R1837" s="4">
        <f t="shared" si="238"/>
        <v>3.75</v>
      </c>
      <c r="S1837" s="4">
        <f t="shared" si="238"/>
        <v>39</v>
      </c>
      <c r="T1837" s="4">
        <f t="shared" si="238"/>
        <v>0</v>
      </c>
      <c r="U1837" s="4">
        <f t="shared" si="238"/>
        <v>0</v>
      </c>
      <c r="V1837" s="4">
        <f t="shared" si="238"/>
        <v>0</v>
      </c>
    </row>
    <row r="1838" spans="1:22" x14ac:dyDescent="0.15">
      <c r="D1838" s="4">
        <f t="shared" si="233"/>
        <v>522</v>
      </c>
      <c r="E1838" s="4">
        <v>6</v>
      </c>
      <c r="H1838" s="29">
        <v>1001</v>
      </c>
      <c r="I1838" s="30">
        <v>0</v>
      </c>
      <c r="M1838" s="4">
        <f t="shared" ref="M1838:V1838" si="239">M222*$C$1623</f>
        <v>567</v>
      </c>
      <c r="N1838" s="4">
        <f t="shared" si="239"/>
        <v>73.5</v>
      </c>
      <c r="O1838" s="4">
        <f t="shared" si="239"/>
        <v>6903</v>
      </c>
      <c r="P1838" s="4">
        <f t="shared" si="239"/>
        <v>0</v>
      </c>
      <c r="Q1838" s="4">
        <f t="shared" si="239"/>
        <v>3618</v>
      </c>
      <c r="R1838" s="4">
        <f t="shared" si="239"/>
        <v>3.75</v>
      </c>
      <c r="S1838" s="4">
        <f t="shared" si="239"/>
        <v>43.5</v>
      </c>
      <c r="T1838" s="4">
        <f t="shared" si="239"/>
        <v>0</v>
      </c>
      <c r="U1838" s="4">
        <f t="shared" si="239"/>
        <v>0</v>
      </c>
      <c r="V1838" s="4">
        <f t="shared" si="239"/>
        <v>0</v>
      </c>
    </row>
    <row r="1839" spans="1:22" x14ac:dyDescent="0.15">
      <c r="D1839" s="4">
        <f t="shared" si="233"/>
        <v>522</v>
      </c>
      <c r="E1839" s="4">
        <v>7</v>
      </c>
      <c r="H1839" s="29">
        <v>1001</v>
      </c>
      <c r="I1839" s="30">
        <v>0</v>
      </c>
      <c r="M1839" s="4">
        <f t="shared" ref="M1839:V1839" si="240">M223*$C$1623</f>
        <v>594</v>
      </c>
      <c r="N1839" s="4">
        <f t="shared" si="240"/>
        <v>85.5</v>
      </c>
      <c r="O1839" s="4">
        <f t="shared" si="240"/>
        <v>7143</v>
      </c>
      <c r="P1839" s="4">
        <f t="shared" si="240"/>
        <v>0</v>
      </c>
      <c r="Q1839" s="4">
        <f t="shared" si="240"/>
        <v>3636</v>
      </c>
      <c r="R1839" s="4">
        <f t="shared" si="240"/>
        <v>3.75</v>
      </c>
      <c r="S1839" s="4">
        <f t="shared" si="240"/>
        <v>48</v>
      </c>
      <c r="T1839" s="4">
        <f t="shared" si="240"/>
        <v>0</v>
      </c>
      <c r="U1839" s="4">
        <f t="shared" si="240"/>
        <v>0</v>
      </c>
      <c r="V1839" s="4">
        <f t="shared" si="240"/>
        <v>0</v>
      </c>
    </row>
    <row r="1840" spans="1:22" x14ac:dyDescent="0.15">
      <c r="D1840" s="4">
        <f t="shared" si="233"/>
        <v>522</v>
      </c>
      <c r="E1840" s="4">
        <v>8</v>
      </c>
      <c r="H1840" s="29">
        <v>1001</v>
      </c>
      <c r="I1840" s="30">
        <v>0</v>
      </c>
      <c r="M1840" s="4">
        <f t="shared" ref="M1840:V1840" si="241">M224*$C$1623</f>
        <v>621</v>
      </c>
      <c r="N1840" s="4">
        <f t="shared" si="241"/>
        <v>97.5</v>
      </c>
      <c r="O1840" s="4">
        <f t="shared" si="241"/>
        <v>7383</v>
      </c>
      <c r="P1840" s="4">
        <f t="shared" si="241"/>
        <v>0</v>
      </c>
      <c r="Q1840" s="4">
        <f t="shared" si="241"/>
        <v>3654</v>
      </c>
      <c r="R1840" s="4">
        <f t="shared" si="241"/>
        <v>3.75</v>
      </c>
      <c r="S1840" s="4">
        <f t="shared" si="241"/>
        <v>52.5</v>
      </c>
      <c r="T1840" s="4">
        <f t="shared" si="241"/>
        <v>0</v>
      </c>
      <c r="U1840" s="4">
        <f t="shared" si="241"/>
        <v>0</v>
      </c>
      <c r="V1840" s="4">
        <f t="shared" si="241"/>
        <v>0</v>
      </c>
    </row>
    <row r="1841" spans="4:22" x14ac:dyDescent="0.15">
      <c r="D1841" s="4">
        <f t="shared" si="233"/>
        <v>522</v>
      </c>
      <c r="E1841" s="4">
        <v>9</v>
      </c>
      <c r="H1841" s="29">
        <v>1001</v>
      </c>
      <c r="I1841" s="30">
        <v>0</v>
      </c>
      <c r="M1841" s="4">
        <f t="shared" ref="M1841:V1841" si="242">M225*$C$1623</f>
        <v>648</v>
      </c>
      <c r="N1841" s="4">
        <f t="shared" si="242"/>
        <v>109.5</v>
      </c>
      <c r="O1841" s="4">
        <f t="shared" si="242"/>
        <v>7623</v>
      </c>
      <c r="P1841" s="4">
        <f t="shared" si="242"/>
        <v>0</v>
      </c>
      <c r="Q1841" s="4">
        <f t="shared" si="242"/>
        <v>3672</v>
      </c>
      <c r="R1841" s="4">
        <f t="shared" si="242"/>
        <v>3.75</v>
      </c>
      <c r="S1841" s="4">
        <f t="shared" si="242"/>
        <v>57</v>
      </c>
      <c r="T1841" s="4">
        <f t="shared" si="242"/>
        <v>0</v>
      </c>
      <c r="U1841" s="4">
        <f t="shared" si="242"/>
        <v>0</v>
      </c>
      <c r="V1841" s="4">
        <f t="shared" si="242"/>
        <v>0</v>
      </c>
    </row>
    <row r="1842" spans="4:22" x14ac:dyDescent="0.15">
      <c r="D1842" s="4">
        <f t="shared" si="233"/>
        <v>522</v>
      </c>
      <c r="E1842" s="4">
        <v>10</v>
      </c>
      <c r="H1842" s="29">
        <v>1001</v>
      </c>
      <c r="I1842" s="30">
        <v>0</v>
      </c>
      <c r="M1842" s="4">
        <f t="shared" ref="M1842:V1842" si="243">M226*$C$1623</f>
        <v>675</v>
      </c>
      <c r="N1842" s="4">
        <f t="shared" si="243"/>
        <v>121.5</v>
      </c>
      <c r="O1842" s="4">
        <f t="shared" si="243"/>
        <v>7863</v>
      </c>
      <c r="P1842" s="4">
        <f t="shared" si="243"/>
        <v>0</v>
      </c>
      <c r="Q1842" s="4">
        <f t="shared" si="243"/>
        <v>3690</v>
      </c>
      <c r="R1842" s="4">
        <f t="shared" si="243"/>
        <v>3.75</v>
      </c>
      <c r="S1842" s="4">
        <f t="shared" si="243"/>
        <v>61.5</v>
      </c>
      <c r="T1842" s="4">
        <f t="shared" si="243"/>
        <v>0</v>
      </c>
      <c r="U1842" s="4">
        <f t="shared" si="243"/>
        <v>0</v>
      </c>
      <c r="V1842" s="4">
        <f t="shared" si="243"/>
        <v>0</v>
      </c>
    </row>
    <row r="1843" spans="4:22" x14ac:dyDescent="0.15">
      <c r="D1843" s="4">
        <f t="shared" si="233"/>
        <v>522</v>
      </c>
      <c r="E1843" s="4">
        <v>11</v>
      </c>
      <c r="H1843" s="29">
        <v>1001</v>
      </c>
      <c r="I1843" s="30">
        <v>0</v>
      </c>
      <c r="M1843" s="4">
        <f t="shared" ref="M1843:V1843" si="244">M227*$C$1623</f>
        <v>702</v>
      </c>
      <c r="N1843" s="4">
        <f t="shared" si="244"/>
        <v>133.5</v>
      </c>
      <c r="O1843" s="4">
        <f t="shared" si="244"/>
        <v>8103</v>
      </c>
      <c r="P1843" s="4">
        <f t="shared" si="244"/>
        <v>0</v>
      </c>
      <c r="Q1843" s="4">
        <f t="shared" si="244"/>
        <v>3708</v>
      </c>
      <c r="R1843" s="4">
        <f t="shared" si="244"/>
        <v>3.75</v>
      </c>
      <c r="S1843" s="4">
        <f t="shared" si="244"/>
        <v>66</v>
      </c>
      <c r="T1843" s="4">
        <f t="shared" si="244"/>
        <v>0</v>
      </c>
      <c r="U1843" s="4">
        <f t="shared" si="244"/>
        <v>0</v>
      </c>
      <c r="V1843" s="4">
        <f t="shared" si="244"/>
        <v>0</v>
      </c>
    </row>
    <row r="1844" spans="4:22" x14ac:dyDescent="0.15">
      <c r="D1844" s="4">
        <f t="shared" si="233"/>
        <v>522</v>
      </c>
      <c r="E1844" s="4">
        <v>12</v>
      </c>
      <c r="H1844" s="29">
        <v>1001</v>
      </c>
      <c r="I1844" s="30">
        <v>0</v>
      </c>
      <c r="M1844" s="4">
        <f t="shared" ref="M1844:V1844" si="245">M228*$C$1623</f>
        <v>729</v>
      </c>
      <c r="N1844" s="4">
        <f t="shared" si="245"/>
        <v>145.5</v>
      </c>
      <c r="O1844" s="4">
        <f t="shared" si="245"/>
        <v>8343</v>
      </c>
      <c r="P1844" s="4">
        <f t="shared" si="245"/>
        <v>0</v>
      </c>
      <c r="Q1844" s="4">
        <f t="shared" si="245"/>
        <v>3726</v>
      </c>
      <c r="R1844" s="4">
        <f t="shared" si="245"/>
        <v>3.75</v>
      </c>
      <c r="S1844" s="4">
        <f t="shared" si="245"/>
        <v>70.5</v>
      </c>
      <c r="T1844" s="4">
        <f t="shared" si="245"/>
        <v>0</v>
      </c>
      <c r="U1844" s="4">
        <f t="shared" si="245"/>
        <v>0</v>
      </c>
      <c r="V1844" s="4">
        <f t="shared" si="245"/>
        <v>0</v>
      </c>
    </row>
    <row r="1845" spans="4:22" x14ac:dyDescent="0.15">
      <c r="D1845" s="4">
        <f t="shared" si="233"/>
        <v>522</v>
      </c>
      <c r="E1845" s="4">
        <v>13</v>
      </c>
      <c r="H1845" s="29">
        <v>1001</v>
      </c>
      <c r="I1845" s="30">
        <v>0</v>
      </c>
      <c r="M1845" s="4">
        <f t="shared" ref="M1845:V1845" si="246">M229*$C$1623</f>
        <v>756</v>
      </c>
      <c r="N1845" s="4">
        <f t="shared" si="246"/>
        <v>157.5</v>
      </c>
      <c r="O1845" s="4">
        <f t="shared" si="246"/>
        <v>8583</v>
      </c>
      <c r="P1845" s="4">
        <f t="shared" si="246"/>
        <v>0</v>
      </c>
      <c r="Q1845" s="4">
        <f t="shared" si="246"/>
        <v>3744</v>
      </c>
      <c r="R1845" s="4">
        <f t="shared" si="246"/>
        <v>3.75</v>
      </c>
      <c r="S1845" s="4">
        <f t="shared" si="246"/>
        <v>75</v>
      </c>
      <c r="T1845" s="4">
        <f t="shared" si="246"/>
        <v>0</v>
      </c>
      <c r="U1845" s="4">
        <f t="shared" si="246"/>
        <v>0</v>
      </c>
      <c r="V1845" s="4">
        <f t="shared" si="246"/>
        <v>0</v>
      </c>
    </row>
    <row r="1846" spans="4:22" x14ac:dyDescent="0.15">
      <c r="D1846" s="4">
        <f t="shared" si="233"/>
        <v>522</v>
      </c>
      <c r="E1846" s="4">
        <v>14</v>
      </c>
      <c r="H1846" s="29">
        <v>1001</v>
      </c>
      <c r="I1846" s="30">
        <v>0</v>
      </c>
      <c r="M1846" s="4">
        <f t="shared" ref="M1846:V1846" si="247">M230*$C$1623</f>
        <v>783</v>
      </c>
      <c r="N1846" s="4">
        <f t="shared" si="247"/>
        <v>169.5</v>
      </c>
      <c r="O1846" s="4">
        <f t="shared" si="247"/>
        <v>8823</v>
      </c>
      <c r="P1846" s="4">
        <f t="shared" si="247"/>
        <v>0</v>
      </c>
      <c r="Q1846" s="4">
        <f t="shared" si="247"/>
        <v>3762</v>
      </c>
      <c r="R1846" s="4">
        <f t="shared" si="247"/>
        <v>3.75</v>
      </c>
      <c r="S1846" s="4">
        <f t="shared" si="247"/>
        <v>79.5</v>
      </c>
      <c r="T1846" s="4">
        <f t="shared" si="247"/>
        <v>0</v>
      </c>
      <c r="U1846" s="4">
        <f t="shared" si="247"/>
        <v>0</v>
      </c>
      <c r="V1846" s="4">
        <f t="shared" si="247"/>
        <v>0</v>
      </c>
    </row>
    <row r="1847" spans="4:22" x14ac:dyDescent="0.15">
      <c r="D1847" s="4">
        <f t="shared" si="233"/>
        <v>522</v>
      </c>
      <c r="E1847" s="4">
        <v>15</v>
      </c>
      <c r="H1847" s="29">
        <v>1001</v>
      </c>
      <c r="I1847" s="30">
        <v>0</v>
      </c>
      <c r="M1847" s="4">
        <f t="shared" ref="M1847:V1847" si="248">M231*$C$1623</f>
        <v>810</v>
      </c>
      <c r="N1847" s="4">
        <f t="shared" si="248"/>
        <v>181.5</v>
      </c>
      <c r="O1847" s="4">
        <f t="shared" si="248"/>
        <v>9063</v>
      </c>
      <c r="P1847" s="4">
        <f t="shared" si="248"/>
        <v>0</v>
      </c>
      <c r="Q1847" s="4">
        <f t="shared" si="248"/>
        <v>3780</v>
      </c>
      <c r="R1847" s="4">
        <f t="shared" si="248"/>
        <v>3.75</v>
      </c>
      <c r="S1847" s="4">
        <f t="shared" si="248"/>
        <v>84</v>
      </c>
      <c r="T1847" s="4">
        <f t="shared" si="248"/>
        <v>0</v>
      </c>
      <c r="U1847" s="4">
        <f t="shared" si="248"/>
        <v>0</v>
      </c>
      <c r="V1847" s="4">
        <f t="shared" si="248"/>
        <v>0</v>
      </c>
    </row>
    <row r="1848" spans="4:22" x14ac:dyDescent="0.15">
      <c r="D1848" s="4">
        <f t="shared" si="233"/>
        <v>522</v>
      </c>
      <c r="E1848" s="4">
        <v>16</v>
      </c>
      <c r="H1848" s="29">
        <v>1001</v>
      </c>
      <c r="I1848" s="30">
        <v>0</v>
      </c>
      <c r="M1848" s="4">
        <f t="shared" ref="M1848:V1848" si="249">M232*$C$1623</f>
        <v>837</v>
      </c>
      <c r="N1848" s="4">
        <f t="shared" si="249"/>
        <v>193.5</v>
      </c>
      <c r="O1848" s="4">
        <f t="shared" si="249"/>
        <v>9303</v>
      </c>
      <c r="P1848" s="4">
        <f t="shared" si="249"/>
        <v>0</v>
      </c>
      <c r="Q1848" s="4">
        <f t="shared" si="249"/>
        <v>3798</v>
      </c>
      <c r="R1848" s="4">
        <f t="shared" si="249"/>
        <v>3.75</v>
      </c>
      <c r="S1848" s="4">
        <f t="shared" si="249"/>
        <v>88.5</v>
      </c>
      <c r="T1848" s="4">
        <f t="shared" si="249"/>
        <v>0</v>
      </c>
      <c r="U1848" s="4">
        <f t="shared" si="249"/>
        <v>0</v>
      </c>
      <c r="V1848" s="4">
        <f t="shared" si="249"/>
        <v>0</v>
      </c>
    </row>
    <row r="1849" spans="4:22" x14ac:dyDescent="0.15">
      <c r="D1849" s="4">
        <f t="shared" si="233"/>
        <v>522</v>
      </c>
      <c r="E1849" s="4">
        <v>17</v>
      </c>
      <c r="H1849" s="29">
        <v>1001</v>
      </c>
      <c r="I1849" s="30">
        <v>0</v>
      </c>
      <c r="M1849" s="4">
        <f t="shared" ref="M1849:V1849" si="250">M233*$C$1623</f>
        <v>864</v>
      </c>
      <c r="N1849" s="4">
        <f t="shared" si="250"/>
        <v>205.5</v>
      </c>
      <c r="O1849" s="4">
        <f t="shared" si="250"/>
        <v>9543</v>
      </c>
      <c r="P1849" s="4">
        <f t="shared" si="250"/>
        <v>0</v>
      </c>
      <c r="Q1849" s="4">
        <f t="shared" si="250"/>
        <v>3816</v>
      </c>
      <c r="R1849" s="4">
        <f t="shared" si="250"/>
        <v>3.75</v>
      </c>
      <c r="S1849" s="4">
        <f t="shared" si="250"/>
        <v>93</v>
      </c>
      <c r="T1849" s="4">
        <f t="shared" si="250"/>
        <v>0</v>
      </c>
      <c r="U1849" s="4">
        <f t="shared" si="250"/>
        <v>0</v>
      </c>
      <c r="V1849" s="4">
        <f t="shared" si="250"/>
        <v>0</v>
      </c>
    </row>
    <row r="1850" spans="4:22" x14ac:dyDescent="0.15">
      <c r="D1850" s="4">
        <f t="shared" si="233"/>
        <v>522</v>
      </c>
      <c r="E1850" s="4">
        <v>18</v>
      </c>
      <c r="H1850" s="29">
        <v>1001</v>
      </c>
      <c r="I1850" s="30">
        <v>0</v>
      </c>
      <c r="M1850" s="4">
        <f t="shared" ref="M1850:V1850" si="251">M234*$C$1623</f>
        <v>891</v>
      </c>
      <c r="N1850" s="4">
        <f t="shared" si="251"/>
        <v>217.5</v>
      </c>
      <c r="O1850" s="4">
        <f t="shared" si="251"/>
        <v>9783</v>
      </c>
      <c r="P1850" s="4">
        <f t="shared" si="251"/>
        <v>0</v>
      </c>
      <c r="Q1850" s="4">
        <f t="shared" si="251"/>
        <v>3834</v>
      </c>
      <c r="R1850" s="4">
        <f t="shared" si="251"/>
        <v>3.75</v>
      </c>
      <c r="S1850" s="4">
        <f t="shared" si="251"/>
        <v>97.5</v>
      </c>
      <c r="T1850" s="4">
        <f t="shared" si="251"/>
        <v>0</v>
      </c>
      <c r="U1850" s="4">
        <f t="shared" si="251"/>
        <v>0</v>
      </c>
      <c r="V1850" s="4">
        <f t="shared" si="251"/>
        <v>0</v>
      </c>
    </row>
    <row r="1851" spans="4:22" x14ac:dyDescent="0.15">
      <c r="D1851" s="4">
        <f t="shared" si="233"/>
        <v>522</v>
      </c>
      <c r="E1851" s="4">
        <v>19</v>
      </c>
      <c r="H1851" s="29">
        <v>1001</v>
      </c>
      <c r="I1851" s="30">
        <v>0</v>
      </c>
      <c r="M1851" s="4">
        <f t="shared" ref="M1851:V1851" si="252">M235*$C$1623</f>
        <v>918</v>
      </c>
      <c r="N1851" s="4">
        <f t="shared" si="252"/>
        <v>229.5</v>
      </c>
      <c r="O1851" s="4">
        <f t="shared" si="252"/>
        <v>10023</v>
      </c>
      <c r="P1851" s="4">
        <f t="shared" si="252"/>
        <v>0</v>
      </c>
      <c r="Q1851" s="4">
        <f t="shared" si="252"/>
        <v>3852</v>
      </c>
      <c r="R1851" s="4">
        <f t="shared" si="252"/>
        <v>3.75</v>
      </c>
      <c r="S1851" s="4">
        <f t="shared" si="252"/>
        <v>102</v>
      </c>
      <c r="T1851" s="4">
        <f t="shared" si="252"/>
        <v>0</v>
      </c>
      <c r="U1851" s="4">
        <f t="shared" si="252"/>
        <v>0</v>
      </c>
      <c r="V1851" s="4">
        <f t="shared" si="252"/>
        <v>0</v>
      </c>
    </row>
    <row r="1852" spans="4:22" x14ac:dyDescent="0.15">
      <c r="D1852" s="4">
        <f t="shared" si="233"/>
        <v>522</v>
      </c>
      <c r="E1852" s="4">
        <v>20</v>
      </c>
      <c r="H1852" s="29">
        <v>1001</v>
      </c>
      <c r="I1852" s="30">
        <v>0</v>
      </c>
      <c r="M1852" s="4">
        <f t="shared" ref="M1852:V1852" si="253">M236*$C$1623</f>
        <v>945</v>
      </c>
      <c r="N1852" s="4">
        <f t="shared" si="253"/>
        <v>241.5</v>
      </c>
      <c r="O1852" s="4">
        <f t="shared" si="253"/>
        <v>10263</v>
      </c>
      <c r="P1852" s="4">
        <f t="shared" si="253"/>
        <v>0</v>
      </c>
      <c r="Q1852" s="4">
        <f t="shared" si="253"/>
        <v>3870</v>
      </c>
      <c r="R1852" s="4">
        <f t="shared" si="253"/>
        <v>3.75</v>
      </c>
      <c r="S1852" s="4">
        <f t="shared" si="253"/>
        <v>106.5</v>
      </c>
      <c r="T1852" s="4">
        <f t="shared" si="253"/>
        <v>0</v>
      </c>
      <c r="U1852" s="4">
        <f t="shared" si="253"/>
        <v>0</v>
      </c>
      <c r="V1852" s="4">
        <f t="shared" si="253"/>
        <v>0</v>
      </c>
    </row>
    <row r="1853" spans="4:22" x14ac:dyDescent="0.15">
      <c r="D1853" s="4">
        <f t="shared" si="233"/>
        <v>522</v>
      </c>
      <c r="E1853" s="4">
        <v>21</v>
      </c>
      <c r="H1853" s="29">
        <v>1001</v>
      </c>
      <c r="I1853" s="30">
        <v>0</v>
      </c>
      <c r="M1853" s="4">
        <f t="shared" ref="M1853:V1853" si="254">M237*$C$1623</f>
        <v>972</v>
      </c>
      <c r="N1853" s="4">
        <f t="shared" si="254"/>
        <v>253.5</v>
      </c>
      <c r="O1853" s="4">
        <f t="shared" si="254"/>
        <v>10503</v>
      </c>
      <c r="P1853" s="4">
        <f t="shared" si="254"/>
        <v>0</v>
      </c>
      <c r="Q1853" s="4">
        <f t="shared" si="254"/>
        <v>3888</v>
      </c>
      <c r="R1853" s="4">
        <f t="shared" si="254"/>
        <v>3.75</v>
      </c>
      <c r="S1853" s="4">
        <f t="shared" si="254"/>
        <v>111</v>
      </c>
      <c r="T1853" s="4">
        <f t="shared" si="254"/>
        <v>0</v>
      </c>
      <c r="U1853" s="4">
        <f t="shared" si="254"/>
        <v>0</v>
      </c>
      <c r="V1853" s="4">
        <f t="shared" si="254"/>
        <v>0</v>
      </c>
    </row>
    <row r="1854" spans="4:22" x14ac:dyDescent="0.15">
      <c r="D1854" s="4">
        <f t="shared" si="233"/>
        <v>522</v>
      </c>
      <c r="E1854" s="4">
        <v>22</v>
      </c>
      <c r="H1854" s="29">
        <v>1001</v>
      </c>
      <c r="I1854" s="30">
        <v>0</v>
      </c>
      <c r="M1854" s="4">
        <f t="shared" ref="M1854:V1854" si="255">M238*$C$1623</f>
        <v>999</v>
      </c>
      <c r="N1854" s="4">
        <f t="shared" si="255"/>
        <v>265.5</v>
      </c>
      <c r="O1854" s="4">
        <f t="shared" si="255"/>
        <v>10743</v>
      </c>
      <c r="P1854" s="4">
        <f t="shared" si="255"/>
        <v>0</v>
      </c>
      <c r="Q1854" s="4">
        <f t="shared" si="255"/>
        <v>3906</v>
      </c>
      <c r="R1854" s="4">
        <f t="shared" si="255"/>
        <v>3.75</v>
      </c>
      <c r="S1854" s="4">
        <f t="shared" si="255"/>
        <v>115.5</v>
      </c>
      <c r="T1854" s="4">
        <f t="shared" si="255"/>
        <v>0</v>
      </c>
      <c r="U1854" s="4">
        <f t="shared" si="255"/>
        <v>0</v>
      </c>
      <c r="V1854" s="4">
        <f t="shared" si="255"/>
        <v>0</v>
      </c>
    </row>
    <row r="1855" spans="4:22" x14ac:dyDescent="0.15">
      <c r="D1855" s="4">
        <f t="shared" si="233"/>
        <v>522</v>
      </c>
      <c r="E1855" s="4">
        <v>23</v>
      </c>
      <c r="H1855" s="29">
        <v>1001</v>
      </c>
      <c r="I1855" s="30">
        <v>0</v>
      </c>
      <c r="M1855" s="4">
        <f t="shared" ref="M1855:V1855" si="256">M239*$C$1623</f>
        <v>1026</v>
      </c>
      <c r="N1855" s="4">
        <f t="shared" si="256"/>
        <v>277.5</v>
      </c>
      <c r="O1855" s="4">
        <f t="shared" si="256"/>
        <v>10983</v>
      </c>
      <c r="P1855" s="4">
        <f t="shared" si="256"/>
        <v>0</v>
      </c>
      <c r="Q1855" s="4">
        <f t="shared" si="256"/>
        <v>3924</v>
      </c>
      <c r="R1855" s="4">
        <f t="shared" si="256"/>
        <v>3.75</v>
      </c>
      <c r="S1855" s="4">
        <f t="shared" si="256"/>
        <v>120</v>
      </c>
      <c r="T1855" s="4">
        <f t="shared" si="256"/>
        <v>0</v>
      </c>
      <c r="U1855" s="4">
        <f t="shared" si="256"/>
        <v>0</v>
      </c>
      <c r="V1855" s="4">
        <f t="shared" si="256"/>
        <v>0</v>
      </c>
    </row>
    <row r="1856" spans="4:22" x14ac:dyDescent="0.15">
      <c r="D1856" s="4">
        <f t="shared" si="233"/>
        <v>522</v>
      </c>
      <c r="E1856" s="4">
        <v>24</v>
      </c>
      <c r="H1856" s="29">
        <v>1001</v>
      </c>
      <c r="I1856" s="30">
        <v>0</v>
      </c>
      <c r="M1856" s="4">
        <f t="shared" ref="M1856:V1856" si="257">M240*$C$1623</f>
        <v>1053</v>
      </c>
      <c r="N1856" s="4">
        <f t="shared" si="257"/>
        <v>289.5</v>
      </c>
      <c r="O1856" s="4">
        <f t="shared" si="257"/>
        <v>11223</v>
      </c>
      <c r="P1856" s="4">
        <f t="shared" si="257"/>
        <v>0</v>
      </c>
      <c r="Q1856" s="4">
        <f t="shared" si="257"/>
        <v>3942</v>
      </c>
      <c r="R1856" s="4">
        <f t="shared" si="257"/>
        <v>3.75</v>
      </c>
      <c r="S1856" s="4">
        <f t="shared" si="257"/>
        <v>124.5</v>
      </c>
      <c r="T1856" s="4">
        <f t="shared" si="257"/>
        <v>0</v>
      </c>
      <c r="U1856" s="4">
        <f t="shared" si="257"/>
        <v>0</v>
      </c>
      <c r="V1856" s="4">
        <f t="shared" si="257"/>
        <v>0</v>
      </c>
    </row>
    <row r="1857" spans="4:22" x14ac:dyDescent="0.15">
      <c r="D1857" s="4">
        <f t="shared" si="233"/>
        <v>522</v>
      </c>
      <c r="E1857" s="4">
        <v>25</v>
      </c>
      <c r="H1857" s="29">
        <v>1001</v>
      </c>
      <c r="I1857" s="30">
        <v>0</v>
      </c>
      <c r="M1857" s="4">
        <f t="shared" ref="M1857:V1857" si="258">M241*$C$1623</f>
        <v>1080</v>
      </c>
      <c r="N1857" s="4">
        <f t="shared" si="258"/>
        <v>301.5</v>
      </c>
      <c r="O1857" s="4">
        <f t="shared" si="258"/>
        <v>11463</v>
      </c>
      <c r="P1857" s="4">
        <f t="shared" si="258"/>
        <v>0</v>
      </c>
      <c r="Q1857" s="4">
        <f t="shared" si="258"/>
        <v>3960</v>
      </c>
      <c r="R1857" s="4">
        <f t="shared" si="258"/>
        <v>3.75</v>
      </c>
      <c r="S1857" s="4">
        <f t="shared" si="258"/>
        <v>129</v>
      </c>
      <c r="T1857" s="4">
        <f t="shared" si="258"/>
        <v>0</v>
      </c>
      <c r="U1857" s="4">
        <f t="shared" si="258"/>
        <v>0</v>
      </c>
      <c r="V1857" s="4">
        <f t="shared" si="258"/>
        <v>0</v>
      </c>
    </row>
    <row r="1858" spans="4:22" x14ac:dyDescent="0.15">
      <c r="D1858" s="4">
        <f t="shared" si="233"/>
        <v>522</v>
      </c>
      <c r="E1858" s="4">
        <v>26</v>
      </c>
      <c r="H1858" s="29">
        <v>1001</v>
      </c>
      <c r="I1858" s="30">
        <v>0</v>
      </c>
      <c r="M1858" s="4">
        <f t="shared" ref="M1858:V1858" si="259">M242*$C$1623</f>
        <v>1107</v>
      </c>
      <c r="N1858" s="4">
        <f t="shared" si="259"/>
        <v>313.5</v>
      </c>
      <c r="O1858" s="4">
        <f t="shared" si="259"/>
        <v>11703</v>
      </c>
      <c r="P1858" s="4">
        <f t="shared" si="259"/>
        <v>0</v>
      </c>
      <c r="Q1858" s="4">
        <f t="shared" si="259"/>
        <v>3978</v>
      </c>
      <c r="R1858" s="4">
        <f t="shared" si="259"/>
        <v>3.75</v>
      </c>
      <c r="S1858" s="4">
        <f t="shared" si="259"/>
        <v>133.5</v>
      </c>
      <c r="T1858" s="4">
        <f t="shared" si="259"/>
        <v>0</v>
      </c>
      <c r="U1858" s="4">
        <f t="shared" si="259"/>
        <v>0</v>
      </c>
      <c r="V1858" s="4">
        <f t="shared" si="259"/>
        <v>0</v>
      </c>
    </row>
    <row r="1859" spans="4:22" x14ac:dyDescent="0.15">
      <c r="D1859" s="4">
        <f t="shared" si="233"/>
        <v>522</v>
      </c>
      <c r="E1859" s="4">
        <v>27</v>
      </c>
      <c r="H1859" s="29">
        <v>1001</v>
      </c>
      <c r="I1859" s="30">
        <v>0</v>
      </c>
      <c r="M1859" s="4">
        <f t="shared" ref="M1859:V1859" si="260">M243*$C$1623</f>
        <v>1134</v>
      </c>
      <c r="N1859" s="4">
        <f t="shared" si="260"/>
        <v>325.5</v>
      </c>
      <c r="O1859" s="4">
        <f t="shared" si="260"/>
        <v>11943</v>
      </c>
      <c r="P1859" s="4">
        <f t="shared" si="260"/>
        <v>0</v>
      </c>
      <c r="Q1859" s="4">
        <f t="shared" si="260"/>
        <v>3996</v>
      </c>
      <c r="R1859" s="4">
        <f t="shared" si="260"/>
        <v>3.75</v>
      </c>
      <c r="S1859" s="4">
        <f t="shared" si="260"/>
        <v>138</v>
      </c>
      <c r="T1859" s="4">
        <f t="shared" si="260"/>
        <v>0</v>
      </c>
      <c r="U1859" s="4">
        <f t="shared" si="260"/>
        <v>0</v>
      </c>
      <c r="V1859" s="4">
        <f t="shared" si="260"/>
        <v>0</v>
      </c>
    </row>
    <row r="1860" spans="4:22" x14ac:dyDescent="0.15">
      <c r="D1860" s="4">
        <f t="shared" si="233"/>
        <v>522</v>
      </c>
      <c r="E1860" s="4">
        <v>28</v>
      </c>
      <c r="H1860" s="29">
        <v>1001</v>
      </c>
      <c r="I1860" s="30">
        <v>0</v>
      </c>
      <c r="M1860" s="4">
        <f t="shared" ref="M1860:V1860" si="261">M244*$C$1623</f>
        <v>1161</v>
      </c>
      <c r="N1860" s="4">
        <f t="shared" si="261"/>
        <v>337.5</v>
      </c>
      <c r="O1860" s="4">
        <f t="shared" si="261"/>
        <v>12183</v>
      </c>
      <c r="P1860" s="4">
        <f t="shared" si="261"/>
        <v>0</v>
      </c>
      <c r="Q1860" s="4">
        <f t="shared" si="261"/>
        <v>4014</v>
      </c>
      <c r="R1860" s="4">
        <f t="shared" si="261"/>
        <v>3.75</v>
      </c>
      <c r="S1860" s="4">
        <f t="shared" si="261"/>
        <v>142.5</v>
      </c>
      <c r="T1860" s="4">
        <f t="shared" si="261"/>
        <v>0</v>
      </c>
      <c r="U1860" s="4">
        <f t="shared" si="261"/>
        <v>0</v>
      </c>
      <c r="V1860" s="4">
        <f t="shared" si="261"/>
        <v>0</v>
      </c>
    </row>
    <row r="1861" spans="4:22" x14ac:dyDescent="0.15">
      <c r="D1861" s="4">
        <f t="shared" si="233"/>
        <v>522</v>
      </c>
      <c r="E1861" s="4">
        <v>29</v>
      </c>
      <c r="H1861" s="29">
        <v>1001</v>
      </c>
      <c r="I1861" s="30">
        <v>0</v>
      </c>
      <c r="M1861" s="4">
        <f t="shared" ref="M1861:V1861" si="262">M245*$C$1623</f>
        <v>1188</v>
      </c>
      <c r="N1861" s="4">
        <f t="shared" si="262"/>
        <v>349.5</v>
      </c>
      <c r="O1861" s="4">
        <f t="shared" si="262"/>
        <v>12423</v>
      </c>
      <c r="P1861" s="4">
        <f t="shared" si="262"/>
        <v>0</v>
      </c>
      <c r="Q1861" s="4">
        <f t="shared" si="262"/>
        <v>4032</v>
      </c>
      <c r="R1861" s="4">
        <f t="shared" si="262"/>
        <v>3.75</v>
      </c>
      <c r="S1861" s="4">
        <f t="shared" si="262"/>
        <v>147</v>
      </c>
      <c r="T1861" s="4">
        <f t="shared" si="262"/>
        <v>0</v>
      </c>
      <c r="U1861" s="4">
        <f t="shared" si="262"/>
        <v>0</v>
      </c>
      <c r="V1861" s="4">
        <f t="shared" si="262"/>
        <v>0</v>
      </c>
    </row>
    <row r="1862" spans="4:22" x14ac:dyDescent="0.15">
      <c r="D1862" s="4">
        <f t="shared" si="233"/>
        <v>522</v>
      </c>
      <c r="E1862" s="4">
        <v>30</v>
      </c>
      <c r="H1862" s="29">
        <v>1001</v>
      </c>
      <c r="I1862" s="30">
        <v>0</v>
      </c>
      <c r="M1862" s="4">
        <f t="shared" ref="M1862:V1862" si="263">M246*$C$1623</f>
        <v>1215</v>
      </c>
      <c r="N1862" s="4">
        <f t="shared" si="263"/>
        <v>361.5</v>
      </c>
      <c r="O1862" s="4">
        <f t="shared" si="263"/>
        <v>12663</v>
      </c>
      <c r="P1862" s="4">
        <f t="shared" si="263"/>
        <v>0</v>
      </c>
      <c r="Q1862" s="4">
        <f t="shared" si="263"/>
        <v>4050</v>
      </c>
      <c r="R1862" s="4">
        <f t="shared" si="263"/>
        <v>3.75</v>
      </c>
      <c r="S1862" s="4">
        <f t="shared" si="263"/>
        <v>151.5</v>
      </c>
      <c r="T1862" s="4">
        <f t="shared" si="263"/>
        <v>0</v>
      </c>
      <c r="U1862" s="4">
        <f t="shared" si="263"/>
        <v>0</v>
      </c>
      <c r="V1862" s="4">
        <f t="shared" si="263"/>
        <v>0</v>
      </c>
    </row>
    <row r="1863" spans="4:22" x14ac:dyDescent="0.15">
      <c r="D1863" s="4">
        <f t="shared" si="233"/>
        <v>522</v>
      </c>
      <c r="E1863" s="4">
        <v>31</v>
      </c>
      <c r="H1863" s="29">
        <v>1001</v>
      </c>
      <c r="I1863" s="30">
        <v>0</v>
      </c>
      <c r="M1863" s="4">
        <f t="shared" ref="M1863:V1863" si="264">M247*$C$1623</f>
        <v>1242</v>
      </c>
      <c r="N1863" s="4">
        <f t="shared" si="264"/>
        <v>373.5</v>
      </c>
      <c r="O1863" s="4">
        <f t="shared" si="264"/>
        <v>12903</v>
      </c>
      <c r="P1863" s="4">
        <f t="shared" si="264"/>
        <v>0</v>
      </c>
      <c r="Q1863" s="4">
        <f t="shared" si="264"/>
        <v>4068</v>
      </c>
      <c r="R1863" s="4">
        <f t="shared" si="264"/>
        <v>3.75</v>
      </c>
      <c r="S1863" s="4">
        <f t="shared" si="264"/>
        <v>156</v>
      </c>
      <c r="T1863" s="4">
        <f t="shared" si="264"/>
        <v>0</v>
      </c>
      <c r="U1863" s="4">
        <f t="shared" si="264"/>
        <v>0</v>
      </c>
      <c r="V1863" s="4">
        <f t="shared" si="264"/>
        <v>0</v>
      </c>
    </row>
    <row r="1864" spans="4:22" x14ac:dyDescent="0.15">
      <c r="D1864" s="4">
        <f t="shared" si="233"/>
        <v>522</v>
      </c>
      <c r="E1864" s="4">
        <v>32</v>
      </c>
      <c r="H1864" s="29">
        <v>1001</v>
      </c>
      <c r="I1864" s="30">
        <v>0</v>
      </c>
      <c r="M1864" s="4">
        <f t="shared" ref="M1864:V1864" si="265">M248*$C$1623</f>
        <v>1269</v>
      </c>
      <c r="N1864" s="4">
        <f t="shared" si="265"/>
        <v>385.5</v>
      </c>
      <c r="O1864" s="4">
        <f t="shared" si="265"/>
        <v>13143</v>
      </c>
      <c r="P1864" s="4">
        <f t="shared" si="265"/>
        <v>0</v>
      </c>
      <c r="Q1864" s="4">
        <f t="shared" si="265"/>
        <v>4086</v>
      </c>
      <c r="R1864" s="4">
        <f t="shared" si="265"/>
        <v>3.75</v>
      </c>
      <c r="S1864" s="4">
        <f t="shared" si="265"/>
        <v>160.5</v>
      </c>
      <c r="T1864" s="4">
        <f t="shared" si="265"/>
        <v>0</v>
      </c>
      <c r="U1864" s="4">
        <f t="shared" si="265"/>
        <v>0</v>
      </c>
      <c r="V1864" s="4">
        <f t="shared" si="265"/>
        <v>0</v>
      </c>
    </row>
    <row r="1865" spans="4:22" x14ac:dyDescent="0.15">
      <c r="D1865" s="4">
        <f t="shared" si="233"/>
        <v>522</v>
      </c>
      <c r="E1865" s="4">
        <v>33</v>
      </c>
      <c r="H1865" s="29">
        <v>1001</v>
      </c>
      <c r="I1865" s="30">
        <v>0</v>
      </c>
      <c r="M1865" s="4">
        <f t="shared" ref="M1865:V1865" si="266">M249*$C$1623</f>
        <v>1296</v>
      </c>
      <c r="N1865" s="4">
        <f t="shared" si="266"/>
        <v>397.5</v>
      </c>
      <c r="O1865" s="4">
        <f t="shared" si="266"/>
        <v>13383</v>
      </c>
      <c r="P1865" s="4">
        <f t="shared" si="266"/>
        <v>0</v>
      </c>
      <c r="Q1865" s="4">
        <f t="shared" si="266"/>
        <v>4104</v>
      </c>
      <c r="R1865" s="4">
        <f t="shared" si="266"/>
        <v>3.75</v>
      </c>
      <c r="S1865" s="4">
        <f t="shared" si="266"/>
        <v>165</v>
      </c>
      <c r="T1865" s="4">
        <f t="shared" si="266"/>
        <v>0</v>
      </c>
      <c r="U1865" s="4">
        <f t="shared" si="266"/>
        <v>0</v>
      </c>
      <c r="V1865" s="4">
        <f t="shared" si="266"/>
        <v>0</v>
      </c>
    </row>
    <row r="1866" spans="4:22" x14ac:dyDescent="0.15">
      <c r="D1866" s="4">
        <f t="shared" si="233"/>
        <v>522</v>
      </c>
      <c r="E1866" s="4">
        <v>34</v>
      </c>
      <c r="H1866" s="29">
        <v>1001</v>
      </c>
      <c r="I1866" s="30">
        <v>0</v>
      </c>
      <c r="M1866" s="4">
        <f t="shared" ref="M1866:V1866" si="267">M250*$C$1623</f>
        <v>1323</v>
      </c>
      <c r="N1866" s="4">
        <f t="shared" si="267"/>
        <v>409.5</v>
      </c>
      <c r="O1866" s="4">
        <f t="shared" si="267"/>
        <v>13623</v>
      </c>
      <c r="P1866" s="4">
        <f t="shared" si="267"/>
        <v>0</v>
      </c>
      <c r="Q1866" s="4">
        <f t="shared" si="267"/>
        <v>4122</v>
      </c>
      <c r="R1866" s="4">
        <f t="shared" si="267"/>
        <v>3.75</v>
      </c>
      <c r="S1866" s="4">
        <f t="shared" si="267"/>
        <v>169.5</v>
      </c>
      <c r="T1866" s="4">
        <f t="shared" si="267"/>
        <v>0</v>
      </c>
      <c r="U1866" s="4">
        <f t="shared" si="267"/>
        <v>0</v>
      </c>
      <c r="V1866" s="4">
        <f t="shared" si="267"/>
        <v>0</v>
      </c>
    </row>
    <row r="1867" spans="4:22" x14ac:dyDescent="0.15">
      <c r="D1867" s="4">
        <f t="shared" si="233"/>
        <v>522</v>
      </c>
      <c r="E1867" s="4">
        <v>35</v>
      </c>
      <c r="H1867" s="29">
        <v>1001</v>
      </c>
      <c r="I1867" s="30">
        <v>0</v>
      </c>
      <c r="M1867" s="4">
        <f t="shared" ref="M1867:V1867" si="268">M251*$C$1623</f>
        <v>1350</v>
      </c>
      <c r="N1867" s="4">
        <f t="shared" si="268"/>
        <v>421.5</v>
      </c>
      <c r="O1867" s="4">
        <f t="shared" si="268"/>
        <v>13863</v>
      </c>
      <c r="P1867" s="4">
        <f t="shared" si="268"/>
        <v>0</v>
      </c>
      <c r="Q1867" s="4">
        <f t="shared" si="268"/>
        <v>4140</v>
      </c>
      <c r="R1867" s="4">
        <f t="shared" si="268"/>
        <v>3.75</v>
      </c>
      <c r="S1867" s="4">
        <f t="shared" si="268"/>
        <v>174</v>
      </c>
      <c r="T1867" s="4">
        <f t="shared" si="268"/>
        <v>0</v>
      </c>
      <c r="U1867" s="4">
        <f t="shared" si="268"/>
        <v>0</v>
      </c>
      <c r="V1867" s="4">
        <f t="shared" si="268"/>
        <v>0</v>
      </c>
    </row>
    <row r="1868" spans="4:22" x14ac:dyDescent="0.15">
      <c r="D1868" s="4">
        <f t="shared" si="233"/>
        <v>522</v>
      </c>
      <c r="E1868" s="4">
        <v>36</v>
      </c>
      <c r="H1868" s="29">
        <v>1001</v>
      </c>
      <c r="I1868" s="30">
        <v>0</v>
      </c>
      <c r="M1868" s="4">
        <f t="shared" ref="M1868:V1868" si="269">M252*$C$1623</f>
        <v>1377</v>
      </c>
      <c r="N1868" s="4">
        <f t="shared" si="269"/>
        <v>433.5</v>
      </c>
      <c r="O1868" s="4">
        <f t="shared" si="269"/>
        <v>14103</v>
      </c>
      <c r="P1868" s="4">
        <f t="shared" si="269"/>
        <v>0</v>
      </c>
      <c r="Q1868" s="4">
        <f t="shared" si="269"/>
        <v>4158</v>
      </c>
      <c r="R1868" s="4">
        <f t="shared" si="269"/>
        <v>3.75</v>
      </c>
      <c r="S1868" s="4">
        <f t="shared" si="269"/>
        <v>178.5</v>
      </c>
      <c r="T1868" s="4">
        <f t="shared" si="269"/>
        <v>0</v>
      </c>
      <c r="U1868" s="4">
        <f t="shared" si="269"/>
        <v>0</v>
      </c>
      <c r="V1868" s="4">
        <f t="shared" si="269"/>
        <v>0</v>
      </c>
    </row>
    <row r="1869" spans="4:22" x14ac:dyDescent="0.15">
      <c r="D1869" s="4">
        <f t="shared" si="233"/>
        <v>522</v>
      </c>
      <c r="E1869" s="4">
        <v>37</v>
      </c>
      <c r="H1869" s="29">
        <v>1001</v>
      </c>
      <c r="I1869" s="30">
        <v>0</v>
      </c>
      <c r="M1869" s="4">
        <f t="shared" ref="M1869:V1869" si="270">M253*$C$1623</f>
        <v>1404</v>
      </c>
      <c r="N1869" s="4">
        <f t="shared" si="270"/>
        <v>445.5</v>
      </c>
      <c r="O1869" s="4">
        <f t="shared" si="270"/>
        <v>14343</v>
      </c>
      <c r="P1869" s="4">
        <f t="shared" si="270"/>
        <v>0</v>
      </c>
      <c r="Q1869" s="4">
        <f t="shared" si="270"/>
        <v>4176</v>
      </c>
      <c r="R1869" s="4">
        <f t="shared" si="270"/>
        <v>3.75</v>
      </c>
      <c r="S1869" s="4">
        <f t="shared" si="270"/>
        <v>183</v>
      </c>
      <c r="T1869" s="4">
        <f t="shared" si="270"/>
        <v>0</v>
      </c>
      <c r="U1869" s="4">
        <f t="shared" si="270"/>
        <v>0</v>
      </c>
      <c r="V1869" s="4">
        <f t="shared" si="270"/>
        <v>0</v>
      </c>
    </row>
    <row r="1870" spans="4:22" x14ac:dyDescent="0.15">
      <c r="D1870" s="4">
        <f t="shared" si="233"/>
        <v>522</v>
      </c>
      <c r="E1870" s="4">
        <v>38</v>
      </c>
      <c r="H1870" s="29">
        <v>1001</v>
      </c>
      <c r="I1870" s="30">
        <v>0</v>
      </c>
      <c r="M1870" s="4">
        <f t="shared" ref="M1870:V1870" si="271">M254*$C$1623</f>
        <v>1431</v>
      </c>
      <c r="N1870" s="4">
        <f t="shared" si="271"/>
        <v>457.5</v>
      </c>
      <c r="O1870" s="4">
        <f t="shared" si="271"/>
        <v>14583</v>
      </c>
      <c r="P1870" s="4">
        <f t="shared" si="271"/>
        <v>0</v>
      </c>
      <c r="Q1870" s="4">
        <f t="shared" si="271"/>
        <v>4194</v>
      </c>
      <c r="R1870" s="4">
        <f t="shared" si="271"/>
        <v>3.75</v>
      </c>
      <c r="S1870" s="4">
        <f t="shared" si="271"/>
        <v>187.5</v>
      </c>
      <c r="T1870" s="4">
        <f t="shared" si="271"/>
        <v>0</v>
      </c>
      <c r="U1870" s="4">
        <f t="shared" si="271"/>
        <v>0</v>
      </c>
      <c r="V1870" s="4">
        <f t="shared" si="271"/>
        <v>0</v>
      </c>
    </row>
    <row r="1871" spans="4:22" x14ac:dyDescent="0.15">
      <c r="D1871" s="4">
        <f t="shared" si="233"/>
        <v>522</v>
      </c>
      <c r="E1871" s="4">
        <v>39</v>
      </c>
      <c r="H1871" s="29">
        <v>1001</v>
      </c>
      <c r="I1871" s="30">
        <v>0</v>
      </c>
      <c r="M1871" s="4">
        <f t="shared" ref="M1871:V1871" si="272">M255*$C$1623</f>
        <v>1458</v>
      </c>
      <c r="N1871" s="4">
        <f t="shared" si="272"/>
        <v>469.5</v>
      </c>
      <c r="O1871" s="4">
        <f t="shared" si="272"/>
        <v>14823</v>
      </c>
      <c r="P1871" s="4">
        <f t="shared" si="272"/>
        <v>0</v>
      </c>
      <c r="Q1871" s="4">
        <f t="shared" si="272"/>
        <v>4212</v>
      </c>
      <c r="R1871" s="4">
        <f t="shared" si="272"/>
        <v>3.75</v>
      </c>
      <c r="S1871" s="4">
        <f t="shared" si="272"/>
        <v>192</v>
      </c>
      <c r="T1871" s="4">
        <f t="shared" si="272"/>
        <v>0</v>
      </c>
      <c r="U1871" s="4">
        <f t="shared" si="272"/>
        <v>0</v>
      </c>
      <c r="V1871" s="4">
        <f t="shared" si="272"/>
        <v>0</v>
      </c>
    </row>
    <row r="1872" spans="4:22" x14ac:dyDescent="0.15">
      <c r="D1872" s="4">
        <f t="shared" si="233"/>
        <v>522</v>
      </c>
      <c r="E1872" s="4">
        <v>40</v>
      </c>
      <c r="H1872" s="29">
        <v>1001</v>
      </c>
      <c r="I1872" s="30">
        <v>0</v>
      </c>
      <c r="M1872" s="4">
        <f t="shared" ref="M1872:V1872" si="273">M256*$C$1623</f>
        <v>1485</v>
      </c>
      <c r="N1872" s="4">
        <f t="shared" si="273"/>
        <v>481.5</v>
      </c>
      <c r="O1872" s="4">
        <f t="shared" si="273"/>
        <v>15063</v>
      </c>
      <c r="P1872" s="4">
        <f t="shared" si="273"/>
        <v>0</v>
      </c>
      <c r="Q1872" s="4">
        <f t="shared" si="273"/>
        <v>4230</v>
      </c>
      <c r="R1872" s="4">
        <f t="shared" si="273"/>
        <v>3.75</v>
      </c>
      <c r="S1872" s="4">
        <f t="shared" si="273"/>
        <v>196.5</v>
      </c>
      <c r="T1872" s="4">
        <f t="shared" si="273"/>
        <v>0</v>
      </c>
      <c r="U1872" s="4">
        <f t="shared" si="273"/>
        <v>0</v>
      </c>
      <c r="V1872" s="4">
        <f t="shared" si="273"/>
        <v>0</v>
      </c>
    </row>
    <row r="1873" spans="3:22" x14ac:dyDescent="0.15">
      <c r="D1873" s="4">
        <f t="shared" si="233"/>
        <v>522</v>
      </c>
      <c r="E1873" s="4">
        <v>41</v>
      </c>
      <c r="H1873" s="29">
        <v>1001</v>
      </c>
      <c r="I1873" s="30">
        <v>0</v>
      </c>
      <c r="M1873" s="4">
        <f t="shared" ref="M1873:V1873" si="274">M257*$C$1623</f>
        <v>1512</v>
      </c>
      <c r="N1873" s="4">
        <f t="shared" si="274"/>
        <v>493.5</v>
      </c>
      <c r="O1873" s="4">
        <f t="shared" si="274"/>
        <v>15303</v>
      </c>
      <c r="P1873" s="4">
        <f t="shared" si="274"/>
        <v>0</v>
      </c>
      <c r="Q1873" s="4">
        <f t="shared" si="274"/>
        <v>4248</v>
      </c>
      <c r="R1873" s="4">
        <f t="shared" si="274"/>
        <v>3.75</v>
      </c>
      <c r="S1873" s="4">
        <f t="shared" si="274"/>
        <v>201</v>
      </c>
      <c r="T1873" s="4">
        <f t="shared" si="274"/>
        <v>0</v>
      </c>
      <c r="U1873" s="4">
        <f t="shared" si="274"/>
        <v>0</v>
      </c>
      <c r="V1873" s="4">
        <f t="shared" si="274"/>
        <v>0</v>
      </c>
    </row>
    <row r="1874" spans="3:22" x14ac:dyDescent="0.15">
      <c r="D1874" s="4">
        <f t="shared" si="233"/>
        <v>522</v>
      </c>
      <c r="E1874" s="4">
        <v>42</v>
      </c>
      <c r="H1874" s="29">
        <v>1001</v>
      </c>
      <c r="I1874" s="30">
        <v>0</v>
      </c>
      <c r="M1874" s="4">
        <f t="shared" ref="M1874:V1874" si="275">M258*$C$1623</f>
        <v>1539</v>
      </c>
      <c r="N1874" s="4">
        <f t="shared" si="275"/>
        <v>505.5</v>
      </c>
      <c r="O1874" s="4">
        <f t="shared" si="275"/>
        <v>15543</v>
      </c>
      <c r="P1874" s="4">
        <f t="shared" si="275"/>
        <v>0</v>
      </c>
      <c r="Q1874" s="4">
        <f t="shared" si="275"/>
        <v>4266</v>
      </c>
      <c r="R1874" s="4">
        <f t="shared" si="275"/>
        <v>3.75</v>
      </c>
      <c r="S1874" s="4">
        <f t="shared" si="275"/>
        <v>205.5</v>
      </c>
      <c r="T1874" s="4">
        <f t="shared" si="275"/>
        <v>0</v>
      </c>
      <c r="U1874" s="4">
        <f t="shared" si="275"/>
        <v>0</v>
      </c>
      <c r="V1874" s="4">
        <f t="shared" si="275"/>
        <v>0</v>
      </c>
    </row>
    <row r="1875" spans="3:22" x14ac:dyDescent="0.15">
      <c r="D1875" s="4">
        <f t="shared" si="233"/>
        <v>522</v>
      </c>
      <c r="E1875" s="4">
        <v>43</v>
      </c>
      <c r="H1875" s="29">
        <v>1001</v>
      </c>
      <c r="I1875" s="30">
        <v>0</v>
      </c>
      <c r="M1875" s="4">
        <f t="shared" ref="M1875:V1875" si="276">M259*$C$1623</f>
        <v>1566</v>
      </c>
      <c r="N1875" s="4">
        <f t="shared" si="276"/>
        <v>517.5</v>
      </c>
      <c r="O1875" s="4">
        <f t="shared" si="276"/>
        <v>15783</v>
      </c>
      <c r="P1875" s="4">
        <f t="shared" si="276"/>
        <v>0</v>
      </c>
      <c r="Q1875" s="4">
        <f t="shared" si="276"/>
        <v>4284</v>
      </c>
      <c r="R1875" s="4">
        <f t="shared" si="276"/>
        <v>3.75</v>
      </c>
      <c r="S1875" s="4">
        <f t="shared" si="276"/>
        <v>210</v>
      </c>
      <c r="T1875" s="4">
        <f t="shared" si="276"/>
        <v>0</v>
      </c>
      <c r="U1875" s="4">
        <f t="shared" si="276"/>
        <v>0</v>
      </c>
      <c r="V1875" s="4">
        <f t="shared" si="276"/>
        <v>0</v>
      </c>
    </row>
    <row r="1876" spans="3:22" x14ac:dyDescent="0.15">
      <c r="D1876" s="4">
        <f t="shared" si="233"/>
        <v>522</v>
      </c>
      <c r="E1876" s="4">
        <v>44</v>
      </c>
      <c r="H1876" s="29">
        <v>1001</v>
      </c>
      <c r="I1876" s="30">
        <v>0</v>
      </c>
      <c r="M1876" s="4">
        <f t="shared" ref="M1876:V1876" si="277">M260*$C$1623</f>
        <v>1593</v>
      </c>
      <c r="N1876" s="4">
        <f t="shared" si="277"/>
        <v>529.5</v>
      </c>
      <c r="O1876" s="4">
        <f t="shared" si="277"/>
        <v>16023</v>
      </c>
      <c r="P1876" s="4">
        <f t="shared" si="277"/>
        <v>0</v>
      </c>
      <c r="Q1876" s="4">
        <f t="shared" si="277"/>
        <v>4302</v>
      </c>
      <c r="R1876" s="4">
        <f t="shared" si="277"/>
        <v>3.75</v>
      </c>
      <c r="S1876" s="4">
        <f t="shared" si="277"/>
        <v>214.5</v>
      </c>
      <c r="T1876" s="4">
        <f t="shared" si="277"/>
        <v>0</v>
      </c>
      <c r="U1876" s="4">
        <f t="shared" si="277"/>
        <v>0</v>
      </c>
      <c r="V1876" s="4">
        <f t="shared" si="277"/>
        <v>0</v>
      </c>
    </row>
    <row r="1877" spans="3:22" x14ac:dyDescent="0.15">
      <c r="D1877" s="4">
        <f t="shared" si="233"/>
        <v>522</v>
      </c>
      <c r="E1877" s="4">
        <v>45</v>
      </c>
      <c r="H1877" s="29">
        <v>1001</v>
      </c>
      <c r="I1877" s="30">
        <v>0</v>
      </c>
      <c r="M1877" s="4">
        <f t="shared" ref="M1877:V1877" si="278">M261*$C$1623</f>
        <v>1620</v>
      </c>
      <c r="N1877" s="4">
        <f t="shared" si="278"/>
        <v>541.5</v>
      </c>
      <c r="O1877" s="4">
        <f t="shared" si="278"/>
        <v>16263</v>
      </c>
      <c r="P1877" s="4">
        <f t="shared" si="278"/>
        <v>0</v>
      </c>
      <c r="Q1877" s="4">
        <f t="shared" si="278"/>
        <v>4320</v>
      </c>
      <c r="R1877" s="4">
        <f t="shared" si="278"/>
        <v>3.75</v>
      </c>
      <c r="S1877" s="4">
        <f t="shared" si="278"/>
        <v>219</v>
      </c>
      <c r="T1877" s="4">
        <f t="shared" si="278"/>
        <v>0</v>
      </c>
      <c r="U1877" s="4">
        <f t="shared" si="278"/>
        <v>0</v>
      </c>
      <c r="V1877" s="4">
        <f t="shared" si="278"/>
        <v>0</v>
      </c>
    </row>
    <row r="1878" spans="3:22" x14ac:dyDescent="0.15">
      <c r="D1878" s="4">
        <f t="shared" si="233"/>
        <v>522</v>
      </c>
      <c r="E1878" s="4">
        <v>46</v>
      </c>
      <c r="H1878" s="29">
        <v>1001</v>
      </c>
      <c r="I1878" s="30">
        <v>0</v>
      </c>
      <c r="M1878" s="4">
        <f t="shared" ref="M1878:V1878" si="279">M262*$C$1623</f>
        <v>1647</v>
      </c>
      <c r="N1878" s="4">
        <f t="shared" si="279"/>
        <v>553.5</v>
      </c>
      <c r="O1878" s="4">
        <f t="shared" si="279"/>
        <v>16503</v>
      </c>
      <c r="P1878" s="4">
        <f t="shared" si="279"/>
        <v>0</v>
      </c>
      <c r="Q1878" s="4">
        <f t="shared" si="279"/>
        <v>4338</v>
      </c>
      <c r="R1878" s="4">
        <f t="shared" si="279"/>
        <v>3.75</v>
      </c>
      <c r="S1878" s="4">
        <f t="shared" si="279"/>
        <v>223.5</v>
      </c>
      <c r="T1878" s="4">
        <f t="shared" si="279"/>
        <v>0</v>
      </c>
      <c r="U1878" s="4">
        <f t="shared" si="279"/>
        <v>0</v>
      </c>
      <c r="V1878" s="4">
        <f t="shared" si="279"/>
        <v>0</v>
      </c>
    </row>
    <row r="1879" spans="3:22" x14ac:dyDescent="0.15">
      <c r="D1879" s="4">
        <f t="shared" si="233"/>
        <v>522</v>
      </c>
      <c r="E1879" s="4">
        <v>47</v>
      </c>
      <c r="H1879" s="29">
        <v>1001</v>
      </c>
      <c r="I1879" s="30">
        <v>0</v>
      </c>
      <c r="M1879" s="4">
        <f t="shared" ref="M1879:V1879" si="280">M263*$C$1623</f>
        <v>1674</v>
      </c>
      <c r="N1879" s="4">
        <f t="shared" si="280"/>
        <v>565.5</v>
      </c>
      <c r="O1879" s="4">
        <f t="shared" si="280"/>
        <v>16743</v>
      </c>
      <c r="P1879" s="4">
        <f t="shared" si="280"/>
        <v>0</v>
      </c>
      <c r="Q1879" s="4">
        <f t="shared" si="280"/>
        <v>4356</v>
      </c>
      <c r="R1879" s="4">
        <f t="shared" si="280"/>
        <v>3.75</v>
      </c>
      <c r="S1879" s="4">
        <f t="shared" si="280"/>
        <v>228</v>
      </c>
      <c r="T1879" s="4">
        <f t="shared" si="280"/>
        <v>0</v>
      </c>
      <c r="U1879" s="4">
        <f t="shared" si="280"/>
        <v>0</v>
      </c>
      <c r="V1879" s="4">
        <f t="shared" si="280"/>
        <v>0</v>
      </c>
    </row>
    <row r="1880" spans="3:22" x14ac:dyDescent="0.15">
      <c r="D1880" s="4">
        <f t="shared" si="233"/>
        <v>522</v>
      </c>
      <c r="E1880" s="4">
        <v>48</v>
      </c>
      <c r="H1880" s="29">
        <v>1001</v>
      </c>
      <c r="I1880" s="30">
        <v>0</v>
      </c>
      <c r="M1880" s="4">
        <f t="shared" ref="M1880:V1880" si="281">M264*$C$1623</f>
        <v>1701</v>
      </c>
      <c r="N1880" s="4">
        <f t="shared" si="281"/>
        <v>577.5</v>
      </c>
      <c r="O1880" s="4">
        <f t="shared" si="281"/>
        <v>16983</v>
      </c>
      <c r="P1880" s="4">
        <f t="shared" si="281"/>
        <v>0</v>
      </c>
      <c r="Q1880" s="4">
        <f t="shared" si="281"/>
        <v>4374</v>
      </c>
      <c r="R1880" s="4">
        <f t="shared" si="281"/>
        <v>3.75</v>
      </c>
      <c r="S1880" s="4">
        <f t="shared" si="281"/>
        <v>232.5</v>
      </c>
      <c r="T1880" s="4">
        <f t="shared" si="281"/>
        <v>0</v>
      </c>
      <c r="U1880" s="4">
        <f t="shared" si="281"/>
        <v>0</v>
      </c>
      <c r="V1880" s="4">
        <f t="shared" si="281"/>
        <v>0</v>
      </c>
    </row>
    <row r="1881" spans="3:22" x14ac:dyDescent="0.15">
      <c r="D1881" s="4">
        <f t="shared" si="233"/>
        <v>522</v>
      </c>
      <c r="E1881" s="4">
        <v>49</v>
      </c>
      <c r="H1881" s="29">
        <v>1001</v>
      </c>
      <c r="I1881" s="30">
        <v>0</v>
      </c>
      <c r="M1881" s="4">
        <f t="shared" ref="M1881:V1881" si="282">M265*$C$1623</f>
        <v>1728</v>
      </c>
      <c r="N1881" s="4">
        <f t="shared" si="282"/>
        <v>589.5</v>
      </c>
      <c r="O1881" s="4">
        <f t="shared" si="282"/>
        <v>17223</v>
      </c>
      <c r="P1881" s="4">
        <f t="shared" si="282"/>
        <v>0</v>
      </c>
      <c r="Q1881" s="4">
        <f t="shared" si="282"/>
        <v>4392</v>
      </c>
      <c r="R1881" s="4">
        <f t="shared" si="282"/>
        <v>3.75</v>
      </c>
      <c r="S1881" s="4">
        <f t="shared" si="282"/>
        <v>237</v>
      </c>
      <c r="T1881" s="4">
        <f t="shared" si="282"/>
        <v>0</v>
      </c>
      <c r="U1881" s="4">
        <f t="shared" si="282"/>
        <v>0</v>
      </c>
      <c r="V1881" s="4">
        <f t="shared" si="282"/>
        <v>0</v>
      </c>
    </row>
    <row r="1882" spans="3:22" x14ac:dyDescent="0.15">
      <c r="D1882" s="4">
        <f t="shared" si="233"/>
        <v>522</v>
      </c>
      <c r="E1882" s="4">
        <v>50</v>
      </c>
      <c r="H1882" s="29">
        <v>1001</v>
      </c>
      <c r="I1882" s="30">
        <v>0</v>
      </c>
      <c r="M1882" s="4">
        <f t="shared" ref="M1882:V1882" si="283">M266*$C$1623</f>
        <v>1755</v>
      </c>
      <c r="N1882" s="4">
        <f t="shared" si="283"/>
        <v>601.5</v>
      </c>
      <c r="O1882" s="4">
        <f t="shared" si="283"/>
        <v>17463</v>
      </c>
      <c r="P1882" s="4">
        <f t="shared" si="283"/>
        <v>0</v>
      </c>
      <c r="Q1882" s="4">
        <f t="shared" si="283"/>
        <v>4410</v>
      </c>
      <c r="R1882" s="4">
        <f t="shared" si="283"/>
        <v>3.75</v>
      </c>
      <c r="S1882" s="4">
        <f t="shared" si="283"/>
        <v>241.5</v>
      </c>
      <c r="T1882" s="4">
        <f t="shared" si="283"/>
        <v>0</v>
      </c>
      <c r="U1882" s="4">
        <f t="shared" si="283"/>
        <v>0</v>
      </c>
      <c r="V1882" s="4">
        <f t="shared" si="283"/>
        <v>0</v>
      </c>
    </row>
    <row r="1883" spans="3:22" x14ac:dyDescent="0.15">
      <c r="I1883" s="4"/>
      <c r="M1883" s="4">
        <f t="shared" ref="M1883:V1883" si="284">M267*$C$1623</f>
        <v>0</v>
      </c>
      <c r="N1883" s="4">
        <f t="shared" si="284"/>
        <v>0</v>
      </c>
      <c r="O1883" s="4">
        <f t="shared" si="284"/>
        <v>0</v>
      </c>
      <c r="P1883" s="4">
        <f t="shared" si="284"/>
        <v>0</v>
      </c>
      <c r="Q1883" s="4">
        <f t="shared" si="284"/>
        <v>0</v>
      </c>
      <c r="R1883" s="4">
        <f t="shared" si="284"/>
        <v>0</v>
      </c>
      <c r="S1883" s="4">
        <f t="shared" si="284"/>
        <v>0</v>
      </c>
      <c r="T1883" s="4">
        <f t="shared" si="284"/>
        <v>0</v>
      </c>
      <c r="U1883" s="4">
        <f t="shared" si="284"/>
        <v>0</v>
      </c>
      <c r="V1883" s="4">
        <f t="shared" si="284"/>
        <v>0</v>
      </c>
    </row>
    <row r="1884" spans="3:22" ht="16.5" x14ac:dyDescent="0.15">
      <c r="C1884" s="4" t="s">
        <v>3079</v>
      </c>
      <c r="D1884" s="4">
        <f t="shared" ref="D1884:D1934" si="285">D1832+1</f>
        <v>523</v>
      </c>
      <c r="E1884" s="4">
        <v>0</v>
      </c>
      <c r="H1884" s="38">
        <v>2403</v>
      </c>
      <c r="I1884" s="31">
        <v>1</v>
      </c>
      <c r="L1884" s="8">
        <v>210</v>
      </c>
      <c r="M1884" s="4">
        <f t="shared" ref="M1884:V1884" si="286">M268*$C$1623</f>
        <v>0</v>
      </c>
      <c r="N1884" s="4">
        <f t="shared" si="286"/>
        <v>0</v>
      </c>
      <c r="O1884" s="4">
        <f t="shared" si="286"/>
        <v>0</v>
      </c>
      <c r="P1884" s="4">
        <f t="shared" si="286"/>
        <v>0</v>
      </c>
      <c r="Q1884" s="4">
        <f t="shared" si="286"/>
        <v>0</v>
      </c>
      <c r="R1884" s="4">
        <f t="shared" si="286"/>
        <v>0</v>
      </c>
      <c r="S1884" s="4">
        <f t="shared" si="286"/>
        <v>0</v>
      </c>
      <c r="T1884" s="4">
        <f t="shared" si="286"/>
        <v>0</v>
      </c>
      <c r="U1884" s="4">
        <f t="shared" si="286"/>
        <v>0</v>
      </c>
      <c r="V1884" s="4">
        <f t="shared" si="286"/>
        <v>0</v>
      </c>
    </row>
    <row r="1885" spans="3:22" x14ac:dyDescent="0.15">
      <c r="D1885" s="4">
        <f t="shared" si="285"/>
        <v>523</v>
      </c>
      <c r="E1885" s="4">
        <v>1</v>
      </c>
      <c r="H1885" s="29">
        <v>1001</v>
      </c>
      <c r="I1885" s="30">
        <v>0</v>
      </c>
      <c r="M1885" s="4">
        <f t="shared" ref="M1885:V1885" si="287">M269*$C$1623</f>
        <v>576</v>
      </c>
      <c r="N1885" s="4">
        <f t="shared" si="287"/>
        <v>16.5</v>
      </c>
      <c r="O1885" s="4">
        <f t="shared" si="287"/>
        <v>7776</v>
      </c>
      <c r="P1885" s="4">
        <f t="shared" si="287"/>
        <v>0</v>
      </c>
      <c r="Q1885" s="4">
        <f t="shared" si="287"/>
        <v>4032</v>
      </c>
      <c r="R1885" s="4">
        <f t="shared" si="287"/>
        <v>3.75</v>
      </c>
      <c r="S1885" s="4">
        <f t="shared" si="287"/>
        <v>27</v>
      </c>
      <c r="T1885" s="4">
        <f t="shared" si="287"/>
        <v>0</v>
      </c>
      <c r="U1885" s="4">
        <f t="shared" si="287"/>
        <v>0</v>
      </c>
      <c r="V1885" s="4">
        <f t="shared" si="287"/>
        <v>0</v>
      </c>
    </row>
    <row r="1886" spans="3:22" x14ac:dyDescent="0.15">
      <c r="D1886" s="4">
        <f t="shared" si="285"/>
        <v>523</v>
      </c>
      <c r="E1886" s="4">
        <v>2</v>
      </c>
      <c r="H1886" s="29">
        <v>1001</v>
      </c>
      <c r="I1886" s="30">
        <v>0</v>
      </c>
      <c r="M1886" s="4">
        <f t="shared" ref="M1886:V1886" si="288">M270*$C$1623</f>
        <v>609</v>
      </c>
      <c r="N1886" s="4">
        <f t="shared" si="288"/>
        <v>28.5</v>
      </c>
      <c r="O1886" s="4">
        <f t="shared" si="288"/>
        <v>8016</v>
      </c>
      <c r="P1886" s="4">
        <f t="shared" si="288"/>
        <v>0</v>
      </c>
      <c r="Q1886" s="4">
        <f t="shared" si="288"/>
        <v>4050</v>
      </c>
      <c r="R1886" s="4">
        <f t="shared" si="288"/>
        <v>3.75</v>
      </c>
      <c r="S1886" s="4">
        <f t="shared" si="288"/>
        <v>31.5</v>
      </c>
      <c r="T1886" s="4">
        <f t="shared" si="288"/>
        <v>0</v>
      </c>
      <c r="U1886" s="4">
        <f t="shared" si="288"/>
        <v>0</v>
      </c>
      <c r="V1886" s="4">
        <f t="shared" si="288"/>
        <v>0</v>
      </c>
    </row>
    <row r="1887" spans="3:22" x14ac:dyDescent="0.15">
      <c r="D1887" s="4">
        <f t="shared" si="285"/>
        <v>523</v>
      </c>
      <c r="E1887" s="4">
        <v>3</v>
      </c>
      <c r="H1887" s="29">
        <v>1001</v>
      </c>
      <c r="I1887" s="30">
        <v>0</v>
      </c>
      <c r="M1887" s="4">
        <f t="shared" ref="M1887:V1887" si="289">M271*$C$1623</f>
        <v>642</v>
      </c>
      <c r="N1887" s="4">
        <f t="shared" si="289"/>
        <v>40.5</v>
      </c>
      <c r="O1887" s="4">
        <f t="shared" si="289"/>
        <v>8256</v>
      </c>
      <c r="P1887" s="4">
        <f t="shared" si="289"/>
        <v>0</v>
      </c>
      <c r="Q1887" s="4">
        <f t="shared" si="289"/>
        <v>4068</v>
      </c>
      <c r="R1887" s="4">
        <f t="shared" si="289"/>
        <v>3.75</v>
      </c>
      <c r="S1887" s="4">
        <f t="shared" si="289"/>
        <v>36</v>
      </c>
      <c r="T1887" s="4">
        <f t="shared" si="289"/>
        <v>0</v>
      </c>
      <c r="U1887" s="4">
        <f t="shared" si="289"/>
        <v>0</v>
      </c>
      <c r="V1887" s="4">
        <f t="shared" si="289"/>
        <v>0</v>
      </c>
    </row>
    <row r="1888" spans="3:22" x14ac:dyDescent="0.15">
      <c r="D1888" s="4">
        <f t="shared" si="285"/>
        <v>523</v>
      </c>
      <c r="E1888" s="4">
        <v>4</v>
      </c>
      <c r="H1888" s="29">
        <v>1001</v>
      </c>
      <c r="I1888" s="30">
        <v>0</v>
      </c>
      <c r="M1888" s="4">
        <f t="shared" ref="M1888:V1888" si="290">M272*$C$1623</f>
        <v>675</v>
      </c>
      <c r="N1888" s="4">
        <f t="shared" si="290"/>
        <v>52.5</v>
      </c>
      <c r="O1888" s="4">
        <f t="shared" si="290"/>
        <v>8496</v>
      </c>
      <c r="P1888" s="4">
        <f t="shared" si="290"/>
        <v>0</v>
      </c>
      <c r="Q1888" s="4">
        <f t="shared" si="290"/>
        <v>4086</v>
      </c>
      <c r="R1888" s="4">
        <f t="shared" si="290"/>
        <v>3.75</v>
      </c>
      <c r="S1888" s="4">
        <f t="shared" si="290"/>
        <v>40.5</v>
      </c>
      <c r="T1888" s="4">
        <f t="shared" si="290"/>
        <v>0</v>
      </c>
      <c r="U1888" s="4">
        <f t="shared" si="290"/>
        <v>0</v>
      </c>
      <c r="V1888" s="4">
        <f t="shared" si="290"/>
        <v>0</v>
      </c>
    </row>
    <row r="1889" spans="4:22" x14ac:dyDescent="0.15">
      <c r="D1889" s="4">
        <f t="shared" si="285"/>
        <v>523</v>
      </c>
      <c r="E1889" s="4">
        <v>5</v>
      </c>
      <c r="H1889" s="29">
        <v>1001</v>
      </c>
      <c r="I1889" s="30">
        <v>0</v>
      </c>
      <c r="M1889" s="4">
        <f t="shared" ref="M1889:V1889" si="291">M273*$C$1623</f>
        <v>708</v>
      </c>
      <c r="N1889" s="4">
        <f t="shared" si="291"/>
        <v>64.5</v>
      </c>
      <c r="O1889" s="4">
        <f t="shared" si="291"/>
        <v>8736</v>
      </c>
      <c r="P1889" s="4">
        <f t="shared" si="291"/>
        <v>0</v>
      </c>
      <c r="Q1889" s="4">
        <f t="shared" si="291"/>
        <v>4104</v>
      </c>
      <c r="R1889" s="4">
        <f t="shared" si="291"/>
        <v>3.75</v>
      </c>
      <c r="S1889" s="4">
        <f t="shared" si="291"/>
        <v>45</v>
      </c>
      <c r="T1889" s="4">
        <f t="shared" si="291"/>
        <v>0</v>
      </c>
      <c r="U1889" s="4">
        <f t="shared" si="291"/>
        <v>0</v>
      </c>
      <c r="V1889" s="4">
        <f t="shared" si="291"/>
        <v>0</v>
      </c>
    </row>
    <row r="1890" spans="4:22" x14ac:dyDescent="0.15">
      <c r="D1890" s="4">
        <f t="shared" si="285"/>
        <v>523</v>
      </c>
      <c r="E1890" s="4">
        <v>6</v>
      </c>
      <c r="H1890" s="29">
        <v>1001</v>
      </c>
      <c r="I1890" s="30">
        <v>0</v>
      </c>
      <c r="M1890" s="4">
        <f t="shared" ref="M1890:V1890" si="292">M274*$C$1623</f>
        <v>741</v>
      </c>
      <c r="N1890" s="4">
        <f t="shared" si="292"/>
        <v>76.5</v>
      </c>
      <c r="O1890" s="4">
        <f t="shared" si="292"/>
        <v>8976</v>
      </c>
      <c r="P1890" s="4">
        <f t="shared" si="292"/>
        <v>0</v>
      </c>
      <c r="Q1890" s="4">
        <f t="shared" si="292"/>
        <v>4122</v>
      </c>
      <c r="R1890" s="4">
        <f t="shared" si="292"/>
        <v>3.75</v>
      </c>
      <c r="S1890" s="4">
        <f t="shared" si="292"/>
        <v>49.5</v>
      </c>
      <c r="T1890" s="4">
        <f t="shared" si="292"/>
        <v>0</v>
      </c>
      <c r="U1890" s="4">
        <f t="shared" si="292"/>
        <v>0</v>
      </c>
      <c r="V1890" s="4">
        <f t="shared" si="292"/>
        <v>0</v>
      </c>
    </row>
    <row r="1891" spans="4:22" x14ac:dyDescent="0.15">
      <c r="D1891" s="4">
        <f t="shared" si="285"/>
        <v>523</v>
      </c>
      <c r="E1891" s="4">
        <v>7</v>
      </c>
      <c r="H1891" s="29">
        <v>1001</v>
      </c>
      <c r="I1891" s="30">
        <v>0</v>
      </c>
      <c r="M1891" s="4">
        <f t="shared" ref="M1891:V1891" si="293">M275*$C$1623</f>
        <v>774</v>
      </c>
      <c r="N1891" s="4">
        <f t="shared" si="293"/>
        <v>88.5</v>
      </c>
      <c r="O1891" s="4">
        <f t="shared" si="293"/>
        <v>9216</v>
      </c>
      <c r="P1891" s="4">
        <f t="shared" si="293"/>
        <v>0</v>
      </c>
      <c r="Q1891" s="4">
        <f t="shared" si="293"/>
        <v>4140</v>
      </c>
      <c r="R1891" s="4">
        <f t="shared" si="293"/>
        <v>3.75</v>
      </c>
      <c r="S1891" s="4">
        <f t="shared" si="293"/>
        <v>54</v>
      </c>
      <c r="T1891" s="4">
        <f t="shared" si="293"/>
        <v>0</v>
      </c>
      <c r="U1891" s="4">
        <f t="shared" si="293"/>
        <v>0</v>
      </c>
      <c r="V1891" s="4">
        <f t="shared" si="293"/>
        <v>0</v>
      </c>
    </row>
    <row r="1892" spans="4:22" x14ac:dyDescent="0.15">
      <c r="D1892" s="4">
        <f t="shared" si="285"/>
        <v>523</v>
      </c>
      <c r="E1892" s="4">
        <v>8</v>
      </c>
      <c r="H1892" s="29">
        <v>1001</v>
      </c>
      <c r="I1892" s="30">
        <v>0</v>
      </c>
      <c r="M1892" s="4">
        <f t="shared" ref="M1892:V1892" si="294">M276*$C$1623</f>
        <v>807</v>
      </c>
      <c r="N1892" s="4">
        <f t="shared" si="294"/>
        <v>100.5</v>
      </c>
      <c r="O1892" s="4">
        <f t="shared" si="294"/>
        <v>9456</v>
      </c>
      <c r="P1892" s="4">
        <f t="shared" si="294"/>
        <v>0</v>
      </c>
      <c r="Q1892" s="4">
        <f t="shared" si="294"/>
        <v>4158</v>
      </c>
      <c r="R1892" s="4">
        <f t="shared" si="294"/>
        <v>3.75</v>
      </c>
      <c r="S1892" s="4">
        <f t="shared" si="294"/>
        <v>58.5</v>
      </c>
      <c r="T1892" s="4">
        <f t="shared" si="294"/>
        <v>0</v>
      </c>
      <c r="U1892" s="4">
        <f t="shared" si="294"/>
        <v>0</v>
      </c>
      <c r="V1892" s="4">
        <f t="shared" si="294"/>
        <v>0</v>
      </c>
    </row>
    <row r="1893" spans="4:22" x14ac:dyDescent="0.15">
      <c r="D1893" s="4">
        <f t="shared" si="285"/>
        <v>523</v>
      </c>
      <c r="E1893" s="4">
        <v>9</v>
      </c>
      <c r="H1893" s="29">
        <v>1001</v>
      </c>
      <c r="I1893" s="30">
        <v>0</v>
      </c>
      <c r="M1893" s="4">
        <f t="shared" ref="M1893:V1893" si="295">M277*$C$1623</f>
        <v>840</v>
      </c>
      <c r="N1893" s="4">
        <f t="shared" si="295"/>
        <v>112.5</v>
      </c>
      <c r="O1893" s="4">
        <f t="shared" si="295"/>
        <v>9696</v>
      </c>
      <c r="P1893" s="4">
        <f t="shared" si="295"/>
        <v>0</v>
      </c>
      <c r="Q1893" s="4">
        <f t="shared" si="295"/>
        <v>4176</v>
      </c>
      <c r="R1893" s="4">
        <f t="shared" si="295"/>
        <v>3.75</v>
      </c>
      <c r="S1893" s="4">
        <f t="shared" si="295"/>
        <v>63</v>
      </c>
      <c r="T1893" s="4">
        <f t="shared" si="295"/>
        <v>0</v>
      </c>
      <c r="U1893" s="4">
        <f t="shared" si="295"/>
        <v>0</v>
      </c>
      <c r="V1893" s="4">
        <f t="shared" si="295"/>
        <v>0</v>
      </c>
    </row>
    <row r="1894" spans="4:22" x14ac:dyDescent="0.15">
      <c r="D1894" s="4">
        <f t="shared" si="285"/>
        <v>523</v>
      </c>
      <c r="E1894" s="4">
        <v>10</v>
      </c>
      <c r="H1894" s="29">
        <v>1001</v>
      </c>
      <c r="I1894" s="30">
        <v>0</v>
      </c>
      <c r="M1894" s="4">
        <f t="shared" ref="M1894:V1894" si="296">M278*$C$1623</f>
        <v>873</v>
      </c>
      <c r="N1894" s="4">
        <f t="shared" si="296"/>
        <v>124.5</v>
      </c>
      <c r="O1894" s="4">
        <f t="shared" si="296"/>
        <v>9936</v>
      </c>
      <c r="P1894" s="4">
        <f t="shared" si="296"/>
        <v>0</v>
      </c>
      <c r="Q1894" s="4">
        <f t="shared" si="296"/>
        <v>4194</v>
      </c>
      <c r="R1894" s="4">
        <f t="shared" si="296"/>
        <v>3.75</v>
      </c>
      <c r="S1894" s="4">
        <f t="shared" si="296"/>
        <v>67.5</v>
      </c>
      <c r="T1894" s="4">
        <f t="shared" si="296"/>
        <v>0</v>
      </c>
      <c r="U1894" s="4">
        <f t="shared" si="296"/>
        <v>0</v>
      </c>
      <c r="V1894" s="4">
        <f t="shared" si="296"/>
        <v>0</v>
      </c>
    </row>
    <row r="1895" spans="4:22" x14ac:dyDescent="0.15">
      <c r="D1895" s="4">
        <f t="shared" si="285"/>
        <v>523</v>
      </c>
      <c r="E1895" s="4">
        <v>11</v>
      </c>
      <c r="H1895" s="29">
        <v>1001</v>
      </c>
      <c r="I1895" s="30">
        <v>0</v>
      </c>
      <c r="M1895" s="4">
        <f t="shared" ref="M1895:V1895" si="297">M279*$C$1623</f>
        <v>906</v>
      </c>
      <c r="N1895" s="4">
        <f t="shared" si="297"/>
        <v>136.5</v>
      </c>
      <c r="O1895" s="4">
        <f t="shared" si="297"/>
        <v>10176</v>
      </c>
      <c r="P1895" s="4">
        <f t="shared" si="297"/>
        <v>0</v>
      </c>
      <c r="Q1895" s="4">
        <f t="shared" si="297"/>
        <v>4212</v>
      </c>
      <c r="R1895" s="4">
        <f t="shared" si="297"/>
        <v>3.75</v>
      </c>
      <c r="S1895" s="4">
        <f t="shared" si="297"/>
        <v>72</v>
      </c>
      <c r="T1895" s="4">
        <f t="shared" si="297"/>
        <v>0</v>
      </c>
      <c r="U1895" s="4">
        <f t="shared" si="297"/>
        <v>0</v>
      </c>
      <c r="V1895" s="4">
        <f t="shared" si="297"/>
        <v>0</v>
      </c>
    </row>
    <row r="1896" spans="4:22" x14ac:dyDescent="0.15">
      <c r="D1896" s="4">
        <f t="shared" si="285"/>
        <v>523</v>
      </c>
      <c r="E1896" s="4">
        <v>12</v>
      </c>
      <c r="H1896" s="29">
        <v>1001</v>
      </c>
      <c r="I1896" s="30">
        <v>0</v>
      </c>
      <c r="M1896" s="4">
        <f t="shared" ref="M1896:V1896" si="298">M280*$C$1623</f>
        <v>939</v>
      </c>
      <c r="N1896" s="4">
        <f t="shared" si="298"/>
        <v>148.5</v>
      </c>
      <c r="O1896" s="4">
        <f t="shared" si="298"/>
        <v>10416</v>
      </c>
      <c r="P1896" s="4">
        <f t="shared" si="298"/>
        <v>0</v>
      </c>
      <c r="Q1896" s="4">
        <f t="shared" si="298"/>
        <v>4230</v>
      </c>
      <c r="R1896" s="4">
        <f t="shared" si="298"/>
        <v>3.75</v>
      </c>
      <c r="S1896" s="4">
        <f t="shared" si="298"/>
        <v>76.5</v>
      </c>
      <c r="T1896" s="4">
        <f t="shared" si="298"/>
        <v>0</v>
      </c>
      <c r="U1896" s="4">
        <f t="shared" si="298"/>
        <v>0</v>
      </c>
      <c r="V1896" s="4">
        <f t="shared" si="298"/>
        <v>0</v>
      </c>
    </row>
    <row r="1897" spans="4:22" x14ac:dyDescent="0.15">
      <c r="D1897" s="4">
        <f t="shared" si="285"/>
        <v>523</v>
      </c>
      <c r="E1897" s="4">
        <v>13</v>
      </c>
      <c r="H1897" s="29">
        <v>1001</v>
      </c>
      <c r="I1897" s="30">
        <v>0</v>
      </c>
      <c r="M1897" s="4">
        <f t="shared" ref="M1897:V1897" si="299">M281*$C$1623</f>
        <v>972</v>
      </c>
      <c r="N1897" s="4">
        <f t="shared" si="299"/>
        <v>160.5</v>
      </c>
      <c r="O1897" s="4">
        <f t="shared" si="299"/>
        <v>10656</v>
      </c>
      <c r="P1897" s="4">
        <f t="shared" si="299"/>
        <v>0</v>
      </c>
      <c r="Q1897" s="4">
        <f t="shared" si="299"/>
        <v>4248</v>
      </c>
      <c r="R1897" s="4">
        <f t="shared" si="299"/>
        <v>3.75</v>
      </c>
      <c r="S1897" s="4">
        <f t="shared" si="299"/>
        <v>81</v>
      </c>
      <c r="T1897" s="4">
        <f t="shared" si="299"/>
        <v>0</v>
      </c>
      <c r="U1897" s="4">
        <f t="shared" si="299"/>
        <v>0</v>
      </c>
      <c r="V1897" s="4">
        <f t="shared" si="299"/>
        <v>0</v>
      </c>
    </row>
    <row r="1898" spans="4:22" x14ac:dyDescent="0.15">
      <c r="D1898" s="4">
        <f t="shared" si="285"/>
        <v>523</v>
      </c>
      <c r="E1898" s="4">
        <v>14</v>
      </c>
      <c r="H1898" s="29">
        <v>1001</v>
      </c>
      <c r="I1898" s="30">
        <v>0</v>
      </c>
      <c r="M1898" s="4">
        <f t="shared" ref="M1898:V1898" si="300">M282*$C$1623</f>
        <v>1005</v>
      </c>
      <c r="N1898" s="4">
        <f t="shared" si="300"/>
        <v>172.5</v>
      </c>
      <c r="O1898" s="4">
        <f t="shared" si="300"/>
        <v>10896</v>
      </c>
      <c r="P1898" s="4">
        <f t="shared" si="300"/>
        <v>0</v>
      </c>
      <c r="Q1898" s="4">
        <f t="shared" si="300"/>
        <v>4266</v>
      </c>
      <c r="R1898" s="4">
        <f t="shared" si="300"/>
        <v>3.75</v>
      </c>
      <c r="S1898" s="4">
        <f t="shared" si="300"/>
        <v>85.5</v>
      </c>
      <c r="T1898" s="4">
        <f t="shared" si="300"/>
        <v>0</v>
      </c>
      <c r="U1898" s="4">
        <f t="shared" si="300"/>
        <v>0</v>
      </c>
      <c r="V1898" s="4">
        <f t="shared" si="300"/>
        <v>0</v>
      </c>
    </row>
    <row r="1899" spans="4:22" x14ac:dyDescent="0.15">
      <c r="D1899" s="4">
        <f t="shared" si="285"/>
        <v>523</v>
      </c>
      <c r="E1899" s="4">
        <v>15</v>
      </c>
      <c r="H1899" s="29">
        <v>1001</v>
      </c>
      <c r="I1899" s="30">
        <v>0</v>
      </c>
      <c r="M1899" s="4">
        <f t="shared" ref="M1899:V1899" si="301">M283*$C$1623</f>
        <v>1038</v>
      </c>
      <c r="N1899" s="4">
        <f t="shared" si="301"/>
        <v>184.5</v>
      </c>
      <c r="O1899" s="4">
        <f t="shared" si="301"/>
        <v>11136</v>
      </c>
      <c r="P1899" s="4">
        <f t="shared" si="301"/>
        <v>0</v>
      </c>
      <c r="Q1899" s="4">
        <f t="shared" si="301"/>
        <v>4284</v>
      </c>
      <c r="R1899" s="4">
        <f t="shared" si="301"/>
        <v>3.75</v>
      </c>
      <c r="S1899" s="4">
        <f t="shared" si="301"/>
        <v>90</v>
      </c>
      <c r="T1899" s="4">
        <f t="shared" si="301"/>
        <v>0</v>
      </c>
      <c r="U1899" s="4">
        <f t="shared" si="301"/>
        <v>0</v>
      </c>
      <c r="V1899" s="4">
        <f t="shared" si="301"/>
        <v>0</v>
      </c>
    </row>
    <row r="1900" spans="4:22" x14ac:dyDescent="0.15">
      <c r="D1900" s="4">
        <f t="shared" si="285"/>
        <v>523</v>
      </c>
      <c r="E1900" s="4">
        <v>16</v>
      </c>
      <c r="H1900" s="29">
        <v>1001</v>
      </c>
      <c r="I1900" s="30">
        <v>0</v>
      </c>
      <c r="M1900" s="4">
        <f t="shared" ref="M1900:V1900" si="302">M284*$C$1623</f>
        <v>1071</v>
      </c>
      <c r="N1900" s="4">
        <f t="shared" si="302"/>
        <v>196.5</v>
      </c>
      <c r="O1900" s="4">
        <f t="shared" si="302"/>
        <v>11376</v>
      </c>
      <c r="P1900" s="4">
        <f t="shared" si="302"/>
        <v>0</v>
      </c>
      <c r="Q1900" s="4">
        <f t="shared" si="302"/>
        <v>4302</v>
      </c>
      <c r="R1900" s="4">
        <f t="shared" si="302"/>
        <v>3.75</v>
      </c>
      <c r="S1900" s="4">
        <f t="shared" si="302"/>
        <v>94.5</v>
      </c>
      <c r="T1900" s="4">
        <f t="shared" si="302"/>
        <v>0</v>
      </c>
      <c r="U1900" s="4">
        <f t="shared" si="302"/>
        <v>0</v>
      </c>
      <c r="V1900" s="4">
        <f t="shared" si="302"/>
        <v>0</v>
      </c>
    </row>
    <row r="1901" spans="4:22" x14ac:dyDescent="0.15">
      <c r="D1901" s="4">
        <f t="shared" si="285"/>
        <v>523</v>
      </c>
      <c r="E1901" s="4">
        <v>17</v>
      </c>
      <c r="H1901" s="29">
        <v>1001</v>
      </c>
      <c r="I1901" s="30">
        <v>0</v>
      </c>
      <c r="M1901" s="4">
        <f t="shared" ref="M1901:V1901" si="303">M285*$C$1623</f>
        <v>1104</v>
      </c>
      <c r="N1901" s="4">
        <f t="shared" si="303"/>
        <v>208.5</v>
      </c>
      <c r="O1901" s="4">
        <f t="shared" si="303"/>
        <v>11616</v>
      </c>
      <c r="P1901" s="4">
        <f t="shared" si="303"/>
        <v>0</v>
      </c>
      <c r="Q1901" s="4">
        <f t="shared" si="303"/>
        <v>4320</v>
      </c>
      <c r="R1901" s="4">
        <f t="shared" si="303"/>
        <v>3.75</v>
      </c>
      <c r="S1901" s="4">
        <f t="shared" si="303"/>
        <v>99</v>
      </c>
      <c r="T1901" s="4">
        <f t="shared" si="303"/>
        <v>0</v>
      </c>
      <c r="U1901" s="4">
        <f t="shared" si="303"/>
        <v>0</v>
      </c>
      <c r="V1901" s="4">
        <f t="shared" si="303"/>
        <v>0</v>
      </c>
    </row>
    <row r="1902" spans="4:22" x14ac:dyDescent="0.15">
      <c r="D1902" s="4">
        <f t="shared" si="285"/>
        <v>523</v>
      </c>
      <c r="E1902" s="4">
        <v>18</v>
      </c>
      <c r="H1902" s="29">
        <v>1001</v>
      </c>
      <c r="I1902" s="30">
        <v>0</v>
      </c>
      <c r="M1902" s="4">
        <f t="shared" ref="M1902:V1902" si="304">M286*$C$1623</f>
        <v>1137</v>
      </c>
      <c r="N1902" s="4">
        <f t="shared" si="304"/>
        <v>220.5</v>
      </c>
      <c r="O1902" s="4">
        <f t="shared" si="304"/>
        <v>11856</v>
      </c>
      <c r="P1902" s="4">
        <f t="shared" si="304"/>
        <v>0</v>
      </c>
      <c r="Q1902" s="4">
        <f t="shared" si="304"/>
        <v>4338</v>
      </c>
      <c r="R1902" s="4">
        <f t="shared" si="304"/>
        <v>3.75</v>
      </c>
      <c r="S1902" s="4">
        <f t="shared" si="304"/>
        <v>103.5</v>
      </c>
      <c r="T1902" s="4">
        <f t="shared" si="304"/>
        <v>0</v>
      </c>
      <c r="U1902" s="4">
        <f t="shared" si="304"/>
        <v>0</v>
      </c>
      <c r="V1902" s="4">
        <f t="shared" si="304"/>
        <v>0</v>
      </c>
    </row>
    <row r="1903" spans="4:22" x14ac:dyDescent="0.15">
      <c r="D1903" s="4">
        <f t="shared" si="285"/>
        <v>523</v>
      </c>
      <c r="E1903" s="4">
        <v>19</v>
      </c>
      <c r="H1903" s="29">
        <v>1001</v>
      </c>
      <c r="I1903" s="30">
        <v>0</v>
      </c>
      <c r="M1903" s="4">
        <f t="shared" ref="M1903:V1903" si="305">M287*$C$1623</f>
        <v>1170</v>
      </c>
      <c r="N1903" s="4">
        <f t="shared" si="305"/>
        <v>232.5</v>
      </c>
      <c r="O1903" s="4">
        <f t="shared" si="305"/>
        <v>12096</v>
      </c>
      <c r="P1903" s="4">
        <f t="shared" si="305"/>
        <v>0</v>
      </c>
      <c r="Q1903" s="4">
        <f t="shared" si="305"/>
        <v>4356</v>
      </c>
      <c r="R1903" s="4">
        <f t="shared" si="305"/>
        <v>3.75</v>
      </c>
      <c r="S1903" s="4">
        <f t="shared" si="305"/>
        <v>108</v>
      </c>
      <c r="T1903" s="4">
        <f t="shared" si="305"/>
        <v>0</v>
      </c>
      <c r="U1903" s="4">
        <f t="shared" si="305"/>
        <v>0</v>
      </c>
      <c r="V1903" s="4">
        <f t="shared" si="305"/>
        <v>0</v>
      </c>
    </row>
    <row r="1904" spans="4:22" x14ac:dyDescent="0.15">
      <c r="D1904" s="4">
        <f t="shared" si="285"/>
        <v>523</v>
      </c>
      <c r="E1904" s="4">
        <v>20</v>
      </c>
      <c r="H1904" s="29">
        <v>1001</v>
      </c>
      <c r="I1904" s="30">
        <v>0</v>
      </c>
      <c r="M1904" s="4">
        <f t="shared" ref="M1904:V1904" si="306">M288*$C$1623</f>
        <v>1203</v>
      </c>
      <c r="N1904" s="4">
        <f t="shared" si="306"/>
        <v>244.5</v>
      </c>
      <c r="O1904" s="4">
        <f t="shared" si="306"/>
        <v>12336</v>
      </c>
      <c r="P1904" s="4">
        <f t="shared" si="306"/>
        <v>0</v>
      </c>
      <c r="Q1904" s="4">
        <f t="shared" si="306"/>
        <v>4374</v>
      </c>
      <c r="R1904" s="4">
        <f t="shared" si="306"/>
        <v>3.75</v>
      </c>
      <c r="S1904" s="4">
        <f t="shared" si="306"/>
        <v>112.5</v>
      </c>
      <c r="T1904" s="4">
        <f t="shared" si="306"/>
        <v>0</v>
      </c>
      <c r="U1904" s="4">
        <f t="shared" si="306"/>
        <v>0</v>
      </c>
      <c r="V1904" s="4">
        <f t="shared" si="306"/>
        <v>0</v>
      </c>
    </row>
    <row r="1905" spans="4:22" x14ac:dyDescent="0.15">
      <c r="D1905" s="4">
        <f t="shared" si="285"/>
        <v>523</v>
      </c>
      <c r="E1905" s="4">
        <v>21</v>
      </c>
      <c r="H1905" s="29">
        <v>1001</v>
      </c>
      <c r="I1905" s="30">
        <v>0</v>
      </c>
      <c r="M1905" s="4">
        <f t="shared" ref="M1905:V1905" si="307">M289*$C$1623</f>
        <v>1236</v>
      </c>
      <c r="N1905" s="4">
        <f t="shared" si="307"/>
        <v>256.5</v>
      </c>
      <c r="O1905" s="4">
        <f t="shared" si="307"/>
        <v>12576</v>
      </c>
      <c r="P1905" s="4">
        <f t="shared" si="307"/>
        <v>0</v>
      </c>
      <c r="Q1905" s="4">
        <f t="shared" si="307"/>
        <v>4392</v>
      </c>
      <c r="R1905" s="4">
        <f t="shared" si="307"/>
        <v>3.75</v>
      </c>
      <c r="S1905" s="4">
        <f t="shared" si="307"/>
        <v>117</v>
      </c>
      <c r="T1905" s="4">
        <f t="shared" si="307"/>
        <v>0</v>
      </c>
      <c r="U1905" s="4">
        <f t="shared" si="307"/>
        <v>0</v>
      </c>
      <c r="V1905" s="4">
        <f t="shared" si="307"/>
        <v>0</v>
      </c>
    </row>
    <row r="1906" spans="4:22" x14ac:dyDescent="0.15">
      <c r="D1906" s="4">
        <f t="shared" si="285"/>
        <v>523</v>
      </c>
      <c r="E1906" s="4">
        <v>22</v>
      </c>
      <c r="H1906" s="29">
        <v>1001</v>
      </c>
      <c r="I1906" s="30">
        <v>0</v>
      </c>
      <c r="M1906" s="4">
        <f t="shared" ref="M1906:V1906" si="308">M290*$C$1623</f>
        <v>1269</v>
      </c>
      <c r="N1906" s="4">
        <f t="shared" si="308"/>
        <v>268.5</v>
      </c>
      <c r="O1906" s="4">
        <f t="shared" si="308"/>
        <v>12816</v>
      </c>
      <c r="P1906" s="4">
        <f t="shared" si="308"/>
        <v>0</v>
      </c>
      <c r="Q1906" s="4">
        <f t="shared" si="308"/>
        <v>4410</v>
      </c>
      <c r="R1906" s="4">
        <f t="shared" si="308"/>
        <v>3.75</v>
      </c>
      <c r="S1906" s="4">
        <f t="shared" si="308"/>
        <v>121.5</v>
      </c>
      <c r="T1906" s="4">
        <f t="shared" si="308"/>
        <v>0</v>
      </c>
      <c r="U1906" s="4">
        <f t="shared" si="308"/>
        <v>0</v>
      </c>
      <c r="V1906" s="4">
        <f t="shared" si="308"/>
        <v>0</v>
      </c>
    </row>
    <row r="1907" spans="4:22" x14ac:dyDescent="0.15">
      <c r="D1907" s="4">
        <f t="shared" si="285"/>
        <v>523</v>
      </c>
      <c r="E1907" s="4">
        <v>23</v>
      </c>
      <c r="H1907" s="29">
        <v>1001</v>
      </c>
      <c r="I1907" s="30">
        <v>0</v>
      </c>
      <c r="M1907" s="4">
        <f t="shared" ref="M1907:V1907" si="309">M291*$C$1623</f>
        <v>1302</v>
      </c>
      <c r="N1907" s="4">
        <f t="shared" si="309"/>
        <v>280.5</v>
      </c>
      <c r="O1907" s="4">
        <f t="shared" si="309"/>
        <v>13056</v>
      </c>
      <c r="P1907" s="4">
        <f t="shared" si="309"/>
        <v>0</v>
      </c>
      <c r="Q1907" s="4">
        <f t="shared" si="309"/>
        <v>4428</v>
      </c>
      <c r="R1907" s="4">
        <f t="shared" si="309"/>
        <v>3.75</v>
      </c>
      <c r="S1907" s="4">
        <f t="shared" si="309"/>
        <v>126</v>
      </c>
      <c r="T1907" s="4">
        <f t="shared" si="309"/>
        <v>0</v>
      </c>
      <c r="U1907" s="4">
        <f t="shared" si="309"/>
        <v>0</v>
      </c>
      <c r="V1907" s="4">
        <f t="shared" si="309"/>
        <v>0</v>
      </c>
    </row>
    <row r="1908" spans="4:22" x14ac:dyDescent="0.15">
      <c r="D1908" s="4">
        <f t="shared" si="285"/>
        <v>523</v>
      </c>
      <c r="E1908" s="4">
        <v>24</v>
      </c>
      <c r="H1908" s="29">
        <v>1001</v>
      </c>
      <c r="I1908" s="30">
        <v>0</v>
      </c>
      <c r="M1908" s="4">
        <f t="shared" ref="M1908:V1908" si="310">M292*$C$1623</f>
        <v>1335</v>
      </c>
      <c r="N1908" s="4">
        <f t="shared" si="310"/>
        <v>292.5</v>
      </c>
      <c r="O1908" s="4">
        <f t="shared" si="310"/>
        <v>13296</v>
      </c>
      <c r="P1908" s="4">
        <f t="shared" si="310"/>
        <v>0</v>
      </c>
      <c r="Q1908" s="4">
        <f t="shared" si="310"/>
        <v>4446</v>
      </c>
      <c r="R1908" s="4">
        <f t="shared" si="310"/>
        <v>3.75</v>
      </c>
      <c r="S1908" s="4">
        <f t="shared" si="310"/>
        <v>130.5</v>
      </c>
      <c r="T1908" s="4">
        <f t="shared" si="310"/>
        <v>0</v>
      </c>
      <c r="U1908" s="4">
        <f t="shared" si="310"/>
        <v>0</v>
      </c>
      <c r="V1908" s="4">
        <f t="shared" si="310"/>
        <v>0</v>
      </c>
    </row>
    <row r="1909" spans="4:22" x14ac:dyDescent="0.15">
      <c r="D1909" s="4">
        <f t="shared" si="285"/>
        <v>523</v>
      </c>
      <c r="E1909" s="4">
        <v>25</v>
      </c>
      <c r="H1909" s="29">
        <v>1001</v>
      </c>
      <c r="I1909" s="30">
        <v>0</v>
      </c>
      <c r="M1909" s="4">
        <f t="shared" ref="M1909:V1909" si="311">M293*$C$1623</f>
        <v>1368</v>
      </c>
      <c r="N1909" s="4">
        <f t="shared" si="311"/>
        <v>304.5</v>
      </c>
      <c r="O1909" s="4">
        <f t="shared" si="311"/>
        <v>13536</v>
      </c>
      <c r="P1909" s="4">
        <f t="shared" si="311"/>
        <v>0</v>
      </c>
      <c r="Q1909" s="4">
        <f t="shared" si="311"/>
        <v>4464</v>
      </c>
      <c r="R1909" s="4">
        <f t="shared" si="311"/>
        <v>3.75</v>
      </c>
      <c r="S1909" s="4">
        <f t="shared" si="311"/>
        <v>135</v>
      </c>
      <c r="T1909" s="4">
        <f t="shared" si="311"/>
        <v>0</v>
      </c>
      <c r="U1909" s="4">
        <f t="shared" si="311"/>
        <v>0</v>
      </c>
      <c r="V1909" s="4">
        <f t="shared" si="311"/>
        <v>0</v>
      </c>
    </row>
    <row r="1910" spans="4:22" x14ac:dyDescent="0.15">
      <c r="D1910" s="4">
        <f t="shared" si="285"/>
        <v>523</v>
      </c>
      <c r="E1910" s="4">
        <v>26</v>
      </c>
      <c r="H1910" s="29">
        <v>1001</v>
      </c>
      <c r="I1910" s="30">
        <v>0</v>
      </c>
      <c r="M1910" s="4">
        <f t="shared" ref="M1910:V1910" si="312">M294*$C$1623</f>
        <v>1401</v>
      </c>
      <c r="N1910" s="4">
        <f t="shared" si="312"/>
        <v>316.5</v>
      </c>
      <c r="O1910" s="4">
        <f t="shared" si="312"/>
        <v>13776</v>
      </c>
      <c r="P1910" s="4">
        <f t="shared" si="312"/>
        <v>0</v>
      </c>
      <c r="Q1910" s="4">
        <f t="shared" si="312"/>
        <v>4482</v>
      </c>
      <c r="R1910" s="4">
        <f t="shared" si="312"/>
        <v>3.75</v>
      </c>
      <c r="S1910" s="4">
        <f t="shared" si="312"/>
        <v>139.5</v>
      </c>
      <c r="T1910" s="4">
        <f t="shared" si="312"/>
        <v>0</v>
      </c>
      <c r="U1910" s="4">
        <f t="shared" si="312"/>
        <v>0</v>
      </c>
      <c r="V1910" s="4">
        <f t="shared" si="312"/>
        <v>0</v>
      </c>
    </row>
    <row r="1911" spans="4:22" x14ac:dyDescent="0.15">
      <c r="D1911" s="4">
        <f t="shared" si="285"/>
        <v>523</v>
      </c>
      <c r="E1911" s="4">
        <v>27</v>
      </c>
      <c r="H1911" s="29">
        <v>1001</v>
      </c>
      <c r="I1911" s="30">
        <v>0</v>
      </c>
      <c r="M1911" s="4">
        <f t="shared" ref="M1911:V1911" si="313">M295*$C$1623</f>
        <v>1434</v>
      </c>
      <c r="N1911" s="4">
        <f t="shared" si="313"/>
        <v>328.5</v>
      </c>
      <c r="O1911" s="4">
        <f t="shared" si="313"/>
        <v>14016</v>
      </c>
      <c r="P1911" s="4">
        <f t="shared" si="313"/>
        <v>0</v>
      </c>
      <c r="Q1911" s="4">
        <f t="shared" si="313"/>
        <v>4500</v>
      </c>
      <c r="R1911" s="4">
        <f t="shared" si="313"/>
        <v>3.75</v>
      </c>
      <c r="S1911" s="4">
        <f t="shared" si="313"/>
        <v>144</v>
      </c>
      <c r="T1911" s="4">
        <f t="shared" si="313"/>
        <v>0</v>
      </c>
      <c r="U1911" s="4">
        <f t="shared" si="313"/>
        <v>0</v>
      </c>
      <c r="V1911" s="4">
        <f t="shared" si="313"/>
        <v>0</v>
      </c>
    </row>
    <row r="1912" spans="4:22" x14ac:dyDescent="0.15">
      <c r="D1912" s="4">
        <f t="shared" si="285"/>
        <v>523</v>
      </c>
      <c r="E1912" s="4">
        <v>28</v>
      </c>
      <c r="H1912" s="29">
        <v>1001</v>
      </c>
      <c r="I1912" s="30">
        <v>0</v>
      </c>
      <c r="M1912" s="4">
        <f t="shared" ref="M1912:V1912" si="314">M296*$C$1623</f>
        <v>1467</v>
      </c>
      <c r="N1912" s="4">
        <f t="shared" si="314"/>
        <v>340.5</v>
      </c>
      <c r="O1912" s="4">
        <f t="shared" si="314"/>
        <v>14256</v>
      </c>
      <c r="P1912" s="4">
        <f t="shared" si="314"/>
        <v>0</v>
      </c>
      <c r="Q1912" s="4">
        <f t="shared" si="314"/>
        <v>4518</v>
      </c>
      <c r="R1912" s="4">
        <f t="shared" si="314"/>
        <v>3.75</v>
      </c>
      <c r="S1912" s="4">
        <f t="shared" si="314"/>
        <v>148.5</v>
      </c>
      <c r="T1912" s="4">
        <f t="shared" si="314"/>
        <v>0</v>
      </c>
      <c r="U1912" s="4">
        <f t="shared" si="314"/>
        <v>0</v>
      </c>
      <c r="V1912" s="4">
        <f t="shared" si="314"/>
        <v>0</v>
      </c>
    </row>
    <row r="1913" spans="4:22" x14ac:dyDescent="0.15">
      <c r="D1913" s="4">
        <f t="shared" si="285"/>
        <v>523</v>
      </c>
      <c r="E1913" s="4">
        <v>29</v>
      </c>
      <c r="H1913" s="29">
        <v>1001</v>
      </c>
      <c r="I1913" s="30">
        <v>0</v>
      </c>
      <c r="M1913" s="4">
        <f t="shared" ref="M1913:V1913" si="315">M297*$C$1623</f>
        <v>1500</v>
      </c>
      <c r="N1913" s="4">
        <f t="shared" si="315"/>
        <v>352.5</v>
      </c>
      <c r="O1913" s="4">
        <f t="shared" si="315"/>
        <v>14496</v>
      </c>
      <c r="P1913" s="4">
        <f t="shared" si="315"/>
        <v>0</v>
      </c>
      <c r="Q1913" s="4">
        <f t="shared" si="315"/>
        <v>4536</v>
      </c>
      <c r="R1913" s="4">
        <f t="shared" si="315"/>
        <v>3.75</v>
      </c>
      <c r="S1913" s="4">
        <f t="shared" si="315"/>
        <v>153</v>
      </c>
      <c r="T1913" s="4">
        <f t="shared" si="315"/>
        <v>0</v>
      </c>
      <c r="U1913" s="4">
        <f t="shared" si="315"/>
        <v>0</v>
      </c>
      <c r="V1913" s="4">
        <f t="shared" si="315"/>
        <v>0</v>
      </c>
    </row>
    <row r="1914" spans="4:22" x14ac:dyDescent="0.15">
      <c r="D1914" s="4">
        <f t="shared" si="285"/>
        <v>523</v>
      </c>
      <c r="E1914" s="4">
        <v>30</v>
      </c>
      <c r="H1914" s="29">
        <v>1001</v>
      </c>
      <c r="I1914" s="30">
        <v>0</v>
      </c>
      <c r="M1914" s="4">
        <f t="shared" ref="M1914:V1914" si="316">M298*$C$1623</f>
        <v>1533</v>
      </c>
      <c r="N1914" s="4">
        <f t="shared" si="316"/>
        <v>364.5</v>
      </c>
      <c r="O1914" s="4">
        <f t="shared" si="316"/>
        <v>14736</v>
      </c>
      <c r="P1914" s="4">
        <f t="shared" si="316"/>
        <v>0</v>
      </c>
      <c r="Q1914" s="4">
        <f t="shared" si="316"/>
        <v>4554</v>
      </c>
      <c r="R1914" s="4">
        <f t="shared" si="316"/>
        <v>3.75</v>
      </c>
      <c r="S1914" s="4">
        <f t="shared" si="316"/>
        <v>157.5</v>
      </c>
      <c r="T1914" s="4">
        <f t="shared" si="316"/>
        <v>0</v>
      </c>
      <c r="U1914" s="4">
        <f t="shared" si="316"/>
        <v>0</v>
      </c>
      <c r="V1914" s="4">
        <f t="shared" si="316"/>
        <v>0</v>
      </c>
    </row>
    <row r="1915" spans="4:22" x14ac:dyDescent="0.15">
      <c r="D1915" s="4">
        <f t="shared" si="285"/>
        <v>523</v>
      </c>
      <c r="E1915" s="4">
        <v>31</v>
      </c>
      <c r="H1915" s="29">
        <v>1001</v>
      </c>
      <c r="I1915" s="30">
        <v>0</v>
      </c>
      <c r="M1915" s="4">
        <f t="shared" ref="M1915:V1915" si="317">M299*$C$1623</f>
        <v>1566</v>
      </c>
      <c r="N1915" s="4">
        <f t="shared" si="317"/>
        <v>376.5</v>
      </c>
      <c r="O1915" s="4">
        <f t="shared" si="317"/>
        <v>14976</v>
      </c>
      <c r="P1915" s="4">
        <f t="shared" si="317"/>
        <v>0</v>
      </c>
      <c r="Q1915" s="4">
        <f t="shared" si="317"/>
        <v>4572</v>
      </c>
      <c r="R1915" s="4">
        <f t="shared" si="317"/>
        <v>3.75</v>
      </c>
      <c r="S1915" s="4">
        <f t="shared" si="317"/>
        <v>162</v>
      </c>
      <c r="T1915" s="4">
        <f t="shared" si="317"/>
        <v>0</v>
      </c>
      <c r="U1915" s="4">
        <f t="shared" si="317"/>
        <v>0</v>
      </c>
      <c r="V1915" s="4">
        <f t="shared" si="317"/>
        <v>0</v>
      </c>
    </row>
    <row r="1916" spans="4:22" x14ac:dyDescent="0.15">
      <c r="D1916" s="4">
        <f t="shared" si="285"/>
        <v>523</v>
      </c>
      <c r="E1916" s="4">
        <v>32</v>
      </c>
      <c r="H1916" s="29">
        <v>1001</v>
      </c>
      <c r="I1916" s="30">
        <v>0</v>
      </c>
      <c r="M1916" s="4">
        <f t="shared" ref="M1916:V1916" si="318">M300*$C$1623</f>
        <v>1599</v>
      </c>
      <c r="N1916" s="4">
        <f t="shared" si="318"/>
        <v>388.5</v>
      </c>
      <c r="O1916" s="4">
        <f t="shared" si="318"/>
        <v>15216</v>
      </c>
      <c r="P1916" s="4">
        <f t="shared" si="318"/>
        <v>0</v>
      </c>
      <c r="Q1916" s="4">
        <f t="shared" si="318"/>
        <v>4590</v>
      </c>
      <c r="R1916" s="4">
        <f t="shared" si="318"/>
        <v>3.75</v>
      </c>
      <c r="S1916" s="4">
        <f t="shared" si="318"/>
        <v>166.5</v>
      </c>
      <c r="T1916" s="4">
        <f t="shared" si="318"/>
        <v>0</v>
      </c>
      <c r="U1916" s="4">
        <f t="shared" si="318"/>
        <v>0</v>
      </c>
      <c r="V1916" s="4">
        <f t="shared" si="318"/>
        <v>0</v>
      </c>
    </row>
    <row r="1917" spans="4:22" x14ac:dyDescent="0.15">
      <c r="D1917" s="4">
        <f t="shared" si="285"/>
        <v>523</v>
      </c>
      <c r="E1917" s="4">
        <v>33</v>
      </c>
      <c r="H1917" s="29">
        <v>1001</v>
      </c>
      <c r="I1917" s="30">
        <v>0</v>
      </c>
      <c r="M1917" s="4">
        <f t="shared" ref="M1917:V1917" si="319">M301*$C$1623</f>
        <v>1632</v>
      </c>
      <c r="N1917" s="4">
        <f t="shared" si="319"/>
        <v>400.5</v>
      </c>
      <c r="O1917" s="4">
        <f t="shared" si="319"/>
        <v>15456</v>
      </c>
      <c r="P1917" s="4">
        <f t="shared" si="319"/>
        <v>0</v>
      </c>
      <c r="Q1917" s="4">
        <f t="shared" si="319"/>
        <v>4608</v>
      </c>
      <c r="R1917" s="4">
        <f t="shared" si="319"/>
        <v>3.75</v>
      </c>
      <c r="S1917" s="4">
        <f t="shared" si="319"/>
        <v>171</v>
      </c>
      <c r="T1917" s="4">
        <f t="shared" si="319"/>
        <v>0</v>
      </c>
      <c r="U1917" s="4">
        <f t="shared" si="319"/>
        <v>0</v>
      </c>
      <c r="V1917" s="4">
        <f t="shared" si="319"/>
        <v>0</v>
      </c>
    </row>
    <row r="1918" spans="4:22" x14ac:dyDescent="0.15">
      <c r="D1918" s="4">
        <f t="shared" si="285"/>
        <v>523</v>
      </c>
      <c r="E1918" s="4">
        <v>34</v>
      </c>
      <c r="H1918" s="29">
        <v>1001</v>
      </c>
      <c r="I1918" s="30">
        <v>0</v>
      </c>
      <c r="M1918" s="4">
        <f t="shared" ref="M1918:V1918" si="320">M302*$C$1623</f>
        <v>1665</v>
      </c>
      <c r="N1918" s="4">
        <f t="shared" si="320"/>
        <v>412.5</v>
      </c>
      <c r="O1918" s="4">
        <f t="shared" si="320"/>
        <v>15696</v>
      </c>
      <c r="P1918" s="4">
        <f t="shared" si="320"/>
        <v>0</v>
      </c>
      <c r="Q1918" s="4">
        <f t="shared" si="320"/>
        <v>4626</v>
      </c>
      <c r="R1918" s="4">
        <f t="shared" si="320"/>
        <v>3.75</v>
      </c>
      <c r="S1918" s="4">
        <f t="shared" si="320"/>
        <v>175.5</v>
      </c>
      <c r="T1918" s="4">
        <f t="shared" si="320"/>
        <v>0</v>
      </c>
      <c r="U1918" s="4">
        <f t="shared" si="320"/>
        <v>0</v>
      </c>
      <c r="V1918" s="4">
        <f t="shared" si="320"/>
        <v>0</v>
      </c>
    </row>
    <row r="1919" spans="4:22" x14ac:dyDescent="0.15">
      <c r="D1919" s="4">
        <f t="shared" si="285"/>
        <v>523</v>
      </c>
      <c r="E1919" s="4">
        <v>35</v>
      </c>
      <c r="H1919" s="29">
        <v>1001</v>
      </c>
      <c r="I1919" s="30">
        <v>0</v>
      </c>
      <c r="M1919" s="4">
        <f t="shared" ref="M1919:V1919" si="321">M303*$C$1623</f>
        <v>1698</v>
      </c>
      <c r="N1919" s="4">
        <f t="shared" si="321"/>
        <v>424.5</v>
      </c>
      <c r="O1919" s="4">
        <f t="shared" si="321"/>
        <v>15936</v>
      </c>
      <c r="P1919" s="4">
        <f t="shared" si="321"/>
        <v>0</v>
      </c>
      <c r="Q1919" s="4">
        <f t="shared" si="321"/>
        <v>4644</v>
      </c>
      <c r="R1919" s="4">
        <f t="shared" si="321"/>
        <v>3.75</v>
      </c>
      <c r="S1919" s="4">
        <f t="shared" si="321"/>
        <v>180</v>
      </c>
      <c r="T1919" s="4">
        <f t="shared" si="321"/>
        <v>0</v>
      </c>
      <c r="U1919" s="4">
        <f t="shared" si="321"/>
        <v>0</v>
      </c>
      <c r="V1919" s="4">
        <f t="shared" si="321"/>
        <v>0</v>
      </c>
    </row>
    <row r="1920" spans="4:22" x14ac:dyDescent="0.15">
      <c r="D1920" s="4">
        <f t="shared" si="285"/>
        <v>523</v>
      </c>
      <c r="E1920" s="4">
        <v>36</v>
      </c>
      <c r="H1920" s="29">
        <v>1001</v>
      </c>
      <c r="I1920" s="30">
        <v>0</v>
      </c>
      <c r="M1920" s="4">
        <f t="shared" ref="M1920:V1920" si="322">M304*$C$1623</f>
        <v>1731</v>
      </c>
      <c r="N1920" s="4">
        <f t="shared" si="322"/>
        <v>436.5</v>
      </c>
      <c r="O1920" s="4">
        <f t="shared" si="322"/>
        <v>16176</v>
      </c>
      <c r="P1920" s="4">
        <f t="shared" si="322"/>
        <v>0</v>
      </c>
      <c r="Q1920" s="4">
        <f t="shared" si="322"/>
        <v>4662</v>
      </c>
      <c r="R1920" s="4">
        <f t="shared" si="322"/>
        <v>3.75</v>
      </c>
      <c r="S1920" s="4">
        <f t="shared" si="322"/>
        <v>184.5</v>
      </c>
      <c r="T1920" s="4">
        <f t="shared" si="322"/>
        <v>0</v>
      </c>
      <c r="U1920" s="4">
        <f t="shared" si="322"/>
        <v>0</v>
      </c>
      <c r="V1920" s="4">
        <f t="shared" si="322"/>
        <v>0</v>
      </c>
    </row>
    <row r="1921" spans="1:22" x14ac:dyDescent="0.15">
      <c r="D1921" s="4">
        <f t="shared" si="285"/>
        <v>523</v>
      </c>
      <c r="E1921" s="4">
        <v>37</v>
      </c>
      <c r="H1921" s="29">
        <v>1001</v>
      </c>
      <c r="I1921" s="30">
        <v>0</v>
      </c>
      <c r="M1921" s="4">
        <f t="shared" ref="M1921:V1921" si="323">M305*$C$1623</f>
        <v>1764</v>
      </c>
      <c r="N1921" s="4">
        <f t="shared" si="323"/>
        <v>448.5</v>
      </c>
      <c r="O1921" s="4">
        <f t="shared" si="323"/>
        <v>16416</v>
      </c>
      <c r="P1921" s="4">
        <f t="shared" si="323"/>
        <v>0</v>
      </c>
      <c r="Q1921" s="4">
        <f t="shared" si="323"/>
        <v>4680</v>
      </c>
      <c r="R1921" s="4">
        <f t="shared" si="323"/>
        <v>3.75</v>
      </c>
      <c r="S1921" s="4">
        <f t="shared" si="323"/>
        <v>189</v>
      </c>
      <c r="T1921" s="4">
        <f t="shared" si="323"/>
        <v>0</v>
      </c>
      <c r="U1921" s="4">
        <f t="shared" si="323"/>
        <v>0</v>
      </c>
      <c r="V1921" s="4">
        <f t="shared" si="323"/>
        <v>0</v>
      </c>
    </row>
    <row r="1922" spans="1:22" x14ac:dyDescent="0.15">
      <c r="D1922" s="4">
        <f t="shared" si="285"/>
        <v>523</v>
      </c>
      <c r="E1922" s="4">
        <v>38</v>
      </c>
      <c r="H1922" s="29">
        <v>1001</v>
      </c>
      <c r="I1922" s="30">
        <v>0</v>
      </c>
      <c r="M1922" s="4">
        <f t="shared" ref="M1922:V1922" si="324">M306*$C$1623</f>
        <v>1797</v>
      </c>
      <c r="N1922" s="4">
        <f t="shared" si="324"/>
        <v>460.5</v>
      </c>
      <c r="O1922" s="4">
        <f t="shared" si="324"/>
        <v>16656</v>
      </c>
      <c r="P1922" s="4">
        <f t="shared" si="324"/>
        <v>0</v>
      </c>
      <c r="Q1922" s="4">
        <f t="shared" si="324"/>
        <v>4698</v>
      </c>
      <c r="R1922" s="4">
        <f t="shared" si="324"/>
        <v>3.75</v>
      </c>
      <c r="S1922" s="4">
        <f t="shared" si="324"/>
        <v>193.5</v>
      </c>
      <c r="T1922" s="4">
        <f t="shared" si="324"/>
        <v>0</v>
      </c>
      <c r="U1922" s="4">
        <f t="shared" si="324"/>
        <v>0</v>
      </c>
      <c r="V1922" s="4">
        <f t="shared" si="324"/>
        <v>0</v>
      </c>
    </row>
    <row r="1923" spans="1:22" x14ac:dyDescent="0.15">
      <c r="D1923" s="4">
        <f t="shared" si="285"/>
        <v>523</v>
      </c>
      <c r="E1923" s="4">
        <v>39</v>
      </c>
      <c r="H1923" s="29">
        <v>1001</v>
      </c>
      <c r="I1923" s="30">
        <v>0</v>
      </c>
      <c r="M1923" s="4">
        <f t="shared" ref="M1923:V1923" si="325">M307*$C$1623</f>
        <v>1830</v>
      </c>
      <c r="N1923" s="4">
        <f t="shared" si="325"/>
        <v>472.5</v>
      </c>
      <c r="O1923" s="4">
        <f t="shared" si="325"/>
        <v>16896</v>
      </c>
      <c r="P1923" s="4">
        <f t="shared" si="325"/>
        <v>0</v>
      </c>
      <c r="Q1923" s="4">
        <f t="shared" si="325"/>
        <v>4716</v>
      </c>
      <c r="R1923" s="4">
        <f t="shared" si="325"/>
        <v>3.75</v>
      </c>
      <c r="S1923" s="4">
        <f t="shared" si="325"/>
        <v>198</v>
      </c>
      <c r="T1923" s="4">
        <f t="shared" si="325"/>
        <v>0</v>
      </c>
      <c r="U1923" s="4">
        <f t="shared" si="325"/>
        <v>0</v>
      </c>
      <c r="V1923" s="4">
        <f t="shared" si="325"/>
        <v>0</v>
      </c>
    </row>
    <row r="1924" spans="1:22" x14ac:dyDescent="0.15">
      <c r="D1924" s="4">
        <f t="shared" si="285"/>
        <v>523</v>
      </c>
      <c r="E1924" s="4">
        <v>40</v>
      </c>
      <c r="H1924" s="29">
        <v>1001</v>
      </c>
      <c r="I1924" s="30">
        <v>0</v>
      </c>
      <c r="M1924" s="4">
        <f t="shared" ref="M1924:V1924" si="326">M308*$C$1623</f>
        <v>1863</v>
      </c>
      <c r="N1924" s="4">
        <f t="shared" si="326"/>
        <v>484.5</v>
      </c>
      <c r="O1924" s="4">
        <f t="shared" si="326"/>
        <v>17136</v>
      </c>
      <c r="P1924" s="4">
        <f t="shared" si="326"/>
        <v>0</v>
      </c>
      <c r="Q1924" s="4">
        <f t="shared" si="326"/>
        <v>4734</v>
      </c>
      <c r="R1924" s="4">
        <f t="shared" si="326"/>
        <v>3.75</v>
      </c>
      <c r="S1924" s="4">
        <f t="shared" si="326"/>
        <v>202.5</v>
      </c>
      <c r="T1924" s="4">
        <f t="shared" si="326"/>
        <v>0</v>
      </c>
      <c r="U1924" s="4">
        <f t="shared" si="326"/>
        <v>0</v>
      </c>
      <c r="V1924" s="4">
        <f t="shared" si="326"/>
        <v>0</v>
      </c>
    </row>
    <row r="1925" spans="1:22" x14ac:dyDescent="0.15">
      <c r="D1925" s="4">
        <f t="shared" si="285"/>
        <v>523</v>
      </c>
      <c r="E1925" s="4">
        <v>41</v>
      </c>
      <c r="H1925" s="29">
        <v>1001</v>
      </c>
      <c r="I1925" s="30">
        <v>0</v>
      </c>
      <c r="M1925" s="4">
        <f t="shared" ref="M1925:V1925" si="327">M309*$C$1623</f>
        <v>1896</v>
      </c>
      <c r="N1925" s="4">
        <f t="shared" si="327"/>
        <v>496.5</v>
      </c>
      <c r="O1925" s="4">
        <f t="shared" si="327"/>
        <v>17376</v>
      </c>
      <c r="P1925" s="4">
        <f t="shared" si="327"/>
        <v>0</v>
      </c>
      <c r="Q1925" s="4">
        <f t="shared" si="327"/>
        <v>4752</v>
      </c>
      <c r="R1925" s="4">
        <f t="shared" si="327"/>
        <v>3.75</v>
      </c>
      <c r="S1925" s="4">
        <f t="shared" si="327"/>
        <v>207</v>
      </c>
      <c r="T1925" s="4">
        <f t="shared" si="327"/>
        <v>0</v>
      </c>
      <c r="U1925" s="4">
        <f t="shared" si="327"/>
        <v>0</v>
      </c>
      <c r="V1925" s="4">
        <f t="shared" si="327"/>
        <v>0</v>
      </c>
    </row>
    <row r="1926" spans="1:22" x14ac:dyDescent="0.15">
      <c r="D1926" s="4">
        <f t="shared" si="285"/>
        <v>523</v>
      </c>
      <c r="E1926" s="4">
        <v>42</v>
      </c>
      <c r="H1926" s="29">
        <v>1001</v>
      </c>
      <c r="I1926" s="30">
        <v>0</v>
      </c>
      <c r="M1926" s="4">
        <f t="shared" ref="M1926:V1926" si="328">M310*$C$1623</f>
        <v>1929</v>
      </c>
      <c r="N1926" s="4">
        <f t="shared" si="328"/>
        <v>508.5</v>
      </c>
      <c r="O1926" s="4">
        <f t="shared" si="328"/>
        <v>17616</v>
      </c>
      <c r="P1926" s="4">
        <f t="shared" si="328"/>
        <v>0</v>
      </c>
      <c r="Q1926" s="4">
        <f t="shared" si="328"/>
        <v>4770</v>
      </c>
      <c r="R1926" s="4">
        <f t="shared" si="328"/>
        <v>3.75</v>
      </c>
      <c r="S1926" s="4">
        <f t="shared" si="328"/>
        <v>211.5</v>
      </c>
      <c r="T1926" s="4">
        <f t="shared" si="328"/>
        <v>0</v>
      </c>
      <c r="U1926" s="4">
        <f t="shared" si="328"/>
        <v>0</v>
      </c>
      <c r="V1926" s="4">
        <f t="shared" si="328"/>
        <v>0</v>
      </c>
    </row>
    <row r="1927" spans="1:22" x14ac:dyDescent="0.15">
      <c r="D1927" s="4">
        <f t="shared" si="285"/>
        <v>523</v>
      </c>
      <c r="E1927" s="4">
        <v>43</v>
      </c>
      <c r="H1927" s="29">
        <v>1001</v>
      </c>
      <c r="I1927" s="30">
        <v>0</v>
      </c>
      <c r="M1927" s="4">
        <f t="shared" ref="M1927:V1927" si="329">M311*$C$1623</f>
        <v>1962</v>
      </c>
      <c r="N1927" s="4">
        <f t="shared" si="329"/>
        <v>520.5</v>
      </c>
      <c r="O1927" s="4">
        <f t="shared" si="329"/>
        <v>17856</v>
      </c>
      <c r="P1927" s="4">
        <f t="shared" si="329"/>
        <v>0</v>
      </c>
      <c r="Q1927" s="4">
        <f t="shared" si="329"/>
        <v>4788</v>
      </c>
      <c r="R1927" s="4">
        <f t="shared" si="329"/>
        <v>3.75</v>
      </c>
      <c r="S1927" s="4">
        <f t="shared" si="329"/>
        <v>216</v>
      </c>
      <c r="T1927" s="4">
        <f t="shared" si="329"/>
        <v>0</v>
      </c>
      <c r="U1927" s="4">
        <f t="shared" si="329"/>
        <v>0</v>
      </c>
      <c r="V1927" s="4">
        <f t="shared" si="329"/>
        <v>0</v>
      </c>
    </row>
    <row r="1928" spans="1:22" x14ac:dyDescent="0.15">
      <c r="D1928" s="4">
        <f t="shared" si="285"/>
        <v>523</v>
      </c>
      <c r="E1928" s="4">
        <v>44</v>
      </c>
      <c r="H1928" s="29">
        <v>1001</v>
      </c>
      <c r="I1928" s="30">
        <v>0</v>
      </c>
      <c r="M1928" s="4">
        <f t="shared" ref="M1928:V1928" si="330">M312*$C$1623</f>
        <v>1995</v>
      </c>
      <c r="N1928" s="4">
        <f t="shared" si="330"/>
        <v>532.5</v>
      </c>
      <c r="O1928" s="4">
        <f t="shared" si="330"/>
        <v>18096</v>
      </c>
      <c r="P1928" s="4">
        <f t="shared" si="330"/>
        <v>0</v>
      </c>
      <c r="Q1928" s="4">
        <f t="shared" si="330"/>
        <v>4806</v>
      </c>
      <c r="R1928" s="4">
        <f t="shared" si="330"/>
        <v>3.75</v>
      </c>
      <c r="S1928" s="4">
        <f t="shared" si="330"/>
        <v>220.5</v>
      </c>
      <c r="T1928" s="4">
        <f t="shared" si="330"/>
        <v>0</v>
      </c>
      <c r="U1928" s="4">
        <f t="shared" si="330"/>
        <v>0</v>
      </c>
      <c r="V1928" s="4">
        <f t="shared" si="330"/>
        <v>0</v>
      </c>
    </row>
    <row r="1929" spans="1:22" x14ac:dyDescent="0.15">
      <c r="D1929" s="4">
        <f t="shared" si="285"/>
        <v>523</v>
      </c>
      <c r="E1929" s="4">
        <v>45</v>
      </c>
      <c r="H1929" s="29">
        <v>1001</v>
      </c>
      <c r="I1929" s="30">
        <v>0</v>
      </c>
      <c r="M1929" s="4">
        <f t="shared" ref="M1929:V1929" si="331">M313*$C$1623</f>
        <v>2028</v>
      </c>
      <c r="N1929" s="4">
        <f t="shared" si="331"/>
        <v>544.5</v>
      </c>
      <c r="O1929" s="4">
        <f t="shared" si="331"/>
        <v>18336</v>
      </c>
      <c r="P1929" s="4">
        <f t="shared" si="331"/>
        <v>0</v>
      </c>
      <c r="Q1929" s="4">
        <f t="shared" si="331"/>
        <v>4824</v>
      </c>
      <c r="R1929" s="4">
        <f t="shared" si="331"/>
        <v>3.75</v>
      </c>
      <c r="S1929" s="4">
        <f t="shared" si="331"/>
        <v>225</v>
      </c>
      <c r="T1929" s="4">
        <f t="shared" si="331"/>
        <v>0</v>
      </c>
      <c r="U1929" s="4">
        <f t="shared" si="331"/>
        <v>0</v>
      </c>
      <c r="V1929" s="4">
        <f t="shared" si="331"/>
        <v>0</v>
      </c>
    </row>
    <row r="1930" spans="1:22" x14ac:dyDescent="0.15">
      <c r="D1930" s="4">
        <f t="shared" si="285"/>
        <v>523</v>
      </c>
      <c r="E1930" s="4">
        <v>46</v>
      </c>
      <c r="H1930" s="29">
        <v>1001</v>
      </c>
      <c r="I1930" s="30">
        <v>0</v>
      </c>
      <c r="M1930" s="4">
        <f t="shared" ref="M1930:V1930" si="332">M314*$C$1623</f>
        <v>2061</v>
      </c>
      <c r="N1930" s="4">
        <f t="shared" si="332"/>
        <v>556.5</v>
      </c>
      <c r="O1930" s="4">
        <f t="shared" si="332"/>
        <v>18576</v>
      </c>
      <c r="P1930" s="4">
        <f t="shared" si="332"/>
        <v>0</v>
      </c>
      <c r="Q1930" s="4">
        <f t="shared" si="332"/>
        <v>4842</v>
      </c>
      <c r="R1930" s="4">
        <f t="shared" si="332"/>
        <v>3.75</v>
      </c>
      <c r="S1930" s="4">
        <f t="shared" si="332"/>
        <v>229.5</v>
      </c>
      <c r="T1930" s="4">
        <f t="shared" si="332"/>
        <v>0</v>
      </c>
      <c r="U1930" s="4">
        <f t="shared" si="332"/>
        <v>0</v>
      </c>
      <c r="V1930" s="4">
        <f t="shared" si="332"/>
        <v>0</v>
      </c>
    </row>
    <row r="1931" spans="1:22" x14ac:dyDescent="0.15">
      <c r="D1931" s="4">
        <f t="shared" si="285"/>
        <v>523</v>
      </c>
      <c r="E1931" s="4">
        <v>47</v>
      </c>
      <c r="H1931" s="29">
        <v>1001</v>
      </c>
      <c r="I1931" s="30">
        <v>0</v>
      </c>
      <c r="M1931" s="4">
        <f t="shared" ref="M1931:V1931" si="333">M315*$C$1623</f>
        <v>2094</v>
      </c>
      <c r="N1931" s="4">
        <f t="shared" si="333"/>
        <v>568.5</v>
      </c>
      <c r="O1931" s="4">
        <f t="shared" si="333"/>
        <v>18816</v>
      </c>
      <c r="P1931" s="4">
        <f t="shared" si="333"/>
        <v>0</v>
      </c>
      <c r="Q1931" s="4">
        <f t="shared" si="333"/>
        <v>4860</v>
      </c>
      <c r="R1931" s="4">
        <f t="shared" si="333"/>
        <v>3.75</v>
      </c>
      <c r="S1931" s="4">
        <f t="shared" si="333"/>
        <v>234</v>
      </c>
      <c r="T1931" s="4">
        <f t="shared" si="333"/>
        <v>0</v>
      </c>
      <c r="U1931" s="4">
        <f t="shared" si="333"/>
        <v>0</v>
      </c>
      <c r="V1931" s="4">
        <f t="shared" si="333"/>
        <v>0</v>
      </c>
    </row>
    <row r="1932" spans="1:22" x14ac:dyDescent="0.15">
      <c r="D1932" s="4">
        <f t="shared" si="285"/>
        <v>523</v>
      </c>
      <c r="E1932" s="4">
        <v>48</v>
      </c>
      <c r="H1932" s="29">
        <v>1001</v>
      </c>
      <c r="I1932" s="30">
        <v>0</v>
      </c>
      <c r="M1932" s="4">
        <f t="shared" ref="M1932:V1932" si="334">M316*$C$1623</f>
        <v>2127</v>
      </c>
      <c r="N1932" s="4">
        <f t="shared" si="334"/>
        <v>580.5</v>
      </c>
      <c r="O1932" s="4">
        <f t="shared" si="334"/>
        <v>19056</v>
      </c>
      <c r="P1932" s="4">
        <f t="shared" si="334"/>
        <v>0</v>
      </c>
      <c r="Q1932" s="4">
        <f t="shared" si="334"/>
        <v>4878</v>
      </c>
      <c r="R1932" s="4">
        <f t="shared" si="334"/>
        <v>3.75</v>
      </c>
      <c r="S1932" s="4">
        <f t="shared" si="334"/>
        <v>238.5</v>
      </c>
      <c r="T1932" s="4">
        <f t="shared" si="334"/>
        <v>0</v>
      </c>
      <c r="U1932" s="4">
        <f t="shared" si="334"/>
        <v>0</v>
      </c>
      <c r="V1932" s="4">
        <f t="shared" si="334"/>
        <v>0</v>
      </c>
    </row>
    <row r="1933" spans="1:22" x14ac:dyDescent="0.15">
      <c r="D1933" s="4">
        <f t="shared" si="285"/>
        <v>523</v>
      </c>
      <c r="E1933" s="4">
        <v>49</v>
      </c>
      <c r="H1933" s="29">
        <v>1001</v>
      </c>
      <c r="I1933" s="30">
        <v>0</v>
      </c>
      <c r="M1933" s="4">
        <f t="shared" ref="M1933:V1933" si="335">M317*$C$1623</f>
        <v>2160</v>
      </c>
      <c r="N1933" s="4">
        <f t="shared" si="335"/>
        <v>592.5</v>
      </c>
      <c r="O1933" s="4">
        <f t="shared" si="335"/>
        <v>19296</v>
      </c>
      <c r="P1933" s="4">
        <f t="shared" si="335"/>
        <v>0</v>
      </c>
      <c r="Q1933" s="4">
        <f t="shared" si="335"/>
        <v>4896</v>
      </c>
      <c r="R1933" s="4">
        <f t="shared" si="335"/>
        <v>3.75</v>
      </c>
      <c r="S1933" s="4">
        <f t="shared" si="335"/>
        <v>243</v>
      </c>
      <c r="T1933" s="4">
        <f t="shared" si="335"/>
        <v>0</v>
      </c>
      <c r="U1933" s="4">
        <f t="shared" si="335"/>
        <v>0</v>
      </c>
      <c r="V1933" s="4">
        <f t="shared" si="335"/>
        <v>0</v>
      </c>
    </row>
    <row r="1934" spans="1:22" x14ac:dyDescent="0.15">
      <c r="D1934" s="4">
        <f t="shared" si="285"/>
        <v>523</v>
      </c>
      <c r="E1934" s="4">
        <v>50</v>
      </c>
      <c r="H1934" s="29">
        <v>1001</v>
      </c>
      <c r="I1934" s="30">
        <v>0</v>
      </c>
      <c r="M1934" s="4">
        <f t="shared" ref="M1934:V1934" si="336">M318*$C$1623</f>
        <v>2193</v>
      </c>
      <c r="N1934" s="4">
        <f t="shared" si="336"/>
        <v>604.5</v>
      </c>
      <c r="O1934" s="4">
        <f t="shared" si="336"/>
        <v>19536</v>
      </c>
      <c r="P1934" s="4">
        <f t="shared" si="336"/>
        <v>0</v>
      </c>
      <c r="Q1934" s="4">
        <f t="shared" si="336"/>
        <v>4914</v>
      </c>
      <c r="R1934" s="4">
        <f t="shared" si="336"/>
        <v>3.75</v>
      </c>
      <c r="S1934" s="4">
        <f t="shared" si="336"/>
        <v>247.5</v>
      </c>
      <c r="T1934" s="4">
        <f t="shared" si="336"/>
        <v>0</v>
      </c>
      <c r="U1934" s="4">
        <f t="shared" si="336"/>
        <v>0</v>
      </c>
      <c r="V1934" s="4">
        <f t="shared" si="336"/>
        <v>0</v>
      </c>
    </row>
    <row r="1935" spans="1:22" x14ac:dyDescent="0.15">
      <c r="I1935" s="4"/>
      <c r="M1935" s="4">
        <f t="shared" ref="M1935:V1935" si="337">M319*$C$1623</f>
        <v>0</v>
      </c>
      <c r="N1935" s="4">
        <f t="shared" si="337"/>
        <v>0</v>
      </c>
      <c r="O1935" s="4">
        <f t="shared" si="337"/>
        <v>0</v>
      </c>
      <c r="P1935" s="4">
        <f t="shared" si="337"/>
        <v>0</v>
      </c>
      <c r="Q1935" s="4">
        <f t="shared" si="337"/>
        <v>0</v>
      </c>
      <c r="R1935" s="4">
        <f t="shared" si="337"/>
        <v>0</v>
      </c>
      <c r="S1935" s="4">
        <f t="shared" si="337"/>
        <v>0</v>
      </c>
      <c r="T1935" s="4">
        <f t="shared" si="337"/>
        <v>0</v>
      </c>
      <c r="U1935" s="4">
        <f t="shared" si="337"/>
        <v>0</v>
      </c>
      <c r="V1935" s="4">
        <f t="shared" si="337"/>
        <v>0</v>
      </c>
    </row>
    <row r="1936" spans="1:22" ht="16.5" x14ac:dyDescent="0.15">
      <c r="A1936" s="4" t="s">
        <v>2662</v>
      </c>
      <c r="B1936" s="4" t="s">
        <v>3080</v>
      </c>
      <c r="C1936" s="4" t="s">
        <v>3081</v>
      </c>
      <c r="D1936" s="4">
        <v>531</v>
      </c>
      <c r="E1936" s="4">
        <v>0</v>
      </c>
      <c r="H1936" s="38">
        <v>2103</v>
      </c>
      <c r="I1936" s="31">
        <v>1</v>
      </c>
      <c r="L1936" s="8">
        <v>802</v>
      </c>
      <c r="M1936" s="4">
        <f t="shared" ref="M1936:V1936" si="338">M320*$C$1623</f>
        <v>0</v>
      </c>
      <c r="N1936" s="4">
        <f t="shared" si="338"/>
        <v>0</v>
      </c>
      <c r="O1936" s="4">
        <f t="shared" si="338"/>
        <v>0</v>
      </c>
      <c r="P1936" s="4">
        <f t="shared" si="338"/>
        <v>0</v>
      </c>
      <c r="Q1936" s="4">
        <f t="shared" si="338"/>
        <v>0</v>
      </c>
      <c r="R1936" s="4">
        <f t="shared" si="338"/>
        <v>0</v>
      </c>
      <c r="S1936" s="4">
        <f t="shared" si="338"/>
        <v>0</v>
      </c>
      <c r="T1936" s="4">
        <f t="shared" si="338"/>
        <v>0</v>
      </c>
      <c r="U1936" s="4">
        <f t="shared" si="338"/>
        <v>0</v>
      </c>
      <c r="V1936" s="4">
        <f t="shared" si="338"/>
        <v>0</v>
      </c>
    </row>
    <row r="1937" spans="1:22" ht="16.5" x14ac:dyDescent="0.15">
      <c r="A1937" s="4" t="s">
        <v>2662</v>
      </c>
      <c r="D1937" s="4">
        <v>531</v>
      </c>
      <c r="E1937" s="4">
        <v>1</v>
      </c>
      <c r="H1937" s="29">
        <v>1001</v>
      </c>
      <c r="I1937" s="30">
        <v>0</v>
      </c>
      <c r="K1937" s="38"/>
      <c r="M1937" s="4">
        <f t="shared" ref="M1937:V1937" si="339">M321*$C$1623</f>
        <v>72</v>
      </c>
      <c r="N1937" s="4">
        <f t="shared" si="339"/>
        <v>4.5</v>
      </c>
      <c r="O1937" s="4">
        <f t="shared" si="339"/>
        <v>1440</v>
      </c>
      <c r="P1937" s="4">
        <f t="shared" si="339"/>
        <v>0</v>
      </c>
      <c r="Q1937" s="4">
        <f t="shared" si="339"/>
        <v>1440</v>
      </c>
      <c r="R1937" s="4">
        <f t="shared" si="339"/>
        <v>3.75</v>
      </c>
      <c r="S1937" s="4">
        <f t="shared" si="339"/>
        <v>9</v>
      </c>
      <c r="T1937" s="4">
        <f t="shared" si="339"/>
        <v>0</v>
      </c>
      <c r="U1937" s="4">
        <f t="shared" si="339"/>
        <v>0</v>
      </c>
      <c r="V1937" s="4">
        <f t="shared" si="339"/>
        <v>0</v>
      </c>
    </row>
    <row r="1938" spans="1:22" x14ac:dyDescent="0.15">
      <c r="A1938" s="4" t="s">
        <v>2662</v>
      </c>
      <c r="D1938" s="4">
        <v>531</v>
      </c>
      <c r="E1938" s="4">
        <v>2</v>
      </c>
      <c r="H1938" s="29">
        <v>1001</v>
      </c>
      <c r="I1938" s="30">
        <v>0</v>
      </c>
      <c r="M1938" s="4">
        <f t="shared" ref="M1938:V1938" si="340">M322*$C$1623</f>
        <v>81</v>
      </c>
      <c r="N1938" s="4">
        <f t="shared" si="340"/>
        <v>7.5</v>
      </c>
      <c r="O1938" s="4">
        <f t="shared" si="340"/>
        <v>1491</v>
      </c>
      <c r="P1938" s="4">
        <f t="shared" si="340"/>
        <v>0</v>
      </c>
      <c r="Q1938" s="4">
        <f t="shared" si="340"/>
        <v>1449</v>
      </c>
      <c r="R1938" s="4">
        <f t="shared" si="340"/>
        <v>3.75</v>
      </c>
      <c r="S1938" s="4">
        <f t="shared" si="340"/>
        <v>9</v>
      </c>
      <c r="T1938" s="4">
        <f t="shared" si="340"/>
        <v>0</v>
      </c>
      <c r="U1938" s="4">
        <f t="shared" si="340"/>
        <v>0</v>
      </c>
      <c r="V1938" s="4">
        <f t="shared" si="340"/>
        <v>0</v>
      </c>
    </row>
    <row r="1939" spans="1:22" x14ac:dyDescent="0.15">
      <c r="A1939" s="4" t="s">
        <v>2662</v>
      </c>
      <c r="D1939" s="4">
        <v>531</v>
      </c>
      <c r="E1939" s="4">
        <v>3</v>
      </c>
      <c r="H1939" s="29">
        <v>1001</v>
      </c>
      <c r="I1939" s="30">
        <v>0</v>
      </c>
      <c r="M1939" s="4">
        <f t="shared" ref="M1939:V1939" si="341">M323*$C$1623</f>
        <v>90</v>
      </c>
      <c r="N1939" s="4">
        <f t="shared" si="341"/>
        <v>10.5</v>
      </c>
      <c r="O1939" s="4">
        <f t="shared" si="341"/>
        <v>1542</v>
      </c>
      <c r="P1939" s="4">
        <f t="shared" si="341"/>
        <v>0</v>
      </c>
      <c r="Q1939" s="4">
        <f t="shared" si="341"/>
        <v>1458</v>
      </c>
      <c r="R1939" s="4">
        <f t="shared" si="341"/>
        <v>3.75</v>
      </c>
      <c r="S1939" s="4">
        <f t="shared" si="341"/>
        <v>9</v>
      </c>
      <c r="T1939" s="4">
        <f t="shared" si="341"/>
        <v>0</v>
      </c>
      <c r="U1939" s="4">
        <f t="shared" si="341"/>
        <v>0</v>
      </c>
      <c r="V1939" s="4">
        <f t="shared" si="341"/>
        <v>0</v>
      </c>
    </row>
    <row r="1940" spans="1:22" x14ac:dyDescent="0.15">
      <c r="A1940" s="4" t="s">
        <v>2662</v>
      </c>
      <c r="D1940" s="4">
        <v>531</v>
      </c>
      <c r="E1940" s="4">
        <v>4</v>
      </c>
      <c r="H1940" s="29">
        <v>1001</v>
      </c>
      <c r="I1940" s="30">
        <v>0</v>
      </c>
      <c r="M1940" s="4">
        <f t="shared" ref="M1940:V1940" si="342">M324*$C$1623</f>
        <v>99</v>
      </c>
      <c r="N1940" s="4">
        <f t="shared" si="342"/>
        <v>13.5</v>
      </c>
      <c r="O1940" s="4">
        <f t="shared" si="342"/>
        <v>1593</v>
      </c>
      <c r="P1940" s="4">
        <f t="shared" si="342"/>
        <v>0</v>
      </c>
      <c r="Q1940" s="4">
        <f t="shared" si="342"/>
        <v>1467</v>
      </c>
      <c r="R1940" s="4">
        <f t="shared" si="342"/>
        <v>3.75</v>
      </c>
      <c r="S1940" s="4">
        <f t="shared" si="342"/>
        <v>9</v>
      </c>
      <c r="T1940" s="4">
        <f t="shared" si="342"/>
        <v>0</v>
      </c>
      <c r="U1940" s="4">
        <f t="shared" si="342"/>
        <v>0</v>
      </c>
      <c r="V1940" s="4">
        <f t="shared" si="342"/>
        <v>0</v>
      </c>
    </row>
    <row r="1941" spans="1:22" x14ac:dyDescent="0.15">
      <c r="A1941" s="4" t="s">
        <v>2662</v>
      </c>
      <c r="D1941" s="4">
        <v>531</v>
      </c>
      <c r="E1941" s="4">
        <v>5</v>
      </c>
      <c r="H1941" s="29">
        <v>1001</v>
      </c>
      <c r="I1941" s="30">
        <v>0</v>
      </c>
      <c r="M1941" s="4">
        <f t="shared" ref="M1941:V1941" si="343">M325*$C$1623</f>
        <v>108</v>
      </c>
      <c r="N1941" s="4">
        <f t="shared" si="343"/>
        <v>16.5</v>
      </c>
      <c r="O1941" s="4">
        <f t="shared" si="343"/>
        <v>1644</v>
      </c>
      <c r="P1941" s="4">
        <f t="shared" si="343"/>
        <v>0</v>
      </c>
      <c r="Q1941" s="4">
        <f t="shared" si="343"/>
        <v>1476</v>
      </c>
      <c r="R1941" s="4">
        <f t="shared" si="343"/>
        <v>3.75</v>
      </c>
      <c r="S1941" s="4">
        <f t="shared" si="343"/>
        <v>9</v>
      </c>
      <c r="T1941" s="4">
        <f t="shared" si="343"/>
        <v>0</v>
      </c>
      <c r="U1941" s="4">
        <f t="shared" si="343"/>
        <v>0</v>
      </c>
      <c r="V1941" s="4">
        <f t="shared" si="343"/>
        <v>0</v>
      </c>
    </row>
    <row r="1942" spans="1:22" x14ac:dyDescent="0.15">
      <c r="A1942" s="4" t="s">
        <v>2662</v>
      </c>
      <c r="D1942" s="4">
        <v>531</v>
      </c>
      <c r="E1942" s="4">
        <v>6</v>
      </c>
      <c r="H1942" s="29">
        <v>1001</v>
      </c>
      <c r="I1942" s="30">
        <v>0</v>
      </c>
      <c r="M1942" s="4">
        <f t="shared" ref="M1942:V1942" si="344">M326*$C$1623</f>
        <v>117</v>
      </c>
      <c r="N1942" s="4">
        <f t="shared" si="344"/>
        <v>19.5</v>
      </c>
      <c r="O1942" s="4">
        <f t="shared" si="344"/>
        <v>1695</v>
      </c>
      <c r="P1942" s="4">
        <f t="shared" si="344"/>
        <v>0</v>
      </c>
      <c r="Q1942" s="4">
        <f t="shared" si="344"/>
        <v>1485</v>
      </c>
      <c r="R1942" s="4">
        <f t="shared" si="344"/>
        <v>3.75</v>
      </c>
      <c r="S1942" s="4">
        <f t="shared" si="344"/>
        <v>9</v>
      </c>
      <c r="T1942" s="4">
        <f t="shared" si="344"/>
        <v>0</v>
      </c>
      <c r="U1942" s="4">
        <f t="shared" si="344"/>
        <v>0</v>
      </c>
      <c r="V1942" s="4">
        <f t="shared" si="344"/>
        <v>0</v>
      </c>
    </row>
    <row r="1943" spans="1:22" x14ac:dyDescent="0.15">
      <c r="A1943" s="4" t="s">
        <v>2662</v>
      </c>
      <c r="D1943" s="4">
        <v>531</v>
      </c>
      <c r="E1943" s="4">
        <v>7</v>
      </c>
      <c r="H1943" s="29">
        <v>1001</v>
      </c>
      <c r="I1943" s="30">
        <v>0</v>
      </c>
      <c r="M1943" s="4">
        <f t="shared" ref="M1943:V1943" si="345">M327*$C$1623</f>
        <v>126</v>
      </c>
      <c r="N1943" s="4">
        <f t="shared" si="345"/>
        <v>22.5</v>
      </c>
      <c r="O1943" s="4">
        <f t="shared" si="345"/>
        <v>1746</v>
      </c>
      <c r="P1943" s="4">
        <f t="shared" si="345"/>
        <v>0</v>
      </c>
      <c r="Q1943" s="4">
        <f t="shared" si="345"/>
        <v>1494</v>
      </c>
      <c r="R1943" s="4">
        <f t="shared" si="345"/>
        <v>3.75</v>
      </c>
      <c r="S1943" s="4">
        <f t="shared" si="345"/>
        <v>9</v>
      </c>
      <c r="T1943" s="4">
        <f t="shared" si="345"/>
        <v>0</v>
      </c>
      <c r="U1943" s="4">
        <f t="shared" si="345"/>
        <v>0</v>
      </c>
      <c r="V1943" s="4">
        <f t="shared" si="345"/>
        <v>0</v>
      </c>
    </row>
    <row r="1944" spans="1:22" x14ac:dyDescent="0.15">
      <c r="A1944" s="4" t="s">
        <v>2662</v>
      </c>
      <c r="D1944" s="4">
        <v>531</v>
      </c>
      <c r="E1944" s="4">
        <v>8</v>
      </c>
      <c r="H1944" s="29">
        <v>1001</v>
      </c>
      <c r="I1944" s="30">
        <v>0</v>
      </c>
      <c r="M1944" s="4">
        <f t="shared" ref="M1944:V1944" si="346">M328*$C$1623</f>
        <v>135</v>
      </c>
      <c r="N1944" s="4">
        <f t="shared" si="346"/>
        <v>25.5</v>
      </c>
      <c r="O1944" s="4">
        <f t="shared" si="346"/>
        <v>1797</v>
      </c>
      <c r="P1944" s="4">
        <f t="shared" si="346"/>
        <v>0</v>
      </c>
      <c r="Q1944" s="4">
        <f t="shared" si="346"/>
        <v>1503</v>
      </c>
      <c r="R1944" s="4">
        <f t="shared" si="346"/>
        <v>3.75</v>
      </c>
      <c r="S1944" s="4">
        <f t="shared" si="346"/>
        <v>9</v>
      </c>
      <c r="T1944" s="4">
        <f t="shared" si="346"/>
        <v>0</v>
      </c>
      <c r="U1944" s="4">
        <f t="shared" si="346"/>
        <v>0</v>
      </c>
      <c r="V1944" s="4">
        <f t="shared" si="346"/>
        <v>0</v>
      </c>
    </row>
    <row r="1945" spans="1:22" x14ac:dyDescent="0.15">
      <c r="A1945" s="4" t="s">
        <v>2662</v>
      </c>
      <c r="D1945" s="4">
        <v>531</v>
      </c>
      <c r="E1945" s="4">
        <v>9</v>
      </c>
      <c r="H1945" s="29">
        <v>1001</v>
      </c>
      <c r="I1945" s="30">
        <v>0</v>
      </c>
      <c r="M1945" s="4">
        <f t="shared" ref="M1945:V1945" si="347">M329*$C$1623</f>
        <v>144</v>
      </c>
      <c r="N1945" s="4">
        <f t="shared" si="347"/>
        <v>28.5</v>
      </c>
      <c r="O1945" s="4">
        <f t="shared" si="347"/>
        <v>1848</v>
      </c>
      <c r="P1945" s="4">
        <f t="shared" si="347"/>
        <v>0</v>
      </c>
      <c r="Q1945" s="4">
        <f t="shared" si="347"/>
        <v>1512</v>
      </c>
      <c r="R1945" s="4">
        <f t="shared" si="347"/>
        <v>3.75</v>
      </c>
      <c r="S1945" s="4">
        <f t="shared" si="347"/>
        <v>9</v>
      </c>
      <c r="T1945" s="4">
        <f t="shared" si="347"/>
        <v>0</v>
      </c>
      <c r="U1945" s="4">
        <f t="shared" si="347"/>
        <v>0</v>
      </c>
      <c r="V1945" s="4">
        <f t="shared" si="347"/>
        <v>0</v>
      </c>
    </row>
    <row r="1946" spans="1:22" x14ac:dyDescent="0.15">
      <c r="A1946" s="4" t="s">
        <v>2662</v>
      </c>
      <c r="D1946" s="4">
        <v>531</v>
      </c>
      <c r="E1946" s="4">
        <v>10</v>
      </c>
      <c r="H1946" s="29">
        <v>1001</v>
      </c>
      <c r="I1946" s="30">
        <v>0</v>
      </c>
      <c r="M1946" s="4">
        <f t="shared" ref="M1946:V1946" si="348">M330*$C$1623</f>
        <v>153</v>
      </c>
      <c r="N1946" s="4">
        <f t="shared" si="348"/>
        <v>31.5</v>
      </c>
      <c r="O1946" s="4">
        <f t="shared" si="348"/>
        <v>1899</v>
      </c>
      <c r="P1946" s="4">
        <f t="shared" si="348"/>
        <v>0</v>
      </c>
      <c r="Q1946" s="4">
        <f t="shared" si="348"/>
        <v>1521</v>
      </c>
      <c r="R1946" s="4">
        <f t="shared" si="348"/>
        <v>3.75</v>
      </c>
      <c r="S1946" s="4">
        <f t="shared" si="348"/>
        <v>9</v>
      </c>
      <c r="T1946" s="4">
        <f t="shared" si="348"/>
        <v>0</v>
      </c>
      <c r="U1946" s="4">
        <f t="shared" si="348"/>
        <v>0</v>
      </c>
      <c r="V1946" s="4">
        <f t="shared" si="348"/>
        <v>0</v>
      </c>
    </row>
    <row r="1947" spans="1:22" x14ac:dyDescent="0.15">
      <c r="A1947" s="4" t="s">
        <v>2662</v>
      </c>
      <c r="D1947" s="4">
        <v>531</v>
      </c>
      <c r="E1947" s="4">
        <v>11</v>
      </c>
      <c r="H1947" s="29">
        <v>1001</v>
      </c>
      <c r="I1947" s="30">
        <v>0</v>
      </c>
      <c r="M1947" s="4">
        <f t="shared" ref="M1947:V1947" si="349">M331*$C$1623</f>
        <v>162</v>
      </c>
      <c r="N1947" s="4">
        <f t="shared" si="349"/>
        <v>34.5</v>
      </c>
      <c r="O1947" s="4">
        <f t="shared" si="349"/>
        <v>1950</v>
      </c>
      <c r="P1947" s="4">
        <f t="shared" si="349"/>
        <v>0</v>
      </c>
      <c r="Q1947" s="4">
        <f t="shared" si="349"/>
        <v>1530</v>
      </c>
      <c r="R1947" s="4">
        <f t="shared" si="349"/>
        <v>3.75</v>
      </c>
      <c r="S1947" s="4">
        <f t="shared" si="349"/>
        <v>9</v>
      </c>
      <c r="T1947" s="4">
        <f t="shared" si="349"/>
        <v>0</v>
      </c>
      <c r="U1947" s="4">
        <f t="shared" si="349"/>
        <v>0</v>
      </c>
      <c r="V1947" s="4">
        <f t="shared" si="349"/>
        <v>0</v>
      </c>
    </row>
    <row r="1948" spans="1:22" x14ac:dyDescent="0.15">
      <c r="A1948" s="4" t="s">
        <v>2662</v>
      </c>
      <c r="D1948" s="4">
        <v>531</v>
      </c>
      <c r="E1948" s="4">
        <v>12</v>
      </c>
      <c r="H1948" s="29">
        <v>1001</v>
      </c>
      <c r="I1948" s="30">
        <v>0</v>
      </c>
      <c r="M1948" s="4">
        <f t="shared" ref="M1948:V1948" si="350">M332*$C$1623</f>
        <v>171</v>
      </c>
      <c r="N1948" s="4">
        <f t="shared" si="350"/>
        <v>37.5</v>
      </c>
      <c r="O1948" s="4">
        <f t="shared" si="350"/>
        <v>2001</v>
      </c>
      <c r="P1948" s="4">
        <f t="shared" si="350"/>
        <v>0</v>
      </c>
      <c r="Q1948" s="4">
        <f t="shared" si="350"/>
        <v>1539</v>
      </c>
      <c r="R1948" s="4">
        <f t="shared" si="350"/>
        <v>3.75</v>
      </c>
      <c r="S1948" s="4">
        <f t="shared" si="350"/>
        <v>9</v>
      </c>
      <c r="T1948" s="4">
        <f t="shared" si="350"/>
        <v>0</v>
      </c>
      <c r="U1948" s="4">
        <f t="shared" si="350"/>
        <v>0</v>
      </c>
      <c r="V1948" s="4">
        <f t="shared" si="350"/>
        <v>0</v>
      </c>
    </row>
    <row r="1949" spans="1:22" x14ac:dyDescent="0.15">
      <c r="A1949" s="4" t="s">
        <v>2662</v>
      </c>
      <c r="D1949" s="4">
        <v>531</v>
      </c>
      <c r="E1949" s="4">
        <v>13</v>
      </c>
      <c r="H1949" s="29">
        <v>1001</v>
      </c>
      <c r="I1949" s="30">
        <v>0</v>
      </c>
      <c r="M1949" s="4">
        <f t="shared" ref="M1949:V1949" si="351">M333*$C$1623</f>
        <v>180</v>
      </c>
      <c r="N1949" s="4">
        <f t="shared" si="351"/>
        <v>40.5</v>
      </c>
      <c r="O1949" s="4">
        <f t="shared" si="351"/>
        <v>2052</v>
      </c>
      <c r="P1949" s="4">
        <f t="shared" si="351"/>
        <v>0</v>
      </c>
      <c r="Q1949" s="4">
        <f t="shared" si="351"/>
        <v>1548</v>
      </c>
      <c r="R1949" s="4">
        <f t="shared" si="351"/>
        <v>3.75</v>
      </c>
      <c r="S1949" s="4">
        <f t="shared" si="351"/>
        <v>9</v>
      </c>
      <c r="T1949" s="4">
        <f t="shared" si="351"/>
        <v>0</v>
      </c>
      <c r="U1949" s="4">
        <f t="shared" si="351"/>
        <v>0</v>
      </c>
      <c r="V1949" s="4">
        <f t="shared" si="351"/>
        <v>0</v>
      </c>
    </row>
    <row r="1950" spans="1:22" x14ac:dyDescent="0.15">
      <c r="A1950" s="4" t="s">
        <v>2662</v>
      </c>
      <c r="D1950" s="4">
        <v>531</v>
      </c>
      <c r="E1950" s="4">
        <v>14</v>
      </c>
      <c r="H1950" s="29">
        <v>1001</v>
      </c>
      <c r="I1950" s="30">
        <v>0</v>
      </c>
      <c r="M1950" s="4">
        <f t="shared" ref="M1950:V1950" si="352">M334*$C$1623</f>
        <v>189</v>
      </c>
      <c r="N1950" s="4">
        <f t="shared" si="352"/>
        <v>43.5</v>
      </c>
      <c r="O1950" s="4">
        <f t="shared" si="352"/>
        <v>2103</v>
      </c>
      <c r="P1950" s="4">
        <f t="shared" si="352"/>
        <v>0</v>
      </c>
      <c r="Q1950" s="4">
        <f t="shared" si="352"/>
        <v>1557</v>
      </c>
      <c r="R1950" s="4">
        <f t="shared" si="352"/>
        <v>3.75</v>
      </c>
      <c r="S1950" s="4">
        <f t="shared" si="352"/>
        <v>9</v>
      </c>
      <c r="T1950" s="4">
        <f t="shared" si="352"/>
        <v>0</v>
      </c>
      <c r="U1950" s="4">
        <f t="shared" si="352"/>
        <v>0</v>
      </c>
      <c r="V1950" s="4">
        <f t="shared" si="352"/>
        <v>0</v>
      </c>
    </row>
    <row r="1951" spans="1:22" x14ac:dyDescent="0.15">
      <c r="A1951" s="4" t="s">
        <v>2662</v>
      </c>
      <c r="D1951" s="4">
        <v>531</v>
      </c>
      <c r="E1951" s="4">
        <v>15</v>
      </c>
      <c r="H1951" s="29">
        <v>1001</v>
      </c>
      <c r="I1951" s="30">
        <v>0</v>
      </c>
      <c r="M1951" s="4">
        <f t="shared" ref="M1951:V1951" si="353">M335*$C$1623</f>
        <v>198</v>
      </c>
      <c r="N1951" s="4">
        <f t="shared" si="353"/>
        <v>46.5</v>
      </c>
      <c r="O1951" s="4">
        <f t="shared" si="353"/>
        <v>2154</v>
      </c>
      <c r="P1951" s="4">
        <f t="shared" si="353"/>
        <v>0</v>
      </c>
      <c r="Q1951" s="4">
        <f t="shared" si="353"/>
        <v>1566</v>
      </c>
      <c r="R1951" s="4">
        <f t="shared" si="353"/>
        <v>3.75</v>
      </c>
      <c r="S1951" s="4">
        <f t="shared" si="353"/>
        <v>9</v>
      </c>
      <c r="T1951" s="4">
        <f t="shared" si="353"/>
        <v>0</v>
      </c>
      <c r="U1951" s="4">
        <f t="shared" si="353"/>
        <v>0</v>
      </c>
      <c r="V1951" s="4">
        <f t="shared" si="353"/>
        <v>0</v>
      </c>
    </row>
    <row r="1952" spans="1:22" x14ac:dyDescent="0.15">
      <c r="A1952" s="4" t="s">
        <v>2662</v>
      </c>
      <c r="D1952" s="4">
        <v>531</v>
      </c>
      <c r="E1952" s="4">
        <v>16</v>
      </c>
      <c r="H1952" s="29">
        <v>1001</v>
      </c>
      <c r="I1952" s="30">
        <v>0</v>
      </c>
      <c r="M1952" s="4">
        <f t="shared" ref="M1952:V1952" si="354">M336*$C$1623</f>
        <v>207</v>
      </c>
      <c r="N1952" s="4">
        <f t="shared" si="354"/>
        <v>49.5</v>
      </c>
      <c r="O1952" s="4">
        <f t="shared" si="354"/>
        <v>2205</v>
      </c>
      <c r="P1952" s="4">
        <f t="shared" si="354"/>
        <v>0</v>
      </c>
      <c r="Q1952" s="4">
        <f t="shared" si="354"/>
        <v>1575</v>
      </c>
      <c r="R1952" s="4">
        <f t="shared" si="354"/>
        <v>3.75</v>
      </c>
      <c r="S1952" s="4">
        <f t="shared" si="354"/>
        <v>9</v>
      </c>
      <c r="T1952" s="4">
        <f t="shared" si="354"/>
        <v>0</v>
      </c>
      <c r="U1952" s="4">
        <f t="shared" si="354"/>
        <v>0</v>
      </c>
      <c r="V1952" s="4">
        <f t="shared" si="354"/>
        <v>0</v>
      </c>
    </row>
    <row r="1953" spans="1:22" x14ac:dyDescent="0.15">
      <c r="A1953" s="4" t="s">
        <v>2662</v>
      </c>
      <c r="D1953" s="4">
        <v>531</v>
      </c>
      <c r="E1953" s="4">
        <v>17</v>
      </c>
      <c r="H1953" s="29">
        <v>1001</v>
      </c>
      <c r="I1953" s="30">
        <v>0</v>
      </c>
      <c r="M1953" s="4">
        <f t="shared" ref="M1953:V1953" si="355">M337*$C$1623</f>
        <v>216</v>
      </c>
      <c r="N1953" s="4">
        <f t="shared" si="355"/>
        <v>52.5</v>
      </c>
      <c r="O1953" s="4">
        <f t="shared" si="355"/>
        <v>2256</v>
      </c>
      <c r="P1953" s="4">
        <f t="shared" si="355"/>
        <v>0</v>
      </c>
      <c r="Q1953" s="4">
        <f t="shared" si="355"/>
        <v>1584</v>
      </c>
      <c r="R1953" s="4">
        <f t="shared" si="355"/>
        <v>3.75</v>
      </c>
      <c r="S1953" s="4">
        <f t="shared" si="355"/>
        <v>9</v>
      </c>
      <c r="T1953" s="4">
        <f t="shared" si="355"/>
        <v>0</v>
      </c>
      <c r="U1953" s="4">
        <f t="shared" si="355"/>
        <v>0</v>
      </c>
      <c r="V1953" s="4">
        <f t="shared" si="355"/>
        <v>0</v>
      </c>
    </row>
    <row r="1954" spans="1:22" x14ac:dyDescent="0.15">
      <c r="A1954" s="4" t="s">
        <v>2662</v>
      </c>
      <c r="D1954" s="4">
        <v>531</v>
      </c>
      <c r="E1954" s="4">
        <v>18</v>
      </c>
      <c r="H1954" s="29">
        <v>1001</v>
      </c>
      <c r="I1954" s="30">
        <v>0</v>
      </c>
      <c r="M1954" s="4">
        <f t="shared" ref="M1954:V1954" si="356">M338*$C$1623</f>
        <v>225</v>
      </c>
      <c r="N1954" s="4">
        <f t="shared" si="356"/>
        <v>55.5</v>
      </c>
      <c r="O1954" s="4">
        <f t="shared" si="356"/>
        <v>2307</v>
      </c>
      <c r="P1954" s="4">
        <f t="shared" si="356"/>
        <v>0</v>
      </c>
      <c r="Q1954" s="4">
        <f t="shared" si="356"/>
        <v>1593</v>
      </c>
      <c r="R1954" s="4">
        <f t="shared" si="356"/>
        <v>3.75</v>
      </c>
      <c r="S1954" s="4">
        <f t="shared" si="356"/>
        <v>9</v>
      </c>
      <c r="T1954" s="4">
        <f t="shared" si="356"/>
        <v>0</v>
      </c>
      <c r="U1954" s="4">
        <f t="shared" si="356"/>
        <v>0</v>
      </c>
      <c r="V1954" s="4">
        <f t="shared" si="356"/>
        <v>0</v>
      </c>
    </row>
    <row r="1955" spans="1:22" x14ac:dyDescent="0.15">
      <c r="A1955" s="4" t="s">
        <v>2662</v>
      </c>
      <c r="D1955" s="4">
        <v>531</v>
      </c>
      <c r="E1955" s="4">
        <v>19</v>
      </c>
      <c r="H1955" s="29">
        <v>1001</v>
      </c>
      <c r="I1955" s="30">
        <v>0</v>
      </c>
      <c r="M1955" s="4">
        <f t="shared" ref="M1955:V1955" si="357">M339*$C$1623</f>
        <v>234</v>
      </c>
      <c r="N1955" s="4">
        <f t="shared" si="357"/>
        <v>58.5</v>
      </c>
      <c r="O1955" s="4">
        <f t="shared" si="357"/>
        <v>2358</v>
      </c>
      <c r="P1955" s="4">
        <f t="shared" si="357"/>
        <v>0</v>
      </c>
      <c r="Q1955" s="4">
        <f t="shared" si="357"/>
        <v>1602</v>
      </c>
      <c r="R1955" s="4">
        <f t="shared" si="357"/>
        <v>3.75</v>
      </c>
      <c r="S1955" s="4">
        <f t="shared" si="357"/>
        <v>9</v>
      </c>
      <c r="T1955" s="4">
        <f t="shared" si="357"/>
        <v>0</v>
      </c>
      <c r="U1955" s="4">
        <f t="shared" si="357"/>
        <v>0</v>
      </c>
      <c r="V1955" s="4">
        <f t="shared" si="357"/>
        <v>0</v>
      </c>
    </row>
    <row r="1956" spans="1:22" x14ac:dyDescent="0.15">
      <c r="A1956" s="4" t="s">
        <v>2662</v>
      </c>
      <c r="D1956" s="4">
        <v>531</v>
      </c>
      <c r="E1956" s="4">
        <v>20</v>
      </c>
      <c r="H1956" s="29">
        <v>1001</v>
      </c>
      <c r="I1956" s="30">
        <v>0</v>
      </c>
      <c r="M1956" s="4">
        <f t="shared" ref="M1956:V1956" si="358">M340*$C$1623</f>
        <v>243</v>
      </c>
      <c r="N1956" s="4">
        <f t="shared" si="358"/>
        <v>61.5</v>
      </c>
      <c r="O1956" s="4">
        <f t="shared" si="358"/>
        <v>2409</v>
      </c>
      <c r="P1956" s="4">
        <f t="shared" si="358"/>
        <v>0</v>
      </c>
      <c r="Q1956" s="4">
        <f t="shared" si="358"/>
        <v>1611</v>
      </c>
      <c r="R1956" s="4">
        <f t="shared" si="358"/>
        <v>3.75</v>
      </c>
      <c r="S1956" s="4">
        <f t="shared" si="358"/>
        <v>9</v>
      </c>
      <c r="T1956" s="4">
        <f t="shared" si="358"/>
        <v>0</v>
      </c>
      <c r="U1956" s="4">
        <f t="shared" si="358"/>
        <v>0</v>
      </c>
      <c r="V1956" s="4">
        <f t="shared" si="358"/>
        <v>0</v>
      </c>
    </row>
    <row r="1957" spans="1:22" x14ac:dyDescent="0.15">
      <c r="A1957" s="4" t="s">
        <v>2662</v>
      </c>
      <c r="D1957" s="4">
        <v>531</v>
      </c>
      <c r="E1957" s="4">
        <v>21</v>
      </c>
      <c r="H1957" s="29">
        <v>1001</v>
      </c>
      <c r="I1957" s="30">
        <v>0</v>
      </c>
      <c r="M1957" s="4">
        <f t="shared" ref="M1957:V1957" si="359">M341*$C$1623</f>
        <v>252</v>
      </c>
      <c r="N1957" s="4">
        <f t="shared" si="359"/>
        <v>64.5</v>
      </c>
      <c r="O1957" s="4">
        <f t="shared" si="359"/>
        <v>2460</v>
      </c>
      <c r="P1957" s="4">
        <f t="shared" si="359"/>
        <v>0</v>
      </c>
      <c r="Q1957" s="4">
        <f t="shared" si="359"/>
        <v>1620</v>
      </c>
      <c r="R1957" s="4">
        <f t="shared" si="359"/>
        <v>3.75</v>
      </c>
      <c r="S1957" s="4">
        <f t="shared" si="359"/>
        <v>9</v>
      </c>
      <c r="T1957" s="4">
        <f t="shared" si="359"/>
        <v>0</v>
      </c>
      <c r="U1957" s="4">
        <f t="shared" si="359"/>
        <v>0</v>
      </c>
      <c r="V1957" s="4">
        <f t="shared" si="359"/>
        <v>0</v>
      </c>
    </row>
    <row r="1958" spans="1:22" x14ac:dyDescent="0.15">
      <c r="A1958" s="4" t="s">
        <v>2662</v>
      </c>
      <c r="D1958" s="4">
        <v>531</v>
      </c>
      <c r="E1958" s="4">
        <v>22</v>
      </c>
      <c r="H1958" s="29">
        <v>1001</v>
      </c>
      <c r="I1958" s="30">
        <v>0</v>
      </c>
      <c r="M1958" s="4">
        <f t="shared" ref="M1958:V1958" si="360">M342*$C$1623</f>
        <v>261</v>
      </c>
      <c r="N1958" s="4">
        <f t="shared" si="360"/>
        <v>67.5</v>
      </c>
      <c r="O1958" s="4">
        <f t="shared" si="360"/>
        <v>2511</v>
      </c>
      <c r="P1958" s="4">
        <f t="shared" si="360"/>
        <v>0</v>
      </c>
      <c r="Q1958" s="4">
        <f t="shared" si="360"/>
        <v>1629</v>
      </c>
      <c r="R1958" s="4">
        <f t="shared" si="360"/>
        <v>3.75</v>
      </c>
      <c r="S1958" s="4">
        <f t="shared" si="360"/>
        <v>9</v>
      </c>
      <c r="T1958" s="4">
        <f t="shared" si="360"/>
        <v>0</v>
      </c>
      <c r="U1958" s="4">
        <f t="shared" si="360"/>
        <v>0</v>
      </c>
      <c r="V1958" s="4">
        <f t="shared" si="360"/>
        <v>0</v>
      </c>
    </row>
    <row r="1959" spans="1:22" x14ac:dyDescent="0.15">
      <c r="A1959" s="4" t="s">
        <v>2662</v>
      </c>
      <c r="D1959" s="4">
        <v>531</v>
      </c>
      <c r="E1959" s="4">
        <v>23</v>
      </c>
      <c r="H1959" s="29">
        <v>1001</v>
      </c>
      <c r="I1959" s="30">
        <v>0</v>
      </c>
      <c r="M1959" s="4">
        <f t="shared" ref="M1959:V1959" si="361">M343*$C$1623</f>
        <v>270</v>
      </c>
      <c r="N1959" s="4">
        <f t="shared" si="361"/>
        <v>70.5</v>
      </c>
      <c r="O1959" s="4">
        <f t="shared" si="361"/>
        <v>2562</v>
      </c>
      <c r="P1959" s="4">
        <f t="shared" si="361"/>
        <v>0</v>
      </c>
      <c r="Q1959" s="4">
        <f t="shared" si="361"/>
        <v>1638</v>
      </c>
      <c r="R1959" s="4">
        <f t="shared" si="361"/>
        <v>3.75</v>
      </c>
      <c r="S1959" s="4">
        <f t="shared" si="361"/>
        <v>9</v>
      </c>
      <c r="T1959" s="4">
        <f t="shared" si="361"/>
        <v>0</v>
      </c>
      <c r="U1959" s="4">
        <f t="shared" si="361"/>
        <v>0</v>
      </c>
      <c r="V1959" s="4">
        <f t="shared" si="361"/>
        <v>0</v>
      </c>
    </row>
    <row r="1960" spans="1:22" x14ac:dyDescent="0.15">
      <c r="A1960" s="4" t="s">
        <v>2662</v>
      </c>
      <c r="D1960" s="4">
        <v>531</v>
      </c>
      <c r="E1960" s="4">
        <v>24</v>
      </c>
      <c r="H1960" s="29">
        <v>1001</v>
      </c>
      <c r="I1960" s="30">
        <v>0</v>
      </c>
      <c r="M1960" s="4">
        <f t="shared" ref="M1960:V1960" si="362">M344*$C$1623</f>
        <v>279</v>
      </c>
      <c r="N1960" s="4">
        <f t="shared" si="362"/>
        <v>73.5</v>
      </c>
      <c r="O1960" s="4">
        <f t="shared" si="362"/>
        <v>2613</v>
      </c>
      <c r="P1960" s="4">
        <f t="shared" si="362"/>
        <v>0</v>
      </c>
      <c r="Q1960" s="4">
        <f t="shared" si="362"/>
        <v>1647</v>
      </c>
      <c r="R1960" s="4">
        <f t="shared" si="362"/>
        <v>3.75</v>
      </c>
      <c r="S1960" s="4">
        <f t="shared" si="362"/>
        <v>9</v>
      </c>
      <c r="T1960" s="4">
        <f t="shared" si="362"/>
        <v>0</v>
      </c>
      <c r="U1960" s="4">
        <f t="shared" si="362"/>
        <v>0</v>
      </c>
      <c r="V1960" s="4">
        <f t="shared" si="362"/>
        <v>0</v>
      </c>
    </row>
    <row r="1961" spans="1:22" x14ac:dyDescent="0.15">
      <c r="A1961" s="4" t="s">
        <v>2662</v>
      </c>
      <c r="D1961" s="4">
        <v>531</v>
      </c>
      <c r="E1961" s="4">
        <v>25</v>
      </c>
      <c r="H1961" s="29">
        <v>1001</v>
      </c>
      <c r="I1961" s="30">
        <v>0</v>
      </c>
      <c r="M1961" s="4">
        <f t="shared" ref="M1961:V1961" si="363">M345*$C$1623</f>
        <v>288</v>
      </c>
      <c r="N1961" s="4">
        <f t="shared" si="363"/>
        <v>76.5</v>
      </c>
      <c r="O1961" s="4">
        <f t="shared" si="363"/>
        <v>2664</v>
      </c>
      <c r="P1961" s="4">
        <f t="shared" si="363"/>
        <v>0</v>
      </c>
      <c r="Q1961" s="4">
        <f t="shared" si="363"/>
        <v>1656</v>
      </c>
      <c r="R1961" s="4">
        <f t="shared" si="363"/>
        <v>3.75</v>
      </c>
      <c r="S1961" s="4">
        <f t="shared" si="363"/>
        <v>9</v>
      </c>
      <c r="T1961" s="4">
        <f t="shared" si="363"/>
        <v>0</v>
      </c>
      <c r="U1961" s="4">
        <f t="shared" si="363"/>
        <v>0</v>
      </c>
      <c r="V1961" s="4">
        <f t="shared" si="363"/>
        <v>0</v>
      </c>
    </row>
    <row r="1962" spans="1:22" x14ac:dyDescent="0.15">
      <c r="A1962" s="4" t="s">
        <v>2662</v>
      </c>
      <c r="D1962" s="4">
        <v>531</v>
      </c>
      <c r="E1962" s="4">
        <v>26</v>
      </c>
      <c r="H1962" s="29">
        <v>1001</v>
      </c>
      <c r="I1962" s="30">
        <v>0</v>
      </c>
      <c r="M1962" s="4">
        <f t="shared" ref="M1962:V1962" si="364">M346*$C$1623</f>
        <v>297</v>
      </c>
      <c r="N1962" s="4">
        <f t="shared" si="364"/>
        <v>79.5</v>
      </c>
      <c r="O1962" s="4">
        <f t="shared" si="364"/>
        <v>2715</v>
      </c>
      <c r="P1962" s="4">
        <f t="shared" si="364"/>
        <v>0</v>
      </c>
      <c r="Q1962" s="4">
        <f t="shared" si="364"/>
        <v>1665</v>
      </c>
      <c r="R1962" s="4">
        <f t="shared" si="364"/>
        <v>3.75</v>
      </c>
      <c r="S1962" s="4">
        <f t="shared" si="364"/>
        <v>9</v>
      </c>
      <c r="T1962" s="4">
        <f t="shared" si="364"/>
        <v>0</v>
      </c>
      <c r="U1962" s="4">
        <f t="shared" si="364"/>
        <v>0</v>
      </c>
      <c r="V1962" s="4">
        <f t="shared" si="364"/>
        <v>0</v>
      </c>
    </row>
    <row r="1963" spans="1:22" x14ac:dyDescent="0.15">
      <c r="A1963" s="4" t="s">
        <v>2662</v>
      </c>
      <c r="D1963" s="4">
        <v>531</v>
      </c>
      <c r="E1963" s="4">
        <v>27</v>
      </c>
      <c r="H1963" s="29">
        <v>1001</v>
      </c>
      <c r="I1963" s="30">
        <v>0</v>
      </c>
      <c r="M1963" s="4">
        <f t="shared" ref="M1963:V1963" si="365">M347*$C$1623</f>
        <v>306</v>
      </c>
      <c r="N1963" s="4">
        <f t="shared" si="365"/>
        <v>82.5</v>
      </c>
      <c r="O1963" s="4">
        <f t="shared" si="365"/>
        <v>2766</v>
      </c>
      <c r="P1963" s="4">
        <f t="shared" si="365"/>
        <v>0</v>
      </c>
      <c r="Q1963" s="4">
        <f t="shared" si="365"/>
        <v>1674</v>
      </c>
      <c r="R1963" s="4">
        <f t="shared" si="365"/>
        <v>3.75</v>
      </c>
      <c r="S1963" s="4">
        <f t="shared" si="365"/>
        <v>9</v>
      </c>
      <c r="T1963" s="4">
        <f t="shared" si="365"/>
        <v>0</v>
      </c>
      <c r="U1963" s="4">
        <f t="shared" si="365"/>
        <v>0</v>
      </c>
      <c r="V1963" s="4">
        <f t="shared" si="365"/>
        <v>0</v>
      </c>
    </row>
    <row r="1964" spans="1:22" x14ac:dyDescent="0.15">
      <c r="A1964" s="4" t="s">
        <v>2662</v>
      </c>
      <c r="D1964" s="4">
        <v>531</v>
      </c>
      <c r="E1964" s="4">
        <v>28</v>
      </c>
      <c r="H1964" s="29">
        <v>1001</v>
      </c>
      <c r="I1964" s="30">
        <v>0</v>
      </c>
      <c r="M1964" s="4">
        <f t="shared" ref="M1964:V1964" si="366">M348*$C$1623</f>
        <v>315</v>
      </c>
      <c r="N1964" s="4">
        <f t="shared" si="366"/>
        <v>85.5</v>
      </c>
      <c r="O1964" s="4">
        <f t="shared" si="366"/>
        <v>2817</v>
      </c>
      <c r="P1964" s="4">
        <f t="shared" si="366"/>
        <v>0</v>
      </c>
      <c r="Q1964" s="4">
        <f t="shared" si="366"/>
        <v>1683</v>
      </c>
      <c r="R1964" s="4">
        <f t="shared" si="366"/>
        <v>3.75</v>
      </c>
      <c r="S1964" s="4">
        <f t="shared" si="366"/>
        <v>9</v>
      </c>
      <c r="T1964" s="4">
        <f t="shared" si="366"/>
        <v>0</v>
      </c>
      <c r="U1964" s="4">
        <f t="shared" si="366"/>
        <v>0</v>
      </c>
      <c r="V1964" s="4">
        <f t="shared" si="366"/>
        <v>0</v>
      </c>
    </row>
    <row r="1965" spans="1:22" x14ac:dyDescent="0.15">
      <c r="A1965" s="4" t="s">
        <v>2662</v>
      </c>
      <c r="D1965" s="4">
        <v>531</v>
      </c>
      <c r="E1965" s="4">
        <v>29</v>
      </c>
      <c r="H1965" s="29">
        <v>1001</v>
      </c>
      <c r="I1965" s="30">
        <v>0</v>
      </c>
      <c r="M1965" s="4">
        <f t="shared" ref="M1965:V1965" si="367">M349*$C$1623</f>
        <v>324</v>
      </c>
      <c r="N1965" s="4">
        <f t="shared" si="367"/>
        <v>88.5</v>
      </c>
      <c r="O1965" s="4">
        <f t="shared" si="367"/>
        <v>2868</v>
      </c>
      <c r="P1965" s="4">
        <f t="shared" si="367"/>
        <v>0</v>
      </c>
      <c r="Q1965" s="4">
        <f t="shared" si="367"/>
        <v>1692</v>
      </c>
      <c r="R1965" s="4">
        <f t="shared" si="367"/>
        <v>3.75</v>
      </c>
      <c r="S1965" s="4">
        <f t="shared" si="367"/>
        <v>9</v>
      </c>
      <c r="T1965" s="4">
        <f t="shared" si="367"/>
        <v>0</v>
      </c>
      <c r="U1965" s="4">
        <f t="shared" si="367"/>
        <v>0</v>
      </c>
      <c r="V1965" s="4">
        <f t="shared" si="367"/>
        <v>0</v>
      </c>
    </row>
    <row r="1966" spans="1:22" x14ac:dyDescent="0.15">
      <c r="A1966" s="4" t="s">
        <v>2662</v>
      </c>
      <c r="D1966" s="4">
        <v>531</v>
      </c>
      <c r="E1966" s="4">
        <v>30</v>
      </c>
      <c r="H1966" s="29">
        <v>1001</v>
      </c>
      <c r="I1966" s="30">
        <v>0</v>
      </c>
      <c r="M1966" s="4">
        <f t="shared" ref="M1966:V1966" si="368">M350*$C$1623</f>
        <v>333</v>
      </c>
      <c r="N1966" s="4">
        <f t="shared" si="368"/>
        <v>91.5</v>
      </c>
      <c r="O1966" s="4">
        <f t="shared" si="368"/>
        <v>2919</v>
      </c>
      <c r="P1966" s="4">
        <f t="shared" si="368"/>
        <v>0</v>
      </c>
      <c r="Q1966" s="4">
        <f t="shared" si="368"/>
        <v>1701</v>
      </c>
      <c r="R1966" s="4">
        <f t="shared" si="368"/>
        <v>3.75</v>
      </c>
      <c r="S1966" s="4">
        <f t="shared" si="368"/>
        <v>9</v>
      </c>
      <c r="T1966" s="4">
        <f t="shared" si="368"/>
        <v>0</v>
      </c>
      <c r="U1966" s="4">
        <f t="shared" si="368"/>
        <v>0</v>
      </c>
      <c r="V1966" s="4">
        <f t="shared" si="368"/>
        <v>0</v>
      </c>
    </row>
    <row r="1967" spans="1:22" x14ac:dyDescent="0.15">
      <c r="A1967" s="4" t="s">
        <v>2662</v>
      </c>
      <c r="D1967" s="4">
        <v>531</v>
      </c>
      <c r="E1967" s="4">
        <v>31</v>
      </c>
      <c r="H1967" s="29">
        <v>1001</v>
      </c>
      <c r="I1967" s="30">
        <v>0</v>
      </c>
      <c r="M1967" s="4">
        <f t="shared" ref="M1967:V1967" si="369">M351*$C$1623</f>
        <v>342</v>
      </c>
      <c r="N1967" s="4">
        <f t="shared" si="369"/>
        <v>94.5</v>
      </c>
      <c r="O1967" s="4">
        <f t="shared" si="369"/>
        <v>2970</v>
      </c>
      <c r="P1967" s="4">
        <f t="shared" si="369"/>
        <v>0</v>
      </c>
      <c r="Q1967" s="4">
        <f t="shared" si="369"/>
        <v>1710</v>
      </c>
      <c r="R1967" s="4">
        <f t="shared" si="369"/>
        <v>3.75</v>
      </c>
      <c r="S1967" s="4">
        <f t="shared" si="369"/>
        <v>9</v>
      </c>
      <c r="T1967" s="4">
        <f t="shared" si="369"/>
        <v>0</v>
      </c>
      <c r="U1967" s="4">
        <f t="shared" si="369"/>
        <v>0</v>
      </c>
      <c r="V1967" s="4">
        <f t="shared" si="369"/>
        <v>0</v>
      </c>
    </row>
    <row r="1968" spans="1:22" x14ac:dyDescent="0.15">
      <c r="A1968" s="4" t="s">
        <v>2662</v>
      </c>
      <c r="D1968" s="4">
        <v>531</v>
      </c>
      <c r="E1968" s="4">
        <v>32</v>
      </c>
      <c r="H1968" s="29">
        <v>1001</v>
      </c>
      <c r="I1968" s="30">
        <v>0</v>
      </c>
      <c r="M1968" s="4">
        <f t="shared" ref="M1968:V1968" si="370">M352*$C$1623</f>
        <v>351</v>
      </c>
      <c r="N1968" s="4">
        <f t="shared" si="370"/>
        <v>97.5</v>
      </c>
      <c r="O1968" s="4">
        <f t="shared" si="370"/>
        <v>3021</v>
      </c>
      <c r="P1968" s="4">
        <f t="shared" si="370"/>
        <v>0</v>
      </c>
      <c r="Q1968" s="4">
        <f t="shared" si="370"/>
        <v>1719</v>
      </c>
      <c r="R1968" s="4">
        <f t="shared" si="370"/>
        <v>3.75</v>
      </c>
      <c r="S1968" s="4">
        <f t="shared" si="370"/>
        <v>9</v>
      </c>
      <c r="T1968" s="4">
        <f t="shared" si="370"/>
        <v>0</v>
      </c>
      <c r="U1968" s="4">
        <f t="shared" si="370"/>
        <v>0</v>
      </c>
      <c r="V1968" s="4">
        <f t="shared" si="370"/>
        <v>0</v>
      </c>
    </row>
    <row r="1969" spans="1:22" x14ac:dyDescent="0.15">
      <c r="A1969" s="4" t="s">
        <v>2662</v>
      </c>
      <c r="D1969" s="4">
        <v>531</v>
      </c>
      <c r="E1969" s="4">
        <v>33</v>
      </c>
      <c r="H1969" s="29">
        <v>1001</v>
      </c>
      <c r="I1969" s="30">
        <v>0</v>
      </c>
      <c r="M1969" s="4">
        <f t="shared" ref="M1969:V1969" si="371">M353*$C$1623</f>
        <v>360</v>
      </c>
      <c r="N1969" s="4">
        <f t="shared" si="371"/>
        <v>100.5</v>
      </c>
      <c r="O1969" s="4">
        <f t="shared" si="371"/>
        <v>3072</v>
      </c>
      <c r="P1969" s="4">
        <f t="shared" si="371"/>
        <v>0</v>
      </c>
      <c r="Q1969" s="4">
        <f t="shared" si="371"/>
        <v>1728</v>
      </c>
      <c r="R1969" s="4">
        <f t="shared" si="371"/>
        <v>3.75</v>
      </c>
      <c r="S1969" s="4">
        <f t="shared" si="371"/>
        <v>9</v>
      </c>
      <c r="T1969" s="4">
        <f t="shared" si="371"/>
        <v>0</v>
      </c>
      <c r="U1969" s="4">
        <f t="shared" si="371"/>
        <v>0</v>
      </c>
      <c r="V1969" s="4">
        <f t="shared" si="371"/>
        <v>0</v>
      </c>
    </row>
    <row r="1970" spans="1:22" x14ac:dyDescent="0.15">
      <c r="A1970" s="4" t="s">
        <v>2662</v>
      </c>
      <c r="D1970" s="4">
        <v>531</v>
      </c>
      <c r="E1970" s="4">
        <v>34</v>
      </c>
      <c r="H1970" s="29">
        <v>1001</v>
      </c>
      <c r="I1970" s="30">
        <v>0</v>
      </c>
      <c r="M1970" s="4">
        <f t="shared" ref="M1970:V1970" si="372">M354*$C$1623</f>
        <v>369</v>
      </c>
      <c r="N1970" s="4">
        <f t="shared" si="372"/>
        <v>103.5</v>
      </c>
      <c r="O1970" s="4">
        <f t="shared" si="372"/>
        <v>3123</v>
      </c>
      <c r="P1970" s="4">
        <f t="shared" si="372"/>
        <v>0</v>
      </c>
      <c r="Q1970" s="4">
        <f t="shared" si="372"/>
        <v>1737</v>
      </c>
      <c r="R1970" s="4">
        <f t="shared" si="372"/>
        <v>3.75</v>
      </c>
      <c r="S1970" s="4">
        <f t="shared" si="372"/>
        <v>9</v>
      </c>
      <c r="T1970" s="4">
        <f t="shared" si="372"/>
        <v>0</v>
      </c>
      <c r="U1970" s="4">
        <f t="shared" si="372"/>
        <v>0</v>
      </c>
      <c r="V1970" s="4">
        <f t="shared" si="372"/>
        <v>0</v>
      </c>
    </row>
    <row r="1971" spans="1:22" x14ac:dyDescent="0.15">
      <c r="A1971" s="4" t="s">
        <v>2662</v>
      </c>
      <c r="D1971" s="4">
        <v>531</v>
      </c>
      <c r="E1971" s="4">
        <v>35</v>
      </c>
      <c r="H1971" s="29">
        <v>1001</v>
      </c>
      <c r="I1971" s="30">
        <v>0</v>
      </c>
      <c r="M1971" s="4">
        <f t="shared" ref="M1971:V1971" si="373">M355*$C$1623</f>
        <v>378</v>
      </c>
      <c r="N1971" s="4">
        <f t="shared" si="373"/>
        <v>106.5</v>
      </c>
      <c r="O1971" s="4">
        <f t="shared" si="373"/>
        <v>3174</v>
      </c>
      <c r="P1971" s="4">
        <f t="shared" si="373"/>
        <v>0</v>
      </c>
      <c r="Q1971" s="4">
        <f t="shared" si="373"/>
        <v>1746</v>
      </c>
      <c r="R1971" s="4">
        <f t="shared" si="373"/>
        <v>3.75</v>
      </c>
      <c r="S1971" s="4">
        <f t="shared" si="373"/>
        <v>9</v>
      </c>
      <c r="T1971" s="4">
        <f t="shared" si="373"/>
        <v>0</v>
      </c>
      <c r="U1971" s="4">
        <f t="shared" si="373"/>
        <v>0</v>
      </c>
      <c r="V1971" s="4">
        <f t="shared" si="373"/>
        <v>0</v>
      </c>
    </row>
    <row r="1972" spans="1:22" x14ac:dyDescent="0.15">
      <c r="A1972" s="4" t="s">
        <v>2662</v>
      </c>
      <c r="D1972" s="4">
        <v>531</v>
      </c>
      <c r="E1972" s="4">
        <v>36</v>
      </c>
      <c r="H1972" s="29">
        <v>1001</v>
      </c>
      <c r="I1972" s="30">
        <v>0</v>
      </c>
      <c r="M1972" s="4">
        <f t="shared" ref="M1972:V1972" si="374">M356*$C$1623</f>
        <v>387</v>
      </c>
      <c r="N1972" s="4">
        <f t="shared" si="374"/>
        <v>109.5</v>
      </c>
      <c r="O1972" s="4">
        <f t="shared" si="374"/>
        <v>3225</v>
      </c>
      <c r="P1972" s="4">
        <f t="shared" si="374"/>
        <v>0</v>
      </c>
      <c r="Q1972" s="4">
        <f t="shared" si="374"/>
        <v>1755</v>
      </c>
      <c r="R1972" s="4">
        <f t="shared" si="374"/>
        <v>3.75</v>
      </c>
      <c r="S1972" s="4">
        <f t="shared" si="374"/>
        <v>9</v>
      </c>
      <c r="T1972" s="4">
        <f t="shared" si="374"/>
        <v>0</v>
      </c>
      <c r="U1972" s="4">
        <f t="shared" si="374"/>
        <v>0</v>
      </c>
      <c r="V1972" s="4">
        <f t="shared" si="374"/>
        <v>0</v>
      </c>
    </row>
    <row r="1973" spans="1:22" x14ac:dyDescent="0.15">
      <c r="A1973" s="4" t="s">
        <v>2662</v>
      </c>
      <c r="D1973" s="4">
        <v>531</v>
      </c>
      <c r="E1973" s="4">
        <v>37</v>
      </c>
      <c r="H1973" s="29">
        <v>1001</v>
      </c>
      <c r="I1973" s="30">
        <v>0</v>
      </c>
      <c r="M1973" s="4">
        <f t="shared" ref="M1973:V1973" si="375">M357*$C$1623</f>
        <v>396</v>
      </c>
      <c r="N1973" s="4">
        <f t="shared" si="375"/>
        <v>112.5</v>
      </c>
      <c r="O1973" s="4">
        <f t="shared" si="375"/>
        <v>3276</v>
      </c>
      <c r="P1973" s="4">
        <f t="shared" si="375"/>
        <v>0</v>
      </c>
      <c r="Q1973" s="4">
        <f t="shared" si="375"/>
        <v>1764</v>
      </c>
      <c r="R1973" s="4">
        <f t="shared" si="375"/>
        <v>3.75</v>
      </c>
      <c r="S1973" s="4">
        <f t="shared" si="375"/>
        <v>9</v>
      </c>
      <c r="T1973" s="4">
        <f t="shared" si="375"/>
        <v>0</v>
      </c>
      <c r="U1973" s="4">
        <f t="shared" si="375"/>
        <v>0</v>
      </c>
      <c r="V1973" s="4">
        <f t="shared" si="375"/>
        <v>0</v>
      </c>
    </row>
    <row r="1974" spans="1:22" x14ac:dyDescent="0.15">
      <c r="A1974" s="4" t="s">
        <v>2662</v>
      </c>
      <c r="D1974" s="4">
        <v>531</v>
      </c>
      <c r="E1974" s="4">
        <v>38</v>
      </c>
      <c r="H1974" s="29">
        <v>1001</v>
      </c>
      <c r="I1974" s="30">
        <v>0</v>
      </c>
      <c r="M1974" s="4">
        <f t="shared" ref="M1974:V1974" si="376">M358*$C$1623</f>
        <v>405</v>
      </c>
      <c r="N1974" s="4">
        <f t="shared" si="376"/>
        <v>115.5</v>
      </c>
      <c r="O1974" s="4">
        <f t="shared" si="376"/>
        <v>3327</v>
      </c>
      <c r="P1974" s="4">
        <f t="shared" si="376"/>
        <v>0</v>
      </c>
      <c r="Q1974" s="4">
        <f t="shared" si="376"/>
        <v>1773</v>
      </c>
      <c r="R1974" s="4">
        <f t="shared" si="376"/>
        <v>3.75</v>
      </c>
      <c r="S1974" s="4">
        <f t="shared" si="376"/>
        <v>9</v>
      </c>
      <c r="T1974" s="4">
        <f t="shared" si="376"/>
        <v>0</v>
      </c>
      <c r="U1974" s="4">
        <f t="shared" si="376"/>
        <v>0</v>
      </c>
      <c r="V1974" s="4">
        <f t="shared" si="376"/>
        <v>0</v>
      </c>
    </row>
    <row r="1975" spans="1:22" x14ac:dyDescent="0.15">
      <c r="A1975" s="4" t="s">
        <v>2662</v>
      </c>
      <c r="D1975" s="4">
        <v>531</v>
      </c>
      <c r="E1975" s="4">
        <v>39</v>
      </c>
      <c r="H1975" s="29">
        <v>1001</v>
      </c>
      <c r="I1975" s="30">
        <v>0</v>
      </c>
      <c r="M1975" s="4">
        <f t="shared" ref="M1975:V1975" si="377">M359*$C$1623</f>
        <v>414</v>
      </c>
      <c r="N1975" s="4">
        <f t="shared" si="377"/>
        <v>118.5</v>
      </c>
      <c r="O1975" s="4">
        <f t="shared" si="377"/>
        <v>3378</v>
      </c>
      <c r="P1975" s="4">
        <f t="shared" si="377"/>
        <v>0</v>
      </c>
      <c r="Q1975" s="4">
        <f t="shared" si="377"/>
        <v>1782</v>
      </c>
      <c r="R1975" s="4">
        <f t="shared" si="377"/>
        <v>3.75</v>
      </c>
      <c r="S1975" s="4">
        <f t="shared" si="377"/>
        <v>9</v>
      </c>
      <c r="T1975" s="4">
        <f t="shared" si="377"/>
        <v>0</v>
      </c>
      <c r="U1975" s="4">
        <f t="shared" si="377"/>
        <v>0</v>
      </c>
      <c r="V1975" s="4">
        <f t="shared" si="377"/>
        <v>0</v>
      </c>
    </row>
    <row r="1976" spans="1:22" x14ac:dyDescent="0.15">
      <c r="A1976" s="4" t="s">
        <v>2662</v>
      </c>
      <c r="D1976" s="4">
        <v>531</v>
      </c>
      <c r="E1976" s="4">
        <v>40</v>
      </c>
      <c r="H1976" s="29">
        <v>1001</v>
      </c>
      <c r="I1976" s="30">
        <v>0</v>
      </c>
      <c r="M1976" s="4">
        <f t="shared" ref="M1976:V1976" si="378">M360*$C$1623</f>
        <v>423</v>
      </c>
      <c r="N1976" s="4">
        <f t="shared" si="378"/>
        <v>121.5</v>
      </c>
      <c r="O1976" s="4">
        <f t="shared" si="378"/>
        <v>3429</v>
      </c>
      <c r="P1976" s="4">
        <f t="shared" si="378"/>
        <v>0</v>
      </c>
      <c r="Q1976" s="4">
        <f t="shared" si="378"/>
        <v>1791</v>
      </c>
      <c r="R1976" s="4">
        <f t="shared" si="378"/>
        <v>3.75</v>
      </c>
      <c r="S1976" s="4">
        <f t="shared" si="378"/>
        <v>9</v>
      </c>
      <c r="T1976" s="4">
        <f t="shared" si="378"/>
        <v>0</v>
      </c>
      <c r="U1976" s="4">
        <f t="shared" si="378"/>
        <v>0</v>
      </c>
      <c r="V1976" s="4">
        <f t="shared" si="378"/>
        <v>0</v>
      </c>
    </row>
    <row r="1977" spans="1:22" x14ac:dyDescent="0.15">
      <c r="A1977" s="4" t="s">
        <v>2662</v>
      </c>
      <c r="D1977" s="4">
        <v>531</v>
      </c>
      <c r="E1977" s="4">
        <v>41</v>
      </c>
      <c r="H1977" s="29">
        <v>1001</v>
      </c>
      <c r="I1977" s="30">
        <v>0</v>
      </c>
      <c r="M1977" s="4">
        <f t="shared" ref="M1977:V1977" si="379">M361*$C$1623</f>
        <v>432</v>
      </c>
      <c r="N1977" s="4">
        <f t="shared" si="379"/>
        <v>124.5</v>
      </c>
      <c r="O1977" s="4">
        <f t="shared" si="379"/>
        <v>3480</v>
      </c>
      <c r="P1977" s="4">
        <f t="shared" si="379"/>
        <v>0</v>
      </c>
      <c r="Q1977" s="4">
        <f t="shared" si="379"/>
        <v>1800</v>
      </c>
      <c r="R1977" s="4">
        <f t="shared" si="379"/>
        <v>3.75</v>
      </c>
      <c r="S1977" s="4">
        <f t="shared" si="379"/>
        <v>9</v>
      </c>
      <c r="T1977" s="4">
        <f t="shared" si="379"/>
        <v>0</v>
      </c>
      <c r="U1977" s="4">
        <f t="shared" si="379"/>
        <v>0</v>
      </c>
      <c r="V1977" s="4">
        <f t="shared" si="379"/>
        <v>0</v>
      </c>
    </row>
    <row r="1978" spans="1:22" x14ac:dyDescent="0.15">
      <c r="A1978" s="4" t="s">
        <v>2662</v>
      </c>
      <c r="D1978" s="4">
        <v>531</v>
      </c>
      <c r="E1978" s="4">
        <v>42</v>
      </c>
      <c r="H1978" s="29">
        <v>1001</v>
      </c>
      <c r="I1978" s="30">
        <v>0</v>
      </c>
      <c r="M1978" s="4">
        <f t="shared" ref="M1978:V1978" si="380">M362*$C$1623</f>
        <v>441</v>
      </c>
      <c r="N1978" s="4">
        <f t="shared" si="380"/>
        <v>127.5</v>
      </c>
      <c r="O1978" s="4">
        <f t="shared" si="380"/>
        <v>3531</v>
      </c>
      <c r="P1978" s="4">
        <f t="shared" si="380"/>
        <v>0</v>
      </c>
      <c r="Q1978" s="4">
        <f t="shared" si="380"/>
        <v>1809</v>
      </c>
      <c r="R1978" s="4">
        <f t="shared" si="380"/>
        <v>3.75</v>
      </c>
      <c r="S1978" s="4">
        <f t="shared" si="380"/>
        <v>9</v>
      </c>
      <c r="T1978" s="4">
        <f t="shared" si="380"/>
        <v>0</v>
      </c>
      <c r="U1978" s="4">
        <f t="shared" si="380"/>
        <v>0</v>
      </c>
      <c r="V1978" s="4">
        <f t="shared" si="380"/>
        <v>0</v>
      </c>
    </row>
    <row r="1979" spans="1:22" x14ac:dyDescent="0.15">
      <c r="A1979" s="4" t="s">
        <v>2662</v>
      </c>
      <c r="D1979" s="4">
        <v>531</v>
      </c>
      <c r="E1979" s="4">
        <v>43</v>
      </c>
      <c r="H1979" s="29">
        <v>1001</v>
      </c>
      <c r="I1979" s="30">
        <v>0</v>
      </c>
      <c r="M1979" s="4">
        <f t="shared" ref="M1979:V1979" si="381">M363*$C$1623</f>
        <v>450</v>
      </c>
      <c r="N1979" s="4">
        <f t="shared" si="381"/>
        <v>130.5</v>
      </c>
      <c r="O1979" s="4">
        <f t="shared" si="381"/>
        <v>3582</v>
      </c>
      <c r="P1979" s="4">
        <f t="shared" si="381"/>
        <v>0</v>
      </c>
      <c r="Q1979" s="4">
        <f t="shared" si="381"/>
        <v>1818</v>
      </c>
      <c r="R1979" s="4">
        <f t="shared" si="381"/>
        <v>3.75</v>
      </c>
      <c r="S1979" s="4">
        <f t="shared" si="381"/>
        <v>9</v>
      </c>
      <c r="T1979" s="4">
        <f t="shared" si="381"/>
        <v>0</v>
      </c>
      <c r="U1979" s="4">
        <f t="shared" si="381"/>
        <v>0</v>
      </c>
      <c r="V1979" s="4">
        <f t="shared" si="381"/>
        <v>0</v>
      </c>
    </row>
    <row r="1980" spans="1:22" x14ac:dyDescent="0.15">
      <c r="A1980" s="4" t="s">
        <v>2662</v>
      </c>
      <c r="D1980" s="4">
        <v>531</v>
      </c>
      <c r="E1980" s="4">
        <v>44</v>
      </c>
      <c r="H1980" s="29">
        <v>1001</v>
      </c>
      <c r="I1980" s="30">
        <v>0</v>
      </c>
      <c r="M1980" s="4">
        <f t="shared" ref="M1980:V1980" si="382">M364*$C$1623</f>
        <v>459</v>
      </c>
      <c r="N1980" s="4">
        <f t="shared" si="382"/>
        <v>133.5</v>
      </c>
      <c r="O1980" s="4">
        <f t="shared" si="382"/>
        <v>3633</v>
      </c>
      <c r="P1980" s="4">
        <f t="shared" si="382"/>
        <v>0</v>
      </c>
      <c r="Q1980" s="4">
        <f t="shared" si="382"/>
        <v>1827</v>
      </c>
      <c r="R1980" s="4">
        <f t="shared" si="382"/>
        <v>3.75</v>
      </c>
      <c r="S1980" s="4">
        <f t="shared" si="382"/>
        <v>9</v>
      </c>
      <c r="T1980" s="4">
        <f t="shared" si="382"/>
        <v>0</v>
      </c>
      <c r="U1980" s="4">
        <f t="shared" si="382"/>
        <v>0</v>
      </c>
      <c r="V1980" s="4">
        <f t="shared" si="382"/>
        <v>0</v>
      </c>
    </row>
    <row r="1981" spans="1:22" x14ac:dyDescent="0.15">
      <c r="A1981" s="4" t="s">
        <v>2662</v>
      </c>
      <c r="D1981" s="4">
        <v>531</v>
      </c>
      <c r="E1981" s="4">
        <v>45</v>
      </c>
      <c r="H1981" s="29">
        <v>1001</v>
      </c>
      <c r="I1981" s="30">
        <v>0</v>
      </c>
      <c r="M1981" s="4">
        <f t="shared" ref="M1981:V1981" si="383">M365*$C$1623</f>
        <v>468</v>
      </c>
      <c r="N1981" s="4">
        <f t="shared" si="383"/>
        <v>136.5</v>
      </c>
      <c r="O1981" s="4">
        <f t="shared" si="383"/>
        <v>3684</v>
      </c>
      <c r="P1981" s="4">
        <f t="shared" si="383"/>
        <v>0</v>
      </c>
      <c r="Q1981" s="4">
        <f t="shared" si="383"/>
        <v>1836</v>
      </c>
      <c r="R1981" s="4">
        <f t="shared" si="383"/>
        <v>3.75</v>
      </c>
      <c r="S1981" s="4">
        <f t="shared" si="383"/>
        <v>9</v>
      </c>
      <c r="T1981" s="4">
        <f t="shared" si="383"/>
        <v>0</v>
      </c>
      <c r="U1981" s="4">
        <f t="shared" si="383"/>
        <v>0</v>
      </c>
      <c r="V1981" s="4">
        <f t="shared" si="383"/>
        <v>0</v>
      </c>
    </row>
    <row r="1982" spans="1:22" x14ac:dyDescent="0.15">
      <c r="A1982" s="4" t="s">
        <v>2662</v>
      </c>
      <c r="D1982" s="4">
        <v>531</v>
      </c>
      <c r="E1982" s="4">
        <v>46</v>
      </c>
      <c r="H1982" s="29">
        <v>1001</v>
      </c>
      <c r="I1982" s="30">
        <v>0</v>
      </c>
      <c r="M1982" s="4">
        <f t="shared" ref="M1982:V1982" si="384">M366*$C$1623</f>
        <v>477</v>
      </c>
      <c r="N1982" s="4">
        <f t="shared" si="384"/>
        <v>139.5</v>
      </c>
      <c r="O1982" s="4">
        <f t="shared" si="384"/>
        <v>3735</v>
      </c>
      <c r="P1982" s="4">
        <f t="shared" si="384"/>
        <v>0</v>
      </c>
      <c r="Q1982" s="4">
        <f t="shared" si="384"/>
        <v>1845</v>
      </c>
      <c r="R1982" s="4">
        <f t="shared" si="384"/>
        <v>3.75</v>
      </c>
      <c r="S1982" s="4">
        <f t="shared" si="384"/>
        <v>9</v>
      </c>
      <c r="T1982" s="4">
        <f t="shared" si="384"/>
        <v>0</v>
      </c>
      <c r="U1982" s="4">
        <f t="shared" si="384"/>
        <v>0</v>
      </c>
      <c r="V1982" s="4">
        <f t="shared" si="384"/>
        <v>0</v>
      </c>
    </row>
    <row r="1983" spans="1:22" x14ac:dyDescent="0.15">
      <c r="A1983" s="4" t="s">
        <v>2662</v>
      </c>
      <c r="D1983" s="4">
        <v>531</v>
      </c>
      <c r="E1983" s="4">
        <v>47</v>
      </c>
      <c r="H1983" s="29">
        <v>1001</v>
      </c>
      <c r="I1983" s="30">
        <v>0</v>
      </c>
      <c r="M1983" s="4">
        <f t="shared" ref="M1983:V1983" si="385">M367*$C$1623</f>
        <v>486</v>
      </c>
      <c r="N1983" s="4">
        <f t="shared" si="385"/>
        <v>142.5</v>
      </c>
      <c r="O1983" s="4">
        <f t="shared" si="385"/>
        <v>3786</v>
      </c>
      <c r="P1983" s="4">
        <f t="shared" si="385"/>
        <v>0</v>
      </c>
      <c r="Q1983" s="4">
        <f t="shared" si="385"/>
        <v>1854</v>
      </c>
      <c r="R1983" s="4">
        <f t="shared" si="385"/>
        <v>3.75</v>
      </c>
      <c r="S1983" s="4">
        <f t="shared" si="385"/>
        <v>9</v>
      </c>
      <c r="T1983" s="4">
        <f t="shared" si="385"/>
        <v>0</v>
      </c>
      <c r="U1983" s="4">
        <f t="shared" si="385"/>
        <v>0</v>
      </c>
      <c r="V1983" s="4">
        <f t="shared" si="385"/>
        <v>0</v>
      </c>
    </row>
    <row r="1984" spans="1:22" x14ac:dyDescent="0.15">
      <c r="A1984" s="4" t="s">
        <v>2662</v>
      </c>
      <c r="D1984" s="4">
        <v>531</v>
      </c>
      <c r="E1984" s="4">
        <v>48</v>
      </c>
      <c r="H1984" s="29">
        <v>1001</v>
      </c>
      <c r="I1984" s="30">
        <v>0</v>
      </c>
      <c r="M1984" s="4">
        <f t="shared" ref="M1984:V1984" si="386">M368*$C$1623</f>
        <v>495</v>
      </c>
      <c r="N1984" s="4">
        <f t="shared" si="386"/>
        <v>145.5</v>
      </c>
      <c r="O1984" s="4">
        <f t="shared" si="386"/>
        <v>3837</v>
      </c>
      <c r="P1984" s="4">
        <f t="shared" si="386"/>
        <v>0</v>
      </c>
      <c r="Q1984" s="4">
        <f t="shared" si="386"/>
        <v>1863</v>
      </c>
      <c r="R1984" s="4">
        <f t="shared" si="386"/>
        <v>3.75</v>
      </c>
      <c r="S1984" s="4">
        <f t="shared" si="386"/>
        <v>9</v>
      </c>
      <c r="T1984" s="4">
        <f t="shared" si="386"/>
        <v>0</v>
      </c>
      <c r="U1984" s="4">
        <f t="shared" si="386"/>
        <v>0</v>
      </c>
      <c r="V1984" s="4">
        <f t="shared" si="386"/>
        <v>0</v>
      </c>
    </row>
    <row r="1985" spans="1:22" x14ac:dyDescent="0.15">
      <c r="A1985" s="4" t="s">
        <v>2662</v>
      </c>
      <c r="D1985" s="4">
        <v>531</v>
      </c>
      <c r="E1985" s="4">
        <v>49</v>
      </c>
      <c r="H1985" s="29">
        <v>1001</v>
      </c>
      <c r="I1985" s="30">
        <v>0</v>
      </c>
      <c r="M1985" s="4">
        <f t="shared" ref="M1985:V1985" si="387">M369*$C$1623</f>
        <v>504</v>
      </c>
      <c r="N1985" s="4">
        <f t="shared" si="387"/>
        <v>148.5</v>
      </c>
      <c r="O1985" s="4">
        <f t="shared" si="387"/>
        <v>3888</v>
      </c>
      <c r="P1985" s="4">
        <f t="shared" si="387"/>
        <v>0</v>
      </c>
      <c r="Q1985" s="4">
        <f t="shared" si="387"/>
        <v>1872</v>
      </c>
      <c r="R1985" s="4">
        <f t="shared" si="387"/>
        <v>3.75</v>
      </c>
      <c r="S1985" s="4">
        <f t="shared" si="387"/>
        <v>9</v>
      </c>
      <c r="T1985" s="4">
        <f t="shared" si="387"/>
        <v>0</v>
      </c>
      <c r="U1985" s="4">
        <f t="shared" si="387"/>
        <v>0</v>
      </c>
      <c r="V1985" s="4">
        <f t="shared" si="387"/>
        <v>0</v>
      </c>
    </row>
    <row r="1986" spans="1:22" x14ac:dyDescent="0.15">
      <c r="A1986" s="4" t="s">
        <v>2662</v>
      </c>
      <c r="D1986" s="4">
        <v>531</v>
      </c>
      <c r="E1986" s="4">
        <v>50</v>
      </c>
      <c r="H1986" s="29">
        <v>1001</v>
      </c>
      <c r="I1986" s="30">
        <v>0</v>
      </c>
      <c r="M1986" s="4">
        <f t="shared" ref="M1986:V1986" si="388">M370*$C$1623</f>
        <v>513</v>
      </c>
      <c r="N1986" s="4">
        <f t="shared" si="388"/>
        <v>151.5</v>
      </c>
      <c r="O1986" s="4">
        <f t="shared" si="388"/>
        <v>3939</v>
      </c>
      <c r="P1986" s="4">
        <f t="shared" si="388"/>
        <v>0</v>
      </c>
      <c r="Q1986" s="4">
        <f t="shared" si="388"/>
        <v>1881</v>
      </c>
      <c r="R1986" s="4">
        <f t="shared" si="388"/>
        <v>3.75</v>
      </c>
      <c r="S1986" s="4">
        <f t="shared" si="388"/>
        <v>9</v>
      </c>
      <c r="T1986" s="4">
        <f t="shared" si="388"/>
        <v>0</v>
      </c>
      <c r="U1986" s="4">
        <f t="shared" si="388"/>
        <v>0</v>
      </c>
      <c r="V1986" s="4">
        <f t="shared" si="388"/>
        <v>0</v>
      </c>
    </row>
    <row r="1987" spans="1:22" x14ac:dyDescent="0.15">
      <c r="I1987" s="4"/>
      <c r="M1987" s="4">
        <f t="shared" ref="M1987:V1987" si="389">M371*$C$1623</f>
        <v>0</v>
      </c>
      <c r="N1987" s="4">
        <f t="shared" si="389"/>
        <v>0</v>
      </c>
      <c r="O1987" s="4">
        <f t="shared" si="389"/>
        <v>0</v>
      </c>
      <c r="P1987" s="4">
        <f t="shared" si="389"/>
        <v>0</v>
      </c>
      <c r="Q1987" s="4">
        <f t="shared" si="389"/>
        <v>0</v>
      </c>
      <c r="R1987" s="4">
        <f t="shared" si="389"/>
        <v>0</v>
      </c>
      <c r="S1987" s="4">
        <f t="shared" si="389"/>
        <v>0</v>
      </c>
      <c r="T1987" s="4">
        <f t="shared" si="389"/>
        <v>0</v>
      </c>
      <c r="U1987" s="4">
        <f t="shared" si="389"/>
        <v>0</v>
      </c>
      <c r="V1987" s="4">
        <f t="shared" si="389"/>
        <v>0</v>
      </c>
    </row>
    <row r="1988" spans="1:22" ht="16.5" x14ac:dyDescent="0.15">
      <c r="C1988" s="4" t="s">
        <v>3082</v>
      </c>
      <c r="D1988" s="4">
        <f>D1936+1</f>
        <v>532</v>
      </c>
      <c r="E1988" s="4">
        <v>0</v>
      </c>
      <c r="H1988" s="38">
        <v>2103</v>
      </c>
      <c r="I1988" s="31">
        <v>1</v>
      </c>
      <c r="L1988" s="8">
        <v>207</v>
      </c>
      <c r="M1988" s="4">
        <f t="shared" ref="M1988:V1988" si="390">M372*$C$1623</f>
        <v>0</v>
      </c>
      <c r="N1988" s="4">
        <f t="shared" si="390"/>
        <v>0</v>
      </c>
      <c r="O1988" s="4">
        <f t="shared" si="390"/>
        <v>0</v>
      </c>
      <c r="P1988" s="4">
        <f t="shared" si="390"/>
        <v>0</v>
      </c>
      <c r="Q1988" s="4">
        <f t="shared" si="390"/>
        <v>0</v>
      </c>
      <c r="R1988" s="4">
        <f t="shared" si="390"/>
        <v>0</v>
      </c>
      <c r="S1988" s="4">
        <f t="shared" si="390"/>
        <v>0</v>
      </c>
      <c r="T1988" s="4">
        <f t="shared" si="390"/>
        <v>0</v>
      </c>
      <c r="U1988" s="4">
        <f t="shared" si="390"/>
        <v>0</v>
      </c>
      <c r="V1988" s="4">
        <f t="shared" si="390"/>
        <v>0</v>
      </c>
    </row>
    <row r="1989" spans="1:22" x14ac:dyDescent="0.15">
      <c r="D1989" s="4">
        <f t="shared" ref="D1989:D2038" si="391">D1937+1</f>
        <v>532</v>
      </c>
      <c r="E1989" s="4">
        <v>1</v>
      </c>
      <c r="H1989" s="29">
        <v>1001</v>
      </c>
      <c r="I1989" s="30">
        <v>0</v>
      </c>
      <c r="M1989" s="4">
        <f t="shared" ref="M1989:V1989" si="392">M373*$C$1623</f>
        <v>303</v>
      </c>
      <c r="N1989" s="4">
        <f t="shared" si="392"/>
        <v>9</v>
      </c>
      <c r="O1989" s="4">
        <f t="shared" si="392"/>
        <v>3801</v>
      </c>
      <c r="P1989" s="4">
        <f t="shared" si="392"/>
        <v>0</v>
      </c>
      <c r="Q1989" s="4">
        <f t="shared" si="392"/>
        <v>2823</v>
      </c>
      <c r="R1989" s="4">
        <f t="shared" si="392"/>
        <v>3.75</v>
      </c>
      <c r="S1989" s="4">
        <f t="shared" si="392"/>
        <v>16.5</v>
      </c>
      <c r="T1989" s="4">
        <f t="shared" si="392"/>
        <v>0</v>
      </c>
      <c r="U1989" s="4">
        <f t="shared" si="392"/>
        <v>0</v>
      </c>
      <c r="V1989" s="4">
        <f t="shared" si="392"/>
        <v>0</v>
      </c>
    </row>
    <row r="1990" spans="1:22" x14ac:dyDescent="0.15">
      <c r="D1990" s="4">
        <f t="shared" si="391"/>
        <v>532</v>
      </c>
      <c r="E1990" s="4">
        <v>2</v>
      </c>
      <c r="H1990" s="29">
        <v>1001</v>
      </c>
      <c r="I1990" s="30">
        <v>0</v>
      </c>
      <c r="M1990" s="4">
        <f t="shared" ref="M1990:V1990" si="393">M374*$C$1623</f>
        <v>315</v>
      </c>
      <c r="N1990" s="4">
        <f t="shared" si="393"/>
        <v>12</v>
      </c>
      <c r="O1990" s="4">
        <f t="shared" si="393"/>
        <v>3882</v>
      </c>
      <c r="P1990" s="4">
        <f t="shared" si="393"/>
        <v>0</v>
      </c>
      <c r="Q1990" s="4">
        <f t="shared" si="393"/>
        <v>2832</v>
      </c>
      <c r="R1990" s="4">
        <f t="shared" si="393"/>
        <v>3.75</v>
      </c>
      <c r="S1990" s="4">
        <f t="shared" si="393"/>
        <v>18</v>
      </c>
      <c r="T1990" s="4">
        <f t="shared" si="393"/>
        <v>0</v>
      </c>
      <c r="U1990" s="4">
        <f t="shared" si="393"/>
        <v>0</v>
      </c>
      <c r="V1990" s="4">
        <f t="shared" si="393"/>
        <v>0</v>
      </c>
    </row>
    <row r="1991" spans="1:22" x14ac:dyDescent="0.15">
      <c r="D1991" s="4">
        <f t="shared" si="391"/>
        <v>532</v>
      </c>
      <c r="E1991" s="4">
        <v>3</v>
      </c>
      <c r="H1991" s="29">
        <v>1001</v>
      </c>
      <c r="I1991" s="30">
        <v>0</v>
      </c>
      <c r="M1991" s="4">
        <f t="shared" ref="M1991:V1991" si="394">M375*$C$1623</f>
        <v>327</v>
      </c>
      <c r="N1991" s="4">
        <f t="shared" si="394"/>
        <v>15</v>
      </c>
      <c r="O1991" s="4">
        <f t="shared" si="394"/>
        <v>3963</v>
      </c>
      <c r="P1991" s="4">
        <f t="shared" si="394"/>
        <v>0</v>
      </c>
      <c r="Q1991" s="4">
        <f t="shared" si="394"/>
        <v>2841</v>
      </c>
      <c r="R1991" s="4">
        <f t="shared" si="394"/>
        <v>3.75</v>
      </c>
      <c r="S1991" s="4">
        <f t="shared" si="394"/>
        <v>19.5</v>
      </c>
      <c r="T1991" s="4">
        <f t="shared" si="394"/>
        <v>0</v>
      </c>
      <c r="U1991" s="4">
        <f t="shared" si="394"/>
        <v>0</v>
      </c>
      <c r="V1991" s="4">
        <f t="shared" si="394"/>
        <v>0</v>
      </c>
    </row>
    <row r="1992" spans="1:22" x14ac:dyDescent="0.15">
      <c r="D1992" s="4">
        <f t="shared" si="391"/>
        <v>532</v>
      </c>
      <c r="E1992" s="4">
        <v>4</v>
      </c>
      <c r="H1992" s="29">
        <v>1001</v>
      </c>
      <c r="I1992" s="30">
        <v>0</v>
      </c>
      <c r="M1992" s="4">
        <f t="shared" ref="M1992:V1992" si="395">M376*$C$1623</f>
        <v>339</v>
      </c>
      <c r="N1992" s="4">
        <f t="shared" si="395"/>
        <v>18</v>
      </c>
      <c r="O1992" s="4">
        <f t="shared" si="395"/>
        <v>4044</v>
      </c>
      <c r="P1992" s="4">
        <f t="shared" si="395"/>
        <v>0</v>
      </c>
      <c r="Q1992" s="4">
        <f t="shared" si="395"/>
        <v>2850</v>
      </c>
      <c r="R1992" s="4">
        <f t="shared" si="395"/>
        <v>3.75</v>
      </c>
      <c r="S1992" s="4">
        <f t="shared" si="395"/>
        <v>21</v>
      </c>
      <c r="T1992" s="4">
        <f t="shared" si="395"/>
        <v>0</v>
      </c>
      <c r="U1992" s="4">
        <f t="shared" si="395"/>
        <v>0</v>
      </c>
      <c r="V1992" s="4">
        <f t="shared" si="395"/>
        <v>0</v>
      </c>
    </row>
    <row r="1993" spans="1:22" x14ac:dyDescent="0.15">
      <c r="D1993" s="4">
        <f t="shared" si="391"/>
        <v>532</v>
      </c>
      <c r="E1993" s="4">
        <v>5</v>
      </c>
      <c r="H1993" s="29">
        <v>1001</v>
      </c>
      <c r="I1993" s="30">
        <v>0</v>
      </c>
      <c r="M1993" s="4">
        <f t="shared" ref="M1993:V1993" si="396">M377*$C$1623</f>
        <v>351</v>
      </c>
      <c r="N1993" s="4">
        <f t="shared" si="396"/>
        <v>21</v>
      </c>
      <c r="O1993" s="4">
        <f t="shared" si="396"/>
        <v>4125</v>
      </c>
      <c r="P1993" s="4">
        <f t="shared" si="396"/>
        <v>0</v>
      </c>
      <c r="Q1993" s="4">
        <f t="shared" si="396"/>
        <v>2859</v>
      </c>
      <c r="R1993" s="4">
        <f t="shared" si="396"/>
        <v>3.75</v>
      </c>
      <c r="S1993" s="4">
        <f t="shared" si="396"/>
        <v>22.5</v>
      </c>
      <c r="T1993" s="4">
        <f t="shared" si="396"/>
        <v>0</v>
      </c>
      <c r="U1993" s="4">
        <f t="shared" si="396"/>
        <v>0</v>
      </c>
      <c r="V1993" s="4">
        <f t="shared" si="396"/>
        <v>0</v>
      </c>
    </row>
    <row r="1994" spans="1:22" x14ac:dyDescent="0.15">
      <c r="D1994" s="4">
        <f t="shared" si="391"/>
        <v>532</v>
      </c>
      <c r="E1994" s="4">
        <v>6</v>
      </c>
      <c r="H1994" s="29">
        <v>1001</v>
      </c>
      <c r="I1994" s="30">
        <v>0</v>
      </c>
      <c r="M1994" s="4">
        <f t="shared" ref="M1994:V1994" si="397">M378*$C$1623</f>
        <v>363</v>
      </c>
      <c r="N1994" s="4">
        <f t="shared" si="397"/>
        <v>24</v>
      </c>
      <c r="O1994" s="4">
        <f t="shared" si="397"/>
        <v>4206</v>
      </c>
      <c r="P1994" s="4">
        <f t="shared" si="397"/>
        <v>0</v>
      </c>
      <c r="Q1994" s="4">
        <f t="shared" si="397"/>
        <v>2868</v>
      </c>
      <c r="R1994" s="4">
        <f t="shared" si="397"/>
        <v>3.75</v>
      </c>
      <c r="S1994" s="4">
        <f t="shared" si="397"/>
        <v>24</v>
      </c>
      <c r="T1994" s="4">
        <f t="shared" si="397"/>
        <v>0</v>
      </c>
      <c r="U1994" s="4">
        <f t="shared" si="397"/>
        <v>0</v>
      </c>
      <c r="V1994" s="4">
        <f t="shared" si="397"/>
        <v>0</v>
      </c>
    </row>
    <row r="1995" spans="1:22" x14ac:dyDescent="0.15">
      <c r="D1995" s="4">
        <f t="shared" si="391"/>
        <v>532</v>
      </c>
      <c r="E1995" s="4">
        <v>7</v>
      </c>
      <c r="H1995" s="29">
        <v>1001</v>
      </c>
      <c r="I1995" s="30">
        <v>0</v>
      </c>
      <c r="M1995" s="4">
        <f t="shared" ref="M1995:V1995" si="398">M379*$C$1623</f>
        <v>375</v>
      </c>
      <c r="N1995" s="4">
        <f t="shared" si="398"/>
        <v>27</v>
      </c>
      <c r="O1995" s="4">
        <f t="shared" si="398"/>
        <v>4287</v>
      </c>
      <c r="P1995" s="4">
        <f t="shared" si="398"/>
        <v>0</v>
      </c>
      <c r="Q1995" s="4">
        <f t="shared" si="398"/>
        <v>2877</v>
      </c>
      <c r="R1995" s="4">
        <f t="shared" si="398"/>
        <v>3.75</v>
      </c>
      <c r="S1995" s="4">
        <f t="shared" si="398"/>
        <v>25.5</v>
      </c>
      <c r="T1995" s="4">
        <f t="shared" si="398"/>
        <v>0</v>
      </c>
      <c r="U1995" s="4">
        <f t="shared" si="398"/>
        <v>0</v>
      </c>
      <c r="V1995" s="4">
        <f t="shared" si="398"/>
        <v>0</v>
      </c>
    </row>
    <row r="1996" spans="1:22" x14ac:dyDescent="0.15">
      <c r="D1996" s="4">
        <f t="shared" si="391"/>
        <v>532</v>
      </c>
      <c r="E1996" s="4">
        <v>8</v>
      </c>
      <c r="H1996" s="29">
        <v>1001</v>
      </c>
      <c r="I1996" s="30">
        <v>0</v>
      </c>
      <c r="M1996" s="4">
        <f t="shared" ref="M1996:V1996" si="399">M380*$C$1623</f>
        <v>387</v>
      </c>
      <c r="N1996" s="4">
        <f t="shared" si="399"/>
        <v>30</v>
      </c>
      <c r="O1996" s="4">
        <f t="shared" si="399"/>
        <v>4368</v>
      </c>
      <c r="P1996" s="4">
        <f t="shared" si="399"/>
        <v>0</v>
      </c>
      <c r="Q1996" s="4">
        <f t="shared" si="399"/>
        <v>2886</v>
      </c>
      <c r="R1996" s="4">
        <f t="shared" si="399"/>
        <v>3.75</v>
      </c>
      <c r="S1996" s="4">
        <f t="shared" si="399"/>
        <v>27</v>
      </c>
      <c r="T1996" s="4">
        <f t="shared" si="399"/>
        <v>0</v>
      </c>
      <c r="U1996" s="4">
        <f t="shared" si="399"/>
        <v>0</v>
      </c>
      <c r="V1996" s="4">
        <f t="shared" si="399"/>
        <v>0</v>
      </c>
    </row>
    <row r="1997" spans="1:22" x14ac:dyDescent="0.15">
      <c r="D1997" s="4">
        <f t="shared" si="391"/>
        <v>532</v>
      </c>
      <c r="E1997" s="4">
        <v>9</v>
      </c>
      <c r="H1997" s="29">
        <v>1001</v>
      </c>
      <c r="I1997" s="30">
        <v>0</v>
      </c>
      <c r="M1997" s="4">
        <f t="shared" ref="M1997:V1997" si="400">M381*$C$1623</f>
        <v>399</v>
      </c>
      <c r="N1997" s="4">
        <f t="shared" si="400"/>
        <v>33</v>
      </c>
      <c r="O1997" s="4">
        <f t="shared" si="400"/>
        <v>4449</v>
      </c>
      <c r="P1997" s="4">
        <f t="shared" si="400"/>
        <v>0</v>
      </c>
      <c r="Q1997" s="4">
        <f t="shared" si="400"/>
        <v>2895</v>
      </c>
      <c r="R1997" s="4">
        <f t="shared" si="400"/>
        <v>3.75</v>
      </c>
      <c r="S1997" s="4">
        <f t="shared" si="400"/>
        <v>28.5</v>
      </c>
      <c r="T1997" s="4">
        <f t="shared" si="400"/>
        <v>0</v>
      </c>
      <c r="U1997" s="4">
        <f t="shared" si="400"/>
        <v>0</v>
      </c>
      <c r="V1997" s="4">
        <f t="shared" si="400"/>
        <v>0</v>
      </c>
    </row>
    <row r="1998" spans="1:22" x14ac:dyDescent="0.15">
      <c r="D1998" s="4">
        <f t="shared" si="391"/>
        <v>532</v>
      </c>
      <c r="E1998" s="4">
        <v>10</v>
      </c>
      <c r="H1998" s="29">
        <v>1001</v>
      </c>
      <c r="I1998" s="30">
        <v>0</v>
      </c>
      <c r="M1998" s="4">
        <f t="shared" ref="M1998:V1998" si="401">M382*$C$1623</f>
        <v>411</v>
      </c>
      <c r="N1998" s="4">
        <f t="shared" si="401"/>
        <v>36</v>
      </c>
      <c r="O1998" s="4">
        <f t="shared" si="401"/>
        <v>4530</v>
      </c>
      <c r="P1998" s="4">
        <f t="shared" si="401"/>
        <v>0</v>
      </c>
      <c r="Q1998" s="4">
        <f t="shared" si="401"/>
        <v>2904</v>
      </c>
      <c r="R1998" s="4">
        <f t="shared" si="401"/>
        <v>3.75</v>
      </c>
      <c r="S1998" s="4">
        <f t="shared" si="401"/>
        <v>30</v>
      </c>
      <c r="T1998" s="4">
        <f t="shared" si="401"/>
        <v>0</v>
      </c>
      <c r="U1998" s="4">
        <f t="shared" si="401"/>
        <v>0</v>
      </c>
      <c r="V1998" s="4">
        <f t="shared" si="401"/>
        <v>0</v>
      </c>
    </row>
    <row r="1999" spans="1:22" x14ac:dyDescent="0.15">
      <c r="D1999" s="4">
        <f t="shared" si="391"/>
        <v>532</v>
      </c>
      <c r="E1999" s="4">
        <v>11</v>
      </c>
      <c r="H1999" s="29">
        <v>1001</v>
      </c>
      <c r="I1999" s="30">
        <v>0</v>
      </c>
      <c r="M1999" s="4">
        <f t="shared" ref="M1999:V1999" si="402">M383*$C$1623</f>
        <v>423</v>
      </c>
      <c r="N1999" s="4">
        <f t="shared" si="402"/>
        <v>39</v>
      </c>
      <c r="O1999" s="4">
        <f t="shared" si="402"/>
        <v>4611</v>
      </c>
      <c r="P1999" s="4">
        <f t="shared" si="402"/>
        <v>0</v>
      </c>
      <c r="Q1999" s="4">
        <f t="shared" si="402"/>
        <v>2913</v>
      </c>
      <c r="R1999" s="4">
        <f t="shared" si="402"/>
        <v>3.75</v>
      </c>
      <c r="S1999" s="4">
        <f t="shared" si="402"/>
        <v>31.5</v>
      </c>
      <c r="T1999" s="4">
        <f t="shared" si="402"/>
        <v>0</v>
      </c>
      <c r="U1999" s="4">
        <f t="shared" si="402"/>
        <v>0</v>
      </c>
      <c r="V1999" s="4">
        <f t="shared" si="402"/>
        <v>0</v>
      </c>
    </row>
    <row r="2000" spans="1:22" x14ac:dyDescent="0.15">
      <c r="D2000" s="4">
        <f t="shared" si="391"/>
        <v>532</v>
      </c>
      <c r="E2000" s="4">
        <v>12</v>
      </c>
      <c r="H2000" s="29">
        <v>1001</v>
      </c>
      <c r="I2000" s="30">
        <v>0</v>
      </c>
      <c r="M2000" s="4">
        <f t="shared" ref="M2000:V2000" si="403">M384*$C$1623</f>
        <v>435</v>
      </c>
      <c r="N2000" s="4">
        <f t="shared" si="403"/>
        <v>42</v>
      </c>
      <c r="O2000" s="4">
        <f t="shared" si="403"/>
        <v>4692</v>
      </c>
      <c r="P2000" s="4">
        <f t="shared" si="403"/>
        <v>0</v>
      </c>
      <c r="Q2000" s="4">
        <f t="shared" si="403"/>
        <v>2922</v>
      </c>
      <c r="R2000" s="4">
        <f t="shared" si="403"/>
        <v>3.75</v>
      </c>
      <c r="S2000" s="4">
        <f t="shared" si="403"/>
        <v>33</v>
      </c>
      <c r="T2000" s="4">
        <f t="shared" si="403"/>
        <v>0</v>
      </c>
      <c r="U2000" s="4">
        <f t="shared" si="403"/>
        <v>0</v>
      </c>
      <c r="V2000" s="4">
        <f t="shared" si="403"/>
        <v>0</v>
      </c>
    </row>
    <row r="2001" spans="4:22" x14ac:dyDescent="0.15">
      <c r="D2001" s="4">
        <f t="shared" si="391"/>
        <v>532</v>
      </c>
      <c r="E2001" s="4">
        <v>13</v>
      </c>
      <c r="H2001" s="29">
        <v>1001</v>
      </c>
      <c r="I2001" s="30">
        <v>0</v>
      </c>
      <c r="M2001" s="4">
        <f t="shared" ref="M2001:V2001" si="404">M385*$C$1623</f>
        <v>447</v>
      </c>
      <c r="N2001" s="4">
        <f t="shared" si="404"/>
        <v>45</v>
      </c>
      <c r="O2001" s="4">
        <f t="shared" si="404"/>
        <v>4773</v>
      </c>
      <c r="P2001" s="4">
        <f t="shared" si="404"/>
        <v>0</v>
      </c>
      <c r="Q2001" s="4">
        <f t="shared" si="404"/>
        <v>2931</v>
      </c>
      <c r="R2001" s="4">
        <f t="shared" si="404"/>
        <v>3.75</v>
      </c>
      <c r="S2001" s="4">
        <f t="shared" si="404"/>
        <v>34.5</v>
      </c>
      <c r="T2001" s="4">
        <f t="shared" si="404"/>
        <v>0</v>
      </c>
      <c r="U2001" s="4">
        <f t="shared" si="404"/>
        <v>0</v>
      </c>
      <c r="V2001" s="4">
        <f t="shared" si="404"/>
        <v>0</v>
      </c>
    </row>
    <row r="2002" spans="4:22" x14ac:dyDescent="0.15">
      <c r="D2002" s="4">
        <f t="shared" si="391"/>
        <v>532</v>
      </c>
      <c r="E2002" s="4">
        <v>14</v>
      </c>
      <c r="H2002" s="29">
        <v>1001</v>
      </c>
      <c r="I2002" s="30">
        <v>0</v>
      </c>
      <c r="M2002" s="4">
        <f t="shared" ref="M2002:V2002" si="405">M386*$C$1623</f>
        <v>459</v>
      </c>
      <c r="N2002" s="4">
        <f t="shared" si="405"/>
        <v>48</v>
      </c>
      <c r="O2002" s="4">
        <f t="shared" si="405"/>
        <v>4854</v>
      </c>
      <c r="P2002" s="4">
        <f t="shared" si="405"/>
        <v>0</v>
      </c>
      <c r="Q2002" s="4">
        <f t="shared" si="405"/>
        <v>2940</v>
      </c>
      <c r="R2002" s="4">
        <f t="shared" si="405"/>
        <v>3.75</v>
      </c>
      <c r="S2002" s="4">
        <f t="shared" si="405"/>
        <v>36</v>
      </c>
      <c r="T2002" s="4">
        <f t="shared" si="405"/>
        <v>0</v>
      </c>
      <c r="U2002" s="4">
        <f t="shared" si="405"/>
        <v>0</v>
      </c>
      <c r="V2002" s="4">
        <f t="shared" si="405"/>
        <v>0</v>
      </c>
    </row>
    <row r="2003" spans="4:22" x14ac:dyDescent="0.15">
      <c r="D2003" s="4">
        <f t="shared" si="391"/>
        <v>532</v>
      </c>
      <c r="E2003" s="4">
        <v>15</v>
      </c>
      <c r="H2003" s="29">
        <v>1001</v>
      </c>
      <c r="I2003" s="30">
        <v>0</v>
      </c>
      <c r="M2003" s="4">
        <f t="shared" ref="M2003:V2003" si="406">M387*$C$1623</f>
        <v>471</v>
      </c>
      <c r="N2003" s="4">
        <f t="shared" si="406"/>
        <v>51</v>
      </c>
      <c r="O2003" s="4">
        <f t="shared" si="406"/>
        <v>4935</v>
      </c>
      <c r="P2003" s="4">
        <f t="shared" si="406"/>
        <v>0</v>
      </c>
      <c r="Q2003" s="4">
        <f t="shared" si="406"/>
        <v>2949</v>
      </c>
      <c r="R2003" s="4">
        <f t="shared" si="406"/>
        <v>3.75</v>
      </c>
      <c r="S2003" s="4">
        <f t="shared" si="406"/>
        <v>37.5</v>
      </c>
      <c r="T2003" s="4">
        <f t="shared" si="406"/>
        <v>0</v>
      </c>
      <c r="U2003" s="4">
        <f t="shared" si="406"/>
        <v>0</v>
      </c>
      <c r="V2003" s="4">
        <f t="shared" si="406"/>
        <v>0</v>
      </c>
    </row>
    <row r="2004" spans="4:22" x14ac:dyDescent="0.15">
      <c r="D2004" s="4">
        <f t="shared" si="391"/>
        <v>532</v>
      </c>
      <c r="E2004" s="4">
        <v>16</v>
      </c>
      <c r="H2004" s="29">
        <v>1001</v>
      </c>
      <c r="I2004" s="30">
        <v>0</v>
      </c>
      <c r="M2004" s="4">
        <f t="shared" ref="M2004:V2004" si="407">M388*$C$1623</f>
        <v>483</v>
      </c>
      <c r="N2004" s="4">
        <f t="shared" si="407"/>
        <v>54</v>
      </c>
      <c r="O2004" s="4">
        <f t="shared" si="407"/>
        <v>5016</v>
      </c>
      <c r="P2004" s="4">
        <f t="shared" si="407"/>
        <v>0</v>
      </c>
      <c r="Q2004" s="4">
        <f t="shared" si="407"/>
        <v>2958</v>
      </c>
      <c r="R2004" s="4">
        <f t="shared" si="407"/>
        <v>3.75</v>
      </c>
      <c r="S2004" s="4">
        <f t="shared" si="407"/>
        <v>39</v>
      </c>
      <c r="T2004" s="4">
        <f t="shared" si="407"/>
        <v>0</v>
      </c>
      <c r="U2004" s="4">
        <f t="shared" si="407"/>
        <v>0</v>
      </c>
      <c r="V2004" s="4">
        <f t="shared" si="407"/>
        <v>0</v>
      </c>
    </row>
    <row r="2005" spans="4:22" x14ac:dyDescent="0.15">
      <c r="D2005" s="4">
        <f t="shared" si="391"/>
        <v>532</v>
      </c>
      <c r="E2005" s="4">
        <v>17</v>
      </c>
      <c r="H2005" s="29">
        <v>1001</v>
      </c>
      <c r="I2005" s="30">
        <v>0</v>
      </c>
      <c r="M2005" s="4">
        <f t="shared" ref="M2005:V2005" si="408">M389*$C$1623</f>
        <v>495</v>
      </c>
      <c r="N2005" s="4">
        <f t="shared" si="408"/>
        <v>57</v>
      </c>
      <c r="O2005" s="4">
        <f t="shared" si="408"/>
        <v>5097</v>
      </c>
      <c r="P2005" s="4">
        <f t="shared" si="408"/>
        <v>0</v>
      </c>
      <c r="Q2005" s="4">
        <f t="shared" si="408"/>
        <v>2967</v>
      </c>
      <c r="R2005" s="4">
        <f t="shared" si="408"/>
        <v>3.75</v>
      </c>
      <c r="S2005" s="4">
        <f t="shared" si="408"/>
        <v>40.5</v>
      </c>
      <c r="T2005" s="4">
        <f t="shared" si="408"/>
        <v>0</v>
      </c>
      <c r="U2005" s="4">
        <f t="shared" si="408"/>
        <v>0</v>
      </c>
      <c r="V2005" s="4">
        <f t="shared" si="408"/>
        <v>0</v>
      </c>
    </row>
    <row r="2006" spans="4:22" x14ac:dyDescent="0.15">
      <c r="D2006" s="4">
        <f t="shared" si="391"/>
        <v>532</v>
      </c>
      <c r="E2006" s="4">
        <v>18</v>
      </c>
      <c r="H2006" s="29">
        <v>1001</v>
      </c>
      <c r="I2006" s="30">
        <v>0</v>
      </c>
      <c r="M2006" s="4">
        <f t="shared" ref="M2006:V2006" si="409">M390*$C$1623</f>
        <v>507</v>
      </c>
      <c r="N2006" s="4">
        <f t="shared" si="409"/>
        <v>60</v>
      </c>
      <c r="O2006" s="4">
        <f t="shared" si="409"/>
        <v>5178</v>
      </c>
      <c r="P2006" s="4">
        <f t="shared" si="409"/>
        <v>0</v>
      </c>
      <c r="Q2006" s="4">
        <f t="shared" si="409"/>
        <v>2976</v>
      </c>
      <c r="R2006" s="4">
        <f t="shared" si="409"/>
        <v>3.75</v>
      </c>
      <c r="S2006" s="4">
        <f t="shared" si="409"/>
        <v>42</v>
      </c>
      <c r="T2006" s="4">
        <f t="shared" si="409"/>
        <v>0</v>
      </c>
      <c r="U2006" s="4">
        <f t="shared" si="409"/>
        <v>0</v>
      </c>
      <c r="V2006" s="4">
        <f t="shared" si="409"/>
        <v>0</v>
      </c>
    </row>
    <row r="2007" spans="4:22" x14ac:dyDescent="0.15">
      <c r="D2007" s="4">
        <f t="shared" si="391"/>
        <v>532</v>
      </c>
      <c r="E2007" s="4">
        <v>19</v>
      </c>
      <c r="H2007" s="29">
        <v>1001</v>
      </c>
      <c r="I2007" s="30">
        <v>0</v>
      </c>
      <c r="M2007" s="4">
        <f t="shared" ref="M2007:V2007" si="410">M391*$C$1623</f>
        <v>519</v>
      </c>
      <c r="N2007" s="4">
        <f t="shared" si="410"/>
        <v>63</v>
      </c>
      <c r="O2007" s="4">
        <f t="shared" si="410"/>
        <v>5259</v>
      </c>
      <c r="P2007" s="4">
        <f t="shared" si="410"/>
        <v>0</v>
      </c>
      <c r="Q2007" s="4">
        <f t="shared" si="410"/>
        <v>2985</v>
      </c>
      <c r="R2007" s="4">
        <f t="shared" si="410"/>
        <v>3.75</v>
      </c>
      <c r="S2007" s="4">
        <f t="shared" si="410"/>
        <v>43.5</v>
      </c>
      <c r="T2007" s="4">
        <f t="shared" si="410"/>
        <v>0</v>
      </c>
      <c r="U2007" s="4">
        <f t="shared" si="410"/>
        <v>0</v>
      </c>
      <c r="V2007" s="4">
        <f t="shared" si="410"/>
        <v>0</v>
      </c>
    </row>
    <row r="2008" spans="4:22" x14ac:dyDescent="0.15">
      <c r="D2008" s="4">
        <f t="shared" si="391"/>
        <v>532</v>
      </c>
      <c r="E2008" s="4">
        <v>20</v>
      </c>
      <c r="H2008" s="29">
        <v>1001</v>
      </c>
      <c r="I2008" s="30">
        <v>0</v>
      </c>
      <c r="M2008" s="4">
        <f t="shared" ref="M2008:V2008" si="411">M392*$C$1623</f>
        <v>531</v>
      </c>
      <c r="N2008" s="4">
        <f t="shared" si="411"/>
        <v>66</v>
      </c>
      <c r="O2008" s="4">
        <f t="shared" si="411"/>
        <v>5340</v>
      </c>
      <c r="P2008" s="4">
        <f t="shared" si="411"/>
        <v>0</v>
      </c>
      <c r="Q2008" s="4">
        <f t="shared" si="411"/>
        <v>2994</v>
      </c>
      <c r="R2008" s="4">
        <f t="shared" si="411"/>
        <v>3.75</v>
      </c>
      <c r="S2008" s="4">
        <f t="shared" si="411"/>
        <v>45</v>
      </c>
      <c r="T2008" s="4">
        <f t="shared" si="411"/>
        <v>0</v>
      </c>
      <c r="U2008" s="4">
        <f t="shared" si="411"/>
        <v>0</v>
      </c>
      <c r="V2008" s="4">
        <f t="shared" si="411"/>
        <v>0</v>
      </c>
    </row>
    <row r="2009" spans="4:22" x14ac:dyDescent="0.15">
      <c r="D2009" s="4">
        <f t="shared" si="391"/>
        <v>532</v>
      </c>
      <c r="E2009" s="4">
        <v>21</v>
      </c>
      <c r="H2009" s="29">
        <v>1001</v>
      </c>
      <c r="I2009" s="30">
        <v>0</v>
      </c>
      <c r="M2009" s="4">
        <f t="shared" ref="M2009:V2009" si="412">M393*$C$1623</f>
        <v>543</v>
      </c>
      <c r="N2009" s="4">
        <f t="shared" si="412"/>
        <v>69</v>
      </c>
      <c r="O2009" s="4">
        <f t="shared" si="412"/>
        <v>5421</v>
      </c>
      <c r="P2009" s="4">
        <f t="shared" si="412"/>
        <v>0</v>
      </c>
      <c r="Q2009" s="4">
        <f t="shared" si="412"/>
        <v>3003</v>
      </c>
      <c r="R2009" s="4">
        <f t="shared" si="412"/>
        <v>3.75</v>
      </c>
      <c r="S2009" s="4">
        <f t="shared" si="412"/>
        <v>46.5</v>
      </c>
      <c r="T2009" s="4">
        <f t="shared" si="412"/>
        <v>0</v>
      </c>
      <c r="U2009" s="4">
        <f t="shared" si="412"/>
        <v>0</v>
      </c>
      <c r="V2009" s="4">
        <f t="shared" si="412"/>
        <v>0</v>
      </c>
    </row>
    <row r="2010" spans="4:22" x14ac:dyDescent="0.15">
      <c r="D2010" s="4">
        <f t="shared" si="391"/>
        <v>532</v>
      </c>
      <c r="E2010" s="4">
        <v>22</v>
      </c>
      <c r="H2010" s="29">
        <v>1001</v>
      </c>
      <c r="I2010" s="30">
        <v>0</v>
      </c>
      <c r="M2010" s="4">
        <f t="shared" ref="M2010:V2010" si="413">M394*$C$1623</f>
        <v>555</v>
      </c>
      <c r="N2010" s="4">
        <f t="shared" si="413"/>
        <v>72</v>
      </c>
      <c r="O2010" s="4">
        <f t="shared" si="413"/>
        <v>5502</v>
      </c>
      <c r="P2010" s="4">
        <f t="shared" si="413"/>
        <v>0</v>
      </c>
      <c r="Q2010" s="4">
        <f t="shared" si="413"/>
        <v>3012</v>
      </c>
      <c r="R2010" s="4">
        <f t="shared" si="413"/>
        <v>3.75</v>
      </c>
      <c r="S2010" s="4">
        <f t="shared" si="413"/>
        <v>48</v>
      </c>
      <c r="T2010" s="4">
        <f t="shared" si="413"/>
        <v>0</v>
      </c>
      <c r="U2010" s="4">
        <f t="shared" si="413"/>
        <v>0</v>
      </c>
      <c r="V2010" s="4">
        <f t="shared" si="413"/>
        <v>0</v>
      </c>
    </row>
    <row r="2011" spans="4:22" x14ac:dyDescent="0.15">
      <c r="D2011" s="4">
        <f t="shared" si="391"/>
        <v>532</v>
      </c>
      <c r="E2011" s="4">
        <v>23</v>
      </c>
      <c r="H2011" s="29">
        <v>1001</v>
      </c>
      <c r="I2011" s="30">
        <v>0</v>
      </c>
      <c r="M2011" s="4">
        <f t="shared" ref="M2011:V2011" si="414">M395*$C$1623</f>
        <v>567</v>
      </c>
      <c r="N2011" s="4">
        <f t="shared" si="414"/>
        <v>75</v>
      </c>
      <c r="O2011" s="4">
        <f t="shared" si="414"/>
        <v>5583</v>
      </c>
      <c r="P2011" s="4">
        <f t="shared" si="414"/>
        <v>0</v>
      </c>
      <c r="Q2011" s="4">
        <f t="shared" si="414"/>
        <v>3021</v>
      </c>
      <c r="R2011" s="4">
        <f t="shared" si="414"/>
        <v>3.75</v>
      </c>
      <c r="S2011" s="4">
        <f t="shared" si="414"/>
        <v>49.5</v>
      </c>
      <c r="T2011" s="4">
        <f t="shared" si="414"/>
        <v>0</v>
      </c>
      <c r="U2011" s="4">
        <f t="shared" si="414"/>
        <v>0</v>
      </c>
      <c r="V2011" s="4">
        <f t="shared" si="414"/>
        <v>0</v>
      </c>
    </row>
    <row r="2012" spans="4:22" x14ac:dyDescent="0.15">
      <c r="D2012" s="4">
        <f t="shared" si="391"/>
        <v>532</v>
      </c>
      <c r="E2012" s="4">
        <v>24</v>
      </c>
      <c r="H2012" s="29">
        <v>1001</v>
      </c>
      <c r="I2012" s="30">
        <v>0</v>
      </c>
      <c r="M2012" s="4">
        <f t="shared" ref="M2012:V2012" si="415">M396*$C$1623</f>
        <v>579</v>
      </c>
      <c r="N2012" s="4">
        <f t="shared" si="415"/>
        <v>78</v>
      </c>
      <c r="O2012" s="4">
        <f t="shared" si="415"/>
        <v>5664</v>
      </c>
      <c r="P2012" s="4">
        <f t="shared" si="415"/>
        <v>0</v>
      </c>
      <c r="Q2012" s="4">
        <f t="shared" si="415"/>
        <v>3030</v>
      </c>
      <c r="R2012" s="4">
        <f t="shared" si="415"/>
        <v>3.75</v>
      </c>
      <c r="S2012" s="4">
        <f t="shared" si="415"/>
        <v>51</v>
      </c>
      <c r="T2012" s="4">
        <f t="shared" si="415"/>
        <v>0</v>
      </c>
      <c r="U2012" s="4">
        <f t="shared" si="415"/>
        <v>0</v>
      </c>
      <c r="V2012" s="4">
        <f t="shared" si="415"/>
        <v>0</v>
      </c>
    </row>
    <row r="2013" spans="4:22" x14ac:dyDescent="0.15">
      <c r="D2013" s="4">
        <f t="shared" si="391"/>
        <v>532</v>
      </c>
      <c r="E2013" s="4">
        <v>25</v>
      </c>
      <c r="H2013" s="29">
        <v>1001</v>
      </c>
      <c r="I2013" s="30">
        <v>0</v>
      </c>
      <c r="M2013" s="4">
        <f t="shared" ref="M2013:V2013" si="416">M397*$C$1623</f>
        <v>591</v>
      </c>
      <c r="N2013" s="4">
        <f t="shared" si="416"/>
        <v>81</v>
      </c>
      <c r="O2013" s="4">
        <f t="shared" si="416"/>
        <v>5745</v>
      </c>
      <c r="P2013" s="4">
        <f t="shared" si="416"/>
        <v>0</v>
      </c>
      <c r="Q2013" s="4">
        <f t="shared" si="416"/>
        <v>3039</v>
      </c>
      <c r="R2013" s="4">
        <f t="shared" si="416"/>
        <v>3.75</v>
      </c>
      <c r="S2013" s="4">
        <f t="shared" si="416"/>
        <v>52.5</v>
      </c>
      <c r="T2013" s="4">
        <f t="shared" si="416"/>
        <v>0</v>
      </c>
      <c r="U2013" s="4">
        <f t="shared" si="416"/>
        <v>0</v>
      </c>
      <c r="V2013" s="4">
        <f t="shared" si="416"/>
        <v>0</v>
      </c>
    </row>
    <row r="2014" spans="4:22" x14ac:dyDescent="0.15">
      <c r="D2014" s="4">
        <f t="shared" si="391"/>
        <v>532</v>
      </c>
      <c r="E2014" s="4">
        <v>26</v>
      </c>
      <c r="H2014" s="29">
        <v>1001</v>
      </c>
      <c r="I2014" s="30">
        <v>0</v>
      </c>
      <c r="M2014" s="4">
        <f t="shared" ref="M2014:V2014" si="417">M398*$C$1623</f>
        <v>603</v>
      </c>
      <c r="N2014" s="4">
        <f t="shared" si="417"/>
        <v>84</v>
      </c>
      <c r="O2014" s="4">
        <f t="shared" si="417"/>
        <v>5826</v>
      </c>
      <c r="P2014" s="4">
        <f t="shared" si="417"/>
        <v>0</v>
      </c>
      <c r="Q2014" s="4">
        <f t="shared" si="417"/>
        <v>3048</v>
      </c>
      <c r="R2014" s="4">
        <f t="shared" si="417"/>
        <v>3.75</v>
      </c>
      <c r="S2014" s="4">
        <f t="shared" si="417"/>
        <v>54</v>
      </c>
      <c r="T2014" s="4">
        <f t="shared" si="417"/>
        <v>0</v>
      </c>
      <c r="U2014" s="4">
        <f t="shared" si="417"/>
        <v>0</v>
      </c>
      <c r="V2014" s="4">
        <f t="shared" si="417"/>
        <v>0</v>
      </c>
    </row>
    <row r="2015" spans="4:22" x14ac:dyDescent="0.15">
      <c r="D2015" s="4">
        <f t="shared" si="391"/>
        <v>532</v>
      </c>
      <c r="E2015" s="4">
        <v>27</v>
      </c>
      <c r="H2015" s="29">
        <v>1001</v>
      </c>
      <c r="I2015" s="30">
        <v>0</v>
      </c>
      <c r="M2015" s="4">
        <f t="shared" ref="M2015:V2015" si="418">M399*$C$1623</f>
        <v>615</v>
      </c>
      <c r="N2015" s="4">
        <f t="shared" si="418"/>
        <v>87</v>
      </c>
      <c r="O2015" s="4">
        <f t="shared" si="418"/>
        <v>5907</v>
      </c>
      <c r="P2015" s="4">
        <f t="shared" si="418"/>
        <v>0</v>
      </c>
      <c r="Q2015" s="4">
        <f t="shared" si="418"/>
        <v>3057</v>
      </c>
      <c r="R2015" s="4">
        <f t="shared" si="418"/>
        <v>3.75</v>
      </c>
      <c r="S2015" s="4">
        <f t="shared" si="418"/>
        <v>55.5</v>
      </c>
      <c r="T2015" s="4">
        <f t="shared" si="418"/>
        <v>0</v>
      </c>
      <c r="U2015" s="4">
        <f t="shared" si="418"/>
        <v>0</v>
      </c>
      <c r="V2015" s="4">
        <f t="shared" si="418"/>
        <v>0</v>
      </c>
    </row>
    <row r="2016" spans="4:22" x14ac:dyDescent="0.15">
      <c r="D2016" s="4">
        <f t="shared" si="391"/>
        <v>532</v>
      </c>
      <c r="E2016" s="4">
        <v>28</v>
      </c>
      <c r="H2016" s="29">
        <v>1001</v>
      </c>
      <c r="I2016" s="30">
        <v>0</v>
      </c>
      <c r="M2016" s="4">
        <f t="shared" ref="M2016:V2016" si="419">M400*$C$1623</f>
        <v>627</v>
      </c>
      <c r="N2016" s="4">
        <f t="shared" si="419"/>
        <v>90</v>
      </c>
      <c r="O2016" s="4">
        <f t="shared" si="419"/>
        <v>5988</v>
      </c>
      <c r="P2016" s="4">
        <f t="shared" si="419"/>
        <v>0</v>
      </c>
      <c r="Q2016" s="4">
        <f t="shared" si="419"/>
        <v>3066</v>
      </c>
      <c r="R2016" s="4">
        <f t="shared" si="419"/>
        <v>3.75</v>
      </c>
      <c r="S2016" s="4">
        <f t="shared" si="419"/>
        <v>57</v>
      </c>
      <c r="T2016" s="4">
        <f t="shared" si="419"/>
        <v>0</v>
      </c>
      <c r="U2016" s="4">
        <f t="shared" si="419"/>
        <v>0</v>
      </c>
      <c r="V2016" s="4">
        <f t="shared" si="419"/>
        <v>0</v>
      </c>
    </row>
    <row r="2017" spans="4:22" x14ac:dyDescent="0.15">
      <c r="D2017" s="4">
        <f t="shared" si="391"/>
        <v>532</v>
      </c>
      <c r="E2017" s="4">
        <v>29</v>
      </c>
      <c r="H2017" s="29">
        <v>1001</v>
      </c>
      <c r="I2017" s="30">
        <v>0</v>
      </c>
      <c r="M2017" s="4">
        <f t="shared" ref="M2017:V2017" si="420">M401*$C$1623</f>
        <v>639</v>
      </c>
      <c r="N2017" s="4">
        <f t="shared" si="420"/>
        <v>93</v>
      </c>
      <c r="O2017" s="4">
        <f t="shared" si="420"/>
        <v>6069</v>
      </c>
      <c r="P2017" s="4">
        <f t="shared" si="420"/>
        <v>0</v>
      </c>
      <c r="Q2017" s="4">
        <f t="shared" si="420"/>
        <v>3075</v>
      </c>
      <c r="R2017" s="4">
        <f t="shared" si="420"/>
        <v>3.75</v>
      </c>
      <c r="S2017" s="4">
        <f t="shared" si="420"/>
        <v>58.5</v>
      </c>
      <c r="T2017" s="4">
        <f t="shared" si="420"/>
        <v>0</v>
      </c>
      <c r="U2017" s="4">
        <f t="shared" si="420"/>
        <v>0</v>
      </c>
      <c r="V2017" s="4">
        <f t="shared" si="420"/>
        <v>0</v>
      </c>
    </row>
    <row r="2018" spans="4:22" x14ac:dyDescent="0.15">
      <c r="D2018" s="4">
        <f t="shared" si="391"/>
        <v>532</v>
      </c>
      <c r="E2018" s="4">
        <v>30</v>
      </c>
      <c r="H2018" s="29">
        <v>1001</v>
      </c>
      <c r="I2018" s="30">
        <v>0</v>
      </c>
      <c r="M2018" s="4">
        <f t="shared" ref="M2018:V2018" si="421">M402*$C$1623</f>
        <v>651</v>
      </c>
      <c r="N2018" s="4">
        <f t="shared" si="421"/>
        <v>96</v>
      </c>
      <c r="O2018" s="4">
        <f t="shared" si="421"/>
        <v>6150</v>
      </c>
      <c r="P2018" s="4">
        <f t="shared" si="421"/>
        <v>0</v>
      </c>
      <c r="Q2018" s="4">
        <f t="shared" si="421"/>
        <v>3084</v>
      </c>
      <c r="R2018" s="4">
        <f t="shared" si="421"/>
        <v>3.75</v>
      </c>
      <c r="S2018" s="4">
        <f t="shared" si="421"/>
        <v>60</v>
      </c>
      <c r="T2018" s="4">
        <f t="shared" si="421"/>
        <v>0</v>
      </c>
      <c r="U2018" s="4">
        <f t="shared" si="421"/>
        <v>0</v>
      </c>
      <c r="V2018" s="4">
        <f t="shared" si="421"/>
        <v>0</v>
      </c>
    </row>
    <row r="2019" spans="4:22" x14ac:dyDescent="0.15">
      <c r="D2019" s="4">
        <f t="shared" si="391"/>
        <v>532</v>
      </c>
      <c r="E2019" s="4">
        <v>31</v>
      </c>
      <c r="H2019" s="29">
        <v>1001</v>
      </c>
      <c r="I2019" s="30">
        <v>0</v>
      </c>
      <c r="M2019" s="4">
        <f t="shared" ref="M2019:V2019" si="422">M403*$C$1623</f>
        <v>663</v>
      </c>
      <c r="N2019" s="4">
        <f t="shared" si="422"/>
        <v>99</v>
      </c>
      <c r="O2019" s="4">
        <f t="shared" si="422"/>
        <v>6231</v>
      </c>
      <c r="P2019" s="4">
        <f t="shared" si="422"/>
        <v>0</v>
      </c>
      <c r="Q2019" s="4">
        <f t="shared" si="422"/>
        <v>3093</v>
      </c>
      <c r="R2019" s="4">
        <f t="shared" si="422"/>
        <v>3.75</v>
      </c>
      <c r="S2019" s="4">
        <f t="shared" si="422"/>
        <v>61.5</v>
      </c>
      <c r="T2019" s="4">
        <f t="shared" si="422"/>
        <v>0</v>
      </c>
      <c r="U2019" s="4">
        <f t="shared" si="422"/>
        <v>0</v>
      </c>
      <c r="V2019" s="4">
        <f t="shared" si="422"/>
        <v>0</v>
      </c>
    </row>
    <row r="2020" spans="4:22" x14ac:dyDescent="0.15">
      <c r="D2020" s="4">
        <f t="shared" si="391"/>
        <v>532</v>
      </c>
      <c r="E2020" s="4">
        <v>32</v>
      </c>
      <c r="H2020" s="29">
        <v>1001</v>
      </c>
      <c r="I2020" s="30">
        <v>0</v>
      </c>
      <c r="M2020" s="4">
        <f t="shared" ref="M2020:V2020" si="423">M404*$C$1623</f>
        <v>675</v>
      </c>
      <c r="N2020" s="4">
        <f t="shared" si="423"/>
        <v>102</v>
      </c>
      <c r="O2020" s="4">
        <f t="shared" si="423"/>
        <v>6312</v>
      </c>
      <c r="P2020" s="4">
        <f t="shared" si="423"/>
        <v>0</v>
      </c>
      <c r="Q2020" s="4">
        <f t="shared" si="423"/>
        <v>3102</v>
      </c>
      <c r="R2020" s="4">
        <f t="shared" si="423"/>
        <v>3.75</v>
      </c>
      <c r="S2020" s="4">
        <f t="shared" si="423"/>
        <v>63</v>
      </c>
      <c r="T2020" s="4">
        <f t="shared" si="423"/>
        <v>0</v>
      </c>
      <c r="U2020" s="4">
        <f t="shared" si="423"/>
        <v>0</v>
      </c>
      <c r="V2020" s="4">
        <f t="shared" si="423"/>
        <v>0</v>
      </c>
    </row>
    <row r="2021" spans="4:22" x14ac:dyDescent="0.15">
      <c r="D2021" s="4">
        <f t="shared" si="391"/>
        <v>532</v>
      </c>
      <c r="E2021" s="4">
        <v>33</v>
      </c>
      <c r="H2021" s="29">
        <v>1001</v>
      </c>
      <c r="I2021" s="30">
        <v>0</v>
      </c>
      <c r="M2021" s="4">
        <f t="shared" ref="M2021:V2021" si="424">M405*$C$1623</f>
        <v>687</v>
      </c>
      <c r="N2021" s="4">
        <f t="shared" si="424"/>
        <v>105</v>
      </c>
      <c r="O2021" s="4">
        <f t="shared" si="424"/>
        <v>6393</v>
      </c>
      <c r="P2021" s="4">
        <f t="shared" si="424"/>
        <v>0</v>
      </c>
      <c r="Q2021" s="4">
        <f t="shared" si="424"/>
        <v>3111</v>
      </c>
      <c r="R2021" s="4">
        <f t="shared" si="424"/>
        <v>3.75</v>
      </c>
      <c r="S2021" s="4">
        <f t="shared" si="424"/>
        <v>64.5</v>
      </c>
      <c r="T2021" s="4">
        <f t="shared" si="424"/>
        <v>0</v>
      </c>
      <c r="U2021" s="4">
        <f t="shared" si="424"/>
        <v>0</v>
      </c>
      <c r="V2021" s="4">
        <f t="shared" si="424"/>
        <v>0</v>
      </c>
    </row>
    <row r="2022" spans="4:22" x14ac:dyDescent="0.15">
      <c r="D2022" s="4">
        <f t="shared" si="391"/>
        <v>532</v>
      </c>
      <c r="E2022" s="4">
        <v>34</v>
      </c>
      <c r="H2022" s="29">
        <v>1001</v>
      </c>
      <c r="I2022" s="30">
        <v>0</v>
      </c>
      <c r="M2022" s="4">
        <f t="shared" ref="M2022:V2022" si="425">M406*$C$1623</f>
        <v>699</v>
      </c>
      <c r="N2022" s="4">
        <f t="shared" si="425"/>
        <v>108</v>
      </c>
      <c r="O2022" s="4">
        <f t="shared" si="425"/>
        <v>6474</v>
      </c>
      <c r="P2022" s="4">
        <f t="shared" si="425"/>
        <v>0</v>
      </c>
      <c r="Q2022" s="4">
        <f t="shared" si="425"/>
        <v>3120</v>
      </c>
      <c r="R2022" s="4">
        <f t="shared" si="425"/>
        <v>3.75</v>
      </c>
      <c r="S2022" s="4">
        <f t="shared" si="425"/>
        <v>66</v>
      </c>
      <c r="T2022" s="4">
        <f t="shared" si="425"/>
        <v>0</v>
      </c>
      <c r="U2022" s="4">
        <f t="shared" si="425"/>
        <v>0</v>
      </c>
      <c r="V2022" s="4">
        <f t="shared" si="425"/>
        <v>0</v>
      </c>
    </row>
    <row r="2023" spans="4:22" x14ac:dyDescent="0.15">
      <c r="D2023" s="4">
        <f t="shared" si="391"/>
        <v>532</v>
      </c>
      <c r="E2023" s="4">
        <v>35</v>
      </c>
      <c r="H2023" s="29">
        <v>1001</v>
      </c>
      <c r="I2023" s="30">
        <v>0</v>
      </c>
      <c r="M2023" s="4">
        <f t="shared" ref="M2023:V2023" si="426">M407*$C$1623</f>
        <v>711</v>
      </c>
      <c r="N2023" s="4">
        <f t="shared" si="426"/>
        <v>111</v>
      </c>
      <c r="O2023" s="4">
        <f t="shared" si="426"/>
        <v>6555</v>
      </c>
      <c r="P2023" s="4">
        <f t="shared" si="426"/>
        <v>0</v>
      </c>
      <c r="Q2023" s="4">
        <f t="shared" si="426"/>
        <v>3129</v>
      </c>
      <c r="R2023" s="4">
        <f t="shared" si="426"/>
        <v>3.75</v>
      </c>
      <c r="S2023" s="4">
        <f t="shared" si="426"/>
        <v>67.5</v>
      </c>
      <c r="T2023" s="4">
        <f t="shared" si="426"/>
        <v>0</v>
      </c>
      <c r="U2023" s="4">
        <f t="shared" si="426"/>
        <v>0</v>
      </c>
      <c r="V2023" s="4">
        <f t="shared" si="426"/>
        <v>0</v>
      </c>
    </row>
    <row r="2024" spans="4:22" x14ac:dyDescent="0.15">
      <c r="D2024" s="4">
        <f t="shared" si="391"/>
        <v>532</v>
      </c>
      <c r="E2024" s="4">
        <v>36</v>
      </c>
      <c r="H2024" s="29">
        <v>1001</v>
      </c>
      <c r="I2024" s="30">
        <v>0</v>
      </c>
      <c r="M2024" s="4">
        <f t="shared" ref="M2024:V2024" si="427">M408*$C$1623</f>
        <v>723</v>
      </c>
      <c r="N2024" s="4">
        <f t="shared" si="427"/>
        <v>114</v>
      </c>
      <c r="O2024" s="4">
        <f t="shared" si="427"/>
        <v>6636</v>
      </c>
      <c r="P2024" s="4">
        <f t="shared" si="427"/>
        <v>0</v>
      </c>
      <c r="Q2024" s="4">
        <f t="shared" si="427"/>
        <v>3138</v>
      </c>
      <c r="R2024" s="4">
        <f t="shared" si="427"/>
        <v>3.75</v>
      </c>
      <c r="S2024" s="4">
        <f t="shared" si="427"/>
        <v>69</v>
      </c>
      <c r="T2024" s="4">
        <f t="shared" si="427"/>
        <v>0</v>
      </c>
      <c r="U2024" s="4">
        <f t="shared" si="427"/>
        <v>0</v>
      </c>
      <c r="V2024" s="4">
        <f t="shared" si="427"/>
        <v>0</v>
      </c>
    </row>
    <row r="2025" spans="4:22" x14ac:dyDescent="0.15">
      <c r="D2025" s="4">
        <f t="shared" si="391"/>
        <v>532</v>
      </c>
      <c r="E2025" s="4">
        <v>37</v>
      </c>
      <c r="H2025" s="29">
        <v>1001</v>
      </c>
      <c r="I2025" s="30">
        <v>0</v>
      </c>
      <c r="M2025" s="4">
        <f t="shared" ref="M2025:V2025" si="428">M409*$C$1623</f>
        <v>735</v>
      </c>
      <c r="N2025" s="4">
        <f t="shared" si="428"/>
        <v>117</v>
      </c>
      <c r="O2025" s="4">
        <f t="shared" si="428"/>
        <v>6717</v>
      </c>
      <c r="P2025" s="4">
        <f t="shared" si="428"/>
        <v>0</v>
      </c>
      <c r="Q2025" s="4">
        <f t="shared" si="428"/>
        <v>3147</v>
      </c>
      <c r="R2025" s="4">
        <f t="shared" si="428"/>
        <v>3.75</v>
      </c>
      <c r="S2025" s="4">
        <f t="shared" si="428"/>
        <v>70.5</v>
      </c>
      <c r="T2025" s="4">
        <f t="shared" si="428"/>
        <v>0</v>
      </c>
      <c r="U2025" s="4">
        <f t="shared" si="428"/>
        <v>0</v>
      </c>
      <c r="V2025" s="4">
        <f t="shared" si="428"/>
        <v>0</v>
      </c>
    </row>
    <row r="2026" spans="4:22" x14ac:dyDescent="0.15">
      <c r="D2026" s="4">
        <f t="shared" si="391"/>
        <v>532</v>
      </c>
      <c r="E2026" s="4">
        <v>38</v>
      </c>
      <c r="H2026" s="29">
        <v>1001</v>
      </c>
      <c r="I2026" s="30">
        <v>0</v>
      </c>
      <c r="M2026" s="4">
        <f t="shared" ref="M2026:V2026" si="429">M410*$C$1623</f>
        <v>747</v>
      </c>
      <c r="N2026" s="4">
        <f t="shared" si="429"/>
        <v>120</v>
      </c>
      <c r="O2026" s="4">
        <f t="shared" si="429"/>
        <v>6798</v>
      </c>
      <c r="P2026" s="4">
        <f t="shared" si="429"/>
        <v>0</v>
      </c>
      <c r="Q2026" s="4">
        <f t="shared" si="429"/>
        <v>3156</v>
      </c>
      <c r="R2026" s="4">
        <f t="shared" si="429"/>
        <v>3.75</v>
      </c>
      <c r="S2026" s="4">
        <f t="shared" si="429"/>
        <v>72</v>
      </c>
      <c r="T2026" s="4">
        <f t="shared" si="429"/>
        <v>0</v>
      </c>
      <c r="U2026" s="4">
        <f t="shared" si="429"/>
        <v>0</v>
      </c>
      <c r="V2026" s="4">
        <f t="shared" si="429"/>
        <v>0</v>
      </c>
    </row>
    <row r="2027" spans="4:22" x14ac:dyDescent="0.15">
      <c r="D2027" s="4">
        <f t="shared" si="391"/>
        <v>532</v>
      </c>
      <c r="E2027" s="4">
        <v>39</v>
      </c>
      <c r="H2027" s="29">
        <v>1001</v>
      </c>
      <c r="I2027" s="30">
        <v>0</v>
      </c>
      <c r="M2027" s="4">
        <f t="shared" ref="M2027:V2027" si="430">M411*$C$1623</f>
        <v>759</v>
      </c>
      <c r="N2027" s="4">
        <f t="shared" si="430"/>
        <v>123</v>
      </c>
      <c r="O2027" s="4">
        <f t="shared" si="430"/>
        <v>6879</v>
      </c>
      <c r="P2027" s="4">
        <f t="shared" si="430"/>
        <v>0</v>
      </c>
      <c r="Q2027" s="4">
        <f t="shared" si="430"/>
        <v>3165</v>
      </c>
      <c r="R2027" s="4">
        <f t="shared" si="430"/>
        <v>3.75</v>
      </c>
      <c r="S2027" s="4">
        <f t="shared" si="430"/>
        <v>73.5</v>
      </c>
      <c r="T2027" s="4">
        <f t="shared" si="430"/>
        <v>0</v>
      </c>
      <c r="U2027" s="4">
        <f t="shared" si="430"/>
        <v>0</v>
      </c>
      <c r="V2027" s="4">
        <f t="shared" si="430"/>
        <v>0</v>
      </c>
    </row>
    <row r="2028" spans="4:22" x14ac:dyDescent="0.15">
      <c r="D2028" s="4">
        <f t="shared" si="391"/>
        <v>532</v>
      </c>
      <c r="E2028" s="4">
        <v>40</v>
      </c>
      <c r="H2028" s="29">
        <v>1001</v>
      </c>
      <c r="I2028" s="30">
        <v>0</v>
      </c>
      <c r="M2028" s="4">
        <f t="shared" ref="M2028:V2028" si="431">M412*$C$1623</f>
        <v>771</v>
      </c>
      <c r="N2028" s="4">
        <f t="shared" si="431"/>
        <v>126</v>
      </c>
      <c r="O2028" s="4">
        <f t="shared" si="431"/>
        <v>6960</v>
      </c>
      <c r="P2028" s="4">
        <f t="shared" si="431"/>
        <v>0</v>
      </c>
      <c r="Q2028" s="4">
        <f t="shared" si="431"/>
        <v>3174</v>
      </c>
      <c r="R2028" s="4">
        <f t="shared" si="431"/>
        <v>3.75</v>
      </c>
      <c r="S2028" s="4">
        <f t="shared" si="431"/>
        <v>75</v>
      </c>
      <c r="T2028" s="4">
        <f t="shared" si="431"/>
        <v>0</v>
      </c>
      <c r="U2028" s="4">
        <f t="shared" si="431"/>
        <v>0</v>
      </c>
      <c r="V2028" s="4">
        <f t="shared" si="431"/>
        <v>0</v>
      </c>
    </row>
    <row r="2029" spans="4:22" x14ac:dyDescent="0.15">
      <c r="D2029" s="4">
        <f t="shared" si="391"/>
        <v>532</v>
      </c>
      <c r="E2029" s="4">
        <v>41</v>
      </c>
      <c r="H2029" s="29">
        <v>1001</v>
      </c>
      <c r="I2029" s="30">
        <v>0</v>
      </c>
      <c r="M2029" s="4">
        <f t="shared" ref="M2029:V2029" si="432">M413*$C$1623</f>
        <v>783</v>
      </c>
      <c r="N2029" s="4">
        <f t="shared" si="432"/>
        <v>129</v>
      </c>
      <c r="O2029" s="4">
        <f t="shared" si="432"/>
        <v>7041</v>
      </c>
      <c r="P2029" s="4">
        <f t="shared" si="432"/>
        <v>0</v>
      </c>
      <c r="Q2029" s="4">
        <f t="shared" si="432"/>
        <v>3183</v>
      </c>
      <c r="R2029" s="4">
        <f t="shared" si="432"/>
        <v>3.75</v>
      </c>
      <c r="S2029" s="4">
        <f t="shared" si="432"/>
        <v>76.5</v>
      </c>
      <c r="T2029" s="4">
        <f t="shared" si="432"/>
        <v>0</v>
      </c>
      <c r="U2029" s="4">
        <f t="shared" si="432"/>
        <v>0</v>
      </c>
      <c r="V2029" s="4">
        <f t="shared" si="432"/>
        <v>0</v>
      </c>
    </row>
    <row r="2030" spans="4:22" x14ac:dyDescent="0.15">
      <c r="D2030" s="4">
        <f t="shared" si="391"/>
        <v>532</v>
      </c>
      <c r="E2030" s="4">
        <v>42</v>
      </c>
      <c r="H2030" s="29">
        <v>1001</v>
      </c>
      <c r="I2030" s="30">
        <v>0</v>
      </c>
      <c r="M2030" s="4">
        <f t="shared" ref="M2030:V2030" si="433">M414*$C$1623</f>
        <v>795</v>
      </c>
      <c r="N2030" s="4">
        <f t="shared" si="433"/>
        <v>132</v>
      </c>
      <c r="O2030" s="4">
        <f t="shared" si="433"/>
        <v>7122</v>
      </c>
      <c r="P2030" s="4">
        <f t="shared" si="433"/>
        <v>0</v>
      </c>
      <c r="Q2030" s="4">
        <f t="shared" si="433"/>
        <v>3192</v>
      </c>
      <c r="R2030" s="4">
        <f t="shared" si="433"/>
        <v>3.75</v>
      </c>
      <c r="S2030" s="4">
        <f t="shared" si="433"/>
        <v>78</v>
      </c>
      <c r="T2030" s="4">
        <f t="shared" si="433"/>
        <v>0</v>
      </c>
      <c r="U2030" s="4">
        <f t="shared" si="433"/>
        <v>0</v>
      </c>
      <c r="V2030" s="4">
        <f t="shared" si="433"/>
        <v>0</v>
      </c>
    </row>
    <row r="2031" spans="4:22" x14ac:dyDescent="0.15">
      <c r="D2031" s="4">
        <f t="shared" si="391"/>
        <v>532</v>
      </c>
      <c r="E2031" s="4">
        <v>43</v>
      </c>
      <c r="H2031" s="29">
        <v>1001</v>
      </c>
      <c r="I2031" s="30">
        <v>0</v>
      </c>
      <c r="M2031" s="4">
        <f t="shared" ref="M2031:V2031" si="434">M415*$C$1623</f>
        <v>807</v>
      </c>
      <c r="N2031" s="4">
        <f t="shared" si="434"/>
        <v>135</v>
      </c>
      <c r="O2031" s="4">
        <f t="shared" si="434"/>
        <v>7203</v>
      </c>
      <c r="P2031" s="4">
        <f t="shared" si="434"/>
        <v>0</v>
      </c>
      <c r="Q2031" s="4">
        <f t="shared" si="434"/>
        <v>3201</v>
      </c>
      <c r="R2031" s="4">
        <f t="shared" si="434"/>
        <v>3.75</v>
      </c>
      <c r="S2031" s="4">
        <f t="shared" si="434"/>
        <v>79.5</v>
      </c>
      <c r="T2031" s="4">
        <f t="shared" si="434"/>
        <v>0</v>
      </c>
      <c r="U2031" s="4">
        <f t="shared" si="434"/>
        <v>0</v>
      </c>
      <c r="V2031" s="4">
        <f t="shared" si="434"/>
        <v>0</v>
      </c>
    </row>
    <row r="2032" spans="4:22" x14ac:dyDescent="0.15">
      <c r="D2032" s="4">
        <f t="shared" si="391"/>
        <v>532</v>
      </c>
      <c r="E2032" s="4">
        <v>44</v>
      </c>
      <c r="H2032" s="29">
        <v>1001</v>
      </c>
      <c r="I2032" s="30">
        <v>0</v>
      </c>
      <c r="M2032" s="4">
        <f t="shared" ref="M2032:V2032" si="435">M416*$C$1623</f>
        <v>819</v>
      </c>
      <c r="N2032" s="4">
        <f t="shared" si="435"/>
        <v>138</v>
      </c>
      <c r="O2032" s="4">
        <f t="shared" si="435"/>
        <v>7284</v>
      </c>
      <c r="P2032" s="4">
        <f t="shared" si="435"/>
        <v>0</v>
      </c>
      <c r="Q2032" s="4">
        <f t="shared" si="435"/>
        <v>3210</v>
      </c>
      <c r="R2032" s="4">
        <f t="shared" si="435"/>
        <v>3.75</v>
      </c>
      <c r="S2032" s="4">
        <f t="shared" si="435"/>
        <v>81</v>
      </c>
      <c r="T2032" s="4">
        <f t="shared" si="435"/>
        <v>0</v>
      </c>
      <c r="U2032" s="4">
        <f t="shared" si="435"/>
        <v>0</v>
      </c>
      <c r="V2032" s="4">
        <f t="shared" si="435"/>
        <v>0</v>
      </c>
    </row>
    <row r="2033" spans="3:22" x14ac:dyDescent="0.15">
      <c r="D2033" s="4">
        <f t="shared" si="391"/>
        <v>532</v>
      </c>
      <c r="E2033" s="4">
        <v>45</v>
      </c>
      <c r="H2033" s="29">
        <v>1001</v>
      </c>
      <c r="I2033" s="30">
        <v>0</v>
      </c>
      <c r="M2033" s="4">
        <f t="shared" ref="M2033:V2033" si="436">M417*$C$1623</f>
        <v>831</v>
      </c>
      <c r="N2033" s="4">
        <f t="shared" si="436"/>
        <v>141</v>
      </c>
      <c r="O2033" s="4">
        <f t="shared" si="436"/>
        <v>7365</v>
      </c>
      <c r="P2033" s="4">
        <f t="shared" si="436"/>
        <v>0</v>
      </c>
      <c r="Q2033" s="4">
        <f t="shared" si="436"/>
        <v>3219</v>
      </c>
      <c r="R2033" s="4">
        <f t="shared" si="436"/>
        <v>3.75</v>
      </c>
      <c r="S2033" s="4">
        <f t="shared" si="436"/>
        <v>82.5</v>
      </c>
      <c r="T2033" s="4">
        <f t="shared" si="436"/>
        <v>0</v>
      </c>
      <c r="U2033" s="4">
        <f t="shared" si="436"/>
        <v>0</v>
      </c>
      <c r="V2033" s="4">
        <f t="shared" si="436"/>
        <v>0</v>
      </c>
    </row>
    <row r="2034" spans="3:22" x14ac:dyDescent="0.15">
      <c r="D2034" s="4">
        <f t="shared" si="391"/>
        <v>532</v>
      </c>
      <c r="E2034" s="4">
        <v>46</v>
      </c>
      <c r="H2034" s="29">
        <v>1001</v>
      </c>
      <c r="I2034" s="30">
        <v>0</v>
      </c>
      <c r="M2034" s="4">
        <f t="shared" ref="M2034:V2034" si="437">M418*$C$1623</f>
        <v>843</v>
      </c>
      <c r="N2034" s="4">
        <f t="shared" si="437"/>
        <v>144</v>
      </c>
      <c r="O2034" s="4">
        <f t="shared" si="437"/>
        <v>7446</v>
      </c>
      <c r="P2034" s="4">
        <f t="shared" si="437"/>
        <v>0</v>
      </c>
      <c r="Q2034" s="4">
        <f t="shared" si="437"/>
        <v>3228</v>
      </c>
      <c r="R2034" s="4">
        <f t="shared" si="437"/>
        <v>3.75</v>
      </c>
      <c r="S2034" s="4">
        <f t="shared" si="437"/>
        <v>84</v>
      </c>
      <c r="T2034" s="4">
        <f t="shared" si="437"/>
        <v>0</v>
      </c>
      <c r="U2034" s="4">
        <f t="shared" si="437"/>
        <v>0</v>
      </c>
      <c r="V2034" s="4">
        <f t="shared" si="437"/>
        <v>0</v>
      </c>
    </row>
    <row r="2035" spans="3:22" x14ac:dyDescent="0.15">
      <c r="D2035" s="4">
        <f t="shared" si="391"/>
        <v>532</v>
      </c>
      <c r="E2035" s="4">
        <v>47</v>
      </c>
      <c r="H2035" s="29">
        <v>1001</v>
      </c>
      <c r="I2035" s="30">
        <v>0</v>
      </c>
      <c r="M2035" s="4">
        <f t="shared" ref="M2035:V2035" si="438">M419*$C$1623</f>
        <v>855</v>
      </c>
      <c r="N2035" s="4">
        <f t="shared" si="438"/>
        <v>147</v>
      </c>
      <c r="O2035" s="4">
        <f t="shared" si="438"/>
        <v>7527</v>
      </c>
      <c r="P2035" s="4">
        <f t="shared" si="438"/>
        <v>0</v>
      </c>
      <c r="Q2035" s="4">
        <f t="shared" si="438"/>
        <v>3237</v>
      </c>
      <c r="R2035" s="4">
        <f t="shared" si="438"/>
        <v>3.75</v>
      </c>
      <c r="S2035" s="4">
        <f t="shared" si="438"/>
        <v>85.5</v>
      </c>
      <c r="T2035" s="4">
        <f t="shared" si="438"/>
        <v>0</v>
      </c>
      <c r="U2035" s="4">
        <f t="shared" si="438"/>
        <v>0</v>
      </c>
      <c r="V2035" s="4">
        <f t="shared" si="438"/>
        <v>0</v>
      </c>
    </row>
    <row r="2036" spans="3:22" x14ac:dyDescent="0.15">
      <c r="D2036" s="4">
        <f t="shared" si="391"/>
        <v>532</v>
      </c>
      <c r="E2036" s="4">
        <v>48</v>
      </c>
      <c r="H2036" s="29">
        <v>1001</v>
      </c>
      <c r="I2036" s="30">
        <v>0</v>
      </c>
      <c r="M2036" s="4">
        <f t="shared" ref="M2036:V2036" si="439">M420*$C$1623</f>
        <v>867</v>
      </c>
      <c r="N2036" s="4">
        <f t="shared" si="439"/>
        <v>150</v>
      </c>
      <c r="O2036" s="4">
        <f t="shared" si="439"/>
        <v>7608</v>
      </c>
      <c r="P2036" s="4">
        <f t="shared" si="439"/>
        <v>0</v>
      </c>
      <c r="Q2036" s="4">
        <f t="shared" si="439"/>
        <v>3246</v>
      </c>
      <c r="R2036" s="4">
        <f t="shared" si="439"/>
        <v>3.75</v>
      </c>
      <c r="S2036" s="4">
        <f t="shared" si="439"/>
        <v>87</v>
      </c>
      <c r="T2036" s="4">
        <f t="shared" si="439"/>
        <v>0</v>
      </c>
      <c r="U2036" s="4">
        <f t="shared" si="439"/>
        <v>0</v>
      </c>
      <c r="V2036" s="4">
        <f t="shared" si="439"/>
        <v>0</v>
      </c>
    </row>
    <row r="2037" spans="3:22" x14ac:dyDescent="0.15">
      <c r="D2037" s="4">
        <f t="shared" si="391"/>
        <v>532</v>
      </c>
      <c r="E2037" s="4">
        <v>49</v>
      </c>
      <c r="H2037" s="29">
        <v>1001</v>
      </c>
      <c r="I2037" s="30">
        <v>0</v>
      </c>
      <c r="M2037" s="4">
        <f t="shared" ref="M2037:V2037" si="440">M421*$C$1623</f>
        <v>879</v>
      </c>
      <c r="N2037" s="4">
        <f t="shared" si="440"/>
        <v>153</v>
      </c>
      <c r="O2037" s="4">
        <f t="shared" si="440"/>
        <v>7689</v>
      </c>
      <c r="P2037" s="4">
        <f t="shared" si="440"/>
        <v>0</v>
      </c>
      <c r="Q2037" s="4">
        <f t="shared" si="440"/>
        <v>3255</v>
      </c>
      <c r="R2037" s="4">
        <f t="shared" si="440"/>
        <v>3.75</v>
      </c>
      <c r="S2037" s="4">
        <f t="shared" si="440"/>
        <v>88.5</v>
      </c>
      <c r="T2037" s="4">
        <f t="shared" si="440"/>
        <v>0</v>
      </c>
      <c r="U2037" s="4">
        <f t="shared" si="440"/>
        <v>0</v>
      </c>
      <c r="V2037" s="4">
        <f t="shared" si="440"/>
        <v>0</v>
      </c>
    </row>
    <row r="2038" spans="3:22" x14ac:dyDescent="0.15">
      <c r="D2038" s="4">
        <f t="shared" si="391"/>
        <v>532</v>
      </c>
      <c r="E2038" s="4">
        <v>50</v>
      </c>
      <c r="H2038" s="29">
        <v>1001</v>
      </c>
      <c r="I2038" s="30">
        <v>0</v>
      </c>
      <c r="M2038" s="4">
        <f t="shared" ref="M2038:V2038" si="441">M422*$C$1623</f>
        <v>891</v>
      </c>
      <c r="N2038" s="4">
        <f t="shared" si="441"/>
        <v>156</v>
      </c>
      <c r="O2038" s="4">
        <f t="shared" si="441"/>
        <v>7770</v>
      </c>
      <c r="P2038" s="4">
        <f t="shared" si="441"/>
        <v>0</v>
      </c>
      <c r="Q2038" s="4">
        <f t="shared" si="441"/>
        <v>3264</v>
      </c>
      <c r="R2038" s="4">
        <f t="shared" si="441"/>
        <v>3.75</v>
      </c>
      <c r="S2038" s="4">
        <f t="shared" si="441"/>
        <v>90</v>
      </c>
      <c r="T2038" s="4">
        <f t="shared" si="441"/>
        <v>0</v>
      </c>
      <c r="U2038" s="4">
        <f t="shared" si="441"/>
        <v>0</v>
      </c>
      <c r="V2038" s="4">
        <f t="shared" si="441"/>
        <v>0</v>
      </c>
    </row>
    <row r="2039" spans="3:22" x14ac:dyDescent="0.15">
      <c r="I2039" s="4"/>
      <c r="M2039" s="4">
        <f t="shared" ref="M2039:V2039" si="442">M423*$C$1623</f>
        <v>0</v>
      </c>
      <c r="N2039" s="4">
        <f t="shared" si="442"/>
        <v>0</v>
      </c>
      <c r="O2039" s="4">
        <f t="shared" si="442"/>
        <v>0</v>
      </c>
      <c r="P2039" s="4">
        <f t="shared" si="442"/>
        <v>0</v>
      </c>
      <c r="Q2039" s="4">
        <f t="shared" si="442"/>
        <v>0</v>
      </c>
      <c r="R2039" s="4">
        <f t="shared" si="442"/>
        <v>0</v>
      </c>
      <c r="S2039" s="4">
        <f t="shared" si="442"/>
        <v>0</v>
      </c>
      <c r="T2039" s="4">
        <f t="shared" si="442"/>
        <v>0</v>
      </c>
      <c r="U2039" s="4">
        <f t="shared" si="442"/>
        <v>0</v>
      </c>
      <c r="V2039" s="4">
        <f t="shared" si="442"/>
        <v>0</v>
      </c>
    </row>
    <row r="2040" spans="3:22" ht="16.5" x14ac:dyDescent="0.15">
      <c r="C2040" s="4" t="s">
        <v>3083</v>
      </c>
      <c r="D2040" s="4">
        <f t="shared" ref="D2040:D2090" si="443">D1988+1</f>
        <v>533</v>
      </c>
      <c r="E2040" s="4">
        <v>0</v>
      </c>
      <c r="H2040" s="38">
        <v>2103</v>
      </c>
      <c r="I2040" s="31">
        <v>1</v>
      </c>
      <c r="L2040" s="8">
        <v>207</v>
      </c>
      <c r="M2040" s="4">
        <f t="shared" ref="M2040:V2040" si="444">M424*$C$1623</f>
        <v>0</v>
      </c>
      <c r="N2040" s="4">
        <f t="shared" si="444"/>
        <v>0</v>
      </c>
      <c r="O2040" s="4">
        <f t="shared" si="444"/>
        <v>0</v>
      </c>
      <c r="P2040" s="4">
        <f t="shared" si="444"/>
        <v>0</v>
      </c>
      <c r="Q2040" s="4">
        <f t="shared" si="444"/>
        <v>0</v>
      </c>
      <c r="R2040" s="4">
        <f t="shared" si="444"/>
        <v>0</v>
      </c>
      <c r="S2040" s="4">
        <f t="shared" si="444"/>
        <v>0</v>
      </c>
      <c r="T2040" s="4">
        <f t="shared" si="444"/>
        <v>0</v>
      </c>
      <c r="U2040" s="4">
        <f t="shared" si="444"/>
        <v>0</v>
      </c>
      <c r="V2040" s="4">
        <f t="shared" si="444"/>
        <v>0</v>
      </c>
    </row>
    <row r="2041" spans="3:22" x14ac:dyDescent="0.15">
      <c r="D2041" s="4">
        <f t="shared" si="443"/>
        <v>533</v>
      </c>
      <c r="E2041" s="4">
        <v>1</v>
      </c>
      <c r="H2041" s="29">
        <v>1001</v>
      </c>
      <c r="I2041" s="30">
        <v>0</v>
      </c>
      <c r="M2041" s="4">
        <f t="shared" ref="M2041:V2041" si="445">M425*$C$1623</f>
        <v>345</v>
      </c>
      <c r="N2041" s="4">
        <f t="shared" si="445"/>
        <v>10.5</v>
      </c>
      <c r="O2041" s="4">
        <f t="shared" si="445"/>
        <v>5184</v>
      </c>
      <c r="P2041" s="4">
        <f t="shared" si="445"/>
        <v>0</v>
      </c>
      <c r="Q2041" s="4">
        <f t="shared" si="445"/>
        <v>3225</v>
      </c>
      <c r="R2041" s="4">
        <f t="shared" si="445"/>
        <v>3.75</v>
      </c>
      <c r="S2041" s="4">
        <f t="shared" si="445"/>
        <v>19.5</v>
      </c>
      <c r="T2041" s="4">
        <f t="shared" si="445"/>
        <v>0</v>
      </c>
      <c r="U2041" s="4">
        <f t="shared" si="445"/>
        <v>0</v>
      </c>
      <c r="V2041" s="4">
        <f t="shared" si="445"/>
        <v>0</v>
      </c>
    </row>
    <row r="2042" spans="3:22" x14ac:dyDescent="0.15">
      <c r="D2042" s="4">
        <f t="shared" si="443"/>
        <v>533</v>
      </c>
      <c r="E2042" s="4">
        <v>2</v>
      </c>
      <c r="H2042" s="29">
        <v>1001</v>
      </c>
      <c r="I2042" s="30">
        <v>0</v>
      </c>
      <c r="M2042" s="4">
        <f t="shared" ref="M2042:V2042" si="446">M426*$C$1623</f>
        <v>360</v>
      </c>
      <c r="N2042" s="4">
        <f t="shared" si="446"/>
        <v>13.5</v>
      </c>
      <c r="O2042" s="4">
        <f t="shared" si="446"/>
        <v>5295</v>
      </c>
      <c r="P2042" s="4">
        <f t="shared" si="446"/>
        <v>0</v>
      </c>
      <c r="Q2042" s="4">
        <f t="shared" si="446"/>
        <v>3234</v>
      </c>
      <c r="R2042" s="4">
        <f t="shared" si="446"/>
        <v>3.75</v>
      </c>
      <c r="S2042" s="4">
        <f t="shared" si="446"/>
        <v>21</v>
      </c>
      <c r="T2042" s="4">
        <f t="shared" si="446"/>
        <v>0</v>
      </c>
      <c r="U2042" s="4">
        <f t="shared" si="446"/>
        <v>0</v>
      </c>
      <c r="V2042" s="4">
        <f t="shared" si="446"/>
        <v>0</v>
      </c>
    </row>
    <row r="2043" spans="3:22" x14ac:dyDescent="0.15">
      <c r="D2043" s="4">
        <f t="shared" si="443"/>
        <v>533</v>
      </c>
      <c r="E2043" s="4">
        <v>3</v>
      </c>
      <c r="H2043" s="29">
        <v>1001</v>
      </c>
      <c r="I2043" s="30">
        <v>0</v>
      </c>
      <c r="M2043" s="4">
        <f t="shared" ref="M2043:V2043" si="447">M427*$C$1623</f>
        <v>375</v>
      </c>
      <c r="N2043" s="4">
        <f t="shared" si="447"/>
        <v>16.5</v>
      </c>
      <c r="O2043" s="4">
        <f t="shared" si="447"/>
        <v>5406</v>
      </c>
      <c r="P2043" s="4">
        <f t="shared" si="447"/>
        <v>0</v>
      </c>
      <c r="Q2043" s="4">
        <f t="shared" si="447"/>
        <v>3243</v>
      </c>
      <c r="R2043" s="4">
        <f t="shared" si="447"/>
        <v>3.75</v>
      </c>
      <c r="S2043" s="4">
        <f t="shared" si="447"/>
        <v>22.5</v>
      </c>
      <c r="T2043" s="4">
        <f t="shared" si="447"/>
        <v>0</v>
      </c>
      <c r="U2043" s="4">
        <f t="shared" si="447"/>
        <v>0</v>
      </c>
      <c r="V2043" s="4">
        <f t="shared" si="447"/>
        <v>0</v>
      </c>
    </row>
    <row r="2044" spans="3:22" x14ac:dyDescent="0.15">
      <c r="D2044" s="4">
        <f t="shared" si="443"/>
        <v>533</v>
      </c>
      <c r="E2044" s="4">
        <v>4</v>
      </c>
      <c r="H2044" s="29">
        <v>1001</v>
      </c>
      <c r="I2044" s="30">
        <v>0</v>
      </c>
      <c r="M2044" s="4">
        <f t="shared" ref="M2044:V2044" si="448">M428*$C$1623</f>
        <v>390</v>
      </c>
      <c r="N2044" s="4">
        <f t="shared" si="448"/>
        <v>19.5</v>
      </c>
      <c r="O2044" s="4">
        <f t="shared" si="448"/>
        <v>5517</v>
      </c>
      <c r="P2044" s="4">
        <f t="shared" si="448"/>
        <v>0</v>
      </c>
      <c r="Q2044" s="4">
        <f t="shared" si="448"/>
        <v>3252</v>
      </c>
      <c r="R2044" s="4">
        <f t="shared" si="448"/>
        <v>3.75</v>
      </c>
      <c r="S2044" s="4">
        <f t="shared" si="448"/>
        <v>24</v>
      </c>
      <c r="T2044" s="4">
        <f t="shared" si="448"/>
        <v>0</v>
      </c>
      <c r="U2044" s="4">
        <f t="shared" si="448"/>
        <v>0</v>
      </c>
      <c r="V2044" s="4">
        <f t="shared" si="448"/>
        <v>0</v>
      </c>
    </row>
    <row r="2045" spans="3:22" x14ac:dyDescent="0.15">
      <c r="D2045" s="4">
        <f t="shared" si="443"/>
        <v>533</v>
      </c>
      <c r="E2045" s="4">
        <v>5</v>
      </c>
      <c r="H2045" s="29">
        <v>1001</v>
      </c>
      <c r="I2045" s="30">
        <v>0</v>
      </c>
      <c r="M2045" s="4">
        <f t="shared" ref="M2045:V2045" si="449">M429*$C$1623</f>
        <v>405</v>
      </c>
      <c r="N2045" s="4">
        <f t="shared" si="449"/>
        <v>22.5</v>
      </c>
      <c r="O2045" s="4">
        <f t="shared" si="449"/>
        <v>5628</v>
      </c>
      <c r="P2045" s="4">
        <f t="shared" si="449"/>
        <v>0</v>
      </c>
      <c r="Q2045" s="4">
        <f t="shared" si="449"/>
        <v>3261</v>
      </c>
      <c r="R2045" s="4">
        <f t="shared" si="449"/>
        <v>3.75</v>
      </c>
      <c r="S2045" s="4">
        <f t="shared" si="449"/>
        <v>25.5</v>
      </c>
      <c r="T2045" s="4">
        <f t="shared" si="449"/>
        <v>0</v>
      </c>
      <c r="U2045" s="4">
        <f t="shared" si="449"/>
        <v>0</v>
      </c>
      <c r="V2045" s="4">
        <f t="shared" si="449"/>
        <v>0</v>
      </c>
    </row>
    <row r="2046" spans="3:22" x14ac:dyDescent="0.15">
      <c r="D2046" s="4">
        <f t="shared" si="443"/>
        <v>533</v>
      </c>
      <c r="E2046" s="4">
        <v>6</v>
      </c>
      <c r="H2046" s="29">
        <v>1001</v>
      </c>
      <c r="I2046" s="30">
        <v>0</v>
      </c>
      <c r="M2046" s="4">
        <f t="shared" ref="M2046:V2046" si="450">M430*$C$1623</f>
        <v>420</v>
      </c>
      <c r="N2046" s="4">
        <f t="shared" si="450"/>
        <v>25.5</v>
      </c>
      <c r="O2046" s="4">
        <f t="shared" si="450"/>
        <v>5739</v>
      </c>
      <c r="P2046" s="4">
        <f t="shared" si="450"/>
        <v>0</v>
      </c>
      <c r="Q2046" s="4">
        <f t="shared" si="450"/>
        <v>3270</v>
      </c>
      <c r="R2046" s="4">
        <f t="shared" si="450"/>
        <v>3.75</v>
      </c>
      <c r="S2046" s="4">
        <f t="shared" si="450"/>
        <v>27</v>
      </c>
      <c r="T2046" s="4">
        <f t="shared" si="450"/>
        <v>0</v>
      </c>
      <c r="U2046" s="4">
        <f t="shared" si="450"/>
        <v>0</v>
      </c>
      <c r="V2046" s="4">
        <f t="shared" si="450"/>
        <v>0</v>
      </c>
    </row>
    <row r="2047" spans="3:22" x14ac:dyDescent="0.15">
      <c r="D2047" s="4">
        <f t="shared" si="443"/>
        <v>533</v>
      </c>
      <c r="E2047" s="4">
        <v>7</v>
      </c>
      <c r="H2047" s="29">
        <v>1001</v>
      </c>
      <c r="I2047" s="30">
        <v>0</v>
      </c>
      <c r="M2047" s="4">
        <f t="shared" ref="M2047:V2047" si="451">M431*$C$1623</f>
        <v>435</v>
      </c>
      <c r="N2047" s="4">
        <f t="shared" si="451"/>
        <v>28.5</v>
      </c>
      <c r="O2047" s="4">
        <f t="shared" si="451"/>
        <v>5850</v>
      </c>
      <c r="P2047" s="4">
        <f t="shared" si="451"/>
        <v>0</v>
      </c>
      <c r="Q2047" s="4">
        <f t="shared" si="451"/>
        <v>3279</v>
      </c>
      <c r="R2047" s="4">
        <f t="shared" si="451"/>
        <v>3.75</v>
      </c>
      <c r="S2047" s="4">
        <f t="shared" si="451"/>
        <v>28.5</v>
      </c>
      <c r="T2047" s="4">
        <f t="shared" si="451"/>
        <v>0</v>
      </c>
      <c r="U2047" s="4">
        <f t="shared" si="451"/>
        <v>0</v>
      </c>
      <c r="V2047" s="4">
        <f t="shared" si="451"/>
        <v>0</v>
      </c>
    </row>
    <row r="2048" spans="3:22" x14ac:dyDescent="0.15">
      <c r="D2048" s="4">
        <f t="shared" si="443"/>
        <v>533</v>
      </c>
      <c r="E2048" s="4">
        <v>8</v>
      </c>
      <c r="H2048" s="29">
        <v>1001</v>
      </c>
      <c r="I2048" s="30">
        <v>0</v>
      </c>
      <c r="M2048" s="4">
        <f t="shared" ref="M2048:V2048" si="452">M432*$C$1623</f>
        <v>450</v>
      </c>
      <c r="N2048" s="4">
        <f t="shared" si="452"/>
        <v>31.5</v>
      </c>
      <c r="O2048" s="4">
        <f t="shared" si="452"/>
        <v>5961</v>
      </c>
      <c r="P2048" s="4">
        <f t="shared" si="452"/>
        <v>0</v>
      </c>
      <c r="Q2048" s="4">
        <f t="shared" si="452"/>
        <v>3288</v>
      </c>
      <c r="R2048" s="4">
        <f t="shared" si="452"/>
        <v>3.75</v>
      </c>
      <c r="S2048" s="4">
        <f t="shared" si="452"/>
        <v>30</v>
      </c>
      <c r="T2048" s="4">
        <f t="shared" si="452"/>
        <v>0</v>
      </c>
      <c r="U2048" s="4">
        <f t="shared" si="452"/>
        <v>0</v>
      </c>
      <c r="V2048" s="4">
        <f t="shared" si="452"/>
        <v>0</v>
      </c>
    </row>
    <row r="2049" spans="4:22" x14ac:dyDescent="0.15">
      <c r="D2049" s="4">
        <f t="shared" si="443"/>
        <v>533</v>
      </c>
      <c r="E2049" s="4">
        <v>9</v>
      </c>
      <c r="H2049" s="29">
        <v>1001</v>
      </c>
      <c r="I2049" s="30">
        <v>0</v>
      </c>
      <c r="M2049" s="4">
        <f t="shared" ref="M2049:V2049" si="453">M433*$C$1623</f>
        <v>465</v>
      </c>
      <c r="N2049" s="4">
        <f t="shared" si="453"/>
        <v>34.5</v>
      </c>
      <c r="O2049" s="4">
        <f t="shared" si="453"/>
        <v>6072</v>
      </c>
      <c r="P2049" s="4">
        <f t="shared" si="453"/>
        <v>0</v>
      </c>
      <c r="Q2049" s="4">
        <f t="shared" si="453"/>
        <v>3297</v>
      </c>
      <c r="R2049" s="4">
        <f t="shared" si="453"/>
        <v>3.75</v>
      </c>
      <c r="S2049" s="4">
        <f t="shared" si="453"/>
        <v>31.5</v>
      </c>
      <c r="T2049" s="4">
        <f t="shared" si="453"/>
        <v>0</v>
      </c>
      <c r="U2049" s="4">
        <f t="shared" si="453"/>
        <v>0</v>
      </c>
      <c r="V2049" s="4">
        <f t="shared" si="453"/>
        <v>0</v>
      </c>
    </row>
    <row r="2050" spans="4:22" x14ac:dyDescent="0.15">
      <c r="D2050" s="4">
        <f t="shared" si="443"/>
        <v>533</v>
      </c>
      <c r="E2050" s="4">
        <v>10</v>
      </c>
      <c r="H2050" s="29">
        <v>1001</v>
      </c>
      <c r="I2050" s="30">
        <v>0</v>
      </c>
      <c r="M2050" s="4">
        <f t="shared" ref="M2050:V2050" si="454">M434*$C$1623</f>
        <v>480</v>
      </c>
      <c r="N2050" s="4">
        <f t="shared" si="454"/>
        <v>37.5</v>
      </c>
      <c r="O2050" s="4">
        <f t="shared" si="454"/>
        <v>6183</v>
      </c>
      <c r="P2050" s="4">
        <f t="shared" si="454"/>
        <v>0</v>
      </c>
      <c r="Q2050" s="4">
        <f t="shared" si="454"/>
        <v>3306</v>
      </c>
      <c r="R2050" s="4">
        <f t="shared" si="454"/>
        <v>3.75</v>
      </c>
      <c r="S2050" s="4">
        <f t="shared" si="454"/>
        <v>33</v>
      </c>
      <c r="T2050" s="4">
        <f t="shared" si="454"/>
        <v>0</v>
      </c>
      <c r="U2050" s="4">
        <f t="shared" si="454"/>
        <v>0</v>
      </c>
      <c r="V2050" s="4">
        <f t="shared" si="454"/>
        <v>0</v>
      </c>
    </row>
    <row r="2051" spans="4:22" x14ac:dyDescent="0.15">
      <c r="D2051" s="4">
        <f t="shared" si="443"/>
        <v>533</v>
      </c>
      <c r="E2051" s="4">
        <v>11</v>
      </c>
      <c r="H2051" s="29">
        <v>1001</v>
      </c>
      <c r="I2051" s="30">
        <v>0</v>
      </c>
      <c r="M2051" s="4">
        <f t="shared" ref="M2051:V2051" si="455">M435*$C$1623</f>
        <v>495</v>
      </c>
      <c r="N2051" s="4">
        <f t="shared" si="455"/>
        <v>40.5</v>
      </c>
      <c r="O2051" s="4">
        <f t="shared" si="455"/>
        <v>6294</v>
      </c>
      <c r="P2051" s="4">
        <f t="shared" si="455"/>
        <v>0</v>
      </c>
      <c r="Q2051" s="4">
        <f t="shared" si="455"/>
        <v>3315</v>
      </c>
      <c r="R2051" s="4">
        <f t="shared" si="455"/>
        <v>3.75</v>
      </c>
      <c r="S2051" s="4">
        <f t="shared" si="455"/>
        <v>34.5</v>
      </c>
      <c r="T2051" s="4">
        <f t="shared" si="455"/>
        <v>0</v>
      </c>
      <c r="U2051" s="4">
        <f t="shared" si="455"/>
        <v>0</v>
      </c>
      <c r="V2051" s="4">
        <f t="shared" si="455"/>
        <v>0</v>
      </c>
    </row>
    <row r="2052" spans="4:22" x14ac:dyDescent="0.15">
      <c r="D2052" s="4">
        <f t="shared" si="443"/>
        <v>533</v>
      </c>
      <c r="E2052" s="4">
        <v>12</v>
      </c>
      <c r="H2052" s="29">
        <v>1001</v>
      </c>
      <c r="I2052" s="30">
        <v>0</v>
      </c>
      <c r="M2052" s="4">
        <f t="shared" ref="M2052:V2052" si="456">M436*$C$1623</f>
        <v>510</v>
      </c>
      <c r="N2052" s="4">
        <f t="shared" si="456"/>
        <v>43.5</v>
      </c>
      <c r="O2052" s="4">
        <f t="shared" si="456"/>
        <v>6405</v>
      </c>
      <c r="P2052" s="4">
        <f t="shared" si="456"/>
        <v>0</v>
      </c>
      <c r="Q2052" s="4">
        <f t="shared" si="456"/>
        <v>3324</v>
      </c>
      <c r="R2052" s="4">
        <f t="shared" si="456"/>
        <v>3.75</v>
      </c>
      <c r="S2052" s="4">
        <f t="shared" si="456"/>
        <v>36</v>
      </c>
      <c r="T2052" s="4">
        <f t="shared" si="456"/>
        <v>0</v>
      </c>
      <c r="U2052" s="4">
        <f t="shared" si="456"/>
        <v>0</v>
      </c>
      <c r="V2052" s="4">
        <f t="shared" si="456"/>
        <v>0</v>
      </c>
    </row>
    <row r="2053" spans="4:22" x14ac:dyDescent="0.15">
      <c r="D2053" s="4">
        <f t="shared" si="443"/>
        <v>533</v>
      </c>
      <c r="E2053" s="4">
        <v>13</v>
      </c>
      <c r="H2053" s="29">
        <v>1001</v>
      </c>
      <c r="I2053" s="30">
        <v>0</v>
      </c>
      <c r="M2053" s="4">
        <f t="shared" ref="M2053:V2053" si="457">M437*$C$1623</f>
        <v>525</v>
      </c>
      <c r="N2053" s="4">
        <f t="shared" si="457"/>
        <v>46.5</v>
      </c>
      <c r="O2053" s="4">
        <f t="shared" si="457"/>
        <v>6516</v>
      </c>
      <c r="P2053" s="4">
        <f t="shared" si="457"/>
        <v>0</v>
      </c>
      <c r="Q2053" s="4">
        <f t="shared" si="457"/>
        <v>3333</v>
      </c>
      <c r="R2053" s="4">
        <f t="shared" si="457"/>
        <v>3.75</v>
      </c>
      <c r="S2053" s="4">
        <f t="shared" si="457"/>
        <v>37.5</v>
      </c>
      <c r="T2053" s="4">
        <f t="shared" si="457"/>
        <v>0</v>
      </c>
      <c r="U2053" s="4">
        <f t="shared" si="457"/>
        <v>0</v>
      </c>
      <c r="V2053" s="4">
        <f t="shared" si="457"/>
        <v>0</v>
      </c>
    </row>
    <row r="2054" spans="4:22" x14ac:dyDescent="0.15">
      <c r="D2054" s="4">
        <f t="shared" si="443"/>
        <v>533</v>
      </c>
      <c r="E2054" s="4">
        <v>14</v>
      </c>
      <c r="H2054" s="29">
        <v>1001</v>
      </c>
      <c r="I2054" s="30">
        <v>0</v>
      </c>
      <c r="M2054" s="4">
        <f t="shared" ref="M2054:V2054" si="458">M438*$C$1623</f>
        <v>540</v>
      </c>
      <c r="N2054" s="4">
        <f t="shared" si="458"/>
        <v>49.5</v>
      </c>
      <c r="O2054" s="4">
        <f t="shared" si="458"/>
        <v>6627</v>
      </c>
      <c r="P2054" s="4">
        <f t="shared" si="458"/>
        <v>0</v>
      </c>
      <c r="Q2054" s="4">
        <f t="shared" si="458"/>
        <v>3342</v>
      </c>
      <c r="R2054" s="4">
        <f t="shared" si="458"/>
        <v>3.75</v>
      </c>
      <c r="S2054" s="4">
        <f t="shared" si="458"/>
        <v>39</v>
      </c>
      <c r="T2054" s="4">
        <f t="shared" si="458"/>
        <v>0</v>
      </c>
      <c r="U2054" s="4">
        <f t="shared" si="458"/>
        <v>0</v>
      </c>
      <c r="V2054" s="4">
        <f t="shared" si="458"/>
        <v>0</v>
      </c>
    </row>
    <row r="2055" spans="4:22" x14ac:dyDescent="0.15">
      <c r="D2055" s="4">
        <f t="shared" si="443"/>
        <v>533</v>
      </c>
      <c r="E2055" s="4">
        <v>15</v>
      </c>
      <c r="H2055" s="29">
        <v>1001</v>
      </c>
      <c r="I2055" s="30">
        <v>0</v>
      </c>
      <c r="M2055" s="4">
        <f t="shared" ref="M2055:V2055" si="459">M439*$C$1623</f>
        <v>555</v>
      </c>
      <c r="N2055" s="4">
        <f t="shared" si="459"/>
        <v>52.5</v>
      </c>
      <c r="O2055" s="4">
        <f t="shared" si="459"/>
        <v>6738</v>
      </c>
      <c r="P2055" s="4">
        <f t="shared" si="459"/>
        <v>0</v>
      </c>
      <c r="Q2055" s="4">
        <f t="shared" si="459"/>
        <v>3351</v>
      </c>
      <c r="R2055" s="4">
        <f t="shared" si="459"/>
        <v>3.75</v>
      </c>
      <c r="S2055" s="4">
        <f t="shared" si="459"/>
        <v>40.5</v>
      </c>
      <c r="T2055" s="4">
        <f t="shared" si="459"/>
        <v>0</v>
      </c>
      <c r="U2055" s="4">
        <f t="shared" si="459"/>
        <v>0</v>
      </c>
      <c r="V2055" s="4">
        <f t="shared" si="459"/>
        <v>0</v>
      </c>
    </row>
    <row r="2056" spans="4:22" x14ac:dyDescent="0.15">
      <c r="D2056" s="4">
        <f t="shared" si="443"/>
        <v>533</v>
      </c>
      <c r="E2056" s="4">
        <v>16</v>
      </c>
      <c r="H2056" s="29">
        <v>1001</v>
      </c>
      <c r="I2056" s="30">
        <v>0</v>
      </c>
      <c r="M2056" s="4">
        <f t="shared" ref="M2056:V2056" si="460">M440*$C$1623</f>
        <v>570</v>
      </c>
      <c r="N2056" s="4">
        <f t="shared" si="460"/>
        <v>55.5</v>
      </c>
      <c r="O2056" s="4">
        <f t="shared" si="460"/>
        <v>6849</v>
      </c>
      <c r="P2056" s="4">
        <f t="shared" si="460"/>
        <v>0</v>
      </c>
      <c r="Q2056" s="4">
        <f t="shared" si="460"/>
        <v>3360</v>
      </c>
      <c r="R2056" s="4">
        <f t="shared" si="460"/>
        <v>3.75</v>
      </c>
      <c r="S2056" s="4">
        <f t="shared" si="460"/>
        <v>42</v>
      </c>
      <c r="T2056" s="4">
        <f t="shared" si="460"/>
        <v>0</v>
      </c>
      <c r="U2056" s="4">
        <f t="shared" si="460"/>
        <v>0</v>
      </c>
      <c r="V2056" s="4">
        <f t="shared" si="460"/>
        <v>0</v>
      </c>
    </row>
    <row r="2057" spans="4:22" x14ac:dyDescent="0.15">
      <c r="D2057" s="4">
        <f t="shared" si="443"/>
        <v>533</v>
      </c>
      <c r="E2057" s="4">
        <v>17</v>
      </c>
      <c r="H2057" s="29">
        <v>1001</v>
      </c>
      <c r="I2057" s="30">
        <v>0</v>
      </c>
      <c r="M2057" s="4">
        <f t="shared" ref="M2057:V2057" si="461">M441*$C$1623</f>
        <v>585</v>
      </c>
      <c r="N2057" s="4">
        <f t="shared" si="461"/>
        <v>58.5</v>
      </c>
      <c r="O2057" s="4">
        <f t="shared" si="461"/>
        <v>6960</v>
      </c>
      <c r="P2057" s="4">
        <f t="shared" si="461"/>
        <v>0</v>
      </c>
      <c r="Q2057" s="4">
        <f t="shared" si="461"/>
        <v>3369</v>
      </c>
      <c r="R2057" s="4">
        <f t="shared" si="461"/>
        <v>3.75</v>
      </c>
      <c r="S2057" s="4">
        <f t="shared" si="461"/>
        <v>43.5</v>
      </c>
      <c r="T2057" s="4">
        <f t="shared" si="461"/>
        <v>0</v>
      </c>
      <c r="U2057" s="4">
        <f t="shared" si="461"/>
        <v>0</v>
      </c>
      <c r="V2057" s="4">
        <f t="shared" si="461"/>
        <v>0</v>
      </c>
    </row>
    <row r="2058" spans="4:22" x14ac:dyDescent="0.15">
      <c r="D2058" s="4">
        <f t="shared" si="443"/>
        <v>533</v>
      </c>
      <c r="E2058" s="4">
        <v>18</v>
      </c>
      <c r="H2058" s="29">
        <v>1001</v>
      </c>
      <c r="I2058" s="30">
        <v>0</v>
      </c>
      <c r="M2058" s="4">
        <f t="shared" ref="M2058:V2058" si="462">M442*$C$1623</f>
        <v>600</v>
      </c>
      <c r="N2058" s="4">
        <f t="shared" si="462"/>
        <v>61.5</v>
      </c>
      <c r="O2058" s="4">
        <f t="shared" si="462"/>
        <v>7071</v>
      </c>
      <c r="P2058" s="4">
        <f t="shared" si="462"/>
        <v>0</v>
      </c>
      <c r="Q2058" s="4">
        <f t="shared" si="462"/>
        <v>3378</v>
      </c>
      <c r="R2058" s="4">
        <f t="shared" si="462"/>
        <v>3.75</v>
      </c>
      <c r="S2058" s="4">
        <f t="shared" si="462"/>
        <v>45</v>
      </c>
      <c r="T2058" s="4">
        <f t="shared" si="462"/>
        <v>0</v>
      </c>
      <c r="U2058" s="4">
        <f t="shared" si="462"/>
        <v>0</v>
      </c>
      <c r="V2058" s="4">
        <f t="shared" si="462"/>
        <v>0</v>
      </c>
    </row>
    <row r="2059" spans="4:22" x14ac:dyDescent="0.15">
      <c r="D2059" s="4">
        <f t="shared" si="443"/>
        <v>533</v>
      </c>
      <c r="E2059" s="4">
        <v>19</v>
      </c>
      <c r="H2059" s="29">
        <v>1001</v>
      </c>
      <c r="I2059" s="30">
        <v>0</v>
      </c>
      <c r="M2059" s="4">
        <f t="shared" ref="M2059:V2059" si="463">M443*$C$1623</f>
        <v>615</v>
      </c>
      <c r="N2059" s="4">
        <f t="shared" si="463"/>
        <v>64.5</v>
      </c>
      <c r="O2059" s="4">
        <f t="shared" si="463"/>
        <v>7182</v>
      </c>
      <c r="P2059" s="4">
        <f t="shared" si="463"/>
        <v>0</v>
      </c>
      <c r="Q2059" s="4">
        <f t="shared" si="463"/>
        <v>3387</v>
      </c>
      <c r="R2059" s="4">
        <f t="shared" si="463"/>
        <v>3.75</v>
      </c>
      <c r="S2059" s="4">
        <f t="shared" si="463"/>
        <v>46.5</v>
      </c>
      <c r="T2059" s="4">
        <f t="shared" si="463"/>
        <v>0</v>
      </c>
      <c r="U2059" s="4">
        <f t="shared" si="463"/>
        <v>0</v>
      </c>
      <c r="V2059" s="4">
        <f t="shared" si="463"/>
        <v>0</v>
      </c>
    </row>
    <row r="2060" spans="4:22" x14ac:dyDescent="0.15">
      <c r="D2060" s="4">
        <f t="shared" si="443"/>
        <v>533</v>
      </c>
      <c r="E2060" s="4">
        <v>20</v>
      </c>
      <c r="H2060" s="29">
        <v>1001</v>
      </c>
      <c r="I2060" s="30">
        <v>0</v>
      </c>
      <c r="M2060" s="4">
        <f t="shared" ref="M2060:V2060" si="464">M444*$C$1623</f>
        <v>630</v>
      </c>
      <c r="N2060" s="4">
        <f t="shared" si="464"/>
        <v>67.5</v>
      </c>
      <c r="O2060" s="4">
        <f t="shared" si="464"/>
        <v>7293</v>
      </c>
      <c r="P2060" s="4">
        <f t="shared" si="464"/>
        <v>0</v>
      </c>
      <c r="Q2060" s="4">
        <f t="shared" si="464"/>
        <v>3396</v>
      </c>
      <c r="R2060" s="4">
        <f t="shared" si="464"/>
        <v>3.75</v>
      </c>
      <c r="S2060" s="4">
        <f t="shared" si="464"/>
        <v>48</v>
      </c>
      <c r="T2060" s="4">
        <f t="shared" si="464"/>
        <v>0</v>
      </c>
      <c r="U2060" s="4">
        <f t="shared" si="464"/>
        <v>0</v>
      </c>
      <c r="V2060" s="4">
        <f t="shared" si="464"/>
        <v>0</v>
      </c>
    </row>
    <row r="2061" spans="4:22" x14ac:dyDescent="0.15">
      <c r="D2061" s="4">
        <f t="shared" si="443"/>
        <v>533</v>
      </c>
      <c r="E2061" s="4">
        <v>21</v>
      </c>
      <c r="H2061" s="29">
        <v>1001</v>
      </c>
      <c r="I2061" s="30">
        <v>0</v>
      </c>
      <c r="M2061" s="4">
        <f t="shared" ref="M2061:V2061" si="465">M445*$C$1623</f>
        <v>645</v>
      </c>
      <c r="N2061" s="4">
        <f t="shared" si="465"/>
        <v>70.5</v>
      </c>
      <c r="O2061" s="4">
        <f t="shared" si="465"/>
        <v>7404</v>
      </c>
      <c r="P2061" s="4">
        <f t="shared" si="465"/>
        <v>0</v>
      </c>
      <c r="Q2061" s="4">
        <f t="shared" si="465"/>
        <v>3405</v>
      </c>
      <c r="R2061" s="4">
        <f t="shared" si="465"/>
        <v>3.75</v>
      </c>
      <c r="S2061" s="4">
        <f t="shared" si="465"/>
        <v>49.5</v>
      </c>
      <c r="T2061" s="4">
        <f t="shared" si="465"/>
        <v>0</v>
      </c>
      <c r="U2061" s="4">
        <f t="shared" si="465"/>
        <v>0</v>
      </c>
      <c r="V2061" s="4">
        <f t="shared" si="465"/>
        <v>0</v>
      </c>
    </row>
    <row r="2062" spans="4:22" x14ac:dyDescent="0.15">
      <c r="D2062" s="4">
        <f t="shared" si="443"/>
        <v>533</v>
      </c>
      <c r="E2062" s="4">
        <v>22</v>
      </c>
      <c r="H2062" s="29">
        <v>1001</v>
      </c>
      <c r="I2062" s="30">
        <v>0</v>
      </c>
      <c r="M2062" s="4">
        <f t="shared" ref="M2062:V2062" si="466">M446*$C$1623</f>
        <v>660</v>
      </c>
      <c r="N2062" s="4">
        <f t="shared" si="466"/>
        <v>73.5</v>
      </c>
      <c r="O2062" s="4">
        <f t="shared" si="466"/>
        <v>7515</v>
      </c>
      <c r="P2062" s="4">
        <f t="shared" si="466"/>
        <v>0</v>
      </c>
      <c r="Q2062" s="4">
        <f t="shared" si="466"/>
        <v>3414</v>
      </c>
      <c r="R2062" s="4">
        <f t="shared" si="466"/>
        <v>3.75</v>
      </c>
      <c r="S2062" s="4">
        <f t="shared" si="466"/>
        <v>51</v>
      </c>
      <c r="T2062" s="4">
        <f t="shared" si="466"/>
        <v>0</v>
      </c>
      <c r="U2062" s="4">
        <f t="shared" si="466"/>
        <v>0</v>
      </c>
      <c r="V2062" s="4">
        <f t="shared" si="466"/>
        <v>0</v>
      </c>
    </row>
    <row r="2063" spans="4:22" x14ac:dyDescent="0.15">
      <c r="D2063" s="4">
        <f t="shared" si="443"/>
        <v>533</v>
      </c>
      <c r="E2063" s="4">
        <v>23</v>
      </c>
      <c r="H2063" s="29">
        <v>1001</v>
      </c>
      <c r="I2063" s="30">
        <v>0</v>
      </c>
      <c r="M2063" s="4">
        <f t="shared" ref="M2063:V2063" si="467">M447*$C$1623</f>
        <v>675</v>
      </c>
      <c r="N2063" s="4">
        <f t="shared" si="467"/>
        <v>76.5</v>
      </c>
      <c r="O2063" s="4">
        <f t="shared" si="467"/>
        <v>7626</v>
      </c>
      <c r="P2063" s="4">
        <f t="shared" si="467"/>
        <v>0</v>
      </c>
      <c r="Q2063" s="4">
        <f t="shared" si="467"/>
        <v>3423</v>
      </c>
      <c r="R2063" s="4">
        <f t="shared" si="467"/>
        <v>3.75</v>
      </c>
      <c r="S2063" s="4">
        <f t="shared" si="467"/>
        <v>52.5</v>
      </c>
      <c r="T2063" s="4">
        <f t="shared" si="467"/>
        <v>0</v>
      </c>
      <c r="U2063" s="4">
        <f t="shared" si="467"/>
        <v>0</v>
      </c>
      <c r="V2063" s="4">
        <f t="shared" si="467"/>
        <v>0</v>
      </c>
    </row>
    <row r="2064" spans="4:22" x14ac:dyDescent="0.15">
      <c r="D2064" s="4">
        <f t="shared" si="443"/>
        <v>533</v>
      </c>
      <c r="E2064" s="4">
        <v>24</v>
      </c>
      <c r="H2064" s="29">
        <v>1001</v>
      </c>
      <c r="I2064" s="30">
        <v>0</v>
      </c>
      <c r="M2064" s="4">
        <f t="shared" ref="M2064:V2064" si="468">M448*$C$1623</f>
        <v>690</v>
      </c>
      <c r="N2064" s="4">
        <f t="shared" si="468"/>
        <v>79.5</v>
      </c>
      <c r="O2064" s="4">
        <f t="shared" si="468"/>
        <v>7737</v>
      </c>
      <c r="P2064" s="4">
        <f t="shared" si="468"/>
        <v>0</v>
      </c>
      <c r="Q2064" s="4">
        <f t="shared" si="468"/>
        <v>3432</v>
      </c>
      <c r="R2064" s="4">
        <f t="shared" si="468"/>
        <v>3.75</v>
      </c>
      <c r="S2064" s="4">
        <f t="shared" si="468"/>
        <v>54</v>
      </c>
      <c r="T2064" s="4">
        <f t="shared" si="468"/>
        <v>0</v>
      </c>
      <c r="U2064" s="4">
        <f t="shared" si="468"/>
        <v>0</v>
      </c>
      <c r="V2064" s="4">
        <f t="shared" si="468"/>
        <v>0</v>
      </c>
    </row>
    <row r="2065" spans="4:22" x14ac:dyDescent="0.15">
      <c r="D2065" s="4">
        <f t="shared" si="443"/>
        <v>533</v>
      </c>
      <c r="E2065" s="4">
        <v>25</v>
      </c>
      <c r="H2065" s="29">
        <v>1001</v>
      </c>
      <c r="I2065" s="30">
        <v>0</v>
      </c>
      <c r="M2065" s="4">
        <f t="shared" ref="M2065:V2065" si="469">M449*$C$1623</f>
        <v>705</v>
      </c>
      <c r="N2065" s="4">
        <f t="shared" si="469"/>
        <v>82.5</v>
      </c>
      <c r="O2065" s="4">
        <f t="shared" si="469"/>
        <v>7848</v>
      </c>
      <c r="P2065" s="4">
        <f t="shared" si="469"/>
        <v>0</v>
      </c>
      <c r="Q2065" s="4">
        <f t="shared" si="469"/>
        <v>3441</v>
      </c>
      <c r="R2065" s="4">
        <f t="shared" si="469"/>
        <v>3.75</v>
      </c>
      <c r="S2065" s="4">
        <f t="shared" si="469"/>
        <v>55.5</v>
      </c>
      <c r="T2065" s="4">
        <f t="shared" si="469"/>
        <v>0</v>
      </c>
      <c r="U2065" s="4">
        <f t="shared" si="469"/>
        <v>0</v>
      </c>
      <c r="V2065" s="4">
        <f t="shared" si="469"/>
        <v>0</v>
      </c>
    </row>
    <row r="2066" spans="4:22" x14ac:dyDescent="0.15">
      <c r="D2066" s="4">
        <f t="shared" si="443"/>
        <v>533</v>
      </c>
      <c r="E2066" s="4">
        <v>26</v>
      </c>
      <c r="H2066" s="29">
        <v>1001</v>
      </c>
      <c r="I2066" s="30">
        <v>0</v>
      </c>
      <c r="M2066" s="4">
        <f t="shared" ref="M2066:V2066" si="470">M450*$C$1623</f>
        <v>720</v>
      </c>
      <c r="N2066" s="4">
        <f t="shared" si="470"/>
        <v>85.5</v>
      </c>
      <c r="O2066" s="4">
        <f t="shared" si="470"/>
        <v>7959</v>
      </c>
      <c r="P2066" s="4">
        <f t="shared" si="470"/>
        <v>0</v>
      </c>
      <c r="Q2066" s="4">
        <f t="shared" si="470"/>
        <v>3450</v>
      </c>
      <c r="R2066" s="4">
        <f t="shared" si="470"/>
        <v>3.75</v>
      </c>
      <c r="S2066" s="4">
        <f t="shared" si="470"/>
        <v>57</v>
      </c>
      <c r="T2066" s="4">
        <f t="shared" si="470"/>
        <v>0</v>
      </c>
      <c r="U2066" s="4">
        <f t="shared" si="470"/>
        <v>0</v>
      </c>
      <c r="V2066" s="4">
        <f t="shared" si="470"/>
        <v>0</v>
      </c>
    </row>
    <row r="2067" spans="4:22" x14ac:dyDescent="0.15">
      <c r="D2067" s="4">
        <f t="shared" si="443"/>
        <v>533</v>
      </c>
      <c r="E2067" s="4">
        <v>27</v>
      </c>
      <c r="H2067" s="29">
        <v>1001</v>
      </c>
      <c r="I2067" s="30">
        <v>0</v>
      </c>
      <c r="M2067" s="4">
        <f t="shared" ref="M2067:V2067" si="471">M451*$C$1623</f>
        <v>735</v>
      </c>
      <c r="N2067" s="4">
        <f t="shared" si="471"/>
        <v>88.5</v>
      </c>
      <c r="O2067" s="4">
        <f t="shared" si="471"/>
        <v>8070</v>
      </c>
      <c r="P2067" s="4">
        <f t="shared" si="471"/>
        <v>0</v>
      </c>
      <c r="Q2067" s="4">
        <f t="shared" si="471"/>
        <v>3459</v>
      </c>
      <c r="R2067" s="4">
        <f t="shared" si="471"/>
        <v>3.75</v>
      </c>
      <c r="S2067" s="4">
        <f t="shared" si="471"/>
        <v>58.5</v>
      </c>
      <c r="T2067" s="4">
        <f t="shared" si="471"/>
        <v>0</v>
      </c>
      <c r="U2067" s="4">
        <f t="shared" si="471"/>
        <v>0</v>
      </c>
      <c r="V2067" s="4">
        <f t="shared" si="471"/>
        <v>0</v>
      </c>
    </row>
    <row r="2068" spans="4:22" x14ac:dyDescent="0.15">
      <c r="D2068" s="4">
        <f t="shared" si="443"/>
        <v>533</v>
      </c>
      <c r="E2068" s="4">
        <v>28</v>
      </c>
      <c r="H2068" s="29">
        <v>1001</v>
      </c>
      <c r="I2068" s="30">
        <v>0</v>
      </c>
      <c r="M2068" s="4">
        <f t="shared" ref="M2068:V2068" si="472">M452*$C$1623</f>
        <v>750</v>
      </c>
      <c r="N2068" s="4">
        <f t="shared" si="472"/>
        <v>91.5</v>
      </c>
      <c r="O2068" s="4">
        <f t="shared" si="472"/>
        <v>8181</v>
      </c>
      <c r="P2068" s="4">
        <f t="shared" si="472"/>
        <v>0</v>
      </c>
      <c r="Q2068" s="4">
        <f t="shared" si="472"/>
        <v>3468</v>
      </c>
      <c r="R2068" s="4">
        <f t="shared" si="472"/>
        <v>3.75</v>
      </c>
      <c r="S2068" s="4">
        <f t="shared" si="472"/>
        <v>60</v>
      </c>
      <c r="T2068" s="4">
        <f t="shared" si="472"/>
        <v>0</v>
      </c>
      <c r="U2068" s="4">
        <f t="shared" si="472"/>
        <v>0</v>
      </c>
      <c r="V2068" s="4">
        <f t="shared" si="472"/>
        <v>0</v>
      </c>
    </row>
    <row r="2069" spans="4:22" x14ac:dyDescent="0.15">
      <c r="D2069" s="4">
        <f t="shared" si="443"/>
        <v>533</v>
      </c>
      <c r="E2069" s="4">
        <v>29</v>
      </c>
      <c r="H2069" s="29">
        <v>1001</v>
      </c>
      <c r="I2069" s="30">
        <v>0</v>
      </c>
      <c r="M2069" s="4">
        <f t="shared" ref="M2069:V2069" si="473">M453*$C$1623</f>
        <v>765</v>
      </c>
      <c r="N2069" s="4">
        <f t="shared" si="473"/>
        <v>94.5</v>
      </c>
      <c r="O2069" s="4">
        <f t="shared" si="473"/>
        <v>8292</v>
      </c>
      <c r="P2069" s="4">
        <f t="shared" si="473"/>
        <v>0</v>
      </c>
      <c r="Q2069" s="4">
        <f t="shared" si="473"/>
        <v>3477</v>
      </c>
      <c r="R2069" s="4">
        <f t="shared" si="473"/>
        <v>3.75</v>
      </c>
      <c r="S2069" s="4">
        <f t="shared" si="473"/>
        <v>61.5</v>
      </c>
      <c r="T2069" s="4">
        <f t="shared" si="473"/>
        <v>0</v>
      </c>
      <c r="U2069" s="4">
        <f t="shared" si="473"/>
        <v>0</v>
      </c>
      <c r="V2069" s="4">
        <f t="shared" si="473"/>
        <v>0</v>
      </c>
    </row>
    <row r="2070" spans="4:22" x14ac:dyDescent="0.15">
      <c r="D2070" s="4">
        <f t="shared" si="443"/>
        <v>533</v>
      </c>
      <c r="E2070" s="4">
        <v>30</v>
      </c>
      <c r="H2070" s="29">
        <v>1001</v>
      </c>
      <c r="I2070" s="30">
        <v>0</v>
      </c>
      <c r="M2070" s="4">
        <f t="shared" ref="M2070:V2070" si="474">M454*$C$1623</f>
        <v>780</v>
      </c>
      <c r="N2070" s="4">
        <f t="shared" si="474"/>
        <v>97.5</v>
      </c>
      <c r="O2070" s="4">
        <f t="shared" si="474"/>
        <v>8403</v>
      </c>
      <c r="P2070" s="4">
        <f t="shared" si="474"/>
        <v>0</v>
      </c>
      <c r="Q2070" s="4">
        <f t="shared" si="474"/>
        <v>3486</v>
      </c>
      <c r="R2070" s="4">
        <f t="shared" si="474"/>
        <v>3.75</v>
      </c>
      <c r="S2070" s="4">
        <f t="shared" si="474"/>
        <v>63</v>
      </c>
      <c r="T2070" s="4">
        <f t="shared" si="474"/>
        <v>0</v>
      </c>
      <c r="U2070" s="4">
        <f t="shared" si="474"/>
        <v>0</v>
      </c>
      <c r="V2070" s="4">
        <f t="shared" si="474"/>
        <v>0</v>
      </c>
    </row>
    <row r="2071" spans="4:22" x14ac:dyDescent="0.15">
      <c r="D2071" s="4">
        <f t="shared" si="443"/>
        <v>533</v>
      </c>
      <c r="E2071" s="4">
        <v>31</v>
      </c>
      <c r="H2071" s="29">
        <v>1001</v>
      </c>
      <c r="I2071" s="30">
        <v>0</v>
      </c>
      <c r="M2071" s="4">
        <f t="shared" ref="M2071:V2071" si="475">M455*$C$1623</f>
        <v>795</v>
      </c>
      <c r="N2071" s="4">
        <f t="shared" si="475"/>
        <v>100.5</v>
      </c>
      <c r="O2071" s="4">
        <f t="shared" si="475"/>
        <v>8514</v>
      </c>
      <c r="P2071" s="4">
        <f t="shared" si="475"/>
        <v>0</v>
      </c>
      <c r="Q2071" s="4">
        <f t="shared" si="475"/>
        <v>3495</v>
      </c>
      <c r="R2071" s="4">
        <f t="shared" si="475"/>
        <v>3.75</v>
      </c>
      <c r="S2071" s="4">
        <f t="shared" si="475"/>
        <v>64.5</v>
      </c>
      <c r="T2071" s="4">
        <f t="shared" si="475"/>
        <v>0</v>
      </c>
      <c r="U2071" s="4">
        <f t="shared" si="475"/>
        <v>0</v>
      </c>
      <c r="V2071" s="4">
        <f t="shared" si="475"/>
        <v>0</v>
      </c>
    </row>
    <row r="2072" spans="4:22" x14ac:dyDescent="0.15">
      <c r="D2072" s="4">
        <f t="shared" si="443"/>
        <v>533</v>
      </c>
      <c r="E2072" s="4">
        <v>32</v>
      </c>
      <c r="H2072" s="29">
        <v>1001</v>
      </c>
      <c r="I2072" s="30">
        <v>0</v>
      </c>
      <c r="M2072" s="4">
        <f t="shared" ref="M2072:V2072" si="476">M456*$C$1623</f>
        <v>810</v>
      </c>
      <c r="N2072" s="4">
        <f t="shared" si="476"/>
        <v>103.5</v>
      </c>
      <c r="O2072" s="4">
        <f t="shared" si="476"/>
        <v>8625</v>
      </c>
      <c r="P2072" s="4">
        <f t="shared" si="476"/>
        <v>0</v>
      </c>
      <c r="Q2072" s="4">
        <f t="shared" si="476"/>
        <v>3504</v>
      </c>
      <c r="R2072" s="4">
        <f t="shared" si="476"/>
        <v>3.75</v>
      </c>
      <c r="S2072" s="4">
        <f t="shared" si="476"/>
        <v>66</v>
      </c>
      <c r="T2072" s="4">
        <f t="shared" si="476"/>
        <v>0</v>
      </c>
      <c r="U2072" s="4">
        <f t="shared" si="476"/>
        <v>0</v>
      </c>
      <c r="V2072" s="4">
        <f t="shared" si="476"/>
        <v>0</v>
      </c>
    </row>
    <row r="2073" spans="4:22" x14ac:dyDescent="0.15">
      <c r="D2073" s="4">
        <f t="shared" si="443"/>
        <v>533</v>
      </c>
      <c r="E2073" s="4">
        <v>33</v>
      </c>
      <c r="H2073" s="29">
        <v>1001</v>
      </c>
      <c r="I2073" s="30">
        <v>0</v>
      </c>
      <c r="M2073" s="4">
        <f t="shared" ref="M2073:V2073" si="477">M457*$C$1623</f>
        <v>825</v>
      </c>
      <c r="N2073" s="4">
        <f t="shared" si="477"/>
        <v>106.5</v>
      </c>
      <c r="O2073" s="4">
        <f t="shared" si="477"/>
        <v>8736</v>
      </c>
      <c r="P2073" s="4">
        <f t="shared" si="477"/>
        <v>0</v>
      </c>
      <c r="Q2073" s="4">
        <f t="shared" si="477"/>
        <v>3513</v>
      </c>
      <c r="R2073" s="4">
        <f t="shared" si="477"/>
        <v>3.75</v>
      </c>
      <c r="S2073" s="4">
        <f t="shared" si="477"/>
        <v>67.5</v>
      </c>
      <c r="T2073" s="4">
        <f t="shared" si="477"/>
        <v>0</v>
      </c>
      <c r="U2073" s="4">
        <f t="shared" si="477"/>
        <v>0</v>
      </c>
      <c r="V2073" s="4">
        <f t="shared" si="477"/>
        <v>0</v>
      </c>
    </row>
    <row r="2074" spans="4:22" x14ac:dyDescent="0.15">
      <c r="D2074" s="4">
        <f t="shared" si="443"/>
        <v>533</v>
      </c>
      <c r="E2074" s="4">
        <v>34</v>
      </c>
      <c r="H2074" s="29">
        <v>1001</v>
      </c>
      <c r="I2074" s="30">
        <v>0</v>
      </c>
      <c r="M2074" s="4">
        <f t="shared" ref="M2074:V2074" si="478">M458*$C$1623</f>
        <v>840</v>
      </c>
      <c r="N2074" s="4">
        <f t="shared" si="478"/>
        <v>109.5</v>
      </c>
      <c r="O2074" s="4">
        <f t="shared" si="478"/>
        <v>8847</v>
      </c>
      <c r="P2074" s="4">
        <f t="shared" si="478"/>
        <v>0</v>
      </c>
      <c r="Q2074" s="4">
        <f t="shared" si="478"/>
        <v>3522</v>
      </c>
      <c r="R2074" s="4">
        <f t="shared" si="478"/>
        <v>3.75</v>
      </c>
      <c r="S2074" s="4">
        <f t="shared" si="478"/>
        <v>69</v>
      </c>
      <c r="T2074" s="4">
        <f t="shared" si="478"/>
        <v>0</v>
      </c>
      <c r="U2074" s="4">
        <f t="shared" si="478"/>
        <v>0</v>
      </c>
      <c r="V2074" s="4">
        <f t="shared" si="478"/>
        <v>0</v>
      </c>
    </row>
    <row r="2075" spans="4:22" x14ac:dyDescent="0.15">
      <c r="D2075" s="4">
        <f t="shared" si="443"/>
        <v>533</v>
      </c>
      <c r="E2075" s="4">
        <v>35</v>
      </c>
      <c r="H2075" s="29">
        <v>1001</v>
      </c>
      <c r="I2075" s="30">
        <v>0</v>
      </c>
      <c r="M2075" s="4">
        <f t="shared" ref="M2075:V2075" si="479">M459*$C$1623</f>
        <v>855</v>
      </c>
      <c r="N2075" s="4">
        <f t="shared" si="479"/>
        <v>112.5</v>
      </c>
      <c r="O2075" s="4">
        <f t="shared" si="479"/>
        <v>8958</v>
      </c>
      <c r="P2075" s="4">
        <f t="shared" si="479"/>
        <v>0</v>
      </c>
      <c r="Q2075" s="4">
        <f t="shared" si="479"/>
        <v>3531</v>
      </c>
      <c r="R2075" s="4">
        <f t="shared" si="479"/>
        <v>3.75</v>
      </c>
      <c r="S2075" s="4">
        <f t="shared" si="479"/>
        <v>70.5</v>
      </c>
      <c r="T2075" s="4">
        <f t="shared" si="479"/>
        <v>0</v>
      </c>
      <c r="U2075" s="4">
        <f t="shared" si="479"/>
        <v>0</v>
      </c>
      <c r="V2075" s="4">
        <f t="shared" si="479"/>
        <v>0</v>
      </c>
    </row>
    <row r="2076" spans="4:22" x14ac:dyDescent="0.15">
      <c r="D2076" s="4">
        <f t="shared" si="443"/>
        <v>533</v>
      </c>
      <c r="E2076" s="4">
        <v>36</v>
      </c>
      <c r="H2076" s="29">
        <v>1001</v>
      </c>
      <c r="I2076" s="30">
        <v>0</v>
      </c>
      <c r="M2076" s="4">
        <f t="shared" ref="M2076:V2076" si="480">M460*$C$1623</f>
        <v>870</v>
      </c>
      <c r="N2076" s="4">
        <f t="shared" si="480"/>
        <v>115.5</v>
      </c>
      <c r="O2076" s="4">
        <f t="shared" si="480"/>
        <v>9069</v>
      </c>
      <c r="P2076" s="4">
        <f t="shared" si="480"/>
        <v>0</v>
      </c>
      <c r="Q2076" s="4">
        <f t="shared" si="480"/>
        <v>3540</v>
      </c>
      <c r="R2076" s="4">
        <f t="shared" si="480"/>
        <v>3.75</v>
      </c>
      <c r="S2076" s="4">
        <f t="shared" si="480"/>
        <v>72</v>
      </c>
      <c r="T2076" s="4">
        <f t="shared" si="480"/>
        <v>0</v>
      </c>
      <c r="U2076" s="4">
        <f t="shared" si="480"/>
        <v>0</v>
      </c>
      <c r="V2076" s="4">
        <f t="shared" si="480"/>
        <v>0</v>
      </c>
    </row>
    <row r="2077" spans="4:22" x14ac:dyDescent="0.15">
      <c r="D2077" s="4">
        <f t="shared" si="443"/>
        <v>533</v>
      </c>
      <c r="E2077" s="4">
        <v>37</v>
      </c>
      <c r="H2077" s="29">
        <v>1001</v>
      </c>
      <c r="I2077" s="30">
        <v>0</v>
      </c>
      <c r="M2077" s="4">
        <f t="shared" ref="M2077:V2077" si="481">M461*$C$1623</f>
        <v>885</v>
      </c>
      <c r="N2077" s="4">
        <f t="shared" si="481"/>
        <v>118.5</v>
      </c>
      <c r="O2077" s="4">
        <f t="shared" si="481"/>
        <v>9180</v>
      </c>
      <c r="P2077" s="4">
        <f t="shared" si="481"/>
        <v>0</v>
      </c>
      <c r="Q2077" s="4">
        <f t="shared" si="481"/>
        <v>3549</v>
      </c>
      <c r="R2077" s="4">
        <f t="shared" si="481"/>
        <v>3.75</v>
      </c>
      <c r="S2077" s="4">
        <f t="shared" si="481"/>
        <v>73.5</v>
      </c>
      <c r="T2077" s="4">
        <f t="shared" si="481"/>
        <v>0</v>
      </c>
      <c r="U2077" s="4">
        <f t="shared" si="481"/>
        <v>0</v>
      </c>
      <c r="V2077" s="4">
        <f t="shared" si="481"/>
        <v>0</v>
      </c>
    </row>
    <row r="2078" spans="4:22" x14ac:dyDescent="0.15">
      <c r="D2078" s="4">
        <f t="shared" si="443"/>
        <v>533</v>
      </c>
      <c r="E2078" s="4">
        <v>38</v>
      </c>
      <c r="H2078" s="29">
        <v>1001</v>
      </c>
      <c r="I2078" s="30">
        <v>0</v>
      </c>
      <c r="M2078" s="4">
        <f t="shared" ref="M2078:V2078" si="482">M462*$C$1623</f>
        <v>900</v>
      </c>
      <c r="N2078" s="4">
        <f t="shared" si="482"/>
        <v>121.5</v>
      </c>
      <c r="O2078" s="4">
        <f t="shared" si="482"/>
        <v>9291</v>
      </c>
      <c r="P2078" s="4">
        <f t="shared" si="482"/>
        <v>0</v>
      </c>
      <c r="Q2078" s="4">
        <f t="shared" si="482"/>
        <v>3558</v>
      </c>
      <c r="R2078" s="4">
        <f t="shared" si="482"/>
        <v>3.75</v>
      </c>
      <c r="S2078" s="4">
        <f t="shared" si="482"/>
        <v>75</v>
      </c>
      <c r="T2078" s="4">
        <f t="shared" si="482"/>
        <v>0</v>
      </c>
      <c r="U2078" s="4">
        <f t="shared" si="482"/>
        <v>0</v>
      </c>
      <c r="V2078" s="4">
        <f t="shared" si="482"/>
        <v>0</v>
      </c>
    </row>
    <row r="2079" spans="4:22" x14ac:dyDescent="0.15">
      <c r="D2079" s="4">
        <f t="shared" si="443"/>
        <v>533</v>
      </c>
      <c r="E2079" s="4">
        <v>39</v>
      </c>
      <c r="H2079" s="29">
        <v>1001</v>
      </c>
      <c r="I2079" s="30">
        <v>0</v>
      </c>
      <c r="M2079" s="4">
        <f t="shared" ref="M2079:V2079" si="483">M463*$C$1623</f>
        <v>915</v>
      </c>
      <c r="N2079" s="4">
        <f t="shared" si="483"/>
        <v>124.5</v>
      </c>
      <c r="O2079" s="4">
        <f t="shared" si="483"/>
        <v>9402</v>
      </c>
      <c r="P2079" s="4">
        <f t="shared" si="483"/>
        <v>0</v>
      </c>
      <c r="Q2079" s="4">
        <f t="shared" si="483"/>
        <v>3567</v>
      </c>
      <c r="R2079" s="4">
        <f t="shared" si="483"/>
        <v>3.75</v>
      </c>
      <c r="S2079" s="4">
        <f t="shared" si="483"/>
        <v>76.5</v>
      </c>
      <c r="T2079" s="4">
        <f t="shared" si="483"/>
        <v>0</v>
      </c>
      <c r="U2079" s="4">
        <f t="shared" si="483"/>
        <v>0</v>
      </c>
      <c r="V2079" s="4">
        <f t="shared" si="483"/>
        <v>0</v>
      </c>
    </row>
    <row r="2080" spans="4:22" x14ac:dyDescent="0.15">
      <c r="D2080" s="4">
        <f t="shared" si="443"/>
        <v>533</v>
      </c>
      <c r="E2080" s="4">
        <v>40</v>
      </c>
      <c r="H2080" s="29">
        <v>1001</v>
      </c>
      <c r="I2080" s="30">
        <v>0</v>
      </c>
      <c r="M2080" s="4">
        <f t="shared" ref="M2080:V2080" si="484">M464*$C$1623</f>
        <v>930</v>
      </c>
      <c r="N2080" s="4">
        <f t="shared" si="484"/>
        <v>127.5</v>
      </c>
      <c r="O2080" s="4">
        <f t="shared" si="484"/>
        <v>9513</v>
      </c>
      <c r="P2080" s="4">
        <f t="shared" si="484"/>
        <v>0</v>
      </c>
      <c r="Q2080" s="4">
        <f t="shared" si="484"/>
        <v>3576</v>
      </c>
      <c r="R2080" s="4">
        <f t="shared" si="484"/>
        <v>3.75</v>
      </c>
      <c r="S2080" s="4">
        <f t="shared" si="484"/>
        <v>78</v>
      </c>
      <c r="T2080" s="4">
        <f t="shared" si="484"/>
        <v>0</v>
      </c>
      <c r="U2080" s="4">
        <f t="shared" si="484"/>
        <v>0</v>
      </c>
      <c r="V2080" s="4">
        <f t="shared" si="484"/>
        <v>0</v>
      </c>
    </row>
    <row r="2081" spans="1:22" x14ac:dyDescent="0.15">
      <c r="D2081" s="4">
        <f t="shared" si="443"/>
        <v>533</v>
      </c>
      <c r="E2081" s="4">
        <v>41</v>
      </c>
      <c r="H2081" s="29">
        <v>1001</v>
      </c>
      <c r="I2081" s="30">
        <v>0</v>
      </c>
      <c r="M2081" s="4">
        <f t="shared" ref="M2081:V2081" si="485">M465*$C$1623</f>
        <v>945</v>
      </c>
      <c r="N2081" s="4">
        <f t="shared" si="485"/>
        <v>130.5</v>
      </c>
      <c r="O2081" s="4">
        <f t="shared" si="485"/>
        <v>9624</v>
      </c>
      <c r="P2081" s="4">
        <f t="shared" si="485"/>
        <v>0</v>
      </c>
      <c r="Q2081" s="4">
        <f t="shared" si="485"/>
        <v>3585</v>
      </c>
      <c r="R2081" s="4">
        <f t="shared" si="485"/>
        <v>3.75</v>
      </c>
      <c r="S2081" s="4">
        <f t="shared" si="485"/>
        <v>79.5</v>
      </c>
      <c r="T2081" s="4">
        <f t="shared" si="485"/>
        <v>0</v>
      </c>
      <c r="U2081" s="4">
        <f t="shared" si="485"/>
        <v>0</v>
      </c>
      <c r="V2081" s="4">
        <f t="shared" si="485"/>
        <v>0</v>
      </c>
    </row>
    <row r="2082" spans="1:22" x14ac:dyDescent="0.15">
      <c r="D2082" s="4">
        <f t="shared" si="443"/>
        <v>533</v>
      </c>
      <c r="E2082" s="4">
        <v>42</v>
      </c>
      <c r="H2082" s="29">
        <v>1001</v>
      </c>
      <c r="I2082" s="30">
        <v>0</v>
      </c>
      <c r="M2082" s="4">
        <f t="shared" ref="M2082:V2082" si="486">M466*$C$1623</f>
        <v>960</v>
      </c>
      <c r="N2082" s="4">
        <f t="shared" si="486"/>
        <v>133.5</v>
      </c>
      <c r="O2082" s="4">
        <f t="shared" si="486"/>
        <v>9735</v>
      </c>
      <c r="P2082" s="4">
        <f t="shared" si="486"/>
        <v>0</v>
      </c>
      <c r="Q2082" s="4">
        <f t="shared" si="486"/>
        <v>3594</v>
      </c>
      <c r="R2082" s="4">
        <f t="shared" si="486"/>
        <v>3.75</v>
      </c>
      <c r="S2082" s="4">
        <f t="shared" si="486"/>
        <v>81</v>
      </c>
      <c r="T2082" s="4">
        <f t="shared" si="486"/>
        <v>0</v>
      </c>
      <c r="U2082" s="4">
        <f t="shared" si="486"/>
        <v>0</v>
      </c>
      <c r="V2082" s="4">
        <f t="shared" si="486"/>
        <v>0</v>
      </c>
    </row>
    <row r="2083" spans="1:22" x14ac:dyDescent="0.15">
      <c r="D2083" s="4">
        <f t="shared" si="443"/>
        <v>533</v>
      </c>
      <c r="E2083" s="4">
        <v>43</v>
      </c>
      <c r="H2083" s="29">
        <v>1001</v>
      </c>
      <c r="I2083" s="30">
        <v>0</v>
      </c>
      <c r="M2083" s="4">
        <f t="shared" ref="M2083:V2083" si="487">M467*$C$1623</f>
        <v>975</v>
      </c>
      <c r="N2083" s="4">
        <f t="shared" si="487"/>
        <v>136.5</v>
      </c>
      <c r="O2083" s="4">
        <f t="shared" si="487"/>
        <v>9846</v>
      </c>
      <c r="P2083" s="4">
        <f t="shared" si="487"/>
        <v>0</v>
      </c>
      <c r="Q2083" s="4">
        <f t="shared" si="487"/>
        <v>3603</v>
      </c>
      <c r="R2083" s="4">
        <f t="shared" si="487"/>
        <v>3.75</v>
      </c>
      <c r="S2083" s="4">
        <f t="shared" si="487"/>
        <v>82.5</v>
      </c>
      <c r="T2083" s="4">
        <f t="shared" si="487"/>
        <v>0</v>
      </c>
      <c r="U2083" s="4">
        <f t="shared" si="487"/>
        <v>0</v>
      </c>
      <c r="V2083" s="4">
        <f t="shared" si="487"/>
        <v>0</v>
      </c>
    </row>
    <row r="2084" spans="1:22" x14ac:dyDescent="0.15">
      <c r="D2084" s="4">
        <f t="shared" si="443"/>
        <v>533</v>
      </c>
      <c r="E2084" s="4">
        <v>44</v>
      </c>
      <c r="H2084" s="29">
        <v>1001</v>
      </c>
      <c r="I2084" s="30">
        <v>0</v>
      </c>
      <c r="M2084" s="4">
        <f t="shared" ref="M2084:V2084" si="488">M468*$C$1623</f>
        <v>990</v>
      </c>
      <c r="N2084" s="4">
        <f t="shared" si="488"/>
        <v>139.5</v>
      </c>
      <c r="O2084" s="4">
        <f t="shared" si="488"/>
        <v>9957</v>
      </c>
      <c r="P2084" s="4">
        <f t="shared" si="488"/>
        <v>0</v>
      </c>
      <c r="Q2084" s="4">
        <f t="shared" si="488"/>
        <v>3612</v>
      </c>
      <c r="R2084" s="4">
        <f t="shared" si="488"/>
        <v>3.75</v>
      </c>
      <c r="S2084" s="4">
        <f t="shared" si="488"/>
        <v>84</v>
      </c>
      <c r="T2084" s="4">
        <f t="shared" si="488"/>
        <v>0</v>
      </c>
      <c r="U2084" s="4">
        <f t="shared" si="488"/>
        <v>0</v>
      </c>
      <c r="V2084" s="4">
        <f t="shared" si="488"/>
        <v>0</v>
      </c>
    </row>
    <row r="2085" spans="1:22" x14ac:dyDescent="0.15">
      <c r="D2085" s="4">
        <f t="shared" si="443"/>
        <v>533</v>
      </c>
      <c r="E2085" s="4">
        <v>45</v>
      </c>
      <c r="H2085" s="29">
        <v>1001</v>
      </c>
      <c r="I2085" s="30">
        <v>0</v>
      </c>
      <c r="M2085" s="4">
        <f t="shared" ref="M2085:V2085" si="489">M469*$C$1623</f>
        <v>1005</v>
      </c>
      <c r="N2085" s="4">
        <f t="shared" si="489"/>
        <v>142.5</v>
      </c>
      <c r="O2085" s="4">
        <f t="shared" si="489"/>
        <v>10068</v>
      </c>
      <c r="P2085" s="4">
        <f t="shared" si="489"/>
        <v>0</v>
      </c>
      <c r="Q2085" s="4">
        <f t="shared" si="489"/>
        <v>3621</v>
      </c>
      <c r="R2085" s="4">
        <f t="shared" si="489"/>
        <v>3.75</v>
      </c>
      <c r="S2085" s="4">
        <f t="shared" si="489"/>
        <v>85.5</v>
      </c>
      <c r="T2085" s="4">
        <f t="shared" si="489"/>
        <v>0</v>
      </c>
      <c r="U2085" s="4">
        <f t="shared" si="489"/>
        <v>0</v>
      </c>
      <c r="V2085" s="4">
        <f t="shared" si="489"/>
        <v>0</v>
      </c>
    </row>
    <row r="2086" spans="1:22" x14ac:dyDescent="0.15">
      <c r="D2086" s="4">
        <f t="shared" si="443"/>
        <v>533</v>
      </c>
      <c r="E2086" s="4">
        <v>46</v>
      </c>
      <c r="H2086" s="29">
        <v>1001</v>
      </c>
      <c r="I2086" s="30">
        <v>0</v>
      </c>
      <c r="M2086" s="4">
        <f t="shared" ref="M2086:V2086" si="490">M470*$C$1623</f>
        <v>1020</v>
      </c>
      <c r="N2086" s="4">
        <f t="shared" si="490"/>
        <v>145.5</v>
      </c>
      <c r="O2086" s="4">
        <f t="shared" si="490"/>
        <v>10179</v>
      </c>
      <c r="P2086" s="4">
        <f t="shared" si="490"/>
        <v>0</v>
      </c>
      <c r="Q2086" s="4">
        <f t="shared" si="490"/>
        <v>3630</v>
      </c>
      <c r="R2086" s="4">
        <f t="shared" si="490"/>
        <v>3.75</v>
      </c>
      <c r="S2086" s="4">
        <f t="shared" si="490"/>
        <v>87</v>
      </c>
      <c r="T2086" s="4">
        <f t="shared" si="490"/>
        <v>0</v>
      </c>
      <c r="U2086" s="4">
        <f t="shared" si="490"/>
        <v>0</v>
      </c>
      <c r="V2086" s="4">
        <f t="shared" si="490"/>
        <v>0</v>
      </c>
    </row>
    <row r="2087" spans="1:22" x14ac:dyDescent="0.15">
      <c r="D2087" s="4">
        <f t="shared" si="443"/>
        <v>533</v>
      </c>
      <c r="E2087" s="4">
        <v>47</v>
      </c>
      <c r="H2087" s="29">
        <v>1001</v>
      </c>
      <c r="I2087" s="30">
        <v>0</v>
      </c>
      <c r="M2087" s="4">
        <f t="shared" ref="M2087:V2087" si="491">M471*$C$1623</f>
        <v>1035</v>
      </c>
      <c r="N2087" s="4">
        <f t="shared" si="491"/>
        <v>148.5</v>
      </c>
      <c r="O2087" s="4">
        <f t="shared" si="491"/>
        <v>10290</v>
      </c>
      <c r="P2087" s="4">
        <f t="shared" si="491"/>
        <v>0</v>
      </c>
      <c r="Q2087" s="4">
        <f t="shared" si="491"/>
        <v>3639</v>
      </c>
      <c r="R2087" s="4">
        <f t="shared" si="491"/>
        <v>3.75</v>
      </c>
      <c r="S2087" s="4">
        <f t="shared" si="491"/>
        <v>88.5</v>
      </c>
      <c r="T2087" s="4">
        <f t="shared" si="491"/>
        <v>0</v>
      </c>
      <c r="U2087" s="4">
        <f t="shared" si="491"/>
        <v>0</v>
      </c>
      <c r="V2087" s="4">
        <f t="shared" si="491"/>
        <v>0</v>
      </c>
    </row>
    <row r="2088" spans="1:22" x14ac:dyDescent="0.15">
      <c r="D2088" s="4">
        <f t="shared" si="443"/>
        <v>533</v>
      </c>
      <c r="E2088" s="4">
        <v>48</v>
      </c>
      <c r="H2088" s="29">
        <v>1001</v>
      </c>
      <c r="I2088" s="30">
        <v>0</v>
      </c>
      <c r="M2088" s="4">
        <f t="shared" ref="M2088:V2088" si="492">M472*$C$1623</f>
        <v>1050</v>
      </c>
      <c r="N2088" s="4">
        <f t="shared" si="492"/>
        <v>151.5</v>
      </c>
      <c r="O2088" s="4">
        <f t="shared" si="492"/>
        <v>10401</v>
      </c>
      <c r="P2088" s="4">
        <f t="shared" si="492"/>
        <v>0</v>
      </c>
      <c r="Q2088" s="4">
        <f t="shared" si="492"/>
        <v>3648</v>
      </c>
      <c r="R2088" s="4">
        <f t="shared" si="492"/>
        <v>3.75</v>
      </c>
      <c r="S2088" s="4">
        <f t="shared" si="492"/>
        <v>90</v>
      </c>
      <c r="T2088" s="4">
        <f t="shared" si="492"/>
        <v>0</v>
      </c>
      <c r="U2088" s="4">
        <f t="shared" si="492"/>
        <v>0</v>
      </c>
      <c r="V2088" s="4">
        <f t="shared" si="492"/>
        <v>0</v>
      </c>
    </row>
    <row r="2089" spans="1:22" x14ac:dyDescent="0.15">
      <c r="D2089" s="4">
        <f t="shared" si="443"/>
        <v>533</v>
      </c>
      <c r="E2089" s="4">
        <v>49</v>
      </c>
      <c r="H2089" s="29">
        <v>1001</v>
      </c>
      <c r="I2089" s="30">
        <v>0</v>
      </c>
      <c r="M2089" s="4">
        <f t="shared" ref="M2089:V2089" si="493">M473*$C$1623</f>
        <v>1065</v>
      </c>
      <c r="N2089" s="4">
        <f t="shared" si="493"/>
        <v>154.5</v>
      </c>
      <c r="O2089" s="4">
        <f t="shared" si="493"/>
        <v>10512</v>
      </c>
      <c r="P2089" s="4">
        <f t="shared" si="493"/>
        <v>0</v>
      </c>
      <c r="Q2089" s="4">
        <f t="shared" si="493"/>
        <v>3657</v>
      </c>
      <c r="R2089" s="4">
        <f t="shared" si="493"/>
        <v>3.75</v>
      </c>
      <c r="S2089" s="4">
        <f t="shared" si="493"/>
        <v>91.5</v>
      </c>
      <c r="T2089" s="4">
        <f t="shared" si="493"/>
        <v>0</v>
      </c>
      <c r="U2089" s="4">
        <f t="shared" si="493"/>
        <v>0</v>
      </c>
      <c r="V2089" s="4">
        <f t="shared" si="493"/>
        <v>0</v>
      </c>
    </row>
    <row r="2090" spans="1:22" x14ac:dyDescent="0.15">
      <c r="D2090" s="4">
        <f t="shared" si="443"/>
        <v>533</v>
      </c>
      <c r="E2090" s="4">
        <v>50</v>
      </c>
      <c r="H2090" s="29">
        <v>1001</v>
      </c>
      <c r="I2090" s="30">
        <v>0</v>
      </c>
      <c r="M2090" s="4">
        <f t="shared" ref="M2090:V2090" si="494">M474*$C$1623</f>
        <v>1080</v>
      </c>
      <c r="N2090" s="4">
        <f t="shared" si="494"/>
        <v>157.5</v>
      </c>
      <c r="O2090" s="4">
        <f t="shared" si="494"/>
        <v>10623</v>
      </c>
      <c r="P2090" s="4">
        <f t="shared" si="494"/>
        <v>0</v>
      </c>
      <c r="Q2090" s="4">
        <f t="shared" si="494"/>
        <v>3666</v>
      </c>
      <c r="R2090" s="4">
        <f t="shared" si="494"/>
        <v>3.75</v>
      </c>
      <c r="S2090" s="4">
        <f t="shared" si="494"/>
        <v>93</v>
      </c>
      <c r="T2090" s="4">
        <f t="shared" si="494"/>
        <v>0</v>
      </c>
      <c r="U2090" s="4">
        <f t="shared" si="494"/>
        <v>0</v>
      </c>
      <c r="V2090" s="4">
        <f t="shared" si="494"/>
        <v>0</v>
      </c>
    </row>
    <row r="2091" spans="1:22" x14ac:dyDescent="0.15">
      <c r="I2091" s="4"/>
      <c r="M2091" s="4">
        <f t="shared" ref="M2091:V2091" si="495">M475*$C$1623</f>
        <v>0</v>
      </c>
      <c r="N2091" s="4">
        <f t="shared" si="495"/>
        <v>0</v>
      </c>
      <c r="O2091" s="4">
        <f t="shared" si="495"/>
        <v>0</v>
      </c>
      <c r="P2091" s="4">
        <f t="shared" si="495"/>
        <v>0</v>
      </c>
      <c r="Q2091" s="4">
        <f t="shared" si="495"/>
        <v>0</v>
      </c>
      <c r="R2091" s="4">
        <f t="shared" si="495"/>
        <v>0</v>
      </c>
      <c r="S2091" s="4">
        <f t="shared" si="495"/>
        <v>0</v>
      </c>
      <c r="T2091" s="4">
        <f t="shared" si="495"/>
        <v>0</v>
      </c>
      <c r="U2091" s="4">
        <f t="shared" si="495"/>
        <v>0</v>
      </c>
      <c r="V2091" s="4">
        <f t="shared" si="495"/>
        <v>0</v>
      </c>
    </row>
    <row r="2092" spans="1:22" ht="16.5" x14ac:dyDescent="0.15">
      <c r="A2092" s="4" t="s">
        <v>2662</v>
      </c>
      <c r="B2092" s="4" t="s">
        <v>3084</v>
      </c>
      <c r="C2092" s="4" t="s">
        <v>3085</v>
      </c>
      <c r="D2092" s="4">
        <v>541</v>
      </c>
      <c r="E2092" s="4">
        <v>0</v>
      </c>
      <c r="H2092" s="38">
        <v>2003</v>
      </c>
      <c r="I2092" s="38">
        <v>1</v>
      </c>
      <c r="L2092" s="8">
        <v>801</v>
      </c>
      <c r="M2092" s="4">
        <f t="shared" ref="M2092:V2092" si="496">M476*$C$1623</f>
        <v>0</v>
      </c>
      <c r="N2092" s="4">
        <f t="shared" si="496"/>
        <v>0</v>
      </c>
      <c r="O2092" s="4">
        <f t="shared" si="496"/>
        <v>0</v>
      </c>
      <c r="P2092" s="4">
        <f t="shared" si="496"/>
        <v>0</v>
      </c>
      <c r="Q2092" s="4">
        <f t="shared" si="496"/>
        <v>0</v>
      </c>
      <c r="R2092" s="4">
        <f t="shared" si="496"/>
        <v>0</v>
      </c>
      <c r="S2092" s="4">
        <f t="shared" si="496"/>
        <v>0</v>
      </c>
      <c r="T2092" s="4">
        <f t="shared" si="496"/>
        <v>0</v>
      </c>
      <c r="U2092" s="4">
        <f t="shared" si="496"/>
        <v>0</v>
      </c>
      <c r="V2092" s="4">
        <f t="shared" si="496"/>
        <v>0</v>
      </c>
    </row>
    <row r="2093" spans="1:22" x14ac:dyDescent="0.15">
      <c r="A2093" s="4" t="s">
        <v>2662</v>
      </c>
      <c r="D2093" s="4">
        <v>541</v>
      </c>
      <c r="E2093" s="4">
        <v>1</v>
      </c>
      <c r="H2093" s="29">
        <v>1001</v>
      </c>
      <c r="I2093" s="30">
        <v>0</v>
      </c>
      <c r="M2093" s="4">
        <f t="shared" ref="M2093:V2093" si="497">M477*$C$1623</f>
        <v>45</v>
      </c>
      <c r="N2093" s="4">
        <f t="shared" si="497"/>
        <v>3</v>
      </c>
      <c r="O2093" s="4">
        <f t="shared" si="497"/>
        <v>900</v>
      </c>
      <c r="P2093" s="4">
        <f t="shared" si="497"/>
        <v>0</v>
      </c>
      <c r="Q2093" s="4">
        <f t="shared" si="497"/>
        <v>1200</v>
      </c>
      <c r="R2093" s="4">
        <f t="shared" si="497"/>
        <v>3.75</v>
      </c>
      <c r="S2093" s="4">
        <f t="shared" si="497"/>
        <v>7.5</v>
      </c>
      <c r="T2093" s="4">
        <f t="shared" si="497"/>
        <v>0</v>
      </c>
      <c r="U2093" s="4">
        <f t="shared" si="497"/>
        <v>0</v>
      </c>
      <c r="V2093" s="4">
        <f t="shared" si="497"/>
        <v>0</v>
      </c>
    </row>
    <row r="2094" spans="1:22" x14ac:dyDescent="0.15">
      <c r="A2094" s="4" t="s">
        <v>2662</v>
      </c>
      <c r="D2094" s="4">
        <v>541</v>
      </c>
      <c r="E2094" s="4">
        <v>2</v>
      </c>
      <c r="H2094" s="29">
        <v>1001</v>
      </c>
      <c r="I2094" s="30">
        <v>0</v>
      </c>
      <c r="M2094" s="4">
        <f t="shared" ref="M2094:V2094" si="498">M478*$C$1623</f>
        <v>51</v>
      </c>
      <c r="N2094" s="4">
        <f t="shared" si="498"/>
        <v>4.5</v>
      </c>
      <c r="O2094" s="4">
        <f t="shared" si="498"/>
        <v>936</v>
      </c>
      <c r="P2094" s="4">
        <f t="shared" si="498"/>
        <v>0</v>
      </c>
      <c r="Q2094" s="4">
        <f t="shared" si="498"/>
        <v>1207.5</v>
      </c>
      <c r="R2094" s="4">
        <f t="shared" si="498"/>
        <v>3.75</v>
      </c>
      <c r="S2094" s="4">
        <f t="shared" si="498"/>
        <v>9</v>
      </c>
      <c r="T2094" s="4">
        <f t="shared" si="498"/>
        <v>0</v>
      </c>
      <c r="U2094" s="4">
        <f t="shared" si="498"/>
        <v>0</v>
      </c>
      <c r="V2094" s="4">
        <f t="shared" si="498"/>
        <v>0</v>
      </c>
    </row>
    <row r="2095" spans="1:22" x14ac:dyDescent="0.15">
      <c r="A2095" s="4" t="s">
        <v>2662</v>
      </c>
      <c r="D2095" s="4">
        <v>541</v>
      </c>
      <c r="E2095" s="4">
        <v>3</v>
      </c>
      <c r="H2095" s="29">
        <v>1001</v>
      </c>
      <c r="I2095" s="30">
        <v>0</v>
      </c>
      <c r="M2095" s="4">
        <f t="shared" ref="M2095:V2095" si="499">M479*$C$1623</f>
        <v>57</v>
      </c>
      <c r="N2095" s="4">
        <f t="shared" si="499"/>
        <v>6</v>
      </c>
      <c r="O2095" s="4">
        <f t="shared" si="499"/>
        <v>972</v>
      </c>
      <c r="P2095" s="4">
        <f t="shared" si="499"/>
        <v>0</v>
      </c>
      <c r="Q2095" s="4">
        <f t="shared" si="499"/>
        <v>1215</v>
      </c>
      <c r="R2095" s="4">
        <f t="shared" si="499"/>
        <v>3.75</v>
      </c>
      <c r="S2095" s="4">
        <f t="shared" si="499"/>
        <v>10.5</v>
      </c>
      <c r="T2095" s="4">
        <f t="shared" si="499"/>
        <v>0</v>
      </c>
      <c r="U2095" s="4">
        <f t="shared" si="499"/>
        <v>0</v>
      </c>
      <c r="V2095" s="4">
        <f t="shared" si="499"/>
        <v>0</v>
      </c>
    </row>
    <row r="2096" spans="1:22" x14ac:dyDescent="0.15">
      <c r="A2096" s="4" t="s">
        <v>2662</v>
      </c>
      <c r="D2096" s="4">
        <v>541</v>
      </c>
      <c r="E2096" s="4">
        <v>4</v>
      </c>
      <c r="H2096" s="29">
        <v>1001</v>
      </c>
      <c r="I2096" s="30">
        <v>0</v>
      </c>
      <c r="M2096" s="4">
        <f t="shared" ref="M2096:V2096" si="500">M480*$C$1623</f>
        <v>63</v>
      </c>
      <c r="N2096" s="4">
        <f t="shared" si="500"/>
        <v>7.5</v>
      </c>
      <c r="O2096" s="4">
        <f t="shared" si="500"/>
        <v>1008</v>
      </c>
      <c r="P2096" s="4">
        <f t="shared" si="500"/>
        <v>0</v>
      </c>
      <c r="Q2096" s="4">
        <f t="shared" si="500"/>
        <v>1222.5</v>
      </c>
      <c r="R2096" s="4">
        <f t="shared" si="500"/>
        <v>3.75</v>
      </c>
      <c r="S2096" s="4">
        <f t="shared" si="500"/>
        <v>12</v>
      </c>
      <c r="T2096" s="4">
        <f t="shared" si="500"/>
        <v>0</v>
      </c>
      <c r="U2096" s="4">
        <f t="shared" si="500"/>
        <v>0</v>
      </c>
      <c r="V2096" s="4">
        <f t="shared" si="500"/>
        <v>0</v>
      </c>
    </row>
    <row r="2097" spans="1:22" x14ac:dyDescent="0.15">
      <c r="A2097" s="4" t="s">
        <v>2662</v>
      </c>
      <c r="D2097" s="4">
        <v>541</v>
      </c>
      <c r="E2097" s="4">
        <v>5</v>
      </c>
      <c r="H2097" s="29">
        <v>1001</v>
      </c>
      <c r="I2097" s="30">
        <v>0</v>
      </c>
      <c r="M2097" s="4">
        <f t="shared" ref="M2097:V2097" si="501">M481*$C$1623</f>
        <v>69</v>
      </c>
      <c r="N2097" s="4">
        <f t="shared" si="501"/>
        <v>9</v>
      </c>
      <c r="O2097" s="4">
        <f t="shared" si="501"/>
        <v>1044</v>
      </c>
      <c r="P2097" s="4">
        <f t="shared" si="501"/>
        <v>0</v>
      </c>
      <c r="Q2097" s="4">
        <f t="shared" si="501"/>
        <v>1230</v>
      </c>
      <c r="R2097" s="4">
        <f t="shared" si="501"/>
        <v>3.75</v>
      </c>
      <c r="S2097" s="4">
        <f t="shared" si="501"/>
        <v>13.5</v>
      </c>
      <c r="T2097" s="4">
        <f t="shared" si="501"/>
        <v>0</v>
      </c>
      <c r="U2097" s="4">
        <f t="shared" si="501"/>
        <v>0</v>
      </c>
      <c r="V2097" s="4">
        <f t="shared" si="501"/>
        <v>0</v>
      </c>
    </row>
    <row r="2098" spans="1:22" x14ac:dyDescent="0.15">
      <c r="A2098" s="4" t="s">
        <v>2662</v>
      </c>
      <c r="D2098" s="4">
        <v>541</v>
      </c>
      <c r="E2098" s="4">
        <v>6</v>
      </c>
      <c r="H2098" s="29">
        <v>1001</v>
      </c>
      <c r="I2098" s="30">
        <v>0</v>
      </c>
      <c r="M2098" s="4">
        <f t="shared" ref="M2098:V2098" si="502">M482*$C$1623</f>
        <v>75</v>
      </c>
      <c r="N2098" s="4">
        <f t="shared" si="502"/>
        <v>10.5</v>
      </c>
      <c r="O2098" s="4">
        <f t="shared" si="502"/>
        <v>1080</v>
      </c>
      <c r="P2098" s="4">
        <f t="shared" si="502"/>
        <v>0</v>
      </c>
      <c r="Q2098" s="4">
        <f t="shared" si="502"/>
        <v>1237.5</v>
      </c>
      <c r="R2098" s="4">
        <f t="shared" si="502"/>
        <v>3.75</v>
      </c>
      <c r="S2098" s="4">
        <f t="shared" si="502"/>
        <v>15</v>
      </c>
      <c r="T2098" s="4">
        <f t="shared" si="502"/>
        <v>0</v>
      </c>
      <c r="U2098" s="4">
        <f t="shared" si="502"/>
        <v>0</v>
      </c>
      <c r="V2098" s="4">
        <f t="shared" si="502"/>
        <v>0</v>
      </c>
    </row>
    <row r="2099" spans="1:22" x14ac:dyDescent="0.15">
      <c r="A2099" s="4" t="s">
        <v>2662</v>
      </c>
      <c r="D2099" s="4">
        <v>541</v>
      </c>
      <c r="E2099" s="4">
        <v>7</v>
      </c>
      <c r="H2099" s="29">
        <v>1001</v>
      </c>
      <c r="I2099" s="30">
        <v>0</v>
      </c>
      <c r="M2099" s="4">
        <f t="shared" ref="M2099:V2099" si="503">M483*$C$1623</f>
        <v>81</v>
      </c>
      <c r="N2099" s="4">
        <f t="shared" si="503"/>
        <v>12</v>
      </c>
      <c r="O2099" s="4">
        <f t="shared" si="503"/>
        <v>1116</v>
      </c>
      <c r="P2099" s="4">
        <f t="shared" si="503"/>
        <v>0</v>
      </c>
      <c r="Q2099" s="4">
        <f t="shared" si="503"/>
        <v>1245</v>
      </c>
      <c r="R2099" s="4">
        <f t="shared" si="503"/>
        <v>3.75</v>
      </c>
      <c r="S2099" s="4">
        <f t="shared" si="503"/>
        <v>16.5</v>
      </c>
      <c r="T2099" s="4">
        <f t="shared" si="503"/>
        <v>0</v>
      </c>
      <c r="U2099" s="4">
        <f t="shared" si="503"/>
        <v>0</v>
      </c>
      <c r="V2099" s="4">
        <f t="shared" si="503"/>
        <v>0</v>
      </c>
    </row>
    <row r="2100" spans="1:22" x14ac:dyDescent="0.15">
      <c r="A2100" s="4" t="s">
        <v>2662</v>
      </c>
      <c r="D2100" s="4">
        <v>541</v>
      </c>
      <c r="E2100" s="4">
        <v>8</v>
      </c>
      <c r="H2100" s="29">
        <v>1001</v>
      </c>
      <c r="I2100" s="30">
        <v>0</v>
      </c>
      <c r="M2100" s="4">
        <f t="shared" ref="M2100:V2100" si="504">M484*$C$1623</f>
        <v>87</v>
      </c>
      <c r="N2100" s="4">
        <f t="shared" si="504"/>
        <v>13.5</v>
      </c>
      <c r="O2100" s="4">
        <f t="shared" si="504"/>
        <v>1152</v>
      </c>
      <c r="P2100" s="4">
        <f t="shared" si="504"/>
        <v>0</v>
      </c>
      <c r="Q2100" s="4">
        <f t="shared" si="504"/>
        <v>1252.5</v>
      </c>
      <c r="R2100" s="4">
        <f t="shared" si="504"/>
        <v>3.75</v>
      </c>
      <c r="S2100" s="4">
        <f t="shared" si="504"/>
        <v>18</v>
      </c>
      <c r="T2100" s="4">
        <f t="shared" si="504"/>
        <v>0</v>
      </c>
      <c r="U2100" s="4">
        <f t="shared" si="504"/>
        <v>0</v>
      </c>
      <c r="V2100" s="4">
        <f t="shared" si="504"/>
        <v>0</v>
      </c>
    </row>
    <row r="2101" spans="1:22" x14ac:dyDescent="0.15">
      <c r="A2101" s="4" t="s">
        <v>2662</v>
      </c>
      <c r="D2101" s="4">
        <v>541</v>
      </c>
      <c r="E2101" s="4">
        <v>9</v>
      </c>
      <c r="H2101" s="29">
        <v>1001</v>
      </c>
      <c r="I2101" s="30">
        <v>0</v>
      </c>
      <c r="M2101" s="4">
        <f t="shared" ref="M2101:V2101" si="505">M485*$C$1623</f>
        <v>93</v>
      </c>
      <c r="N2101" s="4">
        <f t="shared" si="505"/>
        <v>15</v>
      </c>
      <c r="O2101" s="4">
        <f t="shared" si="505"/>
        <v>1188</v>
      </c>
      <c r="P2101" s="4">
        <f t="shared" si="505"/>
        <v>0</v>
      </c>
      <c r="Q2101" s="4">
        <f t="shared" si="505"/>
        <v>1260</v>
      </c>
      <c r="R2101" s="4">
        <f t="shared" si="505"/>
        <v>3.75</v>
      </c>
      <c r="S2101" s="4">
        <f t="shared" si="505"/>
        <v>19.5</v>
      </c>
      <c r="T2101" s="4">
        <f t="shared" si="505"/>
        <v>0</v>
      </c>
      <c r="U2101" s="4">
        <f t="shared" si="505"/>
        <v>0</v>
      </c>
      <c r="V2101" s="4">
        <f t="shared" si="505"/>
        <v>0</v>
      </c>
    </row>
    <row r="2102" spans="1:22" x14ac:dyDescent="0.15">
      <c r="A2102" s="4" t="s">
        <v>2662</v>
      </c>
      <c r="D2102" s="4">
        <v>541</v>
      </c>
      <c r="E2102" s="4">
        <v>10</v>
      </c>
      <c r="H2102" s="29">
        <v>1001</v>
      </c>
      <c r="I2102" s="30">
        <v>0</v>
      </c>
      <c r="M2102" s="4">
        <f t="shared" ref="M2102:V2102" si="506">M486*$C$1623</f>
        <v>99</v>
      </c>
      <c r="N2102" s="4">
        <f t="shared" si="506"/>
        <v>16.5</v>
      </c>
      <c r="O2102" s="4">
        <f t="shared" si="506"/>
        <v>1224</v>
      </c>
      <c r="P2102" s="4">
        <f t="shared" si="506"/>
        <v>0</v>
      </c>
      <c r="Q2102" s="4">
        <f t="shared" si="506"/>
        <v>1267.5</v>
      </c>
      <c r="R2102" s="4">
        <f t="shared" si="506"/>
        <v>3.75</v>
      </c>
      <c r="S2102" s="4">
        <f t="shared" si="506"/>
        <v>21</v>
      </c>
      <c r="T2102" s="4">
        <f t="shared" si="506"/>
        <v>0</v>
      </c>
      <c r="U2102" s="4">
        <f t="shared" si="506"/>
        <v>0</v>
      </c>
      <c r="V2102" s="4">
        <f t="shared" si="506"/>
        <v>0</v>
      </c>
    </row>
    <row r="2103" spans="1:22" x14ac:dyDescent="0.15">
      <c r="A2103" s="4" t="s">
        <v>2662</v>
      </c>
      <c r="D2103" s="4">
        <v>541</v>
      </c>
      <c r="E2103" s="4">
        <v>11</v>
      </c>
      <c r="H2103" s="29">
        <v>1001</v>
      </c>
      <c r="I2103" s="30">
        <v>0</v>
      </c>
      <c r="M2103" s="4">
        <f t="shared" ref="M2103:V2103" si="507">M487*$C$1623</f>
        <v>105</v>
      </c>
      <c r="N2103" s="4">
        <f t="shared" si="507"/>
        <v>18</v>
      </c>
      <c r="O2103" s="4">
        <f t="shared" si="507"/>
        <v>1260</v>
      </c>
      <c r="P2103" s="4">
        <f t="shared" si="507"/>
        <v>0</v>
      </c>
      <c r="Q2103" s="4">
        <f t="shared" si="507"/>
        <v>1275</v>
      </c>
      <c r="R2103" s="4">
        <f t="shared" si="507"/>
        <v>3.75</v>
      </c>
      <c r="S2103" s="4">
        <f t="shared" si="507"/>
        <v>22.5</v>
      </c>
      <c r="T2103" s="4">
        <f t="shared" si="507"/>
        <v>0</v>
      </c>
      <c r="U2103" s="4">
        <f t="shared" si="507"/>
        <v>0</v>
      </c>
      <c r="V2103" s="4">
        <f t="shared" si="507"/>
        <v>0</v>
      </c>
    </row>
    <row r="2104" spans="1:22" x14ac:dyDescent="0.15">
      <c r="A2104" s="4" t="s">
        <v>2662</v>
      </c>
      <c r="D2104" s="4">
        <v>541</v>
      </c>
      <c r="E2104" s="4">
        <v>12</v>
      </c>
      <c r="H2104" s="29">
        <v>1001</v>
      </c>
      <c r="I2104" s="30">
        <v>0</v>
      </c>
      <c r="M2104" s="4">
        <f t="shared" ref="M2104:V2104" si="508">M488*$C$1623</f>
        <v>111</v>
      </c>
      <c r="N2104" s="4">
        <f t="shared" si="508"/>
        <v>19.5</v>
      </c>
      <c r="O2104" s="4">
        <f t="shared" si="508"/>
        <v>1296</v>
      </c>
      <c r="P2104" s="4">
        <f t="shared" si="508"/>
        <v>0</v>
      </c>
      <c r="Q2104" s="4">
        <f t="shared" si="508"/>
        <v>1282.5</v>
      </c>
      <c r="R2104" s="4">
        <f t="shared" si="508"/>
        <v>3.75</v>
      </c>
      <c r="S2104" s="4">
        <f t="shared" si="508"/>
        <v>24</v>
      </c>
      <c r="T2104" s="4">
        <f t="shared" si="508"/>
        <v>0</v>
      </c>
      <c r="U2104" s="4">
        <f t="shared" si="508"/>
        <v>0</v>
      </c>
      <c r="V2104" s="4">
        <f t="shared" si="508"/>
        <v>0</v>
      </c>
    </row>
    <row r="2105" spans="1:22" x14ac:dyDescent="0.15">
      <c r="A2105" s="4" t="s">
        <v>2662</v>
      </c>
      <c r="D2105" s="4">
        <v>541</v>
      </c>
      <c r="E2105" s="4">
        <v>13</v>
      </c>
      <c r="H2105" s="29">
        <v>1001</v>
      </c>
      <c r="I2105" s="30">
        <v>0</v>
      </c>
      <c r="M2105" s="4">
        <f t="shared" ref="M2105:V2105" si="509">M489*$C$1623</f>
        <v>117</v>
      </c>
      <c r="N2105" s="4">
        <f t="shared" si="509"/>
        <v>21</v>
      </c>
      <c r="O2105" s="4">
        <f t="shared" si="509"/>
        <v>1332</v>
      </c>
      <c r="P2105" s="4">
        <f t="shared" si="509"/>
        <v>0</v>
      </c>
      <c r="Q2105" s="4">
        <f t="shared" si="509"/>
        <v>1290</v>
      </c>
      <c r="R2105" s="4">
        <f t="shared" si="509"/>
        <v>3.75</v>
      </c>
      <c r="S2105" s="4">
        <f t="shared" si="509"/>
        <v>25.5</v>
      </c>
      <c r="T2105" s="4">
        <f t="shared" si="509"/>
        <v>0</v>
      </c>
      <c r="U2105" s="4">
        <f t="shared" si="509"/>
        <v>0</v>
      </c>
      <c r="V2105" s="4">
        <f t="shared" si="509"/>
        <v>0</v>
      </c>
    </row>
    <row r="2106" spans="1:22" x14ac:dyDescent="0.15">
      <c r="A2106" s="4" t="s">
        <v>2662</v>
      </c>
      <c r="D2106" s="4">
        <v>541</v>
      </c>
      <c r="E2106" s="4">
        <v>14</v>
      </c>
      <c r="H2106" s="29">
        <v>1001</v>
      </c>
      <c r="I2106" s="30">
        <v>0</v>
      </c>
      <c r="M2106" s="4">
        <f t="shared" ref="M2106:V2106" si="510">M490*$C$1623</f>
        <v>123</v>
      </c>
      <c r="N2106" s="4">
        <f t="shared" si="510"/>
        <v>22.5</v>
      </c>
      <c r="O2106" s="4">
        <f t="shared" si="510"/>
        <v>1368</v>
      </c>
      <c r="P2106" s="4">
        <f t="shared" si="510"/>
        <v>0</v>
      </c>
      <c r="Q2106" s="4">
        <f t="shared" si="510"/>
        <v>1297.5</v>
      </c>
      <c r="R2106" s="4">
        <f t="shared" si="510"/>
        <v>3.75</v>
      </c>
      <c r="S2106" s="4">
        <f t="shared" si="510"/>
        <v>27</v>
      </c>
      <c r="T2106" s="4">
        <f t="shared" si="510"/>
        <v>0</v>
      </c>
      <c r="U2106" s="4">
        <f t="shared" si="510"/>
        <v>0</v>
      </c>
      <c r="V2106" s="4">
        <f t="shared" si="510"/>
        <v>0</v>
      </c>
    </row>
    <row r="2107" spans="1:22" x14ac:dyDescent="0.15">
      <c r="A2107" s="4" t="s">
        <v>2662</v>
      </c>
      <c r="D2107" s="4">
        <v>541</v>
      </c>
      <c r="E2107" s="4">
        <v>15</v>
      </c>
      <c r="H2107" s="29">
        <v>1001</v>
      </c>
      <c r="I2107" s="30">
        <v>0</v>
      </c>
      <c r="M2107" s="4">
        <f t="shared" ref="M2107:V2107" si="511">M491*$C$1623</f>
        <v>129</v>
      </c>
      <c r="N2107" s="4">
        <f t="shared" si="511"/>
        <v>24</v>
      </c>
      <c r="O2107" s="4">
        <f t="shared" si="511"/>
        <v>1404</v>
      </c>
      <c r="P2107" s="4">
        <f t="shared" si="511"/>
        <v>0</v>
      </c>
      <c r="Q2107" s="4">
        <f t="shared" si="511"/>
        <v>1305</v>
      </c>
      <c r="R2107" s="4">
        <f t="shared" si="511"/>
        <v>3.75</v>
      </c>
      <c r="S2107" s="4">
        <f t="shared" si="511"/>
        <v>28.5</v>
      </c>
      <c r="T2107" s="4">
        <f t="shared" si="511"/>
        <v>0</v>
      </c>
      <c r="U2107" s="4">
        <f t="shared" si="511"/>
        <v>0</v>
      </c>
      <c r="V2107" s="4">
        <f t="shared" si="511"/>
        <v>0</v>
      </c>
    </row>
    <row r="2108" spans="1:22" x14ac:dyDescent="0.15">
      <c r="A2108" s="4" t="s">
        <v>2662</v>
      </c>
      <c r="D2108" s="4">
        <v>541</v>
      </c>
      <c r="E2108" s="4">
        <v>16</v>
      </c>
      <c r="H2108" s="29">
        <v>1001</v>
      </c>
      <c r="I2108" s="30">
        <v>0</v>
      </c>
      <c r="M2108" s="4">
        <f t="shared" ref="M2108:V2108" si="512">M492*$C$1623</f>
        <v>135</v>
      </c>
      <c r="N2108" s="4">
        <f t="shared" si="512"/>
        <v>25.5</v>
      </c>
      <c r="O2108" s="4">
        <f t="shared" si="512"/>
        <v>1440</v>
      </c>
      <c r="P2108" s="4">
        <f t="shared" si="512"/>
        <v>0</v>
      </c>
      <c r="Q2108" s="4">
        <f t="shared" si="512"/>
        <v>1312.5</v>
      </c>
      <c r="R2108" s="4">
        <f t="shared" si="512"/>
        <v>3.75</v>
      </c>
      <c r="S2108" s="4">
        <f t="shared" si="512"/>
        <v>30</v>
      </c>
      <c r="T2108" s="4">
        <f t="shared" si="512"/>
        <v>0</v>
      </c>
      <c r="U2108" s="4">
        <f t="shared" si="512"/>
        <v>0</v>
      </c>
      <c r="V2108" s="4">
        <f t="shared" si="512"/>
        <v>0</v>
      </c>
    </row>
    <row r="2109" spans="1:22" x14ac:dyDescent="0.15">
      <c r="A2109" s="4" t="s">
        <v>2662</v>
      </c>
      <c r="D2109" s="4">
        <v>541</v>
      </c>
      <c r="E2109" s="4">
        <v>17</v>
      </c>
      <c r="H2109" s="29">
        <v>1001</v>
      </c>
      <c r="I2109" s="30">
        <v>0</v>
      </c>
      <c r="M2109" s="4">
        <f t="shared" ref="M2109:V2109" si="513">M493*$C$1623</f>
        <v>141</v>
      </c>
      <c r="N2109" s="4">
        <f t="shared" si="513"/>
        <v>27</v>
      </c>
      <c r="O2109" s="4">
        <f t="shared" si="513"/>
        <v>1476</v>
      </c>
      <c r="P2109" s="4">
        <f t="shared" si="513"/>
        <v>0</v>
      </c>
      <c r="Q2109" s="4">
        <f t="shared" si="513"/>
        <v>1320</v>
      </c>
      <c r="R2109" s="4">
        <f t="shared" si="513"/>
        <v>3.75</v>
      </c>
      <c r="S2109" s="4">
        <f t="shared" si="513"/>
        <v>31.5</v>
      </c>
      <c r="T2109" s="4">
        <f t="shared" si="513"/>
        <v>0</v>
      </c>
      <c r="U2109" s="4">
        <f t="shared" si="513"/>
        <v>0</v>
      </c>
      <c r="V2109" s="4">
        <f t="shared" si="513"/>
        <v>0</v>
      </c>
    </row>
    <row r="2110" spans="1:22" x14ac:dyDescent="0.15">
      <c r="A2110" s="4" t="s">
        <v>2662</v>
      </c>
      <c r="D2110" s="4">
        <v>541</v>
      </c>
      <c r="E2110" s="4">
        <v>18</v>
      </c>
      <c r="H2110" s="29">
        <v>1001</v>
      </c>
      <c r="I2110" s="30">
        <v>0</v>
      </c>
      <c r="M2110" s="4">
        <f t="shared" ref="M2110:V2110" si="514">M494*$C$1623</f>
        <v>147</v>
      </c>
      <c r="N2110" s="4">
        <f t="shared" si="514"/>
        <v>28.5</v>
      </c>
      <c r="O2110" s="4">
        <f t="shared" si="514"/>
        <v>1512</v>
      </c>
      <c r="P2110" s="4">
        <f t="shared" si="514"/>
        <v>0</v>
      </c>
      <c r="Q2110" s="4">
        <f t="shared" si="514"/>
        <v>1327.5</v>
      </c>
      <c r="R2110" s="4">
        <f t="shared" si="514"/>
        <v>3.75</v>
      </c>
      <c r="S2110" s="4">
        <f t="shared" si="514"/>
        <v>33</v>
      </c>
      <c r="T2110" s="4">
        <f t="shared" si="514"/>
        <v>0</v>
      </c>
      <c r="U2110" s="4">
        <f t="shared" si="514"/>
        <v>0</v>
      </c>
      <c r="V2110" s="4">
        <f t="shared" si="514"/>
        <v>0</v>
      </c>
    </row>
    <row r="2111" spans="1:22" x14ac:dyDescent="0.15">
      <c r="A2111" s="4" t="s">
        <v>2662</v>
      </c>
      <c r="D2111" s="4">
        <v>541</v>
      </c>
      <c r="E2111" s="4">
        <v>19</v>
      </c>
      <c r="H2111" s="29">
        <v>1001</v>
      </c>
      <c r="I2111" s="30">
        <v>0</v>
      </c>
      <c r="M2111" s="4">
        <f t="shared" ref="M2111:V2111" si="515">M495*$C$1623</f>
        <v>153</v>
      </c>
      <c r="N2111" s="4">
        <f t="shared" si="515"/>
        <v>30</v>
      </c>
      <c r="O2111" s="4">
        <f t="shared" si="515"/>
        <v>1548</v>
      </c>
      <c r="P2111" s="4">
        <f t="shared" si="515"/>
        <v>0</v>
      </c>
      <c r="Q2111" s="4">
        <f t="shared" si="515"/>
        <v>1335</v>
      </c>
      <c r="R2111" s="4">
        <f t="shared" si="515"/>
        <v>3.75</v>
      </c>
      <c r="S2111" s="4">
        <f t="shared" si="515"/>
        <v>34.5</v>
      </c>
      <c r="T2111" s="4">
        <f t="shared" si="515"/>
        <v>0</v>
      </c>
      <c r="U2111" s="4">
        <f t="shared" si="515"/>
        <v>0</v>
      </c>
      <c r="V2111" s="4">
        <f t="shared" si="515"/>
        <v>0</v>
      </c>
    </row>
    <row r="2112" spans="1:22" x14ac:dyDescent="0.15">
      <c r="A2112" s="4" t="s">
        <v>2662</v>
      </c>
      <c r="D2112" s="4">
        <v>541</v>
      </c>
      <c r="E2112" s="4">
        <v>20</v>
      </c>
      <c r="H2112" s="29">
        <v>1001</v>
      </c>
      <c r="I2112" s="30">
        <v>0</v>
      </c>
      <c r="M2112" s="4">
        <f t="shared" ref="M2112:V2112" si="516">M496*$C$1623</f>
        <v>159</v>
      </c>
      <c r="N2112" s="4">
        <f t="shared" si="516"/>
        <v>31.5</v>
      </c>
      <c r="O2112" s="4">
        <f t="shared" si="516"/>
        <v>1584</v>
      </c>
      <c r="P2112" s="4">
        <f t="shared" si="516"/>
        <v>0</v>
      </c>
      <c r="Q2112" s="4">
        <f t="shared" si="516"/>
        <v>1342.5</v>
      </c>
      <c r="R2112" s="4">
        <f t="shared" si="516"/>
        <v>3.75</v>
      </c>
      <c r="S2112" s="4">
        <f t="shared" si="516"/>
        <v>36</v>
      </c>
      <c r="T2112" s="4">
        <f t="shared" si="516"/>
        <v>0</v>
      </c>
      <c r="U2112" s="4">
        <f t="shared" si="516"/>
        <v>0</v>
      </c>
      <c r="V2112" s="4">
        <f t="shared" si="516"/>
        <v>0</v>
      </c>
    </row>
    <row r="2113" spans="1:22" x14ac:dyDescent="0.15">
      <c r="A2113" s="4" t="s">
        <v>2662</v>
      </c>
      <c r="D2113" s="4">
        <v>541</v>
      </c>
      <c r="E2113" s="4">
        <v>21</v>
      </c>
      <c r="H2113" s="29">
        <v>1001</v>
      </c>
      <c r="I2113" s="30">
        <v>0</v>
      </c>
      <c r="M2113" s="4">
        <f t="shared" ref="M2113:V2113" si="517">M497*$C$1623</f>
        <v>165</v>
      </c>
      <c r="N2113" s="4">
        <f t="shared" si="517"/>
        <v>33</v>
      </c>
      <c r="O2113" s="4">
        <f t="shared" si="517"/>
        <v>1620</v>
      </c>
      <c r="P2113" s="4">
        <f t="shared" si="517"/>
        <v>0</v>
      </c>
      <c r="Q2113" s="4">
        <f t="shared" si="517"/>
        <v>1350</v>
      </c>
      <c r="R2113" s="4">
        <f t="shared" si="517"/>
        <v>3.75</v>
      </c>
      <c r="S2113" s="4">
        <f t="shared" si="517"/>
        <v>37.5</v>
      </c>
      <c r="T2113" s="4">
        <f t="shared" si="517"/>
        <v>0</v>
      </c>
      <c r="U2113" s="4">
        <f t="shared" si="517"/>
        <v>0</v>
      </c>
      <c r="V2113" s="4">
        <f t="shared" si="517"/>
        <v>0</v>
      </c>
    </row>
    <row r="2114" spans="1:22" x14ac:dyDescent="0.15">
      <c r="A2114" s="4" t="s">
        <v>2662</v>
      </c>
      <c r="D2114" s="4">
        <v>541</v>
      </c>
      <c r="E2114" s="4">
        <v>22</v>
      </c>
      <c r="H2114" s="29">
        <v>1001</v>
      </c>
      <c r="I2114" s="30">
        <v>0</v>
      </c>
      <c r="M2114" s="4">
        <f t="shared" ref="M2114:V2114" si="518">M498*$C$1623</f>
        <v>171</v>
      </c>
      <c r="N2114" s="4">
        <f t="shared" si="518"/>
        <v>34.5</v>
      </c>
      <c r="O2114" s="4">
        <f t="shared" si="518"/>
        <v>1656</v>
      </c>
      <c r="P2114" s="4">
        <f t="shared" si="518"/>
        <v>0</v>
      </c>
      <c r="Q2114" s="4">
        <f t="shared" si="518"/>
        <v>1357.5</v>
      </c>
      <c r="R2114" s="4">
        <f t="shared" si="518"/>
        <v>3.75</v>
      </c>
      <c r="S2114" s="4">
        <f t="shared" si="518"/>
        <v>39</v>
      </c>
      <c r="T2114" s="4">
        <f t="shared" si="518"/>
        <v>0</v>
      </c>
      <c r="U2114" s="4">
        <f t="shared" si="518"/>
        <v>0</v>
      </c>
      <c r="V2114" s="4">
        <f t="shared" si="518"/>
        <v>0</v>
      </c>
    </row>
    <row r="2115" spans="1:22" x14ac:dyDescent="0.15">
      <c r="A2115" s="4" t="s">
        <v>2662</v>
      </c>
      <c r="D2115" s="4">
        <v>541</v>
      </c>
      <c r="E2115" s="4">
        <v>23</v>
      </c>
      <c r="H2115" s="29">
        <v>1001</v>
      </c>
      <c r="I2115" s="30">
        <v>0</v>
      </c>
      <c r="M2115" s="4">
        <f t="shared" ref="M2115:V2115" si="519">M499*$C$1623</f>
        <v>177</v>
      </c>
      <c r="N2115" s="4">
        <f t="shared" si="519"/>
        <v>36</v>
      </c>
      <c r="O2115" s="4">
        <f t="shared" si="519"/>
        <v>1692</v>
      </c>
      <c r="P2115" s="4">
        <f t="shared" si="519"/>
        <v>0</v>
      </c>
      <c r="Q2115" s="4">
        <f t="shared" si="519"/>
        <v>1365</v>
      </c>
      <c r="R2115" s="4">
        <f t="shared" si="519"/>
        <v>3.75</v>
      </c>
      <c r="S2115" s="4">
        <f t="shared" si="519"/>
        <v>40.5</v>
      </c>
      <c r="T2115" s="4">
        <f t="shared" si="519"/>
        <v>0</v>
      </c>
      <c r="U2115" s="4">
        <f t="shared" si="519"/>
        <v>0</v>
      </c>
      <c r="V2115" s="4">
        <f t="shared" si="519"/>
        <v>0</v>
      </c>
    </row>
    <row r="2116" spans="1:22" x14ac:dyDescent="0.15">
      <c r="A2116" s="4" t="s">
        <v>2662</v>
      </c>
      <c r="D2116" s="4">
        <v>541</v>
      </c>
      <c r="E2116" s="4">
        <v>24</v>
      </c>
      <c r="H2116" s="29">
        <v>1001</v>
      </c>
      <c r="I2116" s="30">
        <v>0</v>
      </c>
      <c r="M2116" s="4">
        <f t="shared" ref="M2116:V2116" si="520">M500*$C$1623</f>
        <v>183</v>
      </c>
      <c r="N2116" s="4">
        <f t="shared" si="520"/>
        <v>37.5</v>
      </c>
      <c r="O2116" s="4">
        <f t="shared" si="520"/>
        <v>1728</v>
      </c>
      <c r="P2116" s="4">
        <f t="shared" si="520"/>
        <v>0</v>
      </c>
      <c r="Q2116" s="4">
        <f t="shared" si="520"/>
        <v>1372.5</v>
      </c>
      <c r="R2116" s="4">
        <f t="shared" si="520"/>
        <v>3.75</v>
      </c>
      <c r="S2116" s="4">
        <f t="shared" si="520"/>
        <v>42</v>
      </c>
      <c r="T2116" s="4">
        <f t="shared" si="520"/>
        <v>0</v>
      </c>
      <c r="U2116" s="4">
        <f t="shared" si="520"/>
        <v>0</v>
      </c>
      <c r="V2116" s="4">
        <f t="shared" si="520"/>
        <v>0</v>
      </c>
    </row>
    <row r="2117" spans="1:22" x14ac:dyDescent="0.15">
      <c r="A2117" s="4" t="s">
        <v>2662</v>
      </c>
      <c r="D2117" s="4">
        <v>541</v>
      </c>
      <c r="E2117" s="4">
        <v>25</v>
      </c>
      <c r="H2117" s="29">
        <v>1001</v>
      </c>
      <c r="I2117" s="30">
        <v>0</v>
      </c>
      <c r="M2117" s="4">
        <f t="shared" ref="M2117:V2117" si="521">M501*$C$1623</f>
        <v>189</v>
      </c>
      <c r="N2117" s="4">
        <f t="shared" si="521"/>
        <v>39</v>
      </c>
      <c r="O2117" s="4">
        <f t="shared" si="521"/>
        <v>1764</v>
      </c>
      <c r="P2117" s="4">
        <f t="shared" si="521"/>
        <v>0</v>
      </c>
      <c r="Q2117" s="4">
        <f t="shared" si="521"/>
        <v>1380</v>
      </c>
      <c r="R2117" s="4">
        <f t="shared" si="521"/>
        <v>3.75</v>
      </c>
      <c r="S2117" s="4">
        <f t="shared" si="521"/>
        <v>43.5</v>
      </c>
      <c r="T2117" s="4">
        <f t="shared" si="521"/>
        <v>0</v>
      </c>
      <c r="U2117" s="4">
        <f t="shared" si="521"/>
        <v>0</v>
      </c>
      <c r="V2117" s="4">
        <f t="shared" si="521"/>
        <v>0</v>
      </c>
    </row>
    <row r="2118" spans="1:22" x14ac:dyDescent="0.15">
      <c r="A2118" s="4" t="s">
        <v>2662</v>
      </c>
      <c r="D2118" s="4">
        <v>541</v>
      </c>
      <c r="E2118" s="4">
        <v>26</v>
      </c>
      <c r="H2118" s="29">
        <v>1001</v>
      </c>
      <c r="I2118" s="30">
        <v>0</v>
      </c>
      <c r="M2118" s="4">
        <f t="shared" ref="M2118:V2118" si="522">M502*$C$1623</f>
        <v>195</v>
      </c>
      <c r="N2118" s="4">
        <f t="shared" si="522"/>
        <v>40.5</v>
      </c>
      <c r="O2118" s="4">
        <f t="shared" si="522"/>
        <v>1800</v>
      </c>
      <c r="P2118" s="4">
        <f t="shared" si="522"/>
        <v>0</v>
      </c>
      <c r="Q2118" s="4">
        <f t="shared" si="522"/>
        <v>1387.5</v>
      </c>
      <c r="R2118" s="4">
        <f t="shared" si="522"/>
        <v>3.75</v>
      </c>
      <c r="S2118" s="4">
        <f t="shared" si="522"/>
        <v>45</v>
      </c>
      <c r="T2118" s="4">
        <f t="shared" si="522"/>
        <v>0</v>
      </c>
      <c r="U2118" s="4">
        <f t="shared" si="522"/>
        <v>0</v>
      </c>
      <c r="V2118" s="4">
        <f t="shared" si="522"/>
        <v>0</v>
      </c>
    </row>
    <row r="2119" spans="1:22" x14ac:dyDescent="0.15">
      <c r="A2119" s="4" t="s">
        <v>2662</v>
      </c>
      <c r="D2119" s="4">
        <v>541</v>
      </c>
      <c r="E2119" s="4">
        <v>27</v>
      </c>
      <c r="H2119" s="29">
        <v>1001</v>
      </c>
      <c r="I2119" s="30">
        <v>0</v>
      </c>
      <c r="M2119" s="4">
        <f t="shared" ref="M2119:V2119" si="523">M503*$C$1623</f>
        <v>201</v>
      </c>
      <c r="N2119" s="4">
        <f t="shared" si="523"/>
        <v>42</v>
      </c>
      <c r="O2119" s="4">
        <f t="shared" si="523"/>
        <v>1836</v>
      </c>
      <c r="P2119" s="4">
        <f t="shared" si="523"/>
        <v>0</v>
      </c>
      <c r="Q2119" s="4">
        <f t="shared" si="523"/>
        <v>1395</v>
      </c>
      <c r="R2119" s="4">
        <f t="shared" si="523"/>
        <v>3.75</v>
      </c>
      <c r="S2119" s="4">
        <f t="shared" si="523"/>
        <v>46.5</v>
      </c>
      <c r="T2119" s="4">
        <f t="shared" si="523"/>
        <v>0</v>
      </c>
      <c r="U2119" s="4">
        <f t="shared" si="523"/>
        <v>0</v>
      </c>
      <c r="V2119" s="4">
        <f t="shared" si="523"/>
        <v>0</v>
      </c>
    </row>
    <row r="2120" spans="1:22" x14ac:dyDescent="0.15">
      <c r="A2120" s="4" t="s">
        <v>2662</v>
      </c>
      <c r="D2120" s="4">
        <v>541</v>
      </c>
      <c r="E2120" s="4">
        <v>28</v>
      </c>
      <c r="H2120" s="29">
        <v>1001</v>
      </c>
      <c r="I2120" s="30">
        <v>0</v>
      </c>
      <c r="M2120" s="4">
        <f t="shared" ref="M2120:V2120" si="524">M504*$C$1623</f>
        <v>207</v>
      </c>
      <c r="N2120" s="4">
        <f t="shared" si="524"/>
        <v>43.5</v>
      </c>
      <c r="O2120" s="4">
        <f t="shared" si="524"/>
        <v>1872</v>
      </c>
      <c r="P2120" s="4">
        <f t="shared" si="524"/>
        <v>0</v>
      </c>
      <c r="Q2120" s="4">
        <f t="shared" si="524"/>
        <v>1402.5</v>
      </c>
      <c r="R2120" s="4">
        <f t="shared" si="524"/>
        <v>3.75</v>
      </c>
      <c r="S2120" s="4">
        <f t="shared" si="524"/>
        <v>48</v>
      </c>
      <c r="T2120" s="4">
        <f t="shared" si="524"/>
        <v>0</v>
      </c>
      <c r="U2120" s="4">
        <f t="shared" si="524"/>
        <v>0</v>
      </c>
      <c r="V2120" s="4">
        <f t="shared" si="524"/>
        <v>0</v>
      </c>
    </row>
    <row r="2121" spans="1:22" x14ac:dyDescent="0.15">
      <c r="A2121" s="4" t="s">
        <v>2662</v>
      </c>
      <c r="D2121" s="4">
        <v>541</v>
      </c>
      <c r="E2121" s="4">
        <v>29</v>
      </c>
      <c r="H2121" s="29">
        <v>1001</v>
      </c>
      <c r="I2121" s="30">
        <v>0</v>
      </c>
      <c r="M2121" s="4">
        <f t="shared" ref="M2121:V2121" si="525">M505*$C$1623</f>
        <v>213</v>
      </c>
      <c r="N2121" s="4">
        <f t="shared" si="525"/>
        <v>45</v>
      </c>
      <c r="O2121" s="4">
        <f t="shared" si="525"/>
        <v>1908</v>
      </c>
      <c r="P2121" s="4">
        <f t="shared" si="525"/>
        <v>0</v>
      </c>
      <c r="Q2121" s="4">
        <f t="shared" si="525"/>
        <v>1410</v>
      </c>
      <c r="R2121" s="4">
        <f t="shared" si="525"/>
        <v>3.75</v>
      </c>
      <c r="S2121" s="4">
        <f t="shared" si="525"/>
        <v>49.5</v>
      </c>
      <c r="T2121" s="4">
        <f t="shared" si="525"/>
        <v>0</v>
      </c>
      <c r="U2121" s="4">
        <f t="shared" si="525"/>
        <v>0</v>
      </c>
      <c r="V2121" s="4">
        <f t="shared" si="525"/>
        <v>0</v>
      </c>
    </row>
    <row r="2122" spans="1:22" x14ac:dyDescent="0.15">
      <c r="A2122" s="4" t="s">
        <v>2662</v>
      </c>
      <c r="D2122" s="4">
        <v>541</v>
      </c>
      <c r="E2122" s="4">
        <v>30</v>
      </c>
      <c r="H2122" s="29">
        <v>1001</v>
      </c>
      <c r="I2122" s="30">
        <v>0</v>
      </c>
      <c r="M2122" s="4">
        <f t="shared" ref="M2122:V2122" si="526">M506*$C$1623</f>
        <v>219</v>
      </c>
      <c r="N2122" s="4">
        <f t="shared" si="526"/>
        <v>46.5</v>
      </c>
      <c r="O2122" s="4">
        <f t="shared" si="526"/>
        <v>1944</v>
      </c>
      <c r="P2122" s="4">
        <f t="shared" si="526"/>
        <v>0</v>
      </c>
      <c r="Q2122" s="4">
        <f t="shared" si="526"/>
        <v>1417.5</v>
      </c>
      <c r="R2122" s="4">
        <f t="shared" si="526"/>
        <v>3.75</v>
      </c>
      <c r="S2122" s="4">
        <f t="shared" si="526"/>
        <v>51</v>
      </c>
      <c r="T2122" s="4">
        <f t="shared" si="526"/>
        <v>0</v>
      </c>
      <c r="U2122" s="4">
        <f t="shared" si="526"/>
        <v>0</v>
      </c>
      <c r="V2122" s="4">
        <f t="shared" si="526"/>
        <v>0</v>
      </c>
    </row>
    <row r="2123" spans="1:22" x14ac:dyDescent="0.15">
      <c r="A2123" s="4" t="s">
        <v>2662</v>
      </c>
      <c r="D2123" s="4">
        <v>541</v>
      </c>
      <c r="E2123" s="4">
        <v>31</v>
      </c>
      <c r="H2123" s="29">
        <v>1001</v>
      </c>
      <c r="I2123" s="30">
        <v>0</v>
      </c>
      <c r="M2123" s="4">
        <f t="shared" ref="M2123:V2123" si="527">M507*$C$1623</f>
        <v>225</v>
      </c>
      <c r="N2123" s="4">
        <f t="shared" si="527"/>
        <v>48</v>
      </c>
      <c r="O2123" s="4">
        <f t="shared" si="527"/>
        <v>1980</v>
      </c>
      <c r="P2123" s="4">
        <f t="shared" si="527"/>
        <v>0</v>
      </c>
      <c r="Q2123" s="4">
        <f t="shared" si="527"/>
        <v>1425</v>
      </c>
      <c r="R2123" s="4">
        <f t="shared" si="527"/>
        <v>3.75</v>
      </c>
      <c r="S2123" s="4">
        <f t="shared" si="527"/>
        <v>52.5</v>
      </c>
      <c r="T2123" s="4">
        <f t="shared" si="527"/>
        <v>0</v>
      </c>
      <c r="U2123" s="4">
        <f t="shared" si="527"/>
        <v>0</v>
      </c>
      <c r="V2123" s="4">
        <f t="shared" si="527"/>
        <v>0</v>
      </c>
    </row>
    <row r="2124" spans="1:22" x14ac:dyDescent="0.15">
      <c r="A2124" s="4" t="s">
        <v>2662</v>
      </c>
      <c r="D2124" s="4">
        <v>541</v>
      </c>
      <c r="E2124" s="4">
        <v>32</v>
      </c>
      <c r="H2124" s="29">
        <v>1001</v>
      </c>
      <c r="I2124" s="30">
        <v>0</v>
      </c>
      <c r="M2124" s="4">
        <f t="shared" ref="M2124:V2124" si="528">M508*$C$1623</f>
        <v>231</v>
      </c>
      <c r="N2124" s="4">
        <f t="shared" si="528"/>
        <v>49.5</v>
      </c>
      <c r="O2124" s="4">
        <f t="shared" si="528"/>
        <v>2016</v>
      </c>
      <c r="P2124" s="4">
        <f t="shared" si="528"/>
        <v>0</v>
      </c>
      <c r="Q2124" s="4">
        <f t="shared" si="528"/>
        <v>1432.5</v>
      </c>
      <c r="R2124" s="4">
        <f t="shared" si="528"/>
        <v>3.75</v>
      </c>
      <c r="S2124" s="4">
        <f t="shared" si="528"/>
        <v>54</v>
      </c>
      <c r="T2124" s="4">
        <f t="shared" si="528"/>
        <v>0</v>
      </c>
      <c r="U2124" s="4">
        <f t="shared" si="528"/>
        <v>0</v>
      </c>
      <c r="V2124" s="4">
        <f t="shared" si="528"/>
        <v>0</v>
      </c>
    </row>
    <row r="2125" spans="1:22" x14ac:dyDescent="0.15">
      <c r="A2125" s="4" t="s">
        <v>2662</v>
      </c>
      <c r="D2125" s="4">
        <v>541</v>
      </c>
      <c r="E2125" s="4">
        <v>33</v>
      </c>
      <c r="H2125" s="29">
        <v>1001</v>
      </c>
      <c r="I2125" s="30">
        <v>0</v>
      </c>
      <c r="M2125" s="4">
        <f t="shared" ref="M2125:V2125" si="529">M509*$C$1623</f>
        <v>237</v>
      </c>
      <c r="N2125" s="4">
        <f t="shared" si="529"/>
        <v>51</v>
      </c>
      <c r="O2125" s="4">
        <f t="shared" si="529"/>
        <v>2052</v>
      </c>
      <c r="P2125" s="4">
        <f t="shared" si="529"/>
        <v>0</v>
      </c>
      <c r="Q2125" s="4">
        <f t="shared" si="529"/>
        <v>1440</v>
      </c>
      <c r="R2125" s="4">
        <f t="shared" si="529"/>
        <v>3.75</v>
      </c>
      <c r="S2125" s="4">
        <f t="shared" si="529"/>
        <v>55.5</v>
      </c>
      <c r="T2125" s="4">
        <f t="shared" si="529"/>
        <v>0</v>
      </c>
      <c r="U2125" s="4">
        <f t="shared" si="529"/>
        <v>0</v>
      </c>
      <c r="V2125" s="4">
        <f t="shared" si="529"/>
        <v>0</v>
      </c>
    </row>
    <row r="2126" spans="1:22" x14ac:dyDescent="0.15">
      <c r="A2126" s="4" t="s">
        <v>2662</v>
      </c>
      <c r="D2126" s="4">
        <v>541</v>
      </c>
      <c r="E2126" s="4">
        <v>34</v>
      </c>
      <c r="H2126" s="29">
        <v>1001</v>
      </c>
      <c r="I2126" s="30">
        <v>0</v>
      </c>
      <c r="M2126" s="4">
        <f t="shared" ref="M2126:V2126" si="530">M510*$C$1623</f>
        <v>243</v>
      </c>
      <c r="N2126" s="4">
        <f t="shared" si="530"/>
        <v>52.5</v>
      </c>
      <c r="O2126" s="4">
        <f t="shared" si="530"/>
        <v>2088</v>
      </c>
      <c r="P2126" s="4">
        <f t="shared" si="530"/>
        <v>0</v>
      </c>
      <c r="Q2126" s="4">
        <f t="shared" si="530"/>
        <v>1447.5</v>
      </c>
      <c r="R2126" s="4">
        <f t="shared" si="530"/>
        <v>3.75</v>
      </c>
      <c r="S2126" s="4">
        <f t="shared" si="530"/>
        <v>57</v>
      </c>
      <c r="T2126" s="4">
        <f t="shared" si="530"/>
        <v>0</v>
      </c>
      <c r="U2126" s="4">
        <f t="shared" si="530"/>
        <v>0</v>
      </c>
      <c r="V2126" s="4">
        <f t="shared" si="530"/>
        <v>0</v>
      </c>
    </row>
    <row r="2127" spans="1:22" x14ac:dyDescent="0.15">
      <c r="A2127" s="4" t="s">
        <v>2662</v>
      </c>
      <c r="D2127" s="4">
        <v>541</v>
      </c>
      <c r="E2127" s="4">
        <v>35</v>
      </c>
      <c r="H2127" s="29">
        <v>1001</v>
      </c>
      <c r="I2127" s="30">
        <v>0</v>
      </c>
      <c r="M2127" s="4">
        <f t="shared" ref="M2127:V2127" si="531">M511*$C$1623</f>
        <v>249</v>
      </c>
      <c r="N2127" s="4">
        <f t="shared" si="531"/>
        <v>54</v>
      </c>
      <c r="O2127" s="4">
        <f t="shared" si="531"/>
        <v>2124</v>
      </c>
      <c r="P2127" s="4">
        <f t="shared" si="531"/>
        <v>0</v>
      </c>
      <c r="Q2127" s="4">
        <f t="shared" si="531"/>
        <v>1455</v>
      </c>
      <c r="R2127" s="4">
        <f t="shared" si="531"/>
        <v>3.75</v>
      </c>
      <c r="S2127" s="4">
        <f t="shared" si="531"/>
        <v>58.5</v>
      </c>
      <c r="T2127" s="4">
        <f t="shared" si="531"/>
        <v>0</v>
      </c>
      <c r="U2127" s="4">
        <f t="shared" si="531"/>
        <v>0</v>
      </c>
      <c r="V2127" s="4">
        <f t="shared" si="531"/>
        <v>0</v>
      </c>
    </row>
    <row r="2128" spans="1:22" x14ac:dyDescent="0.15">
      <c r="A2128" s="4" t="s">
        <v>2662</v>
      </c>
      <c r="D2128" s="4">
        <v>541</v>
      </c>
      <c r="E2128" s="4">
        <v>36</v>
      </c>
      <c r="H2128" s="29">
        <v>1001</v>
      </c>
      <c r="I2128" s="30">
        <v>0</v>
      </c>
      <c r="M2128" s="4">
        <f t="shared" ref="M2128:V2128" si="532">M512*$C$1623</f>
        <v>255</v>
      </c>
      <c r="N2128" s="4">
        <f t="shared" si="532"/>
        <v>55.5</v>
      </c>
      <c r="O2128" s="4">
        <f t="shared" si="532"/>
        <v>2160</v>
      </c>
      <c r="P2128" s="4">
        <f t="shared" si="532"/>
        <v>0</v>
      </c>
      <c r="Q2128" s="4">
        <f t="shared" si="532"/>
        <v>1462.5</v>
      </c>
      <c r="R2128" s="4">
        <f t="shared" si="532"/>
        <v>3.75</v>
      </c>
      <c r="S2128" s="4">
        <f t="shared" si="532"/>
        <v>60</v>
      </c>
      <c r="T2128" s="4">
        <f t="shared" si="532"/>
        <v>0</v>
      </c>
      <c r="U2128" s="4">
        <f t="shared" si="532"/>
        <v>0</v>
      </c>
      <c r="V2128" s="4">
        <f t="shared" si="532"/>
        <v>0</v>
      </c>
    </row>
    <row r="2129" spans="1:22" x14ac:dyDescent="0.15">
      <c r="A2129" s="4" t="s">
        <v>2662</v>
      </c>
      <c r="D2129" s="4">
        <v>541</v>
      </c>
      <c r="E2129" s="4">
        <v>37</v>
      </c>
      <c r="H2129" s="29">
        <v>1001</v>
      </c>
      <c r="I2129" s="30">
        <v>0</v>
      </c>
      <c r="M2129" s="4">
        <f t="shared" ref="M2129:V2129" si="533">M513*$C$1623</f>
        <v>261</v>
      </c>
      <c r="N2129" s="4">
        <f t="shared" si="533"/>
        <v>57</v>
      </c>
      <c r="O2129" s="4">
        <f t="shared" si="533"/>
        <v>2196</v>
      </c>
      <c r="P2129" s="4">
        <f t="shared" si="533"/>
        <v>0</v>
      </c>
      <c r="Q2129" s="4">
        <f t="shared" si="533"/>
        <v>1470</v>
      </c>
      <c r="R2129" s="4">
        <f t="shared" si="533"/>
        <v>3.75</v>
      </c>
      <c r="S2129" s="4">
        <f t="shared" si="533"/>
        <v>61.5</v>
      </c>
      <c r="T2129" s="4">
        <f t="shared" si="533"/>
        <v>0</v>
      </c>
      <c r="U2129" s="4">
        <f t="shared" si="533"/>
        <v>0</v>
      </c>
      <c r="V2129" s="4">
        <f t="shared" si="533"/>
        <v>0</v>
      </c>
    </row>
    <row r="2130" spans="1:22" x14ac:dyDescent="0.15">
      <c r="A2130" s="4" t="s">
        <v>2662</v>
      </c>
      <c r="D2130" s="4">
        <v>541</v>
      </c>
      <c r="E2130" s="4">
        <v>38</v>
      </c>
      <c r="H2130" s="29">
        <v>1001</v>
      </c>
      <c r="I2130" s="30">
        <v>0</v>
      </c>
      <c r="M2130" s="4">
        <f t="shared" ref="M2130:V2130" si="534">M514*$C$1623</f>
        <v>267</v>
      </c>
      <c r="N2130" s="4">
        <f t="shared" si="534"/>
        <v>58.5</v>
      </c>
      <c r="O2130" s="4">
        <f t="shared" si="534"/>
        <v>2232</v>
      </c>
      <c r="P2130" s="4">
        <f t="shared" si="534"/>
        <v>0</v>
      </c>
      <c r="Q2130" s="4">
        <f t="shared" si="534"/>
        <v>1477.5</v>
      </c>
      <c r="R2130" s="4">
        <f t="shared" si="534"/>
        <v>3.75</v>
      </c>
      <c r="S2130" s="4">
        <f t="shared" si="534"/>
        <v>63</v>
      </c>
      <c r="T2130" s="4">
        <f t="shared" si="534"/>
        <v>0</v>
      </c>
      <c r="U2130" s="4">
        <f t="shared" si="534"/>
        <v>0</v>
      </c>
      <c r="V2130" s="4">
        <f t="shared" si="534"/>
        <v>0</v>
      </c>
    </row>
    <row r="2131" spans="1:22" x14ac:dyDescent="0.15">
      <c r="A2131" s="4" t="s">
        <v>2662</v>
      </c>
      <c r="D2131" s="4">
        <v>541</v>
      </c>
      <c r="E2131" s="4">
        <v>39</v>
      </c>
      <c r="H2131" s="29">
        <v>1001</v>
      </c>
      <c r="I2131" s="30">
        <v>0</v>
      </c>
      <c r="M2131" s="4">
        <f t="shared" ref="M2131:V2131" si="535">M515*$C$1623</f>
        <v>273</v>
      </c>
      <c r="N2131" s="4">
        <f t="shared" si="535"/>
        <v>60</v>
      </c>
      <c r="O2131" s="4">
        <f t="shared" si="535"/>
        <v>2268</v>
      </c>
      <c r="P2131" s="4">
        <f t="shared" si="535"/>
        <v>0</v>
      </c>
      <c r="Q2131" s="4">
        <f t="shared" si="535"/>
        <v>1485</v>
      </c>
      <c r="R2131" s="4">
        <f t="shared" si="535"/>
        <v>3.75</v>
      </c>
      <c r="S2131" s="4">
        <f t="shared" si="535"/>
        <v>64.5</v>
      </c>
      <c r="T2131" s="4">
        <f t="shared" si="535"/>
        <v>0</v>
      </c>
      <c r="U2131" s="4">
        <f t="shared" si="535"/>
        <v>0</v>
      </c>
      <c r="V2131" s="4">
        <f t="shared" si="535"/>
        <v>0</v>
      </c>
    </row>
    <row r="2132" spans="1:22" x14ac:dyDescent="0.15">
      <c r="A2132" s="4" t="s">
        <v>2662</v>
      </c>
      <c r="D2132" s="4">
        <v>541</v>
      </c>
      <c r="E2132" s="4">
        <v>40</v>
      </c>
      <c r="H2132" s="29">
        <v>1001</v>
      </c>
      <c r="I2132" s="30">
        <v>0</v>
      </c>
      <c r="M2132" s="4">
        <f t="shared" ref="M2132:V2132" si="536">M516*$C$1623</f>
        <v>279</v>
      </c>
      <c r="N2132" s="4">
        <f t="shared" si="536"/>
        <v>61.5</v>
      </c>
      <c r="O2132" s="4">
        <f t="shared" si="536"/>
        <v>2304</v>
      </c>
      <c r="P2132" s="4">
        <f t="shared" si="536"/>
        <v>0</v>
      </c>
      <c r="Q2132" s="4">
        <f t="shared" si="536"/>
        <v>1492.5</v>
      </c>
      <c r="R2132" s="4">
        <f t="shared" si="536"/>
        <v>3.75</v>
      </c>
      <c r="S2132" s="4">
        <f t="shared" si="536"/>
        <v>66</v>
      </c>
      <c r="T2132" s="4">
        <f t="shared" si="536"/>
        <v>0</v>
      </c>
      <c r="U2132" s="4">
        <f t="shared" si="536"/>
        <v>0</v>
      </c>
      <c r="V2132" s="4">
        <f t="shared" si="536"/>
        <v>0</v>
      </c>
    </row>
    <row r="2133" spans="1:22" x14ac:dyDescent="0.15">
      <c r="A2133" s="4" t="s">
        <v>2662</v>
      </c>
      <c r="D2133" s="4">
        <v>541</v>
      </c>
      <c r="E2133" s="4">
        <v>41</v>
      </c>
      <c r="H2133" s="29">
        <v>1001</v>
      </c>
      <c r="I2133" s="30">
        <v>0</v>
      </c>
      <c r="M2133" s="4">
        <f t="shared" ref="M2133:V2133" si="537">M517*$C$1623</f>
        <v>285</v>
      </c>
      <c r="N2133" s="4">
        <f t="shared" si="537"/>
        <v>63</v>
      </c>
      <c r="O2133" s="4">
        <f t="shared" si="537"/>
        <v>2340</v>
      </c>
      <c r="P2133" s="4">
        <f t="shared" si="537"/>
        <v>0</v>
      </c>
      <c r="Q2133" s="4">
        <f t="shared" si="537"/>
        <v>1500</v>
      </c>
      <c r="R2133" s="4">
        <f t="shared" si="537"/>
        <v>3.75</v>
      </c>
      <c r="S2133" s="4">
        <f t="shared" si="537"/>
        <v>67.5</v>
      </c>
      <c r="T2133" s="4">
        <f t="shared" si="537"/>
        <v>0</v>
      </c>
      <c r="U2133" s="4">
        <f t="shared" si="537"/>
        <v>0</v>
      </c>
      <c r="V2133" s="4">
        <f t="shared" si="537"/>
        <v>0</v>
      </c>
    </row>
    <row r="2134" spans="1:22" x14ac:dyDescent="0.15">
      <c r="A2134" s="4" t="s">
        <v>2662</v>
      </c>
      <c r="D2134" s="4">
        <v>541</v>
      </c>
      <c r="E2134" s="4">
        <v>42</v>
      </c>
      <c r="H2134" s="29">
        <v>1001</v>
      </c>
      <c r="I2134" s="30">
        <v>0</v>
      </c>
      <c r="M2134" s="4">
        <f t="shared" ref="M2134:V2134" si="538">M518*$C$1623</f>
        <v>291</v>
      </c>
      <c r="N2134" s="4">
        <f t="shared" si="538"/>
        <v>64.5</v>
      </c>
      <c r="O2134" s="4">
        <f t="shared" si="538"/>
        <v>2376</v>
      </c>
      <c r="P2134" s="4">
        <f t="shared" si="538"/>
        <v>0</v>
      </c>
      <c r="Q2134" s="4">
        <f t="shared" si="538"/>
        <v>1507.5</v>
      </c>
      <c r="R2134" s="4">
        <f t="shared" si="538"/>
        <v>3.75</v>
      </c>
      <c r="S2134" s="4">
        <f t="shared" si="538"/>
        <v>69</v>
      </c>
      <c r="T2134" s="4">
        <f t="shared" si="538"/>
        <v>0</v>
      </c>
      <c r="U2134" s="4">
        <f t="shared" si="538"/>
        <v>0</v>
      </c>
      <c r="V2134" s="4">
        <f t="shared" si="538"/>
        <v>0</v>
      </c>
    </row>
    <row r="2135" spans="1:22" x14ac:dyDescent="0.15">
      <c r="A2135" s="4" t="s">
        <v>2662</v>
      </c>
      <c r="D2135" s="4">
        <v>541</v>
      </c>
      <c r="E2135" s="4">
        <v>43</v>
      </c>
      <c r="H2135" s="29">
        <v>1001</v>
      </c>
      <c r="I2135" s="30">
        <v>0</v>
      </c>
      <c r="M2135" s="4">
        <f t="shared" ref="M2135:V2135" si="539">M519*$C$1623</f>
        <v>297</v>
      </c>
      <c r="N2135" s="4">
        <f t="shared" si="539"/>
        <v>66</v>
      </c>
      <c r="O2135" s="4">
        <f t="shared" si="539"/>
        <v>2412</v>
      </c>
      <c r="P2135" s="4">
        <f t="shared" si="539"/>
        <v>0</v>
      </c>
      <c r="Q2135" s="4">
        <f t="shared" si="539"/>
        <v>1515</v>
      </c>
      <c r="R2135" s="4">
        <f t="shared" si="539"/>
        <v>3.75</v>
      </c>
      <c r="S2135" s="4">
        <f t="shared" si="539"/>
        <v>70.5</v>
      </c>
      <c r="T2135" s="4">
        <f t="shared" si="539"/>
        <v>0</v>
      </c>
      <c r="U2135" s="4">
        <f t="shared" si="539"/>
        <v>0</v>
      </c>
      <c r="V2135" s="4">
        <f t="shared" si="539"/>
        <v>0</v>
      </c>
    </row>
    <row r="2136" spans="1:22" x14ac:dyDescent="0.15">
      <c r="A2136" s="4" t="s">
        <v>2662</v>
      </c>
      <c r="D2136" s="4">
        <v>541</v>
      </c>
      <c r="E2136" s="4">
        <v>44</v>
      </c>
      <c r="H2136" s="29">
        <v>1001</v>
      </c>
      <c r="I2136" s="30">
        <v>0</v>
      </c>
      <c r="M2136" s="4">
        <f t="shared" ref="M2136:V2136" si="540">M520*$C$1623</f>
        <v>303</v>
      </c>
      <c r="N2136" s="4">
        <f t="shared" si="540"/>
        <v>67.5</v>
      </c>
      <c r="O2136" s="4">
        <f t="shared" si="540"/>
        <v>2448</v>
      </c>
      <c r="P2136" s="4">
        <f t="shared" si="540"/>
        <v>0</v>
      </c>
      <c r="Q2136" s="4">
        <f t="shared" si="540"/>
        <v>1522.5</v>
      </c>
      <c r="R2136" s="4">
        <f t="shared" si="540"/>
        <v>3.75</v>
      </c>
      <c r="S2136" s="4">
        <f t="shared" si="540"/>
        <v>72</v>
      </c>
      <c r="T2136" s="4">
        <f t="shared" si="540"/>
        <v>0</v>
      </c>
      <c r="U2136" s="4">
        <f t="shared" si="540"/>
        <v>0</v>
      </c>
      <c r="V2136" s="4">
        <f t="shared" si="540"/>
        <v>0</v>
      </c>
    </row>
    <row r="2137" spans="1:22" x14ac:dyDescent="0.15">
      <c r="A2137" s="4" t="s">
        <v>2662</v>
      </c>
      <c r="D2137" s="4">
        <v>541</v>
      </c>
      <c r="E2137" s="4">
        <v>45</v>
      </c>
      <c r="H2137" s="29">
        <v>1001</v>
      </c>
      <c r="I2137" s="30">
        <v>0</v>
      </c>
      <c r="M2137" s="4">
        <f t="shared" ref="M2137:V2137" si="541">M521*$C$1623</f>
        <v>309</v>
      </c>
      <c r="N2137" s="4">
        <f t="shared" si="541"/>
        <v>69</v>
      </c>
      <c r="O2137" s="4">
        <f t="shared" si="541"/>
        <v>2484</v>
      </c>
      <c r="P2137" s="4">
        <f t="shared" si="541"/>
        <v>0</v>
      </c>
      <c r="Q2137" s="4">
        <f t="shared" si="541"/>
        <v>1530</v>
      </c>
      <c r="R2137" s="4">
        <f t="shared" si="541"/>
        <v>3.75</v>
      </c>
      <c r="S2137" s="4">
        <f t="shared" si="541"/>
        <v>73.5</v>
      </c>
      <c r="T2137" s="4">
        <f t="shared" si="541"/>
        <v>0</v>
      </c>
      <c r="U2137" s="4">
        <f t="shared" si="541"/>
        <v>0</v>
      </c>
      <c r="V2137" s="4">
        <f t="shared" si="541"/>
        <v>0</v>
      </c>
    </row>
    <row r="2138" spans="1:22" x14ac:dyDescent="0.15">
      <c r="A2138" s="4" t="s">
        <v>2662</v>
      </c>
      <c r="D2138" s="4">
        <v>541</v>
      </c>
      <c r="E2138" s="4">
        <v>46</v>
      </c>
      <c r="H2138" s="29">
        <v>1001</v>
      </c>
      <c r="I2138" s="30">
        <v>0</v>
      </c>
      <c r="M2138" s="4">
        <f t="shared" ref="M2138:V2138" si="542">M522*$C$1623</f>
        <v>315</v>
      </c>
      <c r="N2138" s="4">
        <f t="shared" si="542"/>
        <v>70.5</v>
      </c>
      <c r="O2138" s="4">
        <f t="shared" si="542"/>
        <v>2520</v>
      </c>
      <c r="P2138" s="4">
        <f t="shared" si="542"/>
        <v>0</v>
      </c>
      <c r="Q2138" s="4">
        <f t="shared" si="542"/>
        <v>1537.5</v>
      </c>
      <c r="R2138" s="4">
        <f t="shared" si="542"/>
        <v>3.75</v>
      </c>
      <c r="S2138" s="4">
        <f t="shared" si="542"/>
        <v>75</v>
      </c>
      <c r="T2138" s="4">
        <f t="shared" si="542"/>
        <v>0</v>
      </c>
      <c r="U2138" s="4">
        <f t="shared" si="542"/>
        <v>0</v>
      </c>
      <c r="V2138" s="4">
        <f t="shared" si="542"/>
        <v>0</v>
      </c>
    </row>
    <row r="2139" spans="1:22" x14ac:dyDescent="0.15">
      <c r="A2139" s="4" t="s">
        <v>2662</v>
      </c>
      <c r="D2139" s="4">
        <v>541</v>
      </c>
      <c r="E2139" s="4">
        <v>47</v>
      </c>
      <c r="H2139" s="29">
        <v>1001</v>
      </c>
      <c r="I2139" s="30">
        <v>0</v>
      </c>
      <c r="M2139" s="4">
        <f t="shared" ref="M2139:V2139" si="543">M523*$C$1623</f>
        <v>321</v>
      </c>
      <c r="N2139" s="4">
        <f t="shared" si="543"/>
        <v>72</v>
      </c>
      <c r="O2139" s="4">
        <f t="shared" si="543"/>
        <v>2556</v>
      </c>
      <c r="P2139" s="4">
        <f t="shared" si="543"/>
        <v>0</v>
      </c>
      <c r="Q2139" s="4">
        <f t="shared" si="543"/>
        <v>1545</v>
      </c>
      <c r="R2139" s="4">
        <f t="shared" si="543"/>
        <v>3.75</v>
      </c>
      <c r="S2139" s="4">
        <f t="shared" si="543"/>
        <v>76.5</v>
      </c>
      <c r="T2139" s="4">
        <f t="shared" si="543"/>
        <v>0</v>
      </c>
      <c r="U2139" s="4">
        <f t="shared" si="543"/>
        <v>0</v>
      </c>
      <c r="V2139" s="4">
        <f t="shared" si="543"/>
        <v>0</v>
      </c>
    </row>
    <row r="2140" spans="1:22" x14ac:dyDescent="0.15">
      <c r="A2140" s="4" t="s">
        <v>2662</v>
      </c>
      <c r="D2140" s="4">
        <v>541</v>
      </c>
      <c r="E2140" s="4">
        <v>48</v>
      </c>
      <c r="H2140" s="29">
        <v>1001</v>
      </c>
      <c r="I2140" s="30">
        <v>0</v>
      </c>
      <c r="M2140" s="4">
        <f t="shared" ref="M2140:V2140" si="544">M524*$C$1623</f>
        <v>327</v>
      </c>
      <c r="N2140" s="4">
        <f t="shared" si="544"/>
        <v>73.5</v>
      </c>
      <c r="O2140" s="4">
        <f t="shared" si="544"/>
        <v>2592</v>
      </c>
      <c r="P2140" s="4">
        <f t="shared" si="544"/>
        <v>0</v>
      </c>
      <c r="Q2140" s="4">
        <f t="shared" si="544"/>
        <v>1552.5</v>
      </c>
      <c r="R2140" s="4">
        <f t="shared" si="544"/>
        <v>3.75</v>
      </c>
      <c r="S2140" s="4">
        <f t="shared" si="544"/>
        <v>78</v>
      </c>
      <c r="T2140" s="4">
        <f t="shared" si="544"/>
        <v>0</v>
      </c>
      <c r="U2140" s="4">
        <f t="shared" si="544"/>
        <v>0</v>
      </c>
      <c r="V2140" s="4">
        <f t="shared" si="544"/>
        <v>0</v>
      </c>
    </row>
    <row r="2141" spans="1:22" x14ac:dyDescent="0.15">
      <c r="A2141" s="4" t="s">
        <v>2662</v>
      </c>
      <c r="D2141" s="4">
        <v>541</v>
      </c>
      <c r="E2141" s="4">
        <v>49</v>
      </c>
      <c r="H2141" s="29">
        <v>1001</v>
      </c>
      <c r="I2141" s="30">
        <v>0</v>
      </c>
      <c r="M2141" s="4">
        <f t="shared" ref="M2141:V2141" si="545">M525*$C$1623</f>
        <v>333</v>
      </c>
      <c r="N2141" s="4">
        <f t="shared" si="545"/>
        <v>75</v>
      </c>
      <c r="O2141" s="4">
        <f t="shared" si="545"/>
        <v>2628</v>
      </c>
      <c r="P2141" s="4">
        <f t="shared" si="545"/>
        <v>0</v>
      </c>
      <c r="Q2141" s="4">
        <f t="shared" si="545"/>
        <v>1560</v>
      </c>
      <c r="R2141" s="4">
        <f t="shared" si="545"/>
        <v>3.75</v>
      </c>
      <c r="S2141" s="4">
        <f t="shared" si="545"/>
        <v>79.5</v>
      </c>
      <c r="T2141" s="4">
        <f t="shared" si="545"/>
        <v>0</v>
      </c>
      <c r="U2141" s="4">
        <f t="shared" si="545"/>
        <v>0</v>
      </c>
      <c r="V2141" s="4">
        <f t="shared" si="545"/>
        <v>0</v>
      </c>
    </row>
    <row r="2142" spans="1:22" x14ac:dyDescent="0.15">
      <c r="A2142" s="4" t="s">
        <v>2662</v>
      </c>
      <c r="D2142" s="4">
        <v>541</v>
      </c>
      <c r="E2142" s="4">
        <v>50</v>
      </c>
      <c r="H2142" s="29">
        <v>1001</v>
      </c>
      <c r="I2142" s="30">
        <v>0</v>
      </c>
      <c r="M2142" s="4">
        <f t="shared" ref="M2142:V2142" si="546">M526*$C$1623</f>
        <v>339</v>
      </c>
      <c r="N2142" s="4">
        <f t="shared" si="546"/>
        <v>76.5</v>
      </c>
      <c r="O2142" s="4">
        <f t="shared" si="546"/>
        <v>2664</v>
      </c>
      <c r="P2142" s="4">
        <f t="shared" si="546"/>
        <v>0</v>
      </c>
      <c r="Q2142" s="4">
        <f t="shared" si="546"/>
        <v>1567.5</v>
      </c>
      <c r="R2142" s="4">
        <f t="shared" si="546"/>
        <v>3.75</v>
      </c>
      <c r="S2142" s="4">
        <f t="shared" si="546"/>
        <v>81</v>
      </c>
      <c r="T2142" s="4">
        <f t="shared" si="546"/>
        <v>0</v>
      </c>
      <c r="U2142" s="4">
        <f t="shared" si="546"/>
        <v>0</v>
      </c>
      <c r="V2142" s="4">
        <f t="shared" si="546"/>
        <v>0</v>
      </c>
    </row>
    <row r="2143" spans="1:22" x14ac:dyDescent="0.15">
      <c r="I2143" s="4"/>
      <c r="M2143" s="4">
        <f t="shared" ref="M2143:V2143" si="547">M527*$C$1623</f>
        <v>0</v>
      </c>
      <c r="N2143" s="4">
        <f t="shared" si="547"/>
        <v>0</v>
      </c>
      <c r="O2143" s="4">
        <f t="shared" si="547"/>
        <v>0</v>
      </c>
      <c r="P2143" s="4">
        <f t="shared" si="547"/>
        <v>0</v>
      </c>
      <c r="Q2143" s="4">
        <f t="shared" si="547"/>
        <v>0</v>
      </c>
      <c r="R2143" s="4">
        <f t="shared" si="547"/>
        <v>0</v>
      </c>
      <c r="S2143" s="4">
        <f t="shared" si="547"/>
        <v>0</v>
      </c>
      <c r="T2143" s="4">
        <f t="shared" si="547"/>
        <v>0</v>
      </c>
      <c r="U2143" s="4">
        <f t="shared" si="547"/>
        <v>0</v>
      </c>
      <c r="V2143" s="4">
        <f t="shared" si="547"/>
        <v>0</v>
      </c>
    </row>
    <row r="2144" spans="1:22" ht="16.5" x14ac:dyDescent="0.15">
      <c r="C2144" s="4" t="s">
        <v>3086</v>
      </c>
      <c r="D2144" s="4">
        <f>D2092+1</f>
        <v>542</v>
      </c>
      <c r="E2144" s="4">
        <v>0</v>
      </c>
      <c r="H2144" s="38">
        <v>2003</v>
      </c>
      <c r="I2144" s="38">
        <v>1</v>
      </c>
      <c r="J2144" s="38"/>
      <c r="K2144" s="38"/>
      <c r="L2144" s="8">
        <v>206</v>
      </c>
      <c r="M2144" s="4">
        <f t="shared" ref="M2144:V2144" si="548">M528*$C$1623</f>
        <v>0</v>
      </c>
      <c r="N2144" s="4">
        <f t="shared" si="548"/>
        <v>0</v>
      </c>
      <c r="O2144" s="4">
        <f t="shared" si="548"/>
        <v>0</v>
      </c>
      <c r="P2144" s="4">
        <f t="shared" si="548"/>
        <v>0</v>
      </c>
      <c r="Q2144" s="4">
        <f t="shared" si="548"/>
        <v>0</v>
      </c>
      <c r="R2144" s="4">
        <f t="shared" si="548"/>
        <v>0</v>
      </c>
      <c r="S2144" s="4">
        <f t="shared" si="548"/>
        <v>0</v>
      </c>
      <c r="T2144" s="4">
        <f t="shared" si="548"/>
        <v>0</v>
      </c>
      <c r="U2144" s="4">
        <f t="shared" si="548"/>
        <v>0</v>
      </c>
      <c r="V2144" s="4">
        <f t="shared" si="548"/>
        <v>0</v>
      </c>
    </row>
    <row r="2145" spans="4:22" x14ac:dyDescent="0.15">
      <c r="D2145" s="4">
        <f t="shared" ref="D2145:D2194" si="549">D2093+1</f>
        <v>542</v>
      </c>
      <c r="E2145" s="4">
        <v>1</v>
      </c>
      <c r="H2145" s="29">
        <v>1001</v>
      </c>
      <c r="I2145" s="30">
        <v>0</v>
      </c>
      <c r="M2145" s="4">
        <f t="shared" ref="M2145:V2145" si="550">M529*$C$1623</f>
        <v>216</v>
      </c>
      <c r="N2145" s="4">
        <f t="shared" si="550"/>
        <v>7.5</v>
      </c>
      <c r="O2145" s="4">
        <f t="shared" si="550"/>
        <v>3168</v>
      </c>
      <c r="P2145" s="4">
        <f t="shared" si="550"/>
        <v>0</v>
      </c>
      <c r="Q2145" s="4">
        <f t="shared" si="550"/>
        <v>2352</v>
      </c>
      <c r="R2145" s="4">
        <f t="shared" si="550"/>
        <v>3.75</v>
      </c>
      <c r="S2145" s="4">
        <f t="shared" si="550"/>
        <v>15</v>
      </c>
      <c r="T2145" s="4">
        <f t="shared" si="550"/>
        <v>0</v>
      </c>
      <c r="U2145" s="4">
        <f t="shared" si="550"/>
        <v>0</v>
      </c>
      <c r="V2145" s="4">
        <f t="shared" si="550"/>
        <v>0</v>
      </c>
    </row>
    <row r="2146" spans="4:22" x14ac:dyDescent="0.15">
      <c r="D2146" s="4">
        <f t="shared" si="549"/>
        <v>542</v>
      </c>
      <c r="E2146" s="4">
        <v>2</v>
      </c>
      <c r="H2146" s="29">
        <v>1001</v>
      </c>
      <c r="I2146" s="30">
        <v>0</v>
      </c>
      <c r="M2146" s="4">
        <f t="shared" ref="M2146:V2146" si="551">M530*$C$1623</f>
        <v>225</v>
      </c>
      <c r="N2146" s="4">
        <f t="shared" si="551"/>
        <v>9</v>
      </c>
      <c r="O2146" s="4">
        <f t="shared" si="551"/>
        <v>3237</v>
      </c>
      <c r="P2146" s="4">
        <f t="shared" si="551"/>
        <v>0</v>
      </c>
      <c r="Q2146" s="4">
        <f t="shared" si="551"/>
        <v>2359.5</v>
      </c>
      <c r="R2146" s="4">
        <f t="shared" si="551"/>
        <v>3.75</v>
      </c>
      <c r="S2146" s="4">
        <f t="shared" si="551"/>
        <v>16.5</v>
      </c>
      <c r="T2146" s="4">
        <f t="shared" si="551"/>
        <v>0</v>
      </c>
      <c r="U2146" s="4">
        <f t="shared" si="551"/>
        <v>0</v>
      </c>
      <c r="V2146" s="4">
        <f t="shared" si="551"/>
        <v>0</v>
      </c>
    </row>
    <row r="2147" spans="4:22" x14ac:dyDescent="0.15">
      <c r="D2147" s="4">
        <f t="shared" si="549"/>
        <v>542</v>
      </c>
      <c r="E2147" s="4">
        <v>3</v>
      </c>
      <c r="H2147" s="29">
        <v>1001</v>
      </c>
      <c r="I2147" s="30">
        <v>0</v>
      </c>
      <c r="M2147" s="4">
        <f t="shared" ref="M2147:V2147" si="552">M531*$C$1623</f>
        <v>234</v>
      </c>
      <c r="N2147" s="4">
        <f t="shared" si="552"/>
        <v>10.5</v>
      </c>
      <c r="O2147" s="4">
        <f t="shared" si="552"/>
        <v>3306</v>
      </c>
      <c r="P2147" s="4">
        <f t="shared" si="552"/>
        <v>0</v>
      </c>
      <c r="Q2147" s="4">
        <f t="shared" si="552"/>
        <v>2367</v>
      </c>
      <c r="R2147" s="4">
        <f t="shared" si="552"/>
        <v>3.75</v>
      </c>
      <c r="S2147" s="4">
        <f t="shared" si="552"/>
        <v>18</v>
      </c>
      <c r="T2147" s="4">
        <f t="shared" si="552"/>
        <v>0</v>
      </c>
      <c r="U2147" s="4">
        <f t="shared" si="552"/>
        <v>0</v>
      </c>
      <c r="V2147" s="4">
        <f t="shared" si="552"/>
        <v>0</v>
      </c>
    </row>
    <row r="2148" spans="4:22" x14ac:dyDescent="0.15">
      <c r="D2148" s="4">
        <f t="shared" si="549"/>
        <v>542</v>
      </c>
      <c r="E2148" s="4">
        <v>4</v>
      </c>
      <c r="H2148" s="29">
        <v>1001</v>
      </c>
      <c r="I2148" s="30">
        <v>0</v>
      </c>
      <c r="M2148" s="4">
        <f t="shared" ref="M2148:V2148" si="553">M532*$C$1623</f>
        <v>243</v>
      </c>
      <c r="N2148" s="4">
        <f t="shared" si="553"/>
        <v>12</v>
      </c>
      <c r="O2148" s="4">
        <f t="shared" si="553"/>
        <v>3375</v>
      </c>
      <c r="P2148" s="4">
        <f t="shared" si="553"/>
        <v>0</v>
      </c>
      <c r="Q2148" s="4">
        <f t="shared" si="553"/>
        <v>2374.5</v>
      </c>
      <c r="R2148" s="4">
        <f t="shared" si="553"/>
        <v>3.75</v>
      </c>
      <c r="S2148" s="4">
        <f t="shared" si="553"/>
        <v>19.5</v>
      </c>
      <c r="T2148" s="4">
        <f t="shared" si="553"/>
        <v>0</v>
      </c>
      <c r="U2148" s="4">
        <f t="shared" si="553"/>
        <v>0</v>
      </c>
      <c r="V2148" s="4">
        <f t="shared" si="553"/>
        <v>0</v>
      </c>
    </row>
    <row r="2149" spans="4:22" x14ac:dyDescent="0.15">
      <c r="D2149" s="4">
        <f t="shared" si="549"/>
        <v>542</v>
      </c>
      <c r="E2149" s="4">
        <v>5</v>
      </c>
      <c r="H2149" s="29">
        <v>1001</v>
      </c>
      <c r="I2149" s="30">
        <v>0</v>
      </c>
      <c r="M2149" s="4">
        <f t="shared" ref="M2149:V2149" si="554">M533*$C$1623</f>
        <v>252</v>
      </c>
      <c r="N2149" s="4">
        <f t="shared" si="554"/>
        <v>13.5</v>
      </c>
      <c r="O2149" s="4">
        <f t="shared" si="554"/>
        <v>3444</v>
      </c>
      <c r="P2149" s="4">
        <f t="shared" si="554"/>
        <v>0</v>
      </c>
      <c r="Q2149" s="4">
        <f t="shared" si="554"/>
        <v>2382</v>
      </c>
      <c r="R2149" s="4">
        <f t="shared" si="554"/>
        <v>3.75</v>
      </c>
      <c r="S2149" s="4">
        <f t="shared" si="554"/>
        <v>21</v>
      </c>
      <c r="T2149" s="4">
        <f t="shared" si="554"/>
        <v>0</v>
      </c>
      <c r="U2149" s="4">
        <f t="shared" si="554"/>
        <v>0</v>
      </c>
      <c r="V2149" s="4">
        <f t="shared" si="554"/>
        <v>0</v>
      </c>
    </row>
    <row r="2150" spans="4:22" x14ac:dyDescent="0.15">
      <c r="D2150" s="4">
        <f t="shared" si="549"/>
        <v>542</v>
      </c>
      <c r="E2150" s="4">
        <v>6</v>
      </c>
      <c r="H2150" s="29">
        <v>1001</v>
      </c>
      <c r="I2150" s="30">
        <v>0</v>
      </c>
      <c r="M2150" s="4">
        <f t="shared" ref="M2150:V2150" si="555">M534*$C$1623</f>
        <v>261</v>
      </c>
      <c r="N2150" s="4">
        <f t="shared" si="555"/>
        <v>15</v>
      </c>
      <c r="O2150" s="4">
        <f t="shared" si="555"/>
        <v>3513</v>
      </c>
      <c r="P2150" s="4">
        <f t="shared" si="555"/>
        <v>0</v>
      </c>
      <c r="Q2150" s="4">
        <f t="shared" si="555"/>
        <v>2389.5</v>
      </c>
      <c r="R2150" s="4">
        <f t="shared" si="555"/>
        <v>3.75</v>
      </c>
      <c r="S2150" s="4">
        <f t="shared" si="555"/>
        <v>22.5</v>
      </c>
      <c r="T2150" s="4">
        <f t="shared" si="555"/>
        <v>0</v>
      </c>
      <c r="U2150" s="4">
        <f t="shared" si="555"/>
        <v>0</v>
      </c>
      <c r="V2150" s="4">
        <f t="shared" si="555"/>
        <v>0</v>
      </c>
    </row>
    <row r="2151" spans="4:22" x14ac:dyDescent="0.15">
      <c r="D2151" s="4">
        <f t="shared" si="549"/>
        <v>542</v>
      </c>
      <c r="E2151" s="4">
        <v>7</v>
      </c>
      <c r="H2151" s="29">
        <v>1001</v>
      </c>
      <c r="I2151" s="30">
        <v>0</v>
      </c>
      <c r="M2151" s="4">
        <f t="shared" ref="M2151:V2151" si="556">M535*$C$1623</f>
        <v>270</v>
      </c>
      <c r="N2151" s="4">
        <f t="shared" si="556"/>
        <v>16.5</v>
      </c>
      <c r="O2151" s="4">
        <f t="shared" si="556"/>
        <v>3582</v>
      </c>
      <c r="P2151" s="4">
        <f t="shared" si="556"/>
        <v>0</v>
      </c>
      <c r="Q2151" s="4">
        <f t="shared" si="556"/>
        <v>2397</v>
      </c>
      <c r="R2151" s="4">
        <f t="shared" si="556"/>
        <v>3.75</v>
      </c>
      <c r="S2151" s="4">
        <f t="shared" si="556"/>
        <v>24</v>
      </c>
      <c r="T2151" s="4">
        <f t="shared" si="556"/>
        <v>0</v>
      </c>
      <c r="U2151" s="4">
        <f t="shared" si="556"/>
        <v>0</v>
      </c>
      <c r="V2151" s="4">
        <f t="shared" si="556"/>
        <v>0</v>
      </c>
    </row>
    <row r="2152" spans="4:22" x14ac:dyDescent="0.15">
      <c r="D2152" s="4">
        <f t="shared" si="549"/>
        <v>542</v>
      </c>
      <c r="E2152" s="4">
        <v>8</v>
      </c>
      <c r="H2152" s="29">
        <v>1001</v>
      </c>
      <c r="I2152" s="30">
        <v>0</v>
      </c>
      <c r="M2152" s="4">
        <f t="shared" ref="M2152:V2152" si="557">M536*$C$1623</f>
        <v>279</v>
      </c>
      <c r="N2152" s="4">
        <f t="shared" si="557"/>
        <v>18</v>
      </c>
      <c r="O2152" s="4">
        <f t="shared" si="557"/>
        <v>3651</v>
      </c>
      <c r="P2152" s="4">
        <f t="shared" si="557"/>
        <v>0</v>
      </c>
      <c r="Q2152" s="4">
        <f t="shared" si="557"/>
        <v>2404.5</v>
      </c>
      <c r="R2152" s="4">
        <f t="shared" si="557"/>
        <v>3.75</v>
      </c>
      <c r="S2152" s="4">
        <f t="shared" si="557"/>
        <v>25.5</v>
      </c>
      <c r="T2152" s="4">
        <f t="shared" si="557"/>
        <v>0</v>
      </c>
      <c r="U2152" s="4">
        <f t="shared" si="557"/>
        <v>0</v>
      </c>
      <c r="V2152" s="4">
        <f t="shared" si="557"/>
        <v>0</v>
      </c>
    </row>
    <row r="2153" spans="4:22" x14ac:dyDescent="0.15">
      <c r="D2153" s="4">
        <f t="shared" si="549"/>
        <v>542</v>
      </c>
      <c r="E2153" s="4">
        <v>9</v>
      </c>
      <c r="H2153" s="29">
        <v>1001</v>
      </c>
      <c r="I2153" s="30">
        <v>0</v>
      </c>
      <c r="M2153" s="4">
        <f t="shared" ref="M2153:V2153" si="558">M537*$C$1623</f>
        <v>288</v>
      </c>
      <c r="N2153" s="4">
        <f t="shared" si="558"/>
        <v>19.5</v>
      </c>
      <c r="O2153" s="4">
        <f t="shared" si="558"/>
        <v>3720</v>
      </c>
      <c r="P2153" s="4">
        <f t="shared" si="558"/>
        <v>0</v>
      </c>
      <c r="Q2153" s="4">
        <f t="shared" si="558"/>
        <v>2412</v>
      </c>
      <c r="R2153" s="4">
        <f t="shared" si="558"/>
        <v>3.75</v>
      </c>
      <c r="S2153" s="4">
        <f t="shared" si="558"/>
        <v>27</v>
      </c>
      <c r="T2153" s="4">
        <f t="shared" si="558"/>
        <v>0</v>
      </c>
      <c r="U2153" s="4">
        <f t="shared" si="558"/>
        <v>0</v>
      </c>
      <c r="V2153" s="4">
        <f t="shared" si="558"/>
        <v>0</v>
      </c>
    </row>
    <row r="2154" spans="4:22" x14ac:dyDescent="0.15">
      <c r="D2154" s="4">
        <f t="shared" si="549"/>
        <v>542</v>
      </c>
      <c r="E2154" s="4">
        <v>10</v>
      </c>
      <c r="H2154" s="29">
        <v>1001</v>
      </c>
      <c r="I2154" s="30">
        <v>0</v>
      </c>
      <c r="M2154" s="4">
        <f t="shared" ref="M2154:V2154" si="559">M538*$C$1623</f>
        <v>297</v>
      </c>
      <c r="N2154" s="4">
        <f t="shared" si="559"/>
        <v>21</v>
      </c>
      <c r="O2154" s="4">
        <f t="shared" si="559"/>
        <v>3789</v>
      </c>
      <c r="P2154" s="4">
        <f t="shared" si="559"/>
        <v>0</v>
      </c>
      <c r="Q2154" s="4">
        <f t="shared" si="559"/>
        <v>2419.5</v>
      </c>
      <c r="R2154" s="4">
        <f t="shared" si="559"/>
        <v>3.75</v>
      </c>
      <c r="S2154" s="4">
        <f t="shared" si="559"/>
        <v>28.5</v>
      </c>
      <c r="T2154" s="4">
        <f t="shared" si="559"/>
        <v>0</v>
      </c>
      <c r="U2154" s="4">
        <f t="shared" si="559"/>
        <v>0</v>
      </c>
      <c r="V2154" s="4">
        <f t="shared" si="559"/>
        <v>0</v>
      </c>
    </row>
    <row r="2155" spans="4:22" x14ac:dyDescent="0.15">
      <c r="D2155" s="4">
        <f t="shared" si="549"/>
        <v>542</v>
      </c>
      <c r="E2155" s="4">
        <v>11</v>
      </c>
      <c r="H2155" s="29">
        <v>1001</v>
      </c>
      <c r="I2155" s="30">
        <v>0</v>
      </c>
      <c r="M2155" s="4">
        <f t="shared" ref="M2155:V2155" si="560">M539*$C$1623</f>
        <v>306</v>
      </c>
      <c r="N2155" s="4">
        <f t="shared" si="560"/>
        <v>22.5</v>
      </c>
      <c r="O2155" s="4">
        <f t="shared" si="560"/>
        <v>3858</v>
      </c>
      <c r="P2155" s="4">
        <f t="shared" si="560"/>
        <v>0</v>
      </c>
      <c r="Q2155" s="4">
        <f t="shared" si="560"/>
        <v>2427</v>
      </c>
      <c r="R2155" s="4">
        <f t="shared" si="560"/>
        <v>3.75</v>
      </c>
      <c r="S2155" s="4">
        <f t="shared" si="560"/>
        <v>30</v>
      </c>
      <c r="T2155" s="4">
        <f t="shared" si="560"/>
        <v>0</v>
      </c>
      <c r="U2155" s="4">
        <f t="shared" si="560"/>
        <v>0</v>
      </c>
      <c r="V2155" s="4">
        <f t="shared" si="560"/>
        <v>0</v>
      </c>
    </row>
    <row r="2156" spans="4:22" x14ac:dyDescent="0.15">
      <c r="D2156" s="4">
        <f t="shared" si="549"/>
        <v>542</v>
      </c>
      <c r="E2156" s="4">
        <v>12</v>
      </c>
      <c r="H2156" s="29">
        <v>1001</v>
      </c>
      <c r="I2156" s="30">
        <v>0</v>
      </c>
      <c r="M2156" s="4">
        <f t="shared" ref="M2156:V2156" si="561">M540*$C$1623</f>
        <v>315</v>
      </c>
      <c r="N2156" s="4">
        <f t="shared" si="561"/>
        <v>24</v>
      </c>
      <c r="O2156" s="4">
        <f t="shared" si="561"/>
        <v>3927</v>
      </c>
      <c r="P2156" s="4">
        <f t="shared" si="561"/>
        <v>0</v>
      </c>
      <c r="Q2156" s="4">
        <f t="shared" si="561"/>
        <v>2434.5</v>
      </c>
      <c r="R2156" s="4">
        <f t="shared" si="561"/>
        <v>3.75</v>
      </c>
      <c r="S2156" s="4">
        <f t="shared" si="561"/>
        <v>31.5</v>
      </c>
      <c r="T2156" s="4">
        <f t="shared" si="561"/>
        <v>0</v>
      </c>
      <c r="U2156" s="4">
        <f t="shared" si="561"/>
        <v>0</v>
      </c>
      <c r="V2156" s="4">
        <f t="shared" si="561"/>
        <v>0</v>
      </c>
    </row>
    <row r="2157" spans="4:22" x14ac:dyDescent="0.15">
      <c r="D2157" s="4">
        <f t="shared" si="549"/>
        <v>542</v>
      </c>
      <c r="E2157" s="4">
        <v>13</v>
      </c>
      <c r="H2157" s="29">
        <v>1001</v>
      </c>
      <c r="I2157" s="30">
        <v>0</v>
      </c>
      <c r="M2157" s="4">
        <f t="shared" ref="M2157:V2157" si="562">M541*$C$1623</f>
        <v>324</v>
      </c>
      <c r="N2157" s="4">
        <f t="shared" si="562"/>
        <v>25.5</v>
      </c>
      <c r="O2157" s="4">
        <f t="shared" si="562"/>
        <v>3996</v>
      </c>
      <c r="P2157" s="4">
        <f t="shared" si="562"/>
        <v>0</v>
      </c>
      <c r="Q2157" s="4">
        <f t="shared" si="562"/>
        <v>2442</v>
      </c>
      <c r="R2157" s="4">
        <f t="shared" si="562"/>
        <v>3.75</v>
      </c>
      <c r="S2157" s="4">
        <f t="shared" si="562"/>
        <v>33</v>
      </c>
      <c r="T2157" s="4">
        <f t="shared" si="562"/>
        <v>0</v>
      </c>
      <c r="U2157" s="4">
        <f t="shared" si="562"/>
        <v>0</v>
      </c>
      <c r="V2157" s="4">
        <f t="shared" si="562"/>
        <v>0</v>
      </c>
    </row>
    <row r="2158" spans="4:22" x14ac:dyDescent="0.15">
      <c r="D2158" s="4">
        <f t="shared" si="549"/>
        <v>542</v>
      </c>
      <c r="E2158" s="4">
        <v>14</v>
      </c>
      <c r="H2158" s="29">
        <v>1001</v>
      </c>
      <c r="I2158" s="30">
        <v>0</v>
      </c>
      <c r="M2158" s="4">
        <f t="shared" ref="M2158:V2158" si="563">M542*$C$1623</f>
        <v>333</v>
      </c>
      <c r="N2158" s="4">
        <f t="shared" si="563"/>
        <v>27</v>
      </c>
      <c r="O2158" s="4">
        <f t="shared" si="563"/>
        <v>4065</v>
      </c>
      <c r="P2158" s="4">
        <f t="shared" si="563"/>
        <v>0</v>
      </c>
      <c r="Q2158" s="4">
        <f t="shared" si="563"/>
        <v>2449.5</v>
      </c>
      <c r="R2158" s="4">
        <f t="shared" si="563"/>
        <v>3.75</v>
      </c>
      <c r="S2158" s="4">
        <f t="shared" si="563"/>
        <v>34.5</v>
      </c>
      <c r="T2158" s="4">
        <f t="shared" si="563"/>
        <v>0</v>
      </c>
      <c r="U2158" s="4">
        <f t="shared" si="563"/>
        <v>0</v>
      </c>
      <c r="V2158" s="4">
        <f t="shared" si="563"/>
        <v>0</v>
      </c>
    </row>
    <row r="2159" spans="4:22" x14ac:dyDescent="0.15">
      <c r="D2159" s="4">
        <f t="shared" si="549"/>
        <v>542</v>
      </c>
      <c r="E2159" s="4">
        <v>15</v>
      </c>
      <c r="H2159" s="29">
        <v>1001</v>
      </c>
      <c r="I2159" s="30">
        <v>0</v>
      </c>
      <c r="M2159" s="4">
        <f t="shared" ref="M2159:V2159" si="564">M543*$C$1623</f>
        <v>342</v>
      </c>
      <c r="N2159" s="4">
        <f t="shared" si="564"/>
        <v>28.5</v>
      </c>
      <c r="O2159" s="4">
        <f t="shared" si="564"/>
        <v>4134</v>
      </c>
      <c r="P2159" s="4">
        <f t="shared" si="564"/>
        <v>0</v>
      </c>
      <c r="Q2159" s="4">
        <f t="shared" si="564"/>
        <v>2457</v>
      </c>
      <c r="R2159" s="4">
        <f t="shared" si="564"/>
        <v>3.75</v>
      </c>
      <c r="S2159" s="4">
        <f t="shared" si="564"/>
        <v>36</v>
      </c>
      <c r="T2159" s="4">
        <f t="shared" si="564"/>
        <v>0</v>
      </c>
      <c r="U2159" s="4">
        <f t="shared" si="564"/>
        <v>0</v>
      </c>
      <c r="V2159" s="4">
        <f t="shared" si="564"/>
        <v>0</v>
      </c>
    </row>
    <row r="2160" spans="4:22" x14ac:dyDescent="0.15">
      <c r="D2160" s="4">
        <f t="shared" si="549"/>
        <v>542</v>
      </c>
      <c r="E2160" s="4">
        <v>16</v>
      </c>
      <c r="H2160" s="29">
        <v>1001</v>
      </c>
      <c r="I2160" s="30">
        <v>0</v>
      </c>
      <c r="M2160" s="4">
        <f t="shared" ref="M2160:V2160" si="565">M544*$C$1623</f>
        <v>351</v>
      </c>
      <c r="N2160" s="4">
        <f t="shared" si="565"/>
        <v>30</v>
      </c>
      <c r="O2160" s="4">
        <f t="shared" si="565"/>
        <v>4203</v>
      </c>
      <c r="P2160" s="4">
        <f t="shared" si="565"/>
        <v>0</v>
      </c>
      <c r="Q2160" s="4">
        <f t="shared" si="565"/>
        <v>2464.5</v>
      </c>
      <c r="R2160" s="4">
        <f t="shared" si="565"/>
        <v>3.75</v>
      </c>
      <c r="S2160" s="4">
        <f t="shared" si="565"/>
        <v>37.5</v>
      </c>
      <c r="T2160" s="4">
        <f t="shared" si="565"/>
        <v>0</v>
      </c>
      <c r="U2160" s="4">
        <f t="shared" si="565"/>
        <v>0</v>
      </c>
      <c r="V2160" s="4">
        <f t="shared" si="565"/>
        <v>0</v>
      </c>
    </row>
    <row r="2161" spans="4:22" x14ac:dyDescent="0.15">
      <c r="D2161" s="4">
        <f t="shared" si="549"/>
        <v>542</v>
      </c>
      <c r="E2161" s="4">
        <v>17</v>
      </c>
      <c r="H2161" s="29">
        <v>1001</v>
      </c>
      <c r="I2161" s="30">
        <v>0</v>
      </c>
      <c r="M2161" s="4">
        <f t="shared" ref="M2161:V2161" si="566">M545*$C$1623</f>
        <v>360</v>
      </c>
      <c r="N2161" s="4">
        <f t="shared" si="566"/>
        <v>31.5</v>
      </c>
      <c r="O2161" s="4">
        <f t="shared" si="566"/>
        <v>4272</v>
      </c>
      <c r="P2161" s="4">
        <f t="shared" si="566"/>
        <v>0</v>
      </c>
      <c r="Q2161" s="4">
        <f t="shared" si="566"/>
        <v>2472</v>
      </c>
      <c r="R2161" s="4">
        <f t="shared" si="566"/>
        <v>3.75</v>
      </c>
      <c r="S2161" s="4">
        <f t="shared" si="566"/>
        <v>39</v>
      </c>
      <c r="T2161" s="4">
        <f t="shared" si="566"/>
        <v>0</v>
      </c>
      <c r="U2161" s="4">
        <f t="shared" si="566"/>
        <v>0</v>
      </c>
      <c r="V2161" s="4">
        <f t="shared" si="566"/>
        <v>0</v>
      </c>
    </row>
    <row r="2162" spans="4:22" x14ac:dyDescent="0.15">
      <c r="D2162" s="4">
        <f t="shared" si="549"/>
        <v>542</v>
      </c>
      <c r="E2162" s="4">
        <v>18</v>
      </c>
      <c r="H2162" s="29">
        <v>1001</v>
      </c>
      <c r="I2162" s="30">
        <v>0</v>
      </c>
      <c r="M2162" s="4">
        <f t="shared" ref="M2162:V2162" si="567">M546*$C$1623</f>
        <v>369</v>
      </c>
      <c r="N2162" s="4">
        <f t="shared" si="567"/>
        <v>33</v>
      </c>
      <c r="O2162" s="4">
        <f t="shared" si="567"/>
        <v>4341</v>
      </c>
      <c r="P2162" s="4">
        <f t="shared" si="567"/>
        <v>0</v>
      </c>
      <c r="Q2162" s="4">
        <f t="shared" si="567"/>
        <v>2479.5</v>
      </c>
      <c r="R2162" s="4">
        <f t="shared" si="567"/>
        <v>3.75</v>
      </c>
      <c r="S2162" s="4">
        <f t="shared" si="567"/>
        <v>40.5</v>
      </c>
      <c r="T2162" s="4">
        <f t="shared" si="567"/>
        <v>0</v>
      </c>
      <c r="U2162" s="4">
        <f t="shared" si="567"/>
        <v>0</v>
      </c>
      <c r="V2162" s="4">
        <f t="shared" si="567"/>
        <v>0</v>
      </c>
    </row>
    <row r="2163" spans="4:22" x14ac:dyDescent="0.15">
      <c r="D2163" s="4">
        <f t="shared" si="549"/>
        <v>542</v>
      </c>
      <c r="E2163" s="4">
        <v>19</v>
      </c>
      <c r="H2163" s="29">
        <v>1001</v>
      </c>
      <c r="I2163" s="30">
        <v>0</v>
      </c>
      <c r="M2163" s="4">
        <f t="shared" ref="M2163:V2163" si="568">M547*$C$1623</f>
        <v>378</v>
      </c>
      <c r="N2163" s="4">
        <f t="shared" si="568"/>
        <v>34.5</v>
      </c>
      <c r="O2163" s="4">
        <f t="shared" si="568"/>
        <v>4410</v>
      </c>
      <c r="P2163" s="4">
        <f t="shared" si="568"/>
        <v>0</v>
      </c>
      <c r="Q2163" s="4">
        <f t="shared" si="568"/>
        <v>2487</v>
      </c>
      <c r="R2163" s="4">
        <f t="shared" si="568"/>
        <v>3.75</v>
      </c>
      <c r="S2163" s="4">
        <f t="shared" si="568"/>
        <v>42</v>
      </c>
      <c r="T2163" s="4">
        <f t="shared" si="568"/>
        <v>0</v>
      </c>
      <c r="U2163" s="4">
        <f t="shared" si="568"/>
        <v>0</v>
      </c>
      <c r="V2163" s="4">
        <f t="shared" si="568"/>
        <v>0</v>
      </c>
    </row>
    <row r="2164" spans="4:22" x14ac:dyDescent="0.15">
      <c r="D2164" s="4">
        <f t="shared" si="549"/>
        <v>542</v>
      </c>
      <c r="E2164" s="4">
        <v>20</v>
      </c>
      <c r="H2164" s="29">
        <v>1001</v>
      </c>
      <c r="I2164" s="30">
        <v>0</v>
      </c>
      <c r="M2164" s="4">
        <f t="shared" ref="M2164:V2164" si="569">M548*$C$1623</f>
        <v>387</v>
      </c>
      <c r="N2164" s="4">
        <f t="shared" si="569"/>
        <v>36</v>
      </c>
      <c r="O2164" s="4">
        <f t="shared" si="569"/>
        <v>4479</v>
      </c>
      <c r="P2164" s="4">
        <f t="shared" si="569"/>
        <v>0</v>
      </c>
      <c r="Q2164" s="4">
        <f t="shared" si="569"/>
        <v>2494.5</v>
      </c>
      <c r="R2164" s="4">
        <f t="shared" si="569"/>
        <v>3.75</v>
      </c>
      <c r="S2164" s="4">
        <f t="shared" si="569"/>
        <v>43.5</v>
      </c>
      <c r="T2164" s="4">
        <f t="shared" si="569"/>
        <v>0</v>
      </c>
      <c r="U2164" s="4">
        <f t="shared" si="569"/>
        <v>0</v>
      </c>
      <c r="V2164" s="4">
        <f t="shared" si="569"/>
        <v>0</v>
      </c>
    </row>
    <row r="2165" spans="4:22" x14ac:dyDescent="0.15">
      <c r="D2165" s="4">
        <f t="shared" si="549"/>
        <v>542</v>
      </c>
      <c r="E2165" s="4">
        <v>21</v>
      </c>
      <c r="H2165" s="29">
        <v>1001</v>
      </c>
      <c r="I2165" s="30">
        <v>0</v>
      </c>
      <c r="M2165" s="4">
        <f t="shared" ref="M2165:V2165" si="570">M549*$C$1623</f>
        <v>396</v>
      </c>
      <c r="N2165" s="4">
        <f t="shared" si="570"/>
        <v>37.5</v>
      </c>
      <c r="O2165" s="4">
        <f t="shared" si="570"/>
        <v>4548</v>
      </c>
      <c r="P2165" s="4">
        <f t="shared" si="570"/>
        <v>0</v>
      </c>
      <c r="Q2165" s="4">
        <f t="shared" si="570"/>
        <v>2502</v>
      </c>
      <c r="R2165" s="4">
        <f t="shared" si="570"/>
        <v>3.75</v>
      </c>
      <c r="S2165" s="4">
        <f t="shared" si="570"/>
        <v>45</v>
      </c>
      <c r="T2165" s="4">
        <f t="shared" si="570"/>
        <v>0</v>
      </c>
      <c r="U2165" s="4">
        <f t="shared" si="570"/>
        <v>0</v>
      </c>
      <c r="V2165" s="4">
        <f t="shared" si="570"/>
        <v>0</v>
      </c>
    </row>
    <row r="2166" spans="4:22" x14ac:dyDescent="0.15">
      <c r="D2166" s="4">
        <f t="shared" si="549"/>
        <v>542</v>
      </c>
      <c r="E2166" s="4">
        <v>22</v>
      </c>
      <c r="H2166" s="29">
        <v>1001</v>
      </c>
      <c r="I2166" s="30">
        <v>0</v>
      </c>
      <c r="M2166" s="4">
        <f t="shared" ref="M2166:V2166" si="571">M550*$C$1623</f>
        <v>405</v>
      </c>
      <c r="N2166" s="4">
        <f t="shared" si="571"/>
        <v>39</v>
      </c>
      <c r="O2166" s="4">
        <f t="shared" si="571"/>
        <v>4617</v>
      </c>
      <c r="P2166" s="4">
        <f t="shared" si="571"/>
        <v>0</v>
      </c>
      <c r="Q2166" s="4">
        <f t="shared" si="571"/>
        <v>2509.5</v>
      </c>
      <c r="R2166" s="4">
        <f t="shared" si="571"/>
        <v>3.75</v>
      </c>
      <c r="S2166" s="4">
        <f t="shared" si="571"/>
        <v>46.5</v>
      </c>
      <c r="T2166" s="4">
        <f t="shared" si="571"/>
        <v>0</v>
      </c>
      <c r="U2166" s="4">
        <f t="shared" si="571"/>
        <v>0</v>
      </c>
      <c r="V2166" s="4">
        <f t="shared" si="571"/>
        <v>0</v>
      </c>
    </row>
    <row r="2167" spans="4:22" x14ac:dyDescent="0.15">
      <c r="D2167" s="4">
        <f t="shared" si="549"/>
        <v>542</v>
      </c>
      <c r="E2167" s="4">
        <v>23</v>
      </c>
      <c r="H2167" s="29">
        <v>1001</v>
      </c>
      <c r="I2167" s="30">
        <v>0</v>
      </c>
      <c r="M2167" s="4">
        <f t="shared" ref="M2167:V2167" si="572">M551*$C$1623</f>
        <v>414</v>
      </c>
      <c r="N2167" s="4">
        <f t="shared" si="572"/>
        <v>40.5</v>
      </c>
      <c r="O2167" s="4">
        <f t="shared" si="572"/>
        <v>4686</v>
      </c>
      <c r="P2167" s="4">
        <f t="shared" si="572"/>
        <v>0</v>
      </c>
      <c r="Q2167" s="4">
        <f t="shared" si="572"/>
        <v>2517</v>
      </c>
      <c r="R2167" s="4">
        <f t="shared" si="572"/>
        <v>3.75</v>
      </c>
      <c r="S2167" s="4">
        <f t="shared" si="572"/>
        <v>48</v>
      </c>
      <c r="T2167" s="4">
        <f t="shared" si="572"/>
        <v>0</v>
      </c>
      <c r="U2167" s="4">
        <f t="shared" si="572"/>
        <v>0</v>
      </c>
      <c r="V2167" s="4">
        <f t="shared" si="572"/>
        <v>0</v>
      </c>
    </row>
    <row r="2168" spans="4:22" x14ac:dyDescent="0.15">
      <c r="D2168" s="4">
        <f t="shared" si="549"/>
        <v>542</v>
      </c>
      <c r="E2168" s="4">
        <v>24</v>
      </c>
      <c r="H2168" s="29">
        <v>1001</v>
      </c>
      <c r="I2168" s="30">
        <v>0</v>
      </c>
      <c r="M2168" s="4">
        <f t="shared" ref="M2168:V2168" si="573">M552*$C$1623</f>
        <v>423</v>
      </c>
      <c r="N2168" s="4">
        <f t="shared" si="573"/>
        <v>42</v>
      </c>
      <c r="O2168" s="4">
        <f t="shared" si="573"/>
        <v>4755</v>
      </c>
      <c r="P2168" s="4">
        <f t="shared" si="573"/>
        <v>0</v>
      </c>
      <c r="Q2168" s="4">
        <f t="shared" si="573"/>
        <v>2524.5</v>
      </c>
      <c r="R2168" s="4">
        <f t="shared" si="573"/>
        <v>3.75</v>
      </c>
      <c r="S2168" s="4">
        <f t="shared" si="573"/>
        <v>49.5</v>
      </c>
      <c r="T2168" s="4">
        <f t="shared" si="573"/>
        <v>0</v>
      </c>
      <c r="U2168" s="4">
        <f t="shared" si="573"/>
        <v>0</v>
      </c>
      <c r="V2168" s="4">
        <f t="shared" si="573"/>
        <v>0</v>
      </c>
    </row>
    <row r="2169" spans="4:22" x14ac:dyDescent="0.15">
      <c r="D2169" s="4">
        <f t="shared" si="549"/>
        <v>542</v>
      </c>
      <c r="E2169" s="4">
        <v>25</v>
      </c>
      <c r="H2169" s="29">
        <v>1001</v>
      </c>
      <c r="I2169" s="30">
        <v>0</v>
      </c>
      <c r="M2169" s="4">
        <f t="shared" ref="M2169:V2169" si="574">M553*$C$1623</f>
        <v>432</v>
      </c>
      <c r="N2169" s="4">
        <f t="shared" si="574"/>
        <v>43.5</v>
      </c>
      <c r="O2169" s="4">
        <f t="shared" si="574"/>
        <v>4824</v>
      </c>
      <c r="P2169" s="4">
        <f t="shared" si="574"/>
        <v>0</v>
      </c>
      <c r="Q2169" s="4">
        <f t="shared" si="574"/>
        <v>2532</v>
      </c>
      <c r="R2169" s="4">
        <f t="shared" si="574"/>
        <v>3.75</v>
      </c>
      <c r="S2169" s="4">
        <f t="shared" si="574"/>
        <v>51</v>
      </c>
      <c r="T2169" s="4">
        <f t="shared" si="574"/>
        <v>0</v>
      </c>
      <c r="U2169" s="4">
        <f t="shared" si="574"/>
        <v>0</v>
      </c>
      <c r="V2169" s="4">
        <f t="shared" si="574"/>
        <v>0</v>
      </c>
    </row>
    <row r="2170" spans="4:22" x14ac:dyDescent="0.15">
      <c r="D2170" s="4">
        <f t="shared" si="549"/>
        <v>542</v>
      </c>
      <c r="E2170" s="4">
        <v>26</v>
      </c>
      <c r="H2170" s="29">
        <v>1001</v>
      </c>
      <c r="I2170" s="30">
        <v>0</v>
      </c>
      <c r="M2170" s="4">
        <f t="shared" ref="M2170:V2170" si="575">M554*$C$1623</f>
        <v>441</v>
      </c>
      <c r="N2170" s="4">
        <f t="shared" si="575"/>
        <v>45</v>
      </c>
      <c r="O2170" s="4">
        <f t="shared" si="575"/>
        <v>4893</v>
      </c>
      <c r="P2170" s="4">
        <f t="shared" si="575"/>
        <v>0</v>
      </c>
      <c r="Q2170" s="4">
        <f t="shared" si="575"/>
        <v>2539.5</v>
      </c>
      <c r="R2170" s="4">
        <f t="shared" si="575"/>
        <v>3.75</v>
      </c>
      <c r="S2170" s="4">
        <f t="shared" si="575"/>
        <v>52.5</v>
      </c>
      <c r="T2170" s="4">
        <f t="shared" si="575"/>
        <v>0</v>
      </c>
      <c r="U2170" s="4">
        <f t="shared" si="575"/>
        <v>0</v>
      </c>
      <c r="V2170" s="4">
        <f t="shared" si="575"/>
        <v>0</v>
      </c>
    </row>
    <row r="2171" spans="4:22" x14ac:dyDescent="0.15">
      <c r="D2171" s="4">
        <f t="shared" si="549"/>
        <v>542</v>
      </c>
      <c r="E2171" s="4">
        <v>27</v>
      </c>
      <c r="H2171" s="29">
        <v>1001</v>
      </c>
      <c r="I2171" s="30">
        <v>0</v>
      </c>
      <c r="M2171" s="4">
        <f t="shared" ref="M2171:V2171" si="576">M555*$C$1623</f>
        <v>450</v>
      </c>
      <c r="N2171" s="4">
        <f t="shared" si="576"/>
        <v>46.5</v>
      </c>
      <c r="O2171" s="4">
        <f t="shared" si="576"/>
        <v>4962</v>
      </c>
      <c r="P2171" s="4">
        <f t="shared" si="576"/>
        <v>0</v>
      </c>
      <c r="Q2171" s="4">
        <f t="shared" si="576"/>
        <v>2547</v>
      </c>
      <c r="R2171" s="4">
        <f t="shared" si="576"/>
        <v>3.75</v>
      </c>
      <c r="S2171" s="4">
        <f t="shared" si="576"/>
        <v>54</v>
      </c>
      <c r="T2171" s="4">
        <f t="shared" si="576"/>
        <v>0</v>
      </c>
      <c r="U2171" s="4">
        <f t="shared" si="576"/>
        <v>0</v>
      </c>
      <c r="V2171" s="4">
        <f t="shared" si="576"/>
        <v>0</v>
      </c>
    </row>
    <row r="2172" spans="4:22" x14ac:dyDescent="0.15">
      <c r="D2172" s="4">
        <f t="shared" si="549"/>
        <v>542</v>
      </c>
      <c r="E2172" s="4">
        <v>28</v>
      </c>
      <c r="H2172" s="29">
        <v>1001</v>
      </c>
      <c r="I2172" s="30">
        <v>0</v>
      </c>
      <c r="M2172" s="4">
        <f t="shared" ref="M2172:V2172" si="577">M556*$C$1623</f>
        <v>459</v>
      </c>
      <c r="N2172" s="4">
        <f t="shared" si="577"/>
        <v>48</v>
      </c>
      <c r="O2172" s="4">
        <f t="shared" si="577"/>
        <v>5031</v>
      </c>
      <c r="P2172" s="4">
        <f t="shared" si="577"/>
        <v>0</v>
      </c>
      <c r="Q2172" s="4">
        <f t="shared" si="577"/>
        <v>2554.5</v>
      </c>
      <c r="R2172" s="4">
        <f t="shared" si="577"/>
        <v>3.75</v>
      </c>
      <c r="S2172" s="4">
        <f t="shared" si="577"/>
        <v>55.5</v>
      </c>
      <c r="T2172" s="4">
        <f t="shared" si="577"/>
        <v>0</v>
      </c>
      <c r="U2172" s="4">
        <f t="shared" si="577"/>
        <v>0</v>
      </c>
      <c r="V2172" s="4">
        <f t="shared" si="577"/>
        <v>0</v>
      </c>
    </row>
    <row r="2173" spans="4:22" x14ac:dyDescent="0.15">
      <c r="D2173" s="4">
        <f t="shared" si="549"/>
        <v>542</v>
      </c>
      <c r="E2173" s="4">
        <v>29</v>
      </c>
      <c r="H2173" s="29">
        <v>1001</v>
      </c>
      <c r="I2173" s="30">
        <v>0</v>
      </c>
      <c r="M2173" s="4">
        <f t="shared" ref="M2173:V2173" si="578">M557*$C$1623</f>
        <v>468</v>
      </c>
      <c r="N2173" s="4">
        <f t="shared" si="578"/>
        <v>49.5</v>
      </c>
      <c r="O2173" s="4">
        <f t="shared" si="578"/>
        <v>5100</v>
      </c>
      <c r="P2173" s="4">
        <f t="shared" si="578"/>
        <v>0</v>
      </c>
      <c r="Q2173" s="4">
        <f t="shared" si="578"/>
        <v>2562</v>
      </c>
      <c r="R2173" s="4">
        <f t="shared" si="578"/>
        <v>3.75</v>
      </c>
      <c r="S2173" s="4">
        <f t="shared" si="578"/>
        <v>57</v>
      </c>
      <c r="T2173" s="4">
        <f t="shared" si="578"/>
        <v>0</v>
      </c>
      <c r="U2173" s="4">
        <f t="shared" si="578"/>
        <v>0</v>
      </c>
      <c r="V2173" s="4">
        <f t="shared" si="578"/>
        <v>0</v>
      </c>
    </row>
    <row r="2174" spans="4:22" x14ac:dyDescent="0.15">
      <c r="D2174" s="4">
        <f t="shared" si="549"/>
        <v>542</v>
      </c>
      <c r="E2174" s="4">
        <v>30</v>
      </c>
      <c r="H2174" s="29">
        <v>1001</v>
      </c>
      <c r="I2174" s="30">
        <v>0</v>
      </c>
      <c r="M2174" s="4">
        <f t="shared" ref="M2174:V2174" si="579">M558*$C$1623</f>
        <v>477</v>
      </c>
      <c r="N2174" s="4">
        <f t="shared" si="579"/>
        <v>51</v>
      </c>
      <c r="O2174" s="4">
        <f t="shared" si="579"/>
        <v>5169</v>
      </c>
      <c r="P2174" s="4">
        <f t="shared" si="579"/>
        <v>0</v>
      </c>
      <c r="Q2174" s="4">
        <f t="shared" si="579"/>
        <v>2569.5</v>
      </c>
      <c r="R2174" s="4">
        <f t="shared" si="579"/>
        <v>3.75</v>
      </c>
      <c r="S2174" s="4">
        <f t="shared" si="579"/>
        <v>58.5</v>
      </c>
      <c r="T2174" s="4">
        <f t="shared" si="579"/>
        <v>0</v>
      </c>
      <c r="U2174" s="4">
        <f t="shared" si="579"/>
        <v>0</v>
      </c>
      <c r="V2174" s="4">
        <f t="shared" si="579"/>
        <v>0</v>
      </c>
    </row>
    <row r="2175" spans="4:22" x14ac:dyDescent="0.15">
      <c r="D2175" s="4">
        <f t="shared" si="549"/>
        <v>542</v>
      </c>
      <c r="E2175" s="4">
        <v>31</v>
      </c>
      <c r="H2175" s="29">
        <v>1001</v>
      </c>
      <c r="I2175" s="30">
        <v>0</v>
      </c>
      <c r="M2175" s="4">
        <f t="shared" ref="M2175:V2175" si="580">M559*$C$1623</f>
        <v>486</v>
      </c>
      <c r="N2175" s="4">
        <f t="shared" si="580"/>
        <v>52.5</v>
      </c>
      <c r="O2175" s="4">
        <f t="shared" si="580"/>
        <v>5238</v>
      </c>
      <c r="P2175" s="4">
        <f t="shared" si="580"/>
        <v>0</v>
      </c>
      <c r="Q2175" s="4">
        <f t="shared" si="580"/>
        <v>2577</v>
      </c>
      <c r="R2175" s="4">
        <f t="shared" si="580"/>
        <v>3.75</v>
      </c>
      <c r="S2175" s="4">
        <f t="shared" si="580"/>
        <v>60</v>
      </c>
      <c r="T2175" s="4">
        <f t="shared" si="580"/>
        <v>0</v>
      </c>
      <c r="U2175" s="4">
        <f t="shared" si="580"/>
        <v>0</v>
      </c>
      <c r="V2175" s="4">
        <f t="shared" si="580"/>
        <v>0</v>
      </c>
    </row>
    <row r="2176" spans="4:22" x14ac:dyDescent="0.15">
      <c r="D2176" s="4">
        <f t="shared" si="549"/>
        <v>542</v>
      </c>
      <c r="E2176" s="4">
        <v>32</v>
      </c>
      <c r="H2176" s="29">
        <v>1001</v>
      </c>
      <c r="I2176" s="30">
        <v>0</v>
      </c>
      <c r="M2176" s="4">
        <f t="shared" ref="M2176:V2176" si="581">M560*$C$1623</f>
        <v>495</v>
      </c>
      <c r="N2176" s="4">
        <f t="shared" si="581"/>
        <v>54</v>
      </c>
      <c r="O2176" s="4">
        <f t="shared" si="581"/>
        <v>5307</v>
      </c>
      <c r="P2176" s="4">
        <f t="shared" si="581"/>
        <v>0</v>
      </c>
      <c r="Q2176" s="4">
        <f t="shared" si="581"/>
        <v>2584.5</v>
      </c>
      <c r="R2176" s="4">
        <f t="shared" si="581"/>
        <v>3.75</v>
      </c>
      <c r="S2176" s="4">
        <f t="shared" si="581"/>
        <v>61.5</v>
      </c>
      <c r="T2176" s="4">
        <f t="shared" si="581"/>
        <v>0</v>
      </c>
      <c r="U2176" s="4">
        <f t="shared" si="581"/>
        <v>0</v>
      </c>
      <c r="V2176" s="4">
        <f t="shared" si="581"/>
        <v>0</v>
      </c>
    </row>
    <row r="2177" spans="4:22" x14ac:dyDescent="0.15">
      <c r="D2177" s="4">
        <f t="shared" si="549"/>
        <v>542</v>
      </c>
      <c r="E2177" s="4">
        <v>33</v>
      </c>
      <c r="H2177" s="29">
        <v>1001</v>
      </c>
      <c r="I2177" s="30">
        <v>0</v>
      </c>
      <c r="M2177" s="4">
        <f t="shared" ref="M2177:V2177" si="582">M561*$C$1623</f>
        <v>504</v>
      </c>
      <c r="N2177" s="4">
        <f t="shared" si="582"/>
        <v>55.5</v>
      </c>
      <c r="O2177" s="4">
        <f t="shared" si="582"/>
        <v>5376</v>
      </c>
      <c r="P2177" s="4">
        <f t="shared" si="582"/>
        <v>0</v>
      </c>
      <c r="Q2177" s="4">
        <f t="shared" si="582"/>
        <v>2592</v>
      </c>
      <c r="R2177" s="4">
        <f t="shared" si="582"/>
        <v>3.75</v>
      </c>
      <c r="S2177" s="4">
        <f t="shared" si="582"/>
        <v>63</v>
      </c>
      <c r="T2177" s="4">
        <f t="shared" si="582"/>
        <v>0</v>
      </c>
      <c r="U2177" s="4">
        <f t="shared" si="582"/>
        <v>0</v>
      </c>
      <c r="V2177" s="4">
        <f t="shared" si="582"/>
        <v>0</v>
      </c>
    </row>
    <row r="2178" spans="4:22" x14ac:dyDescent="0.15">
      <c r="D2178" s="4">
        <f t="shared" si="549"/>
        <v>542</v>
      </c>
      <c r="E2178" s="4">
        <v>34</v>
      </c>
      <c r="H2178" s="29">
        <v>1001</v>
      </c>
      <c r="I2178" s="30">
        <v>0</v>
      </c>
      <c r="M2178" s="4">
        <f t="shared" ref="M2178:V2178" si="583">M562*$C$1623</f>
        <v>513</v>
      </c>
      <c r="N2178" s="4">
        <f t="shared" si="583"/>
        <v>57</v>
      </c>
      <c r="O2178" s="4">
        <f t="shared" si="583"/>
        <v>5445</v>
      </c>
      <c r="P2178" s="4">
        <f t="shared" si="583"/>
        <v>0</v>
      </c>
      <c r="Q2178" s="4">
        <f t="shared" si="583"/>
        <v>2599.5</v>
      </c>
      <c r="R2178" s="4">
        <f t="shared" si="583"/>
        <v>3.75</v>
      </c>
      <c r="S2178" s="4">
        <f t="shared" si="583"/>
        <v>64.5</v>
      </c>
      <c r="T2178" s="4">
        <f t="shared" si="583"/>
        <v>0</v>
      </c>
      <c r="U2178" s="4">
        <f t="shared" si="583"/>
        <v>0</v>
      </c>
      <c r="V2178" s="4">
        <f t="shared" si="583"/>
        <v>0</v>
      </c>
    </row>
    <row r="2179" spans="4:22" x14ac:dyDescent="0.15">
      <c r="D2179" s="4">
        <f t="shared" si="549"/>
        <v>542</v>
      </c>
      <c r="E2179" s="4">
        <v>35</v>
      </c>
      <c r="H2179" s="29">
        <v>1001</v>
      </c>
      <c r="I2179" s="30">
        <v>0</v>
      </c>
      <c r="M2179" s="4">
        <f t="shared" ref="M2179:V2179" si="584">M563*$C$1623</f>
        <v>522</v>
      </c>
      <c r="N2179" s="4">
        <f t="shared" si="584"/>
        <v>58.5</v>
      </c>
      <c r="O2179" s="4">
        <f t="shared" si="584"/>
        <v>5514</v>
      </c>
      <c r="P2179" s="4">
        <f t="shared" si="584"/>
        <v>0</v>
      </c>
      <c r="Q2179" s="4">
        <f t="shared" si="584"/>
        <v>2607</v>
      </c>
      <c r="R2179" s="4">
        <f t="shared" si="584"/>
        <v>3.75</v>
      </c>
      <c r="S2179" s="4">
        <f t="shared" si="584"/>
        <v>66</v>
      </c>
      <c r="T2179" s="4">
        <f t="shared" si="584"/>
        <v>0</v>
      </c>
      <c r="U2179" s="4">
        <f t="shared" si="584"/>
        <v>0</v>
      </c>
      <c r="V2179" s="4">
        <f t="shared" si="584"/>
        <v>0</v>
      </c>
    </row>
    <row r="2180" spans="4:22" x14ac:dyDescent="0.15">
      <c r="D2180" s="4">
        <f t="shared" si="549"/>
        <v>542</v>
      </c>
      <c r="E2180" s="4">
        <v>36</v>
      </c>
      <c r="H2180" s="29">
        <v>1001</v>
      </c>
      <c r="I2180" s="30">
        <v>0</v>
      </c>
      <c r="M2180" s="4">
        <f t="shared" ref="M2180:V2180" si="585">M564*$C$1623</f>
        <v>531</v>
      </c>
      <c r="N2180" s="4">
        <f t="shared" si="585"/>
        <v>60</v>
      </c>
      <c r="O2180" s="4">
        <f t="shared" si="585"/>
        <v>5583</v>
      </c>
      <c r="P2180" s="4">
        <f t="shared" si="585"/>
        <v>0</v>
      </c>
      <c r="Q2180" s="4">
        <f t="shared" si="585"/>
        <v>2614.5</v>
      </c>
      <c r="R2180" s="4">
        <f t="shared" si="585"/>
        <v>3.75</v>
      </c>
      <c r="S2180" s="4">
        <f t="shared" si="585"/>
        <v>67.5</v>
      </c>
      <c r="T2180" s="4">
        <f t="shared" si="585"/>
        <v>0</v>
      </c>
      <c r="U2180" s="4">
        <f t="shared" si="585"/>
        <v>0</v>
      </c>
      <c r="V2180" s="4">
        <f t="shared" si="585"/>
        <v>0</v>
      </c>
    </row>
    <row r="2181" spans="4:22" x14ac:dyDescent="0.15">
      <c r="D2181" s="4">
        <f t="shared" si="549"/>
        <v>542</v>
      </c>
      <c r="E2181" s="4">
        <v>37</v>
      </c>
      <c r="H2181" s="29">
        <v>1001</v>
      </c>
      <c r="I2181" s="30">
        <v>0</v>
      </c>
      <c r="M2181" s="4">
        <f t="shared" ref="M2181:V2181" si="586">M565*$C$1623</f>
        <v>540</v>
      </c>
      <c r="N2181" s="4">
        <f t="shared" si="586"/>
        <v>61.5</v>
      </c>
      <c r="O2181" s="4">
        <f t="shared" si="586"/>
        <v>5652</v>
      </c>
      <c r="P2181" s="4">
        <f t="shared" si="586"/>
        <v>0</v>
      </c>
      <c r="Q2181" s="4">
        <f t="shared" si="586"/>
        <v>2622</v>
      </c>
      <c r="R2181" s="4">
        <f t="shared" si="586"/>
        <v>3.75</v>
      </c>
      <c r="S2181" s="4">
        <f t="shared" si="586"/>
        <v>69</v>
      </c>
      <c r="T2181" s="4">
        <f t="shared" si="586"/>
        <v>0</v>
      </c>
      <c r="U2181" s="4">
        <f t="shared" si="586"/>
        <v>0</v>
      </c>
      <c r="V2181" s="4">
        <f t="shared" si="586"/>
        <v>0</v>
      </c>
    </row>
    <row r="2182" spans="4:22" x14ac:dyDescent="0.15">
      <c r="D2182" s="4">
        <f t="shared" si="549"/>
        <v>542</v>
      </c>
      <c r="E2182" s="4">
        <v>38</v>
      </c>
      <c r="H2182" s="29">
        <v>1001</v>
      </c>
      <c r="I2182" s="30">
        <v>0</v>
      </c>
      <c r="M2182" s="4">
        <f t="shared" ref="M2182:V2182" si="587">M566*$C$1623</f>
        <v>549</v>
      </c>
      <c r="N2182" s="4">
        <f t="shared" si="587"/>
        <v>63</v>
      </c>
      <c r="O2182" s="4">
        <f t="shared" si="587"/>
        <v>5721</v>
      </c>
      <c r="P2182" s="4">
        <f t="shared" si="587"/>
        <v>0</v>
      </c>
      <c r="Q2182" s="4">
        <f t="shared" si="587"/>
        <v>2629.5</v>
      </c>
      <c r="R2182" s="4">
        <f t="shared" si="587"/>
        <v>3.75</v>
      </c>
      <c r="S2182" s="4">
        <f t="shared" si="587"/>
        <v>70.5</v>
      </c>
      <c r="T2182" s="4">
        <f t="shared" si="587"/>
        <v>0</v>
      </c>
      <c r="U2182" s="4">
        <f t="shared" si="587"/>
        <v>0</v>
      </c>
      <c r="V2182" s="4">
        <f t="shared" si="587"/>
        <v>0</v>
      </c>
    </row>
    <row r="2183" spans="4:22" x14ac:dyDescent="0.15">
      <c r="D2183" s="4">
        <f t="shared" si="549"/>
        <v>542</v>
      </c>
      <c r="E2183" s="4">
        <v>39</v>
      </c>
      <c r="H2183" s="29">
        <v>1001</v>
      </c>
      <c r="I2183" s="30">
        <v>0</v>
      </c>
      <c r="M2183" s="4">
        <f t="shared" ref="M2183:V2183" si="588">M567*$C$1623</f>
        <v>558</v>
      </c>
      <c r="N2183" s="4">
        <f t="shared" si="588"/>
        <v>64.5</v>
      </c>
      <c r="O2183" s="4">
        <f t="shared" si="588"/>
        <v>5790</v>
      </c>
      <c r="P2183" s="4">
        <f t="shared" si="588"/>
        <v>0</v>
      </c>
      <c r="Q2183" s="4">
        <f t="shared" si="588"/>
        <v>2637</v>
      </c>
      <c r="R2183" s="4">
        <f t="shared" si="588"/>
        <v>3.75</v>
      </c>
      <c r="S2183" s="4">
        <f t="shared" si="588"/>
        <v>72</v>
      </c>
      <c r="T2183" s="4">
        <f t="shared" si="588"/>
        <v>0</v>
      </c>
      <c r="U2183" s="4">
        <f t="shared" si="588"/>
        <v>0</v>
      </c>
      <c r="V2183" s="4">
        <f t="shared" si="588"/>
        <v>0</v>
      </c>
    </row>
    <row r="2184" spans="4:22" x14ac:dyDescent="0.15">
      <c r="D2184" s="4">
        <f t="shared" si="549"/>
        <v>542</v>
      </c>
      <c r="E2184" s="4">
        <v>40</v>
      </c>
      <c r="H2184" s="29">
        <v>1001</v>
      </c>
      <c r="I2184" s="30">
        <v>0</v>
      </c>
      <c r="M2184" s="4">
        <f t="shared" ref="M2184:V2184" si="589">M568*$C$1623</f>
        <v>567</v>
      </c>
      <c r="N2184" s="4">
        <f t="shared" si="589"/>
        <v>66</v>
      </c>
      <c r="O2184" s="4">
        <f t="shared" si="589"/>
        <v>5859</v>
      </c>
      <c r="P2184" s="4">
        <f t="shared" si="589"/>
        <v>0</v>
      </c>
      <c r="Q2184" s="4">
        <f t="shared" si="589"/>
        <v>2644.5</v>
      </c>
      <c r="R2184" s="4">
        <f t="shared" si="589"/>
        <v>3.75</v>
      </c>
      <c r="S2184" s="4">
        <f t="shared" si="589"/>
        <v>73.5</v>
      </c>
      <c r="T2184" s="4">
        <f t="shared" si="589"/>
        <v>0</v>
      </c>
      <c r="U2184" s="4">
        <f t="shared" si="589"/>
        <v>0</v>
      </c>
      <c r="V2184" s="4">
        <f t="shared" si="589"/>
        <v>0</v>
      </c>
    </row>
    <row r="2185" spans="4:22" x14ac:dyDescent="0.15">
      <c r="D2185" s="4">
        <f t="shared" si="549"/>
        <v>542</v>
      </c>
      <c r="E2185" s="4">
        <v>41</v>
      </c>
      <c r="H2185" s="29">
        <v>1001</v>
      </c>
      <c r="I2185" s="30">
        <v>0</v>
      </c>
      <c r="M2185" s="4">
        <f t="shared" ref="M2185:V2185" si="590">M569*$C$1623</f>
        <v>576</v>
      </c>
      <c r="N2185" s="4">
        <f t="shared" si="590"/>
        <v>67.5</v>
      </c>
      <c r="O2185" s="4">
        <f t="shared" si="590"/>
        <v>5928</v>
      </c>
      <c r="P2185" s="4">
        <f t="shared" si="590"/>
        <v>0</v>
      </c>
      <c r="Q2185" s="4">
        <f t="shared" si="590"/>
        <v>2652</v>
      </c>
      <c r="R2185" s="4">
        <f t="shared" si="590"/>
        <v>3.75</v>
      </c>
      <c r="S2185" s="4">
        <f t="shared" si="590"/>
        <v>75</v>
      </c>
      <c r="T2185" s="4">
        <f t="shared" si="590"/>
        <v>0</v>
      </c>
      <c r="U2185" s="4">
        <f t="shared" si="590"/>
        <v>0</v>
      </c>
      <c r="V2185" s="4">
        <f t="shared" si="590"/>
        <v>0</v>
      </c>
    </row>
    <row r="2186" spans="4:22" x14ac:dyDescent="0.15">
      <c r="D2186" s="4">
        <f t="shared" si="549"/>
        <v>542</v>
      </c>
      <c r="E2186" s="4">
        <v>42</v>
      </c>
      <c r="H2186" s="29">
        <v>1001</v>
      </c>
      <c r="I2186" s="30">
        <v>0</v>
      </c>
      <c r="M2186" s="4">
        <f t="shared" ref="M2186:V2186" si="591">M570*$C$1623</f>
        <v>585</v>
      </c>
      <c r="N2186" s="4">
        <f t="shared" si="591"/>
        <v>69</v>
      </c>
      <c r="O2186" s="4">
        <f t="shared" si="591"/>
        <v>5997</v>
      </c>
      <c r="P2186" s="4">
        <f t="shared" si="591"/>
        <v>0</v>
      </c>
      <c r="Q2186" s="4">
        <f t="shared" si="591"/>
        <v>2659.5</v>
      </c>
      <c r="R2186" s="4">
        <f t="shared" si="591"/>
        <v>3.75</v>
      </c>
      <c r="S2186" s="4">
        <f t="shared" si="591"/>
        <v>76.5</v>
      </c>
      <c r="T2186" s="4">
        <f t="shared" si="591"/>
        <v>0</v>
      </c>
      <c r="U2186" s="4">
        <f t="shared" si="591"/>
        <v>0</v>
      </c>
      <c r="V2186" s="4">
        <f t="shared" si="591"/>
        <v>0</v>
      </c>
    </row>
    <row r="2187" spans="4:22" x14ac:dyDescent="0.15">
      <c r="D2187" s="4">
        <f t="shared" si="549"/>
        <v>542</v>
      </c>
      <c r="E2187" s="4">
        <v>43</v>
      </c>
      <c r="H2187" s="29">
        <v>1001</v>
      </c>
      <c r="I2187" s="30">
        <v>0</v>
      </c>
      <c r="M2187" s="4">
        <f t="shared" ref="M2187:V2187" si="592">M571*$C$1623</f>
        <v>594</v>
      </c>
      <c r="N2187" s="4">
        <f t="shared" si="592"/>
        <v>70.5</v>
      </c>
      <c r="O2187" s="4">
        <f t="shared" si="592"/>
        <v>6066</v>
      </c>
      <c r="P2187" s="4">
        <f t="shared" si="592"/>
        <v>0</v>
      </c>
      <c r="Q2187" s="4">
        <f t="shared" si="592"/>
        <v>2667</v>
      </c>
      <c r="R2187" s="4">
        <f t="shared" si="592"/>
        <v>3.75</v>
      </c>
      <c r="S2187" s="4">
        <f t="shared" si="592"/>
        <v>78</v>
      </c>
      <c r="T2187" s="4">
        <f t="shared" si="592"/>
        <v>0</v>
      </c>
      <c r="U2187" s="4">
        <f t="shared" si="592"/>
        <v>0</v>
      </c>
      <c r="V2187" s="4">
        <f t="shared" si="592"/>
        <v>0</v>
      </c>
    </row>
    <row r="2188" spans="4:22" x14ac:dyDescent="0.15">
      <c r="D2188" s="4">
        <f t="shared" si="549"/>
        <v>542</v>
      </c>
      <c r="E2188" s="4">
        <v>44</v>
      </c>
      <c r="H2188" s="29">
        <v>1001</v>
      </c>
      <c r="I2188" s="30">
        <v>0</v>
      </c>
      <c r="M2188" s="4">
        <f t="shared" ref="M2188:V2188" si="593">M572*$C$1623</f>
        <v>603</v>
      </c>
      <c r="N2188" s="4">
        <f t="shared" si="593"/>
        <v>72</v>
      </c>
      <c r="O2188" s="4">
        <f t="shared" si="593"/>
        <v>6135</v>
      </c>
      <c r="P2188" s="4">
        <f t="shared" si="593"/>
        <v>0</v>
      </c>
      <c r="Q2188" s="4">
        <f t="shared" si="593"/>
        <v>2674.5</v>
      </c>
      <c r="R2188" s="4">
        <f t="shared" si="593"/>
        <v>3.75</v>
      </c>
      <c r="S2188" s="4">
        <f t="shared" si="593"/>
        <v>79.5</v>
      </c>
      <c r="T2188" s="4">
        <f t="shared" si="593"/>
        <v>0</v>
      </c>
      <c r="U2188" s="4">
        <f t="shared" si="593"/>
        <v>0</v>
      </c>
      <c r="V2188" s="4">
        <f t="shared" si="593"/>
        <v>0</v>
      </c>
    </row>
    <row r="2189" spans="4:22" x14ac:dyDescent="0.15">
      <c r="D2189" s="4">
        <f t="shared" si="549"/>
        <v>542</v>
      </c>
      <c r="E2189" s="4">
        <v>45</v>
      </c>
      <c r="H2189" s="29">
        <v>1001</v>
      </c>
      <c r="I2189" s="30">
        <v>0</v>
      </c>
      <c r="M2189" s="4">
        <f t="shared" ref="M2189:V2189" si="594">M573*$C$1623</f>
        <v>612</v>
      </c>
      <c r="N2189" s="4">
        <f t="shared" si="594"/>
        <v>73.5</v>
      </c>
      <c r="O2189" s="4">
        <f t="shared" si="594"/>
        <v>6204</v>
      </c>
      <c r="P2189" s="4">
        <f t="shared" si="594"/>
        <v>0</v>
      </c>
      <c r="Q2189" s="4">
        <f t="shared" si="594"/>
        <v>2682</v>
      </c>
      <c r="R2189" s="4">
        <f t="shared" si="594"/>
        <v>3.75</v>
      </c>
      <c r="S2189" s="4">
        <f t="shared" si="594"/>
        <v>81</v>
      </c>
      <c r="T2189" s="4">
        <f t="shared" si="594"/>
        <v>0</v>
      </c>
      <c r="U2189" s="4">
        <f t="shared" si="594"/>
        <v>0</v>
      </c>
      <c r="V2189" s="4">
        <f t="shared" si="594"/>
        <v>0</v>
      </c>
    </row>
    <row r="2190" spans="4:22" x14ac:dyDescent="0.15">
      <c r="D2190" s="4">
        <f t="shared" si="549"/>
        <v>542</v>
      </c>
      <c r="E2190" s="4">
        <v>46</v>
      </c>
      <c r="H2190" s="29">
        <v>1001</v>
      </c>
      <c r="I2190" s="30">
        <v>0</v>
      </c>
      <c r="M2190" s="4">
        <f t="shared" ref="M2190:V2190" si="595">M574*$C$1623</f>
        <v>621</v>
      </c>
      <c r="N2190" s="4">
        <f t="shared" si="595"/>
        <v>75</v>
      </c>
      <c r="O2190" s="4">
        <f t="shared" si="595"/>
        <v>6273</v>
      </c>
      <c r="P2190" s="4">
        <f t="shared" si="595"/>
        <v>0</v>
      </c>
      <c r="Q2190" s="4">
        <f t="shared" si="595"/>
        <v>2689.5</v>
      </c>
      <c r="R2190" s="4">
        <f t="shared" si="595"/>
        <v>3.75</v>
      </c>
      <c r="S2190" s="4">
        <f t="shared" si="595"/>
        <v>82.5</v>
      </c>
      <c r="T2190" s="4">
        <f t="shared" si="595"/>
        <v>0</v>
      </c>
      <c r="U2190" s="4">
        <f t="shared" si="595"/>
        <v>0</v>
      </c>
      <c r="V2190" s="4">
        <f t="shared" si="595"/>
        <v>0</v>
      </c>
    </row>
    <row r="2191" spans="4:22" x14ac:dyDescent="0.15">
      <c r="D2191" s="4">
        <f t="shared" si="549"/>
        <v>542</v>
      </c>
      <c r="E2191" s="4">
        <v>47</v>
      </c>
      <c r="H2191" s="29">
        <v>1001</v>
      </c>
      <c r="I2191" s="30">
        <v>0</v>
      </c>
      <c r="M2191" s="4">
        <f t="shared" ref="M2191:V2191" si="596">M575*$C$1623</f>
        <v>630</v>
      </c>
      <c r="N2191" s="4">
        <f t="shared" si="596"/>
        <v>76.5</v>
      </c>
      <c r="O2191" s="4">
        <f t="shared" si="596"/>
        <v>6342</v>
      </c>
      <c r="P2191" s="4">
        <f t="shared" si="596"/>
        <v>0</v>
      </c>
      <c r="Q2191" s="4">
        <f t="shared" si="596"/>
        <v>2697</v>
      </c>
      <c r="R2191" s="4">
        <f t="shared" si="596"/>
        <v>3.75</v>
      </c>
      <c r="S2191" s="4">
        <f t="shared" si="596"/>
        <v>84</v>
      </c>
      <c r="T2191" s="4">
        <f t="shared" si="596"/>
        <v>0</v>
      </c>
      <c r="U2191" s="4">
        <f t="shared" si="596"/>
        <v>0</v>
      </c>
      <c r="V2191" s="4">
        <f t="shared" si="596"/>
        <v>0</v>
      </c>
    </row>
    <row r="2192" spans="4:22" x14ac:dyDescent="0.15">
      <c r="D2192" s="4">
        <f t="shared" si="549"/>
        <v>542</v>
      </c>
      <c r="E2192" s="4">
        <v>48</v>
      </c>
      <c r="H2192" s="29">
        <v>1001</v>
      </c>
      <c r="I2192" s="30">
        <v>0</v>
      </c>
      <c r="M2192" s="4">
        <f t="shared" ref="M2192:V2192" si="597">M576*$C$1623</f>
        <v>639</v>
      </c>
      <c r="N2192" s="4">
        <f t="shared" si="597"/>
        <v>78</v>
      </c>
      <c r="O2192" s="4">
        <f t="shared" si="597"/>
        <v>6411</v>
      </c>
      <c r="P2192" s="4">
        <f t="shared" si="597"/>
        <v>0</v>
      </c>
      <c r="Q2192" s="4">
        <f t="shared" si="597"/>
        <v>2704.5</v>
      </c>
      <c r="R2192" s="4">
        <f t="shared" si="597"/>
        <v>3.75</v>
      </c>
      <c r="S2192" s="4">
        <f t="shared" si="597"/>
        <v>85.5</v>
      </c>
      <c r="T2192" s="4">
        <f t="shared" si="597"/>
        <v>0</v>
      </c>
      <c r="U2192" s="4">
        <f t="shared" si="597"/>
        <v>0</v>
      </c>
      <c r="V2192" s="4">
        <f t="shared" si="597"/>
        <v>0</v>
      </c>
    </row>
    <row r="2193" spans="3:22" x14ac:dyDescent="0.15">
      <c r="D2193" s="4">
        <f t="shared" si="549"/>
        <v>542</v>
      </c>
      <c r="E2193" s="4">
        <v>49</v>
      </c>
      <c r="H2193" s="29">
        <v>1001</v>
      </c>
      <c r="I2193" s="30">
        <v>0</v>
      </c>
      <c r="M2193" s="4">
        <f t="shared" ref="M2193:V2193" si="598">M577*$C$1623</f>
        <v>648</v>
      </c>
      <c r="N2193" s="4">
        <f t="shared" si="598"/>
        <v>79.5</v>
      </c>
      <c r="O2193" s="4">
        <f t="shared" si="598"/>
        <v>6480</v>
      </c>
      <c r="P2193" s="4">
        <f t="shared" si="598"/>
        <v>0</v>
      </c>
      <c r="Q2193" s="4">
        <f t="shared" si="598"/>
        <v>2712</v>
      </c>
      <c r="R2193" s="4">
        <f t="shared" si="598"/>
        <v>3.75</v>
      </c>
      <c r="S2193" s="4">
        <f t="shared" si="598"/>
        <v>87</v>
      </c>
      <c r="T2193" s="4">
        <f t="shared" si="598"/>
        <v>0</v>
      </c>
      <c r="U2193" s="4">
        <f t="shared" si="598"/>
        <v>0</v>
      </c>
      <c r="V2193" s="4">
        <f t="shared" si="598"/>
        <v>0</v>
      </c>
    </row>
    <row r="2194" spans="3:22" x14ac:dyDescent="0.15">
      <c r="D2194" s="4">
        <f t="shared" si="549"/>
        <v>542</v>
      </c>
      <c r="E2194" s="4">
        <v>50</v>
      </c>
      <c r="H2194" s="29">
        <v>1001</v>
      </c>
      <c r="I2194" s="30">
        <v>0</v>
      </c>
      <c r="M2194" s="4">
        <f t="shared" ref="M2194:V2194" si="599">M578*$C$1623</f>
        <v>657</v>
      </c>
      <c r="N2194" s="4">
        <f t="shared" si="599"/>
        <v>81</v>
      </c>
      <c r="O2194" s="4">
        <f t="shared" si="599"/>
        <v>6549</v>
      </c>
      <c r="P2194" s="4">
        <f t="shared" si="599"/>
        <v>0</v>
      </c>
      <c r="Q2194" s="4">
        <f t="shared" si="599"/>
        <v>2719.5</v>
      </c>
      <c r="R2194" s="4">
        <f t="shared" si="599"/>
        <v>3.75</v>
      </c>
      <c r="S2194" s="4">
        <f t="shared" si="599"/>
        <v>88.5</v>
      </c>
      <c r="T2194" s="4">
        <f t="shared" si="599"/>
        <v>0</v>
      </c>
      <c r="U2194" s="4">
        <f t="shared" si="599"/>
        <v>0</v>
      </c>
      <c r="V2194" s="4">
        <f t="shared" si="599"/>
        <v>0</v>
      </c>
    </row>
    <row r="2195" spans="3:22" x14ac:dyDescent="0.15">
      <c r="I2195" s="4"/>
      <c r="M2195" s="4">
        <f t="shared" ref="M2195:V2195" si="600">M579*$C$1623</f>
        <v>0</v>
      </c>
      <c r="N2195" s="4">
        <f t="shared" si="600"/>
        <v>0</v>
      </c>
      <c r="O2195" s="4">
        <f t="shared" si="600"/>
        <v>0</v>
      </c>
      <c r="P2195" s="4">
        <f t="shared" si="600"/>
        <v>0</v>
      </c>
      <c r="Q2195" s="4">
        <f t="shared" si="600"/>
        <v>0</v>
      </c>
      <c r="R2195" s="4">
        <f t="shared" si="600"/>
        <v>0</v>
      </c>
      <c r="S2195" s="4">
        <f t="shared" si="600"/>
        <v>0</v>
      </c>
      <c r="T2195" s="4">
        <f t="shared" si="600"/>
        <v>0</v>
      </c>
      <c r="U2195" s="4">
        <f t="shared" si="600"/>
        <v>0</v>
      </c>
      <c r="V2195" s="4">
        <f t="shared" si="600"/>
        <v>0</v>
      </c>
    </row>
    <row r="2196" spans="3:22" ht="16.5" x14ac:dyDescent="0.15">
      <c r="C2196" s="4" t="s">
        <v>3087</v>
      </c>
      <c r="D2196" s="4">
        <f t="shared" ref="D2196:D2246" si="601">D2144+1</f>
        <v>543</v>
      </c>
      <c r="E2196" s="4">
        <v>0</v>
      </c>
      <c r="H2196" s="38">
        <v>2003</v>
      </c>
      <c r="I2196" s="38">
        <v>1</v>
      </c>
      <c r="L2196" s="8">
        <v>206</v>
      </c>
      <c r="M2196" s="4">
        <f t="shared" ref="M2196:V2196" si="602">M580*$C$1623</f>
        <v>0</v>
      </c>
      <c r="N2196" s="4">
        <f t="shared" si="602"/>
        <v>0</v>
      </c>
      <c r="O2196" s="4">
        <f t="shared" si="602"/>
        <v>0</v>
      </c>
      <c r="P2196" s="4">
        <f t="shared" si="602"/>
        <v>0</v>
      </c>
      <c r="Q2196" s="4">
        <f t="shared" si="602"/>
        <v>0</v>
      </c>
      <c r="R2196" s="4">
        <f t="shared" si="602"/>
        <v>0</v>
      </c>
      <c r="S2196" s="4">
        <f t="shared" si="602"/>
        <v>0</v>
      </c>
      <c r="T2196" s="4">
        <f t="shared" si="602"/>
        <v>0</v>
      </c>
      <c r="U2196" s="4">
        <f t="shared" si="602"/>
        <v>0</v>
      </c>
      <c r="V2196" s="4">
        <f t="shared" si="602"/>
        <v>0</v>
      </c>
    </row>
    <row r="2197" spans="3:22" x14ac:dyDescent="0.15">
      <c r="D2197" s="4">
        <f t="shared" si="601"/>
        <v>543</v>
      </c>
      <c r="E2197" s="4">
        <v>1</v>
      </c>
      <c r="H2197" s="29">
        <v>1001</v>
      </c>
      <c r="I2197" s="30">
        <v>0</v>
      </c>
      <c r="M2197" s="4">
        <f t="shared" ref="M2197:V2197" si="603">M581*$C$1623</f>
        <v>288</v>
      </c>
      <c r="N2197" s="4">
        <f t="shared" si="603"/>
        <v>9</v>
      </c>
      <c r="O2197" s="4">
        <f t="shared" si="603"/>
        <v>4320</v>
      </c>
      <c r="P2197" s="4">
        <f t="shared" si="603"/>
        <v>0</v>
      </c>
      <c r="Q2197" s="4">
        <f t="shared" si="603"/>
        <v>2688</v>
      </c>
      <c r="R2197" s="4">
        <f t="shared" si="603"/>
        <v>3.75</v>
      </c>
      <c r="S2197" s="4">
        <f t="shared" si="603"/>
        <v>16.5</v>
      </c>
      <c r="T2197" s="4">
        <f t="shared" si="603"/>
        <v>0</v>
      </c>
      <c r="U2197" s="4">
        <f t="shared" si="603"/>
        <v>0</v>
      </c>
      <c r="V2197" s="4">
        <f t="shared" si="603"/>
        <v>0</v>
      </c>
    </row>
    <row r="2198" spans="3:22" x14ac:dyDescent="0.15">
      <c r="D2198" s="4">
        <f t="shared" si="601"/>
        <v>543</v>
      </c>
      <c r="E2198" s="4">
        <v>2</v>
      </c>
      <c r="H2198" s="29">
        <v>1001</v>
      </c>
      <c r="I2198" s="30">
        <v>0</v>
      </c>
      <c r="M2198" s="4">
        <f t="shared" ref="M2198:V2198" si="604">M582*$C$1623</f>
        <v>300</v>
      </c>
      <c r="N2198" s="4">
        <f t="shared" si="604"/>
        <v>10.5</v>
      </c>
      <c r="O2198" s="4">
        <f t="shared" si="604"/>
        <v>4416</v>
      </c>
      <c r="P2198" s="4">
        <f t="shared" si="604"/>
        <v>0</v>
      </c>
      <c r="Q2198" s="4">
        <f t="shared" si="604"/>
        <v>2695.5</v>
      </c>
      <c r="R2198" s="4">
        <f t="shared" si="604"/>
        <v>3.75</v>
      </c>
      <c r="S2198" s="4">
        <f t="shared" si="604"/>
        <v>18</v>
      </c>
      <c r="T2198" s="4">
        <f t="shared" si="604"/>
        <v>0</v>
      </c>
      <c r="U2198" s="4">
        <f t="shared" si="604"/>
        <v>0</v>
      </c>
      <c r="V2198" s="4">
        <f t="shared" si="604"/>
        <v>0</v>
      </c>
    </row>
    <row r="2199" spans="3:22" x14ac:dyDescent="0.15">
      <c r="D2199" s="4">
        <f t="shared" si="601"/>
        <v>543</v>
      </c>
      <c r="E2199" s="4">
        <v>3</v>
      </c>
      <c r="H2199" s="29">
        <v>1001</v>
      </c>
      <c r="I2199" s="30">
        <v>0</v>
      </c>
      <c r="M2199" s="4">
        <f t="shared" ref="M2199:V2199" si="605">M583*$C$1623</f>
        <v>312</v>
      </c>
      <c r="N2199" s="4">
        <f t="shared" si="605"/>
        <v>12</v>
      </c>
      <c r="O2199" s="4">
        <f t="shared" si="605"/>
        <v>4512</v>
      </c>
      <c r="P2199" s="4">
        <f t="shared" si="605"/>
        <v>0</v>
      </c>
      <c r="Q2199" s="4">
        <f t="shared" si="605"/>
        <v>2703</v>
      </c>
      <c r="R2199" s="4">
        <f t="shared" si="605"/>
        <v>3.75</v>
      </c>
      <c r="S2199" s="4">
        <f t="shared" si="605"/>
        <v>19.5</v>
      </c>
      <c r="T2199" s="4">
        <f t="shared" si="605"/>
        <v>0</v>
      </c>
      <c r="U2199" s="4">
        <f t="shared" si="605"/>
        <v>0</v>
      </c>
      <c r="V2199" s="4">
        <f t="shared" si="605"/>
        <v>0</v>
      </c>
    </row>
    <row r="2200" spans="3:22" x14ac:dyDescent="0.15">
      <c r="D2200" s="4">
        <f t="shared" si="601"/>
        <v>543</v>
      </c>
      <c r="E2200" s="4">
        <v>4</v>
      </c>
      <c r="H2200" s="29">
        <v>1001</v>
      </c>
      <c r="I2200" s="30">
        <v>0</v>
      </c>
      <c r="M2200" s="4">
        <f t="shared" ref="M2200:V2200" si="606">M584*$C$1623</f>
        <v>324</v>
      </c>
      <c r="N2200" s="4">
        <f t="shared" si="606"/>
        <v>13.5</v>
      </c>
      <c r="O2200" s="4">
        <f t="shared" si="606"/>
        <v>4608</v>
      </c>
      <c r="P2200" s="4">
        <f t="shared" si="606"/>
        <v>0</v>
      </c>
      <c r="Q2200" s="4">
        <f t="shared" si="606"/>
        <v>2710.5</v>
      </c>
      <c r="R2200" s="4">
        <f t="shared" si="606"/>
        <v>3.75</v>
      </c>
      <c r="S2200" s="4">
        <f t="shared" si="606"/>
        <v>21</v>
      </c>
      <c r="T2200" s="4">
        <f t="shared" si="606"/>
        <v>0</v>
      </c>
      <c r="U2200" s="4">
        <f t="shared" si="606"/>
        <v>0</v>
      </c>
      <c r="V2200" s="4">
        <f t="shared" si="606"/>
        <v>0</v>
      </c>
    </row>
    <row r="2201" spans="3:22" x14ac:dyDescent="0.15">
      <c r="D2201" s="4">
        <f t="shared" si="601"/>
        <v>543</v>
      </c>
      <c r="E2201" s="4">
        <v>5</v>
      </c>
      <c r="H2201" s="29">
        <v>1001</v>
      </c>
      <c r="I2201" s="30">
        <v>0</v>
      </c>
      <c r="M2201" s="4">
        <f t="shared" ref="M2201:V2201" si="607">M585*$C$1623</f>
        <v>336</v>
      </c>
      <c r="N2201" s="4">
        <f t="shared" si="607"/>
        <v>15</v>
      </c>
      <c r="O2201" s="4">
        <f t="shared" si="607"/>
        <v>4704</v>
      </c>
      <c r="P2201" s="4">
        <f t="shared" si="607"/>
        <v>0</v>
      </c>
      <c r="Q2201" s="4">
        <f t="shared" si="607"/>
        <v>2718</v>
      </c>
      <c r="R2201" s="4">
        <f t="shared" si="607"/>
        <v>3.75</v>
      </c>
      <c r="S2201" s="4">
        <f t="shared" si="607"/>
        <v>22.5</v>
      </c>
      <c r="T2201" s="4">
        <f t="shared" si="607"/>
        <v>0</v>
      </c>
      <c r="U2201" s="4">
        <f t="shared" si="607"/>
        <v>0</v>
      </c>
      <c r="V2201" s="4">
        <f t="shared" si="607"/>
        <v>0</v>
      </c>
    </row>
    <row r="2202" spans="3:22" x14ac:dyDescent="0.15">
      <c r="D2202" s="4">
        <f t="shared" si="601"/>
        <v>543</v>
      </c>
      <c r="E2202" s="4">
        <v>6</v>
      </c>
      <c r="H2202" s="29">
        <v>1001</v>
      </c>
      <c r="I2202" s="30">
        <v>0</v>
      </c>
      <c r="M2202" s="4">
        <f t="shared" ref="M2202:V2202" si="608">M586*$C$1623</f>
        <v>348</v>
      </c>
      <c r="N2202" s="4">
        <f t="shared" si="608"/>
        <v>16.5</v>
      </c>
      <c r="O2202" s="4">
        <f t="shared" si="608"/>
        <v>4800</v>
      </c>
      <c r="P2202" s="4">
        <f t="shared" si="608"/>
        <v>0</v>
      </c>
      <c r="Q2202" s="4">
        <f t="shared" si="608"/>
        <v>2725.5</v>
      </c>
      <c r="R2202" s="4">
        <f t="shared" si="608"/>
        <v>3.75</v>
      </c>
      <c r="S2202" s="4">
        <f t="shared" si="608"/>
        <v>24</v>
      </c>
      <c r="T2202" s="4">
        <f t="shared" si="608"/>
        <v>0</v>
      </c>
      <c r="U2202" s="4">
        <f t="shared" si="608"/>
        <v>0</v>
      </c>
      <c r="V2202" s="4">
        <f t="shared" si="608"/>
        <v>0</v>
      </c>
    </row>
    <row r="2203" spans="3:22" x14ac:dyDescent="0.15">
      <c r="D2203" s="4">
        <f t="shared" si="601"/>
        <v>543</v>
      </c>
      <c r="E2203" s="4">
        <v>7</v>
      </c>
      <c r="H2203" s="29">
        <v>1001</v>
      </c>
      <c r="I2203" s="30">
        <v>0</v>
      </c>
      <c r="M2203" s="4">
        <f t="shared" ref="M2203:V2203" si="609">M587*$C$1623</f>
        <v>360</v>
      </c>
      <c r="N2203" s="4">
        <f t="shared" si="609"/>
        <v>18</v>
      </c>
      <c r="O2203" s="4">
        <f t="shared" si="609"/>
        <v>4896</v>
      </c>
      <c r="P2203" s="4">
        <f t="shared" si="609"/>
        <v>0</v>
      </c>
      <c r="Q2203" s="4">
        <f t="shared" si="609"/>
        <v>2733</v>
      </c>
      <c r="R2203" s="4">
        <f t="shared" si="609"/>
        <v>3.75</v>
      </c>
      <c r="S2203" s="4">
        <f t="shared" si="609"/>
        <v>25.5</v>
      </c>
      <c r="T2203" s="4">
        <f t="shared" si="609"/>
        <v>0</v>
      </c>
      <c r="U2203" s="4">
        <f t="shared" si="609"/>
        <v>0</v>
      </c>
      <c r="V2203" s="4">
        <f t="shared" si="609"/>
        <v>0</v>
      </c>
    </row>
    <row r="2204" spans="3:22" x14ac:dyDescent="0.15">
      <c r="D2204" s="4">
        <f t="shared" si="601"/>
        <v>543</v>
      </c>
      <c r="E2204" s="4">
        <v>8</v>
      </c>
      <c r="H2204" s="29">
        <v>1001</v>
      </c>
      <c r="I2204" s="30">
        <v>0</v>
      </c>
      <c r="M2204" s="4">
        <f t="shared" ref="M2204:V2204" si="610">M588*$C$1623</f>
        <v>372</v>
      </c>
      <c r="N2204" s="4">
        <f t="shared" si="610"/>
        <v>19.5</v>
      </c>
      <c r="O2204" s="4">
        <f t="shared" si="610"/>
        <v>4992</v>
      </c>
      <c r="P2204" s="4">
        <f t="shared" si="610"/>
        <v>0</v>
      </c>
      <c r="Q2204" s="4">
        <f t="shared" si="610"/>
        <v>2740.5</v>
      </c>
      <c r="R2204" s="4">
        <f t="shared" si="610"/>
        <v>3.75</v>
      </c>
      <c r="S2204" s="4">
        <f t="shared" si="610"/>
        <v>27</v>
      </c>
      <c r="T2204" s="4">
        <f t="shared" si="610"/>
        <v>0</v>
      </c>
      <c r="U2204" s="4">
        <f t="shared" si="610"/>
        <v>0</v>
      </c>
      <c r="V2204" s="4">
        <f t="shared" si="610"/>
        <v>0</v>
      </c>
    </row>
    <row r="2205" spans="3:22" x14ac:dyDescent="0.15">
      <c r="D2205" s="4">
        <f t="shared" si="601"/>
        <v>543</v>
      </c>
      <c r="E2205" s="4">
        <v>9</v>
      </c>
      <c r="H2205" s="29">
        <v>1001</v>
      </c>
      <c r="I2205" s="30">
        <v>0</v>
      </c>
      <c r="M2205" s="4">
        <f t="shared" ref="M2205:V2205" si="611">M589*$C$1623</f>
        <v>384</v>
      </c>
      <c r="N2205" s="4">
        <f t="shared" si="611"/>
        <v>21</v>
      </c>
      <c r="O2205" s="4">
        <f t="shared" si="611"/>
        <v>5088</v>
      </c>
      <c r="P2205" s="4">
        <f t="shared" si="611"/>
        <v>0</v>
      </c>
      <c r="Q2205" s="4">
        <f t="shared" si="611"/>
        <v>2748</v>
      </c>
      <c r="R2205" s="4">
        <f t="shared" si="611"/>
        <v>3.75</v>
      </c>
      <c r="S2205" s="4">
        <f t="shared" si="611"/>
        <v>28.5</v>
      </c>
      <c r="T2205" s="4">
        <f t="shared" si="611"/>
        <v>0</v>
      </c>
      <c r="U2205" s="4">
        <f t="shared" si="611"/>
        <v>0</v>
      </c>
      <c r="V2205" s="4">
        <f t="shared" si="611"/>
        <v>0</v>
      </c>
    </row>
    <row r="2206" spans="3:22" x14ac:dyDescent="0.15">
      <c r="D2206" s="4">
        <f t="shared" si="601"/>
        <v>543</v>
      </c>
      <c r="E2206" s="4">
        <v>10</v>
      </c>
      <c r="H2206" s="29">
        <v>1001</v>
      </c>
      <c r="I2206" s="30">
        <v>0</v>
      </c>
      <c r="M2206" s="4">
        <f t="shared" ref="M2206:V2206" si="612">M590*$C$1623</f>
        <v>396</v>
      </c>
      <c r="N2206" s="4">
        <f t="shared" si="612"/>
        <v>22.5</v>
      </c>
      <c r="O2206" s="4">
        <f t="shared" si="612"/>
        <v>5184</v>
      </c>
      <c r="P2206" s="4">
        <f t="shared" si="612"/>
        <v>0</v>
      </c>
      <c r="Q2206" s="4">
        <f t="shared" si="612"/>
        <v>2755.5</v>
      </c>
      <c r="R2206" s="4">
        <f t="shared" si="612"/>
        <v>3.75</v>
      </c>
      <c r="S2206" s="4">
        <f t="shared" si="612"/>
        <v>30</v>
      </c>
      <c r="T2206" s="4">
        <f t="shared" si="612"/>
        <v>0</v>
      </c>
      <c r="U2206" s="4">
        <f t="shared" si="612"/>
        <v>0</v>
      </c>
      <c r="V2206" s="4">
        <f t="shared" si="612"/>
        <v>0</v>
      </c>
    </row>
    <row r="2207" spans="3:22" x14ac:dyDescent="0.15">
      <c r="D2207" s="4">
        <f t="shared" si="601"/>
        <v>543</v>
      </c>
      <c r="E2207" s="4">
        <v>11</v>
      </c>
      <c r="H2207" s="29">
        <v>1001</v>
      </c>
      <c r="I2207" s="30">
        <v>0</v>
      </c>
      <c r="M2207" s="4">
        <f t="shared" ref="M2207:V2207" si="613">M591*$C$1623</f>
        <v>408</v>
      </c>
      <c r="N2207" s="4">
        <f t="shared" si="613"/>
        <v>24</v>
      </c>
      <c r="O2207" s="4">
        <f t="shared" si="613"/>
        <v>5280</v>
      </c>
      <c r="P2207" s="4">
        <f t="shared" si="613"/>
        <v>0</v>
      </c>
      <c r="Q2207" s="4">
        <f t="shared" si="613"/>
        <v>2763</v>
      </c>
      <c r="R2207" s="4">
        <f t="shared" si="613"/>
        <v>3.75</v>
      </c>
      <c r="S2207" s="4">
        <f t="shared" si="613"/>
        <v>31.5</v>
      </c>
      <c r="T2207" s="4">
        <f t="shared" si="613"/>
        <v>0</v>
      </c>
      <c r="U2207" s="4">
        <f t="shared" si="613"/>
        <v>0</v>
      </c>
      <c r="V2207" s="4">
        <f t="shared" si="613"/>
        <v>0</v>
      </c>
    </row>
    <row r="2208" spans="3:22" x14ac:dyDescent="0.15">
      <c r="D2208" s="4">
        <f t="shared" si="601"/>
        <v>543</v>
      </c>
      <c r="E2208" s="4">
        <v>12</v>
      </c>
      <c r="H2208" s="29">
        <v>1001</v>
      </c>
      <c r="I2208" s="30">
        <v>0</v>
      </c>
      <c r="M2208" s="4">
        <f t="shared" ref="M2208:V2208" si="614">M592*$C$1623</f>
        <v>420</v>
      </c>
      <c r="N2208" s="4">
        <f t="shared" si="614"/>
        <v>25.5</v>
      </c>
      <c r="O2208" s="4">
        <f t="shared" si="614"/>
        <v>5376</v>
      </c>
      <c r="P2208" s="4">
        <f t="shared" si="614"/>
        <v>0</v>
      </c>
      <c r="Q2208" s="4">
        <f t="shared" si="614"/>
        <v>2770.5</v>
      </c>
      <c r="R2208" s="4">
        <f t="shared" si="614"/>
        <v>3.75</v>
      </c>
      <c r="S2208" s="4">
        <f t="shared" si="614"/>
        <v>33</v>
      </c>
      <c r="T2208" s="4">
        <f t="shared" si="614"/>
        <v>0</v>
      </c>
      <c r="U2208" s="4">
        <f t="shared" si="614"/>
        <v>0</v>
      </c>
      <c r="V2208" s="4">
        <f t="shared" si="614"/>
        <v>0</v>
      </c>
    </row>
    <row r="2209" spans="4:22" x14ac:dyDescent="0.15">
      <c r="D2209" s="4">
        <f t="shared" si="601"/>
        <v>543</v>
      </c>
      <c r="E2209" s="4">
        <v>13</v>
      </c>
      <c r="H2209" s="29">
        <v>1001</v>
      </c>
      <c r="I2209" s="30">
        <v>0</v>
      </c>
      <c r="M2209" s="4">
        <f t="shared" ref="M2209:V2209" si="615">M593*$C$1623</f>
        <v>432</v>
      </c>
      <c r="N2209" s="4">
        <f t="shared" si="615"/>
        <v>27</v>
      </c>
      <c r="O2209" s="4">
        <f t="shared" si="615"/>
        <v>5472</v>
      </c>
      <c r="P2209" s="4">
        <f t="shared" si="615"/>
        <v>0</v>
      </c>
      <c r="Q2209" s="4">
        <f t="shared" si="615"/>
        <v>2778</v>
      </c>
      <c r="R2209" s="4">
        <f t="shared" si="615"/>
        <v>3.75</v>
      </c>
      <c r="S2209" s="4">
        <f t="shared" si="615"/>
        <v>34.5</v>
      </c>
      <c r="T2209" s="4">
        <f t="shared" si="615"/>
        <v>0</v>
      </c>
      <c r="U2209" s="4">
        <f t="shared" si="615"/>
        <v>0</v>
      </c>
      <c r="V2209" s="4">
        <f t="shared" si="615"/>
        <v>0</v>
      </c>
    </row>
    <row r="2210" spans="4:22" x14ac:dyDescent="0.15">
      <c r="D2210" s="4">
        <f t="shared" si="601"/>
        <v>543</v>
      </c>
      <c r="E2210" s="4">
        <v>14</v>
      </c>
      <c r="H2210" s="29">
        <v>1001</v>
      </c>
      <c r="I2210" s="30">
        <v>0</v>
      </c>
      <c r="M2210" s="4">
        <f t="shared" ref="M2210:V2210" si="616">M594*$C$1623</f>
        <v>444</v>
      </c>
      <c r="N2210" s="4">
        <f t="shared" si="616"/>
        <v>28.5</v>
      </c>
      <c r="O2210" s="4">
        <f t="shared" si="616"/>
        <v>5568</v>
      </c>
      <c r="P2210" s="4">
        <f t="shared" si="616"/>
        <v>0</v>
      </c>
      <c r="Q2210" s="4">
        <f t="shared" si="616"/>
        <v>2785.5</v>
      </c>
      <c r="R2210" s="4">
        <f t="shared" si="616"/>
        <v>3.75</v>
      </c>
      <c r="S2210" s="4">
        <f t="shared" si="616"/>
        <v>36</v>
      </c>
      <c r="T2210" s="4">
        <f t="shared" si="616"/>
        <v>0</v>
      </c>
      <c r="U2210" s="4">
        <f t="shared" si="616"/>
        <v>0</v>
      </c>
      <c r="V2210" s="4">
        <f t="shared" si="616"/>
        <v>0</v>
      </c>
    </row>
    <row r="2211" spans="4:22" x14ac:dyDescent="0.15">
      <c r="D2211" s="4">
        <f t="shared" si="601"/>
        <v>543</v>
      </c>
      <c r="E2211" s="4">
        <v>15</v>
      </c>
      <c r="H2211" s="29">
        <v>1001</v>
      </c>
      <c r="I2211" s="30">
        <v>0</v>
      </c>
      <c r="M2211" s="4">
        <f t="shared" ref="M2211:V2211" si="617">M595*$C$1623</f>
        <v>456</v>
      </c>
      <c r="N2211" s="4">
        <f t="shared" si="617"/>
        <v>30</v>
      </c>
      <c r="O2211" s="4">
        <f t="shared" si="617"/>
        <v>5664</v>
      </c>
      <c r="P2211" s="4">
        <f t="shared" si="617"/>
        <v>0</v>
      </c>
      <c r="Q2211" s="4">
        <f t="shared" si="617"/>
        <v>2793</v>
      </c>
      <c r="R2211" s="4">
        <f t="shared" si="617"/>
        <v>3.75</v>
      </c>
      <c r="S2211" s="4">
        <f t="shared" si="617"/>
        <v>37.5</v>
      </c>
      <c r="T2211" s="4">
        <f t="shared" si="617"/>
        <v>0</v>
      </c>
      <c r="U2211" s="4">
        <f t="shared" si="617"/>
        <v>0</v>
      </c>
      <c r="V2211" s="4">
        <f t="shared" si="617"/>
        <v>0</v>
      </c>
    </row>
    <row r="2212" spans="4:22" x14ac:dyDescent="0.15">
      <c r="D2212" s="4">
        <f t="shared" si="601"/>
        <v>543</v>
      </c>
      <c r="E2212" s="4">
        <v>16</v>
      </c>
      <c r="H2212" s="29">
        <v>1001</v>
      </c>
      <c r="I2212" s="30">
        <v>0</v>
      </c>
      <c r="M2212" s="4">
        <f t="shared" ref="M2212:V2212" si="618">M596*$C$1623</f>
        <v>468</v>
      </c>
      <c r="N2212" s="4">
        <f t="shared" si="618"/>
        <v>31.5</v>
      </c>
      <c r="O2212" s="4">
        <f t="shared" si="618"/>
        <v>5760</v>
      </c>
      <c r="P2212" s="4">
        <f t="shared" si="618"/>
        <v>0</v>
      </c>
      <c r="Q2212" s="4">
        <f t="shared" si="618"/>
        <v>2800.5</v>
      </c>
      <c r="R2212" s="4">
        <f t="shared" si="618"/>
        <v>3.75</v>
      </c>
      <c r="S2212" s="4">
        <f t="shared" si="618"/>
        <v>39</v>
      </c>
      <c r="T2212" s="4">
        <f t="shared" si="618"/>
        <v>0</v>
      </c>
      <c r="U2212" s="4">
        <f t="shared" si="618"/>
        <v>0</v>
      </c>
      <c r="V2212" s="4">
        <f t="shared" si="618"/>
        <v>0</v>
      </c>
    </row>
    <row r="2213" spans="4:22" x14ac:dyDescent="0.15">
      <c r="D2213" s="4">
        <f t="shared" si="601"/>
        <v>543</v>
      </c>
      <c r="E2213" s="4">
        <v>17</v>
      </c>
      <c r="H2213" s="29">
        <v>1001</v>
      </c>
      <c r="I2213" s="30">
        <v>0</v>
      </c>
      <c r="M2213" s="4">
        <f t="shared" ref="M2213:V2213" si="619">M597*$C$1623</f>
        <v>480</v>
      </c>
      <c r="N2213" s="4">
        <f t="shared" si="619"/>
        <v>33</v>
      </c>
      <c r="O2213" s="4">
        <f t="shared" si="619"/>
        <v>5856</v>
      </c>
      <c r="P2213" s="4">
        <f t="shared" si="619"/>
        <v>0</v>
      </c>
      <c r="Q2213" s="4">
        <f t="shared" si="619"/>
        <v>2808</v>
      </c>
      <c r="R2213" s="4">
        <f t="shared" si="619"/>
        <v>3.75</v>
      </c>
      <c r="S2213" s="4">
        <f t="shared" si="619"/>
        <v>40.5</v>
      </c>
      <c r="T2213" s="4">
        <f t="shared" si="619"/>
        <v>0</v>
      </c>
      <c r="U2213" s="4">
        <f t="shared" si="619"/>
        <v>0</v>
      </c>
      <c r="V2213" s="4">
        <f t="shared" si="619"/>
        <v>0</v>
      </c>
    </row>
    <row r="2214" spans="4:22" x14ac:dyDescent="0.15">
      <c r="D2214" s="4">
        <f t="shared" si="601"/>
        <v>543</v>
      </c>
      <c r="E2214" s="4">
        <v>18</v>
      </c>
      <c r="H2214" s="29">
        <v>1001</v>
      </c>
      <c r="I2214" s="30">
        <v>0</v>
      </c>
      <c r="M2214" s="4">
        <f t="shared" ref="M2214:V2214" si="620">M598*$C$1623</f>
        <v>492</v>
      </c>
      <c r="N2214" s="4">
        <f t="shared" si="620"/>
        <v>34.5</v>
      </c>
      <c r="O2214" s="4">
        <f t="shared" si="620"/>
        <v>5952</v>
      </c>
      <c r="P2214" s="4">
        <f t="shared" si="620"/>
        <v>0</v>
      </c>
      <c r="Q2214" s="4">
        <f t="shared" si="620"/>
        <v>2815.5</v>
      </c>
      <c r="R2214" s="4">
        <f t="shared" si="620"/>
        <v>3.75</v>
      </c>
      <c r="S2214" s="4">
        <f t="shared" si="620"/>
        <v>42</v>
      </c>
      <c r="T2214" s="4">
        <f t="shared" si="620"/>
        <v>0</v>
      </c>
      <c r="U2214" s="4">
        <f t="shared" si="620"/>
        <v>0</v>
      </c>
      <c r="V2214" s="4">
        <f t="shared" si="620"/>
        <v>0</v>
      </c>
    </row>
    <row r="2215" spans="4:22" x14ac:dyDescent="0.15">
      <c r="D2215" s="4">
        <f t="shared" si="601"/>
        <v>543</v>
      </c>
      <c r="E2215" s="4">
        <v>19</v>
      </c>
      <c r="H2215" s="29">
        <v>1001</v>
      </c>
      <c r="I2215" s="30">
        <v>0</v>
      </c>
      <c r="M2215" s="4">
        <f t="shared" ref="M2215:V2215" si="621">M599*$C$1623</f>
        <v>504</v>
      </c>
      <c r="N2215" s="4">
        <f t="shared" si="621"/>
        <v>36</v>
      </c>
      <c r="O2215" s="4">
        <f t="shared" si="621"/>
        <v>6048</v>
      </c>
      <c r="P2215" s="4">
        <f t="shared" si="621"/>
        <v>0</v>
      </c>
      <c r="Q2215" s="4">
        <f t="shared" si="621"/>
        <v>2823</v>
      </c>
      <c r="R2215" s="4">
        <f t="shared" si="621"/>
        <v>3.75</v>
      </c>
      <c r="S2215" s="4">
        <f t="shared" si="621"/>
        <v>43.5</v>
      </c>
      <c r="T2215" s="4">
        <f t="shared" si="621"/>
        <v>0</v>
      </c>
      <c r="U2215" s="4">
        <f t="shared" si="621"/>
        <v>0</v>
      </c>
      <c r="V2215" s="4">
        <f t="shared" si="621"/>
        <v>0</v>
      </c>
    </row>
    <row r="2216" spans="4:22" x14ac:dyDescent="0.15">
      <c r="D2216" s="4">
        <f t="shared" si="601"/>
        <v>543</v>
      </c>
      <c r="E2216" s="4">
        <v>20</v>
      </c>
      <c r="H2216" s="29">
        <v>1001</v>
      </c>
      <c r="I2216" s="30">
        <v>0</v>
      </c>
      <c r="M2216" s="4">
        <f t="shared" ref="M2216:V2216" si="622">M600*$C$1623</f>
        <v>516</v>
      </c>
      <c r="N2216" s="4">
        <f t="shared" si="622"/>
        <v>37.5</v>
      </c>
      <c r="O2216" s="4">
        <f t="shared" si="622"/>
        <v>6144</v>
      </c>
      <c r="P2216" s="4">
        <f t="shared" si="622"/>
        <v>0</v>
      </c>
      <c r="Q2216" s="4">
        <f t="shared" si="622"/>
        <v>2830.5</v>
      </c>
      <c r="R2216" s="4">
        <f t="shared" si="622"/>
        <v>3.75</v>
      </c>
      <c r="S2216" s="4">
        <f t="shared" si="622"/>
        <v>45</v>
      </c>
      <c r="T2216" s="4">
        <f t="shared" si="622"/>
        <v>0</v>
      </c>
      <c r="U2216" s="4">
        <f t="shared" si="622"/>
        <v>0</v>
      </c>
      <c r="V2216" s="4">
        <f t="shared" si="622"/>
        <v>0</v>
      </c>
    </row>
    <row r="2217" spans="4:22" x14ac:dyDescent="0.15">
      <c r="D2217" s="4">
        <f t="shared" si="601"/>
        <v>543</v>
      </c>
      <c r="E2217" s="4">
        <v>21</v>
      </c>
      <c r="H2217" s="29">
        <v>1001</v>
      </c>
      <c r="I2217" s="30">
        <v>0</v>
      </c>
      <c r="M2217" s="4">
        <f t="shared" ref="M2217:V2217" si="623">M601*$C$1623</f>
        <v>528</v>
      </c>
      <c r="N2217" s="4">
        <f t="shared" si="623"/>
        <v>39</v>
      </c>
      <c r="O2217" s="4">
        <f t="shared" si="623"/>
        <v>6240</v>
      </c>
      <c r="P2217" s="4">
        <f t="shared" si="623"/>
        <v>0</v>
      </c>
      <c r="Q2217" s="4">
        <f t="shared" si="623"/>
        <v>2838</v>
      </c>
      <c r="R2217" s="4">
        <f t="shared" si="623"/>
        <v>3.75</v>
      </c>
      <c r="S2217" s="4">
        <f t="shared" si="623"/>
        <v>46.5</v>
      </c>
      <c r="T2217" s="4">
        <f t="shared" si="623"/>
        <v>0</v>
      </c>
      <c r="U2217" s="4">
        <f t="shared" si="623"/>
        <v>0</v>
      </c>
      <c r="V2217" s="4">
        <f t="shared" si="623"/>
        <v>0</v>
      </c>
    </row>
    <row r="2218" spans="4:22" x14ac:dyDescent="0.15">
      <c r="D2218" s="4">
        <f t="shared" si="601"/>
        <v>543</v>
      </c>
      <c r="E2218" s="4">
        <v>22</v>
      </c>
      <c r="H2218" s="29">
        <v>1001</v>
      </c>
      <c r="I2218" s="30">
        <v>0</v>
      </c>
      <c r="M2218" s="4">
        <f t="shared" ref="M2218:V2218" si="624">M602*$C$1623</f>
        <v>540</v>
      </c>
      <c r="N2218" s="4">
        <f t="shared" si="624"/>
        <v>40.5</v>
      </c>
      <c r="O2218" s="4">
        <f t="shared" si="624"/>
        <v>6336</v>
      </c>
      <c r="P2218" s="4">
        <f t="shared" si="624"/>
        <v>0</v>
      </c>
      <c r="Q2218" s="4">
        <f t="shared" si="624"/>
        <v>2845.5</v>
      </c>
      <c r="R2218" s="4">
        <f t="shared" si="624"/>
        <v>3.75</v>
      </c>
      <c r="S2218" s="4">
        <f t="shared" si="624"/>
        <v>48</v>
      </c>
      <c r="T2218" s="4">
        <f t="shared" si="624"/>
        <v>0</v>
      </c>
      <c r="U2218" s="4">
        <f t="shared" si="624"/>
        <v>0</v>
      </c>
      <c r="V2218" s="4">
        <f t="shared" si="624"/>
        <v>0</v>
      </c>
    </row>
    <row r="2219" spans="4:22" x14ac:dyDescent="0.15">
      <c r="D2219" s="4">
        <f t="shared" si="601"/>
        <v>543</v>
      </c>
      <c r="E2219" s="4">
        <v>23</v>
      </c>
      <c r="H2219" s="29">
        <v>1001</v>
      </c>
      <c r="I2219" s="30">
        <v>0</v>
      </c>
      <c r="M2219" s="4">
        <f t="shared" ref="M2219:V2219" si="625">M603*$C$1623</f>
        <v>552</v>
      </c>
      <c r="N2219" s="4">
        <f t="shared" si="625"/>
        <v>42</v>
      </c>
      <c r="O2219" s="4">
        <f t="shared" si="625"/>
        <v>6432</v>
      </c>
      <c r="P2219" s="4">
        <f t="shared" si="625"/>
        <v>0</v>
      </c>
      <c r="Q2219" s="4">
        <f t="shared" si="625"/>
        <v>2853</v>
      </c>
      <c r="R2219" s="4">
        <f t="shared" si="625"/>
        <v>3.75</v>
      </c>
      <c r="S2219" s="4">
        <f t="shared" si="625"/>
        <v>49.5</v>
      </c>
      <c r="T2219" s="4">
        <f t="shared" si="625"/>
        <v>0</v>
      </c>
      <c r="U2219" s="4">
        <f t="shared" si="625"/>
        <v>0</v>
      </c>
      <c r="V2219" s="4">
        <f t="shared" si="625"/>
        <v>0</v>
      </c>
    </row>
    <row r="2220" spans="4:22" x14ac:dyDescent="0.15">
      <c r="D2220" s="4">
        <f t="shared" si="601"/>
        <v>543</v>
      </c>
      <c r="E2220" s="4">
        <v>24</v>
      </c>
      <c r="H2220" s="29">
        <v>1001</v>
      </c>
      <c r="I2220" s="30">
        <v>0</v>
      </c>
      <c r="M2220" s="4">
        <f t="shared" ref="M2220:V2220" si="626">M604*$C$1623</f>
        <v>564</v>
      </c>
      <c r="N2220" s="4">
        <f t="shared" si="626"/>
        <v>43.5</v>
      </c>
      <c r="O2220" s="4">
        <f t="shared" si="626"/>
        <v>6528</v>
      </c>
      <c r="P2220" s="4">
        <f t="shared" si="626"/>
        <v>0</v>
      </c>
      <c r="Q2220" s="4">
        <f t="shared" si="626"/>
        <v>2860.5</v>
      </c>
      <c r="R2220" s="4">
        <f t="shared" si="626"/>
        <v>3.75</v>
      </c>
      <c r="S2220" s="4">
        <f t="shared" si="626"/>
        <v>51</v>
      </c>
      <c r="T2220" s="4">
        <f t="shared" si="626"/>
        <v>0</v>
      </c>
      <c r="U2220" s="4">
        <f t="shared" si="626"/>
        <v>0</v>
      </c>
      <c r="V2220" s="4">
        <f t="shared" si="626"/>
        <v>0</v>
      </c>
    </row>
    <row r="2221" spans="4:22" x14ac:dyDescent="0.15">
      <c r="D2221" s="4">
        <f t="shared" si="601"/>
        <v>543</v>
      </c>
      <c r="E2221" s="4">
        <v>25</v>
      </c>
      <c r="H2221" s="29">
        <v>1001</v>
      </c>
      <c r="I2221" s="30">
        <v>0</v>
      </c>
      <c r="M2221" s="4">
        <f t="shared" ref="M2221:V2221" si="627">M605*$C$1623</f>
        <v>576</v>
      </c>
      <c r="N2221" s="4">
        <f t="shared" si="627"/>
        <v>45</v>
      </c>
      <c r="O2221" s="4">
        <f t="shared" si="627"/>
        <v>6624</v>
      </c>
      <c r="P2221" s="4">
        <f t="shared" si="627"/>
        <v>0</v>
      </c>
      <c r="Q2221" s="4">
        <f t="shared" si="627"/>
        <v>2868</v>
      </c>
      <c r="R2221" s="4">
        <f t="shared" si="627"/>
        <v>3.75</v>
      </c>
      <c r="S2221" s="4">
        <f t="shared" si="627"/>
        <v>52.5</v>
      </c>
      <c r="T2221" s="4">
        <f t="shared" si="627"/>
        <v>0</v>
      </c>
      <c r="U2221" s="4">
        <f t="shared" si="627"/>
        <v>0</v>
      </c>
      <c r="V2221" s="4">
        <f t="shared" si="627"/>
        <v>0</v>
      </c>
    </row>
    <row r="2222" spans="4:22" x14ac:dyDescent="0.15">
      <c r="D2222" s="4">
        <f t="shared" si="601"/>
        <v>543</v>
      </c>
      <c r="E2222" s="4">
        <v>26</v>
      </c>
      <c r="H2222" s="29">
        <v>1001</v>
      </c>
      <c r="I2222" s="30">
        <v>0</v>
      </c>
      <c r="M2222" s="4">
        <f t="shared" ref="M2222:V2222" si="628">M606*$C$1623</f>
        <v>588</v>
      </c>
      <c r="N2222" s="4">
        <f t="shared" si="628"/>
        <v>46.5</v>
      </c>
      <c r="O2222" s="4">
        <f t="shared" si="628"/>
        <v>6720</v>
      </c>
      <c r="P2222" s="4">
        <f t="shared" si="628"/>
        <v>0</v>
      </c>
      <c r="Q2222" s="4">
        <f t="shared" si="628"/>
        <v>2875.5</v>
      </c>
      <c r="R2222" s="4">
        <f t="shared" si="628"/>
        <v>3.75</v>
      </c>
      <c r="S2222" s="4">
        <f t="shared" si="628"/>
        <v>54</v>
      </c>
      <c r="T2222" s="4">
        <f t="shared" si="628"/>
        <v>0</v>
      </c>
      <c r="U2222" s="4">
        <f t="shared" si="628"/>
        <v>0</v>
      </c>
      <c r="V2222" s="4">
        <f t="shared" si="628"/>
        <v>0</v>
      </c>
    </row>
    <row r="2223" spans="4:22" x14ac:dyDescent="0.15">
      <c r="D2223" s="4">
        <f t="shared" si="601"/>
        <v>543</v>
      </c>
      <c r="E2223" s="4">
        <v>27</v>
      </c>
      <c r="H2223" s="29">
        <v>1001</v>
      </c>
      <c r="I2223" s="30">
        <v>0</v>
      </c>
      <c r="M2223" s="4">
        <f t="shared" ref="M2223:V2223" si="629">M607*$C$1623</f>
        <v>600</v>
      </c>
      <c r="N2223" s="4">
        <f t="shared" si="629"/>
        <v>48</v>
      </c>
      <c r="O2223" s="4">
        <f t="shared" si="629"/>
        <v>6816</v>
      </c>
      <c r="P2223" s="4">
        <f t="shared" si="629"/>
        <v>0</v>
      </c>
      <c r="Q2223" s="4">
        <f t="shared" si="629"/>
        <v>2883</v>
      </c>
      <c r="R2223" s="4">
        <f t="shared" si="629"/>
        <v>3.75</v>
      </c>
      <c r="S2223" s="4">
        <f t="shared" si="629"/>
        <v>55.5</v>
      </c>
      <c r="T2223" s="4">
        <f t="shared" si="629"/>
        <v>0</v>
      </c>
      <c r="U2223" s="4">
        <f t="shared" si="629"/>
        <v>0</v>
      </c>
      <c r="V2223" s="4">
        <f t="shared" si="629"/>
        <v>0</v>
      </c>
    </row>
    <row r="2224" spans="4:22" x14ac:dyDescent="0.15">
      <c r="D2224" s="4">
        <f t="shared" si="601"/>
        <v>543</v>
      </c>
      <c r="E2224" s="4">
        <v>28</v>
      </c>
      <c r="H2224" s="29">
        <v>1001</v>
      </c>
      <c r="I2224" s="30">
        <v>0</v>
      </c>
      <c r="M2224" s="4">
        <f t="shared" ref="M2224:V2224" si="630">M608*$C$1623</f>
        <v>612</v>
      </c>
      <c r="N2224" s="4">
        <f t="shared" si="630"/>
        <v>49.5</v>
      </c>
      <c r="O2224" s="4">
        <f t="shared" si="630"/>
        <v>6912</v>
      </c>
      <c r="P2224" s="4">
        <f t="shared" si="630"/>
        <v>0</v>
      </c>
      <c r="Q2224" s="4">
        <f t="shared" si="630"/>
        <v>2890.5</v>
      </c>
      <c r="R2224" s="4">
        <f t="shared" si="630"/>
        <v>3.75</v>
      </c>
      <c r="S2224" s="4">
        <f t="shared" si="630"/>
        <v>57</v>
      </c>
      <c r="T2224" s="4">
        <f t="shared" si="630"/>
        <v>0</v>
      </c>
      <c r="U2224" s="4">
        <f t="shared" si="630"/>
        <v>0</v>
      </c>
      <c r="V2224" s="4">
        <f t="shared" si="630"/>
        <v>0</v>
      </c>
    </row>
    <row r="2225" spans="4:22" x14ac:dyDescent="0.15">
      <c r="D2225" s="4">
        <f t="shared" si="601"/>
        <v>543</v>
      </c>
      <c r="E2225" s="4">
        <v>29</v>
      </c>
      <c r="H2225" s="29">
        <v>1001</v>
      </c>
      <c r="I2225" s="30">
        <v>0</v>
      </c>
      <c r="M2225" s="4">
        <f t="shared" ref="M2225:V2225" si="631">M609*$C$1623</f>
        <v>624</v>
      </c>
      <c r="N2225" s="4">
        <f t="shared" si="631"/>
        <v>51</v>
      </c>
      <c r="O2225" s="4">
        <f t="shared" si="631"/>
        <v>7008</v>
      </c>
      <c r="P2225" s="4">
        <f t="shared" si="631"/>
        <v>0</v>
      </c>
      <c r="Q2225" s="4">
        <f t="shared" si="631"/>
        <v>2898</v>
      </c>
      <c r="R2225" s="4">
        <f t="shared" si="631"/>
        <v>3.75</v>
      </c>
      <c r="S2225" s="4">
        <f t="shared" si="631"/>
        <v>58.5</v>
      </c>
      <c r="T2225" s="4">
        <f t="shared" si="631"/>
        <v>0</v>
      </c>
      <c r="U2225" s="4">
        <f t="shared" si="631"/>
        <v>0</v>
      </c>
      <c r="V2225" s="4">
        <f t="shared" si="631"/>
        <v>0</v>
      </c>
    </row>
    <row r="2226" spans="4:22" x14ac:dyDescent="0.15">
      <c r="D2226" s="4">
        <f t="shared" si="601"/>
        <v>543</v>
      </c>
      <c r="E2226" s="4">
        <v>30</v>
      </c>
      <c r="H2226" s="29">
        <v>1001</v>
      </c>
      <c r="I2226" s="30">
        <v>0</v>
      </c>
      <c r="M2226" s="4">
        <f t="shared" ref="M2226:V2226" si="632">M610*$C$1623</f>
        <v>636</v>
      </c>
      <c r="N2226" s="4">
        <f t="shared" si="632"/>
        <v>52.5</v>
      </c>
      <c r="O2226" s="4">
        <f t="shared" si="632"/>
        <v>7104</v>
      </c>
      <c r="P2226" s="4">
        <f t="shared" si="632"/>
        <v>0</v>
      </c>
      <c r="Q2226" s="4">
        <f t="shared" si="632"/>
        <v>2905.5</v>
      </c>
      <c r="R2226" s="4">
        <f t="shared" si="632"/>
        <v>3.75</v>
      </c>
      <c r="S2226" s="4">
        <f t="shared" si="632"/>
        <v>60</v>
      </c>
      <c r="T2226" s="4">
        <f t="shared" si="632"/>
        <v>0</v>
      </c>
      <c r="U2226" s="4">
        <f t="shared" si="632"/>
        <v>0</v>
      </c>
      <c r="V2226" s="4">
        <f t="shared" si="632"/>
        <v>0</v>
      </c>
    </row>
    <row r="2227" spans="4:22" x14ac:dyDescent="0.15">
      <c r="D2227" s="4">
        <f t="shared" si="601"/>
        <v>543</v>
      </c>
      <c r="E2227" s="4">
        <v>31</v>
      </c>
      <c r="H2227" s="29">
        <v>1001</v>
      </c>
      <c r="I2227" s="30">
        <v>0</v>
      </c>
      <c r="M2227" s="4">
        <f t="shared" ref="M2227:V2227" si="633">M611*$C$1623</f>
        <v>648</v>
      </c>
      <c r="N2227" s="4">
        <f t="shared" si="633"/>
        <v>54</v>
      </c>
      <c r="O2227" s="4">
        <f t="shared" si="633"/>
        <v>7200</v>
      </c>
      <c r="P2227" s="4">
        <f t="shared" si="633"/>
        <v>0</v>
      </c>
      <c r="Q2227" s="4">
        <f t="shared" si="633"/>
        <v>2913</v>
      </c>
      <c r="R2227" s="4">
        <f t="shared" si="633"/>
        <v>3.75</v>
      </c>
      <c r="S2227" s="4">
        <f t="shared" si="633"/>
        <v>61.5</v>
      </c>
      <c r="T2227" s="4">
        <f t="shared" si="633"/>
        <v>0</v>
      </c>
      <c r="U2227" s="4">
        <f t="shared" si="633"/>
        <v>0</v>
      </c>
      <c r="V2227" s="4">
        <f t="shared" si="633"/>
        <v>0</v>
      </c>
    </row>
    <row r="2228" spans="4:22" x14ac:dyDescent="0.15">
      <c r="D2228" s="4">
        <f t="shared" si="601"/>
        <v>543</v>
      </c>
      <c r="E2228" s="4">
        <v>32</v>
      </c>
      <c r="H2228" s="29">
        <v>1001</v>
      </c>
      <c r="I2228" s="30">
        <v>0</v>
      </c>
      <c r="M2228" s="4">
        <f t="shared" ref="M2228:V2228" si="634">M612*$C$1623</f>
        <v>660</v>
      </c>
      <c r="N2228" s="4">
        <f t="shared" si="634"/>
        <v>55.5</v>
      </c>
      <c r="O2228" s="4">
        <f t="shared" si="634"/>
        <v>7296</v>
      </c>
      <c r="P2228" s="4">
        <f t="shared" si="634"/>
        <v>0</v>
      </c>
      <c r="Q2228" s="4">
        <f t="shared" si="634"/>
        <v>2920.5</v>
      </c>
      <c r="R2228" s="4">
        <f t="shared" si="634"/>
        <v>3.75</v>
      </c>
      <c r="S2228" s="4">
        <f t="shared" si="634"/>
        <v>63</v>
      </c>
      <c r="T2228" s="4">
        <f t="shared" si="634"/>
        <v>0</v>
      </c>
      <c r="U2228" s="4">
        <f t="shared" si="634"/>
        <v>0</v>
      </c>
      <c r="V2228" s="4">
        <f t="shared" si="634"/>
        <v>0</v>
      </c>
    </row>
    <row r="2229" spans="4:22" x14ac:dyDescent="0.15">
      <c r="D2229" s="4">
        <f t="shared" si="601"/>
        <v>543</v>
      </c>
      <c r="E2229" s="4">
        <v>33</v>
      </c>
      <c r="H2229" s="29">
        <v>1001</v>
      </c>
      <c r="I2229" s="30">
        <v>0</v>
      </c>
      <c r="M2229" s="4">
        <f t="shared" ref="M2229:V2229" si="635">M613*$C$1623</f>
        <v>672</v>
      </c>
      <c r="N2229" s="4">
        <f t="shared" si="635"/>
        <v>57</v>
      </c>
      <c r="O2229" s="4">
        <f t="shared" si="635"/>
        <v>7392</v>
      </c>
      <c r="P2229" s="4">
        <f t="shared" si="635"/>
        <v>0</v>
      </c>
      <c r="Q2229" s="4">
        <f t="shared" si="635"/>
        <v>2928</v>
      </c>
      <c r="R2229" s="4">
        <f t="shared" si="635"/>
        <v>3.75</v>
      </c>
      <c r="S2229" s="4">
        <f t="shared" si="635"/>
        <v>64.5</v>
      </c>
      <c r="T2229" s="4">
        <f t="shared" si="635"/>
        <v>0</v>
      </c>
      <c r="U2229" s="4">
        <f t="shared" si="635"/>
        <v>0</v>
      </c>
      <c r="V2229" s="4">
        <f t="shared" si="635"/>
        <v>0</v>
      </c>
    </row>
    <row r="2230" spans="4:22" x14ac:dyDescent="0.15">
      <c r="D2230" s="4">
        <f t="shared" si="601"/>
        <v>543</v>
      </c>
      <c r="E2230" s="4">
        <v>34</v>
      </c>
      <c r="H2230" s="29">
        <v>1001</v>
      </c>
      <c r="I2230" s="30">
        <v>0</v>
      </c>
      <c r="M2230" s="4">
        <f t="shared" ref="M2230:V2230" si="636">M614*$C$1623</f>
        <v>684</v>
      </c>
      <c r="N2230" s="4">
        <f t="shared" si="636"/>
        <v>58.5</v>
      </c>
      <c r="O2230" s="4">
        <f t="shared" si="636"/>
        <v>7488</v>
      </c>
      <c r="P2230" s="4">
        <f t="shared" si="636"/>
        <v>0</v>
      </c>
      <c r="Q2230" s="4">
        <f t="shared" si="636"/>
        <v>2935.5</v>
      </c>
      <c r="R2230" s="4">
        <f t="shared" si="636"/>
        <v>3.75</v>
      </c>
      <c r="S2230" s="4">
        <f t="shared" si="636"/>
        <v>66</v>
      </c>
      <c r="T2230" s="4">
        <f t="shared" si="636"/>
        <v>0</v>
      </c>
      <c r="U2230" s="4">
        <f t="shared" si="636"/>
        <v>0</v>
      </c>
      <c r="V2230" s="4">
        <f t="shared" si="636"/>
        <v>0</v>
      </c>
    </row>
    <row r="2231" spans="4:22" x14ac:dyDescent="0.15">
      <c r="D2231" s="4">
        <f t="shared" si="601"/>
        <v>543</v>
      </c>
      <c r="E2231" s="4">
        <v>35</v>
      </c>
      <c r="H2231" s="29">
        <v>1001</v>
      </c>
      <c r="I2231" s="30">
        <v>0</v>
      </c>
      <c r="M2231" s="4">
        <f t="shared" ref="M2231:V2231" si="637">M615*$C$1623</f>
        <v>696</v>
      </c>
      <c r="N2231" s="4">
        <f t="shared" si="637"/>
        <v>60</v>
      </c>
      <c r="O2231" s="4">
        <f t="shared" si="637"/>
        <v>7584</v>
      </c>
      <c r="P2231" s="4">
        <f t="shared" si="637"/>
        <v>0</v>
      </c>
      <c r="Q2231" s="4">
        <f t="shared" si="637"/>
        <v>2943</v>
      </c>
      <c r="R2231" s="4">
        <f t="shared" si="637"/>
        <v>3.75</v>
      </c>
      <c r="S2231" s="4">
        <f t="shared" si="637"/>
        <v>67.5</v>
      </c>
      <c r="T2231" s="4">
        <f t="shared" si="637"/>
        <v>0</v>
      </c>
      <c r="U2231" s="4">
        <f t="shared" si="637"/>
        <v>0</v>
      </c>
      <c r="V2231" s="4">
        <f t="shared" si="637"/>
        <v>0</v>
      </c>
    </row>
    <row r="2232" spans="4:22" x14ac:dyDescent="0.15">
      <c r="D2232" s="4">
        <f t="shared" si="601"/>
        <v>543</v>
      </c>
      <c r="E2232" s="4">
        <v>36</v>
      </c>
      <c r="H2232" s="29">
        <v>1001</v>
      </c>
      <c r="I2232" s="30">
        <v>0</v>
      </c>
      <c r="M2232" s="4">
        <f t="shared" ref="M2232:V2232" si="638">M616*$C$1623</f>
        <v>708</v>
      </c>
      <c r="N2232" s="4">
        <f t="shared" si="638"/>
        <v>61.5</v>
      </c>
      <c r="O2232" s="4">
        <f t="shared" si="638"/>
        <v>7680</v>
      </c>
      <c r="P2232" s="4">
        <f t="shared" si="638"/>
        <v>0</v>
      </c>
      <c r="Q2232" s="4">
        <f t="shared" si="638"/>
        <v>2950.5</v>
      </c>
      <c r="R2232" s="4">
        <f t="shared" si="638"/>
        <v>3.75</v>
      </c>
      <c r="S2232" s="4">
        <f t="shared" si="638"/>
        <v>69</v>
      </c>
      <c r="T2232" s="4">
        <f t="shared" si="638"/>
        <v>0</v>
      </c>
      <c r="U2232" s="4">
        <f t="shared" si="638"/>
        <v>0</v>
      </c>
      <c r="V2232" s="4">
        <f t="shared" si="638"/>
        <v>0</v>
      </c>
    </row>
    <row r="2233" spans="4:22" x14ac:dyDescent="0.15">
      <c r="D2233" s="4">
        <f t="shared" si="601"/>
        <v>543</v>
      </c>
      <c r="E2233" s="4">
        <v>37</v>
      </c>
      <c r="H2233" s="29">
        <v>1001</v>
      </c>
      <c r="I2233" s="30">
        <v>0</v>
      </c>
      <c r="M2233" s="4">
        <f t="shared" ref="M2233:V2233" si="639">M617*$C$1623</f>
        <v>720</v>
      </c>
      <c r="N2233" s="4">
        <f t="shared" si="639"/>
        <v>63</v>
      </c>
      <c r="O2233" s="4">
        <f t="shared" si="639"/>
        <v>7776</v>
      </c>
      <c r="P2233" s="4">
        <f t="shared" si="639"/>
        <v>0</v>
      </c>
      <c r="Q2233" s="4">
        <f t="shared" si="639"/>
        <v>2958</v>
      </c>
      <c r="R2233" s="4">
        <f t="shared" si="639"/>
        <v>3.75</v>
      </c>
      <c r="S2233" s="4">
        <f t="shared" si="639"/>
        <v>70.5</v>
      </c>
      <c r="T2233" s="4">
        <f t="shared" si="639"/>
        <v>0</v>
      </c>
      <c r="U2233" s="4">
        <f t="shared" si="639"/>
        <v>0</v>
      </c>
      <c r="V2233" s="4">
        <f t="shared" si="639"/>
        <v>0</v>
      </c>
    </row>
    <row r="2234" spans="4:22" x14ac:dyDescent="0.15">
      <c r="D2234" s="4">
        <f t="shared" si="601"/>
        <v>543</v>
      </c>
      <c r="E2234" s="4">
        <v>38</v>
      </c>
      <c r="H2234" s="29">
        <v>1001</v>
      </c>
      <c r="I2234" s="30">
        <v>0</v>
      </c>
      <c r="M2234" s="4">
        <f t="shared" ref="M2234:V2234" si="640">M618*$C$1623</f>
        <v>732</v>
      </c>
      <c r="N2234" s="4">
        <f t="shared" si="640"/>
        <v>64.5</v>
      </c>
      <c r="O2234" s="4">
        <f t="shared" si="640"/>
        <v>7872</v>
      </c>
      <c r="P2234" s="4">
        <f t="shared" si="640"/>
        <v>0</v>
      </c>
      <c r="Q2234" s="4">
        <f t="shared" si="640"/>
        <v>2965.5</v>
      </c>
      <c r="R2234" s="4">
        <f t="shared" si="640"/>
        <v>3.75</v>
      </c>
      <c r="S2234" s="4">
        <f t="shared" si="640"/>
        <v>72</v>
      </c>
      <c r="T2234" s="4">
        <f t="shared" si="640"/>
        <v>0</v>
      </c>
      <c r="U2234" s="4">
        <f t="shared" si="640"/>
        <v>0</v>
      </c>
      <c r="V2234" s="4">
        <f t="shared" si="640"/>
        <v>0</v>
      </c>
    </row>
    <row r="2235" spans="4:22" x14ac:dyDescent="0.15">
      <c r="D2235" s="4">
        <f t="shared" si="601"/>
        <v>543</v>
      </c>
      <c r="E2235" s="4">
        <v>39</v>
      </c>
      <c r="H2235" s="29">
        <v>1001</v>
      </c>
      <c r="I2235" s="30">
        <v>0</v>
      </c>
      <c r="M2235" s="4">
        <f t="shared" ref="M2235:V2235" si="641">M619*$C$1623</f>
        <v>744</v>
      </c>
      <c r="N2235" s="4">
        <f t="shared" si="641"/>
        <v>66</v>
      </c>
      <c r="O2235" s="4">
        <f t="shared" si="641"/>
        <v>7968</v>
      </c>
      <c r="P2235" s="4">
        <f t="shared" si="641"/>
        <v>0</v>
      </c>
      <c r="Q2235" s="4">
        <f t="shared" si="641"/>
        <v>2973</v>
      </c>
      <c r="R2235" s="4">
        <f t="shared" si="641"/>
        <v>3.75</v>
      </c>
      <c r="S2235" s="4">
        <f t="shared" si="641"/>
        <v>73.5</v>
      </c>
      <c r="T2235" s="4">
        <f t="shared" si="641"/>
        <v>0</v>
      </c>
      <c r="U2235" s="4">
        <f t="shared" si="641"/>
        <v>0</v>
      </c>
      <c r="V2235" s="4">
        <f t="shared" si="641"/>
        <v>0</v>
      </c>
    </row>
    <row r="2236" spans="4:22" x14ac:dyDescent="0.15">
      <c r="D2236" s="4">
        <f t="shared" si="601"/>
        <v>543</v>
      </c>
      <c r="E2236" s="4">
        <v>40</v>
      </c>
      <c r="H2236" s="29">
        <v>1001</v>
      </c>
      <c r="I2236" s="30">
        <v>0</v>
      </c>
      <c r="M2236" s="4">
        <f t="shared" ref="M2236:V2236" si="642">M620*$C$1623</f>
        <v>756</v>
      </c>
      <c r="N2236" s="4">
        <f t="shared" si="642"/>
        <v>67.5</v>
      </c>
      <c r="O2236" s="4">
        <f t="shared" si="642"/>
        <v>8064</v>
      </c>
      <c r="P2236" s="4">
        <f t="shared" si="642"/>
        <v>0</v>
      </c>
      <c r="Q2236" s="4">
        <f t="shared" si="642"/>
        <v>2980.5</v>
      </c>
      <c r="R2236" s="4">
        <f t="shared" si="642"/>
        <v>3.75</v>
      </c>
      <c r="S2236" s="4">
        <f t="shared" si="642"/>
        <v>75</v>
      </c>
      <c r="T2236" s="4">
        <f t="shared" si="642"/>
        <v>0</v>
      </c>
      <c r="U2236" s="4">
        <f t="shared" si="642"/>
        <v>0</v>
      </c>
      <c r="V2236" s="4">
        <f t="shared" si="642"/>
        <v>0</v>
      </c>
    </row>
    <row r="2237" spans="4:22" x14ac:dyDescent="0.15">
      <c r="D2237" s="4">
        <f t="shared" si="601"/>
        <v>543</v>
      </c>
      <c r="E2237" s="4">
        <v>41</v>
      </c>
      <c r="H2237" s="29">
        <v>1001</v>
      </c>
      <c r="I2237" s="30">
        <v>0</v>
      </c>
      <c r="M2237" s="4">
        <f t="shared" ref="M2237:V2237" si="643">M621*$C$1623</f>
        <v>768</v>
      </c>
      <c r="N2237" s="4">
        <f t="shared" si="643"/>
        <v>69</v>
      </c>
      <c r="O2237" s="4">
        <f t="shared" si="643"/>
        <v>8160</v>
      </c>
      <c r="P2237" s="4">
        <f t="shared" si="643"/>
        <v>0</v>
      </c>
      <c r="Q2237" s="4">
        <f t="shared" si="643"/>
        <v>2988</v>
      </c>
      <c r="R2237" s="4">
        <f t="shared" si="643"/>
        <v>3.75</v>
      </c>
      <c r="S2237" s="4">
        <f t="shared" si="643"/>
        <v>76.5</v>
      </c>
      <c r="T2237" s="4">
        <f t="shared" si="643"/>
        <v>0</v>
      </c>
      <c r="U2237" s="4">
        <f t="shared" si="643"/>
        <v>0</v>
      </c>
      <c r="V2237" s="4">
        <f t="shared" si="643"/>
        <v>0</v>
      </c>
    </row>
    <row r="2238" spans="4:22" x14ac:dyDescent="0.15">
      <c r="D2238" s="4">
        <f t="shared" si="601"/>
        <v>543</v>
      </c>
      <c r="E2238" s="4">
        <v>42</v>
      </c>
      <c r="H2238" s="29">
        <v>1001</v>
      </c>
      <c r="I2238" s="30">
        <v>0</v>
      </c>
      <c r="M2238" s="4">
        <f t="shared" ref="M2238:V2238" si="644">M622*$C$1623</f>
        <v>780</v>
      </c>
      <c r="N2238" s="4">
        <f t="shared" si="644"/>
        <v>70.5</v>
      </c>
      <c r="O2238" s="4">
        <f t="shared" si="644"/>
        <v>8256</v>
      </c>
      <c r="P2238" s="4">
        <f t="shared" si="644"/>
        <v>0</v>
      </c>
      <c r="Q2238" s="4">
        <f t="shared" si="644"/>
        <v>2995.5</v>
      </c>
      <c r="R2238" s="4">
        <f t="shared" si="644"/>
        <v>3.75</v>
      </c>
      <c r="S2238" s="4">
        <f t="shared" si="644"/>
        <v>78</v>
      </c>
      <c r="T2238" s="4">
        <f t="shared" si="644"/>
        <v>0</v>
      </c>
      <c r="U2238" s="4">
        <f t="shared" si="644"/>
        <v>0</v>
      </c>
      <c r="V2238" s="4">
        <f t="shared" si="644"/>
        <v>0</v>
      </c>
    </row>
    <row r="2239" spans="4:22" x14ac:dyDescent="0.15">
      <c r="D2239" s="4">
        <f t="shared" si="601"/>
        <v>543</v>
      </c>
      <c r="E2239" s="4">
        <v>43</v>
      </c>
      <c r="H2239" s="29">
        <v>1001</v>
      </c>
      <c r="I2239" s="30">
        <v>0</v>
      </c>
      <c r="M2239" s="4">
        <f t="shared" ref="M2239:V2239" si="645">M623*$C$1623</f>
        <v>792</v>
      </c>
      <c r="N2239" s="4">
        <f t="shared" si="645"/>
        <v>72</v>
      </c>
      <c r="O2239" s="4">
        <f t="shared" si="645"/>
        <v>8352</v>
      </c>
      <c r="P2239" s="4">
        <f t="shared" si="645"/>
        <v>0</v>
      </c>
      <c r="Q2239" s="4">
        <f t="shared" si="645"/>
        <v>3003</v>
      </c>
      <c r="R2239" s="4">
        <f t="shared" si="645"/>
        <v>3.75</v>
      </c>
      <c r="S2239" s="4">
        <f t="shared" si="645"/>
        <v>79.5</v>
      </c>
      <c r="T2239" s="4">
        <f t="shared" si="645"/>
        <v>0</v>
      </c>
      <c r="U2239" s="4">
        <f t="shared" si="645"/>
        <v>0</v>
      </c>
      <c r="V2239" s="4">
        <f t="shared" si="645"/>
        <v>0</v>
      </c>
    </row>
    <row r="2240" spans="4:22" x14ac:dyDescent="0.15">
      <c r="D2240" s="4">
        <f t="shared" si="601"/>
        <v>543</v>
      </c>
      <c r="E2240" s="4">
        <v>44</v>
      </c>
      <c r="H2240" s="29">
        <v>1001</v>
      </c>
      <c r="I2240" s="30">
        <v>0</v>
      </c>
      <c r="M2240" s="4">
        <f t="shared" ref="M2240:V2240" si="646">M624*$C$1623</f>
        <v>804</v>
      </c>
      <c r="N2240" s="4">
        <f t="shared" si="646"/>
        <v>73.5</v>
      </c>
      <c r="O2240" s="4">
        <f t="shared" si="646"/>
        <v>8448</v>
      </c>
      <c r="P2240" s="4">
        <f t="shared" si="646"/>
        <v>0</v>
      </c>
      <c r="Q2240" s="4">
        <f t="shared" si="646"/>
        <v>3010.5</v>
      </c>
      <c r="R2240" s="4">
        <f t="shared" si="646"/>
        <v>3.75</v>
      </c>
      <c r="S2240" s="4">
        <f t="shared" si="646"/>
        <v>81</v>
      </c>
      <c r="T2240" s="4">
        <f t="shared" si="646"/>
        <v>0</v>
      </c>
      <c r="U2240" s="4">
        <f t="shared" si="646"/>
        <v>0</v>
      </c>
      <c r="V2240" s="4">
        <f t="shared" si="646"/>
        <v>0</v>
      </c>
    </row>
    <row r="2241" spans="1:22" x14ac:dyDescent="0.15">
      <c r="D2241" s="4">
        <f t="shared" si="601"/>
        <v>543</v>
      </c>
      <c r="E2241" s="4">
        <v>45</v>
      </c>
      <c r="H2241" s="29">
        <v>1001</v>
      </c>
      <c r="I2241" s="30">
        <v>0</v>
      </c>
      <c r="M2241" s="4">
        <f t="shared" ref="M2241:V2241" si="647">M625*$C$1623</f>
        <v>816</v>
      </c>
      <c r="N2241" s="4">
        <f t="shared" si="647"/>
        <v>75</v>
      </c>
      <c r="O2241" s="4">
        <f t="shared" si="647"/>
        <v>8544</v>
      </c>
      <c r="P2241" s="4">
        <f t="shared" si="647"/>
        <v>0</v>
      </c>
      <c r="Q2241" s="4">
        <f t="shared" si="647"/>
        <v>3018</v>
      </c>
      <c r="R2241" s="4">
        <f t="shared" si="647"/>
        <v>3.75</v>
      </c>
      <c r="S2241" s="4">
        <f t="shared" si="647"/>
        <v>82.5</v>
      </c>
      <c r="T2241" s="4">
        <f t="shared" si="647"/>
        <v>0</v>
      </c>
      <c r="U2241" s="4">
        <f t="shared" si="647"/>
        <v>0</v>
      </c>
      <c r="V2241" s="4">
        <f t="shared" si="647"/>
        <v>0</v>
      </c>
    </row>
    <row r="2242" spans="1:22" x14ac:dyDescent="0.15">
      <c r="D2242" s="4">
        <f t="shared" si="601"/>
        <v>543</v>
      </c>
      <c r="E2242" s="4">
        <v>46</v>
      </c>
      <c r="H2242" s="29">
        <v>1001</v>
      </c>
      <c r="I2242" s="30">
        <v>0</v>
      </c>
      <c r="M2242" s="4">
        <f t="shared" ref="M2242:V2242" si="648">M626*$C$1623</f>
        <v>828</v>
      </c>
      <c r="N2242" s="4">
        <f t="shared" si="648"/>
        <v>76.5</v>
      </c>
      <c r="O2242" s="4">
        <f t="shared" si="648"/>
        <v>8640</v>
      </c>
      <c r="P2242" s="4">
        <f t="shared" si="648"/>
        <v>0</v>
      </c>
      <c r="Q2242" s="4">
        <f t="shared" si="648"/>
        <v>3025.5</v>
      </c>
      <c r="R2242" s="4">
        <f t="shared" si="648"/>
        <v>3.75</v>
      </c>
      <c r="S2242" s="4">
        <f t="shared" si="648"/>
        <v>84</v>
      </c>
      <c r="T2242" s="4">
        <f t="shared" si="648"/>
        <v>0</v>
      </c>
      <c r="U2242" s="4">
        <f t="shared" si="648"/>
        <v>0</v>
      </c>
      <c r="V2242" s="4">
        <f t="shared" si="648"/>
        <v>0</v>
      </c>
    </row>
    <row r="2243" spans="1:22" x14ac:dyDescent="0.15">
      <c r="D2243" s="4">
        <f t="shared" si="601"/>
        <v>543</v>
      </c>
      <c r="E2243" s="4">
        <v>47</v>
      </c>
      <c r="H2243" s="29">
        <v>1001</v>
      </c>
      <c r="I2243" s="30">
        <v>0</v>
      </c>
      <c r="M2243" s="4">
        <f t="shared" ref="M2243:V2243" si="649">M627*$C$1623</f>
        <v>840</v>
      </c>
      <c r="N2243" s="4">
        <f t="shared" si="649"/>
        <v>78</v>
      </c>
      <c r="O2243" s="4">
        <f t="shared" si="649"/>
        <v>8736</v>
      </c>
      <c r="P2243" s="4">
        <f t="shared" si="649"/>
        <v>0</v>
      </c>
      <c r="Q2243" s="4">
        <f t="shared" si="649"/>
        <v>3033</v>
      </c>
      <c r="R2243" s="4">
        <f t="shared" si="649"/>
        <v>3.75</v>
      </c>
      <c r="S2243" s="4">
        <f t="shared" si="649"/>
        <v>85.5</v>
      </c>
      <c r="T2243" s="4">
        <f t="shared" si="649"/>
        <v>0</v>
      </c>
      <c r="U2243" s="4">
        <f t="shared" si="649"/>
        <v>0</v>
      </c>
      <c r="V2243" s="4">
        <f t="shared" si="649"/>
        <v>0</v>
      </c>
    </row>
    <row r="2244" spans="1:22" x14ac:dyDescent="0.15">
      <c r="D2244" s="4">
        <f t="shared" si="601"/>
        <v>543</v>
      </c>
      <c r="E2244" s="4">
        <v>48</v>
      </c>
      <c r="H2244" s="29">
        <v>1001</v>
      </c>
      <c r="I2244" s="30">
        <v>0</v>
      </c>
      <c r="M2244" s="4">
        <f t="shared" ref="M2244:V2244" si="650">M628*$C$1623</f>
        <v>852</v>
      </c>
      <c r="N2244" s="4">
        <f t="shared" si="650"/>
        <v>79.5</v>
      </c>
      <c r="O2244" s="4">
        <f t="shared" si="650"/>
        <v>8832</v>
      </c>
      <c r="P2244" s="4">
        <f t="shared" si="650"/>
        <v>0</v>
      </c>
      <c r="Q2244" s="4">
        <f t="shared" si="650"/>
        <v>3040.5</v>
      </c>
      <c r="R2244" s="4">
        <f t="shared" si="650"/>
        <v>3.75</v>
      </c>
      <c r="S2244" s="4">
        <f t="shared" si="650"/>
        <v>87</v>
      </c>
      <c r="T2244" s="4">
        <f t="shared" si="650"/>
        <v>0</v>
      </c>
      <c r="U2244" s="4">
        <f t="shared" si="650"/>
        <v>0</v>
      </c>
      <c r="V2244" s="4">
        <f t="shared" si="650"/>
        <v>0</v>
      </c>
    </row>
    <row r="2245" spans="1:22" x14ac:dyDescent="0.15">
      <c r="D2245" s="4">
        <f t="shared" si="601"/>
        <v>543</v>
      </c>
      <c r="E2245" s="4">
        <v>49</v>
      </c>
      <c r="H2245" s="29">
        <v>1001</v>
      </c>
      <c r="I2245" s="30">
        <v>0</v>
      </c>
      <c r="M2245" s="4">
        <f t="shared" ref="M2245:V2245" si="651">M629*$C$1623</f>
        <v>864</v>
      </c>
      <c r="N2245" s="4">
        <f t="shared" si="651"/>
        <v>81</v>
      </c>
      <c r="O2245" s="4">
        <f t="shared" si="651"/>
        <v>8928</v>
      </c>
      <c r="P2245" s="4">
        <f t="shared" si="651"/>
        <v>0</v>
      </c>
      <c r="Q2245" s="4">
        <f t="shared" si="651"/>
        <v>3048</v>
      </c>
      <c r="R2245" s="4">
        <f t="shared" si="651"/>
        <v>3.75</v>
      </c>
      <c r="S2245" s="4">
        <f t="shared" si="651"/>
        <v>88.5</v>
      </c>
      <c r="T2245" s="4">
        <f t="shared" si="651"/>
        <v>0</v>
      </c>
      <c r="U2245" s="4">
        <f t="shared" si="651"/>
        <v>0</v>
      </c>
      <c r="V2245" s="4">
        <f t="shared" si="651"/>
        <v>0</v>
      </c>
    </row>
    <row r="2246" spans="1:22" x14ac:dyDescent="0.15">
      <c r="D2246" s="4">
        <f t="shared" si="601"/>
        <v>543</v>
      </c>
      <c r="E2246" s="4">
        <v>50</v>
      </c>
      <c r="H2246" s="29">
        <v>1001</v>
      </c>
      <c r="I2246" s="30">
        <v>0</v>
      </c>
      <c r="M2246" s="4">
        <f t="shared" ref="M2246:V2246" si="652">M630*$C$1623</f>
        <v>876</v>
      </c>
      <c r="N2246" s="4">
        <f t="shared" si="652"/>
        <v>82.5</v>
      </c>
      <c r="O2246" s="4">
        <f t="shared" si="652"/>
        <v>9024</v>
      </c>
      <c r="P2246" s="4">
        <f t="shared" si="652"/>
        <v>0</v>
      </c>
      <c r="Q2246" s="4">
        <f t="shared" si="652"/>
        <v>3055.5</v>
      </c>
      <c r="R2246" s="4">
        <f t="shared" si="652"/>
        <v>3.75</v>
      </c>
      <c r="S2246" s="4">
        <f t="shared" si="652"/>
        <v>90</v>
      </c>
      <c r="T2246" s="4">
        <f t="shared" si="652"/>
        <v>0</v>
      </c>
      <c r="U2246" s="4">
        <f t="shared" si="652"/>
        <v>0</v>
      </c>
      <c r="V2246" s="4">
        <f t="shared" si="652"/>
        <v>0</v>
      </c>
    </row>
    <row r="2247" spans="1:22" x14ac:dyDescent="0.15">
      <c r="I2247" s="4"/>
      <c r="M2247" s="4">
        <f t="shared" ref="M2247:V2247" si="653">M631*$C$1623</f>
        <v>0</v>
      </c>
      <c r="N2247" s="4">
        <f t="shared" si="653"/>
        <v>0</v>
      </c>
      <c r="O2247" s="4">
        <f t="shared" si="653"/>
        <v>0</v>
      </c>
      <c r="P2247" s="4">
        <f t="shared" si="653"/>
        <v>0</v>
      </c>
      <c r="Q2247" s="4">
        <f t="shared" si="653"/>
        <v>0</v>
      </c>
      <c r="R2247" s="4">
        <f t="shared" si="653"/>
        <v>0</v>
      </c>
      <c r="S2247" s="4">
        <f t="shared" si="653"/>
        <v>0</v>
      </c>
      <c r="T2247" s="4">
        <f t="shared" si="653"/>
        <v>0</v>
      </c>
      <c r="U2247" s="4">
        <f t="shared" si="653"/>
        <v>0</v>
      </c>
      <c r="V2247" s="4">
        <f t="shared" si="653"/>
        <v>0</v>
      </c>
    </row>
    <row r="2248" spans="1:22" ht="16.5" x14ac:dyDescent="0.15">
      <c r="A2248" s="4" t="s">
        <v>2662</v>
      </c>
      <c r="B2248" s="4" t="s">
        <v>3088</v>
      </c>
      <c r="C2248" s="4" t="s">
        <v>3089</v>
      </c>
      <c r="D2248" s="4">
        <v>551</v>
      </c>
      <c r="E2248" s="4">
        <v>0</v>
      </c>
      <c r="H2248" s="38">
        <v>2203</v>
      </c>
      <c r="I2248" s="38">
        <v>1</v>
      </c>
      <c r="L2248" s="8">
        <v>803</v>
      </c>
      <c r="M2248" s="4">
        <f t="shared" ref="M2248:V2248" si="654">M632*$C$1623</f>
        <v>0</v>
      </c>
      <c r="N2248" s="4">
        <f t="shared" si="654"/>
        <v>0</v>
      </c>
      <c r="O2248" s="4">
        <f t="shared" si="654"/>
        <v>0</v>
      </c>
      <c r="P2248" s="4">
        <f t="shared" si="654"/>
        <v>0</v>
      </c>
      <c r="Q2248" s="4">
        <f t="shared" si="654"/>
        <v>0</v>
      </c>
      <c r="R2248" s="4">
        <f t="shared" si="654"/>
        <v>0</v>
      </c>
      <c r="S2248" s="4">
        <f t="shared" si="654"/>
        <v>0</v>
      </c>
      <c r="T2248" s="4">
        <f t="shared" si="654"/>
        <v>0</v>
      </c>
      <c r="U2248" s="4">
        <f t="shared" si="654"/>
        <v>0</v>
      </c>
      <c r="V2248" s="4">
        <f t="shared" si="654"/>
        <v>0</v>
      </c>
    </row>
    <row r="2249" spans="1:22" x14ac:dyDescent="0.15">
      <c r="A2249" s="4" t="s">
        <v>2662</v>
      </c>
      <c r="D2249" s="4">
        <v>551</v>
      </c>
      <c r="E2249" s="4">
        <v>1</v>
      </c>
      <c r="H2249" s="29">
        <v>1001</v>
      </c>
      <c r="I2249" s="30">
        <v>0</v>
      </c>
      <c r="M2249" s="4">
        <f t="shared" ref="M2249:V2249" si="655">M633*$C$1623</f>
        <v>135</v>
      </c>
      <c r="N2249" s="4">
        <f t="shared" si="655"/>
        <v>6</v>
      </c>
      <c r="O2249" s="4">
        <f t="shared" si="655"/>
        <v>1980</v>
      </c>
      <c r="P2249" s="4">
        <f t="shared" si="655"/>
        <v>0</v>
      </c>
      <c r="Q2249" s="4">
        <f t="shared" si="655"/>
        <v>1680</v>
      </c>
      <c r="R2249" s="4">
        <f t="shared" si="655"/>
        <v>3.75</v>
      </c>
      <c r="S2249" s="4">
        <f t="shared" si="655"/>
        <v>10.5</v>
      </c>
      <c r="T2249" s="4">
        <f t="shared" si="655"/>
        <v>0</v>
      </c>
      <c r="U2249" s="4">
        <f t="shared" si="655"/>
        <v>0</v>
      </c>
      <c r="V2249" s="4">
        <f t="shared" si="655"/>
        <v>0</v>
      </c>
    </row>
    <row r="2250" spans="1:22" x14ac:dyDescent="0.15">
      <c r="A2250" s="4" t="s">
        <v>2662</v>
      </c>
      <c r="D2250" s="4">
        <v>551</v>
      </c>
      <c r="E2250" s="4">
        <v>2</v>
      </c>
      <c r="H2250" s="29">
        <v>1001</v>
      </c>
      <c r="I2250" s="30">
        <v>0</v>
      </c>
      <c r="M2250" s="4">
        <f t="shared" ref="M2250:V2250" si="656">M634*$C$1623</f>
        <v>147</v>
      </c>
      <c r="N2250" s="4">
        <f t="shared" si="656"/>
        <v>12</v>
      </c>
      <c r="O2250" s="4">
        <f t="shared" si="656"/>
        <v>2079</v>
      </c>
      <c r="P2250" s="4">
        <f t="shared" si="656"/>
        <v>0</v>
      </c>
      <c r="Q2250" s="4">
        <f t="shared" si="656"/>
        <v>1692</v>
      </c>
      <c r="R2250" s="4">
        <f t="shared" si="656"/>
        <v>3.75</v>
      </c>
      <c r="S2250" s="4">
        <f t="shared" si="656"/>
        <v>12</v>
      </c>
      <c r="T2250" s="4">
        <f t="shared" si="656"/>
        <v>0</v>
      </c>
      <c r="U2250" s="4">
        <f t="shared" si="656"/>
        <v>0</v>
      </c>
      <c r="V2250" s="4">
        <f t="shared" si="656"/>
        <v>0</v>
      </c>
    </row>
    <row r="2251" spans="1:22" x14ac:dyDescent="0.15">
      <c r="A2251" s="4" t="s">
        <v>2662</v>
      </c>
      <c r="D2251" s="4">
        <v>551</v>
      </c>
      <c r="E2251" s="4">
        <v>3</v>
      </c>
      <c r="H2251" s="29">
        <v>1001</v>
      </c>
      <c r="I2251" s="30">
        <v>0</v>
      </c>
      <c r="M2251" s="4">
        <f t="shared" ref="M2251:V2251" si="657">M635*$C$1623</f>
        <v>159</v>
      </c>
      <c r="N2251" s="4">
        <f t="shared" si="657"/>
        <v>18</v>
      </c>
      <c r="O2251" s="4">
        <f t="shared" si="657"/>
        <v>2178</v>
      </c>
      <c r="P2251" s="4">
        <f t="shared" si="657"/>
        <v>0</v>
      </c>
      <c r="Q2251" s="4">
        <f t="shared" si="657"/>
        <v>1704</v>
      </c>
      <c r="R2251" s="4">
        <f t="shared" si="657"/>
        <v>3.75</v>
      </c>
      <c r="S2251" s="4">
        <f t="shared" si="657"/>
        <v>13.5</v>
      </c>
      <c r="T2251" s="4">
        <f t="shared" si="657"/>
        <v>0</v>
      </c>
      <c r="U2251" s="4">
        <f t="shared" si="657"/>
        <v>0</v>
      </c>
      <c r="V2251" s="4">
        <f t="shared" si="657"/>
        <v>0</v>
      </c>
    </row>
    <row r="2252" spans="1:22" x14ac:dyDescent="0.15">
      <c r="A2252" s="4" t="s">
        <v>2662</v>
      </c>
      <c r="D2252" s="4">
        <v>551</v>
      </c>
      <c r="E2252" s="4">
        <v>4</v>
      </c>
      <c r="H2252" s="29">
        <v>1001</v>
      </c>
      <c r="I2252" s="30">
        <v>0</v>
      </c>
      <c r="M2252" s="4">
        <f t="shared" ref="M2252:V2252" si="658">M636*$C$1623</f>
        <v>171</v>
      </c>
      <c r="N2252" s="4">
        <f t="shared" si="658"/>
        <v>24</v>
      </c>
      <c r="O2252" s="4">
        <f t="shared" si="658"/>
        <v>2277</v>
      </c>
      <c r="P2252" s="4">
        <f t="shared" si="658"/>
        <v>0</v>
      </c>
      <c r="Q2252" s="4">
        <f t="shared" si="658"/>
        <v>1716</v>
      </c>
      <c r="R2252" s="4">
        <f t="shared" si="658"/>
        <v>3.75</v>
      </c>
      <c r="S2252" s="4">
        <f t="shared" si="658"/>
        <v>15</v>
      </c>
      <c r="T2252" s="4">
        <f t="shared" si="658"/>
        <v>0</v>
      </c>
      <c r="U2252" s="4">
        <f t="shared" si="658"/>
        <v>0</v>
      </c>
      <c r="V2252" s="4">
        <f t="shared" si="658"/>
        <v>0</v>
      </c>
    </row>
    <row r="2253" spans="1:22" x14ac:dyDescent="0.15">
      <c r="A2253" s="4" t="s">
        <v>2662</v>
      </c>
      <c r="D2253" s="4">
        <v>551</v>
      </c>
      <c r="E2253" s="4">
        <v>5</v>
      </c>
      <c r="H2253" s="29">
        <v>1001</v>
      </c>
      <c r="I2253" s="30">
        <v>0</v>
      </c>
      <c r="M2253" s="4">
        <f t="shared" ref="M2253:V2253" si="659">M637*$C$1623</f>
        <v>183</v>
      </c>
      <c r="N2253" s="4">
        <f t="shared" si="659"/>
        <v>30</v>
      </c>
      <c r="O2253" s="4">
        <f t="shared" si="659"/>
        <v>2376</v>
      </c>
      <c r="P2253" s="4">
        <f t="shared" si="659"/>
        <v>0</v>
      </c>
      <c r="Q2253" s="4">
        <f t="shared" si="659"/>
        <v>1728</v>
      </c>
      <c r="R2253" s="4">
        <f t="shared" si="659"/>
        <v>3.75</v>
      </c>
      <c r="S2253" s="4">
        <f t="shared" si="659"/>
        <v>16.5</v>
      </c>
      <c r="T2253" s="4">
        <f t="shared" si="659"/>
        <v>0</v>
      </c>
      <c r="U2253" s="4">
        <f t="shared" si="659"/>
        <v>0</v>
      </c>
      <c r="V2253" s="4">
        <f t="shared" si="659"/>
        <v>0</v>
      </c>
    </row>
    <row r="2254" spans="1:22" x14ac:dyDescent="0.15">
      <c r="A2254" s="4" t="s">
        <v>2662</v>
      </c>
      <c r="D2254" s="4">
        <v>551</v>
      </c>
      <c r="E2254" s="4">
        <v>6</v>
      </c>
      <c r="H2254" s="29">
        <v>1001</v>
      </c>
      <c r="I2254" s="30">
        <v>0</v>
      </c>
      <c r="M2254" s="4">
        <f t="shared" ref="M2254:V2254" si="660">M638*$C$1623</f>
        <v>195</v>
      </c>
      <c r="N2254" s="4">
        <f t="shared" si="660"/>
        <v>36</v>
      </c>
      <c r="O2254" s="4">
        <f t="shared" si="660"/>
        <v>2475</v>
      </c>
      <c r="P2254" s="4">
        <f t="shared" si="660"/>
        <v>0</v>
      </c>
      <c r="Q2254" s="4">
        <f t="shared" si="660"/>
        <v>1740</v>
      </c>
      <c r="R2254" s="4">
        <f t="shared" si="660"/>
        <v>3.75</v>
      </c>
      <c r="S2254" s="4">
        <f t="shared" si="660"/>
        <v>18</v>
      </c>
      <c r="T2254" s="4">
        <f t="shared" si="660"/>
        <v>0</v>
      </c>
      <c r="U2254" s="4">
        <f t="shared" si="660"/>
        <v>0</v>
      </c>
      <c r="V2254" s="4">
        <f t="shared" si="660"/>
        <v>0</v>
      </c>
    </row>
    <row r="2255" spans="1:22" x14ac:dyDescent="0.15">
      <c r="A2255" s="4" t="s">
        <v>2662</v>
      </c>
      <c r="D2255" s="4">
        <v>551</v>
      </c>
      <c r="E2255" s="4">
        <v>7</v>
      </c>
      <c r="H2255" s="29">
        <v>1001</v>
      </c>
      <c r="I2255" s="30">
        <v>0</v>
      </c>
      <c r="M2255" s="4">
        <f t="shared" ref="M2255:V2255" si="661">M639*$C$1623</f>
        <v>207</v>
      </c>
      <c r="N2255" s="4">
        <f t="shared" si="661"/>
        <v>42</v>
      </c>
      <c r="O2255" s="4">
        <f t="shared" si="661"/>
        <v>2574</v>
      </c>
      <c r="P2255" s="4">
        <f t="shared" si="661"/>
        <v>0</v>
      </c>
      <c r="Q2255" s="4">
        <f t="shared" si="661"/>
        <v>1752</v>
      </c>
      <c r="R2255" s="4">
        <f t="shared" si="661"/>
        <v>3.75</v>
      </c>
      <c r="S2255" s="4">
        <f t="shared" si="661"/>
        <v>19.5</v>
      </c>
      <c r="T2255" s="4">
        <f t="shared" si="661"/>
        <v>0</v>
      </c>
      <c r="U2255" s="4">
        <f t="shared" si="661"/>
        <v>0</v>
      </c>
      <c r="V2255" s="4">
        <f t="shared" si="661"/>
        <v>0</v>
      </c>
    </row>
    <row r="2256" spans="1:22" x14ac:dyDescent="0.15">
      <c r="A2256" s="4" t="s">
        <v>2662</v>
      </c>
      <c r="D2256" s="4">
        <v>551</v>
      </c>
      <c r="E2256" s="4">
        <v>8</v>
      </c>
      <c r="H2256" s="29">
        <v>1001</v>
      </c>
      <c r="I2256" s="30">
        <v>0</v>
      </c>
      <c r="M2256" s="4">
        <f t="shared" ref="M2256:V2256" si="662">M640*$C$1623</f>
        <v>219</v>
      </c>
      <c r="N2256" s="4">
        <f t="shared" si="662"/>
        <v>48</v>
      </c>
      <c r="O2256" s="4">
        <f t="shared" si="662"/>
        <v>2673</v>
      </c>
      <c r="P2256" s="4">
        <f t="shared" si="662"/>
        <v>0</v>
      </c>
      <c r="Q2256" s="4">
        <f t="shared" si="662"/>
        <v>1764</v>
      </c>
      <c r="R2256" s="4">
        <f t="shared" si="662"/>
        <v>3.75</v>
      </c>
      <c r="S2256" s="4">
        <f t="shared" si="662"/>
        <v>21</v>
      </c>
      <c r="T2256" s="4">
        <f t="shared" si="662"/>
        <v>0</v>
      </c>
      <c r="U2256" s="4">
        <f t="shared" si="662"/>
        <v>0</v>
      </c>
      <c r="V2256" s="4">
        <f t="shared" si="662"/>
        <v>0</v>
      </c>
    </row>
    <row r="2257" spans="1:22" x14ac:dyDescent="0.15">
      <c r="A2257" s="4" t="s">
        <v>2662</v>
      </c>
      <c r="D2257" s="4">
        <v>551</v>
      </c>
      <c r="E2257" s="4">
        <v>9</v>
      </c>
      <c r="H2257" s="29">
        <v>1001</v>
      </c>
      <c r="I2257" s="30">
        <v>0</v>
      </c>
      <c r="M2257" s="4">
        <f t="shared" ref="M2257:V2257" si="663">M641*$C$1623</f>
        <v>231</v>
      </c>
      <c r="N2257" s="4">
        <f t="shared" si="663"/>
        <v>54</v>
      </c>
      <c r="O2257" s="4">
        <f t="shared" si="663"/>
        <v>2772</v>
      </c>
      <c r="P2257" s="4">
        <f t="shared" si="663"/>
        <v>0</v>
      </c>
      <c r="Q2257" s="4">
        <f t="shared" si="663"/>
        <v>1776</v>
      </c>
      <c r="R2257" s="4">
        <f t="shared" si="663"/>
        <v>3.75</v>
      </c>
      <c r="S2257" s="4">
        <f t="shared" si="663"/>
        <v>22.5</v>
      </c>
      <c r="T2257" s="4">
        <f t="shared" si="663"/>
        <v>0</v>
      </c>
      <c r="U2257" s="4">
        <f t="shared" si="663"/>
        <v>0</v>
      </c>
      <c r="V2257" s="4">
        <f t="shared" si="663"/>
        <v>0</v>
      </c>
    </row>
    <row r="2258" spans="1:22" x14ac:dyDescent="0.15">
      <c r="A2258" s="4" t="s">
        <v>2662</v>
      </c>
      <c r="D2258" s="4">
        <v>551</v>
      </c>
      <c r="E2258" s="4">
        <v>10</v>
      </c>
      <c r="H2258" s="29">
        <v>1001</v>
      </c>
      <c r="I2258" s="30">
        <v>0</v>
      </c>
      <c r="M2258" s="4">
        <f t="shared" ref="M2258:V2258" si="664">M642*$C$1623</f>
        <v>243</v>
      </c>
      <c r="N2258" s="4">
        <f t="shared" si="664"/>
        <v>60</v>
      </c>
      <c r="O2258" s="4">
        <f t="shared" si="664"/>
        <v>2871</v>
      </c>
      <c r="P2258" s="4">
        <f t="shared" si="664"/>
        <v>0</v>
      </c>
      <c r="Q2258" s="4">
        <f t="shared" si="664"/>
        <v>1788</v>
      </c>
      <c r="R2258" s="4">
        <f t="shared" si="664"/>
        <v>3.75</v>
      </c>
      <c r="S2258" s="4">
        <f t="shared" si="664"/>
        <v>24</v>
      </c>
      <c r="T2258" s="4">
        <f t="shared" si="664"/>
        <v>0</v>
      </c>
      <c r="U2258" s="4">
        <f t="shared" si="664"/>
        <v>0</v>
      </c>
      <c r="V2258" s="4">
        <f t="shared" si="664"/>
        <v>0</v>
      </c>
    </row>
    <row r="2259" spans="1:22" x14ac:dyDescent="0.15">
      <c r="A2259" s="4" t="s">
        <v>2662</v>
      </c>
      <c r="D2259" s="4">
        <v>551</v>
      </c>
      <c r="E2259" s="4">
        <v>11</v>
      </c>
      <c r="H2259" s="29">
        <v>1001</v>
      </c>
      <c r="I2259" s="30">
        <v>0</v>
      </c>
      <c r="M2259" s="4">
        <f t="shared" ref="M2259:V2259" si="665">M643*$C$1623</f>
        <v>255</v>
      </c>
      <c r="N2259" s="4">
        <f t="shared" si="665"/>
        <v>66</v>
      </c>
      <c r="O2259" s="4">
        <f t="shared" si="665"/>
        <v>2970</v>
      </c>
      <c r="P2259" s="4">
        <f t="shared" si="665"/>
        <v>0</v>
      </c>
      <c r="Q2259" s="4">
        <f t="shared" si="665"/>
        <v>1800</v>
      </c>
      <c r="R2259" s="4">
        <f t="shared" si="665"/>
        <v>3.75</v>
      </c>
      <c r="S2259" s="4">
        <f t="shared" si="665"/>
        <v>25.5</v>
      </c>
      <c r="T2259" s="4">
        <f t="shared" si="665"/>
        <v>0</v>
      </c>
      <c r="U2259" s="4">
        <f t="shared" si="665"/>
        <v>0</v>
      </c>
      <c r="V2259" s="4">
        <f t="shared" si="665"/>
        <v>0</v>
      </c>
    </row>
    <row r="2260" spans="1:22" x14ac:dyDescent="0.15">
      <c r="A2260" s="4" t="s">
        <v>2662</v>
      </c>
      <c r="D2260" s="4">
        <v>551</v>
      </c>
      <c r="E2260" s="4">
        <v>12</v>
      </c>
      <c r="H2260" s="29">
        <v>1001</v>
      </c>
      <c r="I2260" s="30">
        <v>0</v>
      </c>
      <c r="M2260" s="4">
        <f t="shared" ref="M2260:V2260" si="666">M644*$C$1623</f>
        <v>267</v>
      </c>
      <c r="N2260" s="4">
        <f t="shared" si="666"/>
        <v>72</v>
      </c>
      <c r="O2260" s="4">
        <f t="shared" si="666"/>
        <v>3069</v>
      </c>
      <c r="P2260" s="4">
        <f t="shared" si="666"/>
        <v>0</v>
      </c>
      <c r="Q2260" s="4">
        <f t="shared" si="666"/>
        <v>1812</v>
      </c>
      <c r="R2260" s="4">
        <f t="shared" si="666"/>
        <v>3.75</v>
      </c>
      <c r="S2260" s="4">
        <f t="shared" si="666"/>
        <v>27</v>
      </c>
      <c r="T2260" s="4">
        <f t="shared" si="666"/>
        <v>0</v>
      </c>
      <c r="U2260" s="4">
        <f t="shared" si="666"/>
        <v>0</v>
      </c>
      <c r="V2260" s="4">
        <f t="shared" si="666"/>
        <v>0</v>
      </c>
    </row>
    <row r="2261" spans="1:22" x14ac:dyDescent="0.15">
      <c r="A2261" s="4" t="s">
        <v>2662</v>
      </c>
      <c r="D2261" s="4">
        <v>551</v>
      </c>
      <c r="E2261" s="4">
        <v>13</v>
      </c>
      <c r="H2261" s="29">
        <v>1001</v>
      </c>
      <c r="I2261" s="30">
        <v>0</v>
      </c>
      <c r="M2261" s="4">
        <f t="shared" ref="M2261:V2261" si="667">M645*$C$1623</f>
        <v>279</v>
      </c>
      <c r="N2261" s="4">
        <f t="shared" si="667"/>
        <v>78</v>
      </c>
      <c r="O2261" s="4">
        <f t="shared" si="667"/>
        <v>3168</v>
      </c>
      <c r="P2261" s="4">
        <f t="shared" si="667"/>
        <v>0</v>
      </c>
      <c r="Q2261" s="4">
        <f t="shared" si="667"/>
        <v>1824</v>
      </c>
      <c r="R2261" s="4">
        <f t="shared" si="667"/>
        <v>3.75</v>
      </c>
      <c r="S2261" s="4">
        <f t="shared" si="667"/>
        <v>28.5</v>
      </c>
      <c r="T2261" s="4">
        <f t="shared" si="667"/>
        <v>0</v>
      </c>
      <c r="U2261" s="4">
        <f t="shared" si="667"/>
        <v>0</v>
      </c>
      <c r="V2261" s="4">
        <f t="shared" si="667"/>
        <v>0</v>
      </c>
    </row>
    <row r="2262" spans="1:22" x14ac:dyDescent="0.15">
      <c r="A2262" s="4" t="s">
        <v>2662</v>
      </c>
      <c r="D2262" s="4">
        <v>551</v>
      </c>
      <c r="E2262" s="4">
        <v>14</v>
      </c>
      <c r="H2262" s="29">
        <v>1001</v>
      </c>
      <c r="I2262" s="30">
        <v>0</v>
      </c>
      <c r="M2262" s="4">
        <f t="shared" ref="M2262:V2262" si="668">M646*$C$1623</f>
        <v>291</v>
      </c>
      <c r="N2262" s="4">
        <f t="shared" si="668"/>
        <v>84</v>
      </c>
      <c r="O2262" s="4">
        <f t="shared" si="668"/>
        <v>3267</v>
      </c>
      <c r="P2262" s="4">
        <f t="shared" si="668"/>
        <v>0</v>
      </c>
      <c r="Q2262" s="4">
        <f t="shared" si="668"/>
        <v>1836</v>
      </c>
      <c r="R2262" s="4">
        <f t="shared" si="668"/>
        <v>3.75</v>
      </c>
      <c r="S2262" s="4">
        <f t="shared" si="668"/>
        <v>30</v>
      </c>
      <c r="T2262" s="4">
        <f t="shared" si="668"/>
        <v>0</v>
      </c>
      <c r="U2262" s="4">
        <f t="shared" si="668"/>
        <v>0</v>
      </c>
      <c r="V2262" s="4">
        <f t="shared" si="668"/>
        <v>0</v>
      </c>
    </row>
    <row r="2263" spans="1:22" x14ac:dyDescent="0.15">
      <c r="A2263" s="4" t="s">
        <v>2662</v>
      </c>
      <c r="D2263" s="4">
        <v>551</v>
      </c>
      <c r="E2263" s="4">
        <v>15</v>
      </c>
      <c r="H2263" s="29">
        <v>1001</v>
      </c>
      <c r="I2263" s="30">
        <v>0</v>
      </c>
      <c r="M2263" s="4">
        <f t="shared" ref="M2263:V2263" si="669">M647*$C$1623</f>
        <v>303</v>
      </c>
      <c r="N2263" s="4">
        <f t="shared" si="669"/>
        <v>90</v>
      </c>
      <c r="O2263" s="4">
        <f t="shared" si="669"/>
        <v>3366</v>
      </c>
      <c r="P2263" s="4">
        <f t="shared" si="669"/>
        <v>0</v>
      </c>
      <c r="Q2263" s="4">
        <f t="shared" si="669"/>
        <v>1848</v>
      </c>
      <c r="R2263" s="4">
        <f t="shared" si="669"/>
        <v>3.75</v>
      </c>
      <c r="S2263" s="4">
        <f t="shared" si="669"/>
        <v>31.5</v>
      </c>
      <c r="T2263" s="4">
        <f t="shared" si="669"/>
        <v>0</v>
      </c>
      <c r="U2263" s="4">
        <f t="shared" si="669"/>
        <v>0</v>
      </c>
      <c r="V2263" s="4">
        <f t="shared" si="669"/>
        <v>0</v>
      </c>
    </row>
    <row r="2264" spans="1:22" x14ac:dyDescent="0.15">
      <c r="A2264" s="4" t="s">
        <v>2662</v>
      </c>
      <c r="D2264" s="4">
        <v>551</v>
      </c>
      <c r="E2264" s="4">
        <v>16</v>
      </c>
      <c r="H2264" s="29">
        <v>1001</v>
      </c>
      <c r="I2264" s="30">
        <v>0</v>
      </c>
      <c r="M2264" s="4">
        <f t="shared" ref="M2264:V2264" si="670">M648*$C$1623</f>
        <v>315</v>
      </c>
      <c r="N2264" s="4">
        <f t="shared" si="670"/>
        <v>96</v>
      </c>
      <c r="O2264" s="4">
        <f t="shared" si="670"/>
        <v>3465</v>
      </c>
      <c r="P2264" s="4">
        <f t="shared" si="670"/>
        <v>0</v>
      </c>
      <c r="Q2264" s="4">
        <f t="shared" si="670"/>
        <v>1860</v>
      </c>
      <c r="R2264" s="4">
        <f t="shared" si="670"/>
        <v>3.75</v>
      </c>
      <c r="S2264" s="4">
        <f t="shared" si="670"/>
        <v>33</v>
      </c>
      <c r="T2264" s="4">
        <f t="shared" si="670"/>
        <v>0</v>
      </c>
      <c r="U2264" s="4">
        <f t="shared" si="670"/>
        <v>0</v>
      </c>
      <c r="V2264" s="4">
        <f t="shared" si="670"/>
        <v>0</v>
      </c>
    </row>
    <row r="2265" spans="1:22" x14ac:dyDescent="0.15">
      <c r="A2265" s="4" t="s">
        <v>2662</v>
      </c>
      <c r="D2265" s="4">
        <v>551</v>
      </c>
      <c r="E2265" s="4">
        <v>17</v>
      </c>
      <c r="H2265" s="29">
        <v>1001</v>
      </c>
      <c r="I2265" s="30">
        <v>0</v>
      </c>
      <c r="M2265" s="4">
        <f t="shared" ref="M2265:V2265" si="671">M649*$C$1623</f>
        <v>327</v>
      </c>
      <c r="N2265" s="4">
        <f t="shared" si="671"/>
        <v>102</v>
      </c>
      <c r="O2265" s="4">
        <f t="shared" si="671"/>
        <v>3564</v>
      </c>
      <c r="P2265" s="4">
        <f t="shared" si="671"/>
        <v>0</v>
      </c>
      <c r="Q2265" s="4">
        <f t="shared" si="671"/>
        <v>1872</v>
      </c>
      <c r="R2265" s="4">
        <f t="shared" si="671"/>
        <v>3.75</v>
      </c>
      <c r="S2265" s="4">
        <f t="shared" si="671"/>
        <v>34.5</v>
      </c>
      <c r="T2265" s="4">
        <f t="shared" si="671"/>
        <v>0</v>
      </c>
      <c r="U2265" s="4">
        <f t="shared" si="671"/>
        <v>0</v>
      </c>
      <c r="V2265" s="4">
        <f t="shared" si="671"/>
        <v>0</v>
      </c>
    </row>
    <row r="2266" spans="1:22" x14ac:dyDescent="0.15">
      <c r="A2266" s="4" t="s">
        <v>2662</v>
      </c>
      <c r="D2266" s="4">
        <v>551</v>
      </c>
      <c r="E2266" s="4">
        <v>18</v>
      </c>
      <c r="H2266" s="29">
        <v>1001</v>
      </c>
      <c r="I2266" s="30">
        <v>0</v>
      </c>
      <c r="M2266" s="4">
        <f t="shared" ref="M2266:V2266" si="672">M650*$C$1623</f>
        <v>339</v>
      </c>
      <c r="N2266" s="4">
        <f t="shared" si="672"/>
        <v>108</v>
      </c>
      <c r="O2266" s="4">
        <f t="shared" si="672"/>
        <v>3663</v>
      </c>
      <c r="P2266" s="4">
        <f t="shared" si="672"/>
        <v>0</v>
      </c>
      <c r="Q2266" s="4">
        <f t="shared" si="672"/>
        <v>1884</v>
      </c>
      <c r="R2266" s="4">
        <f t="shared" si="672"/>
        <v>3.75</v>
      </c>
      <c r="S2266" s="4">
        <f t="shared" si="672"/>
        <v>36</v>
      </c>
      <c r="T2266" s="4">
        <f t="shared" si="672"/>
        <v>0</v>
      </c>
      <c r="U2266" s="4">
        <f t="shared" si="672"/>
        <v>0</v>
      </c>
      <c r="V2266" s="4">
        <f t="shared" si="672"/>
        <v>0</v>
      </c>
    </row>
    <row r="2267" spans="1:22" x14ac:dyDescent="0.15">
      <c r="A2267" s="4" t="s">
        <v>2662</v>
      </c>
      <c r="D2267" s="4">
        <v>551</v>
      </c>
      <c r="E2267" s="4">
        <v>19</v>
      </c>
      <c r="H2267" s="29">
        <v>1001</v>
      </c>
      <c r="I2267" s="30">
        <v>0</v>
      </c>
      <c r="M2267" s="4">
        <f t="shared" ref="M2267:V2267" si="673">M651*$C$1623</f>
        <v>351</v>
      </c>
      <c r="N2267" s="4">
        <f t="shared" si="673"/>
        <v>114</v>
      </c>
      <c r="O2267" s="4">
        <f t="shared" si="673"/>
        <v>3762</v>
      </c>
      <c r="P2267" s="4">
        <f t="shared" si="673"/>
        <v>0</v>
      </c>
      <c r="Q2267" s="4">
        <f t="shared" si="673"/>
        <v>1896</v>
      </c>
      <c r="R2267" s="4">
        <f t="shared" si="673"/>
        <v>3.75</v>
      </c>
      <c r="S2267" s="4">
        <f t="shared" si="673"/>
        <v>37.5</v>
      </c>
      <c r="T2267" s="4">
        <f t="shared" si="673"/>
        <v>0</v>
      </c>
      <c r="U2267" s="4">
        <f t="shared" si="673"/>
        <v>0</v>
      </c>
      <c r="V2267" s="4">
        <f t="shared" si="673"/>
        <v>0</v>
      </c>
    </row>
    <row r="2268" spans="1:22" x14ac:dyDescent="0.15">
      <c r="A2268" s="4" t="s">
        <v>2662</v>
      </c>
      <c r="D2268" s="4">
        <v>551</v>
      </c>
      <c r="E2268" s="4">
        <v>20</v>
      </c>
      <c r="H2268" s="29">
        <v>1001</v>
      </c>
      <c r="I2268" s="30">
        <v>0</v>
      </c>
      <c r="M2268" s="4">
        <f t="shared" ref="M2268:V2268" si="674">M652*$C$1623</f>
        <v>363</v>
      </c>
      <c r="N2268" s="4">
        <f t="shared" si="674"/>
        <v>120</v>
      </c>
      <c r="O2268" s="4">
        <f t="shared" si="674"/>
        <v>3861</v>
      </c>
      <c r="P2268" s="4">
        <f t="shared" si="674"/>
        <v>0</v>
      </c>
      <c r="Q2268" s="4">
        <f t="shared" si="674"/>
        <v>1908</v>
      </c>
      <c r="R2268" s="4">
        <f t="shared" si="674"/>
        <v>3.75</v>
      </c>
      <c r="S2268" s="4">
        <f t="shared" si="674"/>
        <v>39</v>
      </c>
      <c r="T2268" s="4">
        <f t="shared" si="674"/>
        <v>0</v>
      </c>
      <c r="U2268" s="4">
        <f t="shared" si="674"/>
        <v>0</v>
      </c>
      <c r="V2268" s="4">
        <f t="shared" si="674"/>
        <v>0</v>
      </c>
    </row>
    <row r="2269" spans="1:22" x14ac:dyDescent="0.15">
      <c r="A2269" s="4" t="s">
        <v>2662</v>
      </c>
      <c r="D2269" s="4">
        <v>551</v>
      </c>
      <c r="E2269" s="4">
        <v>21</v>
      </c>
      <c r="H2269" s="29">
        <v>1001</v>
      </c>
      <c r="I2269" s="30">
        <v>0</v>
      </c>
      <c r="M2269" s="4">
        <f t="shared" ref="M2269:V2269" si="675">M653*$C$1623</f>
        <v>375</v>
      </c>
      <c r="N2269" s="4">
        <f t="shared" si="675"/>
        <v>126</v>
      </c>
      <c r="O2269" s="4">
        <f t="shared" si="675"/>
        <v>3960</v>
      </c>
      <c r="P2269" s="4">
        <f t="shared" si="675"/>
        <v>0</v>
      </c>
      <c r="Q2269" s="4">
        <f t="shared" si="675"/>
        <v>1920</v>
      </c>
      <c r="R2269" s="4">
        <f t="shared" si="675"/>
        <v>3.75</v>
      </c>
      <c r="S2269" s="4">
        <f t="shared" si="675"/>
        <v>40.5</v>
      </c>
      <c r="T2269" s="4">
        <f t="shared" si="675"/>
        <v>0</v>
      </c>
      <c r="U2269" s="4">
        <f t="shared" si="675"/>
        <v>0</v>
      </c>
      <c r="V2269" s="4">
        <f t="shared" si="675"/>
        <v>0</v>
      </c>
    </row>
    <row r="2270" spans="1:22" x14ac:dyDescent="0.15">
      <c r="A2270" s="4" t="s">
        <v>2662</v>
      </c>
      <c r="D2270" s="4">
        <v>551</v>
      </c>
      <c r="E2270" s="4">
        <v>22</v>
      </c>
      <c r="H2270" s="29">
        <v>1001</v>
      </c>
      <c r="I2270" s="30">
        <v>0</v>
      </c>
      <c r="M2270" s="4">
        <f t="shared" ref="M2270:V2270" si="676">M654*$C$1623</f>
        <v>387</v>
      </c>
      <c r="N2270" s="4">
        <f t="shared" si="676"/>
        <v>132</v>
      </c>
      <c r="O2270" s="4">
        <f t="shared" si="676"/>
        <v>4059</v>
      </c>
      <c r="P2270" s="4">
        <f t="shared" si="676"/>
        <v>0</v>
      </c>
      <c r="Q2270" s="4">
        <f t="shared" si="676"/>
        <v>1932</v>
      </c>
      <c r="R2270" s="4">
        <f t="shared" si="676"/>
        <v>3.75</v>
      </c>
      <c r="S2270" s="4">
        <f t="shared" si="676"/>
        <v>42</v>
      </c>
      <c r="T2270" s="4">
        <f t="shared" si="676"/>
        <v>0</v>
      </c>
      <c r="U2270" s="4">
        <f t="shared" si="676"/>
        <v>0</v>
      </c>
      <c r="V2270" s="4">
        <f t="shared" si="676"/>
        <v>0</v>
      </c>
    </row>
    <row r="2271" spans="1:22" x14ac:dyDescent="0.15">
      <c r="A2271" s="4" t="s">
        <v>2662</v>
      </c>
      <c r="D2271" s="4">
        <v>551</v>
      </c>
      <c r="E2271" s="4">
        <v>23</v>
      </c>
      <c r="H2271" s="29">
        <v>1001</v>
      </c>
      <c r="I2271" s="30">
        <v>0</v>
      </c>
      <c r="M2271" s="4">
        <f t="shared" ref="M2271:V2271" si="677">M655*$C$1623</f>
        <v>399</v>
      </c>
      <c r="N2271" s="4">
        <f t="shared" si="677"/>
        <v>138</v>
      </c>
      <c r="O2271" s="4">
        <f t="shared" si="677"/>
        <v>4158</v>
      </c>
      <c r="P2271" s="4">
        <f t="shared" si="677"/>
        <v>0</v>
      </c>
      <c r="Q2271" s="4">
        <f t="shared" si="677"/>
        <v>1944</v>
      </c>
      <c r="R2271" s="4">
        <f t="shared" si="677"/>
        <v>3.75</v>
      </c>
      <c r="S2271" s="4">
        <f t="shared" si="677"/>
        <v>43.5</v>
      </c>
      <c r="T2271" s="4">
        <f t="shared" si="677"/>
        <v>0</v>
      </c>
      <c r="U2271" s="4">
        <f t="shared" si="677"/>
        <v>0</v>
      </c>
      <c r="V2271" s="4">
        <f t="shared" si="677"/>
        <v>0</v>
      </c>
    </row>
    <row r="2272" spans="1:22" x14ac:dyDescent="0.15">
      <c r="A2272" s="4" t="s">
        <v>2662</v>
      </c>
      <c r="D2272" s="4">
        <v>551</v>
      </c>
      <c r="E2272" s="4">
        <v>24</v>
      </c>
      <c r="H2272" s="29">
        <v>1001</v>
      </c>
      <c r="I2272" s="30">
        <v>0</v>
      </c>
      <c r="M2272" s="4">
        <f t="shared" ref="M2272:V2272" si="678">M656*$C$1623</f>
        <v>411</v>
      </c>
      <c r="N2272" s="4">
        <f t="shared" si="678"/>
        <v>144</v>
      </c>
      <c r="O2272" s="4">
        <f t="shared" si="678"/>
        <v>4257</v>
      </c>
      <c r="P2272" s="4">
        <f t="shared" si="678"/>
        <v>0</v>
      </c>
      <c r="Q2272" s="4">
        <f t="shared" si="678"/>
        <v>1956</v>
      </c>
      <c r="R2272" s="4">
        <f t="shared" si="678"/>
        <v>3.75</v>
      </c>
      <c r="S2272" s="4">
        <f t="shared" si="678"/>
        <v>45</v>
      </c>
      <c r="T2272" s="4">
        <f t="shared" si="678"/>
        <v>0</v>
      </c>
      <c r="U2272" s="4">
        <f t="shared" si="678"/>
        <v>0</v>
      </c>
      <c r="V2272" s="4">
        <f t="shared" si="678"/>
        <v>0</v>
      </c>
    </row>
    <row r="2273" spans="1:22" x14ac:dyDescent="0.15">
      <c r="A2273" s="4" t="s">
        <v>2662</v>
      </c>
      <c r="D2273" s="4">
        <v>551</v>
      </c>
      <c r="E2273" s="4">
        <v>25</v>
      </c>
      <c r="H2273" s="29">
        <v>1001</v>
      </c>
      <c r="I2273" s="30">
        <v>0</v>
      </c>
      <c r="M2273" s="4">
        <f t="shared" ref="M2273:V2273" si="679">M657*$C$1623</f>
        <v>423</v>
      </c>
      <c r="N2273" s="4">
        <f t="shared" si="679"/>
        <v>150</v>
      </c>
      <c r="O2273" s="4">
        <f t="shared" si="679"/>
        <v>4356</v>
      </c>
      <c r="P2273" s="4">
        <f t="shared" si="679"/>
        <v>0</v>
      </c>
      <c r="Q2273" s="4">
        <f t="shared" si="679"/>
        <v>1968</v>
      </c>
      <c r="R2273" s="4">
        <f t="shared" si="679"/>
        <v>3.75</v>
      </c>
      <c r="S2273" s="4">
        <f t="shared" si="679"/>
        <v>46.5</v>
      </c>
      <c r="T2273" s="4">
        <f t="shared" si="679"/>
        <v>0</v>
      </c>
      <c r="U2273" s="4">
        <f t="shared" si="679"/>
        <v>0</v>
      </c>
      <c r="V2273" s="4">
        <f t="shared" si="679"/>
        <v>0</v>
      </c>
    </row>
    <row r="2274" spans="1:22" x14ac:dyDescent="0.15">
      <c r="A2274" s="4" t="s">
        <v>2662</v>
      </c>
      <c r="D2274" s="4">
        <v>551</v>
      </c>
      <c r="E2274" s="4">
        <v>26</v>
      </c>
      <c r="H2274" s="29">
        <v>1001</v>
      </c>
      <c r="I2274" s="30">
        <v>0</v>
      </c>
      <c r="M2274" s="4">
        <f t="shared" ref="M2274:V2274" si="680">M658*$C$1623</f>
        <v>435</v>
      </c>
      <c r="N2274" s="4">
        <f t="shared" si="680"/>
        <v>156</v>
      </c>
      <c r="O2274" s="4">
        <f t="shared" si="680"/>
        <v>4455</v>
      </c>
      <c r="P2274" s="4">
        <f t="shared" si="680"/>
        <v>0</v>
      </c>
      <c r="Q2274" s="4">
        <f t="shared" si="680"/>
        <v>1980</v>
      </c>
      <c r="R2274" s="4">
        <f t="shared" si="680"/>
        <v>3.75</v>
      </c>
      <c r="S2274" s="4">
        <f t="shared" si="680"/>
        <v>48</v>
      </c>
      <c r="T2274" s="4">
        <f t="shared" si="680"/>
        <v>0</v>
      </c>
      <c r="U2274" s="4">
        <f t="shared" si="680"/>
        <v>0</v>
      </c>
      <c r="V2274" s="4">
        <f t="shared" si="680"/>
        <v>0</v>
      </c>
    </row>
    <row r="2275" spans="1:22" x14ac:dyDescent="0.15">
      <c r="A2275" s="4" t="s">
        <v>2662</v>
      </c>
      <c r="D2275" s="4">
        <v>551</v>
      </c>
      <c r="E2275" s="4">
        <v>27</v>
      </c>
      <c r="H2275" s="29">
        <v>1001</v>
      </c>
      <c r="I2275" s="30">
        <v>0</v>
      </c>
      <c r="M2275" s="4">
        <f t="shared" ref="M2275:V2275" si="681">M659*$C$1623</f>
        <v>447</v>
      </c>
      <c r="N2275" s="4">
        <f t="shared" si="681"/>
        <v>162</v>
      </c>
      <c r="O2275" s="4">
        <f t="shared" si="681"/>
        <v>4554</v>
      </c>
      <c r="P2275" s="4">
        <f t="shared" si="681"/>
        <v>0</v>
      </c>
      <c r="Q2275" s="4">
        <f t="shared" si="681"/>
        <v>1992</v>
      </c>
      <c r="R2275" s="4">
        <f t="shared" si="681"/>
        <v>3.75</v>
      </c>
      <c r="S2275" s="4">
        <f t="shared" si="681"/>
        <v>49.5</v>
      </c>
      <c r="T2275" s="4">
        <f t="shared" si="681"/>
        <v>0</v>
      </c>
      <c r="U2275" s="4">
        <f t="shared" si="681"/>
        <v>0</v>
      </c>
      <c r="V2275" s="4">
        <f t="shared" si="681"/>
        <v>0</v>
      </c>
    </row>
    <row r="2276" spans="1:22" x14ac:dyDescent="0.15">
      <c r="A2276" s="4" t="s">
        <v>2662</v>
      </c>
      <c r="D2276" s="4">
        <v>551</v>
      </c>
      <c r="E2276" s="4">
        <v>28</v>
      </c>
      <c r="H2276" s="29">
        <v>1001</v>
      </c>
      <c r="I2276" s="30">
        <v>0</v>
      </c>
      <c r="M2276" s="4">
        <f t="shared" ref="M2276:V2276" si="682">M660*$C$1623</f>
        <v>459</v>
      </c>
      <c r="N2276" s="4">
        <f t="shared" si="682"/>
        <v>168</v>
      </c>
      <c r="O2276" s="4">
        <f t="shared" si="682"/>
        <v>4653</v>
      </c>
      <c r="P2276" s="4">
        <f t="shared" si="682"/>
        <v>0</v>
      </c>
      <c r="Q2276" s="4">
        <f t="shared" si="682"/>
        <v>2004</v>
      </c>
      <c r="R2276" s="4">
        <f t="shared" si="682"/>
        <v>3.75</v>
      </c>
      <c r="S2276" s="4">
        <f t="shared" si="682"/>
        <v>51</v>
      </c>
      <c r="T2276" s="4">
        <f t="shared" si="682"/>
        <v>0</v>
      </c>
      <c r="U2276" s="4">
        <f t="shared" si="682"/>
        <v>0</v>
      </c>
      <c r="V2276" s="4">
        <f t="shared" si="682"/>
        <v>0</v>
      </c>
    </row>
    <row r="2277" spans="1:22" x14ac:dyDescent="0.15">
      <c r="A2277" s="4" t="s">
        <v>2662</v>
      </c>
      <c r="D2277" s="4">
        <v>551</v>
      </c>
      <c r="E2277" s="4">
        <v>29</v>
      </c>
      <c r="H2277" s="29">
        <v>1001</v>
      </c>
      <c r="I2277" s="30">
        <v>0</v>
      </c>
      <c r="M2277" s="4">
        <f t="shared" ref="M2277:V2277" si="683">M661*$C$1623</f>
        <v>471</v>
      </c>
      <c r="N2277" s="4">
        <f t="shared" si="683"/>
        <v>174</v>
      </c>
      <c r="O2277" s="4">
        <f t="shared" si="683"/>
        <v>4752</v>
      </c>
      <c r="P2277" s="4">
        <f t="shared" si="683"/>
        <v>0</v>
      </c>
      <c r="Q2277" s="4">
        <f t="shared" si="683"/>
        <v>2016</v>
      </c>
      <c r="R2277" s="4">
        <f t="shared" si="683"/>
        <v>3.75</v>
      </c>
      <c r="S2277" s="4">
        <f t="shared" si="683"/>
        <v>52.5</v>
      </c>
      <c r="T2277" s="4">
        <f t="shared" si="683"/>
        <v>0</v>
      </c>
      <c r="U2277" s="4">
        <f t="shared" si="683"/>
        <v>0</v>
      </c>
      <c r="V2277" s="4">
        <f t="shared" si="683"/>
        <v>0</v>
      </c>
    </row>
    <row r="2278" spans="1:22" x14ac:dyDescent="0.15">
      <c r="A2278" s="4" t="s">
        <v>2662</v>
      </c>
      <c r="D2278" s="4">
        <v>551</v>
      </c>
      <c r="E2278" s="4">
        <v>30</v>
      </c>
      <c r="H2278" s="29">
        <v>1001</v>
      </c>
      <c r="I2278" s="30">
        <v>0</v>
      </c>
      <c r="M2278" s="4">
        <f t="shared" ref="M2278:V2278" si="684">M662*$C$1623</f>
        <v>483</v>
      </c>
      <c r="N2278" s="4">
        <f t="shared" si="684"/>
        <v>180</v>
      </c>
      <c r="O2278" s="4">
        <f t="shared" si="684"/>
        <v>4851</v>
      </c>
      <c r="P2278" s="4">
        <f t="shared" si="684"/>
        <v>0</v>
      </c>
      <c r="Q2278" s="4">
        <f t="shared" si="684"/>
        <v>2028</v>
      </c>
      <c r="R2278" s="4">
        <f t="shared" si="684"/>
        <v>3.75</v>
      </c>
      <c r="S2278" s="4">
        <f t="shared" si="684"/>
        <v>54</v>
      </c>
      <c r="T2278" s="4">
        <f t="shared" si="684"/>
        <v>0</v>
      </c>
      <c r="U2278" s="4">
        <f t="shared" si="684"/>
        <v>0</v>
      </c>
      <c r="V2278" s="4">
        <f t="shared" si="684"/>
        <v>0</v>
      </c>
    </row>
    <row r="2279" spans="1:22" x14ac:dyDescent="0.15">
      <c r="A2279" s="4" t="s">
        <v>2662</v>
      </c>
      <c r="D2279" s="4">
        <v>551</v>
      </c>
      <c r="E2279" s="4">
        <v>31</v>
      </c>
      <c r="H2279" s="29">
        <v>1001</v>
      </c>
      <c r="I2279" s="30">
        <v>0</v>
      </c>
      <c r="M2279" s="4">
        <f t="shared" ref="M2279:V2279" si="685">M663*$C$1623</f>
        <v>495</v>
      </c>
      <c r="N2279" s="4">
        <f t="shared" si="685"/>
        <v>186</v>
      </c>
      <c r="O2279" s="4">
        <f t="shared" si="685"/>
        <v>4950</v>
      </c>
      <c r="P2279" s="4">
        <f t="shared" si="685"/>
        <v>0</v>
      </c>
      <c r="Q2279" s="4">
        <f t="shared" si="685"/>
        <v>2040</v>
      </c>
      <c r="R2279" s="4">
        <f t="shared" si="685"/>
        <v>3.75</v>
      </c>
      <c r="S2279" s="4">
        <f t="shared" si="685"/>
        <v>55.5</v>
      </c>
      <c r="T2279" s="4">
        <f t="shared" si="685"/>
        <v>0</v>
      </c>
      <c r="U2279" s="4">
        <f t="shared" si="685"/>
        <v>0</v>
      </c>
      <c r="V2279" s="4">
        <f t="shared" si="685"/>
        <v>0</v>
      </c>
    </row>
    <row r="2280" spans="1:22" x14ac:dyDescent="0.15">
      <c r="A2280" s="4" t="s">
        <v>2662</v>
      </c>
      <c r="D2280" s="4">
        <v>551</v>
      </c>
      <c r="E2280" s="4">
        <v>32</v>
      </c>
      <c r="H2280" s="29">
        <v>1001</v>
      </c>
      <c r="I2280" s="30">
        <v>0</v>
      </c>
      <c r="M2280" s="4">
        <f t="shared" ref="M2280:V2280" si="686">M664*$C$1623</f>
        <v>507</v>
      </c>
      <c r="N2280" s="4">
        <f t="shared" si="686"/>
        <v>192</v>
      </c>
      <c r="O2280" s="4">
        <f t="shared" si="686"/>
        <v>5049</v>
      </c>
      <c r="P2280" s="4">
        <f t="shared" si="686"/>
        <v>0</v>
      </c>
      <c r="Q2280" s="4">
        <f t="shared" si="686"/>
        <v>2052</v>
      </c>
      <c r="R2280" s="4">
        <f t="shared" si="686"/>
        <v>3.75</v>
      </c>
      <c r="S2280" s="4">
        <f t="shared" si="686"/>
        <v>57</v>
      </c>
      <c r="T2280" s="4">
        <f t="shared" si="686"/>
        <v>0</v>
      </c>
      <c r="U2280" s="4">
        <f t="shared" si="686"/>
        <v>0</v>
      </c>
      <c r="V2280" s="4">
        <f t="shared" si="686"/>
        <v>0</v>
      </c>
    </row>
    <row r="2281" spans="1:22" x14ac:dyDescent="0.15">
      <c r="A2281" s="4" t="s">
        <v>2662</v>
      </c>
      <c r="D2281" s="4">
        <v>551</v>
      </c>
      <c r="E2281" s="4">
        <v>33</v>
      </c>
      <c r="H2281" s="29">
        <v>1001</v>
      </c>
      <c r="I2281" s="30">
        <v>0</v>
      </c>
      <c r="M2281" s="4">
        <f t="shared" ref="M2281:V2281" si="687">M665*$C$1623</f>
        <v>519</v>
      </c>
      <c r="N2281" s="4">
        <f t="shared" si="687"/>
        <v>198</v>
      </c>
      <c r="O2281" s="4">
        <f t="shared" si="687"/>
        <v>5148</v>
      </c>
      <c r="P2281" s="4">
        <f t="shared" si="687"/>
        <v>0</v>
      </c>
      <c r="Q2281" s="4">
        <f t="shared" si="687"/>
        <v>2064</v>
      </c>
      <c r="R2281" s="4">
        <f t="shared" si="687"/>
        <v>3.75</v>
      </c>
      <c r="S2281" s="4">
        <f t="shared" si="687"/>
        <v>58.5</v>
      </c>
      <c r="T2281" s="4">
        <f t="shared" si="687"/>
        <v>0</v>
      </c>
      <c r="U2281" s="4">
        <f t="shared" si="687"/>
        <v>0</v>
      </c>
      <c r="V2281" s="4">
        <f t="shared" si="687"/>
        <v>0</v>
      </c>
    </row>
    <row r="2282" spans="1:22" x14ac:dyDescent="0.15">
      <c r="A2282" s="4" t="s">
        <v>2662</v>
      </c>
      <c r="D2282" s="4">
        <v>551</v>
      </c>
      <c r="E2282" s="4">
        <v>34</v>
      </c>
      <c r="H2282" s="29">
        <v>1001</v>
      </c>
      <c r="I2282" s="30">
        <v>0</v>
      </c>
      <c r="M2282" s="4">
        <f t="shared" ref="M2282:V2282" si="688">M666*$C$1623</f>
        <v>531</v>
      </c>
      <c r="N2282" s="4">
        <f t="shared" si="688"/>
        <v>204</v>
      </c>
      <c r="O2282" s="4">
        <f t="shared" si="688"/>
        <v>5247</v>
      </c>
      <c r="P2282" s="4">
        <f t="shared" si="688"/>
        <v>0</v>
      </c>
      <c r="Q2282" s="4">
        <f t="shared" si="688"/>
        <v>2076</v>
      </c>
      <c r="R2282" s="4">
        <f t="shared" si="688"/>
        <v>3.75</v>
      </c>
      <c r="S2282" s="4">
        <f t="shared" si="688"/>
        <v>60</v>
      </c>
      <c r="T2282" s="4">
        <f t="shared" si="688"/>
        <v>0</v>
      </c>
      <c r="U2282" s="4">
        <f t="shared" si="688"/>
        <v>0</v>
      </c>
      <c r="V2282" s="4">
        <f t="shared" si="688"/>
        <v>0</v>
      </c>
    </row>
    <row r="2283" spans="1:22" x14ac:dyDescent="0.15">
      <c r="A2283" s="4" t="s">
        <v>2662</v>
      </c>
      <c r="D2283" s="4">
        <v>551</v>
      </c>
      <c r="E2283" s="4">
        <v>35</v>
      </c>
      <c r="H2283" s="29">
        <v>1001</v>
      </c>
      <c r="I2283" s="30">
        <v>0</v>
      </c>
      <c r="M2283" s="4">
        <f t="shared" ref="M2283:V2283" si="689">M667*$C$1623</f>
        <v>543</v>
      </c>
      <c r="N2283" s="4">
        <f t="shared" si="689"/>
        <v>210</v>
      </c>
      <c r="O2283" s="4">
        <f t="shared" si="689"/>
        <v>5346</v>
      </c>
      <c r="P2283" s="4">
        <f t="shared" si="689"/>
        <v>0</v>
      </c>
      <c r="Q2283" s="4">
        <f t="shared" si="689"/>
        <v>2088</v>
      </c>
      <c r="R2283" s="4">
        <f t="shared" si="689"/>
        <v>3.75</v>
      </c>
      <c r="S2283" s="4">
        <f t="shared" si="689"/>
        <v>61.5</v>
      </c>
      <c r="T2283" s="4">
        <f t="shared" si="689"/>
        <v>0</v>
      </c>
      <c r="U2283" s="4">
        <f t="shared" si="689"/>
        <v>0</v>
      </c>
      <c r="V2283" s="4">
        <f t="shared" si="689"/>
        <v>0</v>
      </c>
    </row>
    <row r="2284" spans="1:22" x14ac:dyDescent="0.15">
      <c r="A2284" s="4" t="s">
        <v>2662</v>
      </c>
      <c r="D2284" s="4">
        <v>551</v>
      </c>
      <c r="E2284" s="4">
        <v>36</v>
      </c>
      <c r="H2284" s="29">
        <v>1001</v>
      </c>
      <c r="I2284" s="30">
        <v>0</v>
      </c>
      <c r="M2284" s="4">
        <f t="shared" ref="M2284:V2284" si="690">M668*$C$1623</f>
        <v>555</v>
      </c>
      <c r="N2284" s="4">
        <f t="shared" si="690"/>
        <v>216</v>
      </c>
      <c r="O2284" s="4">
        <f t="shared" si="690"/>
        <v>5445</v>
      </c>
      <c r="P2284" s="4">
        <f t="shared" si="690"/>
        <v>0</v>
      </c>
      <c r="Q2284" s="4">
        <f t="shared" si="690"/>
        <v>2100</v>
      </c>
      <c r="R2284" s="4">
        <f t="shared" si="690"/>
        <v>3.75</v>
      </c>
      <c r="S2284" s="4">
        <f t="shared" si="690"/>
        <v>63</v>
      </c>
      <c r="T2284" s="4">
        <f t="shared" si="690"/>
        <v>0</v>
      </c>
      <c r="U2284" s="4">
        <f t="shared" si="690"/>
        <v>0</v>
      </c>
      <c r="V2284" s="4">
        <f t="shared" si="690"/>
        <v>0</v>
      </c>
    </row>
    <row r="2285" spans="1:22" x14ac:dyDescent="0.15">
      <c r="A2285" s="4" t="s">
        <v>2662</v>
      </c>
      <c r="D2285" s="4">
        <v>551</v>
      </c>
      <c r="E2285" s="4">
        <v>37</v>
      </c>
      <c r="H2285" s="29">
        <v>1001</v>
      </c>
      <c r="I2285" s="30">
        <v>0</v>
      </c>
      <c r="M2285" s="4">
        <f t="shared" ref="M2285:V2285" si="691">M669*$C$1623</f>
        <v>567</v>
      </c>
      <c r="N2285" s="4">
        <f t="shared" si="691"/>
        <v>222</v>
      </c>
      <c r="O2285" s="4">
        <f t="shared" si="691"/>
        <v>5544</v>
      </c>
      <c r="P2285" s="4">
        <f t="shared" si="691"/>
        <v>0</v>
      </c>
      <c r="Q2285" s="4">
        <f t="shared" si="691"/>
        <v>2112</v>
      </c>
      <c r="R2285" s="4">
        <f t="shared" si="691"/>
        <v>3.75</v>
      </c>
      <c r="S2285" s="4">
        <f t="shared" si="691"/>
        <v>64.5</v>
      </c>
      <c r="T2285" s="4">
        <f t="shared" si="691"/>
        <v>0</v>
      </c>
      <c r="U2285" s="4">
        <f t="shared" si="691"/>
        <v>0</v>
      </c>
      <c r="V2285" s="4">
        <f t="shared" si="691"/>
        <v>0</v>
      </c>
    </row>
    <row r="2286" spans="1:22" x14ac:dyDescent="0.15">
      <c r="A2286" s="4" t="s">
        <v>2662</v>
      </c>
      <c r="D2286" s="4">
        <v>551</v>
      </c>
      <c r="E2286" s="4">
        <v>38</v>
      </c>
      <c r="H2286" s="29">
        <v>1001</v>
      </c>
      <c r="I2286" s="30">
        <v>0</v>
      </c>
      <c r="M2286" s="4">
        <f t="shared" ref="M2286:V2286" si="692">M670*$C$1623</f>
        <v>579</v>
      </c>
      <c r="N2286" s="4">
        <f t="shared" si="692"/>
        <v>228</v>
      </c>
      <c r="O2286" s="4">
        <f t="shared" si="692"/>
        <v>5643</v>
      </c>
      <c r="P2286" s="4">
        <f t="shared" si="692"/>
        <v>0</v>
      </c>
      <c r="Q2286" s="4">
        <f t="shared" si="692"/>
        <v>2124</v>
      </c>
      <c r="R2286" s="4">
        <f t="shared" si="692"/>
        <v>3.75</v>
      </c>
      <c r="S2286" s="4">
        <f t="shared" si="692"/>
        <v>66</v>
      </c>
      <c r="T2286" s="4">
        <f t="shared" si="692"/>
        <v>0</v>
      </c>
      <c r="U2286" s="4">
        <f t="shared" si="692"/>
        <v>0</v>
      </c>
      <c r="V2286" s="4">
        <f t="shared" si="692"/>
        <v>0</v>
      </c>
    </row>
    <row r="2287" spans="1:22" x14ac:dyDescent="0.15">
      <c r="A2287" s="4" t="s">
        <v>2662</v>
      </c>
      <c r="D2287" s="4">
        <v>551</v>
      </c>
      <c r="E2287" s="4">
        <v>39</v>
      </c>
      <c r="H2287" s="29">
        <v>1001</v>
      </c>
      <c r="I2287" s="30">
        <v>0</v>
      </c>
      <c r="M2287" s="4">
        <f t="shared" ref="M2287:V2287" si="693">M671*$C$1623</f>
        <v>591</v>
      </c>
      <c r="N2287" s="4">
        <f t="shared" si="693"/>
        <v>234</v>
      </c>
      <c r="O2287" s="4">
        <f t="shared" si="693"/>
        <v>5742</v>
      </c>
      <c r="P2287" s="4">
        <f t="shared" si="693"/>
        <v>0</v>
      </c>
      <c r="Q2287" s="4">
        <f t="shared" si="693"/>
        <v>2136</v>
      </c>
      <c r="R2287" s="4">
        <f t="shared" si="693"/>
        <v>3.75</v>
      </c>
      <c r="S2287" s="4">
        <f t="shared" si="693"/>
        <v>67.5</v>
      </c>
      <c r="T2287" s="4">
        <f t="shared" si="693"/>
        <v>0</v>
      </c>
      <c r="U2287" s="4">
        <f t="shared" si="693"/>
        <v>0</v>
      </c>
      <c r="V2287" s="4">
        <f t="shared" si="693"/>
        <v>0</v>
      </c>
    </row>
    <row r="2288" spans="1:22" x14ac:dyDescent="0.15">
      <c r="A2288" s="4" t="s">
        <v>2662</v>
      </c>
      <c r="D2288" s="4">
        <v>551</v>
      </c>
      <c r="E2288" s="4">
        <v>40</v>
      </c>
      <c r="H2288" s="29">
        <v>1001</v>
      </c>
      <c r="I2288" s="30">
        <v>0</v>
      </c>
      <c r="M2288" s="4">
        <f t="shared" ref="M2288:V2288" si="694">M672*$C$1623</f>
        <v>603</v>
      </c>
      <c r="N2288" s="4">
        <f t="shared" si="694"/>
        <v>240</v>
      </c>
      <c r="O2288" s="4">
        <f t="shared" si="694"/>
        <v>5841</v>
      </c>
      <c r="P2288" s="4">
        <f t="shared" si="694"/>
        <v>0</v>
      </c>
      <c r="Q2288" s="4">
        <f t="shared" si="694"/>
        <v>2148</v>
      </c>
      <c r="R2288" s="4">
        <f t="shared" si="694"/>
        <v>3.75</v>
      </c>
      <c r="S2288" s="4">
        <f t="shared" si="694"/>
        <v>69</v>
      </c>
      <c r="T2288" s="4">
        <f t="shared" si="694"/>
        <v>0</v>
      </c>
      <c r="U2288" s="4">
        <f t="shared" si="694"/>
        <v>0</v>
      </c>
      <c r="V2288" s="4">
        <f t="shared" si="694"/>
        <v>0</v>
      </c>
    </row>
    <row r="2289" spans="1:22" x14ac:dyDescent="0.15">
      <c r="A2289" s="4" t="s">
        <v>2662</v>
      </c>
      <c r="D2289" s="4">
        <v>551</v>
      </c>
      <c r="E2289" s="4">
        <v>41</v>
      </c>
      <c r="H2289" s="29">
        <v>1001</v>
      </c>
      <c r="I2289" s="30">
        <v>0</v>
      </c>
      <c r="M2289" s="4">
        <f t="shared" ref="M2289:V2289" si="695">M673*$C$1623</f>
        <v>615</v>
      </c>
      <c r="N2289" s="4">
        <f t="shared" si="695"/>
        <v>246</v>
      </c>
      <c r="O2289" s="4">
        <f t="shared" si="695"/>
        <v>5940</v>
      </c>
      <c r="P2289" s="4">
        <f t="shared" si="695"/>
        <v>0</v>
      </c>
      <c r="Q2289" s="4">
        <f t="shared" si="695"/>
        <v>2160</v>
      </c>
      <c r="R2289" s="4">
        <f t="shared" si="695"/>
        <v>3.75</v>
      </c>
      <c r="S2289" s="4">
        <f t="shared" si="695"/>
        <v>70.5</v>
      </c>
      <c r="T2289" s="4">
        <f t="shared" si="695"/>
        <v>0</v>
      </c>
      <c r="U2289" s="4">
        <f t="shared" si="695"/>
        <v>0</v>
      </c>
      <c r="V2289" s="4">
        <f t="shared" si="695"/>
        <v>0</v>
      </c>
    </row>
    <row r="2290" spans="1:22" x14ac:dyDescent="0.15">
      <c r="A2290" s="4" t="s">
        <v>2662</v>
      </c>
      <c r="D2290" s="4">
        <v>551</v>
      </c>
      <c r="E2290" s="4">
        <v>42</v>
      </c>
      <c r="H2290" s="29">
        <v>1001</v>
      </c>
      <c r="I2290" s="30">
        <v>0</v>
      </c>
      <c r="M2290" s="4">
        <f t="shared" ref="M2290:V2290" si="696">M674*$C$1623</f>
        <v>627</v>
      </c>
      <c r="N2290" s="4">
        <f t="shared" si="696"/>
        <v>252</v>
      </c>
      <c r="O2290" s="4">
        <f t="shared" si="696"/>
        <v>6039</v>
      </c>
      <c r="P2290" s="4">
        <f t="shared" si="696"/>
        <v>0</v>
      </c>
      <c r="Q2290" s="4">
        <f t="shared" si="696"/>
        <v>2172</v>
      </c>
      <c r="R2290" s="4">
        <f t="shared" si="696"/>
        <v>3.75</v>
      </c>
      <c r="S2290" s="4">
        <f t="shared" si="696"/>
        <v>72</v>
      </c>
      <c r="T2290" s="4">
        <f t="shared" si="696"/>
        <v>0</v>
      </c>
      <c r="U2290" s="4">
        <f t="shared" si="696"/>
        <v>0</v>
      </c>
      <c r="V2290" s="4">
        <f t="shared" si="696"/>
        <v>0</v>
      </c>
    </row>
    <row r="2291" spans="1:22" x14ac:dyDescent="0.15">
      <c r="A2291" s="4" t="s">
        <v>2662</v>
      </c>
      <c r="D2291" s="4">
        <v>551</v>
      </c>
      <c r="E2291" s="4">
        <v>43</v>
      </c>
      <c r="H2291" s="29">
        <v>1001</v>
      </c>
      <c r="I2291" s="30">
        <v>0</v>
      </c>
      <c r="M2291" s="4">
        <f t="shared" ref="M2291:V2291" si="697">M675*$C$1623</f>
        <v>639</v>
      </c>
      <c r="N2291" s="4">
        <f t="shared" si="697"/>
        <v>258</v>
      </c>
      <c r="O2291" s="4">
        <f t="shared" si="697"/>
        <v>6138</v>
      </c>
      <c r="P2291" s="4">
        <f t="shared" si="697"/>
        <v>0</v>
      </c>
      <c r="Q2291" s="4">
        <f t="shared" si="697"/>
        <v>2184</v>
      </c>
      <c r="R2291" s="4">
        <f t="shared" si="697"/>
        <v>3.75</v>
      </c>
      <c r="S2291" s="4">
        <f t="shared" si="697"/>
        <v>73.5</v>
      </c>
      <c r="T2291" s="4">
        <f t="shared" si="697"/>
        <v>0</v>
      </c>
      <c r="U2291" s="4">
        <f t="shared" si="697"/>
        <v>0</v>
      </c>
      <c r="V2291" s="4">
        <f t="shared" si="697"/>
        <v>0</v>
      </c>
    </row>
    <row r="2292" spans="1:22" x14ac:dyDescent="0.15">
      <c r="A2292" s="4" t="s">
        <v>2662</v>
      </c>
      <c r="D2292" s="4">
        <v>551</v>
      </c>
      <c r="E2292" s="4">
        <v>44</v>
      </c>
      <c r="H2292" s="29">
        <v>1001</v>
      </c>
      <c r="I2292" s="30">
        <v>0</v>
      </c>
      <c r="M2292" s="4">
        <f t="shared" ref="M2292:V2292" si="698">M676*$C$1623</f>
        <v>651</v>
      </c>
      <c r="N2292" s="4">
        <f t="shared" si="698"/>
        <v>264</v>
      </c>
      <c r="O2292" s="4">
        <f t="shared" si="698"/>
        <v>6237</v>
      </c>
      <c r="P2292" s="4">
        <f t="shared" si="698"/>
        <v>0</v>
      </c>
      <c r="Q2292" s="4">
        <f t="shared" si="698"/>
        <v>2196</v>
      </c>
      <c r="R2292" s="4">
        <f t="shared" si="698"/>
        <v>3.75</v>
      </c>
      <c r="S2292" s="4">
        <f t="shared" si="698"/>
        <v>75</v>
      </c>
      <c r="T2292" s="4">
        <f t="shared" si="698"/>
        <v>0</v>
      </c>
      <c r="U2292" s="4">
        <f t="shared" si="698"/>
        <v>0</v>
      </c>
      <c r="V2292" s="4">
        <f t="shared" si="698"/>
        <v>0</v>
      </c>
    </row>
    <row r="2293" spans="1:22" x14ac:dyDescent="0.15">
      <c r="A2293" s="4" t="s">
        <v>2662</v>
      </c>
      <c r="D2293" s="4">
        <v>551</v>
      </c>
      <c r="E2293" s="4">
        <v>45</v>
      </c>
      <c r="H2293" s="29">
        <v>1001</v>
      </c>
      <c r="I2293" s="30">
        <v>0</v>
      </c>
      <c r="M2293" s="4">
        <f t="shared" ref="M2293:V2293" si="699">M677*$C$1623</f>
        <v>663</v>
      </c>
      <c r="N2293" s="4">
        <f t="shared" si="699"/>
        <v>270</v>
      </c>
      <c r="O2293" s="4">
        <f t="shared" si="699"/>
        <v>6336</v>
      </c>
      <c r="P2293" s="4">
        <f t="shared" si="699"/>
        <v>0</v>
      </c>
      <c r="Q2293" s="4">
        <f t="shared" si="699"/>
        <v>2208</v>
      </c>
      <c r="R2293" s="4">
        <f t="shared" si="699"/>
        <v>3.75</v>
      </c>
      <c r="S2293" s="4">
        <f t="shared" si="699"/>
        <v>76.5</v>
      </c>
      <c r="T2293" s="4">
        <f t="shared" si="699"/>
        <v>0</v>
      </c>
      <c r="U2293" s="4">
        <f t="shared" si="699"/>
        <v>0</v>
      </c>
      <c r="V2293" s="4">
        <f t="shared" si="699"/>
        <v>0</v>
      </c>
    </row>
    <row r="2294" spans="1:22" x14ac:dyDescent="0.15">
      <c r="A2294" s="4" t="s">
        <v>2662</v>
      </c>
      <c r="D2294" s="4">
        <v>551</v>
      </c>
      <c r="E2294" s="4">
        <v>46</v>
      </c>
      <c r="H2294" s="29">
        <v>1001</v>
      </c>
      <c r="I2294" s="30">
        <v>0</v>
      </c>
      <c r="M2294" s="4">
        <f t="shared" ref="M2294:V2294" si="700">M678*$C$1623</f>
        <v>675</v>
      </c>
      <c r="N2294" s="4">
        <f t="shared" si="700"/>
        <v>276</v>
      </c>
      <c r="O2294" s="4">
        <f t="shared" si="700"/>
        <v>6435</v>
      </c>
      <c r="P2294" s="4">
        <f t="shared" si="700"/>
        <v>0</v>
      </c>
      <c r="Q2294" s="4">
        <f t="shared" si="700"/>
        <v>2220</v>
      </c>
      <c r="R2294" s="4">
        <f t="shared" si="700"/>
        <v>3.75</v>
      </c>
      <c r="S2294" s="4">
        <f t="shared" si="700"/>
        <v>78</v>
      </c>
      <c r="T2294" s="4">
        <f t="shared" si="700"/>
        <v>0</v>
      </c>
      <c r="U2294" s="4">
        <f t="shared" si="700"/>
        <v>0</v>
      </c>
      <c r="V2294" s="4">
        <f t="shared" si="700"/>
        <v>0</v>
      </c>
    </row>
    <row r="2295" spans="1:22" x14ac:dyDescent="0.15">
      <c r="A2295" s="4" t="s">
        <v>2662</v>
      </c>
      <c r="D2295" s="4">
        <v>551</v>
      </c>
      <c r="E2295" s="4">
        <v>47</v>
      </c>
      <c r="H2295" s="29">
        <v>1001</v>
      </c>
      <c r="I2295" s="30">
        <v>0</v>
      </c>
      <c r="M2295" s="4">
        <f t="shared" ref="M2295:V2295" si="701">M679*$C$1623</f>
        <v>687</v>
      </c>
      <c r="N2295" s="4">
        <f t="shared" si="701"/>
        <v>282</v>
      </c>
      <c r="O2295" s="4">
        <f t="shared" si="701"/>
        <v>6534</v>
      </c>
      <c r="P2295" s="4">
        <f t="shared" si="701"/>
        <v>0</v>
      </c>
      <c r="Q2295" s="4">
        <f t="shared" si="701"/>
        <v>2232</v>
      </c>
      <c r="R2295" s="4">
        <f t="shared" si="701"/>
        <v>3.75</v>
      </c>
      <c r="S2295" s="4">
        <f t="shared" si="701"/>
        <v>79.5</v>
      </c>
      <c r="T2295" s="4">
        <f t="shared" si="701"/>
        <v>0</v>
      </c>
      <c r="U2295" s="4">
        <f t="shared" si="701"/>
        <v>0</v>
      </c>
      <c r="V2295" s="4">
        <f t="shared" si="701"/>
        <v>0</v>
      </c>
    </row>
    <row r="2296" spans="1:22" x14ac:dyDescent="0.15">
      <c r="A2296" s="4" t="s">
        <v>2662</v>
      </c>
      <c r="D2296" s="4">
        <v>551</v>
      </c>
      <c r="E2296" s="4">
        <v>48</v>
      </c>
      <c r="H2296" s="29">
        <v>1001</v>
      </c>
      <c r="I2296" s="30">
        <v>0</v>
      </c>
      <c r="M2296" s="4">
        <f t="shared" ref="M2296:V2296" si="702">M680*$C$1623</f>
        <v>699</v>
      </c>
      <c r="N2296" s="4">
        <f t="shared" si="702"/>
        <v>288</v>
      </c>
      <c r="O2296" s="4">
        <f t="shared" si="702"/>
        <v>6633</v>
      </c>
      <c r="P2296" s="4">
        <f t="shared" si="702"/>
        <v>0</v>
      </c>
      <c r="Q2296" s="4">
        <f t="shared" si="702"/>
        <v>2244</v>
      </c>
      <c r="R2296" s="4">
        <f t="shared" si="702"/>
        <v>3.75</v>
      </c>
      <c r="S2296" s="4">
        <f t="shared" si="702"/>
        <v>81</v>
      </c>
      <c r="T2296" s="4">
        <f t="shared" si="702"/>
        <v>0</v>
      </c>
      <c r="U2296" s="4">
        <f t="shared" si="702"/>
        <v>0</v>
      </c>
      <c r="V2296" s="4">
        <f t="shared" si="702"/>
        <v>0</v>
      </c>
    </row>
    <row r="2297" spans="1:22" x14ac:dyDescent="0.15">
      <c r="A2297" s="4" t="s">
        <v>2662</v>
      </c>
      <c r="D2297" s="4">
        <v>551</v>
      </c>
      <c r="E2297" s="4">
        <v>49</v>
      </c>
      <c r="H2297" s="29">
        <v>1001</v>
      </c>
      <c r="I2297" s="30">
        <v>0</v>
      </c>
      <c r="M2297" s="4">
        <f t="shared" ref="M2297:V2297" si="703">M681*$C$1623</f>
        <v>711</v>
      </c>
      <c r="N2297" s="4">
        <f t="shared" si="703"/>
        <v>294</v>
      </c>
      <c r="O2297" s="4">
        <f t="shared" si="703"/>
        <v>6732</v>
      </c>
      <c r="P2297" s="4">
        <f t="shared" si="703"/>
        <v>0</v>
      </c>
      <c r="Q2297" s="4">
        <f t="shared" si="703"/>
        <v>2256</v>
      </c>
      <c r="R2297" s="4">
        <f t="shared" si="703"/>
        <v>3.75</v>
      </c>
      <c r="S2297" s="4">
        <f t="shared" si="703"/>
        <v>82.5</v>
      </c>
      <c r="T2297" s="4">
        <f t="shared" si="703"/>
        <v>0</v>
      </c>
      <c r="U2297" s="4">
        <f t="shared" si="703"/>
        <v>0</v>
      </c>
      <c r="V2297" s="4">
        <f t="shared" si="703"/>
        <v>0</v>
      </c>
    </row>
    <row r="2298" spans="1:22" x14ac:dyDescent="0.15">
      <c r="A2298" s="4" t="s">
        <v>2662</v>
      </c>
      <c r="D2298" s="4">
        <v>551</v>
      </c>
      <c r="E2298" s="4">
        <v>50</v>
      </c>
      <c r="H2298" s="29">
        <v>1001</v>
      </c>
      <c r="I2298" s="30">
        <v>0</v>
      </c>
      <c r="M2298" s="4">
        <f t="shared" ref="M2298:V2298" si="704">M682*$C$1623</f>
        <v>723</v>
      </c>
      <c r="N2298" s="4">
        <f t="shared" si="704"/>
        <v>300</v>
      </c>
      <c r="O2298" s="4">
        <f t="shared" si="704"/>
        <v>6831</v>
      </c>
      <c r="P2298" s="4">
        <f t="shared" si="704"/>
        <v>0</v>
      </c>
      <c r="Q2298" s="4">
        <f t="shared" si="704"/>
        <v>2268</v>
      </c>
      <c r="R2298" s="4">
        <f t="shared" si="704"/>
        <v>3.75</v>
      </c>
      <c r="S2298" s="4">
        <f t="shared" si="704"/>
        <v>84</v>
      </c>
      <c r="T2298" s="4">
        <f t="shared" si="704"/>
        <v>0</v>
      </c>
      <c r="U2298" s="4">
        <f t="shared" si="704"/>
        <v>0</v>
      </c>
      <c r="V2298" s="4">
        <f t="shared" si="704"/>
        <v>0</v>
      </c>
    </row>
    <row r="2299" spans="1:22" x14ac:dyDescent="0.15">
      <c r="I2299" s="4"/>
      <c r="M2299" s="4">
        <f t="shared" ref="M2299:V2299" si="705">M683*$C$1623</f>
        <v>0</v>
      </c>
      <c r="N2299" s="4">
        <f t="shared" si="705"/>
        <v>0</v>
      </c>
      <c r="O2299" s="4">
        <f t="shared" si="705"/>
        <v>0</v>
      </c>
      <c r="P2299" s="4">
        <f t="shared" si="705"/>
        <v>0</v>
      </c>
      <c r="Q2299" s="4">
        <f t="shared" si="705"/>
        <v>0</v>
      </c>
      <c r="R2299" s="4">
        <f t="shared" si="705"/>
        <v>0</v>
      </c>
      <c r="S2299" s="4">
        <f t="shared" si="705"/>
        <v>0</v>
      </c>
      <c r="T2299" s="4">
        <f t="shared" si="705"/>
        <v>0</v>
      </c>
      <c r="U2299" s="4">
        <f t="shared" si="705"/>
        <v>0</v>
      </c>
      <c r="V2299" s="4">
        <f t="shared" si="705"/>
        <v>0</v>
      </c>
    </row>
    <row r="2300" spans="1:22" ht="16.5" x14ac:dyDescent="0.15">
      <c r="C2300" s="4" t="s">
        <v>3090</v>
      </c>
      <c r="D2300" s="4">
        <f>D2248+1</f>
        <v>552</v>
      </c>
      <c r="E2300" s="4">
        <v>0</v>
      </c>
      <c r="H2300" s="38">
        <v>2203</v>
      </c>
      <c r="I2300" s="38">
        <v>1</v>
      </c>
      <c r="L2300" s="8">
        <v>208</v>
      </c>
      <c r="M2300" s="4">
        <f t="shared" ref="M2300:V2300" si="706">M684*$C$1623</f>
        <v>0</v>
      </c>
      <c r="N2300" s="4">
        <f t="shared" si="706"/>
        <v>0</v>
      </c>
      <c r="O2300" s="4">
        <f t="shared" si="706"/>
        <v>0</v>
      </c>
      <c r="P2300" s="4">
        <f t="shared" si="706"/>
        <v>0</v>
      </c>
      <c r="Q2300" s="4">
        <f t="shared" si="706"/>
        <v>0</v>
      </c>
      <c r="R2300" s="4">
        <f t="shared" si="706"/>
        <v>0</v>
      </c>
      <c r="S2300" s="4">
        <f t="shared" si="706"/>
        <v>0</v>
      </c>
      <c r="T2300" s="4">
        <f t="shared" si="706"/>
        <v>0</v>
      </c>
      <c r="U2300" s="4">
        <f t="shared" si="706"/>
        <v>0</v>
      </c>
      <c r="V2300" s="4">
        <f t="shared" si="706"/>
        <v>0</v>
      </c>
    </row>
    <row r="2301" spans="1:22" x14ac:dyDescent="0.15">
      <c r="D2301" s="4">
        <f t="shared" ref="D2301:D2350" si="707">D2249+1</f>
        <v>552</v>
      </c>
      <c r="E2301" s="4">
        <v>1</v>
      </c>
      <c r="H2301" s="29">
        <v>1001</v>
      </c>
      <c r="I2301" s="30">
        <v>0</v>
      </c>
      <c r="M2301" s="4">
        <f t="shared" ref="M2301:V2301" si="708">M685*$C$1623</f>
        <v>345</v>
      </c>
      <c r="N2301" s="4">
        <f t="shared" si="708"/>
        <v>10.5</v>
      </c>
      <c r="O2301" s="4">
        <f t="shared" si="708"/>
        <v>4435.5</v>
      </c>
      <c r="P2301" s="4">
        <f t="shared" si="708"/>
        <v>0</v>
      </c>
      <c r="Q2301" s="4">
        <f t="shared" si="708"/>
        <v>3057</v>
      </c>
      <c r="R2301" s="4">
        <f t="shared" si="708"/>
        <v>3.75</v>
      </c>
      <c r="S2301" s="4">
        <f t="shared" si="708"/>
        <v>18</v>
      </c>
      <c r="T2301" s="4">
        <f t="shared" si="708"/>
        <v>0</v>
      </c>
      <c r="U2301" s="4">
        <f t="shared" si="708"/>
        <v>0</v>
      </c>
      <c r="V2301" s="4">
        <f t="shared" si="708"/>
        <v>0</v>
      </c>
    </row>
    <row r="2302" spans="1:22" x14ac:dyDescent="0.15">
      <c r="D2302" s="4">
        <f t="shared" si="707"/>
        <v>552</v>
      </c>
      <c r="E2302" s="4">
        <v>2</v>
      </c>
      <c r="H2302" s="29">
        <v>1001</v>
      </c>
      <c r="I2302" s="30">
        <v>0</v>
      </c>
      <c r="M2302" s="4">
        <f t="shared" ref="M2302:V2302" si="709">M686*$C$1623</f>
        <v>360</v>
      </c>
      <c r="N2302" s="4">
        <f t="shared" si="709"/>
        <v>16.5</v>
      </c>
      <c r="O2302" s="4">
        <f t="shared" si="709"/>
        <v>4549.5</v>
      </c>
      <c r="P2302" s="4">
        <f t="shared" si="709"/>
        <v>0</v>
      </c>
      <c r="Q2302" s="4">
        <f t="shared" si="709"/>
        <v>3069</v>
      </c>
      <c r="R2302" s="4">
        <f t="shared" si="709"/>
        <v>3.75</v>
      </c>
      <c r="S2302" s="4">
        <f t="shared" si="709"/>
        <v>19.5</v>
      </c>
      <c r="T2302" s="4">
        <f t="shared" si="709"/>
        <v>0</v>
      </c>
      <c r="U2302" s="4">
        <f t="shared" si="709"/>
        <v>0</v>
      </c>
      <c r="V2302" s="4">
        <f t="shared" si="709"/>
        <v>0</v>
      </c>
    </row>
    <row r="2303" spans="1:22" x14ac:dyDescent="0.15">
      <c r="D2303" s="4">
        <f t="shared" si="707"/>
        <v>552</v>
      </c>
      <c r="E2303" s="4">
        <v>3</v>
      </c>
      <c r="H2303" s="29">
        <v>1001</v>
      </c>
      <c r="I2303" s="30">
        <v>0</v>
      </c>
      <c r="M2303" s="4">
        <f t="shared" ref="M2303:V2303" si="710">M687*$C$1623</f>
        <v>375</v>
      </c>
      <c r="N2303" s="4">
        <f t="shared" si="710"/>
        <v>22.5</v>
      </c>
      <c r="O2303" s="4">
        <f t="shared" si="710"/>
        <v>4663.5</v>
      </c>
      <c r="P2303" s="4">
        <f t="shared" si="710"/>
        <v>0</v>
      </c>
      <c r="Q2303" s="4">
        <f t="shared" si="710"/>
        <v>3081</v>
      </c>
      <c r="R2303" s="4">
        <f t="shared" si="710"/>
        <v>3.75</v>
      </c>
      <c r="S2303" s="4">
        <f t="shared" si="710"/>
        <v>21</v>
      </c>
      <c r="T2303" s="4">
        <f t="shared" si="710"/>
        <v>0</v>
      </c>
      <c r="U2303" s="4">
        <f t="shared" si="710"/>
        <v>0</v>
      </c>
      <c r="V2303" s="4">
        <f t="shared" si="710"/>
        <v>0</v>
      </c>
    </row>
    <row r="2304" spans="1:22" x14ac:dyDescent="0.15">
      <c r="D2304" s="4">
        <f t="shared" si="707"/>
        <v>552</v>
      </c>
      <c r="E2304" s="4">
        <v>4</v>
      </c>
      <c r="H2304" s="29">
        <v>1001</v>
      </c>
      <c r="I2304" s="30">
        <v>0</v>
      </c>
      <c r="M2304" s="4">
        <f t="shared" ref="M2304:V2304" si="711">M688*$C$1623</f>
        <v>390</v>
      </c>
      <c r="N2304" s="4">
        <f t="shared" si="711"/>
        <v>28.5</v>
      </c>
      <c r="O2304" s="4">
        <f t="shared" si="711"/>
        <v>4777.5</v>
      </c>
      <c r="P2304" s="4">
        <f t="shared" si="711"/>
        <v>0</v>
      </c>
      <c r="Q2304" s="4">
        <f t="shared" si="711"/>
        <v>3093</v>
      </c>
      <c r="R2304" s="4">
        <f t="shared" si="711"/>
        <v>3.75</v>
      </c>
      <c r="S2304" s="4">
        <f t="shared" si="711"/>
        <v>22.5</v>
      </c>
      <c r="T2304" s="4">
        <f t="shared" si="711"/>
        <v>0</v>
      </c>
      <c r="U2304" s="4">
        <f t="shared" si="711"/>
        <v>0</v>
      </c>
      <c r="V2304" s="4">
        <f t="shared" si="711"/>
        <v>0</v>
      </c>
    </row>
    <row r="2305" spans="4:22" x14ac:dyDescent="0.15">
      <c r="D2305" s="4">
        <f t="shared" si="707"/>
        <v>552</v>
      </c>
      <c r="E2305" s="4">
        <v>5</v>
      </c>
      <c r="H2305" s="29">
        <v>1001</v>
      </c>
      <c r="I2305" s="30">
        <v>0</v>
      </c>
      <c r="M2305" s="4">
        <f t="shared" ref="M2305:V2305" si="712">M689*$C$1623</f>
        <v>405</v>
      </c>
      <c r="N2305" s="4">
        <f t="shared" si="712"/>
        <v>34.5</v>
      </c>
      <c r="O2305" s="4">
        <f t="shared" si="712"/>
        <v>4891.5</v>
      </c>
      <c r="P2305" s="4">
        <f t="shared" si="712"/>
        <v>0</v>
      </c>
      <c r="Q2305" s="4">
        <f t="shared" si="712"/>
        <v>3105</v>
      </c>
      <c r="R2305" s="4">
        <f t="shared" si="712"/>
        <v>3.75</v>
      </c>
      <c r="S2305" s="4">
        <f t="shared" si="712"/>
        <v>24</v>
      </c>
      <c r="T2305" s="4">
        <f t="shared" si="712"/>
        <v>0</v>
      </c>
      <c r="U2305" s="4">
        <f t="shared" si="712"/>
        <v>0</v>
      </c>
      <c r="V2305" s="4">
        <f t="shared" si="712"/>
        <v>0</v>
      </c>
    </row>
    <row r="2306" spans="4:22" x14ac:dyDescent="0.15">
      <c r="D2306" s="4">
        <f t="shared" si="707"/>
        <v>552</v>
      </c>
      <c r="E2306" s="4">
        <v>6</v>
      </c>
      <c r="H2306" s="29">
        <v>1001</v>
      </c>
      <c r="I2306" s="30">
        <v>0</v>
      </c>
      <c r="M2306" s="4">
        <f t="shared" ref="M2306:V2306" si="713">M690*$C$1623</f>
        <v>420</v>
      </c>
      <c r="N2306" s="4">
        <f t="shared" si="713"/>
        <v>40.5</v>
      </c>
      <c r="O2306" s="4">
        <f t="shared" si="713"/>
        <v>5005.5</v>
      </c>
      <c r="P2306" s="4">
        <f t="shared" si="713"/>
        <v>0</v>
      </c>
      <c r="Q2306" s="4">
        <f t="shared" si="713"/>
        <v>3117</v>
      </c>
      <c r="R2306" s="4">
        <f t="shared" si="713"/>
        <v>3.75</v>
      </c>
      <c r="S2306" s="4">
        <f t="shared" si="713"/>
        <v>25.5</v>
      </c>
      <c r="T2306" s="4">
        <f t="shared" si="713"/>
        <v>0</v>
      </c>
      <c r="U2306" s="4">
        <f t="shared" si="713"/>
        <v>0</v>
      </c>
      <c r="V2306" s="4">
        <f t="shared" si="713"/>
        <v>0</v>
      </c>
    </row>
    <row r="2307" spans="4:22" x14ac:dyDescent="0.15">
      <c r="D2307" s="4">
        <f t="shared" si="707"/>
        <v>552</v>
      </c>
      <c r="E2307" s="4">
        <v>7</v>
      </c>
      <c r="H2307" s="29">
        <v>1001</v>
      </c>
      <c r="I2307" s="30">
        <v>0</v>
      </c>
      <c r="M2307" s="4">
        <f t="shared" ref="M2307:V2307" si="714">M691*$C$1623</f>
        <v>435</v>
      </c>
      <c r="N2307" s="4">
        <f t="shared" si="714"/>
        <v>46.5</v>
      </c>
      <c r="O2307" s="4">
        <f t="shared" si="714"/>
        <v>5119.5</v>
      </c>
      <c r="P2307" s="4">
        <f t="shared" si="714"/>
        <v>0</v>
      </c>
      <c r="Q2307" s="4">
        <f t="shared" si="714"/>
        <v>3129</v>
      </c>
      <c r="R2307" s="4">
        <f t="shared" si="714"/>
        <v>3.75</v>
      </c>
      <c r="S2307" s="4">
        <f t="shared" si="714"/>
        <v>27</v>
      </c>
      <c r="T2307" s="4">
        <f t="shared" si="714"/>
        <v>0</v>
      </c>
      <c r="U2307" s="4">
        <f t="shared" si="714"/>
        <v>0</v>
      </c>
      <c r="V2307" s="4">
        <f t="shared" si="714"/>
        <v>0</v>
      </c>
    </row>
    <row r="2308" spans="4:22" x14ac:dyDescent="0.15">
      <c r="D2308" s="4">
        <f t="shared" si="707"/>
        <v>552</v>
      </c>
      <c r="E2308" s="4">
        <v>8</v>
      </c>
      <c r="H2308" s="29">
        <v>1001</v>
      </c>
      <c r="I2308" s="30">
        <v>0</v>
      </c>
      <c r="M2308" s="4">
        <f t="shared" ref="M2308:V2308" si="715">M692*$C$1623</f>
        <v>450</v>
      </c>
      <c r="N2308" s="4">
        <f t="shared" si="715"/>
        <v>52.5</v>
      </c>
      <c r="O2308" s="4">
        <f t="shared" si="715"/>
        <v>5233.5</v>
      </c>
      <c r="P2308" s="4">
        <f t="shared" si="715"/>
        <v>0</v>
      </c>
      <c r="Q2308" s="4">
        <f t="shared" si="715"/>
        <v>3141</v>
      </c>
      <c r="R2308" s="4">
        <f t="shared" si="715"/>
        <v>3.75</v>
      </c>
      <c r="S2308" s="4">
        <f t="shared" si="715"/>
        <v>28.5</v>
      </c>
      <c r="T2308" s="4">
        <f t="shared" si="715"/>
        <v>0</v>
      </c>
      <c r="U2308" s="4">
        <f t="shared" si="715"/>
        <v>0</v>
      </c>
      <c r="V2308" s="4">
        <f t="shared" si="715"/>
        <v>0</v>
      </c>
    </row>
    <row r="2309" spans="4:22" x14ac:dyDescent="0.15">
      <c r="D2309" s="4">
        <f t="shared" si="707"/>
        <v>552</v>
      </c>
      <c r="E2309" s="4">
        <v>9</v>
      </c>
      <c r="H2309" s="29">
        <v>1001</v>
      </c>
      <c r="I2309" s="30">
        <v>0</v>
      </c>
      <c r="M2309" s="4">
        <f t="shared" ref="M2309:V2309" si="716">M693*$C$1623</f>
        <v>465</v>
      </c>
      <c r="N2309" s="4">
        <f t="shared" si="716"/>
        <v>58.5</v>
      </c>
      <c r="O2309" s="4">
        <f t="shared" si="716"/>
        <v>5347.5</v>
      </c>
      <c r="P2309" s="4">
        <f t="shared" si="716"/>
        <v>0</v>
      </c>
      <c r="Q2309" s="4">
        <f t="shared" si="716"/>
        <v>3153</v>
      </c>
      <c r="R2309" s="4">
        <f t="shared" si="716"/>
        <v>3.75</v>
      </c>
      <c r="S2309" s="4">
        <f t="shared" si="716"/>
        <v>30</v>
      </c>
      <c r="T2309" s="4">
        <f t="shared" si="716"/>
        <v>0</v>
      </c>
      <c r="U2309" s="4">
        <f t="shared" si="716"/>
        <v>0</v>
      </c>
      <c r="V2309" s="4">
        <f t="shared" si="716"/>
        <v>0</v>
      </c>
    </row>
    <row r="2310" spans="4:22" x14ac:dyDescent="0.15">
      <c r="D2310" s="4">
        <f t="shared" si="707"/>
        <v>552</v>
      </c>
      <c r="E2310" s="4">
        <v>10</v>
      </c>
      <c r="H2310" s="29">
        <v>1001</v>
      </c>
      <c r="I2310" s="30">
        <v>0</v>
      </c>
      <c r="M2310" s="4">
        <f t="shared" ref="M2310:V2310" si="717">M694*$C$1623</f>
        <v>480</v>
      </c>
      <c r="N2310" s="4">
        <f t="shared" si="717"/>
        <v>64.5</v>
      </c>
      <c r="O2310" s="4">
        <f t="shared" si="717"/>
        <v>5461.5</v>
      </c>
      <c r="P2310" s="4">
        <f t="shared" si="717"/>
        <v>0</v>
      </c>
      <c r="Q2310" s="4">
        <f t="shared" si="717"/>
        <v>3165</v>
      </c>
      <c r="R2310" s="4">
        <f t="shared" si="717"/>
        <v>3.75</v>
      </c>
      <c r="S2310" s="4">
        <f t="shared" si="717"/>
        <v>31.5</v>
      </c>
      <c r="T2310" s="4">
        <f t="shared" si="717"/>
        <v>0</v>
      </c>
      <c r="U2310" s="4">
        <f t="shared" si="717"/>
        <v>0</v>
      </c>
      <c r="V2310" s="4">
        <f t="shared" si="717"/>
        <v>0</v>
      </c>
    </row>
    <row r="2311" spans="4:22" x14ac:dyDescent="0.15">
      <c r="D2311" s="4">
        <f t="shared" si="707"/>
        <v>552</v>
      </c>
      <c r="E2311" s="4">
        <v>11</v>
      </c>
      <c r="H2311" s="29">
        <v>1001</v>
      </c>
      <c r="I2311" s="30">
        <v>0</v>
      </c>
      <c r="M2311" s="4">
        <f t="shared" ref="M2311:V2311" si="718">M695*$C$1623</f>
        <v>495</v>
      </c>
      <c r="N2311" s="4">
        <f t="shared" si="718"/>
        <v>70.5</v>
      </c>
      <c r="O2311" s="4">
        <f t="shared" si="718"/>
        <v>5575.5</v>
      </c>
      <c r="P2311" s="4">
        <f t="shared" si="718"/>
        <v>0</v>
      </c>
      <c r="Q2311" s="4">
        <f t="shared" si="718"/>
        <v>3177</v>
      </c>
      <c r="R2311" s="4">
        <f t="shared" si="718"/>
        <v>3.75</v>
      </c>
      <c r="S2311" s="4">
        <f t="shared" si="718"/>
        <v>33</v>
      </c>
      <c r="T2311" s="4">
        <f t="shared" si="718"/>
        <v>0</v>
      </c>
      <c r="U2311" s="4">
        <f t="shared" si="718"/>
        <v>0</v>
      </c>
      <c r="V2311" s="4">
        <f t="shared" si="718"/>
        <v>0</v>
      </c>
    </row>
    <row r="2312" spans="4:22" x14ac:dyDescent="0.15">
      <c r="D2312" s="4">
        <f t="shared" si="707"/>
        <v>552</v>
      </c>
      <c r="E2312" s="4">
        <v>12</v>
      </c>
      <c r="H2312" s="29">
        <v>1001</v>
      </c>
      <c r="I2312" s="30">
        <v>0</v>
      </c>
      <c r="M2312" s="4">
        <f t="shared" ref="M2312:V2312" si="719">M696*$C$1623</f>
        <v>510</v>
      </c>
      <c r="N2312" s="4">
        <f t="shared" si="719"/>
        <v>76.5</v>
      </c>
      <c r="O2312" s="4">
        <f t="shared" si="719"/>
        <v>5689.5</v>
      </c>
      <c r="P2312" s="4">
        <f t="shared" si="719"/>
        <v>0</v>
      </c>
      <c r="Q2312" s="4">
        <f t="shared" si="719"/>
        <v>3189</v>
      </c>
      <c r="R2312" s="4">
        <f t="shared" si="719"/>
        <v>3.75</v>
      </c>
      <c r="S2312" s="4">
        <f t="shared" si="719"/>
        <v>34.5</v>
      </c>
      <c r="T2312" s="4">
        <f t="shared" si="719"/>
        <v>0</v>
      </c>
      <c r="U2312" s="4">
        <f t="shared" si="719"/>
        <v>0</v>
      </c>
      <c r="V2312" s="4">
        <f t="shared" si="719"/>
        <v>0</v>
      </c>
    </row>
    <row r="2313" spans="4:22" x14ac:dyDescent="0.15">
      <c r="D2313" s="4">
        <f t="shared" si="707"/>
        <v>552</v>
      </c>
      <c r="E2313" s="4">
        <v>13</v>
      </c>
      <c r="H2313" s="29">
        <v>1001</v>
      </c>
      <c r="I2313" s="30">
        <v>0</v>
      </c>
      <c r="M2313" s="4">
        <f t="shared" ref="M2313:V2313" si="720">M697*$C$1623</f>
        <v>525</v>
      </c>
      <c r="N2313" s="4">
        <f t="shared" si="720"/>
        <v>82.5</v>
      </c>
      <c r="O2313" s="4">
        <f t="shared" si="720"/>
        <v>5803.5</v>
      </c>
      <c r="P2313" s="4">
        <f t="shared" si="720"/>
        <v>0</v>
      </c>
      <c r="Q2313" s="4">
        <f t="shared" si="720"/>
        <v>3201</v>
      </c>
      <c r="R2313" s="4">
        <f t="shared" si="720"/>
        <v>3.75</v>
      </c>
      <c r="S2313" s="4">
        <f t="shared" si="720"/>
        <v>36</v>
      </c>
      <c r="T2313" s="4">
        <f t="shared" si="720"/>
        <v>0</v>
      </c>
      <c r="U2313" s="4">
        <f t="shared" si="720"/>
        <v>0</v>
      </c>
      <c r="V2313" s="4">
        <f t="shared" si="720"/>
        <v>0</v>
      </c>
    </row>
    <row r="2314" spans="4:22" x14ac:dyDescent="0.15">
      <c r="D2314" s="4">
        <f t="shared" si="707"/>
        <v>552</v>
      </c>
      <c r="E2314" s="4">
        <v>14</v>
      </c>
      <c r="H2314" s="29">
        <v>1001</v>
      </c>
      <c r="I2314" s="30">
        <v>0</v>
      </c>
      <c r="M2314" s="4">
        <f t="shared" ref="M2314:V2314" si="721">M698*$C$1623</f>
        <v>540</v>
      </c>
      <c r="N2314" s="4">
        <f t="shared" si="721"/>
        <v>88.5</v>
      </c>
      <c r="O2314" s="4">
        <f t="shared" si="721"/>
        <v>5917.5</v>
      </c>
      <c r="P2314" s="4">
        <f t="shared" si="721"/>
        <v>0</v>
      </c>
      <c r="Q2314" s="4">
        <f t="shared" si="721"/>
        <v>3213</v>
      </c>
      <c r="R2314" s="4">
        <f t="shared" si="721"/>
        <v>3.75</v>
      </c>
      <c r="S2314" s="4">
        <f t="shared" si="721"/>
        <v>37.5</v>
      </c>
      <c r="T2314" s="4">
        <f t="shared" si="721"/>
        <v>0</v>
      </c>
      <c r="U2314" s="4">
        <f t="shared" si="721"/>
        <v>0</v>
      </c>
      <c r="V2314" s="4">
        <f t="shared" si="721"/>
        <v>0</v>
      </c>
    </row>
    <row r="2315" spans="4:22" x14ac:dyDescent="0.15">
      <c r="D2315" s="4">
        <f t="shared" si="707"/>
        <v>552</v>
      </c>
      <c r="E2315" s="4">
        <v>15</v>
      </c>
      <c r="H2315" s="29">
        <v>1001</v>
      </c>
      <c r="I2315" s="30">
        <v>0</v>
      </c>
      <c r="M2315" s="4">
        <f t="shared" ref="M2315:V2315" si="722">M699*$C$1623</f>
        <v>555</v>
      </c>
      <c r="N2315" s="4">
        <f t="shared" si="722"/>
        <v>94.5</v>
      </c>
      <c r="O2315" s="4">
        <f t="shared" si="722"/>
        <v>6031.5</v>
      </c>
      <c r="P2315" s="4">
        <f t="shared" si="722"/>
        <v>0</v>
      </c>
      <c r="Q2315" s="4">
        <f t="shared" si="722"/>
        <v>3225</v>
      </c>
      <c r="R2315" s="4">
        <f t="shared" si="722"/>
        <v>3.75</v>
      </c>
      <c r="S2315" s="4">
        <f t="shared" si="722"/>
        <v>39</v>
      </c>
      <c r="T2315" s="4">
        <f t="shared" si="722"/>
        <v>0</v>
      </c>
      <c r="U2315" s="4">
        <f t="shared" si="722"/>
        <v>0</v>
      </c>
      <c r="V2315" s="4">
        <f t="shared" si="722"/>
        <v>0</v>
      </c>
    </row>
    <row r="2316" spans="4:22" x14ac:dyDescent="0.15">
      <c r="D2316" s="4">
        <f t="shared" si="707"/>
        <v>552</v>
      </c>
      <c r="E2316" s="4">
        <v>16</v>
      </c>
      <c r="H2316" s="29">
        <v>1001</v>
      </c>
      <c r="I2316" s="30">
        <v>0</v>
      </c>
      <c r="M2316" s="4">
        <f t="shared" ref="M2316:V2316" si="723">M700*$C$1623</f>
        <v>570</v>
      </c>
      <c r="N2316" s="4">
        <f t="shared" si="723"/>
        <v>100.5</v>
      </c>
      <c r="O2316" s="4">
        <f t="shared" si="723"/>
        <v>6145.5</v>
      </c>
      <c r="P2316" s="4">
        <f t="shared" si="723"/>
        <v>0</v>
      </c>
      <c r="Q2316" s="4">
        <f t="shared" si="723"/>
        <v>3237</v>
      </c>
      <c r="R2316" s="4">
        <f t="shared" si="723"/>
        <v>3.75</v>
      </c>
      <c r="S2316" s="4">
        <f t="shared" si="723"/>
        <v>40.5</v>
      </c>
      <c r="T2316" s="4">
        <f t="shared" si="723"/>
        <v>0</v>
      </c>
      <c r="U2316" s="4">
        <f t="shared" si="723"/>
        <v>0</v>
      </c>
      <c r="V2316" s="4">
        <f t="shared" si="723"/>
        <v>0</v>
      </c>
    </row>
    <row r="2317" spans="4:22" x14ac:dyDescent="0.15">
      <c r="D2317" s="4">
        <f t="shared" si="707"/>
        <v>552</v>
      </c>
      <c r="E2317" s="4">
        <v>17</v>
      </c>
      <c r="H2317" s="29">
        <v>1001</v>
      </c>
      <c r="I2317" s="30">
        <v>0</v>
      </c>
      <c r="M2317" s="4">
        <f t="shared" ref="M2317:V2317" si="724">M701*$C$1623</f>
        <v>585</v>
      </c>
      <c r="N2317" s="4">
        <f t="shared" si="724"/>
        <v>106.5</v>
      </c>
      <c r="O2317" s="4">
        <f t="shared" si="724"/>
        <v>6259.5</v>
      </c>
      <c r="P2317" s="4">
        <f t="shared" si="724"/>
        <v>0</v>
      </c>
      <c r="Q2317" s="4">
        <f t="shared" si="724"/>
        <v>3249</v>
      </c>
      <c r="R2317" s="4">
        <f t="shared" si="724"/>
        <v>3.75</v>
      </c>
      <c r="S2317" s="4">
        <f t="shared" si="724"/>
        <v>42</v>
      </c>
      <c r="T2317" s="4">
        <f t="shared" si="724"/>
        <v>0</v>
      </c>
      <c r="U2317" s="4">
        <f t="shared" si="724"/>
        <v>0</v>
      </c>
      <c r="V2317" s="4">
        <f t="shared" si="724"/>
        <v>0</v>
      </c>
    </row>
    <row r="2318" spans="4:22" x14ac:dyDescent="0.15">
      <c r="D2318" s="4">
        <f t="shared" si="707"/>
        <v>552</v>
      </c>
      <c r="E2318" s="4">
        <v>18</v>
      </c>
      <c r="H2318" s="29">
        <v>1001</v>
      </c>
      <c r="I2318" s="30">
        <v>0</v>
      </c>
      <c r="M2318" s="4">
        <f t="shared" ref="M2318:V2318" si="725">M702*$C$1623</f>
        <v>600</v>
      </c>
      <c r="N2318" s="4">
        <f t="shared" si="725"/>
        <v>112.5</v>
      </c>
      <c r="O2318" s="4">
        <f t="shared" si="725"/>
        <v>6373.5</v>
      </c>
      <c r="P2318" s="4">
        <f t="shared" si="725"/>
        <v>0</v>
      </c>
      <c r="Q2318" s="4">
        <f t="shared" si="725"/>
        <v>3261</v>
      </c>
      <c r="R2318" s="4">
        <f t="shared" si="725"/>
        <v>3.75</v>
      </c>
      <c r="S2318" s="4">
        <f t="shared" si="725"/>
        <v>43.5</v>
      </c>
      <c r="T2318" s="4">
        <f t="shared" si="725"/>
        <v>0</v>
      </c>
      <c r="U2318" s="4">
        <f t="shared" si="725"/>
        <v>0</v>
      </c>
      <c r="V2318" s="4">
        <f t="shared" si="725"/>
        <v>0</v>
      </c>
    </row>
    <row r="2319" spans="4:22" x14ac:dyDescent="0.15">
      <c r="D2319" s="4">
        <f t="shared" si="707"/>
        <v>552</v>
      </c>
      <c r="E2319" s="4">
        <v>19</v>
      </c>
      <c r="H2319" s="29">
        <v>1001</v>
      </c>
      <c r="I2319" s="30">
        <v>0</v>
      </c>
      <c r="M2319" s="4">
        <f t="shared" ref="M2319:V2319" si="726">M703*$C$1623</f>
        <v>615</v>
      </c>
      <c r="N2319" s="4">
        <f t="shared" si="726"/>
        <v>118.5</v>
      </c>
      <c r="O2319" s="4">
        <f t="shared" si="726"/>
        <v>6487.5</v>
      </c>
      <c r="P2319" s="4">
        <f t="shared" si="726"/>
        <v>0</v>
      </c>
      <c r="Q2319" s="4">
        <f t="shared" si="726"/>
        <v>3273</v>
      </c>
      <c r="R2319" s="4">
        <f t="shared" si="726"/>
        <v>3.75</v>
      </c>
      <c r="S2319" s="4">
        <f t="shared" si="726"/>
        <v>45</v>
      </c>
      <c r="T2319" s="4">
        <f t="shared" si="726"/>
        <v>0</v>
      </c>
      <c r="U2319" s="4">
        <f t="shared" si="726"/>
        <v>0</v>
      </c>
      <c r="V2319" s="4">
        <f t="shared" si="726"/>
        <v>0</v>
      </c>
    </row>
    <row r="2320" spans="4:22" x14ac:dyDescent="0.15">
      <c r="D2320" s="4">
        <f t="shared" si="707"/>
        <v>552</v>
      </c>
      <c r="E2320" s="4">
        <v>20</v>
      </c>
      <c r="H2320" s="29">
        <v>1001</v>
      </c>
      <c r="I2320" s="30">
        <v>0</v>
      </c>
      <c r="M2320" s="4">
        <f t="shared" ref="M2320:V2320" si="727">M704*$C$1623</f>
        <v>630</v>
      </c>
      <c r="N2320" s="4">
        <f t="shared" si="727"/>
        <v>124.5</v>
      </c>
      <c r="O2320" s="4">
        <f t="shared" si="727"/>
        <v>6601.5</v>
      </c>
      <c r="P2320" s="4">
        <f t="shared" si="727"/>
        <v>0</v>
      </c>
      <c r="Q2320" s="4">
        <f t="shared" si="727"/>
        <v>3285</v>
      </c>
      <c r="R2320" s="4">
        <f t="shared" si="727"/>
        <v>3.75</v>
      </c>
      <c r="S2320" s="4">
        <f t="shared" si="727"/>
        <v>46.5</v>
      </c>
      <c r="T2320" s="4">
        <f t="shared" si="727"/>
        <v>0</v>
      </c>
      <c r="U2320" s="4">
        <f t="shared" si="727"/>
        <v>0</v>
      </c>
      <c r="V2320" s="4">
        <f t="shared" si="727"/>
        <v>0</v>
      </c>
    </row>
    <row r="2321" spans="4:22" x14ac:dyDescent="0.15">
      <c r="D2321" s="4">
        <f t="shared" si="707"/>
        <v>552</v>
      </c>
      <c r="E2321" s="4">
        <v>21</v>
      </c>
      <c r="H2321" s="29">
        <v>1001</v>
      </c>
      <c r="I2321" s="30">
        <v>0</v>
      </c>
      <c r="M2321" s="4">
        <f t="shared" ref="M2321:V2321" si="728">M705*$C$1623</f>
        <v>645</v>
      </c>
      <c r="N2321" s="4">
        <f t="shared" si="728"/>
        <v>130.5</v>
      </c>
      <c r="O2321" s="4">
        <f t="shared" si="728"/>
        <v>6715.5</v>
      </c>
      <c r="P2321" s="4">
        <f t="shared" si="728"/>
        <v>0</v>
      </c>
      <c r="Q2321" s="4">
        <f t="shared" si="728"/>
        <v>3297</v>
      </c>
      <c r="R2321" s="4">
        <f t="shared" si="728"/>
        <v>3.75</v>
      </c>
      <c r="S2321" s="4">
        <f t="shared" si="728"/>
        <v>48</v>
      </c>
      <c r="T2321" s="4">
        <f t="shared" si="728"/>
        <v>0</v>
      </c>
      <c r="U2321" s="4">
        <f t="shared" si="728"/>
        <v>0</v>
      </c>
      <c r="V2321" s="4">
        <f t="shared" si="728"/>
        <v>0</v>
      </c>
    </row>
    <row r="2322" spans="4:22" x14ac:dyDescent="0.15">
      <c r="D2322" s="4">
        <f t="shared" si="707"/>
        <v>552</v>
      </c>
      <c r="E2322" s="4">
        <v>22</v>
      </c>
      <c r="H2322" s="29">
        <v>1001</v>
      </c>
      <c r="I2322" s="30">
        <v>0</v>
      </c>
      <c r="M2322" s="4">
        <f t="shared" ref="M2322:V2322" si="729">M706*$C$1623</f>
        <v>660</v>
      </c>
      <c r="N2322" s="4">
        <f t="shared" si="729"/>
        <v>136.5</v>
      </c>
      <c r="O2322" s="4">
        <f t="shared" si="729"/>
        <v>6829.5</v>
      </c>
      <c r="P2322" s="4">
        <f t="shared" si="729"/>
        <v>0</v>
      </c>
      <c r="Q2322" s="4">
        <f t="shared" si="729"/>
        <v>3309</v>
      </c>
      <c r="R2322" s="4">
        <f t="shared" si="729"/>
        <v>3.75</v>
      </c>
      <c r="S2322" s="4">
        <f t="shared" si="729"/>
        <v>49.5</v>
      </c>
      <c r="T2322" s="4">
        <f t="shared" si="729"/>
        <v>0</v>
      </c>
      <c r="U2322" s="4">
        <f t="shared" si="729"/>
        <v>0</v>
      </c>
      <c r="V2322" s="4">
        <f t="shared" si="729"/>
        <v>0</v>
      </c>
    </row>
    <row r="2323" spans="4:22" x14ac:dyDescent="0.15">
      <c r="D2323" s="4">
        <f t="shared" si="707"/>
        <v>552</v>
      </c>
      <c r="E2323" s="4">
        <v>23</v>
      </c>
      <c r="H2323" s="29">
        <v>1001</v>
      </c>
      <c r="I2323" s="30">
        <v>0</v>
      </c>
      <c r="M2323" s="4">
        <f t="shared" ref="M2323:V2323" si="730">M707*$C$1623</f>
        <v>675</v>
      </c>
      <c r="N2323" s="4">
        <f t="shared" si="730"/>
        <v>142.5</v>
      </c>
      <c r="O2323" s="4">
        <f t="shared" si="730"/>
        <v>6943.5</v>
      </c>
      <c r="P2323" s="4">
        <f t="shared" si="730"/>
        <v>0</v>
      </c>
      <c r="Q2323" s="4">
        <f t="shared" si="730"/>
        <v>3321</v>
      </c>
      <c r="R2323" s="4">
        <f t="shared" si="730"/>
        <v>3.75</v>
      </c>
      <c r="S2323" s="4">
        <f t="shared" si="730"/>
        <v>51</v>
      </c>
      <c r="T2323" s="4">
        <f t="shared" si="730"/>
        <v>0</v>
      </c>
      <c r="U2323" s="4">
        <f t="shared" si="730"/>
        <v>0</v>
      </c>
      <c r="V2323" s="4">
        <f t="shared" si="730"/>
        <v>0</v>
      </c>
    </row>
    <row r="2324" spans="4:22" x14ac:dyDescent="0.15">
      <c r="D2324" s="4">
        <f t="shared" si="707"/>
        <v>552</v>
      </c>
      <c r="E2324" s="4">
        <v>24</v>
      </c>
      <c r="H2324" s="29">
        <v>1001</v>
      </c>
      <c r="I2324" s="30">
        <v>0</v>
      </c>
      <c r="M2324" s="4">
        <f t="shared" ref="M2324:V2324" si="731">M708*$C$1623</f>
        <v>690</v>
      </c>
      <c r="N2324" s="4">
        <f t="shared" si="731"/>
        <v>148.5</v>
      </c>
      <c r="O2324" s="4">
        <f t="shared" si="731"/>
        <v>7057.5</v>
      </c>
      <c r="P2324" s="4">
        <f t="shared" si="731"/>
        <v>0</v>
      </c>
      <c r="Q2324" s="4">
        <f t="shared" si="731"/>
        <v>3333</v>
      </c>
      <c r="R2324" s="4">
        <f t="shared" si="731"/>
        <v>3.75</v>
      </c>
      <c r="S2324" s="4">
        <f t="shared" si="731"/>
        <v>52.5</v>
      </c>
      <c r="T2324" s="4">
        <f t="shared" si="731"/>
        <v>0</v>
      </c>
      <c r="U2324" s="4">
        <f t="shared" si="731"/>
        <v>0</v>
      </c>
      <c r="V2324" s="4">
        <f t="shared" si="731"/>
        <v>0</v>
      </c>
    </row>
    <row r="2325" spans="4:22" x14ac:dyDescent="0.15">
      <c r="D2325" s="4">
        <f t="shared" si="707"/>
        <v>552</v>
      </c>
      <c r="E2325" s="4">
        <v>25</v>
      </c>
      <c r="H2325" s="29">
        <v>1001</v>
      </c>
      <c r="I2325" s="30">
        <v>0</v>
      </c>
      <c r="M2325" s="4">
        <f t="shared" ref="M2325:V2325" si="732">M709*$C$1623</f>
        <v>705</v>
      </c>
      <c r="N2325" s="4">
        <f t="shared" si="732"/>
        <v>154.5</v>
      </c>
      <c r="O2325" s="4">
        <f t="shared" si="732"/>
        <v>7171.5</v>
      </c>
      <c r="P2325" s="4">
        <f t="shared" si="732"/>
        <v>0</v>
      </c>
      <c r="Q2325" s="4">
        <f t="shared" si="732"/>
        <v>3345</v>
      </c>
      <c r="R2325" s="4">
        <f t="shared" si="732"/>
        <v>3.75</v>
      </c>
      <c r="S2325" s="4">
        <f t="shared" si="732"/>
        <v>54</v>
      </c>
      <c r="T2325" s="4">
        <f t="shared" si="732"/>
        <v>0</v>
      </c>
      <c r="U2325" s="4">
        <f t="shared" si="732"/>
        <v>0</v>
      </c>
      <c r="V2325" s="4">
        <f t="shared" si="732"/>
        <v>0</v>
      </c>
    </row>
    <row r="2326" spans="4:22" x14ac:dyDescent="0.15">
      <c r="D2326" s="4">
        <f t="shared" si="707"/>
        <v>552</v>
      </c>
      <c r="E2326" s="4">
        <v>26</v>
      </c>
      <c r="H2326" s="29">
        <v>1001</v>
      </c>
      <c r="I2326" s="30">
        <v>0</v>
      </c>
      <c r="M2326" s="4">
        <f t="shared" ref="M2326:V2326" si="733">M710*$C$1623</f>
        <v>720</v>
      </c>
      <c r="N2326" s="4">
        <f t="shared" si="733"/>
        <v>160.5</v>
      </c>
      <c r="O2326" s="4">
        <f t="shared" si="733"/>
        <v>7285.5</v>
      </c>
      <c r="P2326" s="4">
        <f t="shared" si="733"/>
        <v>0</v>
      </c>
      <c r="Q2326" s="4">
        <f t="shared" si="733"/>
        <v>3357</v>
      </c>
      <c r="R2326" s="4">
        <f t="shared" si="733"/>
        <v>3.75</v>
      </c>
      <c r="S2326" s="4">
        <f t="shared" si="733"/>
        <v>55.5</v>
      </c>
      <c r="T2326" s="4">
        <f t="shared" si="733"/>
        <v>0</v>
      </c>
      <c r="U2326" s="4">
        <f t="shared" si="733"/>
        <v>0</v>
      </c>
      <c r="V2326" s="4">
        <f t="shared" si="733"/>
        <v>0</v>
      </c>
    </row>
    <row r="2327" spans="4:22" x14ac:dyDescent="0.15">
      <c r="D2327" s="4">
        <f t="shared" si="707"/>
        <v>552</v>
      </c>
      <c r="E2327" s="4">
        <v>27</v>
      </c>
      <c r="H2327" s="29">
        <v>1001</v>
      </c>
      <c r="I2327" s="30">
        <v>0</v>
      </c>
      <c r="M2327" s="4">
        <f t="shared" ref="M2327:V2327" si="734">M711*$C$1623</f>
        <v>735</v>
      </c>
      <c r="N2327" s="4">
        <f t="shared" si="734"/>
        <v>166.5</v>
      </c>
      <c r="O2327" s="4">
        <f t="shared" si="734"/>
        <v>7399.5</v>
      </c>
      <c r="P2327" s="4">
        <f t="shared" si="734"/>
        <v>0</v>
      </c>
      <c r="Q2327" s="4">
        <f t="shared" si="734"/>
        <v>3369</v>
      </c>
      <c r="R2327" s="4">
        <f t="shared" si="734"/>
        <v>3.75</v>
      </c>
      <c r="S2327" s="4">
        <f t="shared" si="734"/>
        <v>57</v>
      </c>
      <c r="T2327" s="4">
        <f t="shared" si="734"/>
        <v>0</v>
      </c>
      <c r="U2327" s="4">
        <f t="shared" si="734"/>
        <v>0</v>
      </c>
      <c r="V2327" s="4">
        <f t="shared" si="734"/>
        <v>0</v>
      </c>
    </row>
    <row r="2328" spans="4:22" x14ac:dyDescent="0.15">
      <c r="D2328" s="4">
        <f t="shared" si="707"/>
        <v>552</v>
      </c>
      <c r="E2328" s="4">
        <v>28</v>
      </c>
      <c r="H2328" s="29">
        <v>1001</v>
      </c>
      <c r="I2328" s="30">
        <v>0</v>
      </c>
      <c r="M2328" s="4">
        <f t="shared" ref="M2328:V2328" si="735">M712*$C$1623</f>
        <v>750</v>
      </c>
      <c r="N2328" s="4">
        <f t="shared" si="735"/>
        <v>172.5</v>
      </c>
      <c r="O2328" s="4">
        <f t="shared" si="735"/>
        <v>7513.5</v>
      </c>
      <c r="P2328" s="4">
        <f t="shared" si="735"/>
        <v>0</v>
      </c>
      <c r="Q2328" s="4">
        <f t="shared" si="735"/>
        <v>3381</v>
      </c>
      <c r="R2328" s="4">
        <f t="shared" si="735"/>
        <v>3.75</v>
      </c>
      <c r="S2328" s="4">
        <f t="shared" si="735"/>
        <v>58.5</v>
      </c>
      <c r="T2328" s="4">
        <f t="shared" si="735"/>
        <v>0</v>
      </c>
      <c r="U2328" s="4">
        <f t="shared" si="735"/>
        <v>0</v>
      </c>
      <c r="V2328" s="4">
        <f t="shared" si="735"/>
        <v>0</v>
      </c>
    </row>
    <row r="2329" spans="4:22" x14ac:dyDescent="0.15">
      <c r="D2329" s="4">
        <f t="shared" si="707"/>
        <v>552</v>
      </c>
      <c r="E2329" s="4">
        <v>29</v>
      </c>
      <c r="H2329" s="29">
        <v>1001</v>
      </c>
      <c r="I2329" s="30">
        <v>0</v>
      </c>
      <c r="M2329" s="4">
        <f t="shared" ref="M2329:V2329" si="736">M713*$C$1623</f>
        <v>765</v>
      </c>
      <c r="N2329" s="4">
        <f t="shared" si="736"/>
        <v>178.5</v>
      </c>
      <c r="O2329" s="4">
        <f t="shared" si="736"/>
        <v>7627.5</v>
      </c>
      <c r="P2329" s="4">
        <f t="shared" si="736"/>
        <v>0</v>
      </c>
      <c r="Q2329" s="4">
        <f t="shared" si="736"/>
        <v>3393</v>
      </c>
      <c r="R2329" s="4">
        <f t="shared" si="736"/>
        <v>3.75</v>
      </c>
      <c r="S2329" s="4">
        <f t="shared" si="736"/>
        <v>60</v>
      </c>
      <c r="T2329" s="4">
        <f t="shared" si="736"/>
        <v>0</v>
      </c>
      <c r="U2329" s="4">
        <f t="shared" si="736"/>
        <v>0</v>
      </c>
      <c r="V2329" s="4">
        <f t="shared" si="736"/>
        <v>0</v>
      </c>
    </row>
    <row r="2330" spans="4:22" x14ac:dyDescent="0.15">
      <c r="D2330" s="4">
        <f t="shared" si="707"/>
        <v>552</v>
      </c>
      <c r="E2330" s="4">
        <v>30</v>
      </c>
      <c r="H2330" s="29">
        <v>1001</v>
      </c>
      <c r="I2330" s="30">
        <v>0</v>
      </c>
      <c r="M2330" s="4">
        <f t="shared" ref="M2330:V2330" si="737">M714*$C$1623</f>
        <v>780</v>
      </c>
      <c r="N2330" s="4">
        <f t="shared" si="737"/>
        <v>184.5</v>
      </c>
      <c r="O2330" s="4">
        <f t="shared" si="737"/>
        <v>7741.5</v>
      </c>
      <c r="P2330" s="4">
        <f t="shared" si="737"/>
        <v>0</v>
      </c>
      <c r="Q2330" s="4">
        <f t="shared" si="737"/>
        <v>3405</v>
      </c>
      <c r="R2330" s="4">
        <f t="shared" si="737"/>
        <v>3.75</v>
      </c>
      <c r="S2330" s="4">
        <f t="shared" si="737"/>
        <v>61.5</v>
      </c>
      <c r="T2330" s="4">
        <f t="shared" si="737"/>
        <v>0</v>
      </c>
      <c r="U2330" s="4">
        <f t="shared" si="737"/>
        <v>0</v>
      </c>
      <c r="V2330" s="4">
        <f t="shared" si="737"/>
        <v>0</v>
      </c>
    </row>
    <row r="2331" spans="4:22" x14ac:dyDescent="0.15">
      <c r="D2331" s="4">
        <f t="shared" si="707"/>
        <v>552</v>
      </c>
      <c r="E2331" s="4">
        <v>31</v>
      </c>
      <c r="H2331" s="29">
        <v>1001</v>
      </c>
      <c r="I2331" s="30">
        <v>0</v>
      </c>
      <c r="M2331" s="4">
        <f t="shared" ref="M2331:V2331" si="738">M715*$C$1623</f>
        <v>795</v>
      </c>
      <c r="N2331" s="4">
        <f t="shared" si="738"/>
        <v>190.5</v>
      </c>
      <c r="O2331" s="4">
        <f t="shared" si="738"/>
        <v>7855.5</v>
      </c>
      <c r="P2331" s="4">
        <f t="shared" si="738"/>
        <v>0</v>
      </c>
      <c r="Q2331" s="4">
        <f t="shared" si="738"/>
        <v>3417</v>
      </c>
      <c r="R2331" s="4">
        <f t="shared" si="738"/>
        <v>3.75</v>
      </c>
      <c r="S2331" s="4">
        <f t="shared" si="738"/>
        <v>63</v>
      </c>
      <c r="T2331" s="4">
        <f t="shared" si="738"/>
        <v>0</v>
      </c>
      <c r="U2331" s="4">
        <f t="shared" si="738"/>
        <v>0</v>
      </c>
      <c r="V2331" s="4">
        <f t="shared" si="738"/>
        <v>0</v>
      </c>
    </row>
    <row r="2332" spans="4:22" x14ac:dyDescent="0.15">
      <c r="D2332" s="4">
        <f t="shared" si="707"/>
        <v>552</v>
      </c>
      <c r="E2332" s="4">
        <v>32</v>
      </c>
      <c r="H2332" s="29">
        <v>1001</v>
      </c>
      <c r="I2332" s="30">
        <v>0</v>
      </c>
      <c r="M2332" s="4">
        <f t="shared" ref="M2332:V2332" si="739">M716*$C$1623</f>
        <v>810</v>
      </c>
      <c r="N2332" s="4">
        <f t="shared" si="739"/>
        <v>196.5</v>
      </c>
      <c r="O2332" s="4">
        <f t="shared" si="739"/>
        <v>7969.5</v>
      </c>
      <c r="P2332" s="4">
        <f t="shared" si="739"/>
        <v>0</v>
      </c>
      <c r="Q2332" s="4">
        <f t="shared" si="739"/>
        <v>3429</v>
      </c>
      <c r="R2332" s="4">
        <f t="shared" si="739"/>
        <v>3.75</v>
      </c>
      <c r="S2332" s="4">
        <f t="shared" si="739"/>
        <v>64.5</v>
      </c>
      <c r="T2332" s="4">
        <f t="shared" si="739"/>
        <v>0</v>
      </c>
      <c r="U2332" s="4">
        <f t="shared" si="739"/>
        <v>0</v>
      </c>
      <c r="V2332" s="4">
        <f t="shared" si="739"/>
        <v>0</v>
      </c>
    </row>
    <row r="2333" spans="4:22" x14ac:dyDescent="0.15">
      <c r="D2333" s="4">
        <f t="shared" si="707"/>
        <v>552</v>
      </c>
      <c r="E2333" s="4">
        <v>33</v>
      </c>
      <c r="H2333" s="29">
        <v>1001</v>
      </c>
      <c r="I2333" s="30">
        <v>0</v>
      </c>
      <c r="M2333" s="4">
        <f t="shared" ref="M2333:V2333" si="740">M717*$C$1623</f>
        <v>825</v>
      </c>
      <c r="N2333" s="4">
        <f t="shared" si="740"/>
        <v>202.5</v>
      </c>
      <c r="O2333" s="4">
        <f t="shared" si="740"/>
        <v>8083.5</v>
      </c>
      <c r="P2333" s="4">
        <f t="shared" si="740"/>
        <v>0</v>
      </c>
      <c r="Q2333" s="4">
        <f t="shared" si="740"/>
        <v>3441</v>
      </c>
      <c r="R2333" s="4">
        <f t="shared" si="740"/>
        <v>3.75</v>
      </c>
      <c r="S2333" s="4">
        <f t="shared" si="740"/>
        <v>66</v>
      </c>
      <c r="T2333" s="4">
        <f t="shared" si="740"/>
        <v>0</v>
      </c>
      <c r="U2333" s="4">
        <f t="shared" si="740"/>
        <v>0</v>
      </c>
      <c r="V2333" s="4">
        <f t="shared" si="740"/>
        <v>0</v>
      </c>
    </row>
    <row r="2334" spans="4:22" x14ac:dyDescent="0.15">
      <c r="D2334" s="4">
        <f t="shared" si="707"/>
        <v>552</v>
      </c>
      <c r="E2334" s="4">
        <v>34</v>
      </c>
      <c r="H2334" s="29">
        <v>1001</v>
      </c>
      <c r="I2334" s="30">
        <v>0</v>
      </c>
      <c r="M2334" s="4">
        <f t="shared" ref="M2334:V2334" si="741">M718*$C$1623</f>
        <v>840</v>
      </c>
      <c r="N2334" s="4">
        <f t="shared" si="741"/>
        <v>208.5</v>
      </c>
      <c r="O2334" s="4">
        <f t="shared" si="741"/>
        <v>8197.5</v>
      </c>
      <c r="P2334" s="4">
        <f t="shared" si="741"/>
        <v>0</v>
      </c>
      <c r="Q2334" s="4">
        <f t="shared" si="741"/>
        <v>3453</v>
      </c>
      <c r="R2334" s="4">
        <f t="shared" si="741"/>
        <v>3.75</v>
      </c>
      <c r="S2334" s="4">
        <f t="shared" si="741"/>
        <v>67.5</v>
      </c>
      <c r="T2334" s="4">
        <f t="shared" si="741"/>
        <v>0</v>
      </c>
      <c r="U2334" s="4">
        <f t="shared" si="741"/>
        <v>0</v>
      </c>
      <c r="V2334" s="4">
        <f t="shared" si="741"/>
        <v>0</v>
      </c>
    </row>
    <row r="2335" spans="4:22" x14ac:dyDescent="0.15">
      <c r="D2335" s="4">
        <f t="shared" si="707"/>
        <v>552</v>
      </c>
      <c r="E2335" s="4">
        <v>35</v>
      </c>
      <c r="H2335" s="29">
        <v>1001</v>
      </c>
      <c r="I2335" s="30">
        <v>0</v>
      </c>
      <c r="M2335" s="4">
        <f t="shared" ref="M2335:V2335" si="742">M719*$C$1623</f>
        <v>855</v>
      </c>
      <c r="N2335" s="4">
        <f t="shared" si="742"/>
        <v>214.5</v>
      </c>
      <c r="O2335" s="4">
        <f t="shared" si="742"/>
        <v>8311.5</v>
      </c>
      <c r="P2335" s="4">
        <f t="shared" si="742"/>
        <v>0</v>
      </c>
      <c r="Q2335" s="4">
        <f t="shared" si="742"/>
        <v>3465</v>
      </c>
      <c r="R2335" s="4">
        <f t="shared" si="742"/>
        <v>3.75</v>
      </c>
      <c r="S2335" s="4">
        <f t="shared" si="742"/>
        <v>69</v>
      </c>
      <c r="T2335" s="4">
        <f t="shared" si="742"/>
        <v>0</v>
      </c>
      <c r="U2335" s="4">
        <f t="shared" si="742"/>
        <v>0</v>
      </c>
      <c r="V2335" s="4">
        <f t="shared" si="742"/>
        <v>0</v>
      </c>
    </row>
    <row r="2336" spans="4:22" x14ac:dyDescent="0.15">
      <c r="D2336" s="4">
        <f t="shared" si="707"/>
        <v>552</v>
      </c>
      <c r="E2336" s="4">
        <v>36</v>
      </c>
      <c r="H2336" s="29">
        <v>1001</v>
      </c>
      <c r="I2336" s="30">
        <v>0</v>
      </c>
      <c r="M2336" s="4">
        <f t="shared" ref="M2336:V2336" si="743">M720*$C$1623</f>
        <v>870</v>
      </c>
      <c r="N2336" s="4">
        <f t="shared" si="743"/>
        <v>220.5</v>
      </c>
      <c r="O2336" s="4">
        <f t="shared" si="743"/>
        <v>8425.5</v>
      </c>
      <c r="P2336" s="4">
        <f t="shared" si="743"/>
        <v>0</v>
      </c>
      <c r="Q2336" s="4">
        <f t="shared" si="743"/>
        <v>3477</v>
      </c>
      <c r="R2336" s="4">
        <f t="shared" si="743"/>
        <v>3.75</v>
      </c>
      <c r="S2336" s="4">
        <f t="shared" si="743"/>
        <v>70.5</v>
      </c>
      <c r="T2336" s="4">
        <f t="shared" si="743"/>
        <v>0</v>
      </c>
      <c r="U2336" s="4">
        <f t="shared" si="743"/>
        <v>0</v>
      </c>
      <c r="V2336" s="4">
        <f t="shared" si="743"/>
        <v>0</v>
      </c>
    </row>
    <row r="2337" spans="3:22" x14ac:dyDescent="0.15">
      <c r="D2337" s="4">
        <f t="shared" si="707"/>
        <v>552</v>
      </c>
      <c r="E2337" s="4">
        <v>37</v>
      </c>
      <c r="H2337" s="29">
        <v>1001</v>
      </c>
      <c r="I2337" s="30">
        <v>0</v>
      </c>
      <c r="M2337" s="4">
        <f t="shared" ref="M2337:V2337" si="744">M721*$C$1623</f>
        <v>885</v>
      </c>
      <c r="N2337" s="4">
        <f t="shared" si="744"/>
        <v>226.5</v>
      </c>
      <c r="O2337" s="4">
        <f t="shared" si="744"/>
        <v>8539.5</v>
      </c>
      <c r="P2337" s="4">
        <f t="shared" si="744"/>
        <v>0</v>
      </c>
      <c r="Q2337" s="4">
        <f t="shared" si="744"/>
        <v>3489</v>
      </c>
      <c r="R2337" s="4">
        <f t="shared" si="744"/>
        <v>3.75</v>
      </c>
      <c r="S2337" s="4">
        <f t="shared" si="744"/>
        <v>72</v>
      </c>
      <c r="T2337" s="4">
        <f t="shared" si="744"/>
        <v>0</v>
      </c>
      <c r="U2337" s="4">
        <f t="shared" si="744"/>
        <v>0</v>
      </c>
      <c r="V2337" s="4">
        <f t="shared" si="744"/>
        <v>0</v>
      </c>
    </row>
    <row r="2338" spans="3:22" x14ac:dyDescent="0.15">
      <c r="D2338" s="4">
        <f t="shared" si="707"/>
        <v>552</v>
      </c>
      <c r="E2338" s="4">
        <v>38</v>
      </c>
      <c r="H2338" s="29">
        <v>1001</v>
      </c>
      <c r="I2338" s="30">
        <v>0</v>
      </c>
      <c r="M2338" s="4">
        <f t="shared" ref="M2338:V2338" si="745">M722*$C$1623</f>
        <v>900</v>
      </c>
      <c r="N2338" s="4">
        <f t="shared" si="745"/>
        <v>232.5</v>
      </c>
      <c r="O2338" s="4">
        <f t="shared" si="745"/>
        <v>8653.5</v>
      </c>
      <c r="P2338" s="4">
        <f t="shared" si="745"/>
        <v>0</v>
      </c>
      <c r="Q2338" s="4">
        <f t="shared" si="745"/>
        <v>3501</v>
      </c>
      <c r="R2338" s="4">
        <f t="shared" si="745"/>
        <v>3.75</v>
      </c>
      <c r="S2338" s="4">
        <f t="shared" si="745"/>
        <v>73.5</v>
      </c>
      <c r="T2338" s="4">
        <f t="shared" si="745"/>
        <v>0</v>
      </c>
      <c r="U2338" s="4">
        <f t="shared" si="745"/>
        <v>0</v>
      </c>
      <c r="V2338" s="4">
        <f t="shared" si="745"/>
        <v>0</v>
      </c>
    </row>
    <row r="2339" spans="3:22" x14ac:dyDescent="0.15">
      <c r="D2339" s="4">
        <f t="shared" si="707"/>
        <v>552</v>
      </c>
      <c r="E2339" s="4">
        <v>39</v>
      </c>
      <c r="H2339" s="29">
        <v>1001</v>
      </c>
      <c r="I2339" s="30">
        <v>0</v>
      </c>
      <c r="M2339" s="4">
        <f t="shared" ref="M2339:V2339" si="746">M723*$C$1623</f>
        <v>915</v>
      </c>
      <c r="N2339" s="4">
        <f t="shared" si="746"/>
        <v>238.5</v>
      </c>
      <c r="O2339" s="4">
        <f t="shared" si="746"/>
        <v>8767.5</v>
      </c>
      <c r="P2339" s="4">
        <f t="shared" si="746"/>
        <v>0</v>
      </c>
      <c r="Q2339" s="4">
        <f t="shared" si="746"/>
        <v>3513</v>
      </c>
      <c r="R2339" s="4">
        <f t="shared" si="746"/>
        <v>3.75</v>
      </c>
      <c r="S2339" s="4">
        <f t="shared" si="746"/>
        <v>75</v>
      </c>
      <c r="T2339" s="4">
        <f t="shared" si="746"/>
        <v>0</v>
      </c>
      <c r="U2339" s="4">
        <f t="shared" si="746"/>
        <v>0</v>
      </c>
      <c r="V2339" s="4">
        <f t="shared" si="746"/>
        <v>0</v>
      </c>
    </row>
    <row r="2340" spans="3:22" x14ac:dyDescent="0.15">
      <c r="D2340" s="4">
        <f t="shared" si="707"/>
        <v>552</v>
      </c>
      <c r="E2340" s="4">
        <v>40</v>
      </c>
      <c r="H2340" s="29">
        <v>1001</v>
      </c>
      <c r="I2340" s="30">
        <v>0</v>
      </c>
      <c r="M2340" s="4">
        <f t="shared" ref="M2340:V2340" si="747">M724*$C$1623</f>
        <v>930</v>
      </c>
      <c r="N2340" s="4">
        <f t="shared" si="747"/>
        <v>244.5</v>
      </c>
      <c r="O2340" s="4">
        <f t="shared" si="747"/>
        <v>8881.5</v>
      </c>
      <c r="P2340" s="4">
        <f t="shared" si="747"/>
        <v>0</v>
      </c>
      <c r="Q2340" s="4">
        <f t="shared" si="747"/>
        <v>3525</v>
      </c>
      <c r="R2340" s="4">
        <f t="shared" si="747"/>
        <v>3.75</v>
      </c>
      <c r="S2340" s="4">
        <f t="shared" si="747"/>
        <v>76.5</v>
      </c>
      <c r="T2340" s="4">
        <f t="shared" si="747"/>
        <v>0</v>
      </c>
      <c r="U2340" s="4">
        <f t="shared" si="747"/>
        <v>0</v>
      </c>
      <c r="V2340" s="4">
        <f t="shared" si="747"/>
        <v>0</v>
      </c>
    </row>
    <row r="2341" spans="3:22" x14ac:dyDescent="0.15">
      <c r="D2341" s="4">
        <f t="shared" si="707"/>
        <v>552</v>
      </c>
      <c r="E2341" s="4">
        <v>41</v>
      </c>
      <c r="H2341" s="29">
        <v>1001</v>
      </c>
      <c r="I2341" s="30">
        <v>0</v>
      </c>
      <c r="M2341" s="4">
        <f t="shared" ref="M2341:V2341" si="748">M725*$C$1623</f>
        <v>945</v>
      </c>
      <c r="N2341" s="4">
        <f t="shared" si="748"/>
        <v>250.5</v>
      </c>
      <c r="O2341" s="4">
        <f t="shared" si="748"/>
        <v>8995.5</v>
      </c>
      <c r="P2341" s="4">
        <f t="shared" si="748"/>
        <v>0</v>
      </c>
      <c r="Q2341" s="4">
        <f t="shared" si="748"/>
        <v>3537</v>
      </c>
      <c r="R2341" s="4">
        <f t="shared" si="748"/>
        <v>3.75</v>
      </c>
      <c r="S2341" s="4">
        <f t="shared" si="748"/>
        <v>78</v>
      </c>
      <c r="T2341" s="4">
        <f t="shared" si="748"/>
        <v>0</v>
      </c>
      <c r="U2341" s="4">
        <f t="shared" si="748"/>
        <v>0</v>
      </c>
      <c r="V2341" s="4">
        <f t="shared" si="748"/>
        <v>0</v>
      </c>
    </row>
    <row r="2342" spans="3:22" x14ac:dyDescent="0.15">
      <c r="D2342" s="4">
        <f t="shared" si="707"/>
        <v>552</v>
      </c>
      <c r="E2342" s="4">
        <v>42</v>
      </c>
      <c r="H2342" s="29">
        <v>1001</v>
      </c>
      <c r="I2342" s="30">
        <v>0</v>
      </c>
      <c r="M2342" s="4">
        <f t="shared" ref="M2342:V2342" si="749">M726*$C$1623</f>
        <v>960</v>
      </c>
      <c r="N2342" s="4">
        <f t="shared" si="749"/>
        <v>256.5</v>
      </c>
      <c r="O2342" s="4">
        <f t="shared" si="749"/>
        <v>9109.5</v>
      </c>
      <c r="P2342" s="4">
        <f t="shared" si="749"/>
        <v>0</v>
      </c>
      <c r="Q2342" s="4">
        <f t="shared" si="749"/>
        <v>3549</v>
      </c>
      <c r="R2342" s="4">
        <f t="shared" si="749"/>
        <v>3.75</v>
      </c>
      <c r="S2342" s="4">
        <f t="shared" si="749"/>
        <v>79.5</v>
      </c>
      <c r="T2342" s="4">
        <f t="shared" si="749"/>
        <v>0</v>
      </c>
      <c r="U2342" s="4">
        <f t="shared" si="749"/>
        <v>0</v>
      </c>
      <c r="V2342" s="4">
        <f t="shared" si="749"/>
        <v>0</v>
      </c>
    </row>
    <row r="2343" spans="3:22" x14ac:dyDescent="0.15">
      <c r="D2343" s="4">
        <f t="shared" si="707"/>
        <v>552</v>
      </c>
      <c r="E2343" s="4">
        <v>43</v>
      </c>
      <c r="H2343" s="29">
        <v>1001</v>
      </c>
      <c r="I2343" s="30">
        <v>0</v>
      </c>
      <c r="M2343" s="4">
        <f t="shared" ref="M2343:V2343" si="750">M727*$C$1623</f>
        <v>975</v>
      </c>
      <c r="N2343" s="4">
        <f t="shared" si="750"/>
        <v>262.5</v>
      </c>
      <c r="O2343" s="4">
        <f t="shared" si="750"/>
        <v>9223.5</v>
      </c>
      <c r="P2343" s="4">
        <f t="shared" si="750"/>
        <v>0</v>
      </c>
      <c r="Q2343" s="4">
        <f t="shared" si="750"/>
        <v>3561</v>
      </c>
      <c r="R2343" s="4">
        <f t="shared" si="750"/>
        <v>3.75</v>
      </c>
      <c r="S2343" s="4">
        <f t="shared" si="750"/>
        <v>81</v>
      </c>
      <c r="T2343" s="4">
        <f t="shared" si="750"/>
        <v>0</v>
      </c>
      <c r="U2343" s="4">
        <f t="shared" si="750"/>
        <v>0</v>
      </c>
      <c r="V2343" s="4">
        <f t="shared" si="750"/>
        <v>0</v>
      </c>
    </row>
    <row r="2344" spans="3:22" x14ac:dyDescent="0.15">
      <c r="D2344" s="4">
        <f t="shared" si="707"/>
        <v>552</v>
      </c>
      <c r="E2344" s="4">
        <v>44</v>
      </c>
      <c r="H2344" s="29">
        <v>1001</v>
      </c>
      <c r="I2344" s="30">
        <v>0</v>
      </c>
      <c r="M2344" s="4">
        <f t="shared" ref="M2344:V2344" si="751">M728*$C$1623</f>
        <v>990</v>
      </c>
      <c r="N2344" s="4">
        <f t="shared" si="751"/>
        <v>268.5</v>
      </c>
      <c r="O2344" s="4">
        <f t="shared" si="751"/>
        <v>9337.5</v>
      </c>
      <c r="P2344" s="4">
        <f t="shared" si="751"/>
        <v>0</v>
      </c>
      <c r="Q2344" s="4">
        <f t="shared" si="751"/>
        <v>3573</v>
      </c>
      <c r="R2344" s="4">
        <f t="shared" si="751"/>
        <v>3.75</v>
      </c>
      <c r="S2344" s="4">
        <f t="shared" si="751"/>
        <v>82.5</v>
      </c>
      <c r="T2344" s="4">
        <f t="shared" si="751"/>
        <v>0</v>
      </c>
      <c r="U2344" s="4">
        <f t="shared" si="751"/>
        <v>0</v>
      </c>
      <c r="V2344" s="4">
        <f t="shared" si="751"/>
        <v>0</v>
      </c>
    </row>
    <row r="2345" spans="3:22" x14ac:dyDescent="0.15">
      <c r="D2345" s="4">
        <f t="shared" si="707"/>
        <v>552</v>
      </c>
      <c r="E2345" s="4">
        <v>45</v>
      </c>
      <c r="H2345" s="29">
        <v>1001</v>
      </c>
      <c r="I2345" s="30">
        <v>0</v>
      </c>
      <c r="M2345" s="4">
        <f t="shared" ref="M2345:V2345" si="752">M729*$C$1623</f>
        <v>1005</v>
      </c>
      <c r="N2345" s="4">
        <f t="shared" si="752"/>
        <v>274.5</v>
      </c>
      <c r="O2345" s="4">
        <f t="shared" si="752"/>
        <v>9451.5</v>
      </c>
      <c r="P2345" s="4">
        <f t="shared" si="752"/>
        <v>0</v>
      </c>
      <c r="Q2345" s="4">
        <f t="shared" si="752"/>
        <v>3585</v>
      </c>
      <c r="R2345" s="4">
        <f t="shared" si="752"/>
        <v>3.75</v>
      </c>
      <c r="S2345" s="4">
        <f t="shared" si="752"/>
        <v>84</v>
      </c>
      <c r="T2345" s="4">
        <f t="shared" si="752"/>
        <v>0</v>
      </c>
      <c r="U2345" s="4">
        <f t="shared" si="752"/>
        <v>0</v>
      </c>
      <c r="V2345" s="4">
        <f t="shared" si="752"/>
        <v>0</v>
      </c>
    </row>
    <row r="2346" spans="3:22" x14ac:dyDescent="0.15">
      <c r="D2346" s="4">
        <f t="shared" si="707"/>
        <v>552</v>
      </c>
      <c r="E2346" s="4">
        <v>46</v>
      </c>
      <c r="H2346" s="29">
        <v>1001</v>
      </c>
      <c r="I2346" s="30">
        <v>0</v>
      </c>
      <c r="M2346" s="4">
        <f t="shared" ref="M2346:V2346" si="753">M730*$C$1623</f>
        <v>1020</v>
      </c>
      <c r="N2346" s="4">
        <f t="shared" si="753"/>
        <v>280.5</v>
      </c>
      <c r="O2346" s="4">
        <f t="shared" si="753"/>
        <v>9565.5</v>
      </c>
      <c r="P2346" s="4">
        <f t="shared" si="753"/>
        <v>0</v>
      </c>
      <c r="Q2346" s="4">
        <f t="shared" si="753"/>
        <v>3597</v>
      </c>
      <c r="R2346" s="4">
        <f t="shared" si="753"/>
        <v>3.75</v>
      </c>
      <c r="S2346" s="4">
        <f t="shared" si="753"/>
        <v>85.5</v>
      </c>
      <c r="T2346" s="4">
        <f t="shared" si="753"/>
        <v>0</v>
      </c>
      <c r="U2346" s="4">
        <f t="shared" si="753"/>
        <v>0</v>
      </c>
      <c r="V2346" s="4">
        <f t="shared" si="753"/>
        <v>0</v>
      </c>
    </row>
    <row r="2347" spans="3:22" x14ac:dyDescent="0.15">
      <c r="D2347" s="4">
        <f t="shared" si="707"/>
        <v>552</v>
      </c>
      <c r="E2347" s="4">
        <v>47</v>
      </c>
      <c r="H2347" s="29">
        <v>1001</v>
      </c>
      <c r="I2347" s="30">
        <v>0</v>
      </c>
      <c r="M2347" s="4">
        <f t="shared" ref="M2347:V2347" si="754">M731*$C$1623</f>
        <v>1035</v>
      </c>
      <c r="N2347" s="4">
        <f t="shared" si="754"/>
        <v>286.5</v>
      </c>
      <c r="O2347" s="4">
        <f t="shared" si="754"/>
        <v>9679.5</v>
      </c>
      <c r="P2347" s="4">
        <f t="shared" si="754"/>
        <v>0</v>
      </c>
      <c r="Q2347" s="4">
        <f t="shared" si="754"/>
        <v>3609</v>
      </c>
      <c r="R2347" s="4">
        <f t="shared" si="754"/>
        <v>3.75</v>
      </c>
      <c r="S2347" s="4">
        <f t="shared" si="754"/>
        <v>87</v>
      </c>
      <c r="T2347" s="4">
        <f t="shared" si="754"/>
        <v>0</v>
      </c>
      <c r="U2347" s="4">
        <f t="shared" si="754"/>
        <v>0</v>
      </c>
      <c r="V2347" s="4">
        <f t="shared" si="754"/>
        <v>0</v>
      </c>
    </row>
    <row r="2348" spans="3:22" x14ac:dyDescent="0.15">
      <c r="D2348" s="4">
        <f t="shared" si="707"/>
        <v>552</v>
      </c>
      <c r="E2348" s="4">
        <v>48</v>
      </c>
      <c r="H2348" s="29">
        <v>1001</v>
      </c>
      <c r="I2348" s="30">
        <v>0</v>
      </c>
      <c r="M2348" s="4">
        <f t="shared" ref="M2348:V2348" si="755">M732*$C$1623</f>
        <v>1050</v>
      </c>
      <c r="N2348" s="4">
        <f t="shared" si="755"/>
        <v>292.5</v>
      </c>
      <c r="O2348" s="4">
        <f t="shared" si="755"/>
        <v>9793.5</v>
      </c>
      <c r="P2348" s="4">
        <f t="shared" si="755"/>
        <v>0</v>
      </c>
      <c r="Q2348" s="4">
        <f t="shared" si="755"/>
        <v>3621</v>
      </c>
      <c r="R2348" s="4">
        <f t="shared" si="755"/>
        <v>3.75</v>
      </c>
      <c r="S2348" s="4">
        <f t="shared" si="755"/>
        <v>88.5</v>
      </c>
      <c r="T2348" s="4">
        <f t="shared" si="755"/>
        <v>0</v>
      </c>
      <c r="U2348" s="4">
        <f t="shared" si="755"/>
        <v>0</v>
      </c>
      <c r="V2348" s="4">
        <f t="shared" si="755"/>
        <v>0</v>
      </c>
    </row>
    <row r="2349" spans="3:22" x14ac:dyDescent="0.15">
      <c r="D2349" s="4">
        <f t="shared" si="707"/>
        <v>552</v>
      </c>
      <c r="E2349" s="4">
        <v>49</v>
      </c>
      <c r="H2349" s="29">
        <v>1001</v>
      </c>
      <c r="I2349" s="30">
        <v>0</v>
      </c>
      <c r="M2349" s="4">
        <f t="shared" ref="M2349:V2349" si="756">M733*$C$1623</f>
        <v>1065</v>
      </c>
      <c r="N2349" s="4">
        <f t="shared" si="756"/>
        <v>298.5</v>
      </c>
      <c r="O2349" s="4">
        <f t="shared" si="756"/>
        <v>9907.5</v>
      </c>
      <c r="P2349" s="4">
        <f t="shared" si="756"/>
        <v>0</v>
      </c>
      <c r="Q2349" s="4">
        <f t="shared" si="756"/>
        <v>3633</v>
      </c>
      <c r="R2349" s="4">
        <f t="shared" si="756"/>
        <v>3.75</v>
      </c>
      <c r="S2349" s="4">
        <f t="shared" si="756"/>
        <v>90</v>
      </c>
      <c r="T2349" s="4">
        <f t="shared" si="756"/>
        <v>0</v>
      </c>
      <c r="U2349" s="4">
        <f t="shared" si="756"/>
        <v>0</v>
      </c>
      <c r="V2349" s="4">
        <f t="shared" si="756"/>
        <v>0</v>
      </c>
    </row>
    <row r="2350" spans="3:22" x14ac:dyDescent="0.15">
      <c r="D2350" s="4">
        <f t="shared" si="707"/>
        <v>552</v>
      </c>
      <c r="E2350" s="4">
        <v>50</v>
      </c>
      <c r="H2350" s="29">
        <v>1001</v>
      </c>
      <c r="I2350" s="30">
        <v>0</v>
      </c>
      <c r="M2350" s="4">
        <f t="shared" ref="M2350:V2350" si="757">M734*$C$1623</f>
        <v>1080</v>
      </c>
      <c r="N2350" s="4">
        <f t="shared" si="757"/>
        <v>304.5</v>
      </c>
      <c r="O2350" s="4">
        <f t="shared" si="757"/>
        <v>10021.5</v>
      </c>
      <c r="P2350" s="4">
        <f t="shared" si="757"/>
        <v>0</v>
      </c>
      <c r="Q2350" s="4">
        <f t="shared" si="757"/>
        <v>3645</v>
      </c>
      <c r="R2350" s="4">
        <f t="shared" si="757"/>
        <v>3.75</v>
      </c>
      <c r="S2350" s="4">
        <f t="shared" si="757"/>
        <v>91.5</v>
      </c>
      <c r="T2350" s="4">
        <f t="shared" si="757"/>
        <v>0</v>
      </c>
      <c r="U2350" s="4">
        <f t="shared" si="757"/>
        <v>0</v>
      </c>
      <c r="V2350" s="4">
        <f t="shared" si="757"/>
        <v>0</v>
      </c>
    </row>
    <row r="2351" spans="3:22" x14ac:dyDescent="0.15">
      <c r="I2351" s="4"/>
      <c r="M2351" s="4">
        <f t="shared" ref="M2351:V2351" si="758">M735*$C$1623</f>
        <v>0</v>
      </c>
      <c r="N2351" s="4">
        <f t="shared" si="758"/>
        <v>0</v>
      </c>
      <c r="O2351" s="4">
        <f t="shared" si="758"/>
        <v>0</v>
      </c>
      <c r="P2351" s="4">
        <f t="shared" si="758"/>
        <v>0</v>
      </c>
      <c r="Q2351" s="4">
        <f t="shared" si="758"/>
        <v>0</v>
      </c>
      <c r="R2351" s="4">
        <f t="shared" si="758"/>
        <v>0</v>
      </c>
      <c r="S2351" s="4">
        <f t="shared" si="758"/>
        <v>0</v>
      </c>
      <c r="T2351" s="4">
        <f t="shared" si="758"/>
        <v>0</v>
      </c>
      <c r="U2351" s="4">
        <f t="shared" si="758"/>
        <v>0</v>
      </c>
      <c r="V2351" s="4">
        <f t="shared" si="758"/>
        <v>0</v>
      </c>
    </row>
    <row r="2352" spans="3:22" ht="16.5" x14ac:dyDescent="0.15">
      <c r="C2352" s="4" t="s">
        <v>3091</v>
      </c>
      <c r="D2352" s="4">
        <f t="shared" ref="D2352:D2402" si="759">D2300+1</f>
        <v>553</v>
      </c>
      <c r="E2352" s="4">
        <v>0</v>
      </c>
      <c r="H2352" s="38">
        <v>2203</v>
      </c>
      <c r="I2352" s="38">
        <v>1</v>
      </c>
      <c r="L2352" s="8">
        <v>208</v>
      </c>
      <c r="M2352" s="4">
        <f t="shared" ref="M2352:V2352" si="760">M736*$C$1623</f>
        <v>0</v>
      </c>
      <c r="N2352" s="4">
        <f t="shared" si="760"/>
        <v>0</v>
      </c>
      <c r="O2352" s="4">
        <f t="shared" si="760"/>
        <v>0</v>
      </c>
      <c r="P2352" s="4">
        <f t="shared" si="760"/>
        <v>0</v>
      </c>
      <c r="Q2352" s="4">
        <f t="shared" si="760"/>
        <v>0</v>
      </c>
      <c r="R2352" s="4">
        <f t="shared" si="760"/>
        <v>0</v>
      </c>
      <c r="S2352" s="4">
        <f t="shared" si="760"/>
        <v>0</v>
      </c>
      <c r="T2352" s="4">
        <f t="shared" si="760"/>
        <v>0</v>
      </c>
      <c r="U2352" s="4">
        <f t="shared" si="760"/>
        <v>0</v>
      </c>
      <c r="V2352" s="4">
        <f t="shared" si="760"/>
        <v>0</v>
      </c>
    </row>
    <row r="2353" spans="4:22" x14ac:dyDescent="0.15">
      <c r="D2353" s="4">
        <f t="shared" si="759"/>
        <v>553</v>
      </c>
      <c r="E2353" s="4">
        <v>1</v>
      </c>
      <c r="H2353" s="29">
        <v>1001</v>
      </c>
      <c r="I2353" s="30">
        <v>0</v>
      </c>
      <c r="M2353" s="4">
        <f t="shared" ref="M2353:V2353" si="761">M737*$C$1623</f>
        <v>403.5</v>
      </c>
      <c r="N2353" s="4">
        <f t="shared" si="761"/>
        <v>12</v>
      </c>
      <c r="O2353" s="4">
        <f t="shared" si="761"/>
        <v>6048</v>
      </c>
      <c r="P2353" s="4">
        <f t="shared" si="761"/>
        <v>0</v>
      </c>
      <c r="Q2353" s="4">
        <f t="shared" si="761"/>
        <v>3495</v>
      </c>
      <c r="R2353" s="4">
        <f t="shared" si="761"/>
        <v>3.75</v>
      </c>
      <c r="S2353" s="4">
        <f t="shared" si="761"/>
        <v>22.5</v>
      </c>
      <c r="T2353" s="4">
        <f t="shared" si="761"/>
        <v>0</v>
      </c>
      <c r="U2353" s="4">
        <f t="shared" si="761"/>
        <v>0</v>
      </c>
      <c r="V2353" s="4">
        <f t="shared" si="761"/>
        <v>0</v>
      </c>
    </row>
    <row r="2354" spans="4:22" x14ac:dyDescent="0.15">
      <c r="D2354" s="4">
        <f t="shared" si="759"/>
        <v>553</v>
      </c>
      <c r="E2354" s="4">
        <v>2</v>
      </c>
      <c r="H2354" s="29">
        <v>1001</v>
      </c>
      <c r="I2354" s="30">
        <v>0</v>
      </c>
      <c r="M2354" s="4">
        <f t="shared" ref="M2354:V2354" si="762">M738*$C$1623</f>
        <v>421.5</v>
      </c>
      <c r="N2354" s="4">
        <f t="shared" si="762"/>
        <v>18</v>
      </c>
      <c r="O2354" s="4">
        <f t="shared" si="762"/>
        <v>6177</v>
      </c>
      <c r="P2354" s="4">
        <f t="shared" si="762"/>
        <v>0</v>
      </c>
      <c r="Q2354" s="4">
        <f t="shared" si="762"/>
        <v>3507</v>
      </c>
      <c r="R2354" s="4">
        <f t="shared" si="762"/>
        <v>3.75</v>
      </c>
      <c r="S2354" s="4">
        <f t="shared" si="762"/>
        <v>24</v>
      </c>
      <c r="T2354" s="4">
        <f t="shared" si="762"/>
        <v>0</v>
      </c>
      <c r="U2354" s="4">
        <f t="shared" si="762"/>
        <v>0</v>
      </c>
      <c r="V2354" s="4">
        <f t="shared" si="762"/>
        <v>0</v>
      </c>
    </row>
    <row r="2355" spans="4:22" x14ac:dyDescent="0.15">
      <c r="D2355" s="4">
        <f t="shared" si="759"/>
        <v>553</v>
      </c>
      <c r="E2355" s="4">
        <v>3</v>
      </c>
      <c r="H2355" s="29">
        <v>1001</v>
      </c>
      <c r="I2355" s="30">
        <v>0</v>
      </c>
      <c r="M2355" s="4">
        <f t="shared" ref="M2355:V2355" si="763">M739*$C$1623</f>
        <v>439.5</v>
      </c>
      <c r="N2355" s="4">
        <f t="shared" si="763"/>
        <v>24</v>
      </c>
      <c r="O2355" s="4">
        <f t="shared" si="763"/>
        <v>6306</v>
      </c>
      <c r="P2355" s="4">
        <f t="shared" si="763"/>
        <v>0</v>
      </c>
      <c r="Q2355" s="4">
        <f t="shared" si="763"/>
        <v>3519</v>
      </c>
      <c r="R2355" s="4">
        <f t="shared" si="763"/>
        <v>3.75</v>
      </c>
      <c r="S2355" s="4">
        <f t="shared" si="763"/>
        <v>25.5</v>
      </c>
      <c r="T2355" s="4">
        <f t="shared" si="763"/>
        <v>0</v>
      </c>
      <c r="U2355" s="4">
        <f t="shared" si="763"/>
        <v>0</v>
      </c>
      <c r="V2355" s="4">
        <f t="shared" si="763"/>
        <v>0</v>
      </c>
    </row>
    <row r="2356" spans="4:22" x14ac:dyDescent="0.15">
      <c r="D2356" s="4">
        <f t="shared" si="759"/>
        <v>553</v>
      </c>
      <c r="E2356" s="4">
        <v>4</v>
      </c>
      <c r="H2356" s="29">
        <v>1001</v>
      </c>
      <c r="I2356" s="30">
        <v>0</v>
      </c>
      <c r="M2356" s="4">
        <f t="shared" ref="M2356:V2356" si="764">M740*$C$1623</f>
        <v>457.5</v>
      </c>
      <c r="N2356" s="4">
        <f t="shared" si="764"/>
        <v>30</v>
      </c>
      <c r="O2356" s="4">
        <f t="shared" si="764"/>
        <v>6435</v>
      </c>
      <c r="P2356" s="4">
        <f t="shared" si="764"/>
        <v>0</v>
      </c>
      <c r="Q2356" s="4">
        <f t="shared" si="764"/>
        <v>3531</v>
      </c>
      <c r="R2356" s="4">
        <f t="shared" si="764"/>
        <v>3.75</v>
      </c>
      <c r="S2356" s="4">
        <f t="shared" si="764"/>
        <v>27</v>
      </c>
      <c r="T2356" s="4">
        <f t="shared" si="764"/>
        <v>0</v>
      </c>
      <c r="U2356" s="4">
        <f t="shared" si="764"/>
        <v>0</v>
      </c>
      <c r="V2356" s="4">
        <f t="shared" si="764"/>
        <v>0</v>
      </c>
    </row>
    <row r="2357" spans="4:22" x14ac:dyDescent="0.15">
      <c r="D2357" s="4">
        <f t="shared" si="759"/>
        <v>553</v>
      </c>
      <c r="E2357" s="4">
        <v>5</v>
      </c>
      <c r="H2357" s="29">
        <v>1001</v>
      </c>
      <c r="I2357" s="30">
        <v>0</v>
      </c>
      <c r="M2357" s="4">
        <f t="shared" ref="M2357:V2357" si="765">M741*$C$1623</f>
        <v>475.5</v>
      </c>
      <c r="N2357" s="4">
        <f t="shared" si="765"/>
        <v>36</v>
      </c>
      <c r="O2357" s="4">
        <f t="shared" si="765"/>
        <v>6564</v>
      </c>
      <c r="P2357" s="4">
        <f t="shared" si="765"/>
        <v>0</v>
      </c>
      <c r="Q2357" s="4">
        <f t="shared" si="765"/>
        <v>3543</v>
      </c>
      <c r="R2357" s="4">
        <f t="shared" si="765"/>
        <v>3.75</v>
      </c>
      <c r="S2357" s="4">
        <f t="shared" si="765"/>
        <v>28.5</v>
      </c>
      <c r="T2357" s="4">
        <f t="shared" si="765"/>
        <v>0</v>
      </c>
      <c r="U2357" s="4">
        <f t="shared" si="765"/>
        <v>0</v>
      </c>
      <c r="V2357" s="4">
        <f t="shared" si="765"/>
        <v>0</v>
      </c>
    </row>
    <row r="2358" spans="4:22" x14ac:dyDescent="0.15">
      <c r="D2358" s="4">
        <f t="shared" si="759"/>
        <v>553</v>
      </c>
      <c r="E2358" s="4">
        <v>6</v>
      </c>
      <c r="H2358" s="29">
        <v>1001</v>
      </c>
      <c r="I2358" s="30">
        <v>0</v>
      </c>
      <c r="M2358" s="4">
        <f t="shared" ref="M2358:V2358" si="766">M742*$C$1623</f>
        <v>493.5</v>
      </c>
      <c r="N2358" s="4">
        <f t="shared" si="766"/>
        <v>42</v>
      </c>
      <c r="O2358" s="4">
        <f t="shared" si="766"/>
        <v>6693</v>
      </c>
      <c r="P2358" s="4">
        <f t="shared" si="766"/>
        <v>0</v>
      </c>
      <c r="Q2358" s="4">
        <f t="shared" si="766"/>
        <v>3555</v>
      </c>
      <c r="R2358" s="4">
        <f t="shared" si="766"/>
        <v>3.75</v>
      </c>
      <c r="S2358" s="4">
        <f t="shared" si="766"/>
        <v>30</v>
      </c>
      <c r="T2358" s="4">
        <f t="shared" si="766"/>
        <v>0</v>
      </c>
      <c r="U2358" s="4">
        <f t="shared" si="766"/>
        <v>0</v>
      </c>
      <c r="V2358" s="4">
        <f t="shared" si="766"/>
        <v>0</v>
      </c>
    </row>
    <row r="2359" spans="4:22" x14ac:dyDescent="0.15">
      <c r="D2359" s="4">
        <f t="shared" si="759"/>
        <v>553</v>
      </c>
      <c r="E2359" s="4">
        <v>7</v>
      </c>
      <c r="H2359" s="29">
        <v>1001</v>
      </c>
      <c r="I2359" s="30">
        <v>0</v>
      </c>
      <c r="M2359" s="4">
        <f t="shared" ref="M2359:V2359" si="767">M743*$C$1623</f>
        <v>511.5</v>
      </c>
      <c r="N2359" s="4">
        <f t="shared" si="767"/>
        <v>48</v>
      </c>
      <c r="O2359" s="4">
        <f t="shared" si="767"/>
        <v>6822</v>
      </c>
      <c r="P2359" s="4">
        <f t="shared" si="767"/>
        <v>0</v>
      </c>
      <c r="Q2359" s="4">
        <f t="shared" si="767"/>
        <v>3567</v>
      </c>
      <c r="R2359" s="4">
        <f t="shared" si="767"/>
        <v>3.75</v>
      </c>
      <c r="S2359" s="4">
        <f t="shared" si="767"/>
        <v>31.5</v>
      </c>
      <c r="T2359" s="4">
        <f t="shared" si="767"/>
        <v>0</v>
      </c>
      <c r="U2359" s="4">
        <f t="shared" si="767"/>
        <v>0</v>
      </c>
      <c r="V2359" s="4">
        <f t="shared" si="767"/>
        <v>0</v>
      </c>
    </row>
    <row r="2360" spans="4:22" x14ac:dyDescent="0.15">
      <c r="D2360" s="4">
        <f t="shared" si="759"/>
        <v>553</v>
      </c>
      <c r="E2360" s="4">
        <v>8</v>
      </c>
      <c r="H2360" s="29">
        <v>1001</v>
      </c>
      <c r="I2360" s="30">
        <v>0</v>
      </c>
      <c r="M2360" s="4">
        <f t="shared" ref="M2360:V2360" si="768">M744*$C$1623</f>
        <v>529.5</v>
      </c>
      <c r="N2360" s="4">
        <f t="shared" si="768"/>
        <v>54</v>
      </c>
      <c r="O2360" s="4">
        <f t="shared" si="768"/>
        <v>6951</v>
      </c>
      <c r="P2360" s="4">
        <f t="shared" si="768"/>
        <v>0</v>
      </c>
      <c r="Q2360" s="4">
        <f t="shared" si="768"/>
        <v>3579</v>
      </c>
      <c r="R2360" s="4">
        <f t="shared" si="768"/>
        <v>3.75</v>
      </c>
      <c r="S2360" s="4">
        <f t="shared" si="768"/>
        <v>33</v>
      </c>
      <c r="T2360" s="4">
        <f t="shared" si="768"/>
        <v>0</v>
      </c>
      <c r="U2360" s="4">
        <f t="shared" si="768"/>
        <v>0</v>
      </c>
      <c r="V2360" s="4">
        <f t="shared" si="768"/>
        <v>0</v>
      </c>
    </row>
    <row r="2361" spans="4:22" x14ac:dyDescent="0.15">
      <c r="D2361" s="4">
        <f t="shared" si="759"/>
        <v>553</v>
      </c>
      <c r="E2361" s="4">
        <v>9</v>
      </c>
      <c r="H2361" s="29">
        <v>1001</v>
      </c>
      <c r="I2361" s="30">
        <v>0</v>
      </c>
      <c r="M2361" s="4">
        <f t="shared" ref="M2361:V2361" si="769">M745*$C$1623</f>
        <v>547.5</v>
      </c>
      <c r="N2361" s="4">
        <f t="shared" si="769"/>
        <v>60</v>
      </c>
      <c r="O2361" s="4">
        <f t="shared" si="769"/>
        <v>7080</v>
      </c>
      <c r="P2361" s="4">
        <f t="shared" si="769"/>
        <v>0</v>
      </c>
      <c r="Q2361" s="4">
        <f t="shared" si="769"/>
        <v>3591</v>
      </c>
      <c r="R2361" s="4">
        <f t="shared" si="769"/>
        <v>3.75</v>
      </c>
      <c r="S2361" s="4">
        <f t="shared" si="769"/>
        <v>34.5</v>
      </c>
      <c r="T2361" s="4">
        <f t="shared" si="769"/>
        <v>0</v>
      </c>
      <c r="U2361" s="4">
        <f t="shared" si="769"/>
        <v>0</v>
      </c>
      <c r="V2361" s="4">
        <f t="shared" si="769"/>
        <v>0</v>
      </c>
    </row>
    <row r="2362" spans="4:22" x14ac:dyDescent="0.15">
      <c r="D2362" s="4">
        <f t="shared" si="759"/>
        <v>553</v>
      </c>
      <c r="E2362" s="4">
        <v>10</v>
      </c>
      <c r="H2362" s="29">
        <v>1001</v>
      </c>
      <c r="I2362" s="30">
        <v>0</v>
      </c>
      <c r="M2362" s="4">
        <f t="shared" ref="M2362:V2362" si="770">M746*$C$1623</f>
        <v>565.5</v>
      </c>
      <c r="N2362" s="4">
        <f t="shared" si="770"/>
        <v>66</v>
      </c>
      <c r="O2362" s="4">
        <f t="shared" si="770"/>
        <v>7209</v>
      </c>
      <c r="P2362" s="4">
        <f t="shared" si="770"/>
        <v>0</v>
      </c>
      <c r="Q2362" s="4">
        <f t="shared" si="770"/>
        <v>3603</v>
      </c>
      <c r="R2362" s="4">
        <f t="shared" si="770"/>
        <v>3.75</v>
      </c>
      <c r="S2362" s="4">
        <f t="shared" si="770"/>
        <v>36</v>
      </c>
      <c r="T2362" s="4">
        <f t="shared" si="770"/>
        <v>0</v>
      </c>
      <c r="U2362" s="4">
        <f t="shared" si="770"/>
        <v>0</v>
      </c>
      <c r="V2362" s="4">
        <f t="shared" si="770"/>
        <v>0</v>
      </c>
    </row>
    <row r="2363" spans="4:22" x14ac:dyDescent="0.15">
      <c r="D2363" s="4">
        <f t="shared" si="759"/>
        <v>553</v>
      </c>
      <c r="E2363" s="4">
        <v>11</v>
      </c>
      <c r="H2363" s="29">
        <v>1001</v>
      </c>
      <c r="I2363" s="30">
        <v>0</v>
      </c>
      <c r="M2363" s="4">
        <f t="shared" ref="M2363:V2363" si="771">M747*$C$1623</f>
        <v>583.5</v>
      </c>
      <c r="N2363" s="4">
        <f t="shared" si="771"/>
        <v>72</v>
      </c>
      <c r="O2363" s="4">
        <f t="shared" si="771"/>
        <v>7338</v>
      </c>
      <c r="P2363" s="4">
        <f t="shared" si="771"/>
        <v>0</v>
      </c>
      <c r="Q2363" s="4">
        <f t="shared" si="771"/>
        <v>3615</v>
      </c>
      <c r="R2363" s="4">
        <f t="shared" si="771"/>
        <v>3.75</v>
      </c>
      <c r="S2363" s="4">
        <f t="shared" si="771"/>
        <v>37.5</v>
      </c>
      <c r="T2363" s="4">
        <f t="shared" si="771"/>
        <v>0</v>
      </c>
      <c r="U2363" s="4">
        <f t="shared" si="771"/>
        <v>0</v>
      </c>
      <c r="V2363" s="4">
        <f t="shared" si="771"/>
        <v>0</v>
      </c>
    </row>
    <row r="2364" spans="4:22" x14ac:dyDescent="0.15">
      <c r="D2364" s="4">
        <f t="shared" si="759"/>
        <v>553</v>
      </c>
      <c r="E2364" s="4">
        <v>12</v>
      </c>
      <c r="H2364" s="29">
        <v>1001</v>
      </c>
      <c r="I2364" s="30">
        <v>0</v>
      </c>
      <c r="M2364" s="4">
        <f t="shared" ref="M2364:V2364" si="772">M748*$C$1623</f>
        <v>601.5</v>
      </c>
      <c r="N2364" s="4">
        <f t="shared" si="772"/>
        <v>78</v>
      </c>
      <c r="O2364" s="4">
        <f t="shared" si="772"/>
        <v>7467</v>
      </c>
      <c r="P2364" s="4">
        <f t="shared" si="772"/>
        <v>0</v>
      </c>
      <c r="Q2364" s="4">
        <f t="shared" si="772"/>
        <v>3627</v>
      </c>
      <c r="R2364" s="4">
        <f t="shared" si="772"/>
        <v>3.75</v>
      </c>
      <c r="S2364" s="4">
        <f t="shared" si="772"/>
        <v>39</v>
      </c>
      <c r="T2364" s="4">
        <f t="shared" si="772"/>
        <v>0</v>
      </c>
      <c r="U2364" s="4">
        <f t="shared" si="772"/>
        <v>0</v>
      </c>
      <c r="V2364" s="4">
        <f t="shared" si="772"/>
        <v>0</v>
      </c>
    </row>
    <row r="2365" spans="4:22" x14ac:dyDescent="0.15">
      <c r="D2365" s="4">
        <f t="shared" si="759"/>
        <v>553</v>
      </c>
      <c r="E2365" s="4">
        <v>13</v>
      </c>
      <c r="H2365" s="29">
        <v>1001</v>
      </c>
      <c r="I2365" s="30">
        <v>0</v>
      </c>
      <c r="M2365" s="4">
        <f t="shared" ref="M2365:V2365" si="773">M749*$C$1623</f>
        <v>619.5</v>
      </c>
      <c r="N2365" s="4">
        <f t="shared" si="773"/>
        <v>84</v>
      </c>
      <c r="O2365" s="4">
        <f t="shared" si="773"/>
        <v>7596</v>
      </c>
      <c r="P2365" s="4">
        <f t="shared" si="773"/>
        <v>0</v>
      </c>
      <c r="Q2365" s="4">
        <f t="shared" si="773"/>
        <v>3639</v>
      </c>
      <c r="R2365" s="4">
        <f t="shared" si="773"/>
        <v>3.75</v>
      </c>
      <c r="S2365" s="4">
        <f t="shared" si="773"/>
        <v>40.5</v>
      </c>
      <c r="T2365" s="4">
        <f t="shared" si="773"/>
        <v>0</v>
      </c>
      <c r="U2365" s="4">
        <f t="shared" si="773"/>
        <v>0</v>
      </c>
      <c r="V2365" s="4">
        <f t="shared" si="773"/>
        <v>0</v>
      </c>
    </row>
    <row r="2366" spans="4:22" x14ac:dyDescent="0.15">
      <c r="D2366" s="4">
        <f t="shared" si="759"/>
        <v>553</v>
      </c>
      <c r="E2366" s="4">
        <v>14</v>
      </c>
      <c r="H2366" s="29">
        <v>1001</v>
      </c>
      <c r="I2366" s="30">
        <v>0</v>
      </c>
      <c r="M2366" s="4">
        <f t="shared" ref="M2366:V2366" si="774">M750*$C$1623</f>
        <v>637.5</v>
      </c>
      <c r="N2366" s="4">
        <f t="shared" si="774"/>
        <v>90</v>
      </c>
      <c r="O2366" s="4">
        <f t="shared" si="774"/>
        <v>7725</v>
      </c>
      <c r="P2366" s="4">
        <f t="shared" si="774"/>
        <v>0</v>
      </c>
      <c r="Q2366" s="4">
        <f t="shared" si="774"/>
        <v>3651</v>
      </c>
      <c r="R2366" s="4">
        <f t="shared" si="774"/>
        <v>3.75</v>
      </c>
      <c r="S2366" s="4">
        <f t="shared" si="774"/>
        <v>42</v>
      </c>
      <c r="T2366" s="4">
        <f t="shared" si="774"/>
        <v>0</v>
      </c>
      <c r="U2366" s="4">
        <f t="shared" si="774"/>
        <v>0</v>
      </c>
      <c r="V2366" s="4">
        <f t="shared" si="774"/>
        <v>0</v>
      </c>
    </row>
    <row r="2367" spans="4:22" x14ac:dyDescent="0.15">
      <c r="D2367" s="4">
        <f t="shared" si="759"/>
        <v>553</v>
      </c>
      <c r="E2367" s="4">
        <v>15</v>
      </c>
      <c r="H2367" s="29">
        <v>1001</v>
      </c>
      <c r="I2367" s="30">
        <v>0</v>
      </c>
      <c r="M2367" s="4">
        <f t="shared" ref="M2367:V2367" si="775">M751*$C$1623</f>
        <v>655.5</v>
      </c>
      <c r="N2367" s="4">
        <f t="shared" si="775"/>
        <v>96</v>
      </c>
      <c r="O2367" s="4">
        <f t="shared" si="775"/>
        <v>7854</v>
      </c>
      <c r="P2367" s="4">
        <f t="shared" si="775"/>
        <v>0</v>
      </c>
      <c r="Q2367" s="4">
        <f t="shared" si="775"/>
        <v>3663</v>
      </c>
      <c r="R2367" s="4">
        <f t="shared" si="775"/>
        <v>3.75</v>
      </c>
      <c r="S2367" s="4">
        <f t="shared" si="775"/>
        <v>43.5</v>
      </c>
      <c r="T2367" s="4">
        <f t="shared" si="775"/>
        <v>0</v>
      </c>
      <c r="U2367" s="4">
        <f t="shared" si="775"/>
        <v>0</v>
      </c>
      <c r="V2367" s="4">
        <f t="shared" si="775"/>
        <v>0</v>
      </c>
    </row>
    <row r="2368" spans="4:22" x14ac:dyDescent="0.15">
      <c r="D2368" s="4">
        <f t="shared" si="759"/>
        <v>553</v>
      </c>
      <c r="E2368" s="4">
        <v>16</v>
      </c>
      <c r="H2368" s="29">
        <v>1001</v>
      </c>
      <c r="I2368" s="30">
        <v>0</v>
      </c>
      <c r="M2368" s="4">
        <f t="shared" ref="M2368:V2368" si="776">M752*$C$1623</f>
        <v>673.5</v>
      </c>
      <c r="N2368" s="4">
        <f t="shared" si="776"/>
        <v>102</v>
      </c>
      <c r="O2368" s="4">
        <f t="shared" si="776"/>
        <v>7983</v>
      </c>
      <c r="P2368" s="4">
        <f t="shared" si="776"/>
        <v>0</v>
      </c>
      <c r="Q2368" s="4">
        <f t="shared" si="776"/>
        <v>3675</v>
      </c>
      <c r="R2368" s="4">
        <f t="shared" si="776"/>
        <v>3.75</v>
      </c>
      <c r="S2368" s="4">
        <f t="shared" si="776"/>
        <v>45</v>
      </c>
      <c r="T2368" s="4">
        <f t="shared" si="776"/>
        <v>0</v>
      </c>
      <c r="U2368" s="4">
        <f t="shared" si="776"/>
        <v>0</v>
      </c>
      <c r="V2368" s="4">
        <f t="shared" si="776"/>
        <v>0</v>
      </c>
    </row>
    <row r="2369" spans="4:22" x14ac:dyDescent="0.15">
      <c r="D2369" s="4">
        <f t="shared" si="759"/>
        <v>553</v>
      </c>
      <c r="E2369" s="4">
        <v>17</v>
      </c>
      <c r="H2369" s="29">
        <v>1001</v>
      </c>
      <c r="I2369" s="30">
        <v>0</v>
      </c>
      <c r="M2369" s="4">
        <f t="shared" ref="M2369:V2369" si="777">M753*$C$1623</f>
        <v>691.5</v>
      </c>
      <c r="N2369" s="4">
        <f t="shared" si="777"/>
        <v>108</v>
      </c>
      <c r="O2369" s="4">
        <f t="shared" si="777"/>
        <v>8112</v>
      </c>
      <c r="P2369" s="4">
        <f t="shared" si="777"/>
        <v>0</v>
      </c>
      <c r="Q2369" s="4">
        <f t="shared" si="777"/>
        <v>3687</v>
      </c>
      <c r="R2369" s="4">
        <f t="shared" si="777"/>
        <v>3.75</v>
      </c>
      <c r="S2369" s="4">
        <f t="shared" si="777"/>
        <v>46.5</v>
      </c>
      <c r="T2369" s="4">
        <f t="shared" si="777"/>
        <v>0</v>
      </c>
      <c r="U2369" s="4">
        <f t="shared" si="777"/>
        <v>0</v>
      </c>
      <c r="V2369" s="4">
        <f t="shared" si="777"/>
        <v>0</v>
      </c>
    </row>
    <row r="2370" spans="4:22" x14ac:dyDescent="0.15">
      <c r="D2370" s="4">
        <f t="shared" si="759"/>
        <v>553</v>
      </c>
      <c r="E2370" s="4">
        <v>18</v>
      </c>
      <c r="H2370" s="29">
        <v>1001</v>
      </c>
      <c r="I2370" s="30">
        <v>0</v>
      </c>
      <c r="M2370" s="4">
        <f t="shared" ref="M2370:V2370" si="778">M754*$C$1623</f>
        <v>709.5</v>
      </c>
      <c r="N2370" s="4">
        <f t="shared" si="778"/>
        <v>114</v>
      </c>
      <c r="O2370" s="4">
        <f t="shared" si="778"/>
        <v>8241</v>
      </c>
      <c r="P2370" s="4">
        <f t="shared" si="778"/>
        <v>0</v>
      </c>
      <c r="Q2370" s="4">
        <f t="shared" si="778"/>
        <v>3699</v>
      </c>
      <c r="R2370" s="4">
        <f t="shared" si="778"/>
        <v>3.75</v>
      </c>
      <c r="S2370" s="4">
        <f t="shared" si="778"/>
        <v>48</v>
      </c>
      <c r="T2370" s="4">
        <f t="shared" si="778"/>
        <v>0</v>
      </c>
      <c r="U2370" s="4">
        <f t="shared" si="778"/>
        <v>0</v>
      </c>
      <c r="V2370" s="4">
        <f t="shared" si="778"/>
        <v>0</v>
      </c>
    </row>
    <row r="2371" spans="4:22" x14ac:dyDescent="0.15">
      <c r="D2371" s="4">
        <f t="shared" si="759"/>
        <v>553</v>
      </c>
      <c r="E2371" s="4">
        <v>19</v>
      </c>
      <c r="H2371" s="29">
        <v>1001</v>
      </c>
      <c r="I2371" s="30">
        <v>0</v>
      </c>
      <c r="M2371" s="4">
        <f t="shared" ref="M2371:V2371" si="779">M755*$C$1623</f>
        <v>727.5</v>
      </c>
      <c r="N2371" s="4">
        <f t="shared" si="779"/>
        <v>120</v>
      </c>
      <c r="O2371" s="4">
        <f t="shared" si="779"/>
        <v>8370</v>
      </c>
      <c r="P2371" s="4">
        <f t="shared" si="779"/>
        <v>0</v>
      </c>
      <c r="Q2371" s="4">
        <f t="shared" si="779"/>
        <v>3711</v>
      </c>
      <c r="R2371" s="4">
        <f t="shared" si="779"/>
        <v>3.75</v>
      </c>
      <c r="S2371" s="4">
        <f t="shared" si="779"/>
        <v>49.5</v>
      </c>
      <c r="T2371" s="4">
        <f t="shared" si="779"/>
        <v>0</v>
      </c>
      <c r="U2371" s="4">
        <f t="shared" si="779"/>
        <v>0</v>
      </c>
      <c r="V2371" s="4">
        <f t="shared" si="779"/>
        <v>0</v>
      </c>
    </row>
    <row r="2372" spans="4:22" x14ac:dyDescent="0.15">
      <c r="D2372" s="4">
        <f t="shared" si="759"/>
        <v>553</v>
      </c>
      <c r="E2372" s="4">
        <v>20</v>
      </c>
      <c r="H2372" s="29">
        <v>1001</v>
      </c>
      <c r="I2372" s="30">
        <v>0</v>
      </c>
      <c r="M2372" s="4">
        <f t="shared" ref="M2372:V2372" si="780">M756*$C$1623</f>
        <v>745.5</v>
      </c>
      <c r="N2372" s="4">
        <f t="shared" si="780"/>
        <v>126</v>
      </c>
      <c r="O2372" s="4">
        <f t="shared" si="780"/>
        <v>8499</v>
      </c>
      <c r="P2372" s="4">
        <f t="shared" si="780"/>
        <v>0</v>
      </c>
      <c r="Q2372" s="4">
        <f t="shared" si="780"/>
        <v>3723</v>
      </c>
      <c r="R2372" s="4">
        <f t="shared" si="780"/>
        <v>3.75</v>
      </c>
      <c r="S2372" s="4">
        <f t="shared" si="780"/>
        <v>51</v>
      </c>
      <c r="T2372" s="4">
        <f t="shared" si="780"/>
        <v>0</v>
      </c>
      <c r="U2372" s="4">
        <f t="shared" si="780"/>
        <v>0</v>
      </c>
      <c r="V2372" s="4">
        <f t="shared" si="780"/>
        <v>0</v>
      </c>
    </row>
    <row r="2373" spans="4:22" x14ac:dyDescent="0.15">
      <c r="D2373" s="4">
        <f t="shared" si="759"/>
        <v>553</v>
      </c>
      <c r="E2373" s="4">
        <v>21</v>
      </c>
      <c r="H2373" s="29">
        <v>1001</v>
      </c>
      <c r="I2373" s="30">
        <v>0</v>
      </c>
      <c r="M2373" s="4">
        <f t="shared" ref="M2373:V2373" si="781">M757*$C$1623</f>
        <v>763.5</v>
      </c>
      <c r="N2373" s="4">
        <f t="shared" si="781"/>
        <v>132</v>
      </c>
      <c r="O2373" s="4">
        <f t="shared" si="781"/>
        <v>8628</v>
      </c>
      <c r="P2373" s="4">
        <f t="shared" si="781"/>
        <v>0</v>
      </c>
      <c r="Q2373" s="4">
        <f t="shared" si="781"/>
        <v>3735</v>
      </c>
      <c r="R2373" s="4">
        <f t="shared" si="781"/>
        <v>3.75</v>
      </c>
      <c r="S2373" s="4">
        <f t="shared" si="781"/>
        <v>52.5</v>
      </c>
      <c r="T2373" s="4">
        <f t="shared" si="781"/>
        <v>0</v>
      </c>
      <c r="U2373" s="4">
        <f t="shared" si="781"/>
        <v>0</v>
      </c>
      <c r="V2373" s="4">
        <f t="shared" si="781"/>
        <v>0</v>
      </c>
    </row>
    <row r="2374" spans="4:22" x14ac:dyDescent="0.15">
      <c r="D2374" s="4">
        <f t="shared" si="759"/>
        <v>553</v>
      </c>
      <c r="E2374" s="4">
        <v>22</v>
      </c>
      <c r="H2374" s="29">
        <v>1001</v>
      </c>
      <c r="I2374" s="30">
        <v>0</v>
      </c>
      <c r="M2374" s="4">
        <f t="shared" ref="M2374:V2374" si="782">M758*$C$1623</f>
        <v>781.5</v>
      </c>
      <c r="N2374" s="4">
        <f t="shared" si="782"/>
        <v>138</v>
      </c>
      <c r="O2374" s="4">
        <f t="shared" si="782"/>
        <v>8757</v>
      </c>
      <c r="P2374" s="4">
        <f t="shared" si="782"/>
        <v>0</v>
      </c>
      <c r="Q2374" s="4">
        <f t="shared" si="782"/>
        <v>3747</v>
      </c>
      <c r="R2374" s="4">
        <f t="shared" si="782"/>
        <v>3.75</v>
      </c>
      <c r="S2374" s="4">
        <f t="shared" si="782"/>
        <v>54</v>
      </c>
      <c r="T2374" s="4">
        <f t="shared" si="782"/>
        <v>0</v>
      </c>
      <c r="U2374" s="4">
        <f t="shared" si="782"/>
        <v>0</v>
      </c>
      <c r="V2374" s="4">
        <f t="shared" si="782"/>
        <v>0</v>
      </c>
    </row>
    <row r="2375" spans="4:22" x14ac:dyDescent="0.15">
      <c r="D2375" s="4">
        <f t="shared" si="759"/>
        <v>553</v>
      </c>
      <c r="E2375" s="4">
        <v>23</v>
      </c>
      <c r="H2375" s="29">
        <v>1001</v>
      </c>
      <c r="I2375" s="30">
        <v>0</v>
      </c>
      <c r="M2375" s="4">
        <f t="shared" ref="M2375:V2375" si="783">M759*$C$1623</f>
        <v>799.5</v>
      </c>
      <c r="N2375" s="4">
        <f t="shared" si="783"/>
        <v>144</v>
      </c>
      <c r="O2375" s="4">
        <f t="shared" si="783"/>
        <v>8886</v>
      </c>
      <c r="P2375" s="4">
        <f t="shared" si="783"/>
        <v>0</v>
      </c>
      <c r="Q2375" s="4">
        <f t="shared" si="783"/>
        <v>3759</v>
      </c>
      <c r="R2375" s="4">
        <f t="shared" si="783"/>
        <v>3.75</v>
      </c>
      <c r="S2375" s="4">
        <f t="shared" si="783"/>
        <v>55.5</v>
      </c>
      <c r="T2375" s="4">
        <f t="shared" si="783"/>
        <v>0</v>
      </c>
      <c r="U2375" s="4">
        <f t="shared" si="783"/>
        <v>0</v>
      </c>
      <c r="V2375" s="4">
        <f t="shared" si="783"/>
        <v>0</v>
      </c>
    </row>
    <row r="2376" spans="4:22" x14ac:dyDescent="0.15">
      <c r="D2376" s="4">
        <f t="shared" si="759"/>
        <v>553</v>
      </c>
      <c r="E2376" s="4">
        <v>24</v>
      </c>
      <c r="H2376" s="29">
        <v>1001</v>
      </c>
      <c r="I2376" s="30">
        <v>0</v>
      </c>
      <c r="M2376" s="4">
        <f t="shared" ref="M2376:V2376" si="784">M760*$C$1623</f>
        <v>817.5</v>
      </c>
      <c r="N2376" s="4">
        <f t="shared" si="784"/>
        <v>150</v>
      </c>
      <c r="O2376" s="4">
        <f t="shared" si="784"/>
        <v>9015</v>
      </c>
      <c r="P2376" s="4">
        <f t="shared" si="784"/>
        <v>0</v>
      </c>
      <c r="Q2376" s="4">
        <f t="shared" si="784"/>
        <v>3771</v>
      </c>
      <c r="R2376" s="4">
        <f t="shared" si="784"/>
        <v>3.75</v>
      </c>
      <c r="S2376" s="4">
        <f t="shared" si="784"/>
        <v>57</v>
      </c>
      <c r="T2376" s="4">
        <f t="shared" si="784"/>
        <v>0</v>
      </c>
      <c r="U2376" s="4">
        <f t="shared" si="784"/>
        <v>0</v>
      </c>
      <c r="V2376" s="4">
        <f t="shared" si="784"/>
        <v>0</v>
      </c>
    </row>
    <row r="2377" spans="4:22" x14ac:dyDescent="0.15">
      <c r="D2377" s="4">
        <f t="shared" si="759"/>
        <v>553</v>
      </c>
      <c r="E2377" s="4">
        <v>25</v>
      </c>
      <c r="H2377" s="29">
        <v>1001</v>
      </c>
      <c r="I2377" s="30">
        <v>0</v>
      </c>
      <c r="M2377" s="4">
        <f t="shared" ref="M2377:V2377" si="785">M761*$C$1623</f>
        <v>835.5</v>
      </c>
      <c r="N2377" s="4">
        <f t="shared" si="785"/>
        <v>156</v>
      </c>
      <c r="O2377" s="4">
        <f t="shared" si="785"/>
        <v>9144</v>
      </c>
      <c r="P2377" s="4">
        <f t="shared" si="785"/>
        <v>0</v>
      </c>
      <c r="Q2377" s="4">
        <f t="shared" si="785"/>
        <v>3783</v>
      </c>
      <c r="R2377" s="4">
        <f t="shared" si="785"/>
        <v>3.75</v>
      </c>
      <c r="S2377" s="4">
        <f t="shared" si="785"/>
        <v>58.5</v>
      </c>
      <c r="T2377" s="4">
        <f t="shared" si="785"/>
        <v>0</v>
      </c>
      <c r="U2377" s="4">
        <f t="shared" si="785"/>
        <v>0</v>
      </c>
      <c r="V2377" s="4">
        <f t="shared" si="785"/>
        <v>0</v>
      </c>
    </row>
    <row r="2378" spans="4:22" x14ac:dyDescent="0.15">
      <c r="D2378" s="4">
        <f t="shared" si="759"/>
        <v>553</v>
      </c>
      <c r="E2378" s="4">
        <v>26</v>
      </c>
      <c r="H2378" s="29">
        <v>1001</v>
      </c>
      <c r="I2378" s="30">
        <v>0</v>
      </c>
      <c r="M2378" s="4">
        <f t="shared" ref="M2378:V2378" si="786">M762*$C$1623</f>
        <v>853.5</v>
      </c>
      <c r="N2378" s="4">
        <f t="shared" si="786"/>
        <v>162</v>
      </c>
      <c r="O2378" s="4">
        <f t="shared" si="786"/>
        <v>9273</v>
      </c>
      <c r="P2378" s="4">
        <f t="shared" si="786"/>
        <v>0</v>
      </c>
      <c r="Q2378" s="4">
        <f t="shared" si="786"/>
        <v>3795</v>
      </c>
      <c r="R2378" s="4">
        <f t="shared" si="786"/>
        <v>3.75</v>
      </c>
      <c r="S2378" s="4">
        <f t="shared" si="786"/>
        <v>60</v>
      </c>
      <c r="T2378" s="4">
        <f t="shared" si="786"/>
        <v>0</v>
      </c>
      <c r="U2378" s="4">
        <f t="shared" si="786"/>
        <v>0</v>
      </c>
      <c r="V2378" s="4">
        <f t="shared" si="786"/>
        <v>0</v>
      </c>
    </row>
    <row r="2379" spans="4:22" x14ac:dyDescent="0.15">
      <c r="D2379" s="4">
        <f t="shared" si="759"/>
        <v>553</v>
      </c>
      <c r="E2379" s="4">
        <v>27</v>
      </c>
      <c r="H2379" s="29">
        <v>1001</v>
      </c>
      <c r="I2379" s="30">
        <v>0</v>
      </c>
      <c r="M2379" s="4">
        <f t="shared" ref="M2379:V2379" si="787">M763*$C$1623</f>
        <v>871.5</v>
      </c>
      <c r="N2379" s="4">
        <f t="shared" si="787"/>
        <v>168</v>
      </c>
      <c r="O2379" s="4">
        <f t="shared" si="787"/>
        <v>9402</v>
      </c>
      <c r="P2379" s="4">
        <f t="shared" si="787"/>
        <v>0</v>
      </c>
      <c r="Q2379" s="4">
        <f t="shared" si="787"/>
        <v>3807</v>
      </c>
      <c r="R2379" s="4">
        <f t="shared" si="787"/>
        <v>3.75</v>
      </c>
      <c r="S2379" s="4">
        <f t="shared" si="787"/>
        <v>61.5</v>
      </c>
      <c r="T2379" s="4">
        <f t="shared" si="787"/>
        <v>0</v>
      </c>
      <c r="U2379" s="4">
        <f t="shared" si="787"/>
        <v>0</v>
      </c>
      <c r="V2379" s="4">
        <f t="shared" si="787"/>
        <v>0</v>
      </c>
    </row>
    <row r="2380" spans="4:22" x14ac:dyDescent="0.15">
      <c r="D2380" s="4">
        <f t="shared" si="759"/>
        <v>553</v>
      </c>
      <c r="E2380" s="4">
        <v>28</v>
      </c>
      <c r="H2380" s="29">
        <v>1001</v>
      </c>
      <c r="I2380" s="30">
        <v>0</v>
      </c>
      <c r="M2380" s="4">
        <f t="shared" ref="M2380:V2380" si="788">M764*$C$1623</f>
        <v>889.5</v>
      </c>
      <c r="N2380" s="4">
        <f t="shared" si="788"/>
        <v>174</v>
      </c>
      <c r="O2380" s="4">
        <f t="shared" si="788"/>
        <v>9531</v>
      </c>
      <c r="P2380" s="4">
        <f t="shared" si="788"/>
        <v>0</v>
      </c>
      <c r="Q2380" s="4">
        <f t="shared" si="788"/>
        <v>3819</v>
      </c>
      <c r="R2380" s="4">
        <f t="shared" si="788"/>
        <v>3.75</v>
      </c>
      <c r="S2380" s="4">
        <f t="shared" si="788"/>
        <v>63</v>
      </c>
      <c r="T2380" s="4">
        <f t="shared" si="788"/>
        <v>0</v>
      </c>
      <c r="U2380" s="4">
        <f t="shared" si="788"/>
        <v>0</v>
      </c>
      <c r="V2380" s="4">
        <f t="shared" si="788"/>
        <v>0</v>
      </c>
    </row>
    <row r="2381" spans="4:22" x14ac:dyDescent="0.15">
      <c r="D2381" s="4">
        <f t="shared" si="759"/>
        <v>553</v>
      </c>
      <c r="E2381" s="4">
        <v>29</v>
      </c>
      <c r="H2381" s="29">
        <v>1001</v>
      </c>
      <c r="I2381" s="30">
        <v>0</v>
      </c>
      <c r="M2381" s="4">
        <f t="shared" ref="M2381:V2381" si="789">M765*$C$1623</f>
        <v>907.5</v>
      </c>
      <c r="N2381" s="4">
        <f t="shared" si="789"/>
        <v>180</v>
      </c>
      <c r="O2381" s="4">
        <f t="shared" si="789"/>
        <v>9660</v>
      </c>
      <c r="P2381" s="4">
        <f t="shared" si="789"/>
        <v>0</v>
      </c>
      <c r="Q2381" s="4">
        <f t="shared" si="789"/>
        <v>3831</v>
      </c>
      <c r="R2381" s="4">
        <f t="shared" si="789"/>
        <v>3.75</v>
      </c>
      <c r="S2381" s="4">
        <f t="shared" si="789"/>
        <v>64.5</v>
      </c>
      <c r="T2381" s="4">
        <f t="shared" si="789"/>
        <v>0</v>
      </c>
      <c r="U2381" s="4">
        <f t="shared" si="789"/>
        <v>0</v>
      </c>
      <c r="V2381" s="4">
        <f t="shared" si="789"/>
        <v>0</v>
      </c>
    </row>
    <row r="2382" spans="4:22" x14ac:dyDescent="0.15">
      <c r="D2382" s="4">
        <f t="shared" si="759"/>
        <v>553</v>
      </c>
      <c r="E2382" s="4">
        <v>30</v>
      </c>
      <c r="H2382" s="29">
        <v>1001</v>
      </c>
      <c r="I2382" s="30">
        <v>0</v>
      </c>
      <c r="M2382" s="4">
        <f t="shared" ref="M2382:V2382" si="790">M766*$C$1623</f>
        <v>925.5</v>
      </c>
      <c r="N2382" s="4">
        <f t="shared" si="790"/>
        <v>186</v>
      </c>
      <c r="O2382" s="4">
        <f t="shared" si="790"/>
        <v>9789</v>
      </c>
      <c r="P2382" s="4">
        <f t="shared" si="790"/>
        <v>0</v>
      </c>
      <c r="Q2382" s="4">
        <f t="shared" si="790"/>
        <v>3843</v>
      </c>
      <c r="R2382" s="4">
        <f t="shared" si="790"/>
        <v>3.75</v>
      </c>
      <c r="S2382" s="4">
        <f t="shared" si="790"/>
        <v>66</v>
      </c>
      <c r="T2382" s="4">
        <f t="shared" si="790"/>
        <v>0</v>
      </c>
      <c r="U2382" s="4">
        <f t="shared" si="790"/>
        <v>0</v>
      </c>
      <c r="V2382" s="4">
        <f t="shared" si="790"/>
        <v>0</v>
      </c>
    </row>
    <row r="2383" spans="4:22" x14ac:dyDescent="0.15">
      <c r="D2383" s="4">
        <f t="shared" si="759"/>
        <v>553</v>
      </c>
      <c r="E2383" s="4">
        <v>31</v>
      </c>
      <c r="H2383" s="29">
        <v>1001</v>
      </c>
      <c r="I2383" s="30">
        <v>0</v>
      </c>
      <c r="M2383" s="4">
        <f t="shared" ref="M2383:V2383" si="791">M767*$C$1623</f>
        <v>943.5</v>
      </c>
      <c r="N2383" s="4">
        <f t="shared" si="791"/>
        <v>192</v>
      </c>
      <c r="O2383" s="4">
        <f t="shared" si="791"/>
        <v>9918</v>
      </c>
      <c r="P2383" s="4">
        <f t="shared" si="791"/>
        <v>0</v>
      </c>
      <c r="Q2383" s="4">
        <f t="shared" si="791"/>
        <v>3855</v>
      </c>
      <c r="R2383" s="4">
        <f t="shared" si="791"/>
        <v>3.75</v>
      </c>
      <c r="S2383" s="4">
        <f t="shared" si="791"/>
        <v>67.5</v>
      </c>
      <c r="T2383" s="4">
        <f t="shared" si="791"/>
        <v>0</v>
      </c>
      <c r="U2383" s="4">
        <f t="shared" si="791"/>
        <v>0</v>
      </c>
      <c r="V2383" s="4">
        <f t="shared" si="791"/>
        <v>0</v>
      </c>
    </row>
    <row r="2384" spans="4:22" x14ac:dyDescent="0.15">
      <c r="D2384" s="4">
        <f t="shared" si="759"/>
        <v>553</v>
      </c>
      <c r="E2384" s="4">
        <v>32</v>
      </c>
      <c r="H2384" s="29">
        <v>1001</v>
      </c>
      <c r="I2384" s="30">
        <v>0</v>
      </c>
      <c r="M2384" s="4">
        <f t="shared" ref="M2384:V2384" si="792">M768*$C$1623</f>
        <v>961.5</v>
      </c>
      <c r="N2384" s="4">
        <f t="shared" si="792"/>
        <v>198</v>
      </c>
      <c r="O2384" s="4">
        <f t="shared" si="792"/>
        <v>10047</v>
      </c>
      <c r="P2384" s="4">
        <f t="shared" si="792"/>
        <v>0</v>
      </c>
      <c r="Q2384" s="4">
        <f t="shared" si="792"/>
        <v>3867</v>
      </c>
      <c r="R2384" s="4">
        <f t="shared" si="792"/>
        <v>3.75</v>
      </c>
      <c r="S2384" s="4">
        <f t="shared" si="792"/>
        <v>69</v>
      </c>
      <c r="T2384" s="4">
        <f t="shared" si="792"/>
        <v>0</v>
      </c>
      <c r="U2384" s="4">
        <f t="shared" si="792"/>
        <v>0</v>
      </c>
      <c r="V2384" s="4">
        <f t="shared" si="792"/>
        <v>0</v>
      </c>
    </row>
    <row r="2385" spans="4:22" x14ac:dyDescent="0.15">
      <c r="D2385" s="4">
        <f t="shared" si="759"/>
        <v>553</v>
      </c>
      <c r="E2385" s="4">
        <v>33</v>
      </c>
      <c r="H2385" s="29">
        <v>1001</v>
      </c>
      <c r="I2385" s="30">
        <v>0</v>
      </c>
      <c r="M2385" s="4">
        <f t="shared" ref="M2385:V2385" si="793">M769*$C$1623</f>
        <v>979.5</v>
      </c>
      <c r="N2385" s="4">
        <f t="shared" si="793"/>
        <v>204</v>
      </c>
      <c r="O2385" s="4">
        <f t="shared" si="793"/>
        <v>10176</v>
      </c>
      <c r="P2385" s="4">
        <f t="shared" si="793"/>
        <v>0</v>
      </c>
      <c r="Q2385" s="4">
        <f t="shared" si="793"/>
        <v>3879</v>
      </c>
      <c r="R2385" s="4">
        <f t="shared" si="793"/>
        <v>3.75</v>
      </c>
      <c r="S2385" s="4">
        <f t="shared" si="793"/>
        <v>70.5</v>
      </c>
      <c r="T2385" s="4">
        <f t="shared" si="793"/>
        <v>0</v>
      </c>
      <c r="U2385" s="4">
        <f t="shared" si="793"/>
        <v>0</v>
      </c>
      <c r="V2385" s="4">
        <f t="shared" si="793"/>
        <v>0</v>
      </c>
    </row>
    <row r="2386" spans="4:22" x14ac:dyDescent="0.15">
      <c r="D2386" s="4">
        <f t="shared" si="759"/>
        <v>553</v>
      </c>
      <c r="E2386" s="4">
        <v>34</v>
      </c>
      <c r="H2386" s="29">
        <v>1001</v>
      </c>
      <c r="I2386" s="30">
        <v>0</v>
      </c>
      <c r="M2386" s="4">
        <f t="shared" ref="M2386:V2386" si="794">M770*$C$1623</f>
        <v>997.5</v>
      </c>
      <c r="N2386" s="4">
        <f t="shared" si="794"/>
        <v>210</v>
      </c>
      <c r="O2386" s="4">
        <f t="shared" si="794"/>
        <v>10305</v>
      </c>
      <c r="P2386" s="4">
        <f t="shared" si="794"/>
        <v>0</v>
      </c>
      <c r="Q2386" s="4">
        <f t="shared" si="794"/>
        <v>3891</v>
      </c>
      <c r="R2386" s="4">
        <f t="shared" si="794"/>
        <v>3.75</v>
      </c>
      <c r="S2386" s="4">
        <f t="shared" si="794"/>
        <v>72</v>
      </c>
      <c r="T2386" s="4">
        <f t="shared" si="794"/>
        <v>0</v>
      </c>
      <c r="U2386" s="4">
        <f t="shared" si="794"/>
        <v>0</v>
      </c>
      <c r="V2386" s="4">
        <f t="shared" si="794"/>
        <v>0</v>
      </c>
    </row>
    <row r="2387" spans="4:22" x14ac:dyDescent="0.15">
      <c r="D2387" s="4">
        <f t="shared" si="759"/>
        <v>553</v>
      </c>
      <c r="E2387" s="4">
        <v>35</v>
      </c>
      <c r="H2387" s="29">
        <v>1001</v>
      </c>
      <c r="I2387" s="30">
        <v>0</v>
      </c>
      <c r="M2387" s="4">
        <f t="shared" ref="M2387:V2387" si="795">M771*$C$1623</f>
        <v>1015.5</v>
      </c>
      <c r="N2387" s="4">
        <f t="shared" si="795"/>
        <v>216</v>
      </c>
      <c r="O2387" s="4">
        <f t="shared" si="795"/>
        <v>10434</v>
      </c>
      <c r="P2387" s="4">
        <f t="shared" si="795"/>
        <v>0</v>
      </c>
      <c r="Q2387" s="4">
        <f t="shared" si="795"/>
        <v>3903</v>
      </c>
      <c r="R2387" s="4">
        <f t="shared" si="795"/>
        <v>3.75</v>
      </c>
      <c r="S2387" s="4">
        <f t="shared" si="795"/>
        <v>73.5</v>
      </c>
      <c r="T2387" s="4">
        <f t="shared" si="795"/>
        <v>0</v>
      </c>
      <c r="U2387" s="4">
        <f t="shared" si="795"/>
        <v>0</v>
      </c>
      <c r="V2387" s="4">
        <f t="shared" si="795"/>
        <v>0</v>
      </c>
    </row>
    <row r="2388" spans="4:22" x14ac:dyDescent="0.15">
      <c r="D2388" s="4">
        <f t="shared" si="759"/>
        <v>553</v>
      </c>
      <c r="E2388" s="4">
        <v>36</v>
      </c>
      <c r="H2388" s="29">
        <v>1001</v>
      </c>
      <c r="I2388" s="30">
        <v>0</v>
      </c>
      <c r="M2388" s="4">
        <f t="shared" ref="M2388:V2388" si="796">M772*$C$1623</f>
        <v>1033.5</v>
      </c>
      <c r="N2388" s="4">
        <f t="shared" si="796"/>
        <v>222</v>
      </c>
      <c r="O2388" s="4">
        <f t="shared" si="796"/>
        <v>10563</v>
      </c>
      <c r="P2388" s="4">
        <f t="shared" si="796"/>
        <v>0</v>
      </c>
      <c r="Q2388" s="4">
        <f t="shared" si="796"/>
        <v>3915</v>
      </c>
      <c r="R2388" s="4">
        <f t="shared" si="796"/>
        <v>3.75</v>
      </c>
      <c r="S2388" s="4">
        <f t="shared" si="796"/>
        <v>75</v>
      </c>
      <c r="T2388" s="4">
        <f t="shared" si="796"/>
        <v>0</v>
      </c>
      <c r="U2388" s="4">
        <f t="shared" si="796"/>
        <v>0</v>
      </c>
      <c r="V2388" s="4">
        <f t="shared" si="796"/>
        <v>0</v>
      </c>
    </row>
    <row r="2389" spans="4:22" x14ac:dyDescent="0.15">
      <c r="D2389" s="4">
        <f t="shared" si="759"/>
        <v>553</v>
      </c>
      <c r="E2389" s="4">
        <v>37</v>
      </c>
      <c r="H2389" s="29">
        <v>1001</v>
      </c>
      <c r="I2389" s="30">
        <v>0</v>
      </c>
      <c r="M2389" s="4">
        <f t="shared" ref="M2389:V2389" si="797">M773*$C$1623</f>
        <v>1051.5</v>
      </c>
      <c r="N2389" s="4">
        <f t="shared" si="797"/>
        <v>228</v>
      </c>
      <c r="O2389" s="4">
        <f t="shared" si="797"/>
        <v>10692</v>
      </c>
      <c r="P2389" s="4">
        <f t="shared" si="797"/>
        <v>0</v>
      </c>
      <c r="Q2389" s="4">
        <f t="shared" si="797"/>
        <v>3927</v>
      </c>
      <c r="R2389" s="4">
        <f t="shared" si="797"/>
        <v>3.75</v>
      </c>
      <c r="S2389" s="4">
        <f t="shared" si="797"/>
        <v>76.5</v>
      </c>
      <c r="T2389" s="4">
        <f t="shared" si="797"/>
        <v>0</v>
      </c>
      <c r="U2389" s="4">
        <f t="shared" si="797"/>
        <v>0</v>
      </c>
      <c r="V2389" s="4">
        <f t="shared" si="797"/>
        <v>0</v>
      </c>
    </row>
    <row r="2390" spans="4:22" x14ac:dyDescent="0.15">
      <c r="D2390" s="4">
        <f t="shared" si="759"/>
        <v>553</v>
      </c>
      <c r="E2390" s="4">
        <v>38</v>
      </c>
      <c r="H2390" s="29">
        <v>1001</v>
      </c>
      <c r="I2390" s="30">
        <v>0</v>
      </c>
      <c r="M2390" s="4">
        <f t="shared" ref="M2390:V2390" si="798">M774*$C$1623</f>
        <v>1069.5</v>
      </c>
      <c r="N2390" s="4">
        <f t="shared" si="798"/>
        <v>234</v>
      </c>
      <c r="O2390" s="4">
        <f t="shared" si="798"/>
        <v>10821</v>
      </c>
      <c r="P2390" s="4">
        <f t="shared" si="798"/>
        <v>0</v>
      </c>
      <c r="Q2390" s="4">
        <f t="shared" si="798"/>
        <v>3939</v>
      </c>
      <c r="R2390" s="4">
        <f t="shared" si="798"/>
        <v>3.75</v>
      </c>
      <c r="S2390" s="4">
        <f t="shared" si="798"/>
        <v>78</v>
      </c>
      <c r="T2390" s="4">
        <f t="shared" si="798"/>
        <v>0</v>
      </c>
      <c r="U2390" s="4">
        <f t="shared" si="798"/>
        <v>0</v>
      </c>
      <c r="V2390" s="4">
        <f t="shared" si="798"/>
        <v>0</v>
      </c>
    </row>
    <row r="2391" spans="4:22" x14ac:dyDescent="0.15">
      <c r="D2391" s="4">
        <f t="shared" si="759"/>
        <v>553</v>
      </c>
      <c r="E2391" s="4">
        <v>39</v>
      </c>
      <c r="H2391" s="29">
        <v>1001</v>
      </c>
      <c r="I2391" s="30">
        <v>0</v>
      </c>
      <c r="M2391" s="4">
        <f t="shared" ref="M2391:V2391" si="799">M775*$C$1623</f>
        <v>1087.5</v>
      </c>
      <c r="N2391" s="4">
        <f t="shared" si="799"/>
        <v>240</v>
      </c>
      <c r="O2391" s="4">
        <f t="shared" si="799"/>
        <v>10950</v>
      </c>
      <c r="P2391" s="4">
        <f t="shared" si="799"/>
        <v>0</v>
      </c>
      <c r="Q2391" s="4">
        <f t="shared" si="799"/>
        <v>3951</v>
      </c>
      <c r="R2391" s="4">
        <f t="shared" si="799"/>
        <v>3.75</v>
      </c>
      <c r="S2391" s="4">
        <f t="shared" si="799"/>
        <v>79.5</v>
      </c>
      <c r="T2391" s="4">
        <f t="shared" si="799"/>
        <v>0</v>
      </c>
      <c r="U2391" s="4">
        <f t="shared" si="799"/>
        <v>0</v>
      </c>
      <c r="V2391" s="4">
        <f t="shared" si="799"/>
        <v>0</v>
      </c>
    </row>
    <row r="2392" spans="4:22" x14ac:dyDescent="0.15">
      <c r="D2392" s="4">
        <f t="shared" si="759"/>
        <v>553</v>
      </c>
      <c r="E2392" s="4">
        <v>40</v>
      </c>
      <c r="H2392" s="29">
        <v>1001</v>
      </c>
      <c r="I2392" s="30">
        <v>0</v>
      </c>
      <c r="M2392" s="4">
        <f t="shared" ref="M2392:V2392" si="800">M776*$C$1623</f>
        <v>1105.5</v>
      </c>
      <c r="N2392" s="4">
        <f t="shared" si="800"/>
        <v>246</v>
      </c>
      <c r="O2392" s="4">
        <f t="shared" si="800"/>
        <v>11079</v>
      </c>
      <c r="P2392" s="4">
        <f t="shared" si="800"/>
        <v>0</v>
      </c>
      <c r="Q2392" s="4">
        <f t="shared" si="800"/>
        <v>3963</v>
      </c>
      <c r="R2392" s="4">
        <f t="shared" si="800"/>
        <v>3.75</v>
      </c>
      <c r="S2392" s="4">
        <f t="shared" si="800"/>
        <v>81</v>
      </c>
      <c r="T2392" s="4">
        <f t="shared" si="800"/>
        <v>0</v>
      </c>
      <c r="U2392" s="4">
        <f t="shared" si="800"/>
        <v>0</v>
      </c>
      <c r="V2392" s="4">
        <f t="shared" si="800"/>
        <v>0</v>
      </c>
    </row>
    <row r="2393" spans="4:22" x14ac:dyDescent="0.15">
      <c r="D2393" s="4">
        <f t="shared" si="759"/>
        <v>553</v>
      </c>
      <c r="E2393" s="4">
        <v>41</v>
      </c>
      <c r="H2393" s="29">
        <v>1001</v>
      </c>
      <c r="I2393" s="30">
        <v>0</v>
      </c>
      <c r="M2393" s="4">
        <f t="shared" ref="M2393:V2393" si="801">M777*$C$1623</f>
        <v>1123.5</v>
      </c>
      <c r="N2393" s="4">
        <f t="shared" si="801"/>
        <v>252</v>
      </c>
      <c r="O2393" s="4">
        <f t="shared" si="801"/>
        <v>11208</v>
      </c>
      <c r="P2393" s="4">
        <f t="shared" si="801"/>
        <v>0</v>
      </c>
      <c r="Q2393" s="4">
        <f t="shared" si="801"/>
        <v>3975</v>
      </c>
      <c r="R2393" s="4">
        <f t="shared" si="801"/>
        <v>3.75</v>
      </c>
      <c r="S2393" s="4">
        <f t="shared" si="801"/>
        <v>82.5</v>
      </c>
      <c r="T2393" s="4">
        <f t="shared" si="801"/>
        <v>0</v>
      </c>
      <c r="U2393" s="4">
        <f t="shared" si="801"/>
        <v>0</v>
      </c>
      <c r="V2393" s="4">
        <f t="shared" si="801"/>
        <v>0</v>
      </c>
    </row>
    <row r="2394" spans="4:22" x14ac:dyDescent="0.15">
      <c r="D2394" s="4">
        <f t="shared" si="759"/>
        <v>553</v>
      </c>
      <c r="E2394" s="4">
        <v>42</v>
      </c>
      <c r="H2394" s="29">
        <v>1001</v>
      </c>
      <c r="I2394" s="30">
        <v>0</v>
      </c>
      <c r="M2394" s="4">
        <f t="shared" ref="M2394:V2394" si="802">M778*$C$1623</f>
        <v>1141.5</v>
      </c>
      <c r="N2394" s="4">
        <f t="shared" si="802"/>
        <v>258</v>
      </c>
      <c r="O2394" s="4">
        <f t="shared" si="802"/>
        <v>11337</v>
      </c>
      <c r="P2394" s="4">
        <f t="shared" si="802"/>
        <v>0</v>
      </c>
      <c r="Q2394" s="4">
        <f t="shared" si="802"/>
        <v>3987</v>
      </c>
      <c r="R2394" s="4">
        <f t="shared" si="802"/>
        <v>3.75</v>
      </c>
      <c r="S2394" s="4">
        <f t="shared" si="802"/>
        <v>84</v>
      </c>
      <c r="T2394" s="4">
        <f t="shared" si="802"/>
        <v>0</v>
      </c>
      <c r="U2394" s="4">
        <f t="shared" si="802"/>
        <v>0</v>
      </c>
      <c r="V2394" s="4">
        <f t="shared" si="802"/>
        <v>0</v>
      </c>
    </row>
    <row r="2395" spans="4:22" x14ac:dyDescent="0.15">
      <c r="D2395" s="4">
        <f t="shared" si="759"/>
        <v>553</v>
      </c>
      <c r="E2395" s="4">
        <v>43</v>
      </c>
      <c r="H2395" s="29">
        <v>1001</v>
      </c>
      <c r="I2395" s="30">
        <v>0</v>
      </c>
      <c r="M2395" s="4">
        <f t="shared" ref="M2395:V2395" si="803">M779*$C$1623</f>
        <v>1159.5</v>
      </c>
      <c r="N2395" s="4">
        <f t="shared" si="803"/>
        <v>264</v>
      </c>
      <c r="O2395" s="4">
        <f t="shared" si="803"/>
        <v>11466</v>
      </c>
      <c r="P2395" s="4">
        <f t="shared" si="803"/>
        <v>0</v>
      </c>
      <c r="Q2395" s="4">
        <f t="shared" si="803"/>
        <v>3999</v>
      </c>
      <c r="R2395" s="4">
        <f t="shared" si="803"/>
        <v>3.75</v>
      </c>
      <c r="S2395" s="4">
        <f t="shared" si="803"/>
        <v>85.5</v>
      </c>
      <c r="T2395" s="4">
        <f t="shared" si="803"/>
        <v>0</v>
      </c>
      <c r="U2395" s="4">
        <f t="shared" si="803"/>
        <v>0</v>
      </c>
      <c r="V2395" s="4">
        <f t="shared" si="803"/>
        <v>0</v>
      </c>
    </row>
    <row r="2396" spans="4:22" x14ac:dyDescent="0.15">
      <c r="D2396" s="4">
        <f t="shared" si="759"/>
        <v>553</v>
      </c>
      <c r="E2396" s="4">
        <v>44</v>
      </c>
      <c r="H2396" s="29">
        <v>1001</v>
      </c>
      <c r="I2396" s="30">
        <v>0</v>
      </c>
      <c r="M2396" s="4">
        <f t="shared" ref="M2396:V2396" si="804">M780*$C$1623</f>
        <v>1177.5</v>
      </c>
      <c r="N2396" s="4">
        <f t="shared" si="804"/>
        <v>270</v>
      </c>
      <c r="O2396" s="4">
        <f t="shared" si="804"/>
        <v>11595</v>
      </c>
      <c r="P2396" s="4">
        <f t="shared" si="804"/>
        <v>0</v>
      </c>
      <c r="Q2396" s="4">
        <f t="shared" si="804"/>
        <v>4011</v>
      </c>
      <c r="R2396" s="4">
        <f t="shared" si="804"/>
        <v>3.75</v>
      </c>
      <c r="S2396" s="4">
        <f t="shared" si="804"/>
        <v>87</v>
      </c>
      <c r="T2396" s="4">
        <f t="shared" si="804"/>
        <v>0</v>
      </c>
      <c r="U2396" s="4">
        <f t="shared" si="804"/>
        <v>0</v>
      </c>
      <c r="V2396" s="4">
        <f t="shared" si="804"/>
        <v>0</v>
      </c>
    </row>
    <row r="2397" spans="4:22" x14ac:dyDescent="0.15">
      <c r="D2397" s="4">
        <f t="shared" si="759"/>
        <v>553</v>
      </c>
      <c r="E2397" s="4">
        <v>45</v>
      </c>
      <c r="H2397" s="29">
        <v>1001</v>
      </c>
      <c r="I2397" s="30">
        <v>0</v>
      </c>
      <c r="M2397" s="4">
        <f t="shared" ref="M2397:V2397" si="805">M781*$C$1623</f>
        <v>1195.5</v>
      </c>
      <c r="N2397" s="4">
        <f t="shared" si="805"/>
        <v>276</v>
      </c>
      <c r="O2397" s="4">
        <f t="shared" si="805"/>
        <v>11724</v>
      </c>
      <c r="P2397" s="4">
        <f t="shared" si="805"/>
        <v>0</v>
      </c>
      <c r="Q2397" s="4">
        <f t="shared" si="805"/>
        <v>4023</v>
      </c>
      <c r="R2397" s="4">
        <f t="shared" si="805"/>
        <v>3.75</v>
      </c>
      <c r="S2397" s="4">
        <f t="shared" si="805"/>
        <v>88.5</v>
      </c>
      <c r="T2397" s="4">
        <f t="shared" si="805"/>
        <v>0</v>
      </c>
      <c r="U2397" s="4">
        <f t="shared" si="805"/>
        <v>0</v>
      </c>
      <c r="V2397" s="4">
        <f t="shared" si="805"/>
        <v>0</v>
      </c>
    </row>
    <row r="2398" spans="4:22" x14ac:dyDescent="0.15">
      <c r="D2398" s="4">
        <f t="shared" si="759"/>
        <v>553</v>
      </c>
      <c r="E2398" s="4">
        <v>46</v>
      </c>
      <c r="H2398" s="29">
        <v>1001</v>
      </c>
      <c r="I2398" s="30">
        <v>0</v>
      </c>
      <c r="M2398" s="4">
        <f t="shared" ref="M2398:V2398" si="806">M782*$C$1623</f>
        <v>1213.5</v>
      </c>
      <c r="N2398" s="4">
        <f t="shared" si="806"/>
        <v>282</v>
      </c>
      <c r="O2398" s="4">
        <f t="shared" si="806"/>
        <v>11853</v>
      </c>
      <c r="P2398" s="4">
        <f t="shared" si="806"/>
        <v>0</v>
      </c>
      <c r="Q2398" s="4">
        <f t="shared" si="806"/>
        <v>4035</v>
      </c>
      <c r="R2398" s="4">
        <f t="shared" si="806"/>
        <v>3.75</v>
      </c>
      <c r="S2398" s="4">
        <f t="shared" si="806"/>
        <v>90</v>
      </c>
      <c r="T2398" s="4">
        <f t="shared" si="806"/>
        <v>0</v>
      </c>
      <c r="U2398" s="4">
        <f t="shared" si="806"/>
        <v>0</v>
      </c>
      <c r="V2398" s="4">
        <f t="shared" si="806"/>
        <v>0</v>
      </c>
    </row>
    <row r="2399" spans="4:22" x14ac:dyDescent="0.15">
      <c r="D2399" s="4">
        <f t="shared" si="759"/>
        <v>553</v>
      </c>
      <c r="E2399" s="4">
        <v>47</v>
      </c>
      <c r="H2399" s="29">
        <v>1001</v>
      </c>
      <c r="I2399" s="30">
        <v>0</v>
      </c>
      <c r="M2399" s="4">
        <f t="shared" ref="M2399:V2399" si="807">M783*$C$1623</f>
        <v>1231.5</v>
      </c>
      <c r="N2399" s="4">
        <f t="shared" si="807"/>
        <v>288</v>
      </c>
      <c r="O2399" s="4">
        <f t="shared" si="807"/>
        <v>11982</v>
      </c>
      <c r="P2399" s="4">
        <f t="shared" si="807"/>
        <v>0</v>
      </c>
      <c r="Q2399" s="4">
        <f t="shared" si="807"/>
        <v>4047</v>
      </c>
      <c r="R2399" s="4">
        <f t="shared" si="807"/>
        <v>3.75</v>
      </c>
      <c r="S2399" s="4">
        <f t="shared" si="807"/>
        <v>91.5</v>
      </c>
      <c r="T2399" s="4">
        <f t="shared" si="807"/>
        <v>0</v>
      </c>
      <c r="U2399" s="4">
        <f t="shared" si="807"/>
        <v>0</v>
      </c>
      <c r="V2399" s="4">
        <f t="shared" si="807"/>
        <v>0</v>
      </c>
    </row>
    <row r="2400" spans="4:22" x14ac:dyDescent="0.15">
      <c r="D2400" s="4">
        <f t="shared" si="759"/>
        <v>553</v>
      </c>
      <c r="E2400" s="4">
        <v>48</v>
      </c>
      <c r="H2400" s="29">
        <v>1001</v>
      </c>
      <c r="I2400" s="30">
        <v>0</v>
      </c>
      <c r="M2400" s="4">
        <f t="shared" ref="M2400:V2400" si="808">M784*$C$1623</f>
        <v>1249.5</v>
      </c>
      <c r="N2400" s="4">
        <f t="shared" si="808"/>
        <v>294</v>
      </c>
      <c r="O2400" s="4">
        <f t="shared" si="808"/>
        <v>12111</v>
      </c>
      <c r="P2400" s="4">
        <f t="shared" si="808"/>
        <v>0</v>
      </c>
      <c r="Q2400" s="4">
        <f t="shared" si="808"/>
        <v>4059</v>
      </c>
      <c r="R2400" s="4">
        <f t="shared" si="808"/>
        <v>3.75</v>
      </c>
      <c r="S2400" s="4">
        <f t="shared" si="808"/>
        <v>93</v>
      </c>
      <c r="T2400" s="4">
        <f t="shared" si="808"/>
        <v>0</v>
      </c>
      <c r="U2400" s="4">
        <f t="shared" si="808"/>
        <v>0</v>
      </c>
      <c r="V2400" s="4">
        <f t="shared" si="808"/>
        <v>0</v>
      </c>
    </row>
    <row r="2401" spans="1:22" x14ac:dyDescent="0.15">
      <c r="D2401" s="4">
        <f t="shared" si="759"/>
        <v>553</v>
      </c>
      <c r="E2401" s="4">
        <v>49</v>
      </c>
      <c r="H2401" s="29">
        <v>1001</v>
      </c>
      <c r="I2401" s="30">
        <v>0</v>
      </c>
      <c r="M2401" s="4">
        <f t="shared" ref="M2401:V2401" si="809">M785*$C$1623</f>
        <v>1267.5</v>
      </c>
      <c r="N2401" s="4">
        <f t="shared" si="809"/>
        <v>300</v>
      </c>
      <c r="O2401" s="4">
        <f t="shared" si="809"/>
        <v>12240</v>
      </c>
      <c r="P2401" s="4">
        <f t="shared" si="809"/>
        <v>0</v>
      </c>
      <c r="Q2401" s="4">
        <f t="shared" si="809"/>
        <v>4071</v>
      </c>
      <c r="R2401" s="4">
        <f t="shared" si="809"/>
        <v>3.75</v>
      </c>
      <c r="S2401" s="4">
        <f t="shared" si="809"/>
        <v>94.5</v>
      </c>
      <c r="T2401" s="4">
        <f t="shared" si="809"/>
        <v>0</v>
      </c>
      <c r="U2401" s="4">
        <f t="shared" si="809"/>
        <v>0</v>
      </c>
      <c r="V2401" s="4">
        <f t="shared" si="809"/>
        <v>0</v>
      </c>
    </row>
    <row r="2402" spans="1:22" x14ac:dyDescent="0.15">
      <c r="D2402" s="4">
        <f t="shared" si="759"/>
        <v>553</v>
      </c>
      <c r="E2402" s="4">
        <v>50</v>
      </c>
      <c r="H2402" s="29">
        <v>1001</v>
      </c>
      <c r="I2402" s="30">
        <v>0</v>
      </c>
      <c r="M2402" s="4">
        <f t="shared" ref="M2402:V2402" si="810">M786*$C$1623</f>
        <v>1285.5</v>
      </c>
      <c r="N2402" s="4">
        <f t="shared" si="810"/>
        <v>306</v>
      </c>
      <c r="O2402" s="4">
        <f t="shared" si="810"/>
        <v>12369</v>
      </c>
      <c r="P2402" s="4">
        <f t="shared" si="810"/>
        <v>0</v>
      </c>
      <c r="Q2402" s="4">
        <f t="shared" si="810"/>
        <v>4083</v>
      </c>
      <c r="R2402" s="4">
        <f t="shared" si="810"/>
        <v>3.75</v>
      </c>
      <c r="S2402" s="4">
        <f t="shared" si="810"/>
        <v>96</v>
      </c>
      <c r="T2402" s="4">
        <f t="shared" si="810"/>
        <v>0</v>
      </c>
      <c r="U2402" s="4">
        <f t="shared" si="810"/>
        <v>0</v>
      </c>
      <c r="V2402" s="4">
        <f t="shared" si="810"/>
        <v>0</v>
      </c>
    </row>
    <row r="2403" spans="1:22" x14ac:dyDescent="0.15">
      <c r="I2403" s="4"/>
      <c r="M2403" s="4">
        <f t="shared" ref="M2403:V2403" si="811">M787*$C$1623</f>
        <v>0</v>
      </c>
      <c r="N2403" s="4">
        <f t="shared" si="811"/>
        <v>0</v>
      </c>
      <c r="O2403" s="4">
        <f t="shared" si="811"/>
        <v>0</v>
      </c>
      <c r="P2403" s="4">
        <f t="shared" si="811"/>
        <v>0</v>
      </c>
      <c r="Q2403" s="4">
        <f t="shared" si="811"/>
        <v>0</v>
      </c>
      <c r="R2403" s="4">
        <f t="shared" si="811"/>
        <v>0</v>
      </c>
      <c r="S2403" s="4">
        <f t="shared" si="811"/>
        <v>0</v>
      </c>
      <c r="T2403" s="4">
        <f t="shared" si="811"/>
        <v>0</v>
      </c>
      <c r="U2403" s="4">
        <f t="shared" si="811"/>
        <v>0</v>
      </c>
      <c r="V2403" s="4">
        <f t="shared" si="811"/>
        <v>0</v>
      </c>
    </row>
    <row r="2404" spans="1:22" ht="16.5" x14ac:dyDescent="0.15">
      <c r="A2404" s="4" t="s">
        <v>2662</v>
      </c>
      <c r="B2404" s="4" t="s">
        <v>3092</v>
      </c>
      <c r="C2404" s="4" t="s">
        <v>3093</v>
      </c>
      <c r="D2404" s="4">
        <v>561</v>
      </c>
      <c r="E2404" s="4">
        <v>0</v>
      </c>
      <c r="H2404" s="38">
        <v>2303</v>
      </c>
      <c r="I2404" s="38">
        <v>1</v>
      </c>
      <c r="L2404" s="8">
        <v>804</v>
      </c>
      <c r="M2404" s="4">
        <f t="shared" ref="M2404:V2404" si="812">M788*$C$1623</f>
        <v>0</v>
      </c>
      <c r="N2404" s="4">
        <f t="shared" si="812"/>
        <v>0</v>
      </c>
      <c r="O2404" s="4">
        <f t="shared" si="812"/>
        <v>0</v>
      </c>
      <c r="P2404" s="4">
        <f t="shared" si="812"/>
        <v>0</v>
      </c>
      <c r="Q2404" s="4">
        <f t="shared" si="812"/>
        <v>0</v>
      </c>
      <c r="R2404" s="4">
        <f t="shared" si="812"/>
        <v>0</v>
      </c>
      <c r="S2404" s="4">
        <f t="shared" si="812"/>
        <v>0</v>
      </c>
      <c r="T2404" s="4">
        <f t="shared" si="812"/>
        <v>0</v>
      </c>
      <c r="U2404" s="4">
        <f t="shared" si="812"/>
        <v>0</v>
      </c>
      <c r="V2404" s="4">
        <f t="shared" si="812"/>
        <v>0</v>
      </c>
    </row>
    <row r="2405" spans="1:22" x14ac:dyDescent="0.15">
      <c r="A2405" s="4" t="s">
        <v>2662</v>
      </c>
      <c r="D2405" s="4">
        <v>561</v>
      </c>
      <c r="E2405" s="4">
        <v>1</v>
      </c>
      <c r="H2405" s="29">
        <v>1001</v>
      </c>
      <c r="I2405" s="30">
        <v>0</v>
      </c>
      <c r="M2405" s="4">
        <f t="shared" ref="M2405:V2405" si="813">M789*$C$1623</f>
        <v>180</v>
      </c>
      <c r="N2405" s="4">
        <f t="shared" si="813"/>
        <v>7.5</v>
      </c>
      <c r="O2405" s="4">
        <f t="shared" si="813"/>
        <v>2700</v>
      </c>
      <c r="P2405" s="4">
        <f t="shared" si="813"/>
        <v>0</v>
      </c>
      <c r="Q2405" s="4">
        <f t="shared" si="813"/>
        <v>1920</v>
      </c>
      <c r="R2405" s="4">
        <f t="shared" si="813"/>
        <v>3.75</v>
      </c>
      <c r="S2405" s="4">
        <f t="shared" si="813"/>
        <v>12</v>
      </c>
      <c r="T2405" s="4">
        <f t="shared" si="813"/>
        <v>0</v>
      </c>
      <c r="U2405" s="4">
        <f t="shared" si="813"/>
        <v>0</v>
      </c>
      <c r="V2405" s="4">
        <f t="shared" si="813"/>
        <v>0</v>
      </c>
    </row>
    <row r="2406" spans="1:22" x14ac:dyDescent="0.15">
      <c r="A2406" s="4" t="s">
        <v>2662</v>
      </c>
      <c r="D2406" s="4">
        <v>561</v>
      </c>
      <c r="E2406" s="4">
        <v>2</v>
      </c>
      <c r="H2406" s="29">
        <v>1001</v>
      </c>
      <c r="I2406" s="30">
        <v>0</v>
      </c>
      <c r="M2406" s="4">
        <f t="shared" ref="M2406:V2406" si="814">M790*$C$1623</f>
        <v>198</v>
      </c>
      <c r="N2406" s="4">
        <f t="shared" si="814"/>
        <v>16.5</v>
      </c>
      <c r="O2406" s="4">
        <f t="shared" si="814"/>
        <v>2820</v>
      </c>
      <c r="P2406" s="4">
        <f t="shared" si="814"/>
        <v>0</v>
      </c>
      <c r="Q2406" s="4">
        <f t="shared" si="814"/>
        <v>1935</v>
      </c>
      <c r="R2406" s="4">
        <f t="shared" si="814"/>
        <v>3.75</v>
      </c>
      <c r="S2406" s="4">
        <f t="shared" si="814"/>
        <v>15</v>
      </c>
      <c r="T2406" s="4">
        <f t="shared" si="814"/>
        <v>0</v>
      </c>
      <c r="U2406" s="4">
        <f t="shared" si="814"/>
        <v>0</v>
      </c>
      <c r="V2406" s="4">
        <f t="shared" si="814"/>
        <v>0</v>
      </c>
    </row>
    <row r="2407" spans="1:22" x14ac:dyDescent="0.15">
      <c r="A2407" s="4" t="s">
        <v>2662</v>
      </c>
      <c r="D2407" s="4">
        <v>561</v>
      </c>
      <c r="E2407" s="4">
        <v>3</v>
      </c>
      <c r="H2407" s="29">
        <v>1001</v>
      </c>
      <c r="I2407" s="30">
        <v>0</v>
      </c>
      <c r="M2407" s="4">
        <f t="shared" ref="M2407:V2407" si="815">M791*$C$1623</f>
        <v>216</v>
      </c>
      <c r="N2407" s="4">
        <f t="shared" si="815"/>
        <v>25.5</v>
      </c>
      <c r="O2407" s="4">
        <f t="shared" si="815"/>
        <v>2940</v>
      </c>
      <c r="P2407" s="4">
        <f t="shared" si="815"/>
        <v>0</v>
      </c>
      <c r="Q2407" s="4">
        <f t="shared" si="815"/>
        <v>1950</v>
      </c>
      <c r="R2407" s="4">
        <f t="shared" si="815"/>
        <v>3.75</v>
      </c>
      <c r="S2407" s="4">
        <f t="shared" si="815"/>
        <v>18</v>
      </c>
      <c r="T2407" s="4">
        <f t="shared" si="815"/>
        <v>0</v>
      </c>
      <c r="U2407" s="4">
        <f t="shared" si="815"/>
        <v>0</v>
      </c>
      <c r="V2407" s="4">
        <f t="shared" si="815"/>
        <v>0</v>
      </c>
    </row>
    <row r="2408" spans="1:22" x14ac:dyDescent="0.15">
      <c r="A2408" s="4" t="s">
        <v>2662</v>
      </c>
      <c r="D2408" s="4">
        <v>561</v>
      </c>
      <c r="E2408" s="4">
        <v>4</v>
      </c>
      <c r="H2408" s="29">
        <v>1001</v>
      </c>
      <c r="I2408" s="30">
        <v>0</v>
      </c>
      <c r="M2408" s="4">
        <f t="shared" ref="M2408:V2408" si="816">M792*$C$1623</f>
        <v>234</v>
      </c>
      <c r="N2408" s="4">
        <f t="shared" si="816"/>
        <v>34.5</v>
      </c>
      <c r="O2408" s="4">
        <f t="shared" si="816"/>
        <v>3060</v>
      </c>
      <c r="P2408" s="4">
        <f t="shared" si="816"/>
        <v>0</v>
      </c>
      <c r="Q2408" s="4">
        <f t="shared" si="816"/>
        <v>1965</v>
      </c>
      <c r="R2408" s="4">
        <f t="shared" si="816"/>
        <v>3.75</v>
      </c>
      <c r="S2408" s="4">
        <f t="shared" si="816"/>
        <v>21</v>
      </c>
      <c r="T2408" s="4">
        <f t="shared" si="816"/>
        <v>0</v>
      </c>
      <c r="U2408" s="4">
        <f t="shared" si="816"/>
        <v>0</v>
      </c>
      <c r="V2408" s="4">
        <f t="shared" si="816"/>
        <v>0</v>
      </c>
    </row>
    <row r="2409" spans="1:22" x14ac:dyDescent="0.15">
      <c r="A2409" s="4" t="s">
        <v>2662</v>
      </c>
      <c r="D2409" s="4">
        <v>561</v>
      </c>
      <c r="E2409" s="4">
        <v>5</v>
      </c>
      <c r="H2409" s="29">
        <v>1001</v>
      </c>
      <c r="I2409" s="30">
        <v>0</v>
      </c>
      <c r="M2409" s="4">
        <f t="shared" ref="M2409:V2409" si="817">M793*$C$1623</f>
        <v>252</v>
      </c>
      <c r="N2409" s="4">
        <f t="shared" si="817"/>
        <v>43.5</v>
      </c>
      <c r="O2409" s="4">
        <f t="shared" si="817"/>
        <v>3180</v>
      </c>
      <c r="P2409" s="4">
        <f t="shared" si="817"/>
        <v>0</v>
      </c>
      <c r="Q2409" s="4">
        <f t="shared" si="817"/>
        <v>1980</v>
      </c>
      <c r="R2409" s="4">
        <f t="shared" si="817"/>
        <v>3.75</v>
      </c>
      <c r="S2409" s="4">
        <f t="shared" si="817"/>
        <v>24</v>
      </c>
      <c r="T2409" s="4">
        <f t="shared" si="817"/>
        <v>0</v>
      </c>
      <c r="U2409" s="4">
        <f t="shared" si="817"/>
        <v>0</v>
      </c>
      <c r="V2409" s="4">
        <f t="shared" si="817"/>
        <v>0</v>
      </c>
    </row>
    <row r="2410" spans="1:22" x14ac:dyDescent="0.15">
      <c r="A2410" s="4" t="s">
        <v>2662</v>
      </c>
      <c r="D2410" s="4">
        <v>561</v>
      </c>
      <c r="E2410" s="4">
        <v>6</v>
      </c>
      <c r="H2410" s="29">
        <v>1001</v>
      </c>
      <c r="I2410" s="30">
        <v>0</v>
      </c>
      <c r="M2410" s="4">
        <f t="shared" ref="M2410:V2410" si="818">M794*$C$1623</f>
        <v>270</v>
      </c>
      <c r="N2410" s="4">
        <f t="shared" si="818"/>
        <v>52.5</v>
      </c>
      <c r="O2410" s="4">
        <f t="shared" si="818"/>
        <v>3300</v>
      </c>
      <c r="P2410" s="4">
        <f t="shared" si="818"/>
        <v>0</v>
      </c>
      <c r="Q2410" s="4">
        <f t="shared" si="818"/>
        <v>1995</v>
      </c>
      <c r="R2410" s="4">
        <f t="shared" si="818"/>
        <v>3.75</v>
      </c>
      <c r="S2410" s="4">
        <f t="shared" si="818"/>
        <v>27</v>
      </c>
      <c r="T2410" s="4">
        <f t="shared" si="818"/>
        <v>0</v>
      </c>
      <c r="U2410" s="4">
        <f t="shared" si="818"/>
        <v>0</v>
      </c>
      <c r="V2410" s="4">
        <f t="shared" si="818"/>
        <v>0</v>
      </c>
    </row>
    <row r="2411" spans="1:22" x14ac:dyDescent="0.15">
      <c r="A2411" s="4" t="s">
        <v>2662</v>
      </c>
      <c r="D2411" s="4">
        <v>561</v>
      </c>
      <c r="E2411" s="4">
        <v>7</v>
      </c>
      <c r="H2411" s="29">
        <v>1001</v>
      </c>
      <c r="I2411" s="30">
        <v>0</v>
      </c>
      <c r="M2411" s="4">
        <f t="shared" ref="M2411:V2411" si="819">M795*$C$1623</f>
        <v>288</v>
      </c>
      <c r="N2411" s="4">
        <f t="shared" si="819"/>
        <v>61.5</v>
      </c>
      <c r="O2411" s="4">
        <f t="shared" si="819"/>
        <v>3420</v>
      </c>
      <c r="P2411" s="4">
        <f t="shared" si="819"/>
        <v>0</v>
      </c>
      <c r="Q2411" s="4">
        <f t="shared" si="819"/>
        <v>2010</v>
      </c>
      <c r="R2411" s="4">
        <f t="shared" si="819"/>
        <v>3.75</v>
      </c>
      <c r="S2411" s="4">
        <f t="shared" si="819"/>
        <v>30</v>
      </c>
      <c r="T2411" s="4">
        <f t="shared" si="819"/>
        <v>0</v>
      </c>
      <c r="U2411" s="4">
        <f t="shared" si="819"/>
        <v>0</v>
      </c>
      <c r="V2411" s="4">
        <f t="shared" si="819"/>
        <v>0</v>
      </c>
    </row>
    <row r="2412" spans="1:22" x14ac:dyDescent="0.15">
      <c r="A2412" s="4" t="s">
        <v>2662</v>
      </c>
      <c r="D2412" s="4">
        <v>561</v>
      </c>
      <c r="E2412" s="4">
        <v>8</v>
      </c>
      <c r="H2412" s="29">
        <v>1001</v>
      </c>
      <c r="I2412" s="30">
        <v>0</v>
      </c>
      <c r="M2412" s="4">
        <f t="shared" ref="M2412:V2412" si="820">M796*$C$1623</f>
        <v>306</v>
      </c>
      <c r="N2412" s="4">
        <f t="shared" si="820"/>
        <v>70.5</v>
      </c>
      <c r="O2412" s="4">
        <f t="shared" si="820"/>
        <v>3540</v>
      </c>
      <c r="P2412" s="4">
        <f t="shared" si="820"/>
        <v>0</v>
      </c>
      <c r="Q2412" s="4">
        <f t="shared" si="820"/>
        <v>2025</v>
      </c>
      <c r="R2412" s="4">
        <f t="shared" si="820"/>
        <v>3.75</v>
      </c>
      <c r="S2412" s="4">
        <f t="shared" si="820"/>
        <v>33</v>
      </c>
      <c r="T2412" s="4">
        <f t="shared" si="820"/>
        <v>0</v>
      </c>
      <c r="U2412" s="4">
        <f t="shared" si="820"/>
        <v>0</v>
      </c>
      <c r="V2412" s="4">
        <f t="shared" si="820"/>
        <v>0</v>
      </c>
    </row>
    <row r="2413" spans="1:22" x14ac:dyDescent="0.15">
      <c r="A2413" s="4" t="s">
        <v>2662</v>
      </c>
      <c r="D2413" s="4">
        <v>561</v>
      </c>
      <c r="E2413" s="4">
        <v>9</v>
      </c>
      <c r="H2413" s="29">
        <v>1001</v>
      </c>
      <c r="I2413" s="30">
        <v>0</v>
      </c>
      <c r="M2413" s="4">
        <f t="shared" ref="M2413:V2413" si="821">M797*$C$1623</f>
        <v>324</v>
      </c>
      <c r="N2413" s="4">
        <f t="shared" si="821"/>
        <v>79.5</v>
      </c>
      <c r="O2413" s="4">
        <f t="shared" si="821"/>
        <v>3660</v>
      </c>
      <c r="P2413" s="4">
        <f t="shared" si="821"/>
        <v>0</v>
      </c>
      <c r="Q2413" s="4">
        <f t="shared" si="821"/>
        <v>2040</v>
      </c>
      <c r="R2413" s="4">
        <f t="shared" si="821"/>
        <v>3.75</v>
      </c>
      <c r="S2413" s="4">
        <f t="shared" si="821"/>
        <v>36</v>
      </c>
      <c r="T2413" s="4">
        <f t="shared" si="821"/>
        <v>0</v>
      </c>
      <c r="U2413" s="4">
        <f t="shared" si="821"/>
        <v>0</v>
      </c>
      <c r="V2413" s="4">
        <f t="shared" si="821"/>
        <v>0</v>
      </c>
    </row>
    <row r="2414" spans="1:22" x14ac:dyDescent="0.15">
      <c r="A2414" s="4" t="s">
        <v>2662</v>
      </c>
      <c r="D2414" s="4">
        <v>561</v>
      </c>
      <c r="E2414" s="4">
        <v>10</v>
      </c>
      <c r="H2414" s="29">
        <v>1001</v>
      </c>
      <c r="I2414" s="30">
        <v>0</v>
      </c>
      <c r="M2414" s="4">
        <f t="shared" ref="M2414:V2414" si="822">M798*$C$1623</f>
        <v>342</v>
      </c>
      <c r="N2414" s="4">
        <f t="shared" si="822"/>
        <v>88.5</v>
      </c>
      <c r="O2414" s="4">
        <f t="shared" si="822"/>
        <v>3780</v>
      </c>
      <c r="P2414" s="4">
        <f t="shared" si="822"/>
        <v>0</v>
      </c>
      <c r="Q2414" s="4">
        <f t="shared" si="822"/>
        <v>2055</v>
      </c>
      <c r="R2414" s="4">
        <f t="shared" si="822"/>
        <v>3.75</v>
      </c>
      <c r="S2414" s="4">
        <f t="shared" si="822"/>
        <v>39</v>
      </c>
      <c r="T2414" s="4">
        <f t="shared" si="822"/>
        <v>0</v>
      </c>
      <c r="U2414" s="4">
        <f t="shared" si="822"/>
        <v>0</v>
      </c>
      <c r="V2414" s="4">
        <f t="shared" si="822"/>
        <v>0</v>
      </c>
    </row>
    <row r="2415" spans="1:22" x14ac:dyDescent="0.15">
      <c r="A2415" s="4" t="s">
        <v>2662</v>
      </c>
      <c r="D2415" s="4">
        <v>561</v>
      </c>
      <c r="E2415" s="4">
        <v>11</v>
      </c>
      <c r="H2415" s="29">
        <v>1001</v>
      </c>
      <c r="I2415" s="30">
        <v>0</v>
      </c>
      <c r="M2415" s="4">
        <f t="shared" ref="M2415:V2415" si="823">M799*$C$1623</f>
        <v>360</v>
      </c>
      <c r="N2415" s="4">
        <f t="shared" si="823"/>
        <v>97.5</v>
      </c>
      <c r="O2415" s="4">
        <f t="shared" si="823"/>
        <v>3900</v>
      </c>
      <c r="P2415" s="4">
        <f t="shared" si="823"/>
        <v>0</v>
      </c>
      <c r="Q2415" s="4">
        <f t="shared" si="823"/>
        <v>2070</v>
      </c>
      <c r="R2415" s="4">
        <f t="shared" si="823"/>
        <v>3.75</v>
      </c>
      <c r="S2415" s="4">
        <f t="shared" si="823"/>
        <v>42</v>
      </c>
      <c r="T2415" s="4">
        <f t="shared" si="823"/>
        <v>0</v>
      </c>
      <c r="U2415" s="4">
        <f t="shared" si="823"/>
        <v>0</v>
      </c>
      <c r="V2415" s="4">
        <f t="shared" si="823"/>
        <v>0</v>
      </c>
    </row>
    <row r="2416" spans="1:22" x14ac:dyDescent="0.15">
      <c r="A2416" s="4" t="s">
        <v>2662</v>
      </c>
      <c r="D2416" s="4">
        <v>561</v>
      </c>
      <c r="E2416" s="4">
        <v>12</v>
      </c>
      <c r="H2416" s="29">
        <v>1001</v>
      </c>
      <c r="I2416" s="30">
        <v>0</v>
      </c>
      <c r="M2416" s="4">
        <f t="shared" ref="M2416:V2416" si="824">M800*$C$1623</f>
        <v>378</v>
      </c>
      <c r="N2416" s="4">
        <f t="shared" si="824"/>
        <v>106.5</v>
      </c>
      <c r="O2416" s="4">
        <f t="shared" si="824"/>
        <v>4020</v>
      </c>
      <c r="P2416" s="4">
        <f t="shared" si="824"/>
        <v>0</v>
      </c>
      <c r="Q2416" s="4">
        <f t="shared" si="824"/>
        <v>2085</v>
      </c>
      <c r="R2416" s="4">
        <f t="shared" si="824"/>
        <v>3.75</v>
      </c>
      <c r="S2416" s="4">
        <f t="shared" si="824"/>
        <v>45</v>
      </c>
      <c r="T2416" s="4">
        <f t="shared" si="824"/>
        <v>0</v>
      </c>
      <c r="U2416" s="4">
        <f t="shared" si="824"/>
        <v>0</v>
      </c>
      <c r="V2416" s="4">
        <f t="shared" si="824"/>
        <v>0</v>
      </c>
    </row>
    <row r="2417" spans="1:22" x14ac:dyDescent="0.15">
      <c r="A2417" s="4" t="s">
        <v>2662</v>
      </c>
      <c r="D2417" s="4">
        <v>561</v>
      </c>
      <c r="E2417" s="4">
        <v>13</v>
      </c>
      <c r="H2417" s="29">
        <v>1001</v>
      </c>
      <c r="I2417" s="30">
        <v>0</v>
      </c>
      <c r="M2417" s="4">
        <f t="shared" ref="M2417:V2417" si="825">M801*$C$1623</f>
        <v>396</v>
      </c>
      <c r="N2417" s="4">
        <f t="shared" si="825"/>
        <v>115.5</v>
      </c>
      <c r="O2417" s="4">
        <f t="shared" si="825"/>
        <v>4140</v>
      </c>
      <c r="P2417" s="4">
        <f t="shared" si="825"/>
        <v>0</v>
      </c>
      <c r="Q2417" s="4">
        <f t="shared" si="825"/>
        <v>2100</v>
      </c>
      <c r="R2417" s="4">
        <f t="shared" si="825"/>
        <v>3.75</v>
      </c>
      <c r="S2417" s="4">
        <f t="shared" si="825"/>
        <v>48</v>
      </c>
      <c r="T2417" s="4">
        <f t="shared" si="825"/>
        <v>0</v>
      </c>
      <c r="U2417" s="4">
        <f t="shared" si="825"/>
        <v>0</v>
      </c>
      <c r="V2417" s="4">
        <f t="shared" si="825"/>
        <v>0</v>
      </c>
    </row>
    <row r="2418" spans="1:22" x14ac:dyDescent="0.15">
      <c r="A2418" s="4" t="s">
        <v>2662</v>
      </c>
      <c r="D2418" s="4">
        <v>561</v>
      </c>
      <c r="E2418" s="4">
        <v>14</v>
      </c>
      <c r="H2418" s="29">
        <v>1001</v>
      </c>
      <c r="I2418" s="30">
        <v>0</v>
      </c>
      <c r="M2418" s="4">
        <f t="shared" ref="M2418:V2418" si="826">M802*$C$1623</f>
        <v>414</v>
      </c>
      <c r="N2418" s="4">
        <f t="shared" si="826"/>
        <v>124.5</v>
      </c>
      <c r="O2418" s="4">
        <f t="shared" si="826"/>
        <v>4260</v>
      </c>
      <c r="P2418" s="4">
        <f t="shared" si="826"/>
        <v>0</v>
      </c>
      <c r="Q2418" s="4">
        <f t="shared" si="826"/>
        <v>2115</v>
      </c>
      <c r="R2418" s="4">
        <f t="shared" si="826"/>
        <v>3.75</v>
      </c>
      <c r="S2418" s="4">
        <f t="shared" si="826"/>
        <v>51</v>
      </c>
      <c r="T2418" s="4">
        <f t="shared" si="826"/>
        <v>0</v>
      </c>
      <c r="U2418" s="4">
        <f t="shared" si="826"/>
        <v>0</v>
      </c>
      <c r="V2418" s="4">
        <f t="shared" si="826"/>
        <v>0</v>
      </c>
    </row>
    <row r="2419" spans="1:22" x14ac:dyDescent="0.15">
      <c r="A2419" s="4" t="s">
        <v>2662</v>
      </c>
      <c r="D2419" s="4">
        <v>561</v>
      </c>
      <c r="E2419" s="4">
        <v>15</v>
      </c>
      <c r="H2419" s="29">
        <v>1001</v>
      </c>
      <c r="I2419" s="30">
        <v>0</v>
      </c>
      <c r="M2419" s="4">
        <f t="shared" ref="M2419:V2419" si="827">M803*$C$1623</f>
        <v>432</v>
      </c>
      <c r="N2419" s="4">
        <f t="shared" si="827"/>
        <v>133.5</v>
      </c>
      <c r="O2419" s="4">
        <f t="shared" si="827"/>
        <v>4380</v>
      </c>
      <c r="P2419" s="4">
        <f t="shared" si="827"/>
        <v>0</v>
      </c>
      <c r="Q2419" s="4">
        <f t="shared" si="827"/>
        <v>2130</v>
      </c>
      <c r="R2419" s="4">
        <f t="shared" si="827"/>
        <v>3.75</v>
      </c>
      <c r="S2419" s="4">
        <f t="shared" si="827"/>
        <v>54</v>
      </c>
      <c r="T2419" s="4">
        <f t="shared" si="827"/>
        <v>0</v>
      </c>
      <c r="U2419" s="4">
        <f t="shared" si="827"/>
        <v>0</v>
      </c>
      <c r="V2419" s="4">
        <f t="shared" si="827"/>
        <v>0</v>
      </c>
    </row>
    <row r="2420" spans="1:22" x14ac:dyDescent="0.15">
      <c r="A2420" s="4" t="s">
        <v>2662</v>
      </c>
      <c r="D2420" s="4">
        <v>561</v>
      </c>
      <c r="E2420" s="4">
        <v>16</v>
      </c>
      <c r="H2420" s="29">
        <v>1001</v>
      </c>
      <c r="I2420" s="30">
        <v>0</v>
      </c>
      <c r="M2420" s="4">
        <f t="shared" ref="M2420:V2420" si="828">M804*$C$1623</f>
        <v>450</v>
      </c>
      <c r="N2420" s="4">
        <f t="shared" si="828"/>
        <v>142.5</v>
      </c>
      <c r="O2420" s="4">
        <f t="shared" si="828"/>
        <v>4500</v>
      </c>
      <c r="P2420" s="4">
        <f t="shared" si="828"/>
        <v>0</v>
      </c>
      <c r="Q2420" s="4">
        <f t="shared" si="828"/>
        <v>2145</v>
      </c>
      <c r="R2420" s="4">
        <f t="shared" si="828"/>
        <v>3.75</v>
      </c>
      <c r="S2420" s="4">
        <f t="shared" si="828"/>
        <v>57</v>
      </c>
      <c r="T2420" s="4">
        <f t="shared" si="828"/>
        <v>0</v>
      </c>
      <c r="U2420" s="4">
        <f t="shared" si="828"/>
        <v>0</v>
      </c>
      <c r="V2420" s="4">
        <f t="shared" si="828"/>
        <v>0</v>
      </c>
    </row>
    <row r="2421" spans="1:22" x14ac:dyDescent="0.15">
      <c r="A2421" s="4" t="s">
        <v>2662</v>
      </c>
      <c r="D2421" s="4">
        <v>561</v>
      </c>
      <c r="E2421" s="4">
        <v>17</v>
      </c>
      <c r="H2421" s="29">
        <v>1001</v>
      </c>
      <c r="I2421" s="30">
        <v>0</v>
      </c>
      <c r="M2421" s="4">
        <f t="shared" ref="M2421:V2421" si="829">M805*$C$1623</f>
        <v>468</v>
      </c>
      <c r="N2421" s="4">
        <f t="shared" si="829"/>
        <v>151.5</v>
      </c>
      <c r="O2421" s="4">
        <f t="shared" si="829"/>
        <v>4620</v>
      </c>
      <c r="P2421" s="4">
        <f t="shared" si="829"/>
        <v>0</v>
      </c>
      <c r="Q2421" s="4">
        <f t="shared" si="829"/>
        <v>2160</v>
      </c>
      <c r="R2421" s="4">
        <f t="shared" si="829"/>
        <v>3.75</v>
      </c>
      <c r="S2421" s="4">
        <f t="shared" si="829"/>
        <v>60</v>
      </c>
      <c r="T2421" s="4">
        <f t="shared" si="829"/>
        <v>0</v>
      </c>
      <c r="U2421" s="4">
        <f t="shared" si="829"/>
        <v>0</v>
      </c>
      <c r="V2421" s="4">
        <f t="shared" si="829"/>
        <v>0</v>
      </c>
    </row>
    <row r="2422" spans="1:22" x14ac:dyDescent="0.15">
      <c r="A2422" s="4" t="s">
        <v>2662</v>
      </c>
      <c r="D2422" s="4">
        <v>561</v>
      </c>
      <c r="E2422" s="4">
        <v>18</v>
      </c>
      <c r="H2422" s="29">
        <v>1001</v>
      </c>
      <c r="I2422" s="30">
        <v>0</v>
      </c>
      <c r="M2422" s="4">
        <f t="shared" ref="M2422:V2422" si="830">M806*$C$1623</f>
        <v>486</v>
      </c>
      <c r="N2422" s="4">
        <f t="shared" si="830"/>
        <v>160.5</v>
      </c>
      <c r="O2422" s="4">
        <f t="shared" si="830"/>
        <v>4740</v>
      </c>
      <c r="P2422" s="4">
        <f t="shared" si="830"/>
        <v>0</v>
      </c>
      <c r="Q2422" s="4">
        <f t="shared" si="830"/>
        <v>2175</v>
      </c>
      <c r="R2422" s="4">
        <f t="shared" si="830"/>
        <v>3.75</v>
      </c>
      <c r="S2422" s="4">
        <f t="shared" si="830"/>
        <v>63</v>
      </c>
      <c r="T2422" s="4">
        <f t="shared" si="830"/>
        <v>0</v>
      </c>
      <c r="U2422" s="4">
        <f t="shared" si="830"/>
        <v>0</v>
      </c>
      <c r="V2422" s="4">
        <f t="shared" si="830"/>
        <v>0</v>
      </c>
    </row>
    <row r="2423" spans="1:22" x14ac:dyDescent="0.15">
      <c r="A2423" s="4" t="s">
        <v>2662</v>
      </c>
      <c r="D2423" s="4">
        <v>561</v>
      </c>
      <c r="E2423" s="4">
        <v>19</v>
      </c>
      <c r="H2423" s="29">
        <v>1001</v>
      </c>
      <c r="I2423" s="30">
        <v>0</v>
      </c>
      <c r="M2423" s="4">
        <f t="shared" ref="M2423:V2423" si="831">M807*$C$1623</f>
        <v>504</v>
      </c>
      <c r="N2423" s="4">
        <f t="shared" si="831"/>
        <v>169.5</v>
      </c>
      <c r="O2423" s="4">
        <f t="shared" si="831"/>
        <v>4860</v>
      </c>
      <c r="P2423" s="4">
        <f t="shared" si="831"/>
        <v>0</v>
      </c>
      <c r="Q2423" s="4">
        <f t="shared" si="831"/>
        <v>2190</v>
      </c>
      <c r="R2423" s="4">
        <f t="shared" si="831"/>
        <v>3.75</v>
      </c>
      <c r="S2423" s="4">
        <f t="shared" si="831"/>
        <v>66</v>
      </c>
      <c r="T2423" s="4">
        <f t="shared" si="831"/>
        <v>0</v>
      </c>
      <c r="U2423" s="4">
        <f t="shared" si="831"/>
        <v>0</v>
      </c>
      <c r="V2423" s="4">
        <f t="shared" si="831"/>
        <v>0</v>
      </c>
    </row>
    <row r="2424" spans="1:22" x14ac:dyDescent="0.15">
      <c r="A2424" s="4" t="s">
        <v>2662</v>
      </c>
      <c r="D2424" s="4">
        <v>561</v>
      </c>
      <c r="E2424" s="4">
        <v>20</v>
      </c>
      <c r="H2424" s="29">
        <v>1001</v>
      </c>
      <c r="I2424" s="30">
        <v>0</v>
      </c>
      <c r="M2424" s="4">
        <f t="shared" ref="M2424:V2424" si="832">M808*$C$1623</f>
        <v>522</v>
      </c>
      <c r="N2424" s="4">
        <f t="shared" si="832"/>
        <v>178.5</v>
      </c>
      <c r="O2424" s="4">
        <f t="shared" si="832"/>
        <v>4980</v>
      </c>
      <c r="P2424" s="4">
        <f t="shared" si="832"/>
        <v>0</v>
      </c>
      <c r="Q2424" s="4">
        <f t="shared" si="832"/>
        <v>2205</v>
      </c>
      <c r="R2424" s="4">
        <f t="shared" si="832"/>
        <v>3.75</v>
      </c>
      <c r="S2424" s="4">
        <f t="shared" si="832"/>
        <v>69</v>
      </c>
      <c r="T2424" s="4">
        <f t="shared" si="832"/>
        <v>0</v>
      </c>
      <c r="U2424" s="4">
        <f t="shared" si="832"/>
        <v>0</v>
      </c>
      <c r="V2424" s="4">
        <f t="shared" si="832"/>
        <v>0</v>
      </c>
    </row>
    <row r="2425" spans="1:22" x14ac:dyDescent="0.15">
      <c r="A2425" s="4" t="s">
        <v>2662</v>
      </c>
      <c r="D2425" s="4">
        <v>561</v>
      </c>
      <c r="E2425" s="4">
        <v>21</v>
      </c>
      <c r="H2425" s="29">
        <v>1001</v>
      </c>
      <c r="I2425" s="30">
        <v>0</v>
      </c>
      <c r="M2425" s="4">
        <f t="shared" ref="M2425:V2425" si="833">M809*$C$1623</f>
        <v>540</v>
      </c>
      <c r="N2425" s="4">
        <f t="shared" si="833"/>
        <v>187.5</v>
      </c>
      <c r="O2425" s="4">
        <f t="shared" si="833"/>
        <v>5100</v>
      </c>
      <c r="P2425" s="4">
        <f t="shared" si="833"/>
        <v>0</v>
      </c>
      <c r="Q2425" s="4">
        <f t="shared" si="833"/>
        <v>2220</v>
      </c>
      <c r="R2425" s="4">
        <f t="shared" si="833"/>
        <v>3.75</v>
      </c>
      <c r="S2425" s="4">
        <f t="shared" si="833"/>
        <v>72</v>
      </c>
      <c r="T2425" s="4">
        <f t="shared" si="833"/>
        <v>0</v>
      </c>
      <c r="U2425" s="4">
        <f t="shared" si="833"/>
        <v>0</v>
      </c>
      <c r="V2425" s="4">
        <f t="shared" si="833"/>
        <v>0</v>
      </c>
    </row>
    <row r="2426" spans="1:22" x14ac:dyDescent="0.15">
      <c r="A2426" s="4" t="s">
        <v>2662</v>
      </c>
      <c r="D2426" s="4">
        <v>561</v>
      </c>
      <c r="E2426" s="4">
        <v>22</v>
      </c>
      <c r="H2426" s="29">
        <v>1001</v>
      </c>
      <c r="I2426" s="30">
        <v>0</v>
      </c>
      <c r="M2426" s="4">
        <f t="shared" ref="M2426:V2426" si="834">M810*$C$1623</f>
        <v>558</v>
      </c>
      <c r="N2426" s="4">
        <f t="shared" si="834"/>
        <v>196.5</v>
      </c>
      <c r="O2426" s="4">
        <f t="shared" si="834"/>
        <v>5220</v>
      </c>
      <c r="P2426" s="4">
        <f t="shared" si="834"/>
        <v>0</v>
      </c>
      <c r="Q2426" s="4">
        <f t="shared" si="834"/>
        <v>2235</v>
      </c>
      <c r="R2426" s="4">
        <f t="shared" si="834"/>
        <v>3.75</v>
      </c>
      <c r="S2426" s="4">
        <f t="shared" si="834"/>
        <v>75</v>
      </c>
      <c r="T2426" s="4">
        <f t="shared" si="834"/>
        <v>0</v>
      </c>
      <c r="U2426" s="4">
        <f t="shared" si="834"/>
        <v>0</v>
      </c>
      <c r="V2426" s="4">
        <f t="shared" si="834"/>
        <v>0</v>
      </c>
    </row>
    <row r="2427" spans="1:22" x14ac:dyDescent="0.15">
      <c r="A2427" s="4" t="s">
        <v>2662</v>
      </c>
      <c r="D2427" s="4">
        <v>561</v>
      </c>
      <c r="E2427" s="4">
        <v>23</v>
      </c>
      <c r="H2427" s="29">
        <v>1001</v>
      </c>
      <c r="I2427" s="30">
        <v>0</v>
      </c>
      <c r="M2427" s="4">
        <f t="shared" ref="M2427:V2427" si="835">M811*$C$1623</f>
        <v>576</v>
      </c>
      <c r="N2427" s="4">
        <f t="shared" si="835"/>
        <v>205.5</v>
      </c>
      <c r="O2427" s="4">
        <f t="shared" si="835"/>
        <v>5340</v>
      </c>
      <c r="P2427" s="4">
        <f t="shared" si="835"/>
        <v>0</v>
      </c>
      <c r="Q2427" s="4">
        <f t="shared" si="835"/>
        <v>2250</v>
      </c>
      <c r="R2427" s="4">
        <f t="shared" si="835"/>
        <v>3.75</v>
      </c>
      <c r="S2427" s="4">
        <f t="shared" si="835"/>
        <v>78</v>
      </c>
      <c r="T2427" s="4">
        <f t="shared" si="835"/>
        <v>0</v>
      </c>
      <c r="U2427" s="4">
        <f t="shared" si="835"/>
        <v>0</v>
      </c>
      <c r="V2427" s="4">
        <f t="shared" si="835"/>
        <v>0</v>
      </c>
    </row>
    <row r="2428" spans="1:22" x14ac:dyDescent="0.15">
      <c r="A2428" s="4" t="s">
        <v>2662</v>
      </c>
      <c r="D2428" s="4">
        <v>561</v>
      </c>
      <c r="E2428" s="4">
        <v>24</v>
      </c>
      <c r="H2428" s="29">
        <v>1001</v>
      </c>
      <c r="I2428" s="30">
        <v>0</v>
      </c>
      <c r="M2428" s="4">
        <f t="shared" ref="M2428:V2428" si="836">M812*$C$1623</f>
        <v>594</v>
      </c>
      <c r="N2428" s="4">
        <f t="shared" si="836"/>
        <v>214.5</v>
      </c>
      <c r="O2428" s="4">
        <f t="shared" si="836"/>
        <v>5460</v>
      </c>
      <c r="P2428" s="4">
        <f t="shared" si="836"/>
        <v>0</v>
      </c>
      <c r="Q2428" s="4">
        <f t="shared" si="836"/>
        <v>2265</v>
      </c>
      <c r="R2428" s="4">
        <f t="shared" si="836"/>
        <v>3.75</v>
      </c>
      <c r="S2428" s="4">
        <f t="shared" si="836"/>
        <v>81</v>
      </c>
      <c r="T2428" s="4">
        <f t="shared" si="836"/>
        <v>0</v>
      </c>
      <c r="U2428" s="4">
        <f t="shared" si="836"/>
        <v>0</v>
      </c>
      <c r="V2428" s="4">
        <f t="shared" si="836"/>
        <v>0</v>
      </c>
    </row>
    <row r="2429" spans="1:22" x14ac:dyDescent="0.15">
      <c r="A2429" s="4" t="s">
        <v>2662</v>
      </c>
      <c r="D2429" s="4">
        <v>561</v>
      </c>
      <c r="E2429" s="4">
        <v>25</v>
      </c>
      <c r="H2429" s="29">
        <v>1001</v>
      </c>
      <c r="I2429" s="30">
        <v>0</v>
      </c>
      <c r="M2429" s="4">
        <f t="shared" ref="M2429:V2429" si="837">M813*$C$1623</f>
        <v>612</v>
      </c>
      <c r="N2429" s="4">
        <f t="shared" si="837"/>
        <v>223.5</v>
      </c>
      <c r="O2429" s="4">
        <f t="shared" si="837"/>
        <v>5580</v>
      </c>
      <c r="P2429" s="4">
        <f t="shared" si="837"/>
        <v>0</v>
      </c>
      <c r="Q2429" s="4">
        <f t="shared" si="837"/>
        <v>2280</v>
      </c>
      <c r="R2429" s="4">
        <f t="shared" si="837"/>
        <v>3.75</v>
      </c>
      <c r="S2429" s="4">
        <f t="shared" si="837"/>
        <v>84</v>
      </c>
      <c r="T2429" s="4">
        <f t="shared" si="837"/>
        <v>0</v>
      </c>
      <c r="U2429" s="4">
        <f t="shared" si="837"/>
        <v>0</v>
      </c>
      <c r="V2429" s="4">
        <f t="shared" si="837"/>
        <v>0</v>
      </c>
    </row>
    <row r="2430" spans="1:22" x14ac:dyDescent="0.15">
      <c r="A2430" s="4" t="s">
        <v>2662</v>
      </c>
      <c r="D2430" s="4">
        <v>561</v>
      </c>
      <c r="E2430" s="4">
        <v>26</v>
      </c>
      <c r="H2430" s="29">
        <v>1001</v>
      </c>
      <c r="I2430" s="30">
        <v>0</v>
      </c>
      <c r="M2430" s="4">
        <f t="shared" ref="M2430:V2430" si="838">M814*$C$1623</f>
        <v>630</v>
      </c>
      <c r="N2430" s="4">
        <f t="shared" si="838"/>
        <v>232.5</v>
      </c>
      <c r="O2430" s="4">
        <f t="shared" si="838"/>
        <v>5700</v>
      </c>
      <c r="P2430" s="4">
        <f t="shared" si="838"/>
        <v>0</v>
      </c>
      <c r="Q2430" s="4">
        <f t="shared" si="838"/>
        <v>2295</v>
      </c>
      <c r="R2430" s="4">
        <f t="shared" si="838"/>
        <v>3.75</v>
      </c>
      <c r="S2430" s="4">
        <f t="shared" si="838"/>
        <v>87</v>
      </c>
      <c r="T2430" s="4">
        <f t="shared" si="838"/>
        <v>0</v>
      </c>
      <c r="U2430" s="4">
        <f t="shared" si="838"/>
        <v>0</v>
      </c>
      <c r="V2430" s="4">
        <f t="shared" si="838"/>
        <v>0</v>
      </c>
    </row>
    <row r="2431" spans="1:22" x14ac:dyDescent="0.15">
      <c r="A2431" s="4" t="s">
        <v>2662</v>
      </c>
      <c r="D2431" s="4">
        <v>561</v>
      </c>
      <c r="E2431" s="4">
        <v>27</v>
      </c>
      <c r="H2431" s="29">
        <v>1001</v>
      </c>
      <c r="I2431" s="30">
        <v>0</v>
      </c>
      <c r="M2431" s="4">
        <f t="shared" ref="M2431:V2431" si="839">M815*$C$1623</f>
        <v>648</v>
      </c>
      <c r="N2431" s="4">
        <f t="shared" si="839"/>
        <v>241.5</v>
      </c>
      <c r="O2431" s="4">
        <f t="shared" si="839"/>
        <v>5820</v>
      </c>
      <c r="P2431" s="4">
        <f t="shared" si="839"/>
        <v>0</v>
      </c>
      <c r="Q2431" s="4">
        <f t="shared" si="839"/>
        <v>2310</v>
      </c>
      <c r="R2431" s="4">
        <f t="shared" si="839"/>
        <v>3.75</v>
      </c>
      <c r="S2431" s="4">
        <f t="shared" si="839"/>
        <v>90</v>
      </c>
      <c r="T2431" s="4">
        <f t="shared" si="839"/>
        <v>0</v>
      </c>
      <c r="U2431" s="4">
        <f t="shared" si="839"/>
        <v>0</v>
      </c>
      <c r="V2431" s="4">
        <f t="shared" si="839"/>
        <v>0</v>
      </c>
    </row>
    <row r="2432" spans="1:22" x14ac:dyDescent="0.15">
      <c r="A2432" s="4" t="s">
        <v>2662</v>
      </c>
      <c r="D2432" s="4">
        <v>561</v>
      </c>
      <c r="E2432" s="4">
        <v>28</v>
      </c>
      <c r="H2432" s="29">
        <v>1001</v>
      </c>
      <c r="I2432" s="30">
        <v>0</v>
      </c>
      <c r="M2432" s="4">
        <f t="shared" ref="M2432:V2432" si="840">M816*$C$1623</f>
        <v>666</v>
      </c>
      <c r="N2432" s="4">
        <f t="shared" si="840"/>
        <v>250.5</v>
      </c>
      <c r="O2432" s="4">
        <f t="shared" si="840"/>
        <v>5940</v>
      </c>
      <c r="P2432" s="4">
        <f t="shared" si="840"/>
        <v>0</v>
      </c>
      <c r="Q2432" s="4">
        <f t="shared" si="840"/>
        <v>2325</v>
      </c>
      <c r="R2432" s="4">
        <f t="shared" si="840"/>
        <v>3.75</v>
      </c>
      <c r="S2432" s="4">
        <f t="shared" si="840"/>
        <v>93</v>
      </c>
      <c r="T2432" s="4">
        <f t="shared" si="840"/>
        <v>0</v>
      </c>
      <c r="U2432" s="4">
        <f t="shared" si="840"/>
        <v>0</v>
      </c>
      <c r="V2432" s="4">
        <f t="shared" si="840"/>
        <v>0</v>
      </c>
    </row>
    <row r="2433" spans="1:22" x14ac:dyDescent="0.15">
      <c r="A2433" s="4" t="s">
        <v>2662</v>
      </c>
      <c r="D2433" s="4">
        <v>561</v>
      </c>
      <c r="E2433" s="4">
        <v>29</v>
      </c>
      <c r="H2433" s="29">
        <v>1001</v>
      </c>
      <c r="I2433" s="30">
        <v>0</v>
      </c>
      <c r="M2433" s="4">
        <f t="shared" ref="M2433:V2433" si="841">M817*$C$1623</f>
        <v>684</v>
      </c>
      <c r="N2433" s="4">
        <f t="shared" si="841"/>
        <v>259.5</v>
      </c>
      <c r="O2433" s="4">
        <f t="shared" si="841"/>
        <v>6060</v>
      </c>
      <c r="P2433" s="4">
        <f t="shared" si="841"/>
        <v>0</v>
      </c>
      <c r="Q2433" s="4">
        <f t="shared" si="841"/>
        <v>2340</v>
      </c>
      <c r="R2433" s="4">
        <f t="shared" si="841"/>
        <v>3.75</v>
      </c>
      <c r="S2433" s="4">
        <f t="shared" si="841"/>
        <v>96</v>
      </c>
      <c r="T2433" s="4">
        <f t="shared" si="841"/>
        <v>0</v>
      </c>
      <c r="U2433" s="4">
        <f t="shared" si="841"/>
        <v>0</v>
      </c>
      <c r="V2433" s="4">
        <f t="shared" si="841"/>
        <v>0</v>
      </c>
    </row>
    <row r="2434" spans="1:22" x14ac:dyDescent="0.15">
      <c r="A2434" s="4" t="s">
        <v>2662</v>
      </c>
      <c r="D2434" s="4">
        <v>561</v>
      </c>
      <c r="E2434" s="4">
        <v>30</v>
      </c>
      <c r="H2434" s="29">
        <v>1001</v>
      </c>
      <c r="I2434" s="30">
        <v>0</v>
      </c>
      <c r="M2434" s="4">
        <f t="shared" ref="M2434:V2434" si="842">M818*$C$1623</f>
        <v>702</v>
      </c>
      <c r="N2434" s="4">
        <f t="shared" si="842"/>
        <v>268.5</v>
      </c>
      <c r="O2434" s="4">
        <f t="shared" si="842"/>
        <v>6180</v>
      </c>
      <c r="P2434" s="4">
        <f t="shared" si="842"/>
        <v>0</v>
      </c>
      <c r="Q2434" s="4">
        <f t="shared" si="842"/>
        <v>2355</v>
      </c>
      <c r="R2434" s="4">
        <f t="shared" si="842"/>
        <v>3.75</v>
      </c>
      <c r="S2434" s="4">
        <f t="shared" si="842"/>
        <v>99</v>
      </c>
      <c r="T2434" s="4">
        <f t="shared" si="842"/>
        <v>0</v>
      </c>
      <c r="U2434" s="4">
        <f t="shared" si="842"/>
        <v>0</v>
      </c>
      <c r="V2434" s="4">
        <f t="shared" si="842"/>
        <v>0</v>
      </c>
    </row>
    <row r="2435" spans="1:22" x14ac:dyDescent="0.15">
      <c r="A2435" s="4" t="s">
        <v>2662</v>
      </c>
      <c r="D2435" s="4">
        <v>561</v>
      </c>
      <c r="E2435" s="4">
        <v>31</v>
      </c>
      <c r="H2435" s="29">
        <v>1001</v>
      </c>
      <c r="I2435" s="30">
        <v>0</v>
      </c>
      <c r="M2435" s="4">
        <f t="shared" ref="M2435:V2435" si="843">M819*$C$1623</f>
        <v>720</v>
      </c>
      <c r="N2435" s="4">
        <f t="shared" si="843"/>
        <v>277.5</v>
      </c>
      <c r="O2435" s="4">
        <f t="shared" si="843"/>
        <v>6300</v>
      </c>
      <c r="P2435" s="4">
        <f t="shared" si="843"/>
        <v>0</v>
      </c>
      <c r="Q2435" s="4">
        <f t="shared" si="843"/>
        <v>2370</v>
      </c>
      <c r="R2435" s="4">
        <f t="shared" si="843"/>
        <v>3.75</v>
      </c>
      <c r="S2435" s="4">
        <f t="shared" si="843"/>
        <v>102</v>
      </c>
      <c r="T2435" s="4">
        <f t="shared" si="843"/>
        <v>0</v>
      </c>
      <c r="U2435" s="4">
        <f t="shared" si="843"/>
        <v>0</v>
      </c>
      <c r="V2435" s="4">
        <f t="shared" si="843"/>
        <v>0</v>
      </c>
    </row>
    <row r="2436" spans="1:22" x14ac:dyDescent="0.15">
      <c r="A2436" s="4" t="s">
        <v>2662</v>
      </c>
      <c r="D2436" s="4">
        <v>561</v>
      </c>
      <c r="E2436" s="4">
        <v>32</v>
      </c>
      <c r="H2436" s="29">
        <v>1001</v>
      </c>
      <c r="I2436" s="30">
        <v>0</v>
      </c>
      <c r="M2436" s="4">
        <f t="shared" ref="M2436:V2436" si="844">M820*$C$1623</f>
        <v>738</v>
      </c>
      <c r="N2436" s="4">
        <f t="shared" si="844"/>
        <v>286.5</v>
      </c>
      <c r="O2436" s="4">
        <f t="shared" si="844"/>
        <v>6420</v>
      </c>
      <c r="P2436" s="4">
        <f t="shared" si="844"/>
        <v>0</v>
      </c>
      <c r="Q2436" s="4">
        <f t="shared" si="844"/>
        <v>2385</v>
      </c>
      <c r="R2436" s="4">
        <f t="shared" si="844"/>
        <v>3.75</v>
      </c>
      <c r="S2436" s="4">
        <f t="shared" si="844"/>
        <v>105</v>
      </c>
      <c r="T2436" s="4">
        <f t="shared" si="844"/>
        <v>0</v>
      </c>
      <c r="U2436" s="4">
        <f t="shared" si="844"/>
        <v>0</v>
      </c>
      <c r="V2436" s="4">
        <f t="shared" si="844"/>
        <v>0</v>
      </c>
    </row>
    <row r="2437" spans="1:22" x14ac:dyDescent="0.15">
      <c r="A2437" s="4" t="s">
        <v>2662</v>
      </c>
      <c r="D2437" s="4">
        <v>561</v>
      </c>
      <c r="E2437" s="4">
        <v>33</v>
      </c>
      <c r="H2437" s="29">
        <v>1001</v>
      </c>
      <c r="I2437" s="30">
        <v>0</v>
      </c>
      <c r="M2437" s="4">
        <f t="shared" ref="M2437:V2437" si="845">M821*$C$1623</f>
        <v>756</v>
      </c>
      <c r="N2437" s="4">
        <f t="shared" si="845"/>
        <v>295.5</v>
      </c>
      <c r="O2437" s="4">
        <f t="shared" si="845"/>
        <v>6540</v>
      </c>
      <c r="P2437" s="4">
        <f t="shared" si="845"/>
        <v>0</v>
      </c>
      <c r="Q2437" s="4">
        <f t="shared" si="845"/>
        <v>2400</v>
      </c>
      <c r="R2437" s="4">
        <f t="shared" si="845"/>
        <v>3.75</v>
      </c>
      <c r="S2437" s="4">
        <f t="shared" si="845"/>
        <v>108</v>
      </c>
      <c r="T2437" s="4">
        <f t="shared" si="845"/>
        <v>0</v>
      </c>
      <c r="U2437" s="4">
        <f t="shared" si="845"/>
        <v>0</v>
      </c>
      <c r="V2437" s="4">
        <f t="shared" si="845"/>
        <v>0</v>
      </c>
    </row>
    <row r="2438" spans="1:22" x14ac:dyDescent="0.15">
      <c r="A2438" s="4" t="s">
        <v>2662</v>
      </c>
      <c r="D2438" s="4">
        <v>561</v>
      </c>
      <c r="E2438" s="4">
        <v>34</v>
      </c>
      <c r="H2438" s="29">
        <v>1001</v>
      </c>
      <c r="I2438" s="30">
        <v>0</v>
      </c>
      <c r="M2438" s="4">
        <f t="shared" ref="M2438:V2438" si="846">M822*$C$1623</f>
        <v>774</v>
      </c>
      <c r="N2438" s="4">
        <f t="shared" si="846"/>
        <v>304.5</v>
      </c>
      <c r="O2438" s="4">
        <f t="shared" si="846"/>
        <v>6660</v>
      </c>
      <c r="P2438" s="4">
        <f t="shared" si="846"/>
        <v>0</v>
      </c>
      <c r="Q2438" s="4">
        <f t="shared" si="846"/>
        <v>2415</v>
      </c>
      <c r="R2438" s="4">
        <f t="shared" si="846"/>
        <v>3.75</v>
      </c>
      <c r="S2438" s="4">
        <f t="shared" si="846"/>
        <v>111</v>
      </c>
      <c r="T2438" s="4">
        <f t="shared" si="846"/>
        <v>0</v>
      </c>
      <c r="U2438" s="4">
        <f t="shared" si="846"/>
        <v>0</v>
      </c>
      <c r="V2438" s="4">
        <f t="shared" si="846"/>
        <v>0</v>
      </c>
    </row>
    <row r="2439" spans="1:22" x14ac:dyDescent="0.15">
      <c r="A2439" s="4" t="s">
        <v>2662</v>
      </c>
      <c r="D2439" s="4">
        <v>561</v>
      </c>
      <c r="E2439" s="4">
        <v>35</v>
      </c>
      <c r="H2439" s="29">
        <v>1001</v>
      </c>
      <c r="I2439" s="30">
        <v>0</v>
      </c>
      <c r="M2439" s="4">
        <f t="shared" ref="M2439:V2439" si="847">M823*$C$1623</f>
        <v>792</v>
      </c>
      <c r="N2439" s="4">
        <f t="shared" si="847"/>
        <v>313.5</v>
      </c>
      <c r="O2439" s="4">
        <f t="shared" si="847"/>
        <v>6780</v>
      </c>
      <c r="P2439" s="4">
        <f t="shared" si="847"/>
        <v>0</v>
      </c>
      <c r="Q2439" s="4">
        <f t="shared" si="847"/>
        <v>2430</v>
      </c>
      <c r="R2439" s="4">
        <f t="shared" si="847"/>
        <v>3.75</v>
      </c>
      <c r="S2439" s="4">
        <f t="shared" si="847"/>
        <v>114</v>
      </c>
      <c r="T2439" s="4">
        <f t="shared" si="847"/>
        <v>0</v>
      </c>
      <c r="U2439" s="4">
        <f t="shared" si="847"/>
        <v>0</v>
      </c>
      <c r="V2439" s="4">
        <f t="shared" si="847"/>
        <v>0</v>
      </c>
    </row>
    <row r="2440" spans="1:22" x14ac:dyDescent="0.15">
      <c r="A2440" s="4" t="s">
        <v>2662</v>
      </c>
      <c r="D2440" s="4">
        <v>561</v>
      </c>
      <c r="E2440" s="4">
        <v>36</v>
      </c>
      <c r="H2440" s="29">
        <v>1001</v>
      </c>
      <c r="I2440" s="30">
        <v>0</v>
      </c>
      <c r="M2440" s="4">
        <f t="shared" ref="M2440:V2440" si="848">M824*$C$1623</f>
        <v>810</v>
      </c>
      <c r="N2440" s="4">
        <f t="shared" si="848"/>
        <v>322.5</v>
      </c>
      <c r="O2440" s="4">
        <f t="shared" si="848"/>
        <v>6900</v>
      </c>
      <c r="P2440" s="4">
        <f t="shared" si="848"/>
        <v>0</v>
      </c>
      <c r="Q2440" s="4">
        <f t="shared" si="848"/>
        <v>2445</v>
      </c>
      <c r="R2440" s="4">
        <f t="shared" si="848"/>
        <v>3.75</v>
      </c>
      <c r="S2440" s="4">
        <f t="shared" si="848"/>
        <v>117</v>
      </c>
      <c r="T2440" s="4">
        <f t="shared" si="848"/>
        <v>0</v>
      </c>
      <c r="U2440" s="4">
        <f t="shared" si="848"/>
        <v>0</v>
      </c>
      <c r="V2440" s="4">
        <f t="shared" si="848"/>
        <v>0</v>
      </c>
    </row>
    <row r="2441" spans="1:22" x14ac:dyDescent="0.15">
      <c r="A2441" s="4" t="s">
        <v>2662</v>
      </c>
      <c r="D2441" s="4">
        <v>561</v>
      </c>
      <c r="E2441" s="4">
        <v>37</v>
      </c>
      <c r="H2441" s="29">
        <v>1001</v>
      </c>
      <c r="I2441" s="30">
        <v>0</v>
      </c>
      <c r="M2441" s="4">
        <f t="shared" ref="M2441:V2441" si="849">M825*$C$1623</f>
        <v>828</v>
      </c>
      <c r="N2441" s="4">
        <f t="shared" si="849"/>
        <v>331.5</v>
      </c>
      <c r="O2441" s="4">
        <f t="shared" si="849"/>
        <v>7020</v>
      </c>
      <c r="P2441" s="4">
        <f t="shared" si="849"/>
        <v>0</v>
      </c>
      <c r="Q2441" s="4">
        <f t="shared" si="849"/>
        <v>2460</v>
      </c>
      <c r="R2441" s="4">
        <f t="shared" si="849"/>
        <v>3.75</v>
      </c>
      <c r="S2441" s="4">
        <f t="shared" si="849"/>
        <v>120</v>
      </c>
      <c r="T2441" s="4">
        <f t="shared" si="849"/>
        <v>0</v>
      </c>
      <c r="U2441" s="4">
        <f t="shared" si="849"/>
        <v>0</v>
      </c>
      <c r="V2441" s="4">
        <f t="shared" si="849"/>
        <v>0</v>
      </c>
    </row>
    <row r="2442" spans="1:22" x14ac:dyDescent="0.15">
      <c r="A2442" s="4" t="s">
        <v>2662</v>
      </c>
      <c r="D2442" s="4">
        <v>561</v>
      </c>
      <c r="E2442" s="4">
        <v>38</v>
      </c>
      <c r="H2442" s="29">
        <v>1001</v>
      </c>
      <c r="I2442" s="30">
        <v>0</v>
      </c>
      <c r="M2442" s="4">
        <f t="shared" ref="M2442:V2442" si="850">M826*$C$1623</f>
        <v>846</v>
      </c>
      <c r="N2442" s="4">
        <f t="shared" si="850"/>
        <v>340.5</v>
      </c>
      <c r="O2442" s="4">
        <f t="shared" si="850"/>
        <v>7140</v>
      </c>
      <c r="P2442" s="4">
        <f t="shared" si="850"/>
        <v>0</v>
      </c>
      <c r="Q2442" s="4">
        <f t="shared" si="850"/>
        <v>2475</v>
      </c>
      <c r="R2442" s="4">
        <f t="shared" si="850"/>
        <v>3.75</v>
      </c>
      <c r="S2442" s="4">
        <f t="shared" si="850"/>
        <v>123</v>
      </c>
      <c r="T2442" s="4">
        <f t="shared" si="850"/>
        <v>0</v>
      </c>
      <c r="U2442" s="4">
        <f t="shared" si="850"/>
        <v>0</v>
      </c>
      <c r="V2442" s="4">
        <f t="shared" si="850"/>
        <v>0</v>
      </c>
    </row>
    <row r="2443" spans="1:22" x14ac:dyDescent="0.15">
      <c r="A2443" s="4" t="s">
        <v>2662</v>
      </c>
      <c r="D2443" s="4">
        <v>561</v>
      </c>
      <c r="E2443" s="4">
        <v>39</v>
      </c>
      <c r="H2443" s="29">
        <v>1001</v>
      </c>
      <c r="I2443" s="30">
        <v>0</v>
      </c>
      <c r="M2443" s="4">
        <f t="shared" ref="M2443:V2443" si="851">M827*$C$1623</f>
        <v>864</v>
      </c>
      <c r="N2443" s="4">
        <f t="shared" si="851"/>
        <v>349.5</v>
      </c>
      <c r="O2443" s="4">
        <f t="shared" si="851"/>
        <v>7260</v>
      </c>
      <c r="P2443" s="4">
        <f t="shared" si="851"/>
        <v>0</v>
      </c>
      <c r="Q2443" s="4">
        <f t="shared" si="851"/>
        <v>2490</v>
      </c>
      <c r="R2443" s="4">
        <f t="shared" si="851"/>
        <v>3.75</v>
      </c>
      <c r="S2443" s="4">
        <f t="shared" si="851"/>
        <v>126</v>
      </c>
      <c r="T2443" s="4">
        <f t="shared" si="851"/>
        <v>0</v>
      </c>
      <c r="U2443" s="4">
        <f t="shared" si="851"/>
        <v>0</v>
      </c>
      <c r="V2443" s="4">
        <f t="shared" si="851"/>
        <v>0</v>
      </c>
    </row>
    <row r="2444" spans="1:22" x14ac:dyDescent="0.15">
      <c r="A2444" s="4" t="s">
        <v>2662</v>
      </c>
      <c r="D2444" s="4">
        <v>561</v>
      </c>
      <c r="E2444" s="4">
        <v>40</v>
      </c>
      <c r="H2444" s="29">
        <v>1001</v>
      </c>
      <c r="I2444" s="30">
        <v>0</v>
      </c>
      <c r="M2444" s="4">
        <f t="shared" ref="M2444:V2444" si="852">M828*$C$1623</f>
        <v>882</v>
      </c>
      <c r="N2444" s="4">
        <f t="shared" si="852"/>
        <v>358.5</v>
      </c>
      <c r="O2444" s="4">
        <f t="shared" si="852"/>
        <v>7380</v>
      </c>
      <c r="P2444" s="4">
        <f t="shared" si="852"/>
        <v>0</v>
      </c>
      <c r="Q2444" s="4">
        <f t="shared" si="852"/>
        <v>2505</v>
      </c>
      <c r="R2444" s="4">
        <f t="shared" si="852"/>
        <v>3.75</v>
      </c>
      <c r="S2444" s="4">
        <f t="shared" si="852"/>
        <v>129</v>
      </c>
      <c r="T2444" s="4">
        <f t="shared" si="852"/>
        <v>0</v>
      </c>
      <c r="U2444" s="4">
        <f t="shared" si="852"/>
        <v>0</v>
      </c>
      <c r="V2444" s="4">
        <f t="shared" si="852"/>
        <v>0</v>
      </c>
    </row>
    <row r="2445" spans="1:22" x14ac:dyDescent="0.15">
      <c r="A2445" s="4" t="s">
        <v>2662</v>
      </c>
      <c r="D2445" s="4">
        <v>561</v>
      </c>
      <c r="E2445" s="4">
        <v>41</v>
      </c>
      <c r="H2445" s="29">
        <v>1001</v>
      </c>
      <c r="I2445" s="30">
        <v>0</v>
      </c>
      <c r="M2445" s="4">
        <f t="shared" ref="M2445:V2445" si="853">M829*$C$1623</f>
        <v>900</v>
      </c>
      <c r="N2445" s="4">
        <f t="shared" si="853"/>
        <v>367.5</v>
      </c>
      <c r="O2445" s="4">
        <f t="shared" si="853"/>
        <v>7500</v>
      </c>
      <c r="P2445" s="4">
        <f t="shared" si="853"/>
        <v>0</v>
      </c>
      <c r="Q2445" s="4">
        <f t="shared" si="853"/>
        <v>2520</v>
      </c>
      <c r="R2445" s="4">
        <f t="shared" si="853"/>
        <v>3.75</v>
      </c>
      <c r="S2445" s="4">
        <f t="shared" si="853"/>
        <v>132</v>
      </c>
      <c r="T2445" s="4">
        <f t="shared" si="853"/>
        <v>0</v>
      </c>
      <c r="U2445" s="4">
        <f t="shared" si="853"/>
        <v>0</v>
      </c>
      <c r="V2445" s="4">
        <f t="shared" si="853"/>
        <v>0</v>
      </c>
    </row>
    <row r="2446" spans="1:22" x14ac:dyDescent="0.15">
      <c r="A2446" s="4" t="s">
        <v>2662</v>
      </c>
      <c r="D2446" s="4">
        <v>561</v>
      </c>
      <c r="E2446" s="4">
        <v>42</v>
      </c>
      <c r="H2446" s="29">
        <v>1001</v>
      </c>
      <c r="I2446" s="30">
        <v>0</v>
      </c>
      <c r="M2446" s="4">
        <f t="shared" ref="M2446:V2446" si="854">M830*$C$1623</f>
        <v>918</v>
      </c>
      <c r="N2446" s="4">
        <f t="shared" si="854"/>
        <v>376.5</v>
      </c>
      <c r="O2446" s="4">
        <f t="shared" si="854"/>
        <v>7620</v>
      </c>
      <c r="P2446" s="4">
        <f t="shared" si="854"/>
        <v>0</v>
      </c>
      <c r="Q2446" s="4">
        <f t="shared" si="854"/>
        <v>2535</v>
      </c>
      <c r="R2446" s="4">
        <f t="shared" si="854"/>
        <v>3.75</v>
      </c>
      <c r="S2446" s="4">
        <f t="shared" si="854"/>
        <v>135</v>
      </c>
      <c r="T2446" s="4">
        <f t="shared" si="854"/>
        <v>0</v>
      </c>
      <c r="U2446" s="4">
        <f t="shared" si="854"/>
        <v>0</v>
      </c>
      <c r="V2446" s="4">
        <f t="shared" si="854"/>
        <v>0</v>
      </c>
    </row>
    <row r="2447" spans="1:22" x14ac:dyDescent="0.15">
      <c r="A2447" s="4" t="s">
        <v>2662</v>
      </c>
      <c r="D2447" s="4">
        <v>561</v>
      </c>
      <c r="E2447" s="4">
        <v>43</v>
      </c>
      <c r="H2447" s="29">
        <v>1001</v>
      </c>
      <c r="I2447" s="30">
        <v>0</v>
      </c>
      <c r="M2447" s="4">
        <f t="shared" ref="M2447:V2447" si="855">M831*$C$1623</f>
        <v>936</v>
      </c>
      <c r="N2447" s="4">
        <f t="shared" si="855"/>
        <v>385.5</v>
      </c>
      <c r="O2447" s="4">
        <f t="shared" si="855"/>
        <v>7740</v>
      </c>
      <c r="P2447" s="4">
        <f t="shared" si="855"/>
        <v>0</v>
      </c>
      <c r="Q2447" s="4">
        <f t="shared" si="855"/>
        <v>2550</v>
      </c>
      <c r="R2447" s="4">
        <f t="shared" si="855"/>
        <v>3.75</v>
      </c>
      <c r="S2447" s="4">
        <f t="shared" si="855"/>
        <v>138</v>
      </c>
      <c r="T2447" s="4">
        <f t="shared" si="855"/>
        <v>0</v>
      </c>
      <c r="U2447" s="4">
        <f t="shared" si="855"/>
        <v>0</v>
      </c>
      <c r="V2447" s="4">
        <f t="shared" si="855"/>
        <v>0</v>
      </c>
    </row>
    <row r="2448" spans="1:22" x14ac:dyDescent="0.15">
      <c r="A2448" s="4" t="s">
        <v>2662</v>
      </c>
      <c r="D2448" s="4">
        <v>561</v>
      </c>
      <c r="E2448" s="4">
        <v>44</v>
      </c>
      <c r="H2448" s="29">
        <v>1001</v>
      </c>
      <c r="I2448" s="30">
        <v>0</v>
      </c>
      <c r="M2448" s="4">
        <f t="shared" ref="M2448:V2448" si="856">M832*$C$1623</f>
        <v>954</v>
      </c>
      <c r="N2448" s="4">
        <f t="shared" si="856"/>
        <v>394.5</v>
      </c>
      <c r="O2448" s="4">
        <f t="shared" si="856"/>
        <v>7860</v>
      </c>
      <c r="P2448" s="4">
        <f t="shared" si="856"/>
        <v>0</v>
      </c>
      <c r="Q2448" s="4">
        <f t="shared" si="856"/>
        <v>2565</v>
      </c>
      <c r="R2448" s="4">
        <f t="shared" si="856"/>
        <v>3.75</v>
      </c>
      <c r="S2448" s="4">
        <f t="shared" si="856"/>
        <v>141</v>
      </c>
      <c r="T2448" s="4">
        <f t="shared" si="856"/>
        <v>0</v>
      </c>
      <c r="U2448" s="4">
        <f t="shared" si="856"/>
        <v>0</v>
      </c>
      <c r="V2448" s="4">
        <f t="shared" si="856"/>
        <v>0</v>
      </c>
    </row>
    <row r="2449" spans="1:22" x14ac:dyDescent="0.15">
      <c r="A2449" s="4" t="s">
        <v>2662</v>
      </c>
      <c r="D2449" s="4">
        <v>561</v>
      </c>
      <c r="E2449" s="4">
        <v>45</v>
      </c>
      <c r="H2449" s="29">
        <v>1001</v>
      </c>
      <c r="I2449" s="30">
        <v>0</v>
      </c>
      <c r="M2449" s="4">
        <f t="shared" ref="M2449:V2449" si="857">M833*$C$1623</f>
        <v>972</v>
      </c>
      <c r="N2449" s="4">
        <f t="shared" si="857"/>
        <v>403.5</v>
      </c>
      <c r="O2449" s="4">
        <f t="shared" si="857"/>
        <v>7980</v>
      </c>
      <c r="P2449" s="4">
        <f t="shared" si="857"/>
        <v>0</v>
      </c>
      <c r="Q2449" s="4">
        <f t="shared" si="857"/>
        <v>2580</v>
      </c>
      <c r="R2449" s="4">
        <f t="shared" si="857"/>
        <v>3.75</v>
      </c>
      <c r="S2449" s="4">
        <f t="shared" si="857"/>
        <v>144</v>
      </c>
      <c r="T2449" s="4">
        <f t="shared" si="857"/>
        <v>0</v>
      </c>
      <c r="U2449" s="4">
        <f t="shared" si="857"/>
        <v>0</v>
      </c>
      <c r="V2449" s="4">
        <f t="shared" si="857"/>
        <v>0</v>
      </c>
    </row>
    <row r="2450" spans="1:22" x14ac:dyDescent="0.15">
      <c r="A2450" s="4" t="s">
        <v>2662</v>
      </c>
      <c r="D2450" s="4">
        <v>561</v>
      </c>
      <c r="E2450" s="4">
        <v>46</v>
      </c>
      <c r="H2450" s="29">
        <v>1001</v>
      </c>
      <c r="I2450" s="30">
        <v>0</v>
      </c>
      <c r="M2450" s="4">
        <f t="shared" ref="M2450:V2450" si="858">M834*$C$1623</f>
        <v>990</v>
      </c>
      <c r="N2450" s="4">
        <f t="shared" si="858"/>
        <v>412.5</v>
      </c>
      <c r="O2450" s="4">
        <f t="shared" si="858"/>
        <v>8100</v>
      </c>
      <c r="P2450" s="4">
        <f t="shared" si="858"/>
        <v>0</v>
      </c>
      <c r="Q2450" s="4">
        <f t="shared" si="858"/>
        <v>2595</v>
      </c>
      <c r="R2450" s="4">
        <f t="shared" si="858"/>
        <v>3.75</v>
      </c>
      <c r="S2450" s="4">
        <f t="shared" si="858"/>
        <v>147</v>
      </c>
      <c r="T2450" s="4">
        <f t="shared" si="858"/>
        <v>0</v>
      </c>
      <c r="U2450" s="4">
        <f t="shared" si="858"/>
        <v>0</v>
      </c>
      <c r="V2450" s="4">
        <f t="shared" si="858"/>
        <v>0</v>
      </c>
    </row>
    <row r="2451" spans="1:22" x14ac:dyDescent="0.15">
      <c r="A2451" s="4" t="s">
        <v>2662</v>
      </c>
      <c r="D2451" s="4">
        <v>561</v>
      </c>
      <c r="E2451" s="4">
        <v>47</v>
      </c>
      <c r="H2451" s="29">
        <v>1001</v>
      </c>
      <c r="I2451" s="30">
        <v>0</v>
      </c>
      <c r="M2451" s="4">
        <f t="shared" ref="M2451:V2451" si="859">M835*$C$1623</f>
        <v>1008</v>
      </c>
      <c r="N2451" s="4">
        <f t="shared" si="859"/>
        <v>421.5</v>
      </c>
      <c r="O2451" s="4">
        <f t="shared" si="859"/>
        <v>8220</v>
      </c>
      <c r="P2451" s="4">
        <f t="shared" si="859"/>
        <v>0</v>
      </c>
      <c r="Q2451" s="4">
        <f t="shared" si="859"/>
        <v>2610</v>
      </c>
      <c r="R2451" s="4">
        <f t="shared" si="859"/>
        <v>3.75</v>
      </c>
      <c r="S2451" s="4">
        <f t="shared" si="859"/>
        <v>150</v>
      </c>
      <c r="T2451" s="4">
        <f t="shared" si="859"/>
        <v>0</v>
      </c>
      <c r="U2451" s="4">
        <f t="shared" si="859"/>
        <v>0</v>
      </c>
      <c r="V2451" s="4">
        <f t="shared" si="859"/>
        <v>0</v>
      </c>
    </row>
    <row r="2452" spans="1:22" x14ac:dyDescent="0.15">
      <c r="A2452" s="4" t="s">
        <v>2662</v>
      </c>
      <c r="D2452" s="4">
        <v>561</v>
      </c>
      <c r="E2452" s="4">
        <v>48</v>
      </c>
      <c r="H2452" s="29">
        <v>1001</v>
      </c>
      <c r="I2452" s="30">
        <v>0</v>
      </c>
      <c r="M2452" s="4">
        <f t="shared" ref="M2452:V2452" si="860">M836*$C$1623</f>
        <v>1026</v>
      </c>
      <c r="N2452" s="4">
        <f t="shared" si="860"/>
        <v>430.5</v>
      </c>
      <c r="O2452" s="4">
        <f t="shared" si="860"/>
        <v>8340</v>
      </c>
      <c r="P2452" s="4">
        <f t="shared" si="860"/>
        <v>0</v>
      </c>
      <c r="Q2452" s="4">
        <f t="shared" si="860"/>
        <v>2625</v>
      </c>
      <c r="R2452" s="4">
        <f t="shared" si="860"/>
        <v>3.75</v>
      </c>
      <c r="S2452" s="4">
        <f t="shared" si="860"/>
        <v>153</v>
      </c>
      <c r="T2452" s="4">
        <f t="shared" si="860"/>
        <v>0</v>
      </c>
      <c r="U2452" s="4">
        <f t="shared" si="860"/>
        <v>0</v>
      </c>
      <c r="V2452" s="4">
        <f t="shared" si="860"/>
        <v>0</v>
      </c>
    </row>
    <row r="2453" spans="1:22" x14ac:dyDescent="0.15">
      <c r="A2453" s="4" t="s">
        <v>2662</v>
      </c>
      <c r="D2453" s="4">
        <v>561</v>
      </c>
      <c r="E2453" s="4">
        <v>49</v>
      </c>
      <c r="H2453" s="29">
        <v>1001</v>
      </c>
      <c r="I2453" s="30">
        <v>0</v>
      </c>
      <c r="M2453" s="4">
        <f t="shared" ref="M2453:V2453" si="861">M837*$C$1623</f>
        <v>1044</v>
      </c>
      <c r="N2453" s="4">
        <f t="shared" si="861"/>
        <v>439.5</v>
      </c>
      <c r="O2453" s="4">
        <f t="shared" si="861"/>
        <v>8460</v>
      </c>
      <c r="P2453" s="4">
        <f t="shared" si="861"/>
        <v>0</v>
      </c>
      <c r="Q2453" s="4">
        <f t="shared" si="861"/>
        <v>2640</v>
      </c>
      <c r="R2453" s="4">
        <f t="shared" si="861"/>
        <v>3.75</v>
      </c>
      <c r="S2453" s="4">
        <f t="shared" si="861"/>
        <v>156</v>
      </c>
      <c r="T2453" s="4">
        <f t="shared" si="861"/>
        <v>0</v>
      </c>
      <c r="U2453" s="4">
        <f t="shared" si="861"/>
        <v>0</v>
      </c>
      <c r="V2453" s="4">
        <f t="shared" si="861"/>
        <v>0</v>
      </c>
    </row>
    <row r="2454" spans="1:22" x14ac:dyDescent="0.15">
      <c r="A2454" s="4" t="s">
        <v>2662</v>
      </c>
      <c r="D2454" s="4">
        <v>561</v>
      </c>
      <c r="E2454" s="4">
        <v>50</v>
      </c>
      <c r="H2454" s="29">
        <v>1001</v>
      </c>
      <c r="I2454" s="30">
        <v>0</v>
      </c>
      <c r="M2454" s="4">
        <f t="shared" ref="M2454:V2454" si="862">M838*$C$1623</f>
        <v>1062</v>
      </c>
      <c r="N2454" s="4">
        <f t="shared" si="862"/>
        <v>448.5</v>
      </c>
      <c r="O2454" s="4">
        <f t="shared" si="862"/>
        <v>8580</v>
      </c>
      <c r="P2454" s="4">
        <f t="shared" si="862"/>
        <v>0</v>
      </c>
      <c r="Q2454" s="4">
        <f t="shared" si="862"/>
        <v>2655</v>
      </c>
      <c r="R2454" s="4">
        <f t="shared" si="862"/>
        <v>3.75</v>
      </c>
      <c r="S2454" s="4">
        <f t="shared" si="862"/>
        <v>159</v>
      </c>
      <c r="T2454" s="4">
        <f t="shared" si="862"/>
        <v>0</v>
      </c>
      <c r="U2454" s="4">
        <f t="shared" si="862"/>
        <v>0</v>
      </c>
      <c r="V2454" s="4">
        <f t="shared" si="862"/>
        <v>0</v>
      </c>
    </row>
    <row r="2455" spans="1:22" x14ac:dyDescent="0.15">
      <c r="I2455" s="4"/>
      <c r="M2455" s="4">
        <f t="shared" ref="M2455:V2455" si="863">M839*$C$1623</f>
        <v>0</v>
      </c>
      <c r="N2455" s="4">
        <f t="shared" si="863"/>
        <v>0</v>
      </c>
      <c r="O2455" s="4">
        <f t="shared" si="863"/>
        <v>0</v>
      </c>
      <c r="P2455" s="4">
        <f t="shared" si="863"/>
        <v>0</v>
      </c>
      <c r="Q2455" s="4">
        <f t="shared" si="863"/>
        <v>0</v>
      </c>
      <c r="R2455" s="4">
        <f t="shared" si="863"/>
        <v>0</v>
      </c>
      <c r="S2455" s="4">
        <f t="shared" si="863"/>
        <v>0</v>
      </c>
      <c r="T2455" s="4">
        <f t="shared" si="863"/>
        <v>0</v>
      </c>
      <c r="U2455" s="4">
        <f t="shared" si="863"/>
        <v>0</v>
      </c>
      <c r="V2455" s="4">
        <f t="shared" si="863"/>
        <v>0</v>
      </c>
    </row>
    <row r="2456" spans="1:22" ht="16.5" x14ac:dyDescent="0.15">
      <c r="C2456" s="4" t="s">
        <v>3094</v>
      </c>
      <c r="D2456" s="4">
        <f>D2404+1</f>
        <v>562</v>
      </c>
      <c r="E2456" s="4">
        <v>0</v>
      </c>
      <c r="H2456" s="38">
        <v>2303</v>
      </c>
      <c r="I2456" s="38">
        <v>1</v>
      </c>
      <c r="L2456" s="8">
        <v>209</v>
      </c>
      <c r="M2456" s="4">
        <f t="shared" ref="M2456:V2456" si="864">M840*$C$1623</f>
        <v>0</v>
      </c>
      <c r="N2456" s="4">
        <f t="shared" si="864"/>
        <v>0</v>
      </c>
      <c r="O2456" s="4">
        <f t="shared" si="864"/>
        <v>0</v>
      </c>
      <c r="P2456" s="4">
        <f t="shared" si="864"/>
        <v>0</v>
      </c>
      <c r="Q2456" s="4">
        <f t="shared" si="864"/>
        <v>0</v>
      </c>
      <c r="R2456" s="4">
        <f t="shared" si="864"/>
        <v>0</v>
      </c>
      <c r="S2456" s="4">
        <f t="shared" si="864"/>
        <v>0</v>
      </c>
      <c r="T2456" s="4">
        <f t="shared" si="864"/>
        <v>0</v>
      </c>
      <c r="U2456" s="4">
        <f t="shared" si="864"/>
        <v>0</v>
      </c>
      <c r="V2456" s="4">
        <f t="shared" si="864"/>
        <v>0</v>
      </c>
    </row>
    <row r="2457" spans="1:22" x14ac:dyDescent="0.15">
      <c r="D2457" s="4">
        <f t="shared" ref="D2457:D2506" si="865">D2405+1</f>
        <v>562</v>
      </c>
      <c r="E2457" s="4">
        <v>1</v>
      </c>
      <c r="H2457" s="29">
        <v>1001</v>
      </c>
      <c r="I2457" s="30">
        <v>0</v>
      </c>
      <c r="M2457" s="4">
        <f t="shared" ref="M2457:V2457" si="866">M841*$C$1623</f>
        <v>388.5</v>
      </c>
      <c r="N2457" s="4">
        <f t="shared" si="866"/>
        <v>12</v>
      </c>
      <c r="O2457" s="4">
        <f t="shared" si="866"/>
        <v>5068.5</v>
      </c>
      <c r="P2457" s="4">
        <f t="shared" si="866"/>
        <v>0</v>
      </c>
      <c r="Q2457" s="4">
        <f t="shared" si="866"/>
        <v>3292.5</v>
      </c>
      <c r="R2457" s="4">
        <f t="shared" si="866"/>
        <v>3.75</v>
      </c>
      <c r="S2457" s="4">
        <f t="shared" si="866"/>
        <v>19.5</v>
      </c>
      <c r="T2457" s="4">
        <f t="shared" si="866"/>
        <v>0</v>
      </c>
      <c r="U2457" s="4">
        <f t="shared" si="866"/>
        <v>0</v>
      </c>
      <c r="V2457" s="4">
        <f t="shared" si="866"/>
        <v>0</v>
      </c>
    </row>
    <row r="2458" spans="1:22" x14ac:dyDescent="0.15">
      <c r="D2458" s="4">
        <f t="shared" si="865"/>
        <v>562</v>
      </c>
      <c r="E2458" s="4">
        <v>2</v>
      </c>
      <c r="H2458" s="29">
        <v>1001</v>
      </c>
      <c r="I2458" s="30">
        <v>0</v>
      </c>
      <c r="M2458" s="4">
        <f t="shared" ref="M2458:V2458" si="867">M842*$C$1623</f>
        <v>412.5</v>
      </c>
      <c r="N2458" s="4">
        <f t="shared" si="867"/>
        <v>21</v>
      </c>
      <c r="O2458" s="4">
        <f t="shared" si="867"/>
        <v>5218.5</v>
      </c>
      <c r="P2458" s="4">
        <f t="shared" si="867"/>
        <v>0</v>
      </c>
      <c r="Q2458" s="4">
        <f t="shared" si="867"/>
        <v>3307.5</v>
      </c>
      <c r="R2458" s="4">
        <f t="shared" si="867"/>
        <v>3.75</v>
      </c>
      <c r="S2458" s="4">
        <f t="shared" si="867"/>
        <v>22.5</v>
      </c>
      <c r="T2458" s="4">
        <f t="shared" si="867"/>
        <v>0</v>
      </c>
      <c r="U2458" s="4">
        <f t="shared" si="867"/>
        <v>0</v>
      </c>
      <c r="V2458" s="4">
        <f t="shared" si="867"/>
        <v>0</v>
      </c>
    </row>
    <row r="2459" spans="1:22" x14ac:dyDescent="0.15">
      <c r="D2459" s="4">
        <f t="shared" si="865"/>
        <v>562</v>
      </c>
      <c r="E2459" s="4">
        <v>3</v>
      </c>
      <c r="H2459" s="29">
        <v>1001</v>
      </c>
      <c r="I2459" s="30">
        <v>0</v>
      </c>
      <c r="M2459" s="4">
        <f t="shared" ref="M2459:V2459" si="868">M843*$C$1623</f>
        <v>436.5</v>
      </c>
      <c r="N2459" s="4">
        <f t="shared" si="868"/>
        <v>30</v>
      </c>
      <c r="O2459" s="4">
        <f t="shared" si="868"/>
        <v>5368.5</v>
      </c>
      <c r="P2459" s="4">
        <f t="shared" si="868"/>
        <v>0</v>
      </c>
      <c r="Q2459" s="4">
        <f t="shared" si="868"/>
        <v>3322.5</v>
      </c>
      <c r="R2459" s="4">
        <f t="shared" si="868"/>
        <v>3.75</v>
      </c>
      <c r="S2459" s="4">
        <f t="shared" si="868"/>
        <v>25.5</v>
      </c>
      <c r="T2459" s="4">
        <f t="shared" si="868"/>
        <v>0</v>
      </c>
      <c r="U2459" s="4">
        <f t="shared" si="868"/>
        <v>0</v>
      </c>
      <c r="V2459" s="4">
        <f t="shared" si="868"/>
        <v>0</v>
      </c>
    </row>
    <row r="2460" spans="1:22" x14ac:dyDescent="0.15">
      <c r="D2460" s="4">
        <f t="shared" si="865"/>
        <v>562</v>
      </c>
      <c r="E2460" s="4">
        <v>4</v>
      </c>
      <c r="H2460" s="29">
        <v>1001</v>
      </c>
      <c r="I2460" s="30">
        <v>0</v>
      </c>
      <c r="M2460" s="4">
        <f t="shared" ref="M2460:V2460" si="869">M844*$C$1623</f>
        <v>460.5</v>
      </c>
      <c r="N2460" s="4">
        <f t="shared" si="869"/>
        <v>39</v>
      </c>
      <c r="O2460" s="4">
        <f t="shared" si="869"/>
        <v>5518.5</v>
      </c>
      <c r="P2460" s="4">
        <f t="shared" si="869"/>
        <v>0</v>
      </c>
      <c r="Q2460" s="4">
        <f t="shared" si="869"/>
        <v>3337.5</v>
      </c>
      <c r="R2460" s="4">
        <f t="shared" si="869"/>
        <v>3.75</v>
      </c>
      <c r="S2460" s="4">
        <f t="shared" si="869"/>
        <v>28.5</v>
      </c>
      <c r="T2460" s="4">
        <f t="shared" si="869"/>
        <v>0</v>
      </c>
      <c r="U2460" s="4">
        <f t="shared" si="869"/>
        <v>0</v>
      </c>
      <c r="V2460" s="4">
        <f t="shared" si="869"/>
        <v>0</v>
      </c>
    </row>
    <row r="2461" spans="1:22" x14ac:dyDescent="0.15">
      <c r="D2461" s="4">
        <f t="shared" si="865"/>
        <v>562</v>
      </c>
      <c r="E2461" s="4">
        <v>5</v>
      </c>
      <c r="H2461" s="29">
        <v>1001</v>
      </c>
      <c r="I2461" s="30">
        <v>0</v>
      </c>
      <c r="M2461" s="4">
        <f t="shared" ref="M2461:V2461" si="870">M845*$C$1623</f>
        <v>484.5</v>
      </c>
      <c r="N2461" s="4">
        <f t="shared" si="870"/>
        <v>48</v>
      </c>
      <c r="O2461" s="4">
        <f t="shared" si="870"/>
        <v>5668.5</v>
      </c>
      <c r="P2461" s="4">
        <f t="shared" si="870"/>
        <v>0</v>
      </c>
      <c r="Q2461" s="4">
        <f t="shared" si="870"/>
        <v>3352.5</v>
      </c>
      <c r="R2461" s="4">
        <f t="shared" si="870"/>
        <v>3.75</v>
      </c>
      <c r="S2461" s="4">
        <f t="shared" si="870"/>
        <v>31.5</v>
      </c>
      <c r="T2461" s="4">
        <f t="shared" si="870"/>
        <v>0</v>
      </c>
      <c r="U2461" s="4">
        <f t="shared" si="870"/>
        <v>0</v>
      </c>
      <c r="V2461" s="4">
        <f t="shared" si="870"/>
        <v>0</v>
      </c>
    </row>
    <row r="2462" spans="1:22" x14ac:dyDescent="0.15">
      <c r="D2462" s="4">
        <f t="shared" si="865"/>
        <v>562</v>
      </c>
      <c r="E2462" s="4">
        <v>6</v>
      </c>
      <c r="H2462" s="29">
        <v>1001</v>
      </c>
      <c r="I2462" s="30">
        <v>0</v>
      </c>
      <c r="M2462" s="4">
        <f t="shared" ref="M2462:V2462" si="871">M846*$C$1623</f>
        <v>508.5</v>
      </c>
      <c r="N2462" s="4">
        <f t="shared" si="871"/>
        <v>57</v>
      </c>
      <c r="O2462" s="4">
        <f t="shared" si="871"/>
        <v>5818.5</v>
      </c>
      <c r="P2462" s="4">
        <f t="shared" si="871"/>
        <v>0</v>
      </c>
      <c r="Q2462" s="4">
        <f t="shared" si="871"/>
        <v>3367.5</v>
      </c>
      <c r="R2462" s="4">
        <f t="shared" si="871"/>
        <v>3.75</v>
      </c>
      <c r="S2462" s="4">
        <f t="shared" si="871"/>
        <v>34.5</v>
      </c>
      <c r="T2462" s="4">
        <f t="shared" si="871"/>
        <v>0</v>
      </c>
      <c r="U2462" s="4">
        <f t="shared" si="871"/>
        <v>0</v>
      </c>
      <c r="V2462" s="4">
        <f t="shared" si="871"/>
        <v>0</v>
      </c>
    </row>
    <row r="2463" spans="1:22" x14ac:dyDescent="0.15">
      <c r="D2463" s="4">
        <f t="shared" si="865"/>
        <v>562</v>
      </c>
      <c r="E2463" s="4">
        <v>7</v>
      </c>
      <c r="H2463" s="29">
        <v>1001</v>
      </c>
      <c r="I2463" s="30">
        <v>0</v>
      </c>
      <c r="M2463" s="4">
        <f t="shared" ref="M2463:V2463" si="872">M847*$C$1623</f>
        <v>532.5</v>
      </c>
      <c r="N2463" s="4">
        <f t="shared" si="872"/>
        <v>66</v>
      </c>
      <c r="O2463" s="4">
        <f t="shared" si="872"/>
        <v>5968.5</v>
      </c>
      <c r="P2463" s="4">
        <f t="shared" si="872"/>
        <v>0</v>
      </c>
      <c r="Q2463" s="4">
        <f t="shared" si="872"/>
        <v>3382.5</v>
      </c>
      <c r="R2463" s="4">
        <f t="shared" si="872"/>
        <v>3.75</v>
      </c>
      <c r="S2463" s="4">
        <f t="shared" si="872"/>
        <v>37.5</v>
      </c>
      <c r="T2463" s="4">
        <f t="shared" si="872"/>
        <v>0</v>
      </c>
      <c r="U2463" s="4">
        <f t="shared" si="872"/>
        <v>0</v>
      </c>
      <c r="V2463" s="4">
        <f t="shared" si="872"/>
        <v>0</v>
      </c>
    </row>
    <row r="2464" spans="1:22" x14ac:dyDescent="0.15">
      <c r="D2464" s="4">
        <f t="shared" si="865"/>
        <v>562</v>
      </c>
      <c r="E2464" s="4">
        <v>8</v>
      </c>
      <c r="H2464" s="29">
        <v>1001</v>
      </c>
      <c r="I2464" s="30">
        <v>0</v>
      </c>
      <c r="M2464" s="4">
        <f t="shared" ref="M2464:V2464" si="873">M848*$C$1623</f>
        <v>556.5</v>
      </c>
      <c r="N2464" s="4">
        <f t="shared" si="873"/>
        <v>75</v>
      </c>
      <c r="O2464" s="4">
        <f t="shared" si="873"/>
        <v>6118.5</v>
      </c>
      <c r="P2464" s="4">
        <f t="shared" si="873"/>
        <v>0</v>
      </c>
      <c r="Q2464" s="4">
        <f t="shared" si="873"/>
        <v>3397.5</v>
      </c>
      <c r="R2464" s="4">
        <f t="shared" si="873"/>
        <v>3.75</v>
      </c>
      <c r="S2464" s="4">
        <f t="shared" si="873"/>
        <v>40.5</v>
      </c>
      <c r="T2464" s="4">
        <f t="shared" si="873"/>
        <v>0</v>
      </c>
      <c r="U2464" s="4">
        <f t="shared" si="873"/>
        <v>0</v>
      </c>
      <c r="V2464" s="4">
        <f t="shared" si="873"/>
        <v>0</v>
      </c>
    </row>
    <row r="2465" spans="4:22" x14ac:dyDescent="0.15">
      <c r="D2465" s="4">
        <f t="shared" si="865"/>
        <v>562</v>
      </c>
      <c r="E2465" s="4">
        <v>9</v>
      </c>
      <c r="H2465" s="29">
        <v>1001</v>
      </c>
      <c r="I2465" s="30">
        <v>0</v>
      </c>
      <c r="M2465" s="4">
        <f t="shared" ref="M2465:V2465" si="874">M849*$C$1623</f>
        <v>580.5</v>
      </c>
      <c r="N2465" s="4">
        <f t="shared" si="874"/>
        <v>84</v>
      </c>
      <c r="O2465" s="4">
        <f t="shared" si="874"/>
        <v>6268.5</v>
      </c>
      <c r="P2465" s="4">
        <f t="shared" si="874"/>
        <v>0</v>
      </c>
      <c r="Q2465" s="4">
        <f t="shared" si="874"/>
        <v>3412.5</v>
      </c>
      <c r="R2465" s="4">
        <f t="shared" si="874"/>
        <v>3.75</v>
      </c>
      <c r="S2465" s="4">
        <f t="shared" si="874"/>
        <v>43.5</v>
      </c>
      <c r="T2465" s="4">
        <f t="shared" si="874"/>
        <v>0</v>
      </c>
      <c r="U2465" s="4">
        <f t="shared" si="874"/>
        <v>0</v>
      </c>
      <c r="V2465" s="4">
        <f t="shared" si="874"/>
        <v>0</v>
      </c>
    </row>
    <row r="2466" spans="4:22" x14ac:dyDescent="0.15">
      <c r="D2466" s="4">
        <f t="shared" si="865"/>
        <v>562</v>
      </c>
      <c r="E2466" s="4">
        <v>10</v>
      </c>
      <c r="H2466" s="29">
        <v>1001</v>
      </c>
      <c r="I2466" s="30">
        <v>0</v>
      </c>
      <c r="M2466" s="4">
        <f t="shared" ref="M2466:V2466" si="875">M850*$C$1623</f>
        <v>604.5</v>
      </c>
      <c r="N2466" s="4">
        <f t="shared" si="875"/>
        <v>93</v>
      </c>
      <c r="O2466" s="4">
        <f t="shared" si="875"/>
        <v>6418.5</v>
      </c>
      <c r="P2466" s="4">
        <f t="shared" si="875"/>
        <v>0</v>
      </c>
      <c r="Q2466" s="4">
        <f t="shared" si="875"/>
        <v>3427.5</v>
      </c>
      <c r="R2466" s="4">
        <f t="shared" si="875"/>
        <v>3.75</v>
      </c>
      <c r="S2466" s="4">
        <f t="shared" si="875"/>
        <v>46.5</v>
      </c>
      <c r="T2466" s="4">
        <f t="shared" si="875"/>
        <v>0</v>
      </c>
      <c r="U2466" s="4">
        <f t="shared" si="875"/>
        <v>0</v>
      </c>
      <c r="V2466" s="4">
        <f t="shared" si="875"/>
        <v>0</v>
      </c>
    </row>
    <row r="2467" spans="4:22" x14ac:dyDescent="0.15">
      <c r="D2467" s="4">
        <f t="shared" si="865"/>
        <v>562</v>
      </c>
      <c r="E2467" s="4">
        <v>11</v>
      </c>
      <c r="H2467" s="29">
        <v>1001</v>
      </c>
      <c r="I2467" s="30">
        <v>0</v>
      </c>
      <c r="M2467" s="4">
        <f t="shared" ref="M2467:V2467" si="876">M851*$C$1623</f>
        <v>628.5</v>
      </c>
      <c r="N2467" s="4">
        <f t="shared" si="876"/>
        <v>102</v>
      </c>
      <c r="O2467" s="4">
        <f t="shared" si="876"/>
        <v>6568.5</v>
      </c>
      <c r="P2467" s="4">
        <f t="shared" si="876"/>
        <v>0</v>
      </c>
      <c r="Q2467" s="4">
        <f t="shared" si="876"/>
        <v>3442.5</v>
      </c>
      <c r="R2467" s="4">
        <f t="shared" si="876"/>
        <v>3.75</v>
      </c>
      <c r="S2467" s="4">
        <f t="shared" si="876"/>
        <v>49.5</v>
      </c>
      <c r="T2467" s="4">
        <f t="shared" si="876"/>
        <v>0</v>
      </c>
      <c r="U2467" s="4">
        <f t="shared" si="876"/>
        <v>0</v>
      </c>
      <c r="V2467" s="4">
        <f t="shared" si="876"/>
        <v>0</v>
      </c>
    </row>
    <row r="2468" spans="4:22" x14ac:dyDescent="0.15">
      <c r="D2468" s="4">
        <f t="shared" si="865"/>
        <v>562</v>
      </c>
      <c r="E2468" s="4">
        <v>12</v>
      </c>
      <c r="H2468" s="29">
        <v>1001</v>
      </c>
      <c r="I2468" s="30">
        <v>0</v>
      </c>
      <c r="M2468" s="4">
        <f t="shared" ref="M2468:V2468" si="877">M852*$C$1623</f>
        <v>652.5</v>
      </c>
      <c r="N2468" s="4">
        <f t="shared" si="877"/>
        <v>111</v>
      </c>
      <c r="O2468" s="4">
        <f t="shared" si="877"/>
        <v>6718.5</v>
      </c>
      <c r="P2468" s="4">
        <f t="shared" si="877"/>
        <v>0</v>
      </c>
      <c r="Q2468" s="4">
        <f t="shared" si="877"/>
        <v>3457.5</v>
      </c>
      <c r="R2468" s="4">
        <f t="shared" si="877"/>
        <v>3.75</v>
      </c>
      <c r="S2468" s="4">
        <f t="shared" si="877"/>
        <v>52.5</v>
      </c>
      <c r="T2468" s="4">
        <f t="shared" si="877"/>
        <v>0</v>
      </c>
      <c r="U2468" s="4">
        <f t="shared" si="877"/>
        <v>0</v>
      </c>
      <c r="V2468" s="4">
        <f t="shared" si="877"/>
        <v>0</v>
      </c>
    </row>
    <row r="2469" spans="4:22" x14ac:dyDescent="0.15">
      <c r="D2469" s="4">
        <f t="shared" si="865"/>
        <v>562</v>
      </c>
      <c r="E2469" s="4">
        <v>13</v>
      </c>
      <c r="H2469" s="29">
        <v>1001</v>
      </c>
      <c r="I2469" s="30">
        <v>0</v>
      </c>
      <c r="M2469" s="4">
        <f t="shared" ref="M2469:V2469" si="878">M853*$C$1623</f>
        <v>676.5</v>
      </c>
      <c r="N2469" s="4">
        <f t="shared" si="878"/>
        <v>120</v>
      </c>
      <c r="O2469" s="4">
        <f t="shared" si="878"/>
        <v>6868.5</v>
      </c>
      <c r="P2469" s="4">
        <f t="shared" si="878"/>
        <v>0</v>
      </c>
      <c r="Q2469" s="4">
        <f t="shared" si="878"/>
        <v>3472.5</v>
      </c>
      <c r="R2469" s="4">
        <f t="shared" si="878"/>
        <v>3.75</v>
      </c>
      <c r="S2469" s="4">
        <f t="shared" si="878"/>
        <v>55.5</v>
      </c>
      <c r="T2469" s="4">
        <f t="shared" si="878"/>
        <v>0</v>
      </c>
      <c r="U2469" s="4">
        <f t="shared" si="878"/>
        <v>0</v>
      </c>
      <c r="V2469" s="4">
        <f t="shared" si="878"/>
        <v>0</v>
      </c>
    </row>
    <row r="2470" spans="4:22" x14ac:dyDescent="0.15">
      <c r="D2470" s="4">
        <f t="shared" si="865"/>
        <v>562</v>
      </c>
      <c r="E2470" s="4">
        <v>14</v>
      </c>
      <c r="H2470" s="29">
        <v>1001</v>
      </c>
      <c r="I2470" s="30">
        <v>0</v>
      </c>
      <c r="M2470" s="4">
        <f t="shared" ref="M2470:V2470" si="879">M854*$C$1623</f>
        <v>700.5</v>
      </c>
      <c r="N2470" s="4">
        <f t="shared" si="879"/>
        <v>129</v>
      </c>
      <c r="O2470" s="4">
        <f t="shared" si="879"/>
        <v>7018.5</v>
      </c>
      <c r="P2470" s="4">
        <f t="shared" si="879"/>
        <v>0</v>
      </c>
      <c r="Q2470" s="4">
        <f t="shared" si="879"/>
        <v>3487.5</v>
      </c>
      <c r="R2470" s="4">
        <f t="shared" si="879"/>
        <v>3.75</v>
      </c>
      <c r="S2470" s="4">
        <f t="shared" si="879"/>
        <v>58.5</v>
      </c>
      <c r="T2470" s="4">
        <f t="shared" si="879"/>
        <v>0</v>
      </c>
      <c r="U2470" s="4">
        <f t="shared" si="879"/>
        <v>0</v>
      </c>
      <c r="V2470" s="4">
        <f t="shared" si="879"/>
        <v>0</v>
      </c>
    </row>
    <row r="2471" spans="4:22" x14ac:dyDescent="0.15">
      <c r="D2471" s="4">
        <f t="shared" si="865"/>
        <v>562</v>
      </c>
      <c r="E2471" s="4">
        <v>15</v>
      </c>
      <c r="H2471" s="29">
        <v>1001</v>
      </c>
      <c r="I2471" s="30">
        <v>0</v>
      </c>
      <c r="M2471" s="4">
        <f t="shared" ref="M2471:V2471" si="880">M855*$C$1623</f>
        <v>724.5</v>
      </c>
      <c r="N2471" s="4">
        <f t="shared" si="880"/>
        <v>138</v>
      </c>
      <c r="O2471" s="4">
        <f t="shared" si="880"/>
        <v>7168.5</v>
      </c>
      <c r="P2471" s="4">
        <f t="shared" si="880"/>
        <v>0</v>
      </c>
      <c r="Q2471" s="4">
        <f t="shared" si="880"/>
        <v>3502.5</v>
      </c>
      <c r="R2471" s="4">
        <f t="shared" si="880"/>
        <v>3.75</v>
      </c>
      <c r="S2471" s="4">
        <f t="shared" si="880"/>
        <v>61.5</v>
      </c>
      <c r="T2471" s="4">
        <f t="shared" si="880"/>
        <v>0</v>
      </c>
      <c r="U2471" s="4">
        <f t="shared" si="880"/>
        <v>0</v>
      </c>
      <c r="V2471" s="4">
        <f t="shared" si="880"/>
        <v>0</v>
      </c>
    </row>
    <row r="2472" spans="4:22" x14ac:dyDescent="0.15">
      <c r="D2472" s="4">
        <f t="shared" si="865"/>
        <v>562</v>
      </c>
      <c r="E2472" s="4">
        <v>16</v>
      </c>
      <c r="H2472" s="29">
        <v>1001</v>
      </c>
      <c r="I2472" s="30">
        <v>0</v>
      </c>
      <c r="M2472" s="4">
        <f t="shared" ref="M2472:V2472" si="881">M856*$C$1623</f>
        <v>748.5</v>
      </c>
      <c r="N2472" s="4">
        <f t="shared" si="881"/>
        <v>147</v>
      </c>
      <c r="O2472" s="4">
        <f t="shared" si="881"/>
        <v>7318.5</v>
      </c>
      <c r="P2472" s="4">
        <f t="shared" si="881"/>
        <v>0</v>
      </c>
      <c r="Q2472" s="4">
        <f t="shared" si="881"/>
        <v>3517.5</v>
      </c>
      <c r="R2472" s="4">
        <f t="shared" si="881"/>
        <v>3.75</v>
      </c>
      <c r="S2472" s="4">
        <f t="shared" si="881"/>
        <v>64.5</v>
      </c>
      <c r="T2472" s="4">
        <f t="shared" si="881"/>
        <v>0</v>
      </c>
      <c r="U2472" s="4">
        <f t="shared" si="881"/>
        <v>0</v>
      </c>
      <c r="V2472" s="4">
        <f t="shared" si="881"/>
        <v>0</v>
      </c>
    </row>
    <row r="2473" spans="4:22" x14ac:dyDescent="0.15">
      <c r="D2473" s="4">
        <f t="shared" si="865"/>
        <v>562</v>
      </c>
      <c r="E2473" s="4">
        <v>17</v>
      </c>
      <c r="H2473" s="29">
        <v>1001</v>
      </c>
      <c r="I2473" s="30">
        <v>0</v>
      </c>
      <c r="M2473" s="4">
        <f t="shared" ref="M2473:V2473" si="882">M857*$C$1623</f>
        <v>772.5</v>
      </c>
      <c r="N2473" s="4">
        <f t="shared" si="882"/>
        <v>156</v>
      </c>
      <c r="O2473" s="4">
        <f t="shared" si="882"/>
        <v>7468.5</v>
      </c>
      <c r="P2473" s="4">
        <f t="shared" si="882"/>
        <v>0</v>
      </c>
      <c r="Q2473" s="4">
        <f t="shared" si="882"/>
        <v>3532.5</v>
      </c>
      <c r="R2473" s="4">
        <f t="shared" si="882"/>
        <v>3.75</v>
      </c>
      <c r="S2473" s="4">
        <f t="shared" si="882"/>
        <v>67.5</v>
      </c>
      <c r="T2473" s="4">
        <f t="shared" si="882"/>
        <v>0</v>
      </c>
      <c r="U2473" s="4">
        <f t="shared" si="882"/>
        <v>0</v>
      </c>
      <c r="V2473" s="4">
        <f t="shared" si="882"/>
        <v>0</v>
      </c>
    </row>
    <row r="2474" spans="4:22" x14ac:dyDescent="0.15">
      <c r="D2474" s="4">
        <f t="shared" si="865"/>
        <v>562</v>
      </c>
      <c r="E2474" s="4">
        <v>18</v>
      </c>
      <c r="H2474" s="29">
        <v>1001</v>
      </c>
      <c r="I2474" s="30">
        <v>0</v>
      </c>
      <c r="M2474" s="4">
        <f t="shared" ref="M2474:V2474" si="883">M858*$C$1623</f>
        <v>796.5</v>
      </c>
      <c r="N2474" s="4">
        <f t="shared" si="883"/>
        <v>165</v>
      </c>
      <c r="O2474" s="4">
        <f t="shared" si="883"/>
        <v>7618.5</v>
      </c>
      <c r="P2474" s="4">
        <f t="shared" si="883"/>
        <v>0</v>
      </c>
      <c r="Q2474" s="4">
        <f t="shared" si="883"/>
        <v>3547.5</v>
      </c>
      <c r="R2474" s="4">
        <f t="shared" si="883"/>
        <v>3.75</v>
      </c>
      <c r="S2474" s="4">
        <f t="shared" si="883"/>
        <v>70.5</v>
      </c>
      <c r="T2474" s="4">
        <f t="shared" si="883"/>
        <v>0</v>
      </c>
      <c r="U2474" s="4">
        <f t="shared" si="883"/>
        <v>0</v>
      </c>
      <c r="V2474" s="4">
        <f t="shared" si="883"/>
        <v>0</v>
      </c>
    </row>
    <row r="2475" spans="4:22" x14ac:dyDescent="0.15">
      <c r="D2475" s="4">
        <f t="shared" si="865"/>
        <v>562</v>
      </c>
      <c r="E2475" s="4">
        <v>19</v>
      </c>
      <c r="H2475" s="29">
        <v>1001</v>
      </c>
      <c r="I2475" s="30">
        <v>0</v>
      </c>
      <c r="M2475" s="4">
        <f t="shared" ref="M2475:V2475" si="884">M859*$C$1623</f>
        <v>820.5</v>
      </c>
      <c r="N2475" s="4">
        <f t="shared" si="884"/>
        <v>174</v>
      </c>
      <c r="O2475" s="4">
        <f t="shared" si="884"/>
        <v>7768.5</v>
      </c>
      <c r="P2475" s="4">
        <f t="shared" si="884"/>
        <v>0</v>
      </c>
      <c r="Q2475" s="4">
        <f t="shared" si="884"/>
        <v>3562.5</v>
      </c>
      <c r="R2475" s="4">
        <f t="shared" si="884"/>
        <v>3.75</v>
      </c>
      <c r="S2475" s="4">
        <f t="shared" si="884"/>
        <v>73.5</v>
      </c>
      <c r="T2475" s="4">
        <f t="shared" si="884"/>
        <v>0</v>
      </c>
      <c r="U2475" s="4">
        <f t="shared" si="884"/>
        <v>0</v>
      </c>
      <c r="V2475" s="4">
        <f t="shared" si="884"/>
        <v>0</v>
      </c>
    </row>
    <row r="2476" spans="4:22" x14ac:dyDescent="0.15">
      <c r="D2476" s="4">
        <f t="shared" si="865"/>
        <v>562</v>
      </c>
      <c r="E2476" s="4">
        <v>20</v>
      </c>
      <c r="H2476" s="29">
        <v>1001</v>
      </c>
      <c r="I2476" s="30">
        <v>0</v>
      </c>
      <c r="M2476" s="4">
        <f t="shared" ref="M2476:V2476" si="885">M860*$C$1623</f>
        <v>844.5</v>
      </c>
      <c r="N2476" s="4">
        <f t="shared" si="885"/>
        <v>183</v>
      </c>
      <c r="O2476" s="4">
        <f t="shared" si="885"/>
        <v>7918.5</v>
      </c>
      <c r="P2476" s="4">
        <f t="shared" si="885"/>
        <v>0</v>
      </c>
      <c r="Q2476" s="4">
        <f t="shared" si="885"/>
        <v>3577.5</v>
      </c>
      <c r="R2476" s="4">
        <f t="shared" si="885"/>
        <v>3.75</v>
      </c>
      <c r="S2476" s="4">
        <f t="shared" si="885"/>
        <v>76.5</v>
      </c>
      <c r="T2476" s="4">
        <f t="shared" si="885"/>
        <v>0</v>
      </c>
      <c r="U2476" s="4">
        <f t="shared" si="885"/>
        <v>0</v>
      </c>
      <c r="V2476" s="4">
        <f t="shared" si="885"/>
        <v>0</v>
      </c>
    </row>
    <row r="2477" spans="4:22" x14ac:dyDescent="0.15">
      <c r="D2477" s="4">
        <f t="shared" si="865"/>
        <v>562</v>
      </c>
      <c r="E2477" s="4">
        <v>21</v>
      </c>
      <c r="H2477" s="29">
        <v>1001</v>
      </c>
      <c r="I2477" s="30">
        <v>0</v>
      </c>
      <c r="M2477" s="4">
        <f t="shared" ref="M2477:V2477" si="886">M861*$C$1623</f>
        <v>868.5</v>
      </c>
      <c r="N2477" s="4">
        <f t="shared" si="886"/>
        <v>192</v>
      </c>
      <c r="O2477" s="4">
        <f t="shared" si="886"/>
        <v>8068.5</v>
      </c>
      <c r="P2477" s="4">
        <f t="shared" si="886"/>
        <v>0</v>
      </c>
      <c r="Q2477" s="4">
        <f t="shared" si="886"/>
        <v>3592.5</v>
      </c>
      <c r="R2477" s="4">
        <f t="shared" si="886"/>
        <v>3.75</v>
      </c>
      <c r="S2477" s="4">
        <f t="shared" si="886"/>
        <v>79.5</v>
      </c>
      <c r="T2477" s="4">
        <f t="shared" si="886"/>
        <v>0</v>
      </c>
      <c r="U2477" s="4">
        <f t="shared" si="886"/>
        <v>0</v>
      </c>
      <c r="V2477" s="4">
        <f t="shared" si="886"/>
        <v>0</v>
      </c>
    </row>
    <row r="2478" spans="4:22" x14ac:dyDescent="0.15">
      <c r="D2478" s="4">
        <f t="shared" si="865"/>
        <v>562</v>
      </c>
      <c r="E2478" s="4">
        <v>22</v>
      </c>
      <c r="H2478" s="29">
        <v>1001</v>
      </c>
      <c r="I2478" s="30">
        <v>0</v>
      </c>
      <c r="M2478" s="4">
        <f t="shared" ref="M2478:V2478" si="887">M862*$C$1623</f>
        <v>892.5</v>
      </c>
      <c r="N2478" s="4">
        <f t="shared" si="887"/>
        <v>201</v>
      </c>
      <c r="O2478" s="4">
        <f t="shared" si="887"/>
        <v>8218.5</v>
      </c>
      <c r="P2478" s="4">
        <f t="shared" si="887"/>
        <v>0</v>
      </c>
      <c r="Q2478" s="4">
        <f t="shared" si="887"/>
        <v>3607.5</v>
      </c>
      <c r="R2478" s="4">
        <f t="shared" si="887"/>
        <v>3.75</v>
      </c>
      <c r="S2478" s="4">
        <f t="shared" si="887"/>
        <v>82.5</v>
      </c>
      <c r="T2478" s="4">
        <f t="shared" si="887"/>
        <v>0</v>
      </c>
      <c r="U2478" s="4">
        <f t="shared" si="887"/>
        <v>0</v>
      </c>
      <c r="V2478" s="4">
        <f t="shared" si="887"/>
        <v>0</v>
      </c>
    </row>
    <row r="2479" spans="4:22" x14ac:dyDescent="0.15">
      <c r="D2479" s="4">
        <f t="shared" si="865"/>
        <v>562</v>
      </c>
      <c r="E2479" s="4">
        <v>23</v>
      </c>
      <c r="H2479" s="29">
        <v>1001</v>
      </c>
      <c r="I2479" s="30">
        <v>0</v>
      </c>
      <c r="M2479" s="4">
        <f t="shared" ref="M2479:V2479" si="888">M863*$C$1623</f>
        <v>916.5</v>
      </c>
      <c r="N2479" s="4">
        <f t="shared" si="888"/>
        <v>210</v>
      </c>
      <c r="O2479" s="4">
        <f t="shared" si="888"/>
        <v>8368.5</v>
      </c>
      <c r="P2479" s="4">
        <f t="shared" si="888"/>
        <v>0</v>
      </c>
      <c r="Q2479" s="4">
        <f t="shared" si="888"/>
        <v>3622.5</v>
      </c>
      <c r="R2479" s="4">
        <f t="shared" si="888"/>
        <v>3.75</v>
      </c>
      <c r="S2479" s="4">
        <f t="shared" si="888"/>
        <v>85.5</v>
      </c>
      <c r="T2479" s="4">
        <f t="shared" si="888"/>
        <v>0</v>
      </c>
      <c r="U2479" s="4">
        <f t="shared" si="888"/>
        <v>0</v>
      </c>
      <c r="V2479" s="4">
        <f t="shared" si="888"/>
        <v>0</v>
      </c>
    </row>
    <row r="2480" spans="4:22" x14ac:dyDescent="0.15">
      <c r="D2480" s="4">
        <f t="shared" si="865"/>
        <v>562</v>
      </c>
      <c r="E2480" s="4">
        <v>24</v>
      </c>
      <c r="H2480" s="29">
        <v>1001</v>
      </c>
      <c r="I2480" s="30">
        <v>0</v>
      </c>
      <c r="M2480" s="4">
        <f t="shared" ref="M2480:V2480" si="889">M864*$C$1623</f>
        <v>940.5</v>
      </c>
      <c r="N2480" s="4">
        <f t="shared" si="889"/>
        <v>219</v>
      </c>
      <c r="O2480" s="4">
        <f t="shared" si="889"/>
        <v>8518.5</v>
      </c>
      <c r="P2480" s="4">
        <f t="shared" si="889"/>
        <v>0</v>
      </c>
      <c r="Q2480" s="4">
        <f t="shared" si="889"/>
        <v>3637.5</v>
      </c>
      <c r="R2480" s="4">
        <f t="shared" si="889"/>
        <v>3.75</v>
      </c>
      <c r="S2480" s="4">
        <f t="shared" si="889"/>
        <v>88.5</v>
      </c>
      <c r="T2480" s="4">
        <f t="shared" si="889"/>
        <v>0</v>
      </c>
      <c r="U2480" s="4">
        <f t="shared" si="889"/>
        <v>0</v>
      </c>
      <c r="V2480" s="4">
        <f t="shared" si="889"/>
        <v>0</v>
      </c>
    </row>
    <row r="2481" spans="4:22" x14ac:dyDescent="0.15">
      <c r="D2481" s="4">
        <f t="shared" si="865"/>
        <v>562</v>
      </c>
      <c r="E2481" s="4">
        <v>25</v>
      </c>
      <c r="H2481" s="29">
        <v>1001</v>
      </c>
      <c r="I2481" s="30">
        <v>0</v>
      </c>
      <c r="M2481" s="4">
        <f t="shared" ref="M2481:V2481" si="890">M865*$C$1623</f>
        <v>964.5</v>
      </c>
      <c r="N2481" s="4">
        <f t="shared" si="890"/>
        <v>228</v>
      </c>
      <c r="O2481" s="4">
        <f t="shared" si="890"/>
        <v>8668.5</v>
      </c>
      <c r="P2481" s="4">
        <f t="shared" si="890"/>
        <v>0</v>
      </c>
      <c r="Q2481" s="4">
        <f t="shared" si="890"/>
        <v>3652.5</v>
      </c>
      <c r="R2481" s="4">
        <f t="shared" si="890"/>
        <v>3.75</v>
      </c>
      <c r="S2481" s="4">
        <f t="shared" si="890"/>
        <v>91.5</v>
      </c>
      <c r="T2481" s="4">
        <f t="shared" si="890"/>
        <v>0</v>
      </c>
      <c r="U2481" s="4">
        <f t="shared" si="890"/>
        <v>0</v>
      </c>
      <c r="V2481" s="4">
        <f t="shared" si="890"/>
        <v>0</v>
      </c>
    </row>
    <row r="2482" spans="4:22" x14ac:dyDescent="0.15">
      <c r="D2482" s="4">
        <f t="shared" si="865"/>
        <v>562</v>
      </c>
      <c r="E2482" s="4">
        <v>26</v>
      </c>
      <c r="H2482" s="29">
        <v>1001</v>
      </c>
      <c r="I2482" s="30">
        <v>0</v>
      </c>
      <c r="M2482" s="4">
        <f t="shared" ref="M2482:V2482" si="891">M866*$C$1623</f>
        <v>988.5</v>
      </c>
      <c r="N2482" s="4">
        <f t="shared" si="891"/>
        <v>237</v>
      </c>
      <c r="O2482" s="4">
        <f t="shared" si="891"/>
        <v>8818.5</v>
      </c>
      <c r="P2482" s="4">
        <f t="shared" si="891"/>
        <v>0</v>
      </c>
      <c r="Q2482" s="4">
        <f t="shared" si="891"/>
        <v>3667.5</v>
      </c>
      <c r="R2482" s="4">
        <f t="shared" si="891"/>
        <v>3.75</v>
      </c>
      <c r="S2482" s="4">
        <f t="shared" si="891"/>
        <v>94.5</v>
      </c>
      <c r="T2482" s="4">
        <f t="shared" si="891"/>
        <v>0</v>
      </c>
      <c r="U2482" s="4">
        <f t="shared" si="891"/>
        <v>0</v>
      </c>
      <c r="V2482" s="4">
        <f t="shared" si="891"/>
        <v>0</v>
      </c>
    </row>
    <row r="2483" spans="4:22" x14ac:dyDescent="0.15">
      <c r="D2483" s="4">
        <f t="shared" si="865"/>
        <v>562</v>
      </c>
      <c r="E2483" s="4">
        <v>27</v>
      </c>
      <c r="H2483" s="29">
        <v>1001</v>
      </c>
      <c r="I2483" s="30">
        <v>0</v>
      </c>
      <c r="M2483" s="4">
        <f t="shared" ref="M2483:V2483" si="892">M867*$C$1623</f>
        <v>1012.5</v>
      </c>
      <c r="N2483" s="4">
        <f t="shared" si="892"/>
        <v>246</v>
      </c>
      <c r="O2483" s="4">
        <f t="shared" si="892"/>
        <v>8968.5</v>
      </c>
      <c r="P2483" s="4">
        <f t="shared" si="892"/>
        <v>0</v>
      </c>
      <c r="Q2483" s="4">
        <f t="shared" si="892"/>
        <v>3682.5</v>
      </c>
      <c r="R2483" s="4">
        <f t="shared" si="892"/>
        <v>3.75</v>
      </c>
      <c r="S2483" s="4">
        <f t="shared" si="892"/>
        <v>97.5</v>
      </c>
      <c r="T2483" s="4">
        <f t="shared" si="892"/>
        <v>0</v>
      </c>
      <c r="U2483" s="4">
        <f t="shared" si="892"/>
        <v>0</v>
      </c>
      <c r="V2483" s="4">
        <f t="shared" si="892"/>
        <v>0</v>
      </c>
    </row>
    <row r="2484" spans="4:22" x14ac:dyDescent="0.15">
      <c r="D2484" s="4">
        <f t="shared" si="865"/>
        <v>562</v>
      </c>
      <c r="E2484" s="4">
        <v>28</v>
      </c>
      <c r="H2484" s="29">
        <v>1001</v>
      </c>
      <c r="I2484" s="30">
        <v>0</v>
      </c>
      <c r="M2484" s="4">
        <f t="shared" ref="M2484:V2484" si="893">M868*$C$1623</f>
        <v>1036.5</v>
      </c>
      <c r="N2484" s="4">
        <f t="shared" si="893"/>
        <v>255</v>
      </c>
      <c r="O2484" s="4">
        <f t="shared" si="893"/>
        <v>9118.5</v>
      </c>
      <c r="P2484" s="4">
        <f t="shared" si="893"/>
        <v>0</v>
      </c>
      <c r="Q2484" s="4">
        <f t="shared" si="893"/>
        <v>3697.5</v>
      </c>
      <c r="R2484" s="4">
        <f t="shared" si="893"/>
        <v>3.75</v>
      </c>
      <c r="S2484" s="4">
        <f t="shared" si="893"/>
        <v>100.5</v>
      </c>
      <c r="T2484" s="4">
        <f t="shared" si="893"/>
        <v>0</v>
      </c>
      <c r="U2484" s="4">
        <f t="shared" si="893"/>
        <v>0</v>
      </c>
      <c r="V2484" s="4">
        <f t="shared" si="893"/>
        <v>0</v>
      </c>
    </row>
    <row r="2485" spans="4:22" x14ac:dyDescent="0.15">
      <c r="D2485" s="4">
        <f t="shared" si="865"/>
        <v>562</v>
      </c>
      <c r="E2485" s="4">
        <v>29</v>
      </c>
      <c r="H2485" s="29">
        <v>1001</v>
      </c>
      <c r="I2485" s="30">
        <v>0</v>
      </c>
      <c r="M2485" s="4">
        <f t="shared" ref="M2485:V2485" si="894">M869*$C$1623</f>
        <v>1060.5</v>
      </c>
      <c r="N2485" s="4">
        <f t="shared" si="894"/>
        <v>264</v>
      </c>
      <c r="O2485" s="4">
        <f t="shared" si="894"/>
        <v>9268.5</v>
      </c>
      <c r="P2485" s="4">
        <f t="shared" si="894"/>
        <v>0</v>
      </c>
      <c r="Q2485" s="4">
        <f t="shared" si="894"/>
        <v>3712.5</v>
      </c>
      <c r="R2485" s="4">
        <f t="shared" si="894"/>
        <v>3.75</v>
      </c>
      <c r="S2485" s="4">
        <f t="shared" si="894"/>
        <v>103.5</v>
      </c>
      <c r="T2485" s="4">
        <f t="shared" si="894"/>
        <v>0</v>
      </c>
      <c r="U2485" s="4">
        <f t="shared" si="894"/>
        <v>0</v>
      </c>
      <c r="V2485" s="4">
        <f t="shared" si="894"/>
        <v>0</v>
      </c>
    </row>
    <row r="2486" spans="4:22" x14ac:dyDescent="0.15">
      <c r="D2486" s="4">
        <f t="shared" si="865"/>
        <v>562</v>
      </c>
      <c r="E2486" s="4">
        <v>30</v>
      </c>
      <c r="H2486" s="29">
        <v>1001</v>
      </c>
      <c r="I2486" s="30">
        <v>0</v>
      </c>
      <c r="M2486" s="4">
        <f t="shared" ref="M2486:V2486" si="895">M870*$C$1623</f>
        <v>1084.5</v>
      </c>
      <c r="N2486" s="4">
        <f t="shared" si="895"/>
        <v>273</v>
      </c>
      <c r="O2486" s="4">
        <f t="shared" si="895"/>
        <v>9418.5</v>
      </c>
      <c r="P2486" s="4">
        <f t="shared" si="895"/>
        <v>0</v>
      </c>
      <c r="Q2486" s="4">
        <f t="shared" si="895"/>
        <v>3727.5</v>
      </c>
      <c r="R2486" s="4">
        <f t="shared" si="895"/>
        <v>3.75</v>
      </c>
      <c r="S2486" s="4">
        <f t="shared" si="895"/>
        <v>106.5</v>
      </c>
      <c r="T2486" s="4">
        <f t="shared" si="895"/>
        <v>0</v>
      </c>
      <c r="U2486" s="4">
        <f t="shared" si="895"/>
        <v>0</v>
      </c>
      <c r="V2486" s="4">
        <f t="shared" si="895"/>
        <v>0</v>
      </c>
    </row>
    <row r="2487" spans="4:22" x14ac:dyDescent="0.15">
      <c r="D2487" s="4">
        <f t="shared" si="865"/>
        <v>562</v>
      </c>
      <c r="E2487" s="4">
        <v>31</v>
      </c>
      <c r="H2487" s="29">
        <v>1001</v>
      </c>
      <c r="I2487" s="30">
        <v>0</v>
      </c>
      <c r="M2487" s="4">
        <f t="shared" ref="M2487:V2487" si="896">M871*$C$1623</f>
        <v>1108.5</v>
      </c>
      <c r="N2487" s="4">
        <f t="shared" si="896"/>
        <v>282</v>
      </c>
      <c r="O2487" s="4">
        <f t="shared" si="896"/>
        <v>9568.5</v>
      </c>
      <c r="P2487" s="4">
        <f t="shared" si="896"/>
        <v>0</v>
      </c>
      <c r="Q2487" s="4">
        <f t="shared" si="896"/>
        <v>3742.5</v>
      </c>
      <c r="R2487" s="4">
        <f t="shared" si="896"/>
        <v>3.75</v>
      </c>
      <c r="S2487" s="4">
        <f t="shared" si="896"/>
        <v>109.5</v>
      </c>
      <c r="T2487" s="4">
        <f t="shared" si="896"/>
        <v>0</v>
      </c>
      <c r="U2487" s="4">
        <f t="shared" si="896"/>
        <v>0</v>
      </c>
      <c r="V2487" s="4">
        <f t="shared" si="896"/>
        <v>0</v>
      </c>
    </row>
    <row r="2488" spans="4:22" x14ac:dyDescent="0.15">
      <c r="D2488" s="4">
        <f t="shared" si="865"/>
        <v>562</v>
      </c>
      <c r="E2488" s="4">
        <v>32</v>
      </c>
      <c r="H2488" s="29">
        <v>1001</v>
      </c>
      <c r="I2488" s="30">
        <v>0</v>
      </c>
      <c r="M2488" s="4">
        <f t="shared" ref="M2488:V2488" si="897">M872*$C$1623</f>
        <v>1132.5</v>
      </c>
      <c r="N2488" s="4">
        <f t="shared" si="897"/>
        <v>291</v>
      </c>
      <c r="O2488" s="4">
        <f t="shared" si="897"/>
        <v>9718.5</v>
      </c>
      <c r="P2488" s="4">
        <f t="shared" si="897"/>
        <v>0</v>
      </c>
      <c r="Q2488" s="4">
        <f t="shared" si="897"/>
        <v>3757.5</v>
      </c>
      <c r="R2488" s="4">
        <f t="shared" si="897"/>
        <v>3.75</v>
      </c>
      <c r="S2488" s="4">
        <f t="shared" si="897"/>
        <v>112.5</v>
      </c>
      <c r="T2488" s="4">
        <f t="shared" si="897"/>
        <v>0</v>
      </c>
      <c r="U2488" s="4">
        <f t="shared" si="897"/>
        <v>0</v>
      </c>
      <c r="V2488" s="4">
        <f t="shared" si="897"/>
        <v>0</v>
      </c>
    </row>
    <row r="2489" spans="4:22" x14ac:dyDescent="0.15">
      <c r="D2489" s="4">
        <f t="shared" si="865"/>
        <v>562</v>
      </c>
      <c r="E2489" s="4">
        <v>33</v>
      </c>
      <c r="H2489" s="29">
        <v>1001</v>
      </c>
      <c r="I2489" s="30">
        <v>0</v>
      </c>
      <c r="M2489" s="4">
        <f t="shared" ref="M2489:V2489" si="898">M873*$C$1623</f>
        <v>1156.5</v>
      </c>
      <c r="N2489" s="4">
        <f t="shared" si="898"/>
        <v>300</v>
      </c>
      <c r="O2489" s="4">
        <f t="shared" si="898"/>
        <v>9868.5</v>
      </c>
      <c r="P2489" s="4">
        <f t="shared" si="898"/>
        <v>0</v>
      </c>
      <c r="Q2489" s="4">
        <f t="shared" si="898"/>
        <v>3772.5</v>
      </c>
      <c r="R2489" s="4">
        <f t="shared" si="898"/>
        <v>3.75</v>
      </c>
      <c r="S2489" s="4">
        <f t="shared" si="898"/>
        <v>115.5</v>
      </c>
      <c r="T2489" s="4">
        <f t="shared" si="898"/>
        <v>0</v>
      </c>
      <c r="U2489" s="4">
        <f t="shared" si="898"/>
        <v>0</v>
      </c>
      <c r="V2489" s="4">
        <f t="shared" si="898"/>
        <v>0</v>
      </c>
    </row>
    <row r="2490" spans="4:22" x14ac:dyDescent="0.15">
      <c r="D2490" s="4">
        <f t="shared" si="865"/>
        <v>562</v>
      </c>
      <c r="E2490" s="4">
        <v>34</v>
      </c>
      <c r="H2490" s="29">
        <v>1001</v>
      </c>
      <c r="I2490" s="30">
        <v>0</v>
      </c>
      <c r="M2490" s="4">
        <f t="shared" ref="M2490:V2490" si="899">M874*$C$1623</f>
        <v>1180.5</v>
      </c>
      <c r="N2490" s="4">
        <f t="shared" si="899"/>
        <v>309</v>
      </c>
      <c r="O2490" s="4">
        <f t="shared" si="899"/>
        <v>10018.5</v>
      </c>
      <c r="P2490" s="4">
        <f t="shared" si="899"/>
        <v>0</v>
      </c>
      <c r="Q2490" s="4">
        <f t="shared" si="899"/>
        <v>3787.5</v>
      </c>
      <c r="R2490" s="4">
        <f t="shared" si="899"/>
        <v>3.75</v>
      </c>
      <c r="S2490" s="4">
        <f t="shared" si="899"/>
        <v>118.5</v>
      </c>
      <c r="T2490" s="4">
        <f t="shared" si="899"/>
        <v>0</v>
      </c>
      <c r="U2490" s="4">
        <f t="shared" si="899"/>
        <v>0</v>
      </c>
      <c r="V2490" s="4">
        <f t="shared" si="899"/>
        <v>0</v>
      </c>
    </row>
    <row r="2491" spans="4:22" x14ac:dyDescent="0.15">
      <c r="D2491" s="4">
        <f t="shared" si="865"/>
        <v>562</v>
      </c>
      <c r="E2491" s="4">
        <v>35</v>
      </c>
      <c r="H2491" s="29">
        <v>1001</v>
      </c>
      <c r="I2491" s="30">
        <v>0</v>
      </c>
      <c r="M2491" s="4">
        <f t="shared" ref="M2491:V2491" si="900">M875*$C$1623</f>
        <v>1204.5</v>
      </c>
      <c r="N2491" s="4">
        <f t="shared" si="900"/>
        <v>318</v>
      </c>
      <c r="O2491" s="4">
        <f t="shared" si="900"/>
        <v>10168.5</v>
      </c>
      <c r="P2491" s="4">
        <f t="shared" si="900"/>
        <v>0</v>
      </c>
      <c r="Q2491" s="4">
        <f t="shared" si="900"/>
        <v>3802.5</v>
      </c>
      <c r="R2491" s="4">
        <f t="shared" si="900"/>
        <v>3.75</v>
      </c>
      <c r="S2491" s="4">
        <f t="shared" si="900"/>
        <v>121.5</v>
      </c>
      <c r="T2491" s="4">
        <f t="shared" si="900"/>
        <v>0</v>
      </c>
      <c r="U2491" s="4">
        <f t="shared" si="900"/>
        <v>0</v>
      </c>
      <c r="V2491" s="4">
        <f t="shared" si="900"/>
        <v>0</v>
      </c>
    </row>
    <row r="2492" spans="4:22" x14ac:dyDescent="0.15">
      <c r="D2492" s="4">
        <f t="shared" si="865"/>
        <v>562</v>
      </c>
      <c r="E2492" s="4">
        <v>36</v>
      </c>
      <c r="H2492" s="29">
        <v>1001</v>
      </c>
      <c r="I2492" s="30">
        <v>0</v>
      </c>
      <c r="M2492" s="4">
        <f t="shared" ref="M2492:V2492" si="901">M876*$C$1623</f>
        <v>1228.5</v>
      </c>
      <c r="N2492" s="4">
        <f t="shared" si="901"/>
        <v>327</v>
      </c>
      <c r="O2492" s="4">
        <f t="shared" si="901"/>
        <v>10318.5</v>
      </c>
      <c r="P2492" s="4">
        <f t="shared" si="901"/>
        <v>0</v>
      </c>
      <c r="Q2492" s="4">
        <f t="shared" si="901"/>
        <v>3817.5</v>
      </c>
      <c r="R2492" s="4">
        <f t="shared" si="901"/>
        <v>3.75</v>
      </c>
      <c r="S2492" s="4">
        <f t="shared" si="901"/>
        <v>124.5</v>
      </c>
      <c r="T2492" s="4">
        <f t="shared" si="901"/>
        <v>0</v>
      </c>
      <c r="U2492" s="4">
        <f t="shared" si="901"/>
        <v>0</v>
      </c>
      <c r="V2492" s="4">
        <f t="shared" si="901"/>
        <v>0</v>
      </c>
    </row>
    <row r="2493" spans="4:22" x14ac:dyDescent="0.15">
      <c r="D2493" s="4">
        <f t="shared" si="865"/>
        <v>562</v>
      </c>
      <c r="E2493" s="4">
        <v>37</v>
      </c>
      <c r="H2493" s="29">
        <v>1001</v>
      </c>
      <c r="I2493" s="30">
        <v>0</v>
      </c>
      <c r="M2493" s="4">
        <f t="shared" ref="M2493:V2493" si="902">M877*$C$1623</f>
        <v>1252.5</v>
      </c>
      <c r="N2493" s="4">
        <f t="shared" si="902"/>
        <v>336</v>
      </c>
      <c r="O2493" s="4">
        <f t="shared" si="902"/>
        <v>10468.5</v>
      </c>
      <c r="P2493" s="4">
        <f t="shared" si="902"/>
        <v>0</v>
      </c>
      <c r="Q2493" s="4">
        <f t="shared" si="902"/>
        <v>3832.5</v>
      </c>
      <c r="R2493" s="4">
        <f t="shared" si="902"/>
        <v>3.75</v>
      </c>
      <c r="S2493" s="4">
        <f t="shared" si="902"/>
        <v>127.5</v>
      </c>
      <c r="T2493" s="4">
        <f t="shared" si="902"/>
        <v>0</v>
      </c>
      <c r="U2493" s="4">
        <f t="shared" si="902"/>
        <v>0</v>
      </c>
      <c r="V2493" s="4">
        <f t="shared" si="902"/>
        <v>0</v>
      </c>
    </row>
    <row r="2494" spans="4:22" x14ac:dyDescent="0.15">
      <c r="D2494" s="4">
        <f t="shared" si="865"/>
        <v>562</v>
      </c>
      <c r="E2494" s="4">
        <v>38</v>
      </c>
      <c r="H2494" s="29">
        <v>1001</v>
      </c>
      <c r="I2494" s="30">
        <v>0</v>
      </c>
      <c r="M2494" s="4">
        <f t="shared" ref="M2494:V2494" si="903">M878*$C$1623</f>
        <v>1276.5</v>
      </c>
      <c r="N2494" s="4">
        <f t="shared" si="903"/>
        <v>345</v>
      </c>
      <c r="O2494" s="4">
        <f t="shared" si="903"/>
        <v>10618.5</v>
      </c>
      <c r="P2494" s="4">
        <f t="shared" si="903"/>
        <v>0</v>
      </c>
      <c r="Q2494" s="4">
        <f t="shared" si="903"/>
        <v>3847.5</v>
      </c>
      <c r="R2494" s="4">
        <f t="shared" si="903"/>
        <v>3.75</v>
      </c>
      <c r="S2494" s="4">
        <f t="shared" si="903"/>
        <v>130.5</v>
      </c>
      <c r="T2494" s="4">
        <f t="shared" si="903"/>
        <v>0</v>
      </c>
      <c r="U2494" s="4">
        <f t="shared" si="903"/>
        <v>0</v>
      </c>
      <c r="V2494" s="4">
        <f t="shared" si="903"/>
        <v>0</v>
      </c>
    </row>
    <row r="2495" spans="4:22" x14ac:dyDescent="0.15">
      <c r="D2495" s="4">
        <f t="shared" si="865"/>
        <v>562</v>
      </c>
      <c r="E2495" s="4">
        <v>39</v>
      </c>
      <c r="H2495" s="29">
        <v>1001</v>
      </c>
      <c r="I2495" s="30">
        <v>0</v>
      </c>
      <c r="M2495" s="4">
        <f t="shared" ref="M2495:V2495" si="904">M879*$C$1623</f>
        <v>1300.5</v>
      </c>
      <c r="N2495" s="4">
        <f t="shared" si="904"/>
        <v>354</v>
      </c>
      <c r="O2495" s="4">
        <f t="shared" si="904"/>
        <v>10768.5</v>
      </c>
      <c r="P2495" s="4">
        <f t="shared" si="904"/>
        <v>0</v>
      </c>
      <c r="Q2495" s="4">
        <f t="shared" si="904"/>
        <v>3862.5</v>
      </c>
      <c r="R2495" s="4">
        <f t="shared" si="904"/>
        <v>3.75</v>
      </c>
      <c r="S2495" s="4">
        <f t="shared" si="904"/>
        <v>133.5</v>
      </c>
      <c r="T2495" s="4">
        <f t="shared" si="904"/>
        <v>0</v>
      </c>
      <c r="U2495" s="4">
        <f t="shared" si="904"/>
        <v>0</v>
      </c>
      <c r="V2495" s="4">
        <f t="shared" si="904"/>
        <v>0</v>
      </c>
    </row>
    <row r="2496" spans="4:22" x14ac:dyDescent="0.15">
      <c r="D2496" s="4">
        <f t="shared" si="865"/>
        <v>562</v>
      </c>
      <c r="E2496" s="4">
        <v>40</v>
      </c>
      <c r="H2496" s="29">
        <v>1001</v>
      </c>
      <c r="I2496" s="30">
        <v>0</v>
      </c>
      <c r="M2496" s="4">
        <f t="shared" ref="M2496:V2496" si="905">M880*$C$1623</f>
        <v>1324.5</v>
      </c>
      <c r="N2496" s="4">
        <f t="shared" si="905"/>
        <v>363</v>
      </c>
      <c r="O2496" s="4">
        <f t="shared" si="905"/>
        <v>10918.5</v>
      </c>
      <c r="P2496" s="4">
        <f t="shared" si="905"/>
        <v>0</v>
      </c>
      <c r="Q2496" s="4">
        <f t="shared" si="905"/>
        <v>3877.5</v>
      </c>
      <c r="R2496" s="4">
        <f t="shared" si="905"/>
        <v>3.75</v>
      </c>
      <c r="S2496" s="4">
        <f t="shared" si="905"/>
        <v>136.5</v>
      </c>
      <c r="T2496" s="4">
        <f t="shared" si="905"/>
        <v>0</v>
      </c>
      <c r="U2496" s="4">
        <f t="shared" si="905"/>
        <v>0</v>
      </c>
      <c r="V2496" s="4">
        <f t="shared" si="905"/>
        <v>0</v>
      </c>
    </row>
    <row r="2497" spans="3:22" x14ac:dyDescent="0.15">
      <c r="D2497" s="4">
        <f t="shared" si="865"/>
        <v>562</v>
      </c>
      <c r="E2497" s="4">
        <v>41</v>
      </c>
      <c r="H2497" s="29">
        <v>1001</v>
      </c>
      <c r="I2497" s="30">
        <v>0</v>
      </c>
      <c r="M2497" s="4">
        <f t="shared" ref="M2497:V2497" si="906">M881*$C$1623</f>
        <v>1348.5</v>
      </c>
      <c r="N2497" s="4">
        <f t="shared" si="906"/>
        <v>372</v>
      </c>
      <c r="O2497" s="4">
        <f t="shared" si="906"/>
        <v>11068.5</v>
      </c>
      <c r="P2497" s="4">
        <f t="shared" si="906"/>
        <v>0</v>
      </c>
      <c r="Q2497" s="4">
        <f t="shared" si="906"/>
        <v>3892.5</v>
      </c>
      <c r="R2497" s="4">
        <f t="shared" si="906"/>
        <v>3.75</v>
      </c>
      <c r="S2497" s="4">
        <f t="shared" si="906"/>
        <v>139.5</v>
      </c>
      <c r="T2497" s="4">
        <f t="shared" si="906"/>
        <v>0</v>
      </c>
      <c r="U2497" s="4">
        <f t="shared" si="906"/>
        <v>0</v>
      </c>
      <c r="V2497" s="4">
        <f t="shared" si="906"/>
        <v>0</v>
      </c>
    </row>
    <row r="2498" spans="3:22" x14ac:dyDescent="0.15">
      <c r="D2498" s="4">
        <f t="shared" si="865"/>
        <v>562</v>
      </c>
      <c r="E2498" s="4">
        <v>42</v>
      </c>
      <c r="H2498" s="29">
        <v>1001</v>
      </c>
      <c r="I2498" s="30">
        <v>0</v>
      </c>
      <c r="M2498" s="4">
        <f t="shared" ref="M2498:V2498" si="907">M882*$C$1623</f>
        <v>1372.5</v>
      </c>
      <c r="N2498" s="4">
        <f t="shared" si="907"/>
        <v>381</v>
      </c>
      <c r="O2498" s="4">
        <f t="shared" si="907"/>
        <v>11218.5</v>
      </c>
      <c r="P2498" s="4">
        <f t="shared" si="907"/>
        <v>0</v>
      </c>
      <c r="Q2498" s="4">
        <f t="shared" si="907"/>
        <v>3907.5</v>
      </c>
      <c r="R2498" s="4">
        <f t="shared" si="907"/>
        <v>3.75</v>
      </c>
      <c r="S2498" s="4">
        <f t="shared" si="907"/>
        <v>142.5</v>
      </c>
      <c r="T2498" s="4">
        <f t="shared" si="907"/>
        <v>0</v>
      </c>
      <c r="U2498" s="4">
        <f t="shared" si="907"/>
        <v>0</v>
      </c>
      <c r="V2498" s="4">
        <f t="shared" si="907"/>
        <v>0</v>
      </c>
    </row>
    <row r="2499" spans="3:22" x14ac:dyDescent="0.15">
      <c r="D2499" s="4">
        <f t="shared" si="865"/>
        <v>562</v>
      </c>
      <c r="E2499" s="4">
        <v>43</v>
      </c>
      <c r="H2499" s="29">
        <v>1001</v>
      </c>
      <c r="I2499" s="30">
        <v>0</v>
      </c>
      <c r="M2499" s="4">
        <f t="shared" ref="M2499:V2499" si="908">M883*$C$1623</f>
        <v>1396.5</v>
      </c>
      <c r="N2499" s="4">
        <f t="shared" si="908"/>
        <v>390</v>
      </c>
      <c r="O2499" s="4">
        <f t="shared" si="908"/>
        <v>11368.5</v>
      </c>
      <c r="P2499" s="4">
        <f t="shared" si="908"/>
        <v>0</v>
      </c>
      <c r="Q2499" s="4">
        <f t="shared" si="908"/>
        <v>3922.5</v>
      </c>
      <c r="R2499" s="4">
        <f t="shared" si="908"/>
        <v>3.75</v>
      </c>
      <c r="S2499" s="4">
        <f t="shared" si="908"/>
        <v>145.5</v>
      </c>
      <c r="T2499" s="4">
        <f t="shared" si="908"/>
        <v>0</v>
      </c>
      <c r="U2499" s="4">
        <f t="shared" si="908"/>
        <v>0</v>
      </c>
      <c r="V2499" s="4">
        <f t="shared" si="908"/>
        <v>0</v>
      </c>
    </row>
    <row r="2500" spans="3:22" x14ac:dyDescent="0.15">
      <c r="D2500" s="4">
        <f t="shared" si="865"/>
        <v>562</v>
      </c>
      <c r="E2500" s="4">
        <v>44</v>
      </c>
      <c r="H2500" s="29">
        <v>1001</v>
      </c>
      <c r="I2500" s="30">
        <v>0</v>
      </c>
      <c r="M2500" s="4">
        <f t="shared" ref="M2500:V2500" si="909">M884*$C$1623</f>
        <v>1420.5</v>
      </c>
      <c r="N2500" s="4">
        <f t="shared" si="909"/>
        <v>399</v>
      </c>
      <c r="O2500" s="4">
        <f t="shared" si="909"/>
        <v>11518.5</v>
      </c>
      <c r="P2500" s="4">
        <f t="shared" si="909"/>
        <v>0</v>
      </c>
      <c r="Q2500" s="4">
        <f t="shared" si="909"/>
        <v>3937.5</v>
      </c>
      <c r="R2500" s="4">
        <f t="shared" si="909"/>
        <v>3.75</v>
      </c>
      <c r="S2500" s="4">
        <f t="shared" si="909"/>
        <v>148.5</v>
      </c>
      <c r="T2500" s="4">
        <f t="shared" si="909"/>
        <v>0</v>
      </c>
      <c r="U2500" s="4">
        <f t="shared" si="909"/>
        <v>0</v>
      </c>
      <c r="V2500" s="4">
        <f t="shared" si="909"/>
        <v>0</v>
      </c>
    </row>
    <row r="2501" spans="3:22" x14ac:dyDescent="0.15">
      <c r="D2501" s="4">
        <f t="shared" si="865"/>
        <v>562</v>
      </c>
      <c r="E2501" s="4">
        <v>45</v>
      </c>
      <c r="H2501" s="29">
        <v>1001</v>
      </c>
      <c r="I2501" s="30">
        <v>0</v>
      </c>
      <c r="M2501" s="4">
        <f t="shared" ref="M2501:V2501" si="910">M885*$C$1623</f>
        <v>1444.5</v>
      </c>
      <c r="N2501" s="4">
        <f t="shared" si="910"/>
        <v>408</v>
      </c>
      <c r="O2501" s="4">
        <f t="shared" si="910"/>
        <v>11668.5</v>
      </c>
      <c r="P2501" s="4">
        <f t="shared" si="910"/>
        <v>0</v>
      </c>
      <c r="Q2501" s="4">
        <f t="shared" si="910"/>
        <v>3952.5</v>
      </c>
      <c r="R2501" s="4">
        <f t="shared" si="910"/>
        <v>3.75</v>
      </c>
      <c r="S2501" s="4">
        <f t="shared" si="910"/>
        <v>151.5</v>
      </c>
      <c r="T2501" s="4">
        <f t="shared" si="910"/>
        <v>0</v>
      </c>
      <c r="U2501" s="4">
        <f t="shared" si="910"/>
        <v>0</v>
      </c>
      <c r="V2501" s="4">
        <f t="shared" si="910"/>
        <v>0</v>
      </c>
    </row>
    <row r="2502" spans="3:22" x14ac:dyDescent="0.15">
      <c r="D2502" s="4">
        <f t="shared" si="865"/>
        <v>562</v>
      </c>
      <c r="E2502" s="4">
        <v>46</v>
      </c>
      <c r="H2502" s="29">
        <v>1001</v>
      </c>
      <c r="I2502" s="30">
        <v>0</v>
      </c>
      <c r="M2502" s="4">
        <f t="shared" ref="M2502:V2502" si="911">M886*$C$1623</f>
        <v>1468.5</v>
      </c>
      <c r="N2502" s="4">
        <f t="shared" si="911"/>
        <v>417</v>
      </c>
      <c r="O2502" s="4">
        <f t="shared" si="911"/>
        <v>11818.5</v>
      </c>
      <c r="P2502" s="4">
        <f t="shared" si="911"/>
        <v>0</v>
      </c>
      <c r="Q2502" s="4">
        <f t="shared" si="911"/>
        <v>3967.5</v>
      </c>
      <c r="R2502" s="4">
        <f t="shared" si="911"/>
        <v>3.75</v>
      </c>
      <c r="S2502" s="4">
        <f t="shared" si="911"/>
        <v>154.5</v>
      </c>
      <c r="T2502" s="4">
        <f t="shared" si="911"/>
        <v>0</v>
      </c>
      <c r="U2502" s="4">
        <f t="shared" si="911"/>
        <v>0</v>
      </c>
      <c r="V2502" s="4">
        <f t="shared" si="911"/>
        <v>0</v>
      </c>
    </row>
    <row r="2503" spans="3:22" x14ac:dyDescent="0.15">
      <c r="D2503" s="4">
        <f t="shared" si="865"/>
        <v>562</v>
      </c>
      <c r="E2503" s="4">
        <v>47</v>
      </c>
      <c r="H2503" s="29">
        <v>1001</v>
      </c>
      <c r="I2503" s="30">
        <v>0</v>
      </c>
      <c r="M2503" s="4">
        <f t="shared" ref="M2503:V2503" si="912">M887*$C$1623</f>
        <v>1492.5</v>
      </c>
      <c r="N2503" s="4">
        <f t="shared" si="912"/>
        <v>426</v>
      </c>
      <c r="O2503" s="4">
        <f t="shared" si="912"/>
        <v>11968.5</v>
      </c>
      <c r="P2503" s="4">
        <f t="shared" si="912"/>
        <v>0</v>
      </c>
      <c r="Q2503" s="4">
        <f t="shared" si="912"/>
        <v>3982.5</v>
      </c>
      <c r="R2503" s="4">
        <f t="shared" si="912"/>
        <v>3.75</v>
      </c>
      <c r="S2503" s="4">
        <f t="shared" si="912"/>
        <v>157.5</v>
      </c>
      <c r="T2503" s="4">
        <f t="shared" si="912"/>
        <v>0</v>
      </c>
      <c r="U2503" s="4">
        <f t="shared" si="912"/>
        <v>0</v>
      </c>
      <c r="V2503" s="4">
        <f t="shared" si="912"/>
        <v>0</v>
      </c>
    </row>
    <row r="2504" spans="3:22" x14ac:dyDescent="0.15">
      <c r="D2504" s="4">
        <f t="shared" si="865"/>
        <v>562</v>
      </c>
      <c r="E2504" s="4">
        <v>48</v>
      </c>
      <c r="H2504" s="29">
        <v>1001</v>
      </c>
      <c r="I2504" s="30">
        <v>0</v>
      </c>
      <c r="M2504" s="4">
        <f t="shared" ref="M2504:V2504" si="913">M888*$C$1623</f>
        <v>1516.5</v>
      </c>
      <c r="N2504" s="4">
        <f t="shared" si="913"/>
        <v>435</v>
      </c>
      <c r="O2504" s="4">
        <f t="shared" si="913"/>
        <v>12118.5</v>
      </c>
      <c r="P2504" s="4">
        <f t="shared" si="913"/>
        <v>0</v>
      </c>
      <c r="Q2504" s="4">
        <f t="shared" si="913"/>
        <v>3997.5</v>
      </c>
      <c r="R2504" s="4">
        <f t="shared" si="913"/>
        <v>3.75</v>
      </c>
      <c r="S2504" s="4">
        <f t="shared" si="913"/>
        <v>160.5</v>
      </c>
      <c r="T2504" s="4">
        <f t="shared" si="913"/>
        <v>0</v>
      </c>
      <c r="U2504" s="4">
        <f t="shared" si="913"/>
        <v>0</v>
      </c>
      <c r="V2504" s="4">
        <f t="shared" si="913"/>
        <v>0</v>
      </c>
    </row>
    <row r="2505" spans="3:22" x14ac:dyDescent="0.15">
      <c r="D2505" s="4">
        <f t="shared" si="865"/>
        <v>562</v>
      </c>
      <c r="E2505" s="4">
        <v>49</v>
      </c>
      <c r="H2505" s="29">
        <v>1001</v>
      </c>
      <c r="I2505" s="30">
        <v>0</v>
      </c>
      <c r="M2505" s="4">
        <f t="shared" ref="M2505:V2505" si="914">M889*$C$1623</f>
        <v>1540.5</v>
      </c>
      <c r="N2505" s="4">
        <f t="shared" si="914"/>
        <v>444</v>
      </c>
      <c r="O2505" s="4">
        <f t="shared" si="914"/>
        <v>12268.5</v>
      </c>
      <c r="P2505" s="4">
        <f t="shared" si="914"/>
        <v>0</v>
      </c>
      <c r="Q2505" s="4">
        <f t="shared" si="914"/>
        <v>4012.5</v>
      </c>
      <c r="R2505" s="4">
        <f t="shared" si="914"/>
        <v>3.75</v>
      </c>
      <c r="S2505" s="4">
        <f t="shared" si="914"/>
        <v>163.5</v>
      </c>
      <c r="T2505" s="4">
        <f t="shared" si="914"/>
        <v>0</v>
      </c>
      <c r="U2505" s="4">
        <f t="shared" si="914"/>
        <v>0</v>
      </c>
      <c r="V2505" s="4">
        <f t="shared" si="914"/>
        <v>0</v>
      </c>
    </row>
    <row r="2506" spans="3:22" x14ac:dyDescent="0.15">
      <c r="D2506" s="4">
        <f t="shared" si="865"/>
        <v>562</v>
      </c>
      <c r="E2506" s="4">
        <v>50</v>
      </c>
      <c r="H2506" s="29">
        <v>1001</v>
      </c>
      <c r="I2506" s="30">
        <v>0</v>
      </c>
      <c r="M2506" s="4">
        <f t="shared" ref="M2506:V2506" si="915">M890*$C$1623</f>
        <v>1564.5</v>
      </c>
      <c r="N2506" s="4">
        <f t="shared" si="915"/>
        <v>453</v>
      </c>
      <c r="O2506" s="4">
        <f t="shared" si="915"/>
        <v>12418.5</v>
      </c>
      <c r="P2506" s="4">
        <f t="shared" si="915"/>
        <v>0</v>
      </c>
      <c r="Q2506" s="4">
        <f t="shared" si="915"/>
        <v>4027.5</v>
      </c>
      <c r="R2506" s="4">
        <f t="shared" si="915"/>
        <v>3.75</v>
      </c>
      <c r="S2506" s="4">
        <f t="shared" si="915"/>
        <v>166.5</v>
      </c>
      <c r="T2506" s="4">
        <f t="shared" si="915"/>
        <v>0</v>
      </c>
      <c r="U2506" s="4">
        <f t="shared" si="915"/>
        <v>0</v>
      </c>
      <c r="V2506" s="4">
        <f t="shared" si="915"/>
        <v>0</v>
      </c>
    </row>
    <row r="2507" spans="3:22" x14ac:dyDescent="0.15">
      <c r="I2507" s="4"/>
      <c r="M2507" s="4">
        <f t="shared" ref="M2507:V2507" si="916">M891*$C$1623</f>
        <v>0</v>
      </c>
      <c r="N2507" s="4">
        <f t="shared" si="916"/>
        <v>0</v>
      </c>
      <c r="O2507" s="4">
        <f t="shared" si="916"/>
        <v>0</v>
      </c>
      <c r="P2507" s="4">
        <f t="shared" si="916"/>
        <v>0</v>
      </c>
      <c r="Q2507" s="4">
        <f t="shared" si="916"/>
        <v>0</v>
      </c>
      <c r="R2507" s="4">
        <f t="shared" si="916"/>
        <v>0</v>
      </c>
      <c r="S2507" s="4">
        <f t="shared" si="916"/>
        <v>0</v>
      </c>
      <c r="T2507" s="4">
        <f t="shared" si="916"/>
        <v>0</v>
      </c>
      <c r="U2507" s="4">
        <f t="shared" si="916"/>
        <v>0</v>
      </c>
      <c r="V2507" s="4">
        <f t="shared" si="916"/>
        <v>0</v>
      </c>
    </row>
    <row r="2508" spans="3:22" ht="16.5" x14ac:dyDescent="0.15">
      <c r="C2508" s="4" t="s">
        <v>3095</v>
      </c>
      <c r="D2508" s="4">
        <f t="shared" ref="D2508:D2558" si="917">D2456+1</f>
        <v>563</v>
      </c>
      <c r="E2508" s="4">
        <v>0</v>
      </c>
      <c r="H2508" s="38">
        <v>2303</v>
      </c>
      <c r="I2508" s="38">
        <v>1</v>
      </c>
      <c r="L2508" s="8">
        <v>209</v>
      </c>
      <c r="M2508" s="4">
        <f t="shared" ref="M2508:V2508" si="918">M892*$C$1623</f>
        <v>0</v>
      </c>
      <c r="N2508" s="4">
        <f t="shared" si="918"/>
        <v>0</v>
      </c>
      <c r="O2508" s="4">
        <f t="shared" si="918"/>
        <v>0</v>
      </c>
      <c r="P2508" s="4">
        <f t="shared" si="918"/>
        <v>0</v>
      </c>
      <c r="Q2508" s="4">
        <f t="shared" si="918"/>
        <v>0</v>
      </c>
      <c r="R2508" s="4">
        <f t="shared" si="918"/>
        <v>0</v>
      </c>
      <c r="S2508" s="4">
        <f t="shared" si="918"/>
        <v>0</v>
      </c>
      <c r="T2508" s="4">
        <f t="shared" si="918"/>
        <v>0</v>
      </c>
      <c r="U2508" s="4">
        <f t="shared" si="918"/>
        <v>0</v>
      </c>
      <c r="V2508" s="4">
        <f t="shared" si="918"/>
        <v>0</v>
      </c>
    </row>
    <row r="2509" spans="3:22" x14ac:dyDescent="0.15">
      <c r="D2509" s="4">
        <f t="shared" si="917"/>
        <v>563</v>
      </c>
      <c r="E2509" s="4">
        <v>1</v>
      </c>
      <c r="H2509" s="29">
        <v>1001</v>
      </c>
      <c r="I2509" s="30">
        <v>0</v>
      </c>
      <c r="M2509" s="4">
        <f t="shared" ref="M2509:V2509" si="919">M893*$C$1623</f>
        <v>460.5</v>
      </c>
      <c r="N2509" s="4">
        <f t="shared" si="919"/>
        <v>15</v>
      </c>
      <c r="O2509" s="4">
        <f t="shared" si="919"/>
        <v>6912</v>
      </c>
      <c r="P2509" s="4">
        <f t="shared" si="919"/>
        <v>0</v>
      </c>
      <c r="Q2509" s="4">
        <f t="shared" si="919"/>
        <v>3763.5</v>
      </c>
      <c r="R2509" s="4">
        <f t="shared" si="919"/>
        <v>3.75</v>
      </c>
      <c r="S2509" s="4">
        <f t="shared" si="919"/>
        <v>21</v>
      </c>
      <c r="T2509" s="4">
        <f t="shared" si="919"/>
        <v>0</v>
      </c>
      <c r="U2509" s="4">
        <f t="shared" si="919"/>
        <v>0</v>
      </c>
      <c r="V2509" s="4">
        <f t="shared" si="919"/>
        <v>0</v>
      </c>
    </row>
    <row r="2510" spans="3:22" x14ac:dyDescent="0.15">
      <c r="D2510" s="4">
        <f t="shared" si="917"/>
        <v>563</v>
      </c>
      <c r="E2510" s="4">
        <v>2</v>
      </c>
      <c r="H2510" s="29">
        <v>1001</v>
      </c>
      <c r="I2510" s="30">
        <v>0</v>
      </c>
      <c r="M2510" s="4">
        <f t="shared" ref="M2510:V2510" si="920">M894*$C$1623</f>
        <v>487.5</v>
      </c>
      <c r="N2510" s="4">
        <f t="shared" si="920"/>
        <v>24</v>
      </c>
      <c r="O2510" s="4">
        <f t="shared" si="920"/>
        <v>7092</v>
      </c>
      <c r="P2510" s="4">
        <f t="shared" si="920"/>
        <v>0</v>
      </c>
      <c r="Q2510" s="4">
        <f t="shared" si="920"/>
        <v>3778.5</v>
      </c>
      <c r="R2510" s="4">
        <f t="shared" si="920"/>
        <v>3.75</v>
      </c>
      <c r="S2510" s="4">
        <f t="shared" si="920"/>
        <v>24</v>
      </c>
      <c r="T2510" s="4">
        <f t="shared" si="920"/>
        <v>0</v>
      </c>
      <c r="U2510" s="4">
        <f t="shared" si="920"/>
        <v>0</v>
      </c>
      <c r="V2510" s="4">
        <f t="shared" si="920"/>
        <v>0</v>
      </c>
    </row>
    <row r="2511" spans="3:22" x14ac:dyDescent="0.15">
      <c r="D2511" s="4">
        <f t="shared" si="917"/>
        <v>563</v>
      </c>
      <c r="E2511" s="4">
        <v>3</v>
      </c>
      <c r="H2511" s="29">
        <v>1001</v>
      </c>
      <c r="I2511" s="30">
        <v>0</v>
      </c>
      <c r="M2511" s="4">
        <f t="shared" ref="M2511:V2511" si="921">M895*$C$1623</f>
        <v>514.5</v>
      </c>
      <c r="N2511" s="4">
        <f t="shared" si="921"/>
        <v>33</v>
      </c>
      <c r="O2511" s="4">
        <f t="shared" si="921"/>
        <v>7272</v>
      </c>
      <c r="P2511" s="4">
        <f t="shared" si="921"/>
        <v>0</v>
      </c>
      <c r="Q2511" s="4">
        <f t="shared" si="921"/>
        <v>3793.5</v>
      </c>
      <c r="R2511" s="4">
        <f t="shared" si="921"/>
        <v>3.75</v>
      </c>
      <c r="S2511" s="4">
        <f t="shared" si="921"/>
        <v>27</v>
      </c>
      <c r="T2511" s="4">
        <f t="shared" si="921"/>
        <v>0</v>
      </c>
      <c r="U2511" s="4">
        <f t="shared" si="921"/>
        <v>0</v>
      </c>
      <c r="V2511" s="4">
        <f t="shared" si="921"/>
        <v>0</v>
      </c>
    </row>
    <row r="2512" spans="3:22" x14ac:dyDescent="0.15">
      <c r="D2512" s="4">
        <f t="shared" si="917"/>
        <v>563</v>
      </c>
      <c r="E2512" s="4">
        <v>4</v>
      </c>
      <c r="H2512" s="29">
        <v>1001</v>
      </c>
      <c r="I2512" s="30">
        <v>0</v>
      </c>
      <c r="M2512" s="4">
        <f t="shared" ref="M2512:V2512" si="922">M896*$C$1623</f>
        <v>541.5</v>
      </c>
      <c r="N2512" s="4">
        <f t="shared" si="922"/>
        <v>42</v>
      </c>
      <c r="O2512" s="4">
        <f t="shared" si="922"/>
        <v>7452</v>
      </c>
      <c r="P2512" s="4">
        <f t="shared" si="922"/>
        <v>0</v>
      </c>
      <c r="Q2512" s="4">
        <f t="shared" si="922"/>
        <v>3808.5</v>
      </c>
      <c r="R2512" s="4">
        <f t="shared" si="922"/>
        <v>3.75</v>
      </c>
      <c r="S2512" s="4">
        <f t="shared" si="922"/>
        <v>30</v>
      </c>
      <c r="T2512" s="4">
        <f t="shared" si="922"/>
        <v>0</v>
      </c>
      <c r="U2512" s="4">
        <f t="shared" si="922"/>
        <v>0</v>
      </c>
      <c r="V2512" s="4">
        <f t="shared" si="922"/>
        <v>0</v>
      </c>
    </row>
    <row r="2513" spans="4:22" x14ac:dyDescent="0.15">
      <c r="D2513" s="4">
        <f t="shared" si="917"/>
        <v>563</v>
      </c>
      <c r="E2513" s="4">
        <v>5</v>
      </c>
      <c r="H2513" s="29">
        <v>1001</v>
      </c>
      <c r="I2513" s="30">
        <v>0</v>
      </c>
      <c r="M2513" s="4">
        <f t="shared" ref="M2513:V2513" si="923">M897*$C$1623</f>
        <v>568.5</v>
      </c>
      <c r="N2513" s="4">
        <f t="shared" si="923"/>
        <v>51</v>
      </c>
      <c r="O2513" s="4">
        <f t="shared" si="923"/>
        <v>7632</v>
      </c>
      <c r="P2513" s="4">
        <f t="shared" si="923"/>
        <v>0</v>
      </c>
      <c r="Q2513" s="4">
        <f t="shared" si="923"/>
        <v>3823.5</v>
      </c>
      <c r="R2513" s="4">
        <f t="shared" si="923"/>
        <v>3.75</v>
      </c>
      <c r="S2513" s="4">
        <f t="shared" si="923"/>
        <v>33</v>
      </c>
      <c r="T2513" s="4">
        <f t="shared" si="923"/>
        <v>0</v>
      </c>
      <c r="U2513" s="4">
        <f t="shared" si="923"/>
        <v>0</v>
      </c>
      <c r="V2513" s="4">
        <f t="shared" si="923"/>
        <v>0</v>
      </c>
    </row>
    <row r="2514" spans="4:22" x14ac:dyDescent="0.15">
      <c r="D2514" s="4">
        <f t="shared" si="917"/>
        <v>563</v>
      </c>
      <c r="E2514" s="4">
        <v>6</v>
      </c>
      <c r="H2514" s="29">
        <v>1001</v>
      </c>
      <c r="I2514" s="30">
        <v>0</v>
      </c>
      <c r="M2514" s="4">
        <f t="shared" ref="M2514:V2514" si="924">M898*$C$1623</f>
        <v>595.5</v>
      </c>
      <c r="N2514" s="4">
        <f t="shared" si="924"/>
        <v>60</v>
      </c>
      <c r="O2514" s="4">
        <f t="shared" si="924"/>
        <v>7812</v>
      </c>
      <c r="P2514" s="4">
        <f t="shared" si="924"/>
        <v>0</v>
      </c>
      <c r="Q2514" s="4">
        <f t="shared" si="924"/>
        <v>3838.5</v>
      </c>
      <c r="R2514" s="4">
        <f t="shared" si="924"/>
        <v>3.75</v>
      </c>
      <c r="S2514" s="4">
        <f t="shared" si="924"/>
        <v>36</v>
      </c>
      <c r="T2514" s="4">
        <f t="shared" si="924"/>
        <v>0</v>
      </c>
      <c r="U2514" s="4">
        <f t="shared" si="924"/>
        <v>0</v>
      </c>
      <c r="V2514" s="4">
        <f t="shared" si="924"/>
        <v>0</v>
      </c>
    </row>
    <row r="2515" spans="4:22" x14ac:dyDescent="0.15">
      <c r="D2515" s="4">
        <f t="shared" si="917"/>
        <v>563</v>
      </c>
      <c r="E2515" s="4">
        <v>7</v>
      </c>
      <c r="H2515" s="29">
        <v>1001</v>
      </c>
      <c r="I2515" s="30">
        <v>0</v>
      </c>
      <c r="M2515" s="4">
        <f t="shared" ref="M2515:V2515" si="925">M899*$C$1623</f>
        <v>622.5</v>
      </c>
      <c r="N2515" s="4">
        <f t="shared" si="925"/>
        <v>69</v>
      </c>
      <c r="O2515" s="4">
        <f t="shared" si="925"/>
        <v>7992</v>
      </c>
      <c r="P2515" s="4">
        <f t="shared" si="925"/>
        <v>0</v>
      </c>
      <c r="Q2515" s="4">
        <f t="shared" si="925"/>
        <v>3853.5</v>
      </c>
      <c r="R2515" s="4">
        <f t="shared" si="925"/>
        <v>3.75</v>
      </c>
      <c r="S2515" s="4">
        <f t="shared" si="925"/>
        <v>39</v>
      </c>
      <c r="T2515" s="4">
        <f t="shared" si="925"/>
        <v>0</v>
      </c>
      <c r="U2515" s="4">
        <f t="shared" si="925"/>
        <v>0</v>
      </c>
      <c r="V2515" s="4">
        <f t="shared" si="925"/>
        <v>0</v>
      </c>
    </row>
    <row r="2516" spans="4:22" x14ac:dyDescent="0.15">
      <c r="D2516" s="4">
        <f t="shared" si="917"/>
        <v>563</v>
      </c>
      <c r="E2516" s="4">
        <v>8</v>
      </c>
      <c r="H2516" s="29">
        <v>1001</v>
      </c>
      <c r="I2516" s="30">
        <v>0</v>
      </c>
      <c r="M2516" s="4">
        <f t="shared" ref="M2516:V2516" si="926">M900*$C$1623</f>
        <v>649.5</v>
      </c>
      <c r="N2516" s="4">
        <f t="shared" si="926"/>
        <v>78</v>
      </c>
      <c r="O2516" s="4">
        <f t="shared" si="926"/>
        <v>8172</v>
      </c>
      <c r="P2516" s="4">
        <f t="shared" si="926"/>
        <v>0</v>
      </c>
      <c r="Q2516" s="4">
        <f t="shared" si="926"/>
        <v>3868.5</v>
      </c>
      <c r="R2516" s="4">
        <f t="shared" si="926"/>
        <v>3.75</v>
      </c>
      <c r="S2516" s="4">
        <f t="shared" si="926"/>
        <v>42</v>
      </c>
      <c r="T2516" s="4">
        <f t="shared" si="926"/>
        <v>0</v>
      </c>
      <c r="U2516" s="4">
        <f t="shared" si="926"/>
        <v>0</v>
      </c>
      <c r="V2516" s="4">
        <f t="shared" si="926"/>
        <v>0</v>
      </c>
    </row>
    <row r="2517" spans="4:22" x14ac:dyDescent="0.15">
      <c r="D2517" s="4">
        <f t="shared" si="917"/>
        <v>563</v>
      </c>
      <c r="E2517" s="4">
        <v>9</v>
      </c>
      <c r="H2517" s="29">
        <v>1001</v>
      </c>
      <c r="I2517" s="30">
        <v>0</v>
      </c>
      <c r="M2517" s="4">
        <f t="shared" ref="M2517:V2517" si="927">M901*$C$1623</f>
        <v>676.5</v>
      </c>
      <c r="N2517" s="4">
        <f t="shared" si="927"/>
        <v>87</v>
      </c>
      <c r="O2517" s="4">
        <f t="shared" si="927"/>
        <v>8352</v>
      </c>
      <c r="P2517" s="4">
        <f t="shared" si="927"/>
        <v>0</v>
      </c>
      <c r="Q2517" s="4">
        <f t="shared" si="927"/>
        <v>3883.5</v>
      </c>
      <c r="R2517" s="4">
        <f t="shared" si="927"/>
        <v>3.75</v>
      </c>
      <c r="S2517" s="4">
        <f t="shared" si="927"/>
        <v>45</v>
      </c>
      <c r="T2517" s="4">
        <f t="shared" si="927"/>
        <v>0</v>
      </c>
      <c r="U2517" s="4">
        <f t="shared" si="927"/>
        <v>0</v>
      </c>
      <c r="V2517" s="4">
        <f t="shared" si="927"/>
        <v>0</v>
      </c>
    </row>
    <row r="2518" spans="4:22" x14ac:dyDescent="0.15">
      <c r="D2518" s="4">
        <f t="shared" si="917"/>
        <v>563</v>
      </c>
      <c r="E2518" s="4">
        <v>10</v>
      </c>
      <c r="H2518" s="29">
        <v>1001</v>
      </c>
      <c r="I2518" s="30">
        <v>0</v>
      </c>
      <c r="M2518" s="4">
        <f t="shared" ref="M2518:V2518" si="928">M902*$C$1623</f>
        <v>703.5</v>
      </c>
      <c r="N2518" s="4">
        <f t="shared" si="928"/>
        <v>96</v>
      </c>
      <c r="O2518" s="4">
        <f t="shared" si="928"/>
        <v>8532</v>
      </c>
      <c r="P2518" s="4">
        <f t="shared" si="928"/>
        <v>0</v>
      </c>
      <c r="Q2518" s="4">
        <f t="shared" si="928"/>
        <v>3898.5</v>
      </c>
      <c r="R2518" s="4">
        <f t="shared" si="928"/>
        <v>3.75</v>
      </c>
      <c r="S2518" s="4">
        <f t="shared" si="928"/>
        <v>48</v>
      </c>
      <c r="T2518" s="4">
        <f t="shared" si="928"/>
        <v>0</v>
      </c>
      <c r="U2518" s="4">
        <f t="shared" si="928"/>
        <v>0</v>
      </c>
      <c r="V2518" s="4">
        <f t="shared" si="928"/>
        <v>0</v>
      </c>
    </row>
    <row r="2519" spans="4:22" x14ac:dyDescent="0.15">
      <c r="D2519" s="4">
        <f t="shared" si="917"/>
        <v>563</v>
      </c>
      <c r="E2519" s="4">
        <v>11</v>
      </c>
      <c r="H2519" s="29">
        <v>1001</v>
      </c>
      <c r="I2519" s="30">
        <v>0</v>
      </c>
      <c r="M2519" s="4">
        <f t="shared" ref="M2519:V2519" si="929">M903*$C$1623</f>
        <v>730.5</v>
      </c>
      <c r="N2519" s="4">
        <f t="shared" si="929"/>
        <v>105</v>
      </c>
      <c r="O2519" s="4">
        <f t="shared" si="929"/>
        <v>8712</v>
      </c>
      <c r="P2519" s="4">
        <f t="shared" si="929"/>
        <v>0</v>
      </c>
      <c r="Q2519" s="4">
        <f t="shared" si="929"/>
        <v>3913.5</v>
      </c>
      <c r="R2519" s="4">
        <f t="shared" si="929"/>
        <v>3.75</v>
      </c>
      <c r="S2519" s="4">
        <f t="shared" si="929"/>
        <v>51</v>
      </c>
      <c r="T2519" s="4">
        <f t="shared" si="929"/>
        <v>0</v>
      </c>
      <c r="U2519" s="4">
        <f t="shared" si="929"/>
        <v>0</v>
      </c>
      <c r="V2519" s="4">
        <f t="shared" si="929"/>
        <v>0</v>
      </c>
    </row>
    <row r="2520" spans="4:22" x14ac:dyDescent="0.15">
      <c r="D2520" s="4">
        <f t="shared" si="917"/>
        <v>563</v>
      </c>
      <c r="E2520" s="4">
        <v>12</v>
      </c>
      <c r="H2520" s="29">
        <v>1001</v>
      </c>
      <c r="I2520" s="30">
        <v>0</v>
      </c>
      <c r="M2520" s="4">
        <f t="shared" ref="M2520:V2520" si="930">M904*$C$1623</f>
        <v>757.5</v>
      </c>
      <c r="N2520" s="4">
        <f t="shared" si="930"/>
        <v>114</v>
      </c>
      <c r="O2520" s="4">
        <f t="shared" si="930"/>
        <v>8892</v>
      </c>
      <c r="P2520" s="4">
        <f t="shared" si="930"/>
        <v>0</v>
      </c>
      <c r="Q2520" s="4">
        <f t="shared" si="930"/>
        <v>3928.5</v>
      </c>
      <c r="R2520" s="4">
        <f t="shared" si="930"/>
        <v>3.75</v>
      </c>
      <c r="S2520" s="4">
        <f t="shared" si="930"/>
        <v>54</v>
      </c>
      <c r="T2520" s="4">
        <f t="shared" si="930"/>
        <v>0</v>
      </c>
      <c r="U2520" s="4">
        <f t="shared" si="930"/>
        <v>0</v>
      </c>
      <c r="V2520" s="4">
        <f t="shared" si="930"/>
        <v>0</v>
      </c>
    </row>
    <row r="2521" spans="4:22" x14ac:dyDescent="0.15">
      <c r="D2521" s="4">
        <f t="shared" si="917"/>
        <v>563</v>
      </c>
      <c r="E2521" s="4">
        <v>13</v>
      </c>
      <c r="H2521" s="29">
        <v>1001</v>
      </c>
      <c r="I2521" s="30">
        <v>0</v>
      </c>
      <c r="M2521" s="4">
        <f t="shared" ref="M2521:V2521" si="931">M905*$C$1623</f>
        <v>784.5</v>
      </c>
      <c r="N2521" s="4">
        <f t="shared" si="931"/>
        <v>123</v>
      </c>
      <c r="O2521" s="4">
        <f t="shared" si="931"/>
        <v>9072</v>
      </c>
      <c r="P2521" s="4">
        <f t="shared" si="931"/>
        <v>0</v>
      </c>
      <c r="Q2521" s="4">
        <f t="shared" si="931"/>
        <v>3943.5</v>
      </c>
      <c r="R2521" s="4">
        <f t="shared" si="931"/>
        <v>3.75</v>
      </c>
      <c r="S2521" s="4">
        <f t="shared" si="931"/>
        <v>57</v>
      </c>
      <c r="T2521" s="4">
        <f t="shared" si="931"/>
        <v>0</v>
      </c>
      <c r="U2521" s="4">
        <f t="shared" si="931"/>
        <v>0</v>
      </c>
      <c r="V2521" s="4">
        <f t="shared" si="931"/>
        <v>0</v>
      </c>
    </row>
    <row r="2522" spans="4:22" x14ac:dyDescent="0.15">
      <c r="D2522" s="4">
        <f t="shared" si="917"/>
        <v>563</v>
      </c>
      <c r="E2522" s="4">
        <v>14</v>
      </c>
      <c r="H2522" s="29">
        <v>1001</v>
      </c>
      <c r="I2522" s="30">
        <v>0</v>
      </c>
      <c r="M2522" s="4">
        <f t="shared" ref="M2522:V2522" si="932">M906*$C$1623</f>
        <v>811.5</v>
      </c>
      <c r="N2522" s="4">
        <f t="shared" si="932"/>
        <v>132</v>
      </c>
      <c r="O2522" s="4">
        <f t="shared" si="932"/>
        <v>9252</v>
      </c>
      <c r="P2522" s="4">
        <f t="shared" si="932"/>
        <v>0</v>
      </c>
      <c r="Q2522" s="4">
        <f t="shared" si="932"/>
        <v>3958.5</v>
      </c>
      <c r="R2522" s="4">
        <f t="shared" si="932"/>
        <v>3.75</v>
      </c>
      <c r="S2522" s="4">
        <f t="shared" si="932"/>
        <v>60</v>
      </c>
      <c r="T2522" s="4">
        <f t="shared" si="932"/>
        <v>0</v>
      </c>
      <c r="U2522" s="4">
        <f t="shared" si="932"/>
        <v>0</v>
      </c>
      <c r="V2522" s="4">
        <f t="shared" si="932"/>
        <v>0</v>
      </c>
    </row>
    <row r="2523" spans="4:22" x14ac:dyDescent="0.15">
      <c r="D2523" s="4">
        <f t="shared" si="917"/>
        <v>563</v>
      </c>
      <c r="E2523" s="4">
        <v>15</v>
      </c>
      <c r="H2523" s="29">
        <v>1001</v>
      </c>
      <c r="I2523" s="30">
        <v>0</v>
      </c>
      <c r="M2523" s="4">
        <f t="shared" ref="M2523:V2523" si="933">M907*$C$1623</f>
        <v>838.5</v>
      </c>
      <c r="N2523" s="4">
        <f t="shared" si="933"/>
        <v>141</v>
      </c>
      <c r="O2523" s="4">
        <f t="shared" si="933"/>
        <v>9432</v>
      </c>
      <c r="P2523" s="4">
        <f t="shared" si="933"/>
        <v>0</v>
      </c>
      <c r="Q2523" s="4">
        <f t="shared" si="933"/>
        <v>3973.5</v>
      </c>
      <c r="R2523" s="4">
        <f t="shared" si="933"/>
        <v>3.75</v>
      </c>
      <c r="S2523" s="4">
        <f t="shared" si="933"/>
        <v>63</v>
      </c>
      <c r="T2523" s="4">
        <f t="shared" si="933"/>
        <v>0</v>
      </c>
      <c r="U2523" s="4">
        <f t="shared" si="933"/>
        <v>0</v>
      </c>
      <c r="V2523" s="4">
        <f t="shared" si="933"/>
        <v>0</v>
      </c>
    </row>
    <row r="2524" spans="4:22" x14ac:dyDescent="0.15">
      <c r="D2524" s="4">
        <f t="shared" si="917"/>
        <v>563</v>
      </c>
      <c r="E2524" s="4">
        <v>16</v>
      </c>
      <c r="H2524" s="29">
        <v>1001</v>
      </c>
      <c r="I2524" s="30">
        <v>0</v>
      </c>
      <c r="M2524" s="4">
        <f t="shared" ref="M2524:V2524" si="934">M908*$C$1623</f>
        <v>865.5</v>
      </c>
      <c r="N2524" s="4">
        <f t="shared" si="934"/>
        <v>150</v>
      </c>
      <c r="O2524" s="4">
        <f t="shared" si="934"/>
        <v>9612</v>
      </c>
      <c r="P2524" s="4">
        <f t="shared" si="934"/>
        <v>0</v>
      </c>
      <c r="Q2524" s="4">
        <f t="shared" si="934"/>
        <v>3988.5</v>
      </c>
      <c r="R2524" s="4">
        <f t="shared" si="934"/>
        <v>3.75</v>
      </c>
      <c r="S2524" s="4">
        <f t="shared" si="934"/>
        <v>66</v>
      </c>
      <c r="T2524" s="4">
        <f t="shared" si="934"/>
        <v>0</v>
      </c>
      <c r="U2524" s="4">
        <f t="shared" si="934"/>
        <v>0</v>
      </c>
      <c r="V2524" s="4">
        <f t="shared" si="934"/>
        <v>0</v>
      </c>
    </row>
    <row r="2525" spans="4:22" x14ac:dyDescent="0.15">
      <c r="D2525" s="4">
        <f t="shared" si="917"/>
        <v>563</v>
      </c>
      <c r="E2525" s="4">
        <v>17</v>
      </c>
      <c r="H2525" s="29">
        <v>1001</v>
      </c>
      <c r="I2525" s="30">
        <v>0</v>
      </c>
      <c r="M2525" s="4">
        <f t="shared" ref="M2525:V2525" si="935">M909*$C$1623</f>
        <v>892.5</v>
      </c>
      <c r="N2525" s="4">
        <f t="shared" si="935"/>
        <v>159</v>
      </c>
      <c r="O2525" s="4">
        <f t="shared" si="935"/>
        <v>9792</v>
      </c>
      <c r="P2525" s="4">
        <f t="shared" si="935"/>
        <v>0</v>
      </c>
      <c r="Q2525" s="4">
        <f t="shared" si="935"/>
        <v>4003.5</v>
      </c>
      <c r="R2525" s="4">
        <f t="shared" si="935"/>
        <v>3.75</v>
      </c>
      <c r="S2525" s="4">
        <f t="shared" si="935"/>
        <v>69</v>
      </c>
      <c r="T2525" s="4">
        <f t="shared" si="935"/>
        <v>0</v>
      </c>
      <c r="U2525" s="4">
        <f t="shared" si="935"/>
        <v>0</v>
      </c>
      <c r="V2525" s="4">
        <f t="shared" si="935"/>
        <v>0</v>
      </c>
    </row>
    <row r="2526" spans="4:22" x14ac:dyDescent="0.15">
      <c r="D2526" s="4">
        <f t="shared" si="917"/>
        <v>563</v>
      </c>
      <c r="E2526" s="4">
        <v>18</v>
      </c>
      <c r="H2526" s="29">
        <v>1001</v>
      </c>
      <c r="I2526" s="30">
        <v>0</v>
      </c>
      <c r="M2526" s="4">
        <f t="shared" ref="M2526:V2526" si="936">M910*$C$1623</f>
        <v>919.5</v>
      </c>
      <c r="N2526" s="4">
        <f t="shared" si="936"/>
        <v>168</v>
      </c>
      <c r="O2526" s="4">
        <f t="shared" si="936"/>
        <v>9972</v>
      </c>
      <c r="P2526" s="4">
        <f t="shared" si="936"/>
        <v>0</v>
      </c>
      <c r="Q2526" s="4">
        <f t="shared" si="936"/>
        <v>4018.5</v>
      </c>
      <c r="R2526" s="4">
        <f t="shared" si="936"/>
        <v>3.75</v>
      </c>
      <c r="S2526" s="4">
        <f t="shared" si="936"/>
        <v>72</v>
      </c>
      <c r="T2526" s="4">
        <f t="shared" si="936"/>
        <v>0</v>
      </c>
      <c r="U2526" s="4">
        <f t="shared" si="936"/>
        <v>0</v>
      </c>
      <c r="V2526" s="4">
        <f t="shared" si="936"/>
        <v>0</v>
      </c>
    </row>
    <row r="2527" spans="4:22" x14ac:dyDescent="0.15">
      <c r="D2527" s="4">
        <f t="shared" si="917"/>
        <v>563</v>
      </c>
      <c r="E2527" s="4">
        <v>19</v>
      </c>
      <c r="H2527" s="29">
        <v>1001</v>
      </c>
      <c r="I2527" s="30">
        <v>0</v>
      </c>
      <c r="M2527" s="4">
        <f t="shared" ref="M2527:V2527" si="937">M911*$C$1623</f>
        <v>946.5</v>
      </c>
      <c r="N2527" s="4">
        <f t="shared" si="937"/>
        <v>177</v>
      </c>
      <c r="O2527" s="4">
        <f t="shared" si="937"/>
        <v>10152</v>
      </c>
      <c r="P2527" s="4">
        <f t="shared" si="937"/>
        <v>0</v>
      </c>
      <c r="Q2527" s="4">
        <f t="shared" si="937"/>
        <v>4033.5</v>
      </c>
      <c r="R2527" s="4">
        <f t="shared" si="937"/>
        <v>3.75</v>
      </c>
      <c r="S2527" s="4">
        <f t="shared" si="937"/>
        <v>75</v>
      </c>
      <c r="T2527" s="4">
        <f t="shared" si="937"/>
        <v>0</v>
      </c>
      <c r="U2527" s="4">
        <f t="shared" si="937"/>
        <v>0</v>
      </c>
      <c r="V2527" s="4">
        <f t="shared" si="937"/>
        <v>0</v>
      </c>
    </row>
    <row r="2528" spans="4:22" x14ac:dyDescent="0.15">
      <c r="D2528" s="4">
        <f t="shared" si="917"/>
        <v>563</v>
      </c>
      <c r="E2528" s="4">
        <v>20</v>
      </c>
      <c r="H2528" s="29">
        <v>1001</v>
      </c>
      <c r="I2528" s="30">
        <v>0</v>
      </c>
      <c r="M2528" s="4">
        <f t="shared" ref="M2528:V2528" si="938">M912*$C$1623</f>
        <v>973.5</v>
      </c>
      <c r="N2528" s="4">
        <f t="shared" si="938"/>
        <v>186</v>
      </c>
      <c r="O2528" s="4">
        <f t="shared" si="938"/>
        <v>10332</v>
      </c>
      <c r="P2528" s="4">
        <f t="shared" si="938"/>
        <v>0</v>
      </c>
      <c r="Q2528" s="4">
        <f t="shared" si="938"/>
        <v>4048.5</v>
      </c>
      <c r="R2528" s="4">
        <f t="shared" si="938"/>
        <v>3.75</v>
      </c>
      <c r="S2528" s="4">
        <f t="shared" si="938"/>
        <v>78</v>
      </c>
      <c r="T2528" s="4">
        <f t="shared" si="938"/>
        <v>0</v>
      </c>
      <c r="U2528" s="4">
        <f t="shared" si="938"/>
        <v>0</v>
      </c>
      <c r="V2528" s="4">
        <f t="shared" si="938"/>
        <v>0</v>
      </c>
    </row>
    <row r="2529" spans="4:22" x14ac:dyDescent="0.15">
      <c r="D2529" s="4">
        <f t="shared" si="917"/>
        <v>563</v>
      </c>
      <c r="E2529" s="4">
        <v>21</v>
      </c>
      <c r="H2529" s="29">
        <v>1001</v>
      </c>
      <c r="I2529" s="30">
        <v>0</v>
      </c>
      <c r="M2529" s="4">
        <f t="shared" ref="M2529:V2529" si="939">M913*$C$1623</f>
        <v>1000.5</v>
      </c>
      <c r="N2529" s="4">
        <f t="shared" si="939"/>
        <v>195</v>
      </c>
      <c r="O2529" s="4">
        <f t="shared" si="939"/>
        <v>10512</v>
      </c>
      <c r="P2529" s="4">
        <f t="shared" si="939"/>
        <v>0</v>
      </c>
      <c r="Q2529" s="4">
        <f t="shared" si="939"/>
        <v>4063.5</v>
      </c>
      <c r="R2529" s="4">
        <f t="shared" si="939"/>
        <v>3.75</v>
      </c>
      <c r="S2529" s="4">
        <f t="shared" si="939"/>
        <v>81</v>
      </c>
      <c r="T2529" s="4">
        <f t="shared" si="939"/>
        <v>0</v>
      </c>
      <c r="U2529" s="4">
        <f t="shared" si="939"/>
        <v>0</v>
      </c>
      <c r="V2529" s="4">
        <f t="shared" si="939"/>
        <v>0</v>
      </c>
    </row>
    <row r="2530" spans="4:22" x14ac:dyDescent="0.15">
      <c r="D2530" s="4">
        <f t="shared" si="917"/>
        <v>563</v>
      </c>
      <c r="E2530" s="4">
        <v>22</v>
      </c>
      <c r="H2530" s="29">
        <v>1001</v>
      </c>
      <c r="I2530" s="30">
        <v>0</v>
      </c>
      <c r="M2530" s="4">
        <f t="shared" ref="M2530:V2530" si="940">M914*$C$1623</f>
        <v>1027.5</v>
      </c>
      <c r="N2530" s="4">
        <f t="shared" si="940"/>
        <v>204</v>
      </c>
      <c r="O2530" s="4">
        <f t="shared" si="940"/>
        <v>10692</v>
      </c>
      <c r="P2530" s="4">
        <f t="shared" si="940"/>
        <v>0</v>
      </c>
      <c r="Q2530" s="4">
        <f t="shared" si="940"/>
        <v>4078.5</v>
      </c>
      <c r="R2530" s="4">
        <f t="shared" si="940"/>
        <v>3.75</v>
      </c>
      <c r="S2530" s="4">
        <f t="shared" si="940"/>
        <v>84</v>
      </c>
      <c r="T2530" s="4">
        <f t="shared" si="940"/>
        <v>0</v>
      </c>
      <c r="U2530" s="4">
        <f t="shared" si="940"/>
        <v>0</v>
      </c>
      <c r="V2530" s="4">
        <f t="shared" si="940"/>
        <v>0</v>
      </c>
    </row>
    <row r="2531" spans="4:22" x14ac:dyDescent="0.15">
      <c r="D2531" s="4">
        <f t="shared" si="917"/>
        <v>563</v>
      </c>
      <c r="E2531" s="4">
        <v>23</v>
      </c>
      <c r="H2531" s="29">
        <v>1001</v>
      </c>
      <c r="I2531" s="30">
        <v>0</v>
      </c>
      <c r="M2531" s="4">
        <f t="shared" ref="M2531:V2531" si="941">M915*$C$1623</f>
        <v>1054.5</v>
      </c>
      <c r="N2531" s="4">
        <f t="shared" si="941"/>
        <v>213</v>
      </c>
      <c r="O2531" s="4">
        <f t="shared" si="941"/>
        <v>10872</v>
      </c>
      <c r="P2531" s="4">
        <f t="shared" si="941"/>
        <v>0</v>
      </c>
      <c r="Q2531" s="4">
        <f t="shared" si="941"/>
        <v>4093.5</v>
      </c>
      <c r="R2531" s="4">
        <f t="shared" si="941"/>
        <v>3.75</v>
      </c>
      <c r="S2531" s="4">
        <f t="shared" si="941"/>
        <v>87</v>
      </c>
      <c r="T2531" s="4">
        <f t="shared" si="941"/>
        <v>0</v>
      </c>
      <c r="U2531" s="4">
        <f t="shared" si="941"/>
        <v>0</v>
      </c>
      <c r="V2531" s="4">
        <f t="shared" si="941"/>
        <v>0</v>
      </c>
    </row>
    <row r="2532" spans="4:22" x14ac:dyDescent="0.15">
      <c r="D2532" s="4">
        <f t="shared" si="917"/>
        <v>563</v>
      </c>
      <c r="E2532" s="4">
        <v>24</v>
      </c>
      <c r="H2532" s="29">
        <v>1001</v>
      </c>
      <c r="I2532" s="30">
        <v>0</v>
      </c>
      <c r="M2532" s="4">
        <f t="shared" ref="M2532:V2532" si="942">M916*$C$1623</f>
        <v>1081.5</v>
      </c>
      <c r="N2532" s="4">
        <f t="shared" si="942"/>
        <v>222</v>
      </c>
      <c r="O2532" s="4">
        <f t="shared" si="942"/>
        <v>11052</v>
      </c>
      <c r="P2532" s="4">
        <f t="shared" si="942"/>
        <v>0</v>
      </c>
      <c r="Q2532" s="4">
        <f t="shared" si="942"/>
        <v>4108.5</v>
      </c>
      <c r="R2532" s="4">
        <f t="shared" si="942"/>
        <v>3.75</v>
      </c>
      <c r="S2532" s="4">
        <f t="shared" si="942"/>
        <v>90</v>
      </c>
      <c r="T2532" s="4">
        <f t="shared" si="942"/>
        <v>0</v>
      </c>
      <c r="U2532" s="4">
        <f t="shared" si="942"/>
        <v>0</v>
      </c>
      <c r="V2532" s="4">
        <f t="shared" si="942"/>
        <v>0</v>
      </c>
    </row>
    <row r="2533" spans="4:22" x14ac:dyDescent="0.15">
      <c r="D2533" s="4">
        <f t="shared" si="917"/>
        <v>563</v>
      </c>
      <c r="E2533" s="4">
        <v>25</v>
      </c>
      <c r="H2533" s="29">
        <v>1001</v>
      </c>
      <c r="I2533" s="30">
        <v>0</v>
      </c>
      <c r="M2533" s="4">
        <f t="shared" ref="M2533:V2533" si="943">M917*$C$1623</f>
        <v>1108.5</v>
      </c>
      <c r="N2533" s="4">
        <f t="shared" si="943"/>
        <v>231</v>
      </c>
      <c r="O2533" s="4">
        <f t="shared" si="943"/>
        <v>11232</v>
      </c>
      <c r="P2533" s="4">
        <f t="shared" si="943"/>
        <v>0</v>
      </c>
      <c r="Q2533" s="4">
        <f t="shared" si="943"/>
        <v>4123.5</v>
      </c>
      <c r="R2533" s="4">
        <f t="shared" si="943"/>
        <v>3.75</v>
      </c>
      <c r="S2533" s="4">
        <f t="shared" si="943"/>
        <v>93</v>
      </c>
      <c r="T2533" s="4">
        <f t="shared" si="943"/>
        <v>0</v>
      </c>
      <c r="U2533" s="4">
        <f t="shared" si="943"/>
        <v>0</v>
      </c>
      <c r="V2533" s="4">
        <f t="shared" si="943"/>
        <v>0</v>
      </c>
    </row>
    <row r="2534" spans="4:22" x14ac:dyDescent="0.15">
      <c r="D2534" s="4">
        <f t="shared" si="917"/>
        <v>563</v>
      </c>
      <c r="E2534" s="4">
        <v>26</v>
      </c>
      <c r="H2534" s="29">
        <v>1001</v>
      </c>
      <c r="I2534" s="30">
        <v>0</v>
      </c>
      <c r="M2534" s="4">
        <f t="shared" ref="M2534:V2534" si="944">M918*$C$1623</f>
        <v>1135.5</v>
      </c>
      <c r="N2534" s="4">
        <f t="shared" si="944"/>
        <v>240</v>
      </c>
      <c r="O2534" s="4">
        <f t="shared" si="944"/>
        <v>11412</v>
      </c>
      <c r="P2534" s="4">
        <f t="shared" si="944"/>
        <v>0</v>
      </c>
      <c r="Q2534" s="4">
        <f t="shared" si="944"/>
        <v>4138.5</v>
      </c>
      <c r="R2534" s="4">
        <f t="shared" si="944"/>
        <v>3.75</v>
      </c>
      <c r="S2534" s="4">
        <f t="shared" si="944"/>
        <v>96</v>
      </c>
      <c r="T2534" s="4">
        <f t="shared" si="944"/>
        <v>0</v>
      </c>
      <c r="U2534" s="4">
        <f t="shared" si="944"/>
        <v>0</v>
      </c>
      <c r="V2534" s="4">
        <f t="shared" si="944"/>
        <v>0</v>
      </c>
    </row>
    <row r="2535" spans="4:22" x14ac:dyDescent="0.15">
      <c r="D2535" s="4">
        <f t="shared" si="917"/>
        <v>563</v>
      </c>
      <c r="E2535" s="4">
        <v>27</v>
      </c>
      <c r="H2535" s="29">
        <v>1001</v>
      </c>
      <c r="I2535" s="30">
        <v>0</v>
      </c>
      <c r="M2535" s="4">
        <f t="shared" ref="M2535:V2535" si="945">M919*$C$1623</f>
        <v>1162.5</v>
      </c>
      <c r="N2535" s="4">
        <f t="shared" si="945"/>
        <v>249</v>
      </c>
      <c r="O2535" s="4">
        <f t="shared" si="945"/>
        <v>11592</v>
      </c>
      <c r="P2535" s="4">
        <f t="shared" si="945"/>
        <v>0</v>
      </c>
      <c r="Q2535" s="4">
        <f t="shared" si="945"/>
        <v>4153.5</v>
      </c>
      <c r="R2535" s="4">
        <f t="shared" si="945"/>
        <v>3.75</v>
      </c>
      <c r="S2535" s="4">
        <f t="shared" si="945"/>
        <v>99</v>
      </c>
      <c r="T2535" s="4">
        <f t="shared" si="945"/>
        <v>0</v>
      </c>
      <c r="U2535" s="4">
        <f t="shared" si="945"/>
        <v>0</v>
      </c>
      <c r="V2535" s="4">
        <f t="shared" si="945"/>
        <v>0</v>
      </c>
    </row>
    <row r="2536" spans="4:22" x14ac:dyDescent="0.15">
      <c r="D2536" s="4">
        <f t="shared" si="917"/>
        <v>563</v>
      </c>
      <c r="E2536" s="4">
        <v>28</v>
      </c>
      <c r="H2536" s="29">
        <v>1001</v>
      </c>
      <c r="I2536" s="30">
        <v>0</v>
      </c>
      <c r="M2536" s="4">
        <f t="shared" ref="M2536:V2536" si="946">M920*$C$1623</f>
        <v>1189.5</v>
      </c>
      <c r="N2536" s="4">
        <f t="shared" si="946"/>
        <v>258</v>
      </c>
      <c r="O2536" s="4">
        <f t="shared" si="946"/>
        <v>11772</v>
      </c>
      <c r="P2536" s="4">
        <f t="shared" si="946"/>
        <v>0</v>
      </c>
      <c r="Q2536" s="4">
        <f t="shared" si="946"/>
        <v>4168.5</v>
      </c>
      <c r="R2536" s="4">
        <f t="shared" si="946"/>
        <v>3.75</v>
      </c>
      <c r="S2536" s="4">
        <f t="shared" si="946"/>
        <v>102</v>
      </c>
      <c r="T2536" s="4">
        <f t="shared" si="946"/>
        <v>0</v>
      </c>
      <c r="U2536" s="4">
        <f t="shared" si="946"/>
        <v>0</v>
      </c>
      <c r="V2536" s="4">
        <f t="shared" si="946"/>
        <v>0</v>
      </c>
    </row>
    <row r="2537" spans="4:22" x14ac:dyDescent="0.15">
      <c r="D2537" s="4">
        <f t="shared" si="917"/>
        <v>563</v>
      </c>
      <c r="E2537" s="4">
        <v>29</v>
      </c>
      <c r="H2537" s="29">
        <v>1001</v>
      </c>
      <c r="I2537" s="30">
        <v>0</v>
      </c>
      <c r="M2537" s="4">
        <f t="shared" ref="M2537:V2537" si="947">M921*$C$1623</f>
        <v>1216.5</v>
      </c>
      <c r="N2537" s="4">
        <f t="shared" si="947"/>
        <v>267</v>
      </c>
      <c r="O2537" s="4">
        <f t="shared" si="947"/>
        <v>11952</v>
      </c>
      <c r="P2537" s="4">
        <f t="shared" si="947"/>
        <v>0</v>
      </c>
      <c r="Q2537" s="4">
        <f t="shared" si="947"/>
        <v>4183.5</v>
      </c>
      <c r="R2537" s="4">
        <f t="shared" si="947"/>
        <v>3.75</v>
      </c>
      <c r="S2537" s="4">
        <f t="shared" si="947"/>
        <v>105</v>
      </c>
      <c r="T2537" s="4">
        <f t="shared" si="947"/>
        <v>0</v>
      </c>
      <c r="U2537" s="4">
        <f t="shared" si="947"/>
        <v>0</v>
      </c>
      <c r="V2537" s="4">
        <f t="shared" si="947"/>
        <v>0</v>
      </c>
    </row>
    <row r="2538" spans="4:22" x14ac:dyDescent="0.15">
      <c r="D2538" s="4">
        <f t="shared" si="917"/>
        <v>563</v>
      </c>
      <c r="E2538" s="4">
        <v>30</v>
      </c>
      <c r="H2538" s="29">
        <v>1001</v>
      </c>
      <c r="I2538" s="30">
        <v>0</v>
      </c>
      <c r="M2538" s="4">
        <f t="shared" ref="M2538:V2538" si="948">M922*$C$1623</f>
        <v>1243.5</v>
      </c>
      <c r="N2538" s="4">
        <f t="shared" si="948"/>
        <v>276</v>
      </c>
      <c r="O2538" s="4">
        <f t="shared" si="948"/>
        <v>12132</v>
      </c>
      <c r="P2538" s="4">
        <f t="shared" si="948"/>
        <v>0</v>
      </c>
      <c r="Q2538" s="4">
        <f t="shared" si="948"/>
        <v>4198.5</v>
      </c>
      <c r="R2538" s="4">
        <f t="shared" si="948"/>
        <v>3.75</v>
      </c>
      <c r="S2538" s="4">
        <f t="shared" si="948"/>
        <v>108</v>
      </c>
      <c r="T2538" s="4">
        <f t="shared" si="948"/>
        <v>0</v>
      </c>
      <c r="U2538" s="4">
        <f t="shared" si="948"/>
        <v>0</v>
      </c>
      <c r="V2538" s="4">
        <f t="shared" si="948"/>
        <v>0</v>
      </c>
    </row>
    <row r="2539" spans="4:22" x14ac:dyDescent="0.15">
      <c r="D2539" s="4">
        <f t="shared" si="917"/>
        <v>563</v>
      </c>
      <c r="E2539" s="4">
        <v>31</v>
      </c>
      <c r="H2539" s="29">
        <v>1001</v>
      </c>
      <c r="I2539" s="30">
        <v>0</v>
      </c>
      <c r="M2539" s="4">
        <f t="shared" ref="M2539:V2539" si="949">M923*$C$1623</f>
        <v>1270.5</v>
      </c>
      <c r="N2539" s="4">
        <f t="shared" si="949"/>
        <v>285</v>
      </c>
      <c r="O2539" s="4">
        <f t="shared" si="949"/>
        <v>12312</v>
      </c>
      <c r="P2539" s="4">
        <f t="shared" si="949"/>
        <v>0</v>
      </c>
      <c r="Q2539" s="4">
        <f t="shared" si="949"/>
        <v>4213.5</v>
      </c>
      <c r="R2539" s="4">
        <f t="shared" si="949"/>
        <v>3.75</v>
      </c>
      <c r="S2539" s="4">
        <f t="shared" si="949"/>
        <v>111</v>
      </c>
      <c r="T2539" s="4">
        <f t="shared" si="949"/>
        <v>0</v>
      </c>
      <c r="U2539" s="4">
        <f t="shared" si="949"/>
        <v>0</v>
      </c>
      <c r="V2539" s="4">
        <f t="shared" si="949"/>
        <v>0</v>
      </c>
    </row>
    <row r="2540" spans="4:22" x14ac:dyDescent="0.15">
      <c r="D2540" s="4">
        <f t="shared" si="917"/>
        <v>563</v>
      </c>
      <c r="E2540" s="4">
        <v>32</v>
      </c>
      <c r="H2540" s="29">
        <v>1001</v>
      </c>
      <c r="I2540" s="30">
        <v>0</v>
      </c>
      <c r="M2540" s="4">
        <f t="shared" ref="M2540:V2540" si="950">M924*$C$1623</f>
        <v>1297.5</v>
      </c>
      <c r="N2540" s="4">
        <f t="shared" si="950"/>
        <v>294</v>
      </c>
      <c r="O2540" s="4">
        <f t="shared" si="950"/>
        <v>12492</v>
      </c>
      <c r="P2540" s="4">
        <f t="shared" si="950"/>
        <v>0</v>
      </c>
      <c r="Q2540" s="4">
        <f t="shared" si="950"/>
        <v>4228.5</v>
      </c>
      <c r="R2540" s="4">
        <f t="shared" si="950"/>
        <v>3.75</v>
      </c>
      <c r="S2540" s="4">
        <f t="shared" si="950"/>
        <v>114</v>
      </c>
      <c r="T2540" s="4">
        <f t="shared" si="950"/>
        <v>0</v>
      </c>
      <c r="U2540" s="4">
        <f t="shared" si="950"/>
        <v>0</v>
      </c>
      <c r="V2540" s="4">
        <f t="shared" si="950"/>
        <v>0</v>
      </c>
    </row>
    <row r="2541" spans="4:22" x14ac:dyDescent="0.15">
      <c r="D2541" s="4">
        <f t="shared" si="917"/>
        <v>563</v>
      </c>
      <c r="E2541" s="4">
        <v>33</v>
      </c>
      <c r="H2541" s="29">
        <v>1001</v>
      </c>
      <c r="I2541" s="30">
        <v>0</v>
      </c>
      <c r="M2541" s="4">
        <f t="shared" ref="M2541:V2541" si="951">M925*$C$1623</f>
        <v>1324.5</v>
      </c>
      <c r="N2541" s="4">
        <f t="shared" si="951"/>
        <v>303</v>
      </c>
      <c r="O2541" s="4">
        <f t="shared" si="951"/>
        <v>12672</v>
      </c>
      <c r="P2541" s="4">
        <f t="shared" si="951"/>
        <v>0</v>
      </c>
      <c r="Q2541" s="4">
        <f t="shared" si="951"/>
        <v>4243.5</v>
      </c>
      <c r="R2541" s="4">
        <f t="shared" si="951"/>
        <v>3.75</v>
      </c>
      <c r="S2541" s="4">
        <f t="shared" si="951"/>
        <v>117</v>
      </c>
      <c r="T2541" s="4">
        <f t="shared" si="951"/>
        <v>0</v>
      </c>
      <c r="U2541" s="4">
        <f t="shared" si="951"/>
        <v>0</v>
      </c>
      <c r="V2541" s="4">
        <f t="shared" si="951"/>
        <v>0</v>
      </c>
    </row>
    <row r="2542" spans="4:22" x14ac:dyDescent="0.15">
      <c r="D2542" s="4">
        <f t="shared" si="917"/>
        <v>563</v>
      </c>
      <c r="E2542" s="4">
        <v>34</v>
      </c>
      <c r="H2542" s="29">
        <v>1001</v>
      </c>
      <c r="I2542" s="30">
        <v>0</v>
      </c>
      <c r="M2542" s="4">
        <f t="shared" ref="M2542:V2542" si="952">M926*$C$1623</f>
        <v>1351.5</v>
      </c>
      <c r="N2542" s="4">
        <f t="shared" si="952"/>
        <v>312</v>
      </c>
      <c r="O2542" s="4">
        <f t="shared" si="952"/>
        <v>12852</v>
      </c>
      <c r="P2542" s="4">
        <f t="shared" si="952"/>
        <v>0</v>
      </c>
      <c r="Q2542" s="4">
        <f t="shared" si="952"/>
        <v>4258.5</v>
      </c>
      <c r="R2542" s="4">
        <f t="shared" si="952"/>
        <v>3.75</v>
      </c>
      <c r="S2542" s="4">
        <f t="shared" si="952"/>
        <v>120</v>
      </c>
      <c r="T2542" s="4">
        <f t="shared" si="952"/>
        <v>0</v>
      </c>
      <c r="U2542" s="4">
        <f t="shared" si="952"/>
        <v>0</v>
      </c>
      <c r="V2542" s="4">
        <f t="shared" si="952"/>
        <v>0</v>
      </c>
    </row>
    <row r="2543" spans="4:22" x14ac:dyDescent="0.15">
      <c r="D2543" s="4">
        <f t="shared" si="917"/>
        <v>563</v>
      </c>
      <c r="E2543" s="4">
        <v>35</v>
      </c>
      <c r="H2543" s="29">
        <v>1001</v>
      </c>
      <c r="I2543" s="30">
        <v>0</v>
      </c>
      <c r="M2543" s="4">
        <f t="shared" ref="M2543:V2543" si="953">M927*$C$1623</f>
        <v>1378.5</v>
      </c>
      <c r="N2543" s="4">
        <f t="shared" si="953"/>
        <v>321</v>
      </c>
      <c r="O2543" s="4">
        <f t="shared" si="953"/>
        <v>13032</v>
      </c>
      <c r="P2543" s="4">
        <f t="shared" si="953"/>
        <v>0</v>
      </c>
      <c r="Q2543" s="4">
        <f t="shared" si="953"/>
        <v>4273.5</v>
      </c>
      <c r="R2543" s="4">
        <f t="shared" si="953"/>
        <v>3.75</v>
      </c>
      <c r="S2543" s="4">
        <f t="shared" si="953"/>
        <v>123</v>
      </c>
      <c r="T2543" s="4">
        <f t="shared" si="953"/>
        <v>0</v>
      </c>
      <c r="U2543" s="4">
        <f t="shared" si="953"/>
        <v>0</v>
      </c>
      <c r="V2543" s="4">
        <f t="shared" si="953"/>
        <v>0</v>
      </c>
    </row>
    <row r="2544" spans="4:22" x14ac:dyDescent="0.15">
      <c r="D2544" s="4">
        <f t="shared" si="917"/>
        <v>563</v>
      </c>
      <c r="E2544" s="4">
        <v>36</v>
      </c>
      <c r="H2544" s="29">
        <v>1001</v>
      </c>
      <c r="I2544" s="30">
        <v>0</v>
      </c>
      <c r="M2544" s="4">
        <f t="shared" ref="M2544:V2544" si="954">M928*$C$1623</f>
        <v>1405.5</v>
      </c>
      <c r="N2544" s="4">
        <f t="shared" si="954"/>
        <v>330</v>
      </c>
      <c r="O2544" s="4">
        <f t="shared" si="954"/>
        <v>13212</v>
      </c>
      <c r="P2544" s="4">
        <f t="shared" si="954"/>
        <v>0</v>
      </c>
      <c r="Q2544" s="4">
        <f t="shared" si="954"/>
        <v>4288.5</v>
      </c>
      <c r="R2544" s="4">
        <f t="shared" si="954"/>
        <v>3.75</v>
      </c>
      <c r="S2544" s="4">
        <f t="shared" si="954"/>
        <v>126</v>
      </c>
      <c r="T2544" s="4">
        <f t="shared" si="954"/>
        <v>0</v>
      </c>
      <c r="U2544" s="4">
        <f t="shared" si="954"/>
        <v>0</v>
      </c>
      <c r="V2544" s="4">
        <f t="shared" si="954"/>
        <v>0</v>
      </c>
    </row>
    <row r="2545" spans="4:22" x14ac:dyDescent="0.15">
      <c r="D2545" s="4">
        <f t="shared" si="917"/>
        <v>563</v>
      </c>
      <c r="E2545" s="4">
        <v>37</v>
      </c>
      <c r="H2545" s="29">
        <v>1001</v>
      </c>
      <c r="I2545" s="30">
        <v>0</v>
      </c>
      <c r="M2545" s="4">
        <f t="shared" ref="M2545:V2545" si="955">M929*$C$1623</f>
        <v>1432.5</v>
      </c>
      <c r="N2545" s="4">
        <f t="shared" si="955"/>
        <v>339</v>
      </c>
      <c r="O2545" s="4">
        <f t="shared" si="955"/>
        <v>13392</v>
      </c>
      <c r="P2545" s="4">
        <f t="shared" si="955"/>
        <v>0</v>
      </c>
      <c r="Q2545" s="4">
        <f t="shared" si="955"/>
        <v>4303.5</v>
      </c>
      <c r="R2545" s="4">
        <f t="shared" si="955"/>
        <v>3.75</v>
      </c>
      <c r="S2545" s="4">
        <f t="shared" si="955"/>
        <v>129</v>
      </c>
      <c r="T2545" s="4">
        <f t="shared" si="955"/>
        <v>0</v>
      </c>
      <c r="U2545" s="4">
        <f t="shared" si="955"/>
        <v>0</v>
      </c>
      <c r="V2545" s="4">
        <f t="shared" si="955"/>
        <v>0</v>
      </c>
    </row>
    <row r="2546" spans="4:22" x14ac:dyDescent="0.15">
      <c r="D2546" s="4">
        <f t="shared" si="917"/>
        <v>563</v>
      </c>
      <c r="E2546" s="4">
        <v>38</v>
      </c>
      <c r="H2546" s="29">
        <v>1001</v>
      </c>
      <c r="I2546" s="30">
        <v>0</v>
      </c>
      <c r="M2546" s="4">
        <f t="shared" ref="M2546:V2546" si="956">M930*$C$1623</f>
        <v>1459.5</v>
      </c>
      <c r="N2546" s="4">
        <f t="shared" si="956"/>
        <v>348</v>
      </c>
      <c r="O2546" s="4">
        <f t="shared" si="956"/>
        <v>13572</v>
      </c>
      <c r="P2546" s="4">
        <f t="shared" si="956"/>
        <v>0</v>
      </c>
      <c r="Q2546" s="4">
        <f t="shared" si="956"/>
        <v>4318.5</v>
      </c>
      <c r="R2546" s="4">
        <f t="shared" si="956"/>
        <v>3.75</v>
      </c>
      <c r="S2546" s="4">
        <f t="shared" si="956"/>
        <v>132</v>
      </c>
      <c r="T2546" s="4">
        <f t="shared" si="956"/>
        <v>0</v>
      </c>
      <c r="U2546" s="4">
        <f t="shared" si="956"/>
        <v>0</v>
      </c>
      <c r="V2546" s="4">
        <f t="shared" si="956"/>
        <v>0</v>
      </c>
    </row>
    <row r="2547" spans="4:22" x14ac:dyDescent="0.15">
      <c r="D2547" s="4">
        <f t="shared" si="917"/>
        <v>563</v>
      </c>
      <c r="E2547" s="4">
        <v>39</v>
      </c>
      <c r="H2547" s="29">
        <v>1001</v>
      </c>
      <c r="I2547" s="30">
        <v>0</v>
      </c>
      <c r="M2547" s="4">
        <f t="shared" ref="M2547:V2547" si="957">M931*$C$1623</f>
        <v>1486.5</v>
      </c>
      <c r="N2547" s="4">
        <f t="shared" si="957"/>
        <v>357</v>
      </c>
      <c r="O2547" s="4">
        <f t="shared" si="957"/>
        <v>13752</v>
      </c>
      <c r="P2547" s="4">
        <f t="shared" si="957"/>
        <v>0</v>
      </c>
      <c r="Q2547" s="4">
        <f t="shared" si="957"/>
        <v>4333.5</v>
      </c>
      <c r="R2547" s="4">
        <f t="shared" si="957"/>
        <v>3.75</v>
      </c>
      <c r="S2547" s="4">
        <f t="shared" si="957"/>
        <v>135</v>
      </c>
      <c r="T2547" s="4">
        <f t="shared" si="957"/>
        <v>0</v>
      </c>
      <c r="U2547" s="4">
        <f t="shared" si="957"/>
        <v>0</v>
      </c>
      <c r="V2547" s="4">
        <f t="shared" si="957"/>
        <v>0</v>
      </c>
    </row>
    <row r="2548" spans="4:22" x14ac:dyDescent="0.15">
      <c r="D2548" s="4">
        <f t="shared" si="917"/>
        <v>563</v>
      </c>
      <c r="E2548" s="4">
        <v>40</v>
      </c>
      <c r="H2548" s="29">
        <v>1001</v>
      </c>
      <c r="I2548" s="30">
        <v>0</v>
      </c>
      <c r="M2548" s="4">
        <f t="shared" ref="M2548:V2548" si="958">M932*$C$1623</f>
        <v>1513.5</v>
      </c>
      <c r="N2548" s="4">
        <f t="shared" si="958"/>
        <v>366</v>
      </c>
      <c r="O2548" s="4">
        <f t="shared" si="958"/>
        <v>13932</v>
      </c>
      <c r="P2548" s="4">
        <f t="shared" si="958"/>
        <v>0</v>
      </c>
      <c r="Q2548" s="4">
        <f t="shared" si="958"/>
        <v>4348.5</v>
      </c>
      <c r="R2548" s="4">
        <f t="shared" si="958"/>
        <v>3.75</v>
      </c>
      <c r="S2548" s="4">
        <f t="shared" si="958"/>
        <v>138</v>
      </c>
      <c r="T2548" s="4">
        <f t="shared" si="958"/>
        <v>0</v>
      </c>
      <c r="U2548" s="4">
        <f t="shared" si="958"/>
        <v>0</v>
      </c>
      <c r="V2548" s="4">
        <f t="shared" si="958"/>
        <v>0</v>
      </c>
    </row>
    <row r="2549" spans="4:22" x14ac:dyDescent="0.15">
      <c r="D2549" s="4">
        <f t="shared" si="917"/>
        <v>563</v>
      </c>
      <c r="E2549" s="4">
        <v>41</v>
      </c>
      <c r="H2549" s="29">
        <v>1001</v>
      </c>
      <c r="I2549" s="30">
        <v>0</v>
      </c>
      <c r="M2549" s="4">
        <f t="shared" ref="M2549:V2549" si="959">M933*$C$1623</f>
        <v>1540.5</v>
      </c>
      <c r="N2549" s="4">
        <f t="shared" si="959"/>
        <v>375</v>
      </c>
      <c r="O2549" s="4">
        <f t="shared" si="959"/>
        <v>14112</v>
      </c>
      <c r="P2549" s="4">
        <f t="shared" si="959"/>
        <v>0</v>
      </c>
      <c r="Q2549" s="4">
        <f t="shared" si="959"/>
        <v>4363.5</v>
      </c>
      <c r="R2549" s="4">
        <f t="shared" si="959"/>
        <v>3.75</v>
      </c>
      <c r="S2549" s="4">
        <f t="shared" si="959"/>
        <v>141</v>
      </c>
      <c r="T2549" s="4">
        <f t="shared" si="959"/>
        <v>0</v>
      </c>
      <c r="U2549" s="4">
        <f t="shared" si="959"/>
        <v>0</v>
      </c>
      <c r="V2549" s="4">
        <f t="shared" si="959"/>
        <v>0</v>
      </c>
    </row>
    <row r="2550" spans="4:22" x14ac:dyDescent="0.15">
      <c r="D2550" s="4">
        <f t="shared" si="917"/>
        <v>563</v>
      </c>
      <c r="E2550" s="4">
        <v>42</v>
      </c>
      <c r="H2550" s="29">
        <v>1001</v>
      </c>
      <c r="I2550" s="30">
        <v>0</v>
      </c>
      <c r="M2550" s="4">
        <f t="shared" ref="M2550:V2550" si="960">M934*$C$1623</f>
        <v>1567.5</v>
      </c>
      <c r="N2550" s="4">
        <f t="shared" si="960"/>
        <v>384</v>
      </c>
      <c r="O2550" s="4">
        <f t="shared" si="960"/>
        <v>14292</v>
      </c>
      <c r="P2550" s="4">
        <f t="shared" si="960"/>
        <v>0</v>
      </c>
      <c r="Q2550" s="4">
        <f t="shared" si="960"/>
        <v>4378.5</v>
      </c>
      <c r="R2550" s="4">
        <f t="shared" si="960"/>
        <v>3.75</v>
      </c>
      <c r="S2550" s="4">
        <f t="shared" si="960"/>
        <v>144</v>
      </c>
      <c r="T2550" s="4">
        <f t="shared" si="960"/>
        <v>0</v>
      </c>
      <c r="U2550" s="4">
        <f t="shared" si="960"/>
        <v>0</v>
      </c>
      <c r="V2550" s="4">
        <f t="shared" si="960"/>
        <v>0</v>
      </c>
    </row>
    <row r="2551" spans="4:22" x14ac:dyDescent="0.15">
      <c r="D2551" s="4">
        <f t="shared" si="917"/>
        <v>563</v>
      </c>
      <c r="E2551" s="4">
        <v>43</v>
      </c>
      <c r="H2551" s="29">
        <v>1001</v>
      </c>
      <c r="I2551" s="30">
        <v>0</v>
      </c>
      <c r="M2551" s="4">
        <f t="shared" ref="M2551:V2551" si="961">M935*$C$1623</f>
        <v>1594.5</v>
      </c>
      <c r="N2551" s="4">
        <f t="shared" si="961"/>
        <v>393</v>
      </c>
      <c r="O2551" s="4">
        <f t="shared" si="961"/>
        <v>14472</v>
      </c>
      <c r="P2551" s="4">
        <f t="shared" si="961"/>
        <v>0</v>
      </c>
      <c r="Q2551" s="4">
        <f t="shared" si="961"/>
        <v>4393.5</v>
      </c>
      <c r="R2551" s="4">
        <f t="shared" si="961"/>
        <v>3.75</v>
      </c>
      <c r="S2551" s="4">
        <f t="shared" si="961"/>
        <v>147</v>
      </c>
      <c r="T2551" s="4">
        <f t="shared" si="961"/>
        <v>0</v>
      </c>
      <c r="U2551" s="4">
        <f t="shared" si="961"/>
        <v>0</v>
      </c>
      <c r="V2551" s="4">
        <f t="shared" si="961"/>
        <v>0</v>
      </c>
    </row>
    <row r="2552" spans="4:22" x14ac:dyDescent="0.15">
      <c r="D2552" s="4">
        <f t="shared" si="917"/>
        <v>563</v>
      </c>
      <c r="E2552" s="4">
        <v>44</v>
      </c>
      <c r="H2552" s="29">
        <v>1001</v>
      </c>
      <c r="I2552" s="30">
        <v>0</v>
      </c>
      <c r="M2552" s="4">
        <f t="shared" ref="M2552:V2552" si="962">M936*$C$1623</f>
        <v>1621.5</v>
      </c>
      <c r="N2552" s="4">
        <f t="shared" si="962"/>
        <v>402</v>
      </c>
      <c r="O2552" s="4">
        <f t="shared" si="962"/>
        <v>14652</v>
      </c>
      <c r="P2552" s="4">
        <f t="shared" si="962"/>
        <v>0</v>
      </c>
      <c r="Q2552" s="4">
        <f t="shared" si="962"/>
        <v>4408.5</v>
      </c>
      <c r="R2552" s="4">
        <f t="shared" si="962"/>
        <v>3.75</v>
      </c>
      <c r="S2552" s="4">
        <f t="shared" si="962"/>
        <v>150</v>
      </c>
      <c r="T2552" s="4">
        <f t="shared" si="962"/>
        <v>0</v>
      </c>
      <c r="U2552" s="4">
        <f t="shared" si="962"/>
        <v>0</v>
      </c>
      <c r="V2552" s="4">
        <f t="shared" si="962"/>
        <v>0</v>
      </c>
    </row>
    <row r="2553" spans="4:22" x14ac:dyDescent="0.15">
      <c r="D2553" s="4">
        <f t="shared" si="917"/>
        <v>563</v>
      </c>
      <c r="E2553" s="4">
        <v>45</v>
      </c>
      <c r="H2553" s="29">
        <v>1001</v>
      </c>
      <c r="I2553" s="30">
        <v>0</v>
      </c>
      <c r="M2553" s="4">
        <f t="shared" ref="M2553:V2553" si="963">M937*$C$1623</f>
        <v>1648.5</v>
      </c>
      <c r="N2553" s="4">
        <f t="shared" si="963"/>
        <v>411</v>
      </c>
      <c r="O2553" s="4">
        <f t="shared" si="963"/>
        <v>14832</v>
      </c>
      <c r="P2553" s="4">
        <f t="shared" si="963"/>
        <v>0</v>
      </c>
      <c r="Q2553" s="4">
        <f t="shared" si="963"/>
        <v>4423.5</v>
      </c>
      <c r="R2553" s="4">
        <f t="shared" si="963"/>
        <v>3.75</v>
      </c>
      <c r="S2553" s="4">
        <f t="shared" si="963"/>
        <v>153</v>
      </c>
      <c r="T2553" s="4">
        <f t="shared" si="963"/>
        <v>0</v>
      </c>
      <c r="U2553" s="4">
        <f t="shared" si="963"/>
        <v>0</v>
      </c>
      <c r="V2553" s="4">
        <f t="shared" si="963"/>
        <v>0</v>
      </c>
    </row>
    <row r="2554" spans="4:22" x14ac:dyDescent="0.15">
      <c r="D2554" s="4">
        <f t="shared" si="917"/>
        <v>563</v>
      </c>
      <c r="E2554" s="4">
        <v>46</v>
      </c>
      <c r="H2554" s="29">
        <v>1001</v>
      </c>
      <c r="I2554" s="30">
        <v>0</v>
      </c>
      <c r="M2554" s="4">
        <f t="shared" ref="M2554:V2554" si="964">M938*$C$1623</f>
        <v>1675.5</v>
      </c>
      <c r="N2554" s="4">
        <f t="shared" si="964"/>
        <v>420</v>
      </c>
      <c r="O2554" s="4">
        <f t="shared" si="964"/>
        <v>15012</v>
      </c>
      <c r="P2554" s="4">
        <f t="shared" si="964"/>
        <v>0</v>
      </c>
      <c r="Q2554" s="4">
        <f t="shared" si="964"/>
        <v>4438.5</v>
      </c>
      <c r="R2554" s="4">
        <f t="shared" si="964"/>
        <v>3.75</v>
      </c>
      <c r="S2554" s="4">
        <f t="shared" si="964"/>
        <v>156</v>
      </c>
      <c r="T2554" s="4">
        <f t="shared" si="964"/>
        <v>0</v>
      </c>
      <c r="U2554" s="4">
        <f t="shared" si="964"/>
        <v>0</v>
      </c>
      <c r="V2554" s="4">
        <f t="shared" si="964"/>
        <v>0</v>
      </c>
    </row>
    <row r="2555" spans="4:22" x14ac:dyDescent="0.15">
      <c r="D2555" s="4">
        <f t="shared" si="917"/>
        <v>563</v>
      </c>
      <c r="E2555" s="4">
        <v>47</v>
      </c>
      <c r="H2555" s="29">
        <v>1001</v>
      </c>
      <c r="I2555" s="30">
        <v>0</v>
      </c>
      <c r="M2555" s="4">
        <f t="shared" ref="M2555:V2555" si="965">M939*$C$1623</f>
        <v>1702.5</v>
      </c>
      <c r="N2555" s="4">
        <f t="shared" si="965"/>
        <v>429</v>
      </c>
      <c r="O2555" s="4">
        <f t="shared" si="965"/>
        <v>15192</v>
      </c>
      <c r="P2555" s="4">
        <f t="shared" si="965"/>
        <v>0</v>
      </c>
      <c r="Q2555" s="4">
        <f t="shared" si="965"/>
        <v>4453.5</v>
      </c>
      <c r="R2555" s="4">
        <f t="shared" si="965"/>
        <v>3.75</v>
      </c>
      <c r="S2555" s="4">
        <f t="shared" si="965"/>
        <v>159</v>
      </c>
      <c r="T2555" s="4">
        <f t="shared" si="965"/>
        <v>0</v>
      </c>
      <c r="U2555" s="4">
        <f t="shared" si="965"/>
        <v>0</v>
      </c>
      <c r="V2555" s="4">
        <f t="shared" si="965"/>
        <v>0</v>
      </c>
    </row>
    <row r="2556" spans="4:22" x14ac:dyDescent="0.15">
      <c r="D2556" s="4">
        <f t="shared" si="917"/>
        <v>563</v>
      </c>
      <c r="E2556" s="4">
        <v>48</v>
      </c>
      <c r="H2556" s="29">
        <v>1001</v>
      </c>
      <c r="I2556" s="30">
        <v>0</v>
      </c>
      <c r="M2556" s="4">
        <f t="shared" ref="M2556:V2556" si="966">M940*$C$1623</f>
        <v>1729.5</v>
      </c>
      <c r="N2556" s="4">
        <f t="shared" si="966"/>
        <v>438</v>
      </c>
      <c r="O2556" s="4">
        <f t="shared" si="966"/>
        <v>15372</v>
      </c>
      <c r="P2556" s="4">
        <f t="shared" si="966"/>
        <v>0</v>
      </c>
      <c r="Q2556" s="4">
        <f t="shared" si="966"/>
        <v>4468.5</v>
      </c>
      <c r="R2556" s="4">
        <f t="shared" si="966"/>
        <v>3.75</v>
      </c>
      <c r="S2556" s="4">
        <f t="shared" si="966"/>
        <v>162</v>
      </c>
      <c r="T2556" s="4">
        <f t="shared" si="966"/>
        <v>0</v>
      </c>
      <c r="U2556" s="4">
        <f t="shared" si="966"/>
        <v>0</v>
      </c>
      <c r="V2556" s="4">
        <f t="shared" si="966"/>
        <v>0</v>
      </c>
    </row>
    <row r="2557" spans="4:22" x14ac:dyDescent="0.15">
      <c r="D2557" s="4">
        <f t="shared" si="917"/>
        <v>563</v>
      </c>
      <c r="E2557" s="4">
        <v>49</v>
      </c>
      <c r="H2557" s="29">
        <v>1001</v>
      </c>
      <c r="I2557" s="30">
        <v>0</v>
      </c>
      <c r="M2557" s="4">
        <f t="shared" ref="M2557:V2557" si="967">M941*$C$1623</f>
        <v>1756.5</v>
      </c>
      <c r="N2557" s="4">
        <f t="shared" si="967"/>
        <v>447</v>
      </c>
      <c r="O2557" s="4">
        <f t="shared" si="967"/>
        <v>15552</v>
      </c>
      <c r="P2557" s="4">
        <f t="shared" si="967"/>
        <v>0</v>
      </c>
      <c r="Q2557" s="4">
        <f t="shared" si="967"/>
        <v>4483.5</v>
      </c>
      <c r="R2557" s="4">
        <f t="shared" si="967"/>
        <v>3.75</v>
      </c>
      <c r="S2557" s="4">
        <f t="shared" si="967"/>
        <v>165</v>
      </c>
      <c r="T2557" s="4">
        <f t="shared" si="967"/>
        <v>0</v>
      </c>
      <c r="U2557" s="4">
        <f t="shared" si="967"/>
        <v>0</v>
      </c>
      <c r="V2557" s="4">
        <f t="shared" si="967"/>
        <v>0</v>
      </c>
    </row>
    <row r="2558" spans="4:22" x14ac:dyDescent="0.15">
      <c r="D2558" s="4">
        <f t="shared" si="917"/>
        <v>563</v>
      </c>
      <c r="E2558" s="4">
        <v>50</v>
      </c>
      <c r="H2558" s="29">
        <v>1001</v>
      </c>
      <c r="I2558" s="30">
        <v>0</v>
      </c>
      <c r="M2558" s="4">
        <f t="shared" ref="M2558:V2558" si="968">M942*$C$1623</f>
        <v>1783.5</v>
      </c>
      <c r="N2558" s="4">
        <f t="shared" si="968"/>
        <v>456</v>
      </c>
      <c r="O2558" s="4">
        <f t="shared" si="968"/>
        <v>15732</v>
      </c>
      <c r="P2558" s="4">
        <f t="shared" si="968"/>
        <v>0</v>
      </c>
      <c r="Q2558" s="4">
        <f t="shared" si="968"/>
        <v>4498.5</v>
      </c>
      <c r="R2558" s="4">
        <f t="shared" si="968"/>
        <v>3.75</v>
      </c>
      <c r="S2558" s="4">
        <f t="shared" si="968"/>
        <v>168</v>
      </c>
      <c r="T2558" s="4">
        <f t="shared" si="968"/>
        <v>0</v>
      </c>
      <c r="U2558" s="4">
        <f t="shared" si="968"/>
        <v>0</v>
      </c>
      <c r="V2558" s="4">
        <f t="shared" si="968"/>
        <v>0</v>
      </c>
    </row>
    <row r="2559" spans="4:22" x14ac:dyDescent="0.15">
      <c r="I2559" s="4"/>
    </row>
    <row r="2577" spans="1:12" x14ac:dyDescent="0.15">
      <c r="A2577" s="4" t="s">
        <v>1</v>
      </c>
      <c r="H2577" s="4"/>
      <c r="I2577" s="4"/>
      <c r="J2577" s="4"/>
      <c r="K2577" s="4"/>
      <c r="L2577" s="4"/>
    </row>
    <row r="2578" spans="1:12" x14ac:dyDescent="0.15">
      <c r="A2578" s="4" t="s">
        <v>10</v>
      </c>
      <c r="H2578" s="4"/>
      <c r="I2578" s="4"/>
      <c r="J2578" s="4"/>
      <c r="K2578" s="4"/>
      <c r="L2578" s="4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262"/>
  <sheetViews>
    <sheetView tabSelected="1" workbookViewId="0">
      <pane xSplit="3" ySplit="5" topLeftCell="D219" activePane="bottomRight" state="frozen"/>
      <selection pane="topRight" activeCell="D1" sqref="D1"/>
      <selection pane="bottomLeft" activeCell="A6" sqref="A6"/>
      <selection pane="bottomRight" activeCell="O239" sqref="O239"/>
    </sheetView>
  </sheetViews>
  <sheetFormatPr defaultRowHeight="12" x14ac:dyDescent="0.15"/>
  <cols>
    <col min="1" max="1" width="9.625" style="4" customWidth="1"/>
    <col min="2" max="2" width="11.625" style="4" bestFit="1" customWidth="1"/>
    <col min="3" max="3" width="35" style="4" customWidth="1"/>
    <col min="4" max="4" width="7.875" style="4" customWidth="1"/>
    <col min="5" max="5" width="8.875" style="4" customWidth="1"/>
    <col min="6" max="8" width="14.25" style="4" customWidth="1"/>
    <col min="9" max="9" width="8.5" style="4" bestFit="1" customWidth="1"/>
    <col min="10" max="10" width="8.5" style="4" customWidth="1"/>
    <col min="11" max="13" width="9" style="4"/>
    <col min="14" max="16" width="11.75" style="4" customWidth="1"/>
    <col min="17" max="17" width="14.25" style="4" customWidth="1"/>
    <col min="18" max="18" width="11.125" style="29" customWidth="1"/>
    <col min="19" max="19" width="11.125" style="31" customWidth="1"/>
    <col min="20" max="20" width="13.625" style="35" customWidth="1"/>
    <col min="21" max="21" width="13.75" style="36" customWidth="1"/>
    <col min="22" max="22" width="11.125" style="31" customWidth="1"/>
    <col min="23" max="23" width="11.125" style="30" customWidth="1"/>
    <col min="24" max="26" width="11.125" style="31" customWidth="1"/>
    <col min="27" max="27" width="11.125" style="30" customWidth="1"/>
    <col min="28" max="29" width="11.75" style="4" customWidth="1"/>
    <col min="30" max="30" width="11.625" style="4" customWidth="1"/>
    <col min="31" max="31" width="15.125" style="33" customWidth="1"/>
    <col min="32" max="33" width="9" style="4"/>
    <col min="34" max="34" width="13.75" style="29" customWidth="1"/>
    <col min="35" max="35" width="13.75" style="30" customWidth="1"/>
    <col min="36" max="36" width="13.75" style="29" customWidth="1"/>
    <col min="37" max="37" width="13.75" style="30" customWidth="1"/>
    <col min="38" max="38" width="13.75" style="29" customWidth="1"/>
    <col min="39" max="39" width="13.25" style="4" customWidth="1"/>
    <col min="40" max="40" width="9" style="4"/>
    <col min="41" max="41" width="17.375" style="4" customWidth="1"/>
    <col min="42" max="265" width="9" style="4"/>
    <col min="266" max="266" width="9.625" style="4" customWidth="1"/>
    <col min="267" max="267" width="11.5" style="4" customWidth="1"/>
    <col min="268" max="268" width="9" style="4" customWidth="1"/>
    <col min="269" max="269" width="13.375" style="4" customWidth="1"/>
    <col min="270" max="270" width="10.5" style="4" customWidth="1"/>
    <col min="271" max="271" width="12.5" style="4" customWidth="1"/>
    <col min="272" max="272" width="13.75" style="4" customWidth="1"/>
    <col min="273" max="273" width="9" style="4"/>
    <col min="274" max="274" width="12.375" style="4" customWidth="1"/>
    <col min="275" max="276" width="9" style="4"/>
    <col min="277" max="277" width="15.625" style="4" bestFit="1" customWidth="1"/>
    <col min="278" max="278" width="18.875" style="4" customWidth="1"/>
    <col min="279" max="521" width="9" style="4"/>
    <col min="522" max="522" width="9.625" style="4" customWidth="1"/>
    <col min="523" max="523" width="11.5" style="4" customWidth="1"/>
    <col min="524" max="524" width="9" style="4" customWidth="1"/>
    <col min="525" max="525" width="13.375" style="4" customWidth="1"/>
    <col min="526" max="526" width="10.5" style="4" customWidth="1"/>
    <col min="527" max="527" width="12.5" style="4" customWidth="1"/>
    <col min="528" max="528" width="13.75" style="4" customWidth="1"/>
    <col min="529" max="529" width="9" style="4"/>
    <col min="530" max="530" width="12.375" style="4" customWidth="1"/>
    <col min="531" max="532" width="9" style="4"/>
    <col min="533" max="533" width="15.625" style="4" bestFit="1" customWidth="1"/>
    <col min="534" max="534" width="18.875" style="4" customWidth="1"/>
    <col min="535" max="777" width="9" style="4"/>
    <col min="778" max="778" width="9.625" style="4" customWidth="1"/>
    <col min="779" max="779" width="11.5" style="4" customWidth="1"/>
    <col min="780" max="780" width="9" style="4" customWidth="1"/>
    <col min="781" max="781" width="13.375" style="4" customWidth="1"/>
    <col min="782" max="782" width="10.5" style="4" customWidth="1"/>
    <col min="783" max="783" width="12.5" style="4" customWidth="1"/>
    <col min="784" max="784" width="13.75" style="4" customWidth="1"/>
    <col min="785" max="785" width="9" style="4"/>
    <col min="786" max="786" width="12.375" style="4" customWidth="1"/>
    <col min="787" max="788" width="9" style="4"/>
    <col min="789" max="789" width="15.625" style="4" bestFit="1" customWidth="1"/>
    <col min="790" max="790" width="18.875" style="4" customWidth="1"/>
    <col min="791" max="1033" width="9" style="4"/>
    <col min="1034" max="1034" width="9.625" style="4" customWidth="1"/>
    <col min="1035" max="1035" width="11.5" style="4" customWidth="1"/>
    <col min="1036" max="1036" width="9" style="4" customWidth="1"/>
    <col min="1037" max="1037" width="13.375" style="4" customWidth="1"/>
    <col min="1038" max="1038" width="10.5" style="4" customWidth="1"/>
    <col min="1039" max="1039" width="12.5" style="4" customWidth="1"/>
    <col min="1040" max="1040" width="13.75" style="4" customWidth="1"/>
    <col min="1041" max="1041" width="9" style="4"/>
    <col min="1042" max="1042" width="12.375" style="4" customWidth="1"/>
    <col min="1043" max="1044" width="9" style="4"/>
    <col min="1045" max="1045" width="15.625" style="4" bestFit="1" customWidth="1"/>
    <col min="1046" max="1046" width="18.875" style="4" customWidth="1"/>
    <col min="1047" max="1289" width="9" style="4"/>
    <col min="1290" max="1290" width="9.625" style="4" customWidth="1"/>
    <col min="1291" max="1291" width="11.5" style="4" customWidth="1"/>
    <col min="1292" max="1292" width="9" style="4" customWidth="1"/>
    <col min="1293" max="1293" width="13.375" style="4" customWidth="1"/>
    <col min="1294" max="1294" width="10.5" style="4" customWidth="1"/>
    <col min="1295" max="1295" width="12.5" style="4" customWidth="1"/>
    <col min="1296" max="1296" width="13.75" style="4" customWidth="1"/>
    <col min="1297" max="1297" width="9" style="4"/>
    <col min="1298" max="1298" width="12.375" style="4" customWidth="1"/>
    <col min="1299" max="1300" width="9" style="4"/>
    <col min="1301" max="1301" width="15.625" style="4" bestFit="1" customWidth="1"/>
    <col min="1302" max="1302" width="18.875" style="4" customWidth="1"/>
    <col min="1303" max="1545" width="9" style="4"/>
    <col min="1546" max="1546" width="9.625" style="4" customWidth="1"/>
    <col min="1547" max="1547" width="11.5" style="4" customWidth="1"/>
    <col min="1548" max="1548" width="9" style="4" customWidth="1"/>
    <col min="1549" max="1549" width="13.375" style="4" customWidth="1"/>
    <col min="1550" max="1550" width="10.5" style="4" customWidth="1"/>
    <col min="1551" max="1551" width="12.5" style="4" customWidth="1"/>
    <col min="1552" max="1552" width="13.75" style="4" customWidth="1"/>
    <col min="1553" max="1553" width="9" style="4"/>
    <col min="1554" max="1554" width="12.375" style="4" customWidth="1"/>
    <col min="1555" max="1556" width="9" style="4"/>
    <col min="1557" max="1557" width="15.625" style="4" bestFit="1" customWidth="1"/>
    <col min="1558" max="1558" width="18.875" style="4" customWidth="1"/>
    <col min="1559" max="1801" width="9" style="4"/>
    <col min="1802" max="1802" width="9.625" style="4" customWidth="1"/>
    <col min="1803" max="1803" width="11.5" style="4" customWidth="1"/>
    <col min="1804" max="1804" width="9" style="4" customWidth="1"/>
    <col min="1805" max="1805" width="13.375" style="4" customWidth="1"/>
    <col min="1806" max="1806" width="10.5" style="4" customWidth="1"/>
    <col min="1807" max="1807" width="12.5" style="4" customWidth="1"/>
    <col min="1808" max="1808" width="13.75" style="4" customWidth="1"/>
    <col min="1809" max="1809" width="9" style="4"/>
    <col min="1810" max="1810" width="12.375" style="4" customWidth="1"/>
    <col min="1811" max="1812" width="9" style="4"/>
    <col min="1813" max="1813" width="15.625" style="4" bestFit="1" customWidth="1"/>
    <col min="1814" max="1814" width="18.875" style="4" customWidth="1"/>
    <col min="1815" max="2057" width="9" style="4"/>
    <col min="2058" max="2058" width="9.625" style="4" customWidth="1"/>
    <col min="2059" max="2059" width="11.5" style="4" customWidth="1"/>
    <col min="2060" max="2060" width="9" style="4" customWidth="1"/>
    <col min="2061" max="2061" width="13.375" style="4" customWidth="1"/>
    <col min="2062" max="2062" width="10.5" style="4" customWidth="1"/>
    <col min="2063" max="2063" width="12.5" style="4" customWidth="1"/>
    <col min="2064" max="2064" width="13.75" style="4" customWidth="1"/>
    <col min="2065" max="2065" width="9" style="4"/>
    <col min="2066" max="2066" width="12.375" style="4" customWidth="1"/>
    <col min="2067" max="2068" width="9" style="4"/>
    <col min="2069" max="2069" width="15.625" style="4" bestFit="1" customWidth="1"/>
    <col min="2070" max="2070" width="18.875" style="4" customWidth="1"/>
    <col min="2071" max="2313" width="9" style="4"/>
    <col min="2314" max="2314" width="9.625" style="4" customWidth="1"/>
    <col min="2315" max="2315" width="11.5" style="4" customWidth="1"/>
    <col min="2316" max="2316" width="9" style="4" customWidth="1"/>
    <col min="2317" max="2317" width="13.375" style="4" customWidth="1"/>
    <col min="2318" max="2318" width="10.5" style="4" customWidth="1"/>
    <col min="2319" max="2319" width="12.5" style="4" customWidth="1"/>
    <col min="2320" max="2320" width="13.75" style="4" customWidth="1"/>
    <col min="2321" max="2321" width="9" style="4"/>
    <col min="2322" max="2322" width="12.375" style="4" customWidth="1"/>
    <col min="2323" max="2324" width="9" style="4"/>
    <col min="2325" max="2325" width="15.625" style="4" bestFit="1" customWidth="1"/>
    <col min="2326" max="2326" width="18.875" style="4" customWidth="1"/>
    <col min="2327" max="2569" width="9" style="4"/>
    <col min="2570" max="2570" width="9.625" style="4" customWidth="1"/>
    <col min="2571" max="2571" width="11.5" style="4" customWidth="1"/>
    <col min="2572" max="2572" width="9" style="4" customWidth="1"/>
    <col min="2573" max="2573" width="13.375" style="4" customWidth="1"/>
    <col min="2574" max="2574" width="10.5" style="4" customWidth="1"/>
    <col min="2575" max="2575" width="12.5" style="4" customWidth="1"/>
    <col min="2576" max="2576" width="13.75" style="4" customWidth="1"/>
    <col min="2577" max="2577" width="9" style="4"/>
    <col min="2578" max="2578" width="12.375" style="4" customWidth="1"/>
    <col min="2579" max="2580" width="9" style="4"/>
    <col min="2581" max="2581" width="15.625" style="4" bestFit="1" customWidth="1"/>
    <col min="2582" max="2582" width="18.875" style="4" customWidth="1"/>
    <col min="2583" max="2825" width="9" style="4"/>
    <col min="2826" max="2826" width="9.625" style="4" customWidth="1"/>
    <col min="2827" max="2827" width="11.5" style="4" customWidth="1"/>
    <col min="2828" max="2828" width="9" style="4" customWidth="1"/>
    <col min="2829" max="2829" width="13.375" style="4" customWidth="1"/>
    <col min="2830" max="2830" width="10.5" style="4" customWidth="1"/>
    <col min="2831" max="2831" width="12.5" style="4" customWidth="1"/>
    <col min="2832" max="2832" width="13.75" style="4" customWidth="1"/>
    <col min="2833" max="2833" width="9" style="4"/>
    <col min="2834" max="2834" width="12.375" style="4" customWidth="1"/>
    <col min="2835" max="2836" width="9" style="4"/>
    <col min="2837" max="2837" width="15.625" style="4" bestFit="1" customWidth="1"/>
    <col min="2838" max="2838" width="18.875" style="4" customWidth="1"/>
    <col min="2839" max="3081" width="9" style="4"/>
    <col min="3082" max="3082" width="9.625" style="4" customWidth="1"/>
    <col min="3083" max="3083" width="11.5" style="4" customWidth="1"/>
    <col min="3084" max="3084" width="9" style="4" customWidth="1"/>
    <col min="3085" max="3085" width="13.375" style="4" customWidth="1"/>
    <col min="3086" max="3086" width="10.5" style="4" customWidth="1"/>
    <col min="3087" max="3087" width="12.5" style="4" customWidth="1"/>
    <col min="3088" max="3088" width="13.75" style="4" customWidth="1"/>
    <col min="3089" max="3089" width="9" style="4"/>
    <col min="3090" max="3090" width="12.375" style="4" customWidth="1"/>
    <col min="3091" max="3092" width="9" style="4"/>
    <col min="3093" max="3093" width="15.625" style="4" bestFit="1" customWidth="1"/>
    <col min="3094" max="3094" width="18.875" style="4" customWidth="1"/>
    <col min="3095" max="3337" width="9" style="4"/>
    <col min="3338" max="3338" width="9.625" style="4" customWidth="1"/>
    <col min="3339" max="3339" width="11.5" style="4" customWidth="1"/>
    <col min="3340" max="3340" width="9" style="4" customWidth="1"/>
    <col min="3341" max="3341" width="13.375" style="4" customWidth="1"/>
    <col min="3342" max="3342" width="10.5" style="4" customWidth="1"/>
    <col min="3343" max="3343" width="12.5" style="4" customWidth="1"/>
    <col min="3344" max="3344" width="13.75" style="4" customWidth="1"/>
    <col min="3345" max="3345" width="9" style="4"/>
    <col min="3346" max="3346" width="12.375" style="4" customWidth="1"/>
    <col min="3347" max="3348" width="9" style="4"/>
    <col min="3349" max="3349" width="15.625" style="4" bestFit="1" customWidth="1"/>
    <col min="3350" max="3350" width="18.875" style="4" customWidth="1"/>
    <col min="3351" max="3593" width="9" style="4"/>
    <col min="3594" max="3594" width="9.625" style="4" customWidth="1"/>
    <col min="3595" max="3595" width="11.5" style="4" customWidth="1"/>
    <col min="3596" max="3596" width="9" style="4" customWidth="1"/>
    <col min="3597" max="3597" width="13.375" style="4" customWidth="1"/>
    <col min="3598" max="3598" width="10.5" style="4" customWidth="1"/>
    <col min="3599" max="3599" width="12.5" style="4" customWidth="1"/>
    <col min="3600" max="3600" width="13.75" style="4" customWidth="1"/>
    <col min="3601" max="3601" width="9" style="4"/>
    <col min="3602" max="3602" width="12.375" style="4" customWidth="1"/>
    <col min="3603" max="3604" width="9" style="4"/>
    <col min="3605" max="3605" width="15.625" style="4" bestFit="1" customWidth="1"/>
    <col min="3606" max="3606" width="18.875" style="4" customWidth="1"/>
    <col min="3607" max="3849" width="9" style="4"/>
    <col min="3850" max="3850" width="9.625" style="4" customWidth="1"/>
    <col min="3851" max="3851" width="11.5" style="4" customWidth="1"/>
    <col min="3852" max="3852" width="9" style="4" customWidth="1"/>
    <col min="3853" max="3853" width="13.375" style="4" customWidth="1"/>
    <col min="3854" max="3854" width="10.5" style="4" customWidth="1"/>
    <col min="3855" max="3855" width="12.5" style="4" customWidth="1"/>
    <col min="3856" max="3856" width="13.75" style="4" customWidth="1"/>
    <col min="3857" max="3857" width="9" style="4"/>
    <col min="3858" max="3858" width="12.375" style="4" customWidth="1"/>
    <col min="3859" max="3860" width="9" style="4"/>
    <col min="3861" max="3861" width="15.625" style="4" bestFit="1" customWidth="1"/>
    <col min="3862" max="3862" width="18.875" style="4" customWidth="1"/>
    <col min="3863" max="4105" width="9" style="4"/>
    <col min="4106" max="4106" width="9.625" style="4" customWidth="1"/>
    <col min="4107" max="4107" width="11.5" style="4" customWidth="1"/>
    <col min="4108" max="4108" width="9" style="4" customWidth="1"/>
    <col min="4109" max="4109" width="13.375" style="4" customWidth="1"/>
    <col min="4110" max="4110" width="10.5" style="4" customWidth="1"/>
    <col min="4111" max="4111" width="12.5" style="4" customWidth="1"/>
    <col min="4112" max="4112" width="13.75" style="4" customWidth="1"/>
    <col min="4113" max="4113" width="9" style="4"/>
    <col min="4114" max="4114" width="12.375" style="4" customWidth="1"/>
    <col min="4115" max="4116" width="9" style="4"/>
    <col min="4117" max="4117" width="15.625" style="4" bestFit="1" customWidth="1"/>
    <col min="4118" max="4118" width="18.875" style="4" customWidth="1"/>
    <col min="4119" max="4361" width="9" style="4"/>
    <col min="4362" max="4362" width="9.625" style="4" customWidth="1"/>
    <col min="4363" max="4363" width="11.5" style="4" customWidth="1"/>
    <col min="4364" max="4364" width="9" style="4" customWidth="1"/>
    <col min="4365" max="4365" width="13.375" style="4" customWidth="1"/>
    <col min="4366" max="4366" width="10.5" style="4" customWidth="1"/>
    <col min="4367" max="4367" width="12.5" style="4" customWidth="1"/>
    <col min="4368" max="4368" width="13.75" style="4" customWidth="1"/>
    <col min="4369" max="4369" width="9" style="4"/>
    <col min="4370" max="4370" width="12.375" style="4" customWidth="1"/>
    <col min="4371" max="4372" width="9" style="4"/>
    <col min="4373" max="4373" width="15.625" style="4" bestFit="1" customWidth="1"/>
    <col min="4374" max="4374" width="18.875" style="4" customWidth="1"/>
    <col min="4375" max="4617" width="9" style="4"/>
    <col min="4618" max="4618" width="9.625" style="4" customWidth="1"/>
    <col min="4619" max="4619" width="11.5" style="4" customWidth="1"/>
    <col min="4620" max="4620" width="9" style="4" customWidth="1"/>
    <col min="4621" max="4621" width="13.375" style="4" customWidth="1"/>
    <col min="4622" max="4622" width="10.5" style="4" customWidth="1"/>
    <col min="4623" max="4623" width="12.5" style="4" customWidth="1"/>
    <col min="4624" max="4624" width="13.75" style="4" customWidth="1"/>
    <col min="4625" max="4625" width="9" style="4"/>
    <col min="4626" max="4626" width="12.375" style="4" customWidth="1"/>
    <col min="4627" max="4628" width="9" style="4"/>
    <col min="4629" max="4629" width="15.625" style="4" bestFit="1" customWidth="1"/>
    <col min="4630" max="4630" width="18.875" style="4" customWidth="1"/>
    <col min="4631" max="4873" width="9" style="4"/>
    <col min="4874" max="4874" width="9.625" style="4" customWidth="1"/>
    <col min="4875" max="4875" width="11.5" style="4" customWidth="1"/>
    <col min="4876" max="4876" width="9" style="4" customWidth="1"/>
    <col min="4877" max="4877" width="13.375" style="4" customWidth="1"/>
    <col min="4878" max="4878" width="10.5" style="4" customWidth="1"/>
    <col min="4879" max="4879" width="12.5" style="4" customWidth="1"/>
    <col min="4880" max="4880" width="13.75" style="4" customWidth="1"/>
    <col min="4881" max="4881" width="9" style="4"/>
    <col min="4882" max="4882" width="12.375" style="4" customWidth="1"/>
    <col min="4883" max="4884" width="9" style="4"/>
    <col min="4885" max="4885" width="15.625" style="4" bestFit="1" customWidth="1"/>
    <col min="4886" max="4886" width="18.875" style="4" customWidth="1"/>
    <col min="4887" max="5129" width="9" style="4"/>
    <col min="5130" max="5130" width="9.625" style="4" customWidth="1"/>
    <col min="5131" max="5131" width="11.5" style="4" customWidth="1"/>
    <col min="5132" max="5132" width="9" style="4" customWidth="1"/>
    <col min="5133" max="5133" width="13.375" style="4" customWidth="1"/>
    <col min="5134" max="5134" width="10.5" style="4" customWidth="1"/>
    <col min="5135" max="5135" width="12.5" style="4" customWidth="1"/>
    <col min="5136" max="5136" width="13.75" style="4" customWidth="1"/>
    <col min="5137" max="5137" width="9" style="4"/>
    <col min="5138" max="5138" width="12.375" style="4" customWidth="1"/>
    <col min="5139" max="5140" width="9" style="4"/>
    <col min="5141" max="5141" width="15.625" style="4" bestFit="1" customWidth="1"/>
    <col min="5142" max="5142" width="18.875" style="4" customWidth="1"/>
    <col min="5143" max="5385" width="9" style="4"/>
    <col min="5386" max="5386" width="9.625" style="4" customWidth="1"/>
    <col min="5387" max="5387" width="11.5" style="4" customWidth="1"/>
    <col min="5388" max="5388" width="9" style="4" customWidth="1"/>
    <col min="5389" max="5389" width="13.375" style="4" customWidth="1"/>
    <col min="5390" max="5390" width="10.5" style="4" customWidth="1"/>
    <col min="5391" max="5391" width="12.5" style="4" customWidth="1"/>
    <col min="5392" max="5392" width="13.75" style="4" customWidth="1"/>
    <col min="5393" max="5393" width="9" style="4"/>
    <col min="5394" max="5394" width="12.375" style="4" customWidth="1"/>
    <col min="5395" max="5396" width="9" style="4"/>
    <col min="5397" max="5397" width="15.625" style="4" bestFit="1" customWidth="1"/>
    <col min="5398" max="5398" width="18.875" style="4" customWidth="1"/>
    <col min="5399" max="5641" width="9" style="4"/>
    <col min="5642" max="5642" width="9.625" style="4" customWidth="1"/>
    <col min="5643" max="5643" width="11.5" style="4" customWidth="1"/>
    <col min="5644" max="5644" width="9" style="4" customWidth="1"/>
    <col min="5645" max="5645" width="13.375" style="4" customWidth="1"/>
    <col min="5646" max="5646" width="10.5" style="4" customWidth="1"/>
    <col min="5647" max="5647" width="12.5" style="4" customWidth="1"/>
    <col min="5648" max="5648" width="13.75" style="4" customWidth="1"/>
    <col min="5649" max="5649" width="9" style="4"/>
    <col min="5650" max="5650" width="12.375" style="4" customWidth="1"/>
    <col min="5651" max="5652" width="9" style="4"/>
    <col min="5653" max="5653" width="15.625" style="4" bestFit="1" customWidth="1"/>
    <col min="5654" max="5654" width="18.875" style="4" customWidth="1"/>
    <col min="5655" max="5897" width="9" style="4"/>
    <col min="5898" max="5898" width="9.625" style="4" customWidth="1"/>
    <col min="5899" max="5899" width="11.5" style="4" customWidth="1"/>
    <col min="5900" max="5900" width="9" style="4" customWidth="1"/>
    <col min="5901" max="5901" width="13.375" style="4" customWidth="1"/>
    <col min="5902" max="5902" width="10.5" style="4" customWidth="1"/>
    <col min="5903" max="5903" width="12.5" style="4" customWidth="1"/>
    <col min="5904" max="5904" width="13.75" style="4" customWidth="1"/>
    <col min="5905" max="5905" width="9" style="4"/>
    <col min="5906" max="5906" width="12.375" style="4" customWidth="1"/>
    <col min="5907" max="5908" width="9" style="4"/>
    <col min="5909" max="5909" width="15.625" style="4" bestFit="1" customWidth="1"/>
    <col min="5910" max="5910" width="18.875" style="4" customWidth="1"/>
    <col min="5911" max="6153" width="9" style="4"/>
    <col min="6154" max="6154" width="9.625" style="4" customWidth="1"/>
    <col min="6155" max="6155" width="11.5" style="4" customWidth="1"/>
    <col min="6156" max="6156" width="9" style="4" customWidth="1"/>
    <col min="6157" max="6157" width="13.375" style="4" customWidth="1"/>
    <col min="6158" max="6158" width="10.5" style="4" customWidth="1"/>
    <col min="6159" max="6159" width="12.5" style="4" customWidth="1"/>
    <col min="6160" max="6160" width="13.75" style="4" customWidth="1"/>
    <col min="6161" max="6161" width="9" style="4"/>
    <col min="6162" max="6162" width="12.375" style="4" customWidth="1"/>
    <col min="6163" max="6164" width="9" style="4"/>
    <col min="6165" max="6165" width="15.625" style="4" bestFit="1" customWidth="1"/>
    <col min="6166" max="6166" width="18.875" style="4" customWidth="1"/>
    <col min="6167" max="6409" width="9" style="4"/>
    <col min="6410" max="6410" width="9.625" style="4" customWidth="1"/>
    <col min="6411" max="6411" width="11.5" style="4" customWidth="1"/>
    <col min="6412" max="6412" width="9" style="4" customWidth="1"/>
    <col min="6413" max="6413" width="13.375" style="4" customWidth="1"/>
    <col min="6414" max="6414" width="10.5" style="4" customWidth="1"/>
    <col min="6415" max="6415" width="12.5" style="4" customWidth="1"/>
    <col min="6416" max="6416" width="13.75" style="4" customWidth="1"/>
    <col min="6417" max="6417" width="9" style="4"/>
    <col min="6418" max="6418" width="12.375" style="4" customWidth="1"/>
    <col min="6419" max="6420" width="9" style="4"/>
    <col min="6421" max="6421" width="15.625" style="4" bestFit="1" customWidth="1"/>
    <col min="6422" max="6422" width="18.875" style="4" customWidth="1"/>
    <col min="6423" max="6665" width="9" style="4"/>
    <col min="6666" max="6666" width="9.625" style="4" customWidth="1"/>
    <col min="6667" max="6667" width="11.5" style="4" customWidth="1"/>
    <col min="6668" max="6668" width="9" style="4" customWidth="1"/>
    <col min="6669" max="6669" width="13.375" style="4" customWidth="1"/>
    <col min="6670" max="6670" width="10.5" style="4" customWidth="1"/>
    <col min="6671" max="6671" width="12.5" style="4" customWidth="1"/>
    <col min="6672" max="6672" width="13.75" style="4" customWidth="1"/>
    <col min="6673" max="6673" width="9" style="4"/>
    <col min="6674" max="6674" width="12.375" style="4" customWidth="1"/>
    <col min="6675" max="6676" width="9" style="4"/>
    <col min="6677" max="6677" width="15.625" style="4" bestFit="1" customWidth="1"/>
    <col min="6678" max="6678" width="18.875" style="4" customWidth="1"/>
    <col min="6679" max="6921" width="9" style="4"/>
    <col min="6922" max="6922" width="9.625" style="4" customWidth="1"/>
    <col min="6923" max="6923" width="11.5" style="4" customWidth="1"/>
    <col min="6924" max="6924" width="9" style="4" customWidth="1"/>
    <col min="6925" max="6925" width="13.375" style="4" customWidth="1"/>
    <col min="6926" max="6926" width="10.5" style="4" customWidth="1"/>
    <col min="6927" max="6927" width="12.5" style="4" customWidth="1"/>
    <col min="6928" max="6928" width="13.75" style="4" customWidth="1"/>
    <col min="6929" max="6929" width="9" style="4"/>
    <col min="6930" max="6930" width="12.375" style="4" customWidth="1"/>
    <col min="6931" max="6932" width="9" style="4"/>
    <col min="6933" max="6933" width="15.625" style="4" bestFit="1" customWidth="1"/>
    <col min="6934" max="6934" width="18.875" style="4" customWidth="1"/>
    <col min="6935" max="7177" width="9" style="4"/>
    <col min="7178" max="7178" width="9.625" style="4" customWidth="1"/>
    <col min="7179" max="7179" width="11.5" style="4" customWidth="1"/>
    <col min="7180" max="7180" width="9" style="4" customWidth="1"/>
    <col min="7181" max="7181" width="13.375" style="4" customWidth="1"/>
    <col min="7182" max="7182" width="10.5" style="4" customWidth="1"/>
    <col min="7183" max="7183" width="12.5" style="4" customWidth="1"/>
    <col min="7184" max="7184" width="13.75" style="4" customWidth="1"/>
    <col min="7185" max="7185" width="9" style="4"/>
    <col min="7186" max="7186" width="12.375" style="4" customWidth="1"/>
    <col min="7187" max="7188" width="9" style="4"/>
    <col min="7189" max="7189" width="15.625" style="4" bestFit="1" customWidth="1"/>
    <col min="7190" max="7190" width="18.875" style="4" customWidth="1"/>
    <col min="7191" max="7433" width="9" style="4"/>
    <col min="7434" max="7434" width="9.625" style="4" customWidth="1"/>
    <col min="7435" max="7435" width="11.5" style="4" customWidth="1"/>
    <col min="7436" max="7436" width="9" style="4" customWidth="1"/>
    <col min="7437" max="7437" width="13.375" style="4" customWidth="1"/>
    <col min="7438" max="7438" width="10.5" style="4" customWidth="1"/>
    <col min="7439" max="7439" width="12.5" style="4" customWidth="1"/>
    <col min="7440" max="7440" width="13.75" style="4" customWidth="1"/>
    <col min="7441" max="7441" width="9" style="4"/>
    <col min="7442" max="7442" width="12.375" style="4" customWidth="1"/>
    <col min="7443" max="7444" width="9" style="4"/>
    <col min="7445" max="7445" width="15.625" style="4" bestFit="1" customWidth="1"/>
    <col min="7446" max="7446" width="18.875" style="4" customWidth="1"/>
    <col min="7447" max="7689" width="9" style="4"/>
    <col min="7690" max="7690" width="9.625" style="4" customWidth="1"/>
    <col min="7691" max="7691" width="11.5" style="4" customWidth="1"/>
    <col min="7692" max="7692" width="9" style="4" customWidth="1"/>
    <col min="7693" max="7693" width="13.375" style="4" customWidth="1"/>
    <col min="7694" max="7694" width="10.5" style="4" customWidth="1"/>
    <col min="7695" max="7695" width="12.5" style="4" customWidth="1"/>
    <col min="7696" max="7696" width="13.75" style="4" customWidth="1"/>
    <col min="7697" max="7697" width="9" style="4"/>
    <col min="7698" max="7698" width="12.375" style="4" customWidth="1"/>
    <col min="7699" max="7700" width="9" style="4"/>
    <col min="7701" max="7701" width="15.625" style="4" bestFit="1" customWidth="1"/>
    <col min="7702" max="7702" width="18.875" style="4" customWidth="1"/>
    <col min="7703" max="7945" width="9" style="4"/>
    <col min="7946" max="7946" width="9.625" style="4" customWidth="1"/>
    <col min="7947" max="7947" width="11.5" style="4" customWidth="1"/>
    <col min="7948" max="7948" width="9" style="4" customWidth="1"/>
    <col min="7949" max="7949" width="13.375" style="4" customWidth="1"/>
    <col min="7950" max="7950" width="10.5" style="4" customWidth="1"/>
    <col min="7951" max="7951" width="12.5" style="4" customWidth="1"/>
    <col min="7952" max="7952" width="13.75" style="4" customWidth="1"/>
    <col min="7953" max="7953" width="9" style="4"/>
    <col min="7954" max="7954" width="12.375" style="4" customWidth="1"/>
    <col min="7955" max="7956" width="9" style="4"/>
    <col min="7957" max="7957" width="15.625" style="4" bestFit="1" customWidth="1"/>
    <col min="7958" max="7958" width="18.875" style="4" customWidth="1"/>
    <col min="7959" max="8201" width="9" style="4"/>
    <col min="8202" max="8202" width="9.625" style="4" customWidth="1"/>
    <col min="8203" max="8203" width="11.5" style="4" customWidth="1"/>
    <col min="8204" max="8204" width="9" style="4" customWidth="1"/>
    <col min="8205" max="8205" width="13.375" style="4" customWidth="1"/>
    <col min="8206" max="8206" width="10.5" style="4" customWidth="1"/>
    <col min="8207" max="8207" width="12.5" style="4" customWidth="1"/>
    <col min="8208" max="8208" width="13.75" style="4" customWidth="1"/>
    <col min="8209" max="8209" width="9" style="4"/>
    <col min="8210" max="8210" width="12.375" style="4" customWidth="1"/>
    <col min="8211" max="8212" width="9" style="4"/>
    <col min="8213" max="8213" width="15.625" style="4" bestFit="1" customWidth="1"/>
    <col min="8214" max="8214" width="18.875" style="4" customWidth="1"/>
    <col min="8215" max="8457" width="9" style="4"/>
    <col min="8458" max="8458" width="9.625" style="4" customWidth="1"/>
    <col min="8459" max="8459" width="11.5" style="4" customWidth="1"/>
    <col min="8460" max="8460" width="9" style="4" customWidth="1"/>
    <col min="8461" max="8461" width="13.375" style="4" customWidth="1"/>
    <col min="8462" max="8462" width="10.5" style="4" customWidth="1"/>
    <col min="8463" max="8463" width="12.5" style="4" customWidth="1"/>
    <col min="8464" max="8464" width="13.75" style="4" customWidth="1"/>
    <col min="8465" max="8465" width="9" style="4"/>
    <col min="8466" max="8466" width="12.375" style="4" customWidth="1"/>
    <col min="8467" max="8468" width="9" style="4"/>
    <col min="8469" max="8469" width="15.625" style="4" bestFit="1" customWidth="1"/>
    <col min="8470" max="8470" width="18.875" style="4" customWidth="1"/>
    <col min="8471" max="8713" width="9" style="4"/>
    <col min="8714" max="8714" width="9.625" style="4" customWidth="1"/>
    <col min="8715" max="8715" width="11.5" style="4" customWidth="1"/>
    <col min="8716" max="8716" width="9" style="4" customWidth="1"/>
    <col min="8717" max="8717" width="13.375" style="4" customWidth="1"/>
    <col min="8718" max="8718" width="10.5" style="4" customWidth="1"/>
    <col min="8719" max="8719" width="12.5" style="4" customWidth="1"/>
    <col min="8720" max="8720" width="13.75" style="4" customWidth="1"/>
    <col min="8721" max="8721" width="9" style="4"/>
    <col min="8722" max="8722" width="12.375" style="4" customWidth="1"/>
    <col min="8723" max="8724" width="9" style="4"/>
    <col min="8725" max="8725" width="15.625" style="4" bestFit="1" customWidth="1"/>
    <col min="8726" max="8726" width="18.875" style="4" customWidth="1"/>
    <col min="8727" max="8969" width="9" style="4"/>
    <col min="8970" max="8970" width="9.625" style="4" customWidth="1"/>
    <col min="8971" max="8971" width="11.5" style="4" customWidth="1"/>
    <col min="8972" max="8972" width="9" style="4" customWidth="1"/>
    <col min="8973" max="8973" width="13.375" style="4" customWidth="1"/>
    <col min="8974" max="8974" width="10.5" style="4" customWidth="1"/>
    <col min="8975" max="8975" width="12.5" style="4" customWidth="1"/>
    <col min="8976" max="8976" width="13.75" style="4" customWidth="1"/>
    <col min="8977" max="8977" width="9" style="4"/>
    <col min="8978" max="8978" width="12.375" style="4" customWidth="1"/>
    <col min="8979" max="8980" width="9" style="4"/>
    <col min="8981" max="8981" width="15.625" style="4" bestFit="1" customWidth="1"/>
    <col min="8982" max="8982" width="18.875" style="4" customWidth="1"/>
    <col min="8983" max="9225" width="9" style="4"/>
    <col min="9226" max="9226" width="9.625" style="4" customWidth="1"/>
    <col min="9227" max="9227" width="11.5" style="4" customWidth="1"/>
    <col min="9228" max="9228" width="9" style="4" customWidth="1"/>
    <col min="9229" max="9229" width="13.375" style="4" customWidth="1"/>
    <col min="9230" max="9230" width="10.5" style="4" customWidth="1"/>
    <col min="9231" max="9231" width="12.5" style="4" customWidth="1"/>
    <col min="9232" max="9232" width="13.75" style="4" customWidth="1"/>
    <col min="9233" max="9233" width="9" style="4"/>
    <col min="9234" max="9234" width="12.375" style="4" customWidth="1"/>
    <col min="9235" max="9236" width="9" style="4"/>
    <col min="9237" max="9237" width="15.625" style="4" bestFit="1" customWidth="1"/>
    <col min="9238" max="9238" width="18.875" style="4" customWidth="1"/>
    <col min="9239" max="9481" width="9" style="4"/>
    <col min="9482" max="9482" width="9.625" style="4" customWidth="1"/>
    <col min="9483" max="9483" width="11.5" style="4" customWidth="1"/>
    <col min="9484" max="9484" width="9" style="4" customWidth="1"/>
    <col min="9485" max="9485" width="13.375" style="4" customWidth="1"/>
    <col min="9486" max="9486" width="10.5" style="4" customWidth="1"/>
    <col min="9487" max="9487" width="12.5" style="4" customWidth="1"/>
    <col min="9488" max="9488" width="13.75" style="4" customWidth="1"/>
    <col min="9489" max="9489" width="9" style="4"/>
    <col min="9490" max="9490" width="12.375" style="4" customWidth="1"/>
    <col min="9491" max="9492" width="9" style="4"/>
    <col min="9493" max="9493" width="15.625" style="4" bestFit="1" customWidth="1"/>
    <col min="9494" max="9494" width="18.875" style="4" customWidth="1"/>
    <col min="9495" max="9737" width="9" style="4"/>
    <col min="9738" max="9738" width="9.625" style="4" customWidth="1"/>
    <col min="9739" max="9739" width="11.5" style="4" customWidth="1"/>
    <col min="9740" max="9740" width="9" style="4" customWidth="1"/>
    <col min="9741" max="9741" width="13.375" style="4" customWidth="1"/>
    <col min="9742" max="9742" width="10.5" style="4" customWidth="1"/>
    <col min="9743" max="9743" width="12.5" style="4" customWidth="1"/>
    <col min="9744" max="9744" width="13.75" style="4" customWidth="1"/>
    <col min="9745" max="9745" width="9" style="4"/>
    <col min="9746" max="9746" width="12.375" style="4" customWidth="1"/>
    <col min="9747" max="9748" width="9" style="4"/>
    <col min="9749" max="9749" width="15.625" style="4" bestFit="1" customWidth="1"/>
    <col min="9750" max="9750" width="18.875" style="4" customWidth="1"/>
    <col min="9751" max="9993" width="9" style="4"/>
    <col min="9994" max="9994" width="9.625" style="4" customWidth="1"/>
    <col min="9995" max="9995" width="11.5" style="4" customWidth="1"/>
    <col min="9996" max="9996" width="9" style="4" customWidth="1"/>
    <col min="9997" max="9997" width="13.375" style="4" customWidth="1"/>
    <col min="9998" max="9998" width="10.5" style="4" customWidth="1"/>
    <col min="9999" max="9999" width="12.5" style="4" customWidth="1"/>
    <col min="10000" max="10000" width="13.75" style="4" customWidth="1"/>
    <col min="10001" max="10001" width="9" style="4"/>
    <col min="10002" max="10002" width="12.375" style="4" customWidth="1"/>
    <col min="10003" max="10004" width="9" style="4"/>
    <col min="10005" max="10005" width="15.625" style="4" bestFit="1" customWidth="1"/>
    <col min="10006" max="10006" width="18.875" style="4" customWidth="1"/>
    <col min="10007" max="10249" width="9" style="4"/>
    <col min="10250" max="10250" width="9.625" style="4" customWidth="1"/>
    <col min="10251" max="10251" width="11.5" style="4" customWidth="1"/>
    <col min="10252" max="10252" width="9" style="4" customWidth="1"/>
    <col min="10253" max="10253" width="13.375" style="4" customWidth="1"/>
    <col min="10254" max="10254" width="10.5" style="4" customWidth="1"/>
    <col min="10255" max="10255" width="12.5" style="4" customWidth="1"/>
    <col min="10256" max="10256" width="13.75" style="4" customWidth="1"/>
    <col min="10257" max="10257" width="9" style="4"/>
    <col min="10258" max="10258" width="12.375" style="4" customWidth="1"/>
    <col min="10259" max="10260" width="9" style="4"/>
    <col min="10261" max="10261" width="15.625" style="4" bestFit="1" customWidth="1"/>
    <col min="10262" max="10262" width="18.875" style="4" customWidth="1"/>
    <col min="10263" max="10505" width="9" style="4"/>
    <col min="10506" max="10506" width="9.625" style="4" customWidth="1"/>
    <col min="10507" max="10507" width="11.5" style="4" customWidth="1"/>
    <col min="10508" max="10508" width="9" style="4" customWidth="1"/>
    <col min="10509" max="10509" width="13.375" style="4" customWidth="1"/>
    <col min="10510" max="10510" width="10.5" style="4" customWidth="1"/>
    <col min="10511" max="10511" width="12.5" style="4" customWidth="1"/>
    <col min="10512" max="10512" width="13.75" style="4" customWidth="1"/>
    <col min="10513" max="10513" width="9" style="4"/>
    <col min="10514" max="10514" width="12.375" style="4" customWidth="1"/>
    <col min="10515" max="10516" width="9" style="4"/>
    <col min="10517" max="10517" width="15.625" style="4" bestFit="1" customWidth="1"/>
    <col min="10518" max="10518" width="18.875" style="4" customWidth="1"/>
    <col min="10519" max="10761" width="9" style="4"/>
    <col min="10762" max="10762" width="9.625" style="4" customWidth="1"/>
    <col min="10763" max="10763" width="11.5" style="4" customWidth="1"/>
    <col min="10764" max="10764" width="9" style="4" customWidth="1"/>
    <col min="10765" max="10765" width="13.375" style="4" customWidth="1"/>
    <col min="10766" max="10766" width="10.5" style="4" customWidth="1"/>
    <col min="10767" max="10767" width="12.5" style="4" customWidth="1"/>
    <col min="10768" max="10768" width="13.75" style="4" customWidth="1"/>
    <col min="10769" max="10769" width="9" style="4"/>
    <col min="10770" max="10770" width="12.375" style="4" customWidth="1"/>
    <col min="10771" max="10772" width="9" style="4"/>
    <col min="10773" max="10773" width="15.625" style="4" bestFit="1" customWidth="1"/>
    <col min="10774" max="10774" width="18.875" style="4" customWidth="1"/>
    <col min="10775" max="11017" width="9" style="4"/>
    <col min="11018" max="11018" width="9.625" style="4" customWidth="1"/>
    <col min="11019" max="11019" width="11.5" style="4" customWidth="1"/>
    <col min="11020" max="11020" width="9" style="4" customWidth="1"/>
    <col min="11021" max="11021" width="13.375" style="4" customWidth="1"/>
    <col min="11022" max="11022" width="10.5" style="4" customWidth="1"/>
    <col min="11023" max="11023" width="12.5" style="4" customWidth="1"/>
    <col min="11024" max="11024" width="13.75" style="4" customWidth="1"/>
    <col min="11025" max="11025" width="9" style="4"/>
    <col min="11026" max="11026" width="12.375" style="4" customWidth="1"/>
    <col min="11027" max="11028" width="9" style="4"/>
    <col min="11029" max="11029" width="15.625" style="4" bestFit="1" customWidth="1"/>
    <col min="11030" max="11030" width="18.875" style="4" customWidth="1"/>
    <col min="11031" max="11273" width="9" style="4"/>
    <col min="11274" max="11274" width="9.625" style="4" customWidth="1"/>
    <col min="11275" max="11275" width="11.5" style="4" customWidth="1"/>
    <col min="11276" max="11276" width="9" style="4" customWidth="1"/>
    <col min="11277" max="11277" width="13.375" style="4" customWidth="1"/>
    <col min="11278" max="11278" width="10.5" style="4" customWidth="1"/>
    <col min="11279" max="11279" width="12.5" style="4" customWidth="1"/>
    <col min="11280" max="11280" width="13.75" style="4" customWidth="1"/>
    <col min="11281" max="11281" width="9" style="4"/>
    <col min="11282" max="11282" width="12.375" style="4" customWidth="1"/>
    <col min="11283" max="11284" width="9" style="4"/>
    <col min="11285" max="11285" width="15.625" style="4" bestFit="1" customWidth="1"/>
    <col min="11286" max="11286" width="18.875" style="4" customWidth="1"/>
    <col min="11287" max="11529" width="9" style="4"/>
    <col min="11530" max="11530" width="9.625" style="4" customWidth="1"/>
    <col min="11531" max="11531" width="11.5" style="4" customWidth="1"/>
    <col min="11532" max="11532" width="9" style="4" customWidth="1"/>
    <col min="11533" max="11533" width="13.375" style="4" customWidth="1"/>
    <col min="11534" max="11534" width="10.5" style="4" customWidth="1"/>
    <col min="11535" max="11535" width="12.5" style="4" customWidth="1"/>
    <col min="11536" max="11536" width="13.75" style="4" customWidth="1"/>
    <col min="11537" max="11537" width="9" style="4"/>
    <col min="11538" max="11538" width="12.375" style="4" customWidth="1"/>
    <col min="11539" max="11540" width="9" style="4"/>
    <col min="11541" max="11541" width="15.625" style="4" bestFit="1" customWidth="1"/>
    <col min="11542" max="11542" width="18.875" style="4" customWidth="1"/>
    <col min="11543" max="11785" width="9" style="4"/>
    <col min="11786" max="11786" width="9.625" style="4" customWidth="1"/>
    <col min="11787" max="11787" width="11.5" style="4" customWidth="1"/>
    <col min="11788" max="11788" width="9" style="4" customWidth="1"/>
    <col min="11789" max="11789" width="13.375" style="4" customWidth="1"/>
    <col min="11790" max="11790" width="10.5" style="4" customWidth="1"/>
    <col min="11791" max="11791" width="12.5" style="4" customWidth="1"/>
    <col min="11792" max="11792" width="13.75" style="4" customWidth="1"/>
    <col min="11793" max="11793" width="9" style="4"/>
    <col min="11794" max="11794" width="12.375" style="4" customWidth="1"/>
    <col min="11795" max="11796" width="9" style="4"/>
    <col min="11797" max="11797" width="15.625" style="4" bestFit="1" customWidth="1"/>
    <col min="11798" max="11798" width="18.875" style="4" customWidth="1"/>
    <col min="11799" max="12041" width="9" style="4"/>
    <col min="12042" max="12042" width="9.625" style="4" customWidth="1"/>
    <col min="12043" max="12043" width="11.5" style="4" customWidth="1"/>
    <col min="12044" max="12044" width="9" style="4" customWidth="1"/>
    <col min="12045" max="12045" width="13.375" style="4" customWidth="1"/>
    <col min="12046" max="12046" width="10.5" style="4" customWidth="1"/>
    <col min="12047" max="12047" width="12.5" style="4" customWidth="1"/>
    <col min="12048" max="12048" width="13.75" style="4" customWidth="1"/>
    <col min="12049" max="12049" width="9" style="4"/>
    <col min="12050" max="12050" width="12.375" style="4" customWidth="1"/>
    <col min="12051" max="12052" width="9" style="4"/>
    <col min="12053" max="12053" width="15.625" style="4" bestFit="1" customWidth="1"/>
    <col min="12054" max="12054" width="18.875" style="4" customWidth="1"/>
    <col min="12055" max="12297" width="9" style="4"/>
    <col min="12298" max="12298" width="9.625" style="4" customWidth="1"/>
    <col min="12299" max="12299" width="11.5" style="4" customWidth="1"/>
    <col min="12300" max="12300" width="9" style="4" customWidth="1"/>
    <col min="12301" max="12301" width="13.375" style="4" customWidth="1"/>
    <col min="12302" max="12302" width="10.5" style="4" customWidth="1"/>
    <col min="12303" max="12303" width="12.5" style="4" customWidth="1"/>
    <col min="12304" max="12304" width="13.75" style="4" customWidth="1"/>
    <col min="12305" max="12305" width="9" style="4"/>
    <col min="12306" max="12306" width="12.375" style="4" customWidth="1"/>
    <col min="12307" max="12308" width="9" style="4"/>
    <col min="12309" max="12309" width="15.625" style="4" bestFit="1" customWidth="1"/>
    <col min="12310" max="12310" width="18.875" style="4" customWidth="1"/>
    <col min="12311" max="12553" width="9" style="4"/>
    <col min="12554" max="12554" width="9.625" style="4" customWidth="1"/>
    <col min="12555" max="12555" width="11.5" style="4" customWidth="1"/>
    <col min="12556" max="12556" width="9" style="4" customWidth="1"/>
    <col min="12557" max="12557" width="13.375" style="4" customWidth="1"/>
    <col min="12558" max="12558" width="10.5" style="4" customWidth="1"/>
    <col min="12559" max="12559" width="12.5" style="4" customWidth="1"/>
    <col min="12560" max="12560" width="13.75" style="4" customWidth="1"/>
    <col min="12561" max="12561" width="9" style="4"/>
    <col min="12562" max="12562" width="12.375" style="4" customWidth="1"/>
    <col min="12563" max="12564" width="9" style="4"/>
    <col min="12565" max="12565" width="15.625" style="4" bestFit="1" customWidth="1"/>
    <col min="12566" max="12566" width="18.875" style="4" customWidth="1"/>
    <col min="12567" max="12809" width="9" style="4"/>
    <col min="12810" max="12810" width="9.625" style="4" customWidth="1"/>
    <col min="12811" max="12811" width="11.5" style="4" customWidth="1"/>
    <col min="12812" max="12812" width="9" style="4" customWidth="1"/>
    <col min="12813" max="12813" width="13.375" style="4" customWidth="1"/>
    <col min="12814" max="12814" width="10.5" style="4" customWidth="1"/>
    <col min="12815" max="12815" width="12.5" style="4" customWidth="1"/>
    <col min="12816" max="12816" width="13.75" style="4" customWidth="1"/>
    <col min="12817" max="12817" width="9" style="4"/>
    <col min="12818" max="12818" width="12.375" style="4" customWidth="1"/>
    <col min="12819" max="12820" width="9" style="4"/>
    <col min="12821" max="12821" width="15.625" style="4" bestFit="1" customWidth="1"/>
    <col min="12822" max="12822" width="18.875" style="4" customWidth="1"/>
    <col min="12823" max="13065" width="9" style="4"/>
    <col min="13066" max="13066" width="9.625" style="4" customWidth="1"/>
    <col min="13067" max="13067" width="11.5" style="4" customWidth="1"/>
    <col min="13068" max="13068" width="9" style="4" customWidth="1"/>
    <col min="13069" max="13069" width="13.375" style="4" customWidth="1"/>
    <col min="13070" max="13070" width="10.5" style="4" customWidth="1"/>
    <col min="13071" max="13071" width="12.5" style="4" customWidth="1"/>
    <col min="13072" max="13072" width="13.75" style="4" customWidth="1"/>
    <col min="13073" max="13073" width="9" style="4"/>
    <col min="13074" max="13074" width="12.375" style="4" customWidth="1"/>
    <col min="13075" max="13076" width="9" style="4"/>
    <col min="13077" max="13077" width="15.625" style="4" bestFit="1" customWidth="1"/>
    <col min="13078" max="13078" width="18.875" style="4" customWidth="1"/>
    <col min="13079" max="13321" width="9" style="4"/>
    <col min="13322" max="13322" width="9.625" style="4" customWidth="1"/>
    <col min="13323" max="13323" width="11.5" style="4" customWidth="1"/>
    <col min="13324" max="13324" width="9" style="4" customWidth="1"/>
    <col min="13325" max="13325" width="13.375" style="4" customWidth="1"/>
    <col min="13326" max="13326" width="10.5" style="4" customWidth="1"/>
    <col min="13327" max="13327" width="12.5" style="4" customWidth="1"/>
    <col min="13328" max="13328" width="13.75" style="4" customWidth="1"/>
    <col min="13329" max="13329" width="9" style="4"/>
    <col min="13330" max="13330" width="12.375" style="4" customWidth="1"/>
    <col min="13331" max="13332" width="9" style="4"/>
    <col min="13333" max="13333" width="15.625" style="4" bestFit="1" customWidth="1"/>
    <col min="13334" max="13334" width="18.875" style="4" customWidth="1"/>
    <col min="13335" max="13577" width="9" style="4"/>
    <col min="13578" max="13578" width="9.625" style="4" customWidth="1"/>
    <col min="13579" max="13579" width="11.5" style="4" customWidth="1"/>
    <col min="13580" max="13580" width="9" style="4" customWidth="1"/>
    <col min="13581" max="13581" width="13.375" style="4" customWidth="1"/>
    <col min="13582" max="13582" width="10.5" style="4" customWidth="1"/>
    <col min="13583" max="13583" width="12.5" style="4" customWidth="1"/>
    <col min="13584" max="13584" width="13.75" style="4" customWidth="1"/>
    <col min="13585" max="13585" width="9" style="4"/>
    <col min="13586" max="13586" width="12.375" style="4" customWidth="1"/>
    <col min="13587" max="13588" width="9" style="4"/>
    <col min="13589" max="13589" width="15.625" style="4" bestFit="1" customWidth="1"/>
    <col min="13590" max="13590" width="18.875" style="4" customWidth="1"/>
    <col min="13591" max="13833" width="9" style="4"/>
    <col min="13834" max="13834" width="9.625" style="4" customWidth="1"/>
    <col min="13835" max="13835" width="11.5" style="4" customWidth="1"/>
    <col min="13836" max="13836" width="9" style="4" customWidth="1"/>
    <col min="13837" max="13837" width="13.375" style="4" customWidth="1"/>
    <col min="13838" max="13838" width="10.5" style="4" customWidth="1"/>
    <col min="13839" max="13839" width="12.5" style="4" customWidth="1"/>
    <col min="13840" max="13840" width="13.75" style="4" customWidth="1"/>
    <col min="13841" max="13841" width="9" style="4"/>
    <col min="13842" max="13842" width="12.375" style="4" customWidth="1"/>
    <col min="13843" max="13844" width="9" style="4"/>
    <col min="13845" max="13845" width="15.625" style="4" bestFit="1" customWidth="1"/>
    <col min="13846" max="13846" width="18.875" style="4" customWidth="1"/>
    <col min="13847" max="14089" width="9" style="4"/>
    <col min="14090" max="14090" width="9.625" style="4" customWidth="1"/>
    <col min="14091" max="14091" width="11.5" style="4" customWidth="1"/>
    <col min="14092" max="14092" width="9" style="4" customWidth="1"/>
    <col min="14093" max="14093" width="13.375" style="4" customWidth="1"/>
    <col min="14094" max="14094" width="10.5" style="4" customWidth="1"/>
    <col min="14095" max="14095" width="12.5" style="4" customWidth="1"/>
    <col min="14096" max="14096" width="13.75" style="4" customWidth="1"/>
    <col min="14097" max="14097" width="9" style="4"/>
    <col min="14098" max="14098" width="12.375" style="4" customWidth="1"/>
    <col min="14099" max="14100" width="9" style="4"/>
    <col min="14101" max="14101" width="15.625" style="4" bestFit="1" customWidth="1"/>
    <col min="14102" max="14102" width="18.875" style="4" customWidth="1"/>
    <col min="14103" max="14345" width="9" style="4"/>
    <col min="14346" max="14346" width="9.625" style="4" customWidth="1"/>
    <col min="14347" max="14347" width="11.5" style="4" customWidth="1"/>
    <col min="14348" max="14348" width="9" style="4" customWidth="1"/>
    <col min="14349" max="14349" width="13.375" style="4" customWidth="1"/>
    <col min="14350" max="14350" width="10.5" style="4" customWidth="1"/>
    <col min="14351" max="14351" width="12.5" style="4" customWidth="1"/>
    <col min="14352" max="14352" width="13.75" style="4" customWidth="1"/>
    <col min="14353" max="14353" width="9" style="4"/>
    <col min="14354" max="14354" width="12.375" style="4" customWidth="1"/>
    <col min="14355" max="14356" width="9" style="4"/>
    <col min="14357" max="14357" width="15.625" style="4" bestFit="1" customWidth="1"/>
    <col min="14358" max="14358" width="18.875" style="4" customWidth="1"/>
    <col min="14359" max="14601" width="9" style="4"/>
    <col min="14602" max="14602" width="9.625" style="4" customWidth="1"/>
    <col min="14603" max="14603" width="11.5" style="4" customWidth="1"/>
    <col min="14604" max="14604" width="9" style="4" customWidth="1"/>
    <col min="14605" max="14605" width="13.375" style="4" customWidth="1"/>
    <col min="14606" max="14606" width="10.5" style="4" customWidth="1"/>
    <col min="14607" max="14607" width="12.5" style="4" customWidth="1"/>
    <col min="14608" max="14608" width="13.75" style="4" customWidth="1"/>
    <col min="14609" max="14609" width="9" style="4"/>
    <col min="14610" max="14610" width="12.375" style="4" customWidth="1"/>
    <col min="14611" max="14612" width="9" style="4"/>
    <col min="14613" max="14613" width="15.625" style="4" bestFit="1" customWidth="1"/>
    <col min="14614" max="14614" width="18.875" style="4" customWidth="1"/>
    <col min="14615" max="14857" width="9" style="4"/>
    <col min="14858" max="14858" width="9.625" style="4" customWidth="1"/>
    <col min="14859" max="14859" width="11.5" style="4" customWidth="1"/>
    <col min="14860" max="14860" width="9" style="4" customWidth="1"/>
    <col min="14861" max="14861" width="13.375" style="4" customWidth="1"/>
    <col min="14862" max="14862" width="10.5" style="4" customWidth="1"/>
    <col min="14863" max="14863" width="12.5" style="4" customWidth="1"/>
    <col min="14864" max="14864" width="13.75" style="4" customWidth="1"/>
    <col min="14865" max="14865" width="9" style="4"/>
    <col min="14866" max="14866" width="12.375" style="4" customWidth="1"/>
    <col min="14867" max="14868" width="9" style="4"/>
    <col min="14869" max="14869" width="15.625" style="4" bestFit="1" customWidth="1"/>
    <col min="14870" max="14870" width="18.875" style="4" customWidth="1"/>
    <col min="14871" max="15113" width="9" style="4"/>
    <col min="15114" max="15114" width="9.625" style="4" customWidth="1"/>
    <col min="15115" max="15115" width="11.5" style="4" customWidth="1"/>
    <col min="15116" max="15116" width="9" style="4" customWidth="1"/>
    <col min="15117" max="15117" width="13.375" style="4" customWidth="1"/>
    <col min="15118" max="15118" width="10.5" style="4" customWidth="1"/>
    <col min="15119" max="15119" width="12.5" style="4" customWidth="1"/>
    <col min="15120" max="15120" width="13.75" style="4" customWidth="1"/>
    <col min="15121" max="15121" width="9" style="4"/>
    <col min="15122" max="15122" width="12.375" style="4" customWidth="1"/>
    <col min="15123" max="15124" width="9" style="4"/>
    <col min="15125" max="15125" width="15.625" style="4" bestFit="1" customWidth="1"/>
    <col min="15126" max="15126" width="18.875" style="4" customWidth="1"/>
    <col min="15127" max="15369" width="9" style="4"/>
    <col min="15370" max="15370" width="9.625" style="4" customWidth="1"/>
    <col min="15371" max="15371" width="11.5" style="4" customWidth="1"/>
    <col min="15372" max="15372" width="9" style="4" customWidth="1"/>
    <col min="15373" max="15373" width="13.375" style="4" customWidth="1"/>
    <col min="15374" max="15374" width="10.5" style="4" customWidth="1"/>
    <col min="15375" max="15375" width="12.5" style="4" customWidth="1"/>
    <col min="15376" max="15376" width="13.75" style="4" customWidth="1"/>
    <col min="15377" max="15377" width="9" style="4"/>
    <col min="15378" max="15378" width="12.375" style="4" customWidth="1"/>
    <col min="15379" max="15380" width="9" style="4"/>
    <col min="15381" max="15381" width="15.625" style="4" bestFit="1" customWidth="1"/>
    <col min="15382" max="15382" width="18.875" style="4" customWidth="1"/>
    <col min="15383" max="15625" width="9" style="4"/>
    <col min="15626" max="15626" width="9.625" style="4" customWidth="1"/>
    <col min="15627" max="15627" width="11.5" style="4" customWidth="1"/>
    <col min="15628" max="15628" width="9" style="4" customWidth="1"/>
    <col min="15629" max="15629" width="13.375" style="4" customWidth="1"/>
    <col min="15630" max="15630" width="10.5" style="4" customWidth="1"/>
    <col min="15631" max="15631" width="12.5" style="4" customWidth="1"/>
    <col min="15632" max="15632" width="13.75" style="4" customWidth="1"/>
    <col min="15633" max="15633" width="9" style="4"/>
    <col min="15634" max="15634" width="12.375" style="4" customWidth="1"/>
    <col min="15635" max="15636" width="9" style="4"/>
    <col min="15637" max="15637" width="15.625" style="4" bestFit="1" customWidth="1"/>
    <col min="15638" max="15638" width="18.875" style="4" customWidth="1"/>
    <col min="15639" max="15881" width="9" style="4"/>
    <col min="15882" max="15882" width="9.625" style="4" customWidth="1"/>
    <col min="15883" max="15883" width="11.5" style="4" customWidth="1"/>
    <col min="15884" max="15884" width="9" style="4" customWidth="1"/>
    <col min="15885" max="15885" width="13.375" style="4" customWidth="1"/>
    <col min="15886" max="15886" width="10.5" style="4" customWidth="1"/>
    <col min="15887" max="15887" width="12.5" style="4" customWidth="1"/>
    <col min="15888" max="15888" width="13.75" style="4" customWidth="1"/>
    <col min="15889" max="15889" width="9" style="4"/>
    <col min="15890" max="15890" width="12.375" style="4" customWidth="1"/>
    <col min="15891" max="15892" width="9" style="4"/>
    <col min="15893" max="15893" width="15.625" style="4" bestFit="1" customWidth="1"/>
    <col min="15894" max="15894" width="18.875" style="4" customWidth="1"/>
    <col min="15895" max="16137" width="9" style="4"/>
    <col min="16138" max="16138" width="9.625" style="4" customWidth="1"/>
    <col min="16139" max="16139" width="11.5" style="4" customWidth="1"/>
    <col min="16140" max="16140" width="9" style="4" customWidth="1"/>
    <col min="16141" max="16141" width="13.375" style="4" customWidth="1"/>
    <col min="16142" max="16142" width="10.5" style="4" customWidth="1"/>
    <col min="16143" max="16143" width="12.5" style="4" customWidth="1"/>
    <col min="16144" max="16144" width="13.75" style="4" customWidth="1"/>
    <col min="16145" max="16145" width="9" style="4"/>
    <col min="16146" max="16146" width="12.375" style="4" customWidth="1"/>
    <col min="16147" max="16148" width="9" style="4"/>
    <col min="16149" max="16149" width="15.625" style="4" bestFit="1" customWidth="1"/>
    <col min="16150" max="16150" width="18.875" style="4" customWidth="1"/>
    <col min="16151" max="16384" width="9" style="4"/>
  </cols>
  <sheetData>
    <row r="1" spans="1:41" ht="16.5" x14ac:dyDescent="0.15">
      <c r="A1" s="5" t="s">
        <v>28</v>
      </c>
      <c r="B1" s="6" t="s">
        <v>29</v>
      </c>
    </row>
    <row r="2" spans="1:41" x14ac:dyDescent="0.15">
      <c r="A2" s="4" t="s">
        <v>0</v>
      </c>
      <c r="B2" s="4" t="s">
        <v>2645</v>
      </c>
      <c r="AE2" s="33" t="s">
        <v>3593</v>
      </c>
    </row>
    <row r="3" spans="1:41" x14ac:dyDescent="0.15">
      <c r="A3" s="4" t="s">
        <v>11</v>
      </c>
      <c r="D3" s="4" t="s">
        <v>12</v>
      </c>
      <c r="E3" s="4" t="s">
        <v>2677</v>
      </c>
      <c r="F3" s="4" t="s">
        <v>2678</v>
      </c>
      <c r="G3" s="4" t="s">
        <v>3719</v>
      </c>
      <c r="H3" s="4" t="s">
        <v>2827</v>
      </c>
      <c r="I3" s="4" t="s">
        <v>12</v>
      </c>
      <c r="J3" s="4" t="s">
        <v>2696</v>
      </c>
      <c r="K3" s="4" t="s">
        <v>12</v>
      </c>
      <c r="L3" s="4" t="s">
        <v>12</v>
      </c>
      <c r="M3" s="4" t="s">
        <v>3471</v>
      </c>
      <c r="N3" s="4" t="s">
        <v>2833</v>
      </c>
      <c r="O3" s="4" t="s">
        <v>2886</v>
      </c>
      <c r="P3" s="4" t="s">
        <v>2893</v>
      </c>
      <c r="Q3" s="4" t="s">
        <v>2893</v>
      </c>
      <c r="R3" s="29" t="s">
        <v>2688</v>
      </c>
      <c r="S3" s="31" t="s">
        <v>12</v>
      </c>
      <c r="T3" s="35" t="s">
        <v>3255</v>
      </c>
      <c r="U3" s="36" t="s">
        <v>3256</v>
      </c>
      <c r="V3" s="31" t="s">
        <v>2874</v>
      </c>
      <c r="W3" s="30" t="s">
        <v>2877</v>
      </c>
      <c r="X3" s="31" t="s">
        <v>2946</v>
      </c>
      <c r="Y3" s="31" t="s">
        <v>2953</v>
      </c>
      <c r="Z3" s="31" t="s">
        <v>2946</v>
      </c>
      <c r="AA3" s="30" t="s">
        <v>3161</v>
      </c>
      <c r="AB3" s="4" t="s">
        <v>2798</v>
      </c>
      <c r="AC3" s="4" t="s">
        <v>2883</v>
      </c>
      <c r="AD3" s="4" t="s">
        <v>21</v>
      </c>
      <c r="AE3" s="33" t="s">
        <v>2800</v>
      </c>
      <c r="AF3" s="4" t="s">
        <v>2689</v>
      </c>
      <c r="AG3" s="4" t="s">
        <v>12</v>
      </c>
      <c r="AH3" s="29" t="s">
        <v>2738</v>
      </c>
      <c r="AI3" s="30" t="s">
        <v>2738</v>
      </c>
      <c r="AJ3" s="29" t="s">
        <v>2738</v>
      </c>
      <c r="AK3" s="30" t="s">
        <v>2738</v>
      </c>
      <c r="AL3" s="29" t="s">
        <v>9792</v>
      </c>
      <c r="AM3" s="4" t="s">
        <v>9974</v>
      </c>
      <c r="AN3" s="4" t="s">
        <v>2690</v>
      </c>
    </row>
    <row r="4" spans="1:41" x14ac:dyDescent="0.15">
      <c r="A4" s="4" t="s">
        <v>9</v>
      </c>
      <c r="D4" s="4" t="s">
        <v>13</v>
      </c>
      <c r="E4" s="4" t="s">
        <v>2679</v>
      </c>
      <c r="F4" s="4" t="s">
        <v>2680</v>
      </c>
      <c r="G4" s="4" t="s">
        <v>3720</v>
      </c>
      <c r="H4" s="4" t="s">
        <v>2829</v>
      </c>
      <c r="I4" s="4" t="s">
        <v>2681</v>
      </c>
      <c r="J4" s="4" t="s">
        <v>2697</v>
      </c>
      <c r="K4" s="4" t="s">
        <v>2691</v>
      </c>
      <c r="L4" s="4" t="s">
        <v>2694</v>
      </c>
      <c r="M4" s="4" t="s">
        <v>3472</v>
      </c>
      <c r="N4" s="4" t="s">
        <v>2834</v>
      </c>
      <c r="O4" s="4" t="s">
        <v>2888</v>
      </c>
      <c r="P4" s="4" t="s">
        <v>2895</v>
      </c>
      <c r="Q4" s="4" t="s">
        <v>2896</v>
      </c>
      <c r="R4" s="29" t="s">
        <v>2687</v>
      </c>
      <c r="S4" s="31" t="s">
        <v>2836</v>
      </c>
      <c r="T4" s="36" t="s">
        <v>3258</v>
      </c>
      <c r="U4" s="36" t="s">
        <v>2838</v>
      </c>
      <c r="V4" s="31" t="s">
        <v>2875</v>
      </c>
      <c r="W4" s="30" t="s">
        <v>2878</v>
      </c>
      <c r="X4" s="31" t="s">
        <v>2947</v>
      </c>
      <c r="Y4" s="31" t="s">
        <v>2954</v>
      </c>
      <c r="Z4" s="31" t="s">
        <v>2956</v>
      </c>
      <c r="AA4" s="30" t="s">
        <v>3162</v>
      </c>
      <c r="AB4" s="4" t="s">
        <v>2743</v>
      </c>
      <c r="AC4" s="4" t="s">
        <v>2884</v>
      </c>
      <c r="AD4" s="4" t="s">
        <v>2799</v>
      </c>
      <c r="AE4" s="33" t="s">
        <v>2969</v>
      </c>
      <c r="AF4" s="4" t="s">
        <v>2692</v>
      </c>
      <c r="AG4" s="4" t="s">
        <v>2807</v>
      </c>
      <c r="AH4" s="29" t="s">
        <v>2748</v>
      </c>
      <c r="AI4" s="30" t="s">
        <v>2749</v>
      </c>
      <c r="AJ4" s="29" t="s">
        <v>2750</v>
      </c>
      <c r="AK4" s="30" t="s">
        <v>2751</v>
      </c>
      <c r="AL4" s="29" t="s">
        <v>9793</v>
      </c>
      <c r="AM4" s="4" t="s">
        <v>2699</v>
      </c>
      <c r="AN4" s="4" t="s">
        <v>2693</v>
      </c>
    </row>
    <row r="5" spans="1:41" x14ac:dyDescent="0.15">
      <c r="E5" s="4" t="s">
        <v>2675</v>
      </c>
      <c r="F5" s="4" t="s">
        <v>2676</v>
      </c>
      <c r="G5" s="4" t="s">
        <v>3721</v>
      </c>
      <c r="H5" s="4" t="s">
        <v>2828</v>
      </c>
      <c r="I5" s="4" t="s">
        <v>2685</v>
      </c>
      <c r="J5" s="4" t="s">
        <v>2698</v>
      </c>
      <c r="K5" s="4" t="s">
        <v>2682</v>
      </c>
      <c r="L5" s="4" t="s">
        <v>2695</v>
      </c>
      <c r="M5" s="4" t="s">
        <v>3473</v>
      </c>
      <c r="N5" s="4" t="s">
        <v>2835</v>
      </c>
      <c r="O5" s="4" t="s">
        <v>2887</v>
      </c>
      <c r="P5" s="4" t="s">
        <v>2897</v>
      </c>
      <c r="Q5" s="4" t="s">
        <v>2894</v>
      </c>
      <c r="R5" s="29" t="s">
        <v>2686</v>
      </c>
      <c r="S5" s="31" t="s">
        <v>2837</v>
      </c>
      <c r="T5" s="35" t="s">
        <v>3259</v>
      </c>
      <c r="U5" s="36" t="s">
        <v>3257</v>
      </c>
      <c r="V5" s="31" t="s">
        <v>2876</v>
      </c>
      <c r="W5" s="30" t="s">
        <v>2879</v>
      </c>
      <c r="X5" s="31" t="s">
        <v>2948</v>
      </c>
      <c r="Y5" s="31" t="s">
        <v>2950</v>
      </c>
      <c r="Z5" s="31" t="s">
        <v>2952</v>
      </c>
      <c r="AA5" s="30" t="s">
        <v>3163</v>
      </c>
      <c r="AB5" s="4" t="s">
        <v>2744</v>
      </c>
      <c r="AC5" s="4" t="s">
        <v>2885</v>
      </c>
      <c r="AD5" s="4" t="s">
        <v>2701</v>
      </c>
      <c r="AE5" s="33" t="s">
        <v>2701</v>
      </c>
      <c r="AF5" s="4" t="s">
        <v>2683</v>
      </c>
      <c r="AG5" s="4" t="s">
        <v>2808</v>
      </c>
      <c r="AH5" s="29" t="s">
        <v>2745</v>
      </c>
      <c r="AI5" s="30" t="s">
        <v>2746</v>
      </c>
      <c r="AJ5" s="29" t="s">
        <v>2752</v>
      </c>
      <c r="AK5" s="30" t="s">
        <v>2753</v>
      </c>
      <c r="AL5" s="29" t="s">
        <v>9794</v>
      </c>
      <c r="AM5" s="4" t="s">
        <v>2700</v>
      </c>
      <c r="AN5" s="4" t="s">
        <v>2684</v>
      </c>
    </row>
    <row r="6" spans="1:41" x14ac:dyDescent="0.15">
      <c r="B6" s="4" t="s">
        <v>2861</v>
      </c>
      <c r="AD6" s="4" t="s">
        <v>2747</v>
      </c>
    </row>
    <row r="7" spans="1:41" x14ac:dyDescent="0.15">
      <c r="A7" s="4" t="s">
        <v>2663</v>
      </c>
      <c r="B7" s="4">
        <v>1</v>
      </c>
      <c r="C7" s="4" t="s">
        <v>2923</v>
      </c>
      <c r="D7" s="4">
        <v>1101</v>
      </c>
      <c r="G7" s="4" t="s">
        <v>3744</v>
      </c>
      <c r="H7" s="4">
        <v>2</v>
      </c>
      <c r="I7" s="4">
        <v>3</v>
      </c>
      <c r="J7" s="4">
        <v>2</v>
      </c>
      <c r="K7" s="4">
        <v>0</v>
      </c>
      <c r="L7" s="4">
        <v>3</v>
      </c>
      <c r="M7" s="4">
        <v>1</v>
      </c>
      <c r="N7" s="4">
        <v>0</v>
      </c>
      <c r="O7" s="4">
        <v>0</v>
      </c>
      <c r="P7" s="4">
        <v>0</v>
      </c>
      <c r="Q7" s="4">
        <v>6</v>
      </c>
      <c r="R7" s="29" t="b">
        <v>0</v>
      </c>
      <c r="S7" s="31">
        <v>0</v>
      </c>
      <c r="T7" s="35" t="s">
        <v>3260</v>
      </c>
      <c r="U7" s="36" t="s">
        <v>3261</v>
      </c>
      <c r="V7" s="31">
        <v>1</v>
      </c>
      <c r="W7" s="30">
        <v>0.8</v>
      </c>
      <c r="X7" s="31">
        <v>0</v>
      </c>
      <c r="Y7" s="31">
        <v>0</v>
      </c>
      <c r="Z7" s="31">
        <v>0</v>
      </c>
      <c r="AA7" s="30">
        <v>0</v>
      </c>
      <c r="AB7" s="4">
        <v>70</v>
      </c>
      <c r="AC7" s="4">
        <v>0</v>
      </c>
      <c r="AD7" s="4">
        <v>0.8</v>
      </c>
      <c r="AE7" s="33">
        <v>0</v>
      </c>
      <c r="AF7" s="4">
        <v>0</v>
      </c>
      <c r="AG7" s="4">
        <v>0</v>
      </c>
      <c r="AH7" s="29">
        <v>1</v>
      </c>
      <c r="AI7" s="30">
        <v>0.8</v>
      </c>
      <c r="AJ7" s="29">
        <v>0</v>
      </c>
      <c r="AK7" s="30">
        <v>0</v>
      </c>
      <c r="AL7" s="29">
        <v>0</v>
      </c>
      <c r="AN7" s="4">
        <v>0</v>
      </c>
      <c r="AO7" s="4" t="s">
        <v>2754</v>
      </c>
    </row>
    <row r="8" spans="1:41" x14ac:dyDescent="0.15">
      <c r="A8" s="4" t="s">
        <v>2663</v>
      </c>
      <c r="C8" s="4" t="s">
        <v>2970</v>
      </c>
      <c r="D8" s="4">
        <v>1102</v>
      </c>
      <c r="G8" s="4" t="s">
        <v>3722</v>
      </c>
      <c r="H8" s="4">
        <v>3</v>
      </c>
      <c r="I8" s="4">
        <v>5</v>
      </c>
      <c r="J8" s="4">
        <v>3</v>
      </c>
      <c r="K8" s="4">
        <v>2</v>
      </c>
      <c r="L8" s="4">
        <v>3</v>
      </c>
      <c r="M8" s="4">
        <v>1</v>
      </c>
      <c r="N8" s="4">
        <v>0</v>
      </c>
      <c r="O8" s="4">
        <v>0</v>
      </c>
      <c r="P8" s="4">
        <v>0</v>
      </c>
      <c r="Q8" s="4">
        <v>5</v>
      </c>
      <c r="R8" s="29" t="b">
        <v>0</v>
      </c>
      <c r="S8" s="31">
        <v>0</v>
      </c>
      <c r="T8" s="35" t="s">
        <v>3260</v>
      </c>
      <c r="U8" s="36" t="s">
        <v>3261</v>
      </c>
      <c r="V8" s="31">
        <v>2</v>
      </c>
      <c r="W8" s="30">
        <v>0.8</v>
      </c>
      <c r="X8" s="31">
        <v>0</v>
      </c>
      <c r="Y8" s="31">
        <v>0</v>
      </c>
      <c r="Z8" s="31">
        <v>0</v>
      </c>
      <c r="AA8" s="30">
        <v>0</v>
      </c>
      <c r="AB8" s="4">
        <v>60</v>
      </c>
      <c r="AC8" s="4">
        <v>0</v>
      </c>
      <c r="AD8" s="4">
        <v>0.8</v>
      </c>
      <c r="AE8" s="33">
        <v>0.5</v>
      </c>
      <c r="AF8" s="4">
        <v>13</v>
      </c>
      <c r="AG8" s="4">
        <v>0</v>
      </c>
      <c r="AH8" s="29">
        <v>0</v>
      </c>
      <c r="AI8" s="30">
        <v>0</v>
      </c>
      <c r="AJ8" s="29">
        <v>0</v>
      </c>
      <c r="AK8" s="30">
        <v>0</v>
      </c>
      <c r="AL8" s="29">
        <v>0</v>
      </c>
      <c r="AM8" s="4" t="s">
        <v>9976</v>
      </c>
      <c r="AN8" s="4">
        <v>2</v>
      </c>
      <c r="AO8" s="4" t="s">
        <v>2791</v>
      </c>
    </row>
    <row r="9" spans="1:41" x14ac:dyDescent="0.15">
      <c r="A9" s="4" t="s">
        <v>2663</v>
      </c>
      <c r="C9" s="4" t="s">
        <v>2925</v>
      </c>
      <c r="D9" s="4">
        <v>1103</v>
      </c>
      <c r="H9" s="4">
        <v>6</v>
      </c>
      <c r="I9" s="4">
        <v>40</v>
      </c>
      <c r="J9" s="4">
        <v>1</v>
      </c>
      <c r="K9" s="4">
        <v>0</v>
      </c>
      <c r="L9" s="4">
        <v>3</v>
      </c>
      <c r="M9" s="4">
        <v>1</v>
      </c>
      <c r="N9" s="4">
        <v>0</v>
      </c>
      <c r="O9" s="4">
        <v>0</v>
      </c>
      <c r="P9" s="4">
        <v>0</v>
      </c>
      <c r="Q9" s="4">
        <v>0</v>
      </c>
      <c r="R9" s="29" t="b">
        <v>0</v>
      </c>
      <c r="S9" s="31">
        <v>0</v>
      </c>
      <c r="T9" s="35" t="s">
        <v>3260</v>
      </c>
      <c r="U9" s="36" t="s">
        <v>3261</v>
      </c>
      <c r="V9" s="31">
        <v>1</v>
      </c>
      <c r="W9" s="30">
        <v>0.8</v>
      </c>
      <c r="X9" s="31">
        <v>0</v>
      </c>
      <c r="Y9" s="31">
        <v>0</v>
      </c>
      <c r="Z9" s="31">
        <v>0</v>
      </c>
      <c r="AA9" s="30">
        <v>0</v>
      </c>
      <c r="AB9" s="4">
        <v>180</v>
      </c>
      <c r="AC9" s="4">
        <v>0</v>
      </c>
      <c r="AD9" s="4">
        <v>0.8</v>
      </c>
      <c r="AE9" s="33">
        <v>0.8</v>
      </c>
      <c r="AF9" s="4">
        <v>0</v>
      </c>
      <c r="AG9" s="4">
        <v>0</v>
      </c>
      <c r="AH9" s="29">
        <v>0</v>
      </c>
      <c r="AI9" s="30">
        <v>0</v>
      </c>
      <c r="AJ9" s="29">
        <v>0</v>
      </c>
      <c r="AK9" s="30">
        <v>0</v>
      </c>
      <c r="AL9" s="29">
        <v>0</v>
      </c>
      <c r="AM9" s="4" t="s">
        <v>9982</v>
      </c>
      <c r="AN9" s="4">
        <v>99</v>
      </c>
    </row>
    <row r="10" spans="1:41" x14ac:dyDescent="0.15">
      <c r="A10" s="4" t="s">
        <v>2663</v>
      </c>
      <c r="C10" s="4" t="s">
        <v>2926</v>
      </c>
      <c r="D10" s="4">
        <v>1104</v>
      </c>
      <c r="G10" s="4" t="s">
        <v>3723</v>
      </c>
      <c r="H10" s="4">
        <v>4</v>
      </c>
      <c r="I10" s="4">
        <v>1</v>
      </c>
      <c r="J10" s="4">
        <v>1</v>
      </c>
      <c r="K10" s="4">
        <v>1</v>
      </c>
      <c r="L10" s="4">
        <v>3</v>
      </c>
      <c r="M10" s="4">
        <v>1</v>
      </c>
      <c r="N10" s="4">
        <v>0</v>
      </c>
      <c r="O10" s="4">
        <v>0</v>
      </c>
      <c r="P10" s="4">
        <v>0</v>
      </c>
      <c r="Q10" s="4">
        <v>0</v>
      </c>
      <c r="R10" s="29" t="b">
        <v>0</v>
      </c>
      <c r="S10" s="31">
        <v>0</v>
      </c>
      <c r="T10" s="35" t="s">
        <v>3260</v>
      </c>
      <c r="U10" s="36" t="s">
        <v>3261</v>
      </c>
      <c r="V10" s="31">
        <v>0</v>
      </c>
      <c r="W10" s="30">
        <v>0</v>
      </c>
      <c r="X10" s="31">
        <v>0</v>
      </c>
      <c r="Y10" s="31">
        <v>0</v>
      </c>
      <c r="Z10" s="31">
        <v>0</v>
      </c>
      <c r="AA10" s="30">
        <v>0</v>
      </c>
      <c r="AB10" s="4">
        <v>90</v>
      </c>
      <c r="AC10" s="4">
        <v>0</v>
      </c>
      <c r="AD10" s="4">
        <v>1.2</v>
      </c>
      <c r="AE10" s="33" t="s">
        <v>2873</v>
      </c>
      <c r="AF10" s="4">
        <v>14</v>
      </c>
      <c r="AG10" s="4">
        <v>0</v>
      </c>
      <c r="AH10" s="29">
        <v>0</v>
      </c>
      <c r="AI10" s="30">
        <v>0</v>
      </c>
      <c r="AJ10" s="29">
        <v>0</v>
      </c>
      <c r="AK10" s="30">
        <v>0</v>
      </c>
      <c r="AL10" s="29">
        <v>0</v>
      </c>
      <c r="AM10" s="4" t="s">
        <v>9984</v>
      </c>
      <c r="AN10" s="4">
        <v>4</v>
      </c>
      <c r="AO10" s="4" t="s">
        <v>2823</v>
      </c>
    </row>
    <row r="11" spans="1:41" x14ac:dyDescent="0.15">
      <c r="A11" s="4" t="s">
        <v>2663</v>
      </c>
      <c r="C11" s="4" t="s">
        <v>2927</v>
      </c>
      <c r="D11" s="4">
        <v>1105</v>
      </c>
      <c r="H11" s="4">
        <v>1</v>
      </c>
      <c r="I11" s="4">
        <v>0.8</v>
      </c>
      <c r="J11" s="4">
        <v>1</v>
      </c>
      <c r="K11" s="4">
        <v>1</v>
      </c>
      <c r="L11" s="4">
        <v>3</v>
      </c>
      <c r="M11" s="4">
        <v>1</v>
      </c>
      <c r="N11" s="4">
        <v>0</v>
      </c>
      <c r="O11" s="4">
        <v>0</v>
      </c>
      <c r="P11" s="4">
        <v>0</v>
      </c>
      <c r="Q11" s="4">
        <v>3</v>
      </c>
      <c r="R11" s="29" t="b">
        <v>0</v>
      </c>
      <c r="S11" s="31">
        <v>0</v>
      </c>
      <c r="T11" s="35" t="s">
        <v>3260</v>
      </c>
      <c r="U11" s="36" t="s">
        <v>3261</v>
      </c>
      <c r="V11" s="31">
        <v>0</v>
      </c>
      <c r="W11" s="30">
        <v>0</v>
      </c>
      <c r="X11" s="31">
        <v>0</v>
      </c>
      <c r="Y11" s="31">
        <v>0</v>
      </c>
      <c r="Z11" s="31">
        <v>0</v>
      </c>
      <c r="AA11" s="30">
        <v>0</v>
      </c>
      <c r="AB11" s="4">
        <v>20</v>
      </c>
      <c r="AC11" s="4">
        <v>0</v>
      </c>
      <c r="AD11" s="4">
        <v>0.8</v>
      </c>
      <c r="AE11" s="33" t="s">
        <v>3591</v>
      </c>
      <c r="AF11" s="4">
        <v>11</v>
      </c>
      <c r="AG11" s="4">
        <v>0</v>
      </c>
      <c r="AH11" s="29">
        <v>0</v>
      </c>
      <c r="AI11" s="30">
        <v>0</v>
      </c>
      <c r="AJ11" s="29">
        <v>0</v>
      </c>
      <c r="AK11" s="30">
        <v>0</v>
      </c>
      <c r="AL11" s="29">
        <v>0</v>
      </c>
      <c r="AM11" s="4" t="s">
        <v>9980</v>
      </c>
      <c r="AN11" s="4">
        <v>1</v>
      </c>
      <c r="AO11" s="4" t="s">
        <v>2755</v>
      </c>
    </row>
    <row r="12" spans="1:41" x14ac:dyDescent="0.15">
      <c r="A12" s="4" t="s">
        <v>2663</v>
      </c>
      <c r="C12" s="4" t="s">
        <v>2928</v>
      </c>
      <c r="D12" s="4">
        <v>1106</v>
      </c>
      <c r="H12" s="4">
        <v>10</v>
      </c>
      <c r="I12" s="4">
        <v>0.8</v>
      </c>
      <c r="J12" s="4">
        <v>1</v>
      </c>
      <c r="K12" s="4">
        <v>1.5</v>
      </c>
      <c r="L12" s="4">
        <v>3</v>
      </c>
      <c r="M12" s="4">
        <v>1</v>
      </c>
      <c r="N12" s="4">
        <v>0</v>
      </c>
      <c r="O12" s="4">
        <v>0</v>
      </c>
      <c r="P12" s="4">
        <v>0</v>
      </c>
      <c r="Q12" s="4">
        <v>31</v>
      </c>
      <c r="R12" s="29" t="b">
        <v>0</v>
      </c>
      <c r="S12" s="31">
        <v>0</v>
      </c>
      <c r="T12" s="35" t="s">
        <v>3260</v>
      </c>
      <c r="U12" s="36" t="s">
        <v>3261</v>
      </c>
      <c r="V12" s="31">
        <v>0</v>
      </c>
      <c r="W12" s="30">
        <v>0</v>
      </c>
      <c r="X12" s="31">
        <v>0</v>
      </c>
      <c r="Y12" s="31">
        <v>0</v>
      </c>
      <c r="Z12" s="31">
        <v>0</v>
      </c>
      <c r="AA12" s="30">
        <v>0</v>
      </c>
      <c r="AB12" s="4">
        <v>50</v>
      </c>
      <c r="AC12" s="4">
        <v>0</v>
      </c>
      <c r="AD12" s="4">
        <v>0.8</v>
      </c>
      <c r="AE12" s="33" t="s">
        <v>3596</v>
      </c>
      <c r="AF12" s="4">
        <v>12</v>
      </c>
      <c r="AG12" s="4">
        <v>0</v>
      </c>
      <c r="AH12" s="29">
        <v>0</v>
      </c>
      <c r="AI12" s="30">
        <v>0</v>
      </c>
      <c r="AJ12" s="29">
        <v>0</v>
      </c>
      <c r="AK12" s="30">
        <v>0</v>
      </c>
      <c r="AL12" s="29">
        <v>0</v>
      </c>
      <c r="AN12" s="4">
        <v>3</v>
      </c>
      <c r="AO12" s="4" t="s">
        <v>2755</v>
      </c>
    </row>
    <row r="13" spans="1:41" x14ac:dyDescent="0.15">
      <c r="A13" s="4" t="s">
        <v>2663</v>
      </c>
      <c r="C13" s="4" t="s">
        <v>2929</v>
      </c>
      <c r="D13" s="4">
        <v>1107</v>
      </c>
      <c r="H13" s="4">
        <v>1</v>
      </c>
      <c r="I13" s="4">
        <v>0.8</v>
      </c>
      <c r="J13" s="4">
        <v>1</v>
      </c>
      <c r="K13" s="4">
        <v>1</v>
      </c>
      <c r="L13" s="4">
        <v>3</v>
      </c>
      <c r="M13" s="4">
        <v>1</v>
      </c>
      <c r="N13" s="4">
        <v>0</v>
      </c>
      <c r="O13" s="4">
        <v>0</v>
      </c>
      <c r="P13" s="4">
        <v>0</v>
      </c>
      <c r="Q13" s="4">
        <v>3</v>
      </c>
      <c r="R13" s="29" t="b">
        <v>0</v>
      </c>
      <c r="S13" s="31">
        <v>0</v>
      </c>
      <c r="T13" s="35" t="s">
        <v>3260</v>
      </c>
      <c r="U13" s="36" t="s">
        <v>3261</v>
      </c>
      <c r="V13" s="31">
        <v>0</v>
      </c>
      <c r="W13" s="30">
        <v>0</v>
      </c>
      <c r="X13" s="31">
        <v>0</v>
      </c>
      <c r="Y13" s="31">
        <v>0</v>
      </c>
      <c r="Z13" s="31">
        <v>0</v>
      </c>
      <c r="AA13" s="30">
        <v>0</v>
      </c>
      <c r="AB13" s="4">
        <v>20</v>
      </c>
      <c r="AC13" s="4">
        <v>0</v>
      </c>
      <c r="AD13" s="4">
        <v>0.8</v>
      </c>
      <c r="AE13" s="33" t="s">
        <v>3594</v>
      </c>
      <c r="AF13" s="4">
        <v>11</v>
      </c>
      <c r="AG13" s="4">
        <v>0</v>
      </c>
      <c r="AH13" s="29">
        <v>0</v>
      </c>
      <c r="AI13" s="30">
        <v>0</v>
      </c>
      <c r="AJ13" s="29">
        <v>0</v>
      </c>
      <c r="AK13" s="30">
        <v>0</v>
      </c>
      <c r="AL13" s="29">
        <v>0</v>
      </c>
      <c r="AM13" s="4" t="s">
        <v>9980</v>
      </c>
      <c r="AN13" s="4">
        <v>1</v>
      </c>
      <c r="AO13" s="4" t="s">
        <v>2755</v>
      </c>
    </row>
    <row r="14" spans="1:41" x14ac:dyDescent="0.15">
      <c r="A14" s="4" t="s">
        <v>2663</v>
      </c>
      <c r="C14" s="4" t="s">
        <v>2930</v>
      </c>
      <c r="D14" s="4">
        <v>1108</v>
      </c>
      <c r="H14" s="4">
        <v>10</v>
      </c>
      <c r="I14" s="4">
        <v>0.8</v>
      </c>
      <c r="J14" s="4">
        <v>1</v>
      </c>
      <c r="K14" s="4">
        <v>1.5</v>
      </c>
      <c r="L14" s="4">
        <v>3</v>
      </c>
      <c r="M14" s="4">
        <v>1</v>
      </c>
      <c r="N14" s="4">
        <v>0</v>
      </c>
      <c r="O14" s="4">
        <v>0</v>
      </c>
      <c r="P14" s="4">
        <v>0</v>
      </c>
      <c r="Q14" s="4">
        <v>31</v>
      </c>
      <c r="R14" s="29" t="b">
        <v>0</v>
      </c>
      <c r="S14" s="31">
        <v>0</v>
      </c>
      <c r="T14" s="35" t="s">
        <v>3260</v>
      </c>
      <c r="U14" s="36" t="s">
        <v>3261</v>
      </c>
      <c r="V14" s="31">
        <v>0</v>
      </c>
      <c r="W14" s="30">
        <v>0</v>
      </c>
      <c r="X14" s="31">
        <v>0</v>
      </c>
      <c r="Y14" s="31">
        <v>0</v>
      </c>
      <c r="Z14" s="31">
        <v>0</v>
      </c>
      <c r="AA14" s="30">
        <v>0</v>
      </c>
      <c r="AB14" s="4">
        <v>50</v>
      </c>
      <c r="AC14" s="4">
        <v>0</v>
      </c>
      <c r="AD14" s="4">
        <v>0.8</v>
      </c>
      <c r="AE14" s="33" t="s">
        <v>3595</v>
      </c>
      <c r="AF14" s="4">
        <v>12</v>
      </c>
      <c r="AG14" s="4">
        <v>0</v>
      </c>
      <c r="AH14" s="29">
        <v>0</v>
      </c>
      <c r="AI14" s="30">
        <v>0</v>
      </c>
      <c r="AJ14" s="29">
        <v>0</v>
      </c>
      <c r="AK14" s="30">
        <v>0</v>
      </c>
      <c r="AL14" s="29">
        <v>0</v>
      </c>
      <c r="AN14" s="4">
        <v>3</v>
      </c>
      <c r="AO14" s="4" t="s">
        <v>2755</v>
      </c>
    </row>
    <row r="15" spans="1:41" x14ac:dyDescent="0.15">
      <c r="A15" s="4" t="s">
        <v>2663</v>
      </c>
      <c r="C15" s="4" t="s">
        <v>2931</v>
      </c>
      <c r="D15" s="4">
        <v>1109</v>
      </c>
      <c r="H15" s="4">
        <v>1</v>
      </c>
      <c r="I15" s="4">
        <v>0.8</v>
      </c>
      <c r="J15" s="4">
        <v>1</v>
      </c>
      <c r="K15" s="4">
        <v>1</v>
      </c>
      <c r="L15" s="4">
        <v>3</v>
      </c>
      <c r="M15" s="4">
        <v>1</v>
      </c>
      <c r="N15" s="4">
        <v>0</v>
      </c>
      <c r="O15" s="4">
        <v>0</v>
      </c>
      <c r="P15" s="4">
        <v>0</v>
      </c>
      <c r="Q15" s="4">
        <v>3</v>
      </c>
      <c r="R15" s="29" t="b">
        <v>0</v>
      </c>
      <c r="S15" s="31">
        <v>0</v>
      </c>
      <c r="T15" s="35" t="s">
        <v>3260</v>
      </c>
      <c r="U15" s="36" t="s">
        <v>3261</v>
      </c>
      <c r="V15" s="31">
        <v>0</v>
      </c>
      <c r="W15" s="30">
        <v>0</v>
      </c>
      <c r="X15" s="31">
        <v>0</v>
      </c>
      <c r="Y15" s="31">
        <v>0</v>
      </c>
      <c r="Z15" s="31">
        <v>0</v>
      </c>
      <c r="AA15" s="30">
        <v>0</v>
      </c>
      <c r="AB15" s="4">
        <v>20</v>
      </c>
      <c r="AC15" s="4">
        <v>0</v>
      </c>
      <c r="AD15" s="4">
        <v>0.8</v>
      </c>
      <c r="AE15" s="33" t="s">
        <v>3592</v>
      </c>
      <c r="AF15" s="4">
        <v>11</v>
      </c>
      <c r="AG15" s="4">
        <v>0</v>
      </c>
      <c r="AH15" s="29">
        <v>0</v>
      </c>
      <c r="AI15" s="30">
        <v>0</v>
      </c>
      <c r="AJ15" s="29">
        <v>0</v>
      </c>
      <c r="AK15" s="30">
        <v>0</v>
      </c>
      <c r="AL15" s="29">
        <v>0</v>
      </c>
      <c r="AM15" s="4" t="s">
        <v>9980</v>
      </c>
      <c r="AN15" s="4">
        <v>1</v>
      </c>
      <c r="AO15" s="4" t="s">
        <v>2755</v>
      </c>
    </row>
    <row r="16" spans="1:41" x14ac:dyDescent="0.15">
      <c r="A16" s="4" t="s">
        <v>2663</v>
      </c>
      <c r="C16" s="4" t="s">
        <v>2932</v>
      </c>
      <c r="D16" s="4">
        <v>1110</v>
      </c>
      <c r="H16" s="4">
        <v>10</v>
      </c>
      <c r="I16" s="4">
        <v>0.8</v>
      </c>
      <c r="J16" s="4">
        <v>1</v>
      </c>
      <c r="K16" s="4">
        <v>1.5</v>
      </c>
      <c r="L16" s="4">
        <v>3</v>
      </c>
      <c r="M16" s="4">
        <v>1</v>
      </c>
      <c r="N16" s="4">
        <v>0</v>
      </c>
      <c r="O16" s="4">
        <v>0</v>
      </c>
      <c r="P16" s="4">
        <v>0</v>
      </c>
      <c r="Q16" s="4">
        <v>31</v>
      </c>
      <c r="R16" s="29" t="b">
        <v>0</v>
      </c>
      <c r="S16" s="31">
        <v>0</v>
      </c>
      <c r="T16" s="35" t="s">
        <v>3260</v>
      </c>
      <c r="U16" s="36" t="s">
        <v>3261</v>
      </c>
      <c r="V16" s="31">
        <v>0</v>
      </c>
      <c r="W16" s="30">
        <v>0</v>
      </c>
      <c r="X16" s="31">
        <v>0</v>
      </c>
      <c r="Y16" s="31">
        <v>0</v>
      </c>
      <c r="Z16" s="31">
        <v>0</v>
      </c>
      <c r="AA16" s="30">
        <v>0</v>
      </c>
      <c r="AB16" s="4">
        <v>50</v>
      </c>
      <c r="AC16" s="4">
        <v>0</v>
      </c>
      <c r="AD16" s="4">
        <v>0.8</v>
      </c>
      <c r="AE16" s="33" t="s">
        <v>3597</v>
      </c>
      <c r="AF16" s="4">
        <v>12</v>
      </c>
      <c r="AG16" s="4">
        <v>0</v>
      </c>
      <c r="AH16" s="29">
        <v>0</v>
      </c>
      <c r="AI16" s="30">
        <v>0</v>
      </c>
      <c r="AJ16" s="29">
        <v>0</v>
      </c>
      <c r="AK16" s="30">
        <v>0</v>
      </c>
      <c r="AL16" s="29">
        <v>0</v>
      </c>
      <c r="AN16" s="4">
        <v>3</v>
      </c>
      <c r="AO16" s="4" t="s">
        <v>2755</v>
      </c>
    </row>
    <row r="18" spans="1:41" x14ac:dyDescent="0.15">
      <c r="A18" s="4" t="s">
        <v>2742</v>
      </c>
      <c r="B18" s="4">
        <v>2</v>
      </c>
      <c r="C18" s="4" t="s">
        <v>2923</v>
      </c>
      <c r="D18" s="4">
        <v>1201</v>
      </c>
      <c r="G18" s="4" t="s">
        <v>3745</v>
      </c>
      <c r="H18" s="4">
        <v>2</v>
      </c>
      <c r="I18" s="4">
        <v>3</v>
      </c>
      <c r="J18" s="4">
        <v>2</v>
      </c>
      <c r="K18" s="4">
        <v>0</v>
      </c>
      <c r="L18" s="4">
        <v>3</v>
      </c>
      <c r="M18" s="4">
        <v>1</v>
      </c>
      <c r="N18" s="4">
        <v>0</v>
      </c>
      <c r="O18" s="4">
        <v>0</v>
      </c>
      <c r="P18" s="4">
        <v>0</v>
      </c>
      <c r="Q18" s="4">
        <v>6</v>
      </c>
      <c r="R18" s="29" t="b">
        <v>0</v>
      </c>
      <c r="S18" s="31">
        <v>0</v>
      </c>
      <c r="T18" s="35" t="s">
        <v>3260</v>
      </c>
      <c r="U18" s="36" t="s">
        <v>3261</v>
      </c>
      <c r="V18" s="31">
        <v>1</v>
      </c>
      <c r="W18" s="30">
        <v>0.8</v>
      </c>
      <c r="X18" s="31">
        <v>0</v>
      </c>
      <c r="Y18" s="31">
        <v>0</v>
      </c>
      <c r="Z18" s="31">
        <v>0</v>
      </c>
      <c r="AA18" s="30">
        <v>0</v>
      </c>
      <c r="AB18" s="4">
        <v>300</v>
      </c>
      <c r="AC18" s="4">
        <v>0</v>
      </c>
      <c r="AD18" s="4">
        <v>0.8</v>
      </c>
      <c r="AE18" s="33">
        <v>0</v>
      </c>
      <c r="AF18" s="4">
        <v>0</v>
      </c>
      <c r="AG18" s="4">
        <v>0</v>
      </c>
      <c r="AH18" s="29">
        <v>1</v>
      </c>
      <c r="AI18" s="30">
        <v>0.8</v>
      </c>
      <c r="AJ18" s="29">
        <v>0</v>
      </c>
      <c r="AK18" s="30">
        <v>0</v>
      </c>
      <c r="AL18" s="29">
        <v>0</v>
      </c>
      <c r="AN18" s="4">
        <v>0</v>
      </c>
      <c r="AO18" s="4" t="s">
        <v>2754</v>
      </c>
    </row>
    <row r="19" spans="1:41" x14ac:dyDescent="0.15">
      <c r="A19" s="4" t="s">
        <v>2742</v>
      </c>
      <c r="C19" s="4" t="s">
        <v>2924</v>
      </c>
      <c r="D19" s="4">
        <v>1202</v>
      </c>
      <c r="G19" s="4" t="s">
        <v>3724</v>
      </c>
      <c r="H19" s="4">
        <v>3</v>
      </c>
      <c r="I19" s="4">
        <v>20</v>
      </c>
      <c r="J19" s="4">
        <v>2</v>
      </c>
      <c r="K19" s="4">
        <v>2</v>
      </c>
      <c r="L19" s="4">
        <v>3</v>
      </c>
      <c r="M19" s="4">
        <v>1</v>
      </c>
      <c r="N19" s="4">
        <v>0</v>
      </c>
      <c r="O19" s="4">
        <v>0</v>
      </c>
      <c r="P19" s="4">
        <v>0</v>
      </c>
      <c r="Q19" s="4">
        <v>5</v>
      </c>
      <c r="R19" s="29" t="b">
        <v>0</v>
      </c>
      <c r="S19" s="31">
        <v>0</v>
      </c>
      <c r="T19" s="35" t="s">
        <v>3260</v>
      </c>
      <c r="U19" s="36" t="s">
        <v>3261</v>
      </c>
      <c r="V19" s="31">
        <v>2</v>
      </c>
      <c r="W19" s="30">
        <v>0.8</v>
      </c>
      <c r="X19" s="31">
        <v>0</v>
      </c>
      <c r="Y19" s="31">
        <v>0</v>
      </c>
      <c r="Z19" s="31">
        <v>0</v>
      </c>
      <c r="AA19" s="30">
        <v>0</v>
      </c>
      <c r="AB19" s="4">
        <v>0</v>
      </c>
      <c r="AC19" s="4">
        <v>0</v>
      </c>
      <c r="AD19" s="4">
        <v>0.8</v>
      </c>
      <c r="AE19" s="33">
        <v>0</v>
      </c>
      <c r="AF19" s="4">
        <v>24</v>
      </c>
      <c r="AG19" s="4">
        <v>0</v>
      </c>
      <c r="AH19" s="29">
        <v>0</v>
      </c>
      <c r="AI19" s="30">
        <v>0</v>
      </c>
      <c r="AJ19" s="29">
        <v>0</v>
      </c>
      <c r="AK19" s="30">
        <v>0</v>
      </c>
      <c r="AL19" s="29">
        <v>0</v>
      </c>
      <c r="AM19" s="4" t="s">
        <v>9975</v>
      </c>
      <c r="AN19" s="4">
        <v>12</v>
      </c>
      <c r="AO19" s="4" t="s">
        <v>3208</v>
      </c>
    </row>
    <row r="20" spans="1:41" x14ac:dyDescent="0.15">
      <c r="A20" s="4" t="s">
        <v>2826</v>
      </c>
      <c r="C20" s="4" t="s">
        <v>2925</v>
      </c>
      <c r="D20" s="4">
        <v>1203</v>
      </c>
      <c r="H20" s="4">
        <v>6</v>
      </c>
      <c r="I20" s="4">
        <v>40</v>
      </c>
      <c r="J20" s="4">
        <v>1</v>
      </c>
      <c r="K20" s="4">
        <v>0</v>
      </c>
      <c r="L20" s="4">
        <v>3</v>
      </c>
      <c r="M20" s="4">
        <v>1</v>
      </c>
      <c r="N20" s="4">
        <v>0</v>
      </c>
      <c r="O20" s="4">
        <v>0</v>
      </c>
      <c r="P20" s="4">
        <v>0</v>
      </c>
      <c r="Q20" s="4">
        <v>0</v>
      </c>
      <c r="R20" s="29" t="b">
        <v>0</v>
      </c>
      <c r="S20" s="31">
        <v>0</v>
      </c>
      <c r="T20" s="35" t="s">
        <v>3260</v>
      </c>
      <c r="U20" s="36" t="s">
        <v>3261</v>
      </c>
      <c r="V20" s="31">
        <v>1</v>
      </c>
      <c r="W20" s="30">
        <v>0.8</v>
      </c>
      <c r="X20" s="31">
        <v>0</v>
      </c>
      <c r="Y20" s="31">
        <v>0</v>
      </c>
      <c r="Z20" s="31">
        <v>0</v>
      </c>
      <c r="AA20" s="30">
        <v>0</v>
      </c>
      <c r="AB20" s="4">
        <v>830</v>
      </c>
      <c r="AC20" s="4">
        <v>0</v>
      </c>
      <c r="AD20" s="4">
        <v>0.8</v>
      </c>
      <c r="AE20" s="33">
        <v>0.8</v>
      </c>
      <c r="AF20" s="4">
        <v>0</v>
      </c>
      <c r="AG20" s="4">
        <v>0</v>
      </c>
      <c r="AH20" s="29">
        <v>0</v>
      </c>
      <c r="AI20" s="30">
        <v>0</v>
      </c>
      <c r="AJ20" s="29">
        <v>0</v>
      </c>
      <c r="AK20" s="30">
        <v>0</v>
      </c>
      <c r="AL20" s="29">
        <v>0</v>
      </c>
      <c r="AM20" s="4" t="s">
        <v>9979</v>
      </c>
      <c r="AN20" s="4">
        <v>99</v>
      </c>
    </row>
    <row r="21" spans="1:41" x14ac:dyDescent="0.15">
      <c r="A21" s="4" t="s">
        <v>2663</v>
      </c>
      <c r="C21" s="4" t="s">
        <v>2926</v>
      </c>
      <c r="D21" s="4">
        <v>1204</v>
      </c>
      <c r="G21" s="4" t="s">
        <v>3725</v>
      </c>
      <c r="H21" s="4">
        <v>4</v>
      </c>
      <c r="I21" s="4">
        <v>1</v>
      </c>
      <c r="J21" s="4">
        <v>1</v>
      </c>
      <c r="K21" s="4">
        <v>1</v>
      </c>
      <c r="L21" s="4">
        <v>3</v>
      </c>
      <c r="M21" s="4">
        <v>1</v>
      </c>
      <c r="N21" s="4">
        <v>0</v>
      </c>
      <c r="O21" s="4">
        <v>450</v>
      </c>
      <c r="P21" s="4">
        <v>0</v>
      </c>
      <c r="Q21" s="4">
        <v>0</v>
      </c>
      <c r="R21" s="29" t="b">
        <v>0</v>
      </c>
      <c r="S21" s="31">
        <v>0</v>
      </c>
      <c r="T21" s="35" t="s">
        <v>3260</v>
      </c>
      <c r="U21" s="36" t="s">
        <v>3261</v>
      </c>
      <c r="V21" s="31">
        <v>0</v>
      </c>
      <c r="W21" s="30">
        <v>0</v>
      </c>
      <c r="X21" s="31">
        <v>0</v>
      </c>
      <c r="Y21" s="31">
        <v>0</v>
      </c>
      <c r="Z21" s="31">
        <v>0</v>
      </c>
      <c r="AA21" s="30">
        <v>0</v>
      </c>
      <c r="AB21" s="4">
        <v>460</v>
      </c>
      <c r="AC21" s="4">
        <v>0</v>
      </c>
      <c r="AD21" s="4">
        <v>2</v>
      </c>
      <c r="AE21" s="33" t="s">
        <v>3140</v>
      </c>
      <c r="AF21" s="4">
        <v>27</v>
      </c>
      <c r="AG21" s="4">
        <v>0</v>
      </c>
      <c r="AH21" s="29">
        <v>0</v>
      </c>
      <c r="AI21" s="30">
        <v>0</v>
      </c>
      <c r="AJ21" s="29">
        <v>0</v>
      </c>
      <c r="AK21" s="30">
        <v>0</v>
      </c>
      <c r="AL21" s="29">
        <v>0</v>
      </c>
      <c r="AM21" s="4" t="s">
        <v>9983</v>
      </c>
      <c r="AN21" s="4">
        <v>10</v>
      </c>
      <c r="AO21" s="4" t="s">
        <v>2823</v>
      </c>
    </row>
    <row r="22" spans="1:41" x14ac:dyDescent="0.15">
      <c r="A22" s="4" t="s">
        <v>2742</v>
      </c>
      <c r="C22" s="4" t="s">
        <v>2927</v>
      </c>
      <c r="D22" s="4">
        <v>1205</v>
      </c>
      <c r="H22" s="4">
        <v>1</v>
      </c>
      <c r="I22" s="4">
        <v>0.8</v>
      </c>
      <c r="J22" s="4">
        <v>1</v>
      </c>
      <c r="K22" s="4">
        <v>1</v>
      </c>
      <c r="L22" s="4">
        <v>3</v>
      </c>
      <c r="M22" s="4">
        <v>1</v>
      </c>
      <c r="N22" s="4">
        <v>0</v>
      </c>
      <c r="O22" s="4">
        <v>0</v>
      </c>
      <c r="P22" s="4">
        <v>0</v>
      </c>
      <c r="Q22" s="4">
        <v>3</v>
      </c>
      <c r="R22" s="29" t="b">
        <v>0</v>
      </c>
      <c r="S22" s="31">
        <v>0</v>
      </c>
      <c r="T22" s="35" t="s">
        <v>3260</v>
      </c>
      <c r="U22" s="36" t="s">
        <v>3261</v>
      </c>
      <c r="V22" s="31">
        <v>0</v>
      </c>
      <c r="W22" s="30">
        <v>0</v>
      </c>
      <c r="X22" s="31">
        <v>0</v>
      </c>
      <c r="Y22" s="31">
        <v>0</v>
      </c>
      <c r="Z22" s="31">
        <v>0</v>
      </c>
      <c r="AA22" s="30">
        <v>0</v>
      </c>
      <c r="AB22" s="4">
        <v>200</v>
      </c>
      <c r="AC22" s="4">
        <v>0.2</v>
      </c>
      <c r="AD22" s="4">
        <v>0.8</v>
      </c>
      <c r="AE22" s="33" t="s">
        <v>2907</v>
      </c>
      <c r="AF22" s="4">
        <v>21</v>
      </c>
      <c r="AG22" s="4">
        <v>0</v>
      </c>
      <c r="AH22" s="29">
        <v>0</v>
      </c>
      <c r="AI22" s="30">
        <v>0</v>
      </c>
      <c r="AJ22" s="29">
        <v>0</v>
      </c>
      <c r="AK22" s="30">
        <v>0</v>
      </c>
      <c r="AL22" s="29">
        <v>0</v>
      </c>
      <c r="AM22" s="4" t="s">
        <v>9800</v>
      </c>
      <c r="AN22" s="4">
        <v>1</v>
      </c>
      <c r="AO22" s="4" t="s">
        <v>2755</v>
      </c>
    </row>
    <row r="23" spans="1:41" x14ac:dyDescent="0.15">
      <c r="A23" s="4" t="s">
        <v>2663</v>
      </c>
      <c r="C23" s="4" t="s">
        <v>2928</v>
      </c>
      <c r="D23" s="4">
        <v>1206</v>
      </c>
      <c r="H23" s="4">
        <v>10</v>
      </c>
      <c r="I23" s="4">
        <v>0.8</v>
      </c>
      <c r="J23" s="4">
        <v>1</v>
      </c>
      <c r="K23" s="4">
        <v>1.2</v>
      </c>
      <c r="L23" s="4">
        <v>3</v>
      </c>
      <c r="M23" s="4">
        <v>1</v>
      </c>
      <c r="N23" s="4">
        <v>0</v>
      </c>
      <c r="O23" s="4">
        <v>310</v>
      </c>
      <c r="P23" s="4">
        <v>0</v>
      </c>
      <c r="Q23" s="4">
        <v>31</v>
      </c>
      <c r="R23" s="29" t="b">
        <v>0</v>
      </c>
      <c r="S23" s="31">
        <v>0</v>
      </c>
      <c r="T23" s="35" t="s">
        <v>3260</v>
      </c>
      <c r="U23" s="36" t="s">
        <v>3261</v>
      </c>
      <c r="V23" s="31">
        <v>0</v>
      </c>
      <c r="W23" s="30">
        <v>0</v>
      </c>
      <c r="X23" s="31">
        <v>0</v>
      </c>
      <c r="Y23" s="31">
        <v>0</v>
      </c>
      <c r="Z23" s="31">
        <v>0</v>
      </c>
      <c r="AA23" s="30">
        <v>0</v>
      </c>
      <c r="AB23" s="4">
        <v>210</v>
      </c>
      <c r="AC23" s="4">
        <v>0</v>
      </c>
      <c r="AD23" s="4">
        <v>0.8</v>
      </c>
      <c r="AE23" s="33" t="s">
        <v>2908</v>
      </c>
      <c r="AF23" s="4">
        <v>22</v>
      </c>
      <c r="AG23" s="4">
        <v>0</v>
      </c>
      <c r="AH23" s="29">
        <v>0</v>
      </c>
      <c r="AI23" s="30">
        <v>0</v>
      </c>
      <c r="AJ23" s="29">
        <v>0</v>
      </c>
      <c r="AK23" s="30">
        <v>0</v>
      </c>
      <c r="AL23" s="29">
        <v>0</v>
      </c>
      <c r="AM23" s="4" t="s">
        <v>9801</v>
      </c>
      <c r="AN23" s="4">
        <v>1</v>
      </c>
      <c r="AO23" s="4" t="s">
        <v>2755</v>
      </c>
    </row>
    <row r="24" spans="1:41" x14ac:dyDescent="0.15">
      <c r="A24" s="4" t="s">
        <v>2899</v>
      </c>
      <c r="C24" s="4" t="s">
        <v>2933</v>
      </c>
      <c r="D24" s="4">
        <v>1207</v>
      </c>
      <c r="H24" s="4">
        <v>11</v>
      </c>
      <c r="I24" s="4">
        <v>0.8</v>
      </c>
      <c r="J24" s="4">
        <v>1</v>
      </c>
      <c r="K24" s="4">
        <v>1.5</v>
      </c>
      <c r="L24" s="4">
        <v>3</v>
      </c>
      <c r="M24" s="4">
        <v>1</v>
      </c>
      <c r="N24" s="4">
        <v>0</v>
      </c>
      <c r="O24" s="4">
        <v>320</v>
      </c>
      <c r="P24" s="4">
        <v>0</v>
      </c>
      <c r="Q24" s="4">
        <v>33</v>
      </c>
      <c r="R24" s="29" t="b">
        <v>0</v>
      </c>
      <c r="S24" s="31">
        <v>0</v>
      </c>
      <c r="T24" s="35" t="s">
        <v>3260</v>
      </c>
      <c r="U24" s="36" t="s">
        <v>3261</v>
      </c>
      <c r="V24" s="31">
        <v>0</v>
      </c>
      <c r="W24" s="30">
        <v>0</v>
      </c>
      <c r="X24" s="31">
        <v>0</v>
      </c>
      <c r="Y24" s="31">
        <v>0</v>
      </c>
      <c r="Z24" s="31">
        <v>0</v>
      </c>
      <c r="AA24" s="30">
        <v>0</v>
      </c>
      <c r="AB24" s="4">
        <v>220</v>
      </c>
      <c r="AC24" s="4">
        <v>0</v>
      </c>
      <c r="AD24" s="4">
        <v>1.6</v>
      </c>
      <c r="AE24" s="33" t="s">
        <v>2909</v>
      </c>
      <c r="AF24" s="4">
        <v>23</v>
      </c>
      <c r="AG24" s="4">
        <v>0</v>
      </c>
      <c r="AH24" s="29">
        <v>0</v>
      </c>
      <c r="AI24" s="30">
        <v>0</v>
      </c>
      <c r="AJ24" s="29">
        <v>0</v>
      </c>
      <c r="AK24" s="30">
        <v>0</v>
      </c>
      <c r="AL24" s="29">
        <v>0</v>
      </c>
      <c r="AM24" s="4" t="s">
        <v>9802</v>
      </c>
      <c r="AN24" s="4">
        <v>1</v>
      </c>
    </row>
    <row r="25" spans="1:41" x14ac:dyDescent="0.15">
      <c r="A25" s="4" t="s">
        <v>2742</v>
      </c>
      <c r="C25" s="4" t="s">
        <v>2929</v>
      </c>
      <c r="D25" s="4">
        <v>1208</v>
      </c>
      <c r="H25" s="4">
        <v>1</v>
      </c>
      <c r="I25" s="4">
        <v>0.8</v>
      </c>
      <c r="J25" s="4">
        <v>1</v>
      </c>
      <c r="K25" s="4">
        <v>1</v>
      </c>
      <c r="L25" s="4">
        <v>3</v>
      </c>
      <c r="M25" s="4">
        <v>1</v>
      </c>
      <c r="N25" s="4">
        <v>0</v>
      </c>
      <c r="O25" s="4">
        <v>0</v>
      </c>
      <c r="P25" s="4">
        <v>0</v>
      </c>
      <c r="Q25" s="4">
        <v>3</v>
      </c>
      <c r="R25" s="29" t="b">
        <v>0</v>
      </c>
      <c r="S25" s="31">
        <v>0</v>
      </c>
      <c r="T25" s="35" t="s">
        <v>3260</v>
      </c>
      <c r="U25" s="36" t="s">
        <v>3261</v>
      </c>
      <c r="V25" s="31">
        <v>0</v>
      </c>
      <c r="W25" s="30">
        <v>0</v>
      </c>
      <c r="X25" s="31">
        <v>0</v>
      </c>
      <c r="Y25" s="31">
        <v>0</v>
      </c>
      <c r="Z25" s="31">
        <v>0</v>
      </c>
      <c r="AA25" s="30">
        <v>0</v>
      </c>
      <c r="AB25" s="4">
        <v>230</v>
      </c>
      <c r="AC25" s="4">
        <v>0.2</v>
      </c>
      <c r="AD25" s="4">
        <v>0.8</v>
      </c>
      <c r="AE25" s="33" t="s">
        <v>2907</v>
      </c>
      <c r="AF25" s="4">
        <v>21</v>
      </c>
      <c r="AG25" s="4">
        <v>0</v>
      </c>
      <c r="AH25" s="29">
        <v>0</v>
      </c>
      <c r="AI25" s="30">
        <v>0</v>
      </c>
      <c r="AJ25" s="29">
        <v>0</v>
      </c>
      <c r="AK25" s="30">
        <v>0</v>
      </c>
      <c r="AL25" s="29">
        <v>0</v>
      </c>
      <c r="AM25" s="4" t="s">
        <v>9800</v>
      </c>
      <c r="AN25" s="4">
        <v>1</v>
      </c>
      <c r="AO25" s="4" t="s">
        <v>2755</v>
      </c>
    </row>
    <row r="26" spans="1:41" x14ac:dyDescent="0.15">
      <c r="A26" s="4" t="s">
        <v>2663</v>
      </c>
      <c r="C26" s="4" t="s">
        <v>2930</v>
      </c>
      <c r="D26" s="4">
        <v>1209</v>
      </c>
      <c r="H26" s="4">
        <v>10</v>
      </c>
      <c r="I26" s="4">
        <v>0.8</v>
      </c>
      <c r="J26" s="4">
        <v>1</v>
      </c>
      <c r="K26" s="4">
        <v>1.2</v>
      </c>
      <c r="L26" s="4">
        <v>3</v>
      </c>
      <c r="M26" s="4">
        <v>1</v>
      </c>
      <c r="N26" s="4">
        <v>0</v>
      </c>
      <c r="O26" s="4">
        <v>310</v>
      </c>
      <c r="P26" s="4">
        <v>0</v>
      </c>
      <c r="Q26" s="4">
        <v>31</v>
      </c>
      <c r="R26" s="29" t="b">
        <v>0</v>
      </c>
      <c r="S26" s="31">
        <v>0</v>
      </c>
      <c r="T26" s="35" t="s">
        <v>3260</v>
      </c>
      <c r="U26" s="36" t="s">
        <v>3261</v>
      </c>
      <c r="V26" s="31">
        <v>0</v>
      </c>
      <c r="W26" s="30">
        <v>0</v>
      </c>
      <c r="X26" s="31">
        <v>0</v>
      </c>
      <c r="Y26" s="31">
        <v>0</v>
      </c>
      <c r="Z26" s="31">
        <v>0</v>
      </c>
      <c r="AA26" s="30">
        <v>0</v>
      </c>
      <c r="AB26" s="4">
        <v>240</v>
      </c>
      <c r="AC26" s="4">
        <v>0</v>
      </c>
      <c r="AD26" s="4">
        <v>0.8</v>
      </c>
      <c r="AE26" s="33" t="s">
        <v>2908</v>
      </c>
      <c r="AF26" s="4">
        <v>22</v>
      </c>
      <c r="AG26" s="4">
        <v>0</v>
      </c>
      <c r="AH26" s="29">
        <v>0</v>
      </c>
      <c r="AI26" s="30">
        <v>0</v>
      </c>
      <c r="AJ26" s="29">
        <v>0</v>
      </c>
      <c r="AK26" s="30">
        <v>0</v>
      </c>
      <c r="AL26" s="29">
        <v>0</v>
      </c>
      <c r="AM26" s="4" t="s">
        <v>9801</v>
      </c>
      <c r="AN26" s="4">
        <v>1</v>
      </c>
      <c r="AO26" s="4" t="s">
        <v>2755</v>
      </c>
    </row>
    <row r="27" spans="1:41" x14ac:dyDescent="0.15">
      <c r="A27" s="4" t="s">
        <v>2900</v>
      </c>
      <c r="C27" s="4" t="s">
        <v>2934</v>
      </c>
      <c r="D27" s="4">
        <v>1210</v>
      </c>
      <c r="H27" s="4">
        <v>11</v>
      </c>
      <c r="I27" s="4">
        <v>0.8</v>
      </c>
      <c r="J27" s="4">
        <v>1</v>
      </c>
      <c r="K27" s="4">
        <v>1.5</v>
      </c>
      <c r="L27" s="4">
        <v>3</v>
      </c>
      <c r="M27" s="4">
        <v>1</v>
      </c>
      <c r="N27" s="4">
        <v>0</v>
      </c>
      <c r="O27" s="4">
        <v>320</v>
      </c>
      <c r="P27" s="4">
        <v>0</v>
      </c>
      <c r="Q27" s="4">
        <v>33</v>
      </c>
      <c r="R27" s="29" t="b">
        <v>0</v>
      </c>
      <c r="S27" s="31">
        <v>0</v>
      </c>
      <c r="T27" s="35" t="s">
        <v>3260</v>
      </c>
      <c r="U27" s="36" t="s">
        <v>3261</v>
      </c>
      <c r="V27" s="31">
        <v>0</v>
      </c>
      <c r="W27" s="30">
        <v>0</v>
      </c>
      <c r="X27" s="31">
        <v>0</v>
      </c>
      <c r="Y27" s="31">
        <v>0</v>
      </c>
      <c r="Z27" s="31">
        <v>0</v>
      </c>
      <c r="AA27" s="30">
        <v>0</v>
      </c>
      <c r="AB27" s="4">
        <v>250</v>
      </c>
      <c r="AC27" s="4">
        <v>0</v>
      </c>
      <c r="AD27" s="4">
        <v>1.6</v>
      </c>
      <c r="AE27" s="33" t="s">
        <v>2909</v>
      </c>
      <c r="AF27" s="4">
        <v>23</v>
      </c>
      <c r="AG27" s="4">
        <v>0</v>
      </c>
      <c r="AH27" s="29">
        <v>0</v>
      </c>
      <c r="AI27" s="30">
        <v>0</v>
      </c>
      <c r="AJ27" s="29">
        <v>0</v>
      </c>
      <c r="AK27" s="30">
        <v>0</v>
      </c>
      <c r="AL27" s="29">
        <v>0</v>
      </c>
      <c r="AM27" s="4" t="s">
        <v>9802</v>
      </c>
      <c r="AN27" s="4">
        <v>1</v>
      </c>
    </row>
    <row r="28" spans="1:41" x14ac:dyDescent="0.15">
      <c r="A28" s="4" t="s">
        <v>2742</v>
      </c>
      <c r="C28" s="4" t="s">
        <v>2931</v>
      </c>
      <c r="D28" s="4">
        <v>1211</v>
      </c>
      <c r="H28" s="4">
        <v>1</v>
      </c>
      <c r="I28" s="4">
        <v>0.8</v>
      </c>
      <c r="J28" s="4">
        <v>1</v>
      </c>
      <c r="K28" s="4">
        <v>1</v>
      </c>
      <c r="L28" s="4">
        <v>3</v>
      </c>
      <c r="M28" s="4">
        <v>1</v>
      </c>
      <c r="N28" s="4">
        <v>0</v>
      </c>
      <c r="O28" s="4">
        <v>0</v>
      </c>
      <c r="P28" s="4">
        <v>0</v>
      </c>
      <c r="Q28" s="4">
        <v>3</v>
      </c>
      <c r="R28" s="29" t="b">
        <v>0</v>
      </c>
      <c r="S28" s="31">
        <v>0</v>
      </c>
      <c r="T28" s="35" t="s">
        <v>3260</v>
      </c>
      <c r="U28" s="36" t="s">
        <v>3261</v>
      </c>
      <c r="V28" s="31">
        <v>0</v>
      </c>
      <c r="W28" s="30">
        <v>0</v>
      </c>
      <c r="X28" s="31">
        <v>0</v>
      </c>
      <c r="Y28" s="31">
        <v>0</v>
      </c>
      <c r="Z28" s="31">
        <v>0</v>
      </c>
      <c r="AA28" s="30">
        <v>0</v>
      </c>
      <c r="AB28" s="4">
        <v>260</v>
      </c>
      <c r="AC28" s="4">
        <v>0.2</v>
      </c>
      <c r="AD28" s="4">
        <v>0.8</v>
      </c>
      <c r="AE28" s="33" t="s">
        <v>2907</v>
      </c>
      <c r="AF28" s="4">
        <v>21</v>
      </c>
      <c r="AG28" s="4">
        <v>0</v>
      </c>
      <c r="AH28" s="29">
        <v>0</v>
      </c>
      <c r="AI28" s="30">
        <v>0</v>
      </c>
      <c r="AJ28" s="29">
        <v>0</v>
      </c>
      <c r="AK28" s="30">
        <v>0</v>
      </c>
      <c r="AL28" s="29">
        <v>0</v>
      </c>
      <c r="AM28" s="4" t="s">
        <v>9800</v>
      </c>
      <c r="AN28" s="4">
        <v>1</v>
      </c>
      <c r="AO28" s="4" t="s">
        <v>2755</v>
      </c>
    </row>
    <row r="29" spans="1:41" x14ac:dyDescent="0.15">
      <c r="A29" s="4" t="s">
        <v>2663</v>
      </c>
      <c r="C29" s="4" t="s">
        <v>2932</v>
      </c>
      <c r="D29" s="4">
        <v>1212</v>
      </c>
      <c r="H29" s="4">
        <v>10</v>
      </c>
      <c r="I29" s="4">
        <v>0.8</v>
      </c>
      <c r="J29" s="4">
        <v>1</v>
      </c>
      <c r="K29" s="4">
        <v>1.2</v>
      </c>
      <c r="L29" s="4">
        <v>3</v>
      </c>
      <c r="M29" s="4">
        <v>1</v>
      </c>
      <c r="N29" s="4">
        <v>0</v>
      </c>
      <c r="O29" s="4">
        <v>310</v>
      </c>
      <c r="P29" s="4">
        <v>0</v>
      </c>
      <c r="Q29" s="4">
        <v>31</v>
      </c>
      <c r="R29" s="29" t="b">
        <v>0</v>
      </c>
      <c r="S29" s="31">
        <v>0</v>
      </c>
      <c r="T29" s="35" t="s">
        <v>3260</v>
      </c>
      <c r="U29" s="36" t="s">
        <v>3261</v>
      </c>
      <c r="V29" s="31">
        <v>0</v>
      </c>
      <c r="W29" s="30">
        <v>0</v>
      </c>
      <c r="X29" s="31">
        <v>0</v>
      </c>
      <c r="Y29" s="31">
        <v>0</v>
      </c>
      <c r="Z29" s="31">
        <v>0</v>
      </c>
      <c r="AA29" s="30">
        <v>0</v>
      </c>
      <c r="AB29" s="4">
        <v>270</v>
      </c>
      <c r="AC29" s="4">
        <v>0</v>
      </c>
      <c r="AD29" s="4">
        <v>0.8</v>
      </c>
      <c r="AE29" s="33" t="s">
        <v>2908</v>
      </c>
      <c r="AF29" s="4">
        <v>22</v>
      </c>
      <c r="AG29" s="4">
        <v>0</v>
      </c>
      <c r="AH29" s="29">
        <v>0</v>
      </c>
      <c r="AI29" s="30">
        <v>0</v>
      </c>
      <c r="AJ29" s="29">
        <v>0</v>
      </c>
      <c r="AK29" s="30">
        <v>0</v>
      </c>
      <c r="AL29" s="29">
        <v>0</v>
      </c>
      <c r="AM29" s="4" t="s">
        <v>9801</v>
      </c>
      <c r="AN29" s="4">
        <v>1</v>
      </c>
      <c r="AO29" s="4" t="s">
        <v>2755</v>
      </c>
    </row>
    <row r="30" spans="1:41" ht="11.25" customHeight="1" x14ac:dyDescent="0.15">
      <c r="A30" s="4" t="s">
        <v>2663</v>
      </c>
      <c r="C30" s="4" t="s">
        <v>2898</v>
      </c>
      <c r="D30" s="4">
        <v>1213</v>
      </c>
      <c r="H30" s="4">
        <v>11</v>
      </c>
      <c r="I30" s="4">
        <v>0.8</v>
      </c>
      <c r="J30" s="4">
        <v>1</v>
      </c>
      <c r="K30" s="4">
        <v>1.5</v>
      </c>
      <c r="L30" s="4">
        <v>3</v>
      </c>
      <c r="M30" s="4">
        <v>1</v>
      </c>
      <c r="N30" s="4">
        <v>0</v>
      </c>
      <c r="O30" s="4">
        <v>320</v>
      </c>
      <c r="P30" s="4">
        <v>0</v>
      </c>
      <c r="Q30" s="4">
        <v>33</v>
      </c>
      <c r="R30" s="29" t="b">
        <v>0</v>
      </c>
      <c r="S30" s="31">
        <v>0</v>
      </c>
      <c r="T30" s="35" t="s">
        <v>3260</v>
      </c>
      <c r="U30" s="36" t="s">
        <v>3261</v>
      </c>
      <c r="V30" s="31">
        <v>0</v>
      </c>
      <c r="W30" s="30">
        <v>0</v>
      </c>
      <c r="X30" s="31">
        <v>0</v>
      </c>
      <c r="Y30" s="31">
        <v>0</v>
      </c>
      <c r="Z30" s="31">
        <v>0</v>
      </c>
      <c r="AA30" s="30">
        <v>0</v>
      </c>
      <c r="AB30" s="4">
        <v>280</v>
      </c>
      <c r="AC30" s="4">
        <v>0</v>
      </c>
      <c r="AD30" s="4">
        <v>1.6</v>
      </c>
      <c r="AE30" s="33" t="s">
        <v>2909</v>
      </c>
      <c r="AF30" s="4">
        <v>23</v>
      </c>
      <c r="AG30" s="4">
        <v>0</v>
      </c>
      <c r="AH30" s="29">
        <v>0</v>
      </c>
      <c r="AI30" s="30">
        <v>0</v>
      </c>
      <c r="AJ30" s="29">
        <v>0</v>
      </c>
      <c r="AK30" s="30">
        <v>0</v>
      </c>
      <c r="AL30" s="29">
        <v>0</v>
      </c>
      <c r="AM30" s="4" t="s">
        <v>9802</v>
      </c>
      <c r="AN30" s="4">
        <v>1</v>
      </c>
    </row>
    <row r="31" spans="1:41" x14ac:dyDescent="0.15">
      <c r="A31" s="4" t="s">
        <v>2663</v>
      </c>
      <c r="C31" s="4" t="s">
        <v>2924</v>
      </c>
      <c r="D31" s="4">
        <v>1214</v>
      </c>
      <c r="G31" s="4" t="s">
        <v>3724</v>
      </c>
      <c r="H31" s="4">
        <v>3</v>
      </c>
      <c r="I31" s="4">
        <v>20</v>
      </c>
      <c r="J31" s="4">
        <v>2</v>
      </c>
      <c r="K31" s="4">
        <v>1</v>
      </c>
      <c r="L31" s="4">
        <v>3</v>
      </c>
      <c r="M31" s="4">
        <v>1</v>
      </c>
      <c r="N31" s="4">
        <v>0</v>
      </c>
      <c r="O31" s="4">
        <v>0</v>
      </c>
      <c r="P31" s="4">
        <v>0</v>
      </c>
      <c r="Q31" s="4">
        <v>5</v>
      </c>
      <c r="R31" s="29" t="b">
        <v>0</v>
      </c>
      <c r="S31" s="31">
        <v>0</v>
      </c>
      <c r="T31" s="35" t="s">
        <v>3260</v>
      </c>
      <c r="U31" s="36" t="s">
        <v>3261</v>
      </c>
      <c r="V31" s="31">
        <v>2</v>
      </c>
      <c r="W31" s="30">
        <v>0.8</v>
      </c>
      <c r="X31" s="31">
        <v>0</v>
      </c>
      <c r="Y31" s="31">
        <v>0</v>
      </c>
      <c r="Z31" s="31">
        <v>0</v>
      </c>
      <c r="AA31" s="30">
        <v>0</v>
      </c>
      <c r="AB31" s="4">
        <v>0</v>
      </c>
      <c r="AC31" s="4">
        <v>0</v>
      </c>
      <c r="AD31" s="4">
        <v>0.8</v>
      </c>
      <c r="AE31" s="33">
        <v>0</v>
      </c>
      <c r="AF31" s="4">
        <v>25</v>
      </c>
      <c r="AG31" s="4">
        <v>0</v>
      </c>
      <c r="AH31" s="29">
        <v>0</v>
      </c>
      <c r="AI31" s="30">
        <v>0</v>
      </c>
      <c r="AJ31" s="29">
        <v>0</v>
      </c>
      <c r="AK31" s="30">
        <v>0</v>
      </c>
      <c r="AL31" s="29">
        <v>0</v>
      </c>
      <c r="AN31" s="4">
        <v>12</v>
      </c>
      <c r="AO31" s="4" t="s">
        <v>2791</v>
      </c>
    </row>
    <row r="32" spans="1:41" x14ac:dyDescent="0.15">
      <c r="A32" s="4" t="s">
        <v>2663</v>
      </c>
      <c r="C32" s="4" t="s">
        <v>2924</v>
      </c>
      <c r="D32" s="4">
        <v>1215</v>
      </c>
      <c r="G32" s="4" t="s">
        <v>3724</v>
      </c>
      <c r="H32" s="4">
        <v>3</v>
      </c>
      <c r="I32" s="4">
        <v>20</v>
      </c>
      <c r="J32" s="4">
        <v>2</v>
      </c>
      <c r="K32" s="4">
        <v>1</v>
      </c>
      <c r="L32" s="4">
        <v>3</v>
      </c>
      <c r="M32" s="4">
        <v>1</v>
      </c>
      <c r="N32" s="4">
        <v>0</v>
      </c>
      <c r="O32" s="4">
        <v>0</v>
      </c>
      <c r="P32" s="4">
        <v>0</v>
      </c>
      <c r="Q32" s="4">
        <v>5</v>
      </c>
      <c r="R32" s="29" t="b">
        <v>0</v>
      </c>
      <c r="S32" s="31">
        <v>0</v>
      </c>
      <c r="T32" s="35" t="s">
        <v>3260</v>
      </c>
      <c r="U32" s="36" t="s">
        <v>3261</v>
      </c>
      <c r="V32" s="31">
        <v>2</v>
      </c>
      <c r="W32" s="30">
        <v>0.8</v>
      </c>
      <c r="X32" s="31">
        <v>0</v>
      </c>
      <c r="Y32" s="31">
        <v>0</v>
      </c>
      <c r="Z32" s="31">
        <v>0</v>
      </c>
      <c r="AA32" s="30">
        <v>0</v>
      </c>
      <c r="AB32" s="4">
        <v>0</v>
      </c>
      <c r="AC32" s="4">
        <v>0</v>
      </c>
      <c r="AD32" s="4">
        <v>0.8</v>
      </c>
      <c r="AE32" s="33">
        <v>0</v>
      </c>
      <c r="AF32" s="4">
        <v>26</v>
      </c>
      <c r="AG32" s="4">
        <v>0</v>
      </c>
      <c r="AH32" s="29">
        <v>0</v>
      </c>
      <c r="AI32" s="30">
        <v>0</v>
      </c>
      <c r="AJ32" s="29">
        <v>0</v>
      </c>
      <c r="AK32" s="30">
        <v>0</v>
      </c>
      <c r="AL32" s="29">
        <v>0</v>
      </c>
      <c r="AN32" s="4">
        <v>12</v>
      </c>
      <c r="AO32" s="4" t="s">
        <v>2791</v>
      </c>
    </row>
    <row r="33" spans="1:41" ht="11.25" customHeight="1" x14ac:dyDescent="0.15"/>
    <row r="34" spans="1:41" x14ac:dyDescent="0.15">
      <c r="A34" s="4" t="s">
        <v>2663</v>
      </c>
      <c r="B34" s="4">
        <v>3</v>
      </c>
      <c r="C34" s="4" t="s">
        <v>2923</v>
      </c>
      <c r="D34" s="4">
        <v>1301</v>
      </c>
      <c r="G34" s="4" t="s">
        <v>3746</v>
      </c>
      <c r="H34" s="4">
        <v>2</v>
      </c>
      <c r="I34" s="4">
        <v>3</v>
      </c>
      <c r="J34" s="4">
        <v>2</v>
      </c>
      <c r="K34" s="4">
        <v>0</v>
      </c>
      <c r="L34" s="4">
        <v>3</v>
      </c>
      <c r="M34" s="4">
        <v>1</v>
      </c>
      <c r="N34" s="4">
        <v>0</v>
      </c>
      <c r="O34" s="4">
        <v>0</v>
      </c>
      <c r="P34" s="4">
        <v>0</v>
      </c>
      <c r="Q34" s="4">
        <v>6</v>
      </c>
      <c r="R34" s="29" t="b">
        <v>0</v>
      </c>
      <c r="S34" s="31">
        <v>0</v>
      </c>
      <c r="T34" s="35" t="s">
        <v>3260</v>
      </c>
      <c r="U34" s="36" t="s">
        <v>3261</v>
      </c>
      <c r="V34" s="31">
        <v>1</v>
      </c>
      <c r="W34" s="30">
        <v>0.8</v>
      </c>
      <c r="X34" s="31">
        <v>0</v>
      </c>
      <c r="Y34" s="31">
        <v>0</v>
      </c>
      <c r="Z34" s="31">
        <v>0</v>
      </c>
      <c r="AA34" s="30">
        <v>0</v>
      </c>
      <c r="AB34" s="4">
        <v>410</v>
      </c>
      <c r="AC34" s="4">
        <v>0</v>
      </c>
      <c r="AD34" s="4">
        <v>0.8</v>
      </c>
      <c r="AE34" s="33">
        <v>0</v>
      </c>
      <c r="AF34" s="4">
        <v>0</v>
      </c>
      <c r="AG34" s="4">
        <v>0</v>
      </c>
      <c r="AH34" s="29">
        <v>1</v>
      </c>
      <c r="AI34" s="30">
        <v>0.8</v>
      </c>
      <c r="AJ34" s="29">
        <v>0</v>
      </c>
      <c r="AK34" s="30">
        <v>0</v>
      </c>
      <c r="AL34" s="29">
        <v>0</v>
      </c>
      <c r="AN34" s="4">
        <v>0</v>
      </c>
      <c r="AO34" s="4" t="s">
        <v>2754</v>
      </c>
    </row>
    <row r="35" spans="1:41" x14ac:dyDescent="0.15">
      <c r="A35" s="4" t="s">
        <v>2663</v>
      </c>
      <c r="C35" s="4" t="s">
        <v>2970</v>
      </c>
      <c r="D35" s="4">
        <v>1302</v>
      </c>
      <c r="G35" s="4" t="s">
        <v>3726</v>
      </c>
      <c r="H35" s="4">
        <v>3</v>
      </c>
      <c r="I35" s="4">
        <v>10</v>
      </c>
      <c r="J35" s="4">
        <v>1</v>
      </c>
      <c r="K35" s="4">
        <v>2</v>
      </c>
      <c r="L35" s="4">
        <v>3</v>
      </c>
      <c r="M35" s="4">
        <v>1</v>
      </c>
      <c r="N35" s="4">
        <v>0</v>
      </c>
      <c r="O35" s="4">
        <v>0</v>
      </c>
      <c r="P35" s="4">
        <v>0</v>
      </c>
      <c r="Q35" s="4">
        <v>5</v>
      </c>
      <c r="R35" s="29" t="b">
        <v>0</v>
      </c>
      <c r="S35" s="31">
        <v>0</v>
      </c>
      <c r="T35" s="35" t="s">
        <v>3260</v>
      </c>
      <c r="U35" s="36" t="s">
        <v>3261</v>
      </c>
      <c r="V35" s="31">
        <v>2</v>
      </c>
      <c r="W35" s="30">
        <v>0.8</v>
      </c>
      <c r="X35" s="31">
        <v>0</v>
      </c>
      <c r="Y35" s="31">
        <v>0</v>
      </c>
      <c r="Z35" s="31">
        <v>0</v>
      </c>
      <c r="AA35" s="30">
        <v>0</v>
      </c>
      <c r="AB35" s="4">
        <v>380</v>
      </c>
      <c r="AC35" s="4">
        <v>0</v>
      </c>
      <c r="AD35" s="4">
        <v>0.8</v>
      </c>
      <c r="AE35" s="33">
        <v>0.5</v>
      </c>
      <c r="AF35" s="4">
        <v>33</v>
      </c>
      <c r="AG35" s="4">
        <v>0</v>
      </c>
      <c r="AH35" s="29">
        <v>0</v>
      </c>
      <c r="AI35" s="30">
        <v>0</v>
      </c>
      <c r="AJ35" s="29">
        <v>0</v>
      </c>
      <c r="AK35" s="30">
        <v>0</v>
      </c>
      <c r="AL35" s="29">
        <v>0</v>
      </c>
      <c r="AM35" s="4" t="s">
        <v>9985</v>
      </c>
      <c r="AN35" s="4">
        <v>2</v>
      </c>
      <c r="AO35" s="4" t="s">
        <v>2791</v>
      </c>
    </row>
    <row r="36" spans="1:41" x14ac:dyDescent="0.15">
      <c r="A36" s="4" t="s">
        <v>2663</v>
      </c>
      <c r="C36" s="4" t="s">
        <v>2925</v>
      </c>
      <c r="D36" s="4">
        <v>1303</v>
      </c>
      <c r="H36" s="4">
        <v>6</v>
      </c>
      <c r="I36" s="4">
        <v>40</v>
      </c>
      <c r="J36" s="4">
        <v>1</v>
      </c>
      <c r="K36" s="4">
        <v>0</v>
      </c>
      <c r="L36" s="4">
        <v>3</v>
      </c>
      <c r="M36" s="4">
        <v>1</v>
      </c>
      <c r="N36" s="4">
        <v>0</v>
      </c>
      <c r="O36" s="4">
        <v>0</v>
      </c>
      <c r="P36" s="4">
        <v>0</v>
      </c>
      <c r="Q36" s="4">
        <v>0</v>
      </c>
      <c r="R36" s="29" t="b">
        <v>0</v>
      </c>
      <c r="S36" s="31">
        <v>0</v>
      </c>
      <c r="T36" s="35" t="s">
        <v>3260</v>
      </c>
      <c r="U36" s="36" t="s">
        <v>3261</v>
      </c>
      <c r="V36" s="31">
        <v>1</v>
      </c>
      <c r="W36" s="30">
        <v>0.8</v>
      </c>
      <c r="X36" s="31">
        <v>0</v>
      </c>
      <c r="Y36" s="31">
        <v>0</v>
      </c>
      <c r="Z36" s="31">
        <v>0</v>
      </c>
      <c r="AA36" s="30">
        <v>0</v>
      </c>
      <c r="AB36" s="4">
        <v>840</v>
      </c>
      <c r="AC36" s="4">
        <v>0</v>
      </c>
      <c r="AD36" s="4">
        <v>0.8</v>
      </c>
      <c r="AE36" s="33">
        <v>0.8</v>
      </c>
      <c r="AF36" s="4">
        <v>0</v>
      </c>
      <c r="AG36" s="4">
        <v>0</v>
      </c>
      <c r="AH36" s="29">
        <v>0</v>
      </c>
      <c r="AI36" s="30">
        <v>0</v>
      </c>
      <c r="AJ36" s="29">
        <v>0</v>
      </c>
      <c r="AK36" s="30">
        <v>0</v>
      </c>
      <c r="AL36" s="29">
        <v>0</v>
      </c>
      <c r="AM36" s="4" t="s">
        <v>9986</v>
      </c>
      <c r="AN36" s="4">
        <v>99</v>
      </c>
    </row>
    <row r="37" spans="1:41" x14ac:dyDescent="0.15">
      <c r="A37" s="4" t="s">
        <v>2663</v>
      </c>
      <c r="C37" s="4" t="s">
        <v>2926</v>
      </c>
      <c r="D37" s="4">
        <v>1304</v>
      </c>
      <c r="G37" s="4" t="s">
        <v>3727</v>
      </c>
      <c r="H37" s="4">
        <v>4</v>
      </c>
      <c r="I37" s="4">
        <v>1</v>
      </c>
      <c r="J37" s="4">
        <v>1</v>
      </c>
      <c r="K37" s="4">
        <v>10</v>
      </c>
      <c r="L37" s="4">
        <v>3</v>
      </c>
      <c r="M37" s="4">
        <v>1</v>
      </c>
      <c r="N37" s="4">
        <v>0</v>
      </c>
      <c r="O37" s="4">
        <v>0</v>
      </c>
      <c r="P37" s="4">
        <v>0</v>
      </c>
      <c r="Q37" s="4">
        <v>0</v>
      </c>
      <c r="R37" s="29" t="b">
        <v>0</v>
      </c>
      <c r="S37" s="31">
        <v>0</v>
      </c>
      <c r="T37" s="35" t="s">
        <v>3260</v>
      </c>
      <c r="U37" s="36" t="s">
        <v>3261</v>
      </c>
      <c r="V37" s="31">
        <v>0</v>
      </c>
      <c r="W37" s="30">
        <v>0</v>
      </c>
      <c r="X37" s="31">
        <v>0</v>
      </c>
      <c r="Y37" s="31">
        <v>0</v>
      </c>
      <c r="Z37" s="31">
        <v>0</v>
      </c>
      <c r="AA37" s="30">
        <v>0</v>
      </c>
      <c r="AB37" s="4">
        <v>0</v>
      </c>
      <c r="AC37" s="4">
        <v>0</v>
      </c>
      <c r="AD37" s="4">
        <v>2</v>
      </c>
      <c r="AE37" s="33">
        <v>0</v>
      </c>
      <c r="AF37" s="4">
        <v>34</v>
      </c>
      <c r="AG37" s="4">
        <v>0</v>
      </c>
      <c r="AH37" s="29">
        <v>0</v>
      </c>
      <c r="AI37" s="30">
        <v>0</v>
      </c>
      <c r="AJ37" s="29">
        <v>0</v>
      </c>
      <c r="AK37" s="30">
        <v>0</v>
      </c>
      <c r="AL37" s="29">
        <v>0</v>
      </c>
      <c r="AM37" s="4" t="s">
        <v>9987</v>
      </c>
      <c r="AN37" s="4">
        <v>1</v>
      </c>
      <c r="AO37" s="4" t="s">
        <v>2823</v>
      </c>
    </row>
    <row r="38" spans="1:41" x14ac:dyDescent="0.15">
      <c r="A38" s="4" t="s">
        <v>2663</v>
      </c>
      <c r="C38" s="4" t="s">
        <v>2927</v>
      </c>
      <c r="D38" s="4">
        <v>1305</v>
      </c>
      <c r="H38" s="4">
        <v>1</v>
      </c>
      <c r="I38" s="4">
        <v>0.8</v>
      </c>
      <c r="J38" s="4">
        <v>1</v>
      </c>
      <c r="K38" s="4">
        <v>1</v>
      </c>
      <c r="L38" s="4">
        <v>3</v>
      </c>
      <c r="M38" s="4">
        <v>1</v>
      </c>
      <c r="N38" s="4">
        <v>0</v>
      </c>
      <c r="O38" s="4">
        <v>0</v>
      </c>
      <c r="P38" s="4">
        <v>0</v>
      </c>
      <c r="Q38" s="4">
        <v>3</v>
      </c>
      <c r="R38" s="29" t="b">
        <v>0</v>
      </c>
      <c r="S38" s="31">
        <v>0</v>
      </c>
      <c r="T38" s="35" t="s">
        <v>3260</v>
      </c>
      <c r="U38" s="36" t="s">
        <v>3261</v>
      </c>
      <c r="V38" s="31">
        <v>0</v>
      </c>
      <c r="W38" s="30">
        <v>0</v>
      </c>
      <c r="X38" s="31">
        <v>0</v>
      </c>
      <c r="Y38" s="31">
        <v>0</v>
      </c>
      <c r="Z38" s="31">
        <v>0</v>
      </c>
      <c r="AA38" s="30">
        <v>0</v>
      </c>
      <c r="AB38" s="4">
        <v>0</v>
      </c>
      <c r="AC38" s="4">
        <v>0</v>
      </c>
      <c r="AD38" s="4">
        <v>0.8</v>
      </c>
      <c r="AE38" s="33" t="s">
        <v>2801</v>
      </c>
      <c r="AF38" s="4">
        <v>31</v>
      </c>
      <c r="AG38" s="4">
        <v>0</v>
      </c>
      <c r="AH38" s="29">
        <v>0</v>
      </c>
      <c r="AI38" s="30">
        <v>0</v>
      </c>
      <c r="AJ38" s="29">
        <v>0</v>
      </c>
      <c r="AK38" s="30">
        <v>0</v>
      </c>
      <c r="AL38" s="33" t="s">
        <v>2801</v>
      </c>
      <c r="AM38" s="4" t="s">
        <v>9798</v>
      </c>
      <c r="AN38" s="4">
        <v>1305</v>
      </c>
      <c r="AO38" s="4" t="s">
        <v>2755</v>
      </c>
    </row>
    <row r="39" spans="1:41" x14ac:dyDescent="0.15">
      <c r="A39" s="4" t="s">
        <v>2663</v>
      </c>
      <c r="C39" s="4" t="s">
        <v>2928</v>
      </c>
      <c r="D39" s="4">
        <v>1306</v>
      </c>
      <c r="H39" s="4">
        <v>10</v>
      </c>
      <c r="I39" s="4">
        <v>0.8</v>
      </c>
      <c r="J39" s="4">
        <v>1</v>
      </c>
      <c r="K39" s="4">
        <v>1.5</v>
      </c>
      <c r="L39" s="4">
        <v>3</v>
      </c>
      <c r="M39" s="4">
        <v>1</v>
      </c>
      <c r="N39" s="4">
        <v>0</v>
      </c>
      <c r="O39" s="4">
        <v>0</v>
      </c>
      <c r="P39" s="4">
        <v>0</v>
      </c>
      <c r="Q39" s="4">
        <v>31</v>
      </c>
      <c r="R39" s="29" t="b">
        <v>0</v>
      </c>
      <c r="S39" s="31">
        <v>0</v>
      </c>
      <c r="T39" s="35" t="s">
        <v>3260</v>
      </c>
      <c r="U39" s="36" t="s">
        <v>3261</v>
      </c>
      <c r="V39" s="31">
        <v>0</v>
      </c>
      <c r="W39" s="30">
        <v>0</v>
      </c>
      <c r="X39" s="31">
        <v>0</v>
      </c>
      <c r="Y39" s="31">
        <v>0</v>
      </c>
      <c r="Z39" s="31">
        <v>0</v>
      </c>
      <c r="AA39" s="30">
        <v>0</v>
      </c>
      <c r="AB39" s="4">
        <v>400</v>
      </c>
      <c r="AC39" s="4">
        <v>0</v>
      </c>
      <c r="AD39" s="4">
        <v>0.8</v>
      </c>
      <c r="AE39" s="33">
        <v>0.4</v>
      </c>
      <c r="AF39" s="4">
        <v>32</v>
      </c>
      <c r="AG39" s="4">
        <v>0</v>
      </c>
      <c r="AH39" s="29">
        <v>0</v>
      </c>
      <c r="AI39" s="30">
        <v>0</v>
      </c>
      <c r="AJ39" s="29">
        <v>0</v>
      </c>
      <c r="AK39" s="30">
        <v>0</v>
      </c>
      <c r="AL39" s="29">
        <v>0.4</v>
      </c>
      <c r="AM39" s="4" t="s">
        <v>9799</v>
      </c>
      <c r="AN39" s="4">
        <v>1306</v>
      </c>
      <c r="AO39" s="4" t="s">
        <v>2755</v>
      </c>
    </row>
    <row r="40" spans="1:41" x14ac:dyDescent="0.15">
      <c r="A40" s="4" t="s">
        <v>2663</v>
      </c>
      <c r="C40" s="4" t="s">
        <v>2929</v>
      </c>
      <c r="D40" s="4">
        <v>1307</v>
      </c>
      <c r="H40" s="4">
        <v>1</v>
      </c>
      <c r="I40" s="4">
        <v>0.8</v>
      </c>
      <c r="J40" s="4">
        <v>1</v>
      </c>
      <c r="K40" s="4">
        <v>1</v>
      </c>
      <c r="L40" s="4">
        <v>3</v>
      </c>
      <c r="M40" s="4">
        <v>1</v>
      </c>
      <c r="N40" s="4">
        <v>0</v>
      </c>
      <c r="O40" s="4">
        <v>0</v>
      </c>
      <c r="P40" s="4">
        <v>0</v>
      </c>
      <c r="Q40" s="4">
        <v>3</v>
      </c>
      <c r="R40" s="29" t="b">
        <v>0</v>
      </c>
      <c r="S40" s="31">
        <v>0</v>
      </c>
      <c r="T40" s="35" t="s">
        <v>3260</v>
      </c>
      <c r="U40" s="36" t="s">
        <v>3261</v>
      </c>
      <c r="V40" s="31">
        <v>0</v>
      </c>
      <c r="W40" s="30">
        <v>0</v>
      </c>
      <c r="X40" s="31">
        <v>0</v>
      </c>
      <c r="Y40" s="31">
        <v>0</v>
      </c>
      <c r="Z40" s="31">
        <v>0</v>
      </c>
      <c r="AA40" s="30">
        <v>0</v>
      </c>
      <c r="AB40" s="4">
        <v>0</v>
      </c>
      <c r="AC40" s="4">
        <v>0</v>
      </c>
      <c r="AD40" s="4">
        <v>0.8</v>
      </c>
      <c r="AE40" s="33" t="s">
        <v>2801</v>
      </c>
      <c r="AF40" s="4">
        <v>31</v>
      </c>
      <c r="AG40" s="4">
        <v>0</v>
      </c>
      <c r="AH40" s="29">
        <v>0</v>
      </c>
      <c r="AI40" s="30">
        <v>0</v>
      </c>
      <c r="AJ40" s="29">
        <v>0</v>
      </c>
      <c r="AK40" s="30">
        <v>0</v>
      </c>
      <c r="AL40" s="33" t="s">
        <v>2801</v>
      </c>
      <c r="AM40" s="4" t="s">
        <v>9798</v>
      </c>
      <c r="AN40" s="4">
        <v>1307</v>
      </c>
      <c r="AO40" s="4" t="s">
        <v>2755</v>
      </c>
    </row>
    <row r="41" spans="1:41" x14ac:dyDescent="0.15">
      <c r="A41" s="4" t="s">
        <v>2663</v>
      </c>
      <c r="C41" s="4" t="s">
        <v>2930</v>
      </c>
      <c r="D41" s="4">
        <v>1308</v>
      </c>
      <c r="H41" s="4">
        <v>10</v>
      </c>
      <c r="I41" s="4">
        <v>0.8</v>
      </c>
      <c r="J41" s="4">
        <v>1</v>
      </c>
      <c r="K41" s="4">
        <v>1.5</v>
      </c>
      <c r="L41" s="4">
        <v>3</v>
      </c>
      <c r="M41" s="4">
        <v>1</v>
      </c>
      <c r="N41" s="4">
        <v>0</v>
      </c>
      <c r="O41" s="4">
        <v>0</v>
      </c>
      <c r="P41" s="4">
        <v>0</v>
      </c>
      <c r="Q41" s="4">
        <v>31</v>
      </c>
      <c r="R41" s="29" t="b">
        <v>0</v>
      </c>
      <c r="S41" s="31">
        <v>0</v>
      </c>
      <c r="T41" s="35" t="s">
        <v>3260</v>
      </c>
      <c r="U41" s="36" t="s">
        <v>3261</v>
      </c>
      <c r="V41" s="31">
        <v>0</v>
      </c>
      <c r="W41" s="30">
        <v>0</v>
      </c>
      <c r="X41" s="31">
        <v>0</v>
      </c>
      <c r="Y41" s="31">
        <v>0</v>
      </c>
      <c r="Z41" s="31">
        <v>0</v>
      </c>
      <c r="AA41" s="30">
        <v>0</v>
      </c>
      <c r="AB41" s="4">
        <v>400</v>
      </c>
      <c r="AC41" s="4">
        <v>0</v>
      </c>
      <c r="AD41" s="4">
        <v>0.8</v>
      </c>
      <c r="AE41" s="33">
        <v>0.4</v>
      </c>
      <c r="AF41" s="4">
        <v>32</v>
      </c>
      <c r="AG41" s="4">
        <v>0</v>
      </c>
      <c r="AH41" s="29">
        <v>0</v>
      </c>
      <c r="AI41" s="30">
        <v>0</v>
      </c>
      <c r="AJ41" s="29">
        <v>0</v>
      </c>
      <c r="AK41" s="30">
        <v>0</v>
      </c>
      <c r="AL41" s="29">
        <v>0.4</v>
      </c>
      <c r="AM41" s="4" t="s">
        <v>9799</v>
      </c>
      <c r="AN41" s="4">
        <v>1308</v>
      </c>
      <c r="AO41" s="4" t="s">
        <v>2755</v>
      </c>
    </row>
    <row r="42" spans="1:41" x14ac:dyDescent="0.15">
      <c r="A42" s="4" t="s">
        <v>2663</v>
      </c>
      <c r="C42" s="4" t="s">
        <v>2931</v>
      </c>
      <c r="D42" s="4">
        <v>1309</v>
      </c>
      <c r="H42" s="4">
        <v>1</v>
      </c>
      <c r="I42" s="4">
        <v>0.8</v>
      </c>
      <c r="J42" s="4">
        <v>1</v>
      </c>
      <c r="K42" s="4">
        <v>1</v>
      </c>
      <c r="L42" s="4">
        <v>3</v>
      </c>
      <c r="M42" s="4">
        <v>1</v>
      </c>
      <c r="N42" s="4">
        <v>0</v>
      </c>
      <c r="O42" s="4">
        <v>0</v>
      </c>
      <c r="P42" s="4">
        <v>0</v>
      </c>
      <c r="Q42" s="4">
        <v>3</v>
      </c>
      <c r="R42" s="29" t="b">
        <v>0</v>
      </c>
      <c r="S42" s="31">
        <v>0</v>
      </c>
      <c r="T42" s="35" t="s">
        <v>3260</v>
      </c>
      <c r="U42" s="36" t="s">
        <v>3261</v>
      </c>
      <c r="V42" s="31">
        <v>0</v>
      </c>
      <c r="W42" s="30">
        <v>0</v>
      </c>
      <c r="X42" s="31">
        <v>0</v>
      </c>
      <c r="Y42" s="31">
        <v>0</v>
      </c>
      <c r="Z42" s="31">
        <v>0</v>
      </c>
      <c r="AA42" s="30">
        <v>0</v>
      </c>
      <c r="AB42" s="4">
        <v>0</v>
      </c>
      <c r="AC42" s="4">
        <v>0</v>
      </c>
      <c r="AD42" s="4">
        <v>0.8</v>
      </c>
      <c r="AE42" s="33" t="s">
        <v>2801</v>
      </c>
      <c r="AF42" s="4">
        <v>31</v>
      </c>
      <c r="AG42" s="4">
        <v>0</v>
      </c>
      <c r="AH42" s="29">
        <v>0</v>
      </c>
      <c r="AI42" s="30">
        <v>0</v>
      </c>
      <c r="AJ42" s="29">
        <v>0</v>
      </c>
      <c r="AK42" s="30">
        <v>0</v>
      </c>
      <c r="AL42" s="33" t="s">
        <v>2801</v>
      </c>
      <c r="AM42" s="4" t="s">
        <v>9798</v>
      </c>
      <c r="AN42" s="4">
        <v>1309</v>
      </c>
      <c r="AO42" s="4" t="s">
        <v>2755</v>
      </c>
    </row>
    <row r="43" spans="1:41" x14ac:dyDescent="0.15">
      <c r="A43" s="4" t="s">
        <v>2663</v>
      </c>
      <c r="C43" s="4" t="s">
        <v>2932</v>
      </c>
      <c r="D43" s="4">
        <v>1310</v>
      </c>
      <c r="H43" s="4">
        <v>10</v>
      </c>
      <c r="I43" s="4">
        <v>0.8</v>
      </c>
      <c r="J43" s="4">
        <v>1</v>
      </c>
      <c r="K43" s="4">
        <v>1.5</v>
      </c>
      <c r="L43" s="4">
        <v>3</v>
      </c>
      <c r="M43" s="4">
        <v>1</v>
      </c>
      <c r="N43" s="4">
        <v>0</v>
      </c>
      <c r="O43" s="4">
        <v>0</v>
      </c>
      <c r="P43" s="4">
        <v>0</v>
      </c>
      <c r="Q43" s="4">
        <v>31</v>
      </c>
      <c r="R43" s="29" t="b">
        <v>0</v>
      </c>
      <c r="S43" s="31">
        <v>0</v>
      </c>
      <c r="T43" s="35" t="s">
        <v>3260</v>
      </c>
      <c r="U43" s="36" t="s">
        <v>3261</v>
      </c>
      <c r="V43" s="31">
        <v>0</v>
      </c>
      <c r="W43" s="30">
        <v>0</v>
      </c>
      <c r="X43" s="31">
        <v>0</v>
      </c>
      <c r="Y43" s="31">
        <v>0</v>
      </c>
      <c r="Z43" s="31">
        <v>0</v>
      </c>
      <c r="AA43" s="30">
        <v>0</v>
      </c>
      <c r="AB43" s="4">
        <v>400</v>
      </c>
      <c r="AC43" s="4">
        <v>0</v>
      </c>
      <c r="AD43" s="4">
        <v>0.8</v>
      </c>
      <c r="AE43" s="33">
        <v>0.4</v>
      </c>
      <c r="AF43" s="4">
        <v>32</v>
      </c>
      <c r="AG43" s="4">
        <v>0</v>
      </c>
      <c r="AH43" s="29">
        <v>0</v>
      </c>
      <c r="AI43" s="30">
        <v>0</v>
      </c>
      <c r="AJ43" s="29">
        <v>0</v>
      </c>
      <c r="AK43" s="30">
        <v>0</v>
      </c>
      <c r="AL43" s="29">
        <v>0.4</v>
      </c>
      <c r="AM43" s="4" t="s">
        <v>9799</v>
      </c>
      <c r="AN43" s="4">
        <v>1310</v>
      </c>
      <c r="AO43" s="4" t="s">
        <v>2755</v>
      </c>
    </row>
    <row r="45" spans="1:41" ht="11.25" customHeight="1" x14ac:dyDescent="0.15"/>
    <row r="46" spans="1:41" x14ac:dyDescent="0.15">
      <c r="A46" s="4" t="s">
        <v>2662</v>
      </c>
      <c r="B46" s="4">
        <v>4</v>
      </c>
      <c r="C46" s="4" t="s">
        <v>2923</v>
      </c>
      <c r="D46" s="4">
        <v>1401</v>
      </c>
      <c r="G46" s="4" t="s">
        <v>3747</v>
      </c>
      <c r="H46" s="4">
        <v>2</v>
      </c>
      <c r="I46" s="4">
        <v>3</v>
      </c>
      <c r="J46" s="4">
        <v>2</v>
      </c>
      <c r="K46" s="4">
        <v>0</v>
      </c>
      <c r="L46" s="4">
        <v>3</v>
      </c>
      <c r="M46" s="4">
        <v>1</v>
      </c>
      <c r="N46" s="4">
        <v>0</v>
      </c>
      <c r="O46" s="4">
        <v>0</v>
      </c>
      <c r="P46" s="4">
        <v>0</v>
      </c>
      <c r="Q46" s="4">
        <v>6</v>
      </c>
      <c r="R46" s="29" t="b">
        <v>0</v>
      </c>
      <c r="S46" s="31">
        <v>0</v>
      </c>
      <c r="T46" s="35" t="s">
        <v>3347</v>
      </c>
      <c r="U46" s="36" t="s">
        <v>3348</v>
      </c>
      <c r="V46" s="31">
        <v>1</v>
      </c>
      <c r="W46" s="30">
        <v>0.8</v>
      </c>
      <c r="X46" s="31">
        <v>0</v>
      </c>
      <c r="Y46" s="31">
        <v>0</v>
      </c>
      <c r="Z46" s="31">
        <v>0</v>
      </c>
      <c r="AA46" s="30">
        <v>0</v>
      </c>
      <c r="AB46" s="4">
        <v>570</v>
      </c>
      <c r="AC46" s="4">
        <v>0</v>
      </c>
      <c r="AD46" s="4">
        <v>0.8</v>
      </c>
      <c r="AE46" s="33">
        <v>0</v>
      </c>
      <c r="AF46" s="4">
        <v>0</v>
      </c>
      <c r="AG46" s="4">
        <v>0</v>
      </c>
      <c r="AH46" s="29">
        <v>1</v>
      </c>
      <c r="AI46" s="30">
        <v>0.8</v>
      </c>
      <c r="AJ46" s="29">
        <v>0</v>
      </c>
      <c r="AK46" s="30">
        <v>0</v>
      </c>
      <c r="AL46" s="29">
        <v>0</v>
      </c>
      <c r="AN46" s="4">
        <v>0</v>
      </c>
      <c r="AO46" s="4" t="s">
        <v>3349</v>
      </c>
    </row>
    <row r="47" spans="1:41" x14ac:dyDescent="0.15">
      <c r="A47" s="4" t="s">
        <v>3350</v>
      </c>
      <c r="C47" s="4" t="s">
        <v>3351</v>
      </c>
      <c r="D47" s="4">
        <v>1402</v>
      </c>
      <c r="G47" s="4" t="s">
        <v>3728</v>
      </c>
      <c r="H47" s="4">
        <v>3</v>
      </c>
      <c r="I47" s="4">
        <v>10</v>
      </c>
      <c r="J47" s="4">
        <v>1</v>
      </c>
      <c r="K47" s="4">
        <v>2</v>
      </c>
      <c r="L47" s="4">
        <v>3</v>
      </c>
      <c r="M47" s="4">
        <v>1</v>
      </c>
      <c r="N47" s="4">
        <v>0</v>
      </c>
      <c r="O47" s="4">
        <v>0</v>
      </c>
      <c r="P47" s="4">
        <v>0</v>
      </c>
      <c r="Q47" s="4">
        <v>5</v>
      </c>
      <c r="R47" s="29" t="b">
        <v>0</v>
      </c>
      <c r="S47" s="31">
        <v>0</v>
      </c>
      <c r="T47" s="35" t="s">
        <v>3352</v>
      </c>
      <c r="U47" s="36" t="s">
        <v>3348</v>
      </c>
      <c r="V47" s="31">
        <v>2</v>
      </c>
      <c r="W47" s="30">
        <v>0.8</v>
      </c>
      <c r="X47" s="31">
        <v>0</v>
      </c>
      <c r="Y47" s="31">
        <v>0</v>
      </c>
      <c r="Z47" s="31">
        <v>0</v>
      </c>
      <c r="AA47" s="30">
        <v>0</v>
      </c>
      <c r="AB47" s="4">
        <v>560</v>
      </c>
      <c r="AC47" s="4">
        <v>0</v>
      </c>
      <c r="AD47" s="4">
        <v>1.5</v>
      </c>
      <c r="AE47" s="33">
        <v>0.8</v>
      </c>
      <c r="AF47" s="4">
        <v>42</v>
      </c>
      <c r="AG47" s="4">
        <v>0</v>
      </c>
      <c r="AH47" s="29">
        <v>0</v>
      </c>
      <c r="AI47" s="30">
        <v>0</v>
      </c>
      <c r="AJ47" s="29">
        <v>0</v>
      </c>
      <c r="AK47" s="30">
        <v>0</v>
      </c>
      <c r="AL47" s="29">
        <v>0</v>
      </c>
      <c r="AM47" s="4" t="s">
        <v>9988</v>
      </c>
      <c r="AN47" s="4">
        <v>19</v>
      </c>
    </row>
    <row r="48" spans="1:41" x14ac:dyDescent="0.15">
      <c r="A48" s="4" t="s">
        <v>2662</v>
      </c>
      <c r="C48" s="4" t="s">
        <v>2925</v>
      </c>
      <c r="D48" s="4">
        <v>1403</v>
      </c>
      <c r="H48" s="4">
        <v>6</v>
      </c>
      <c r="I48" s="4">
        <v>40</v>
      </c>
      <c r="J48" s="4">
        <v>1</v>
      </c>
      <c r="K48" s="4">
        <v>0</v>
      </c>
      <c r="L48" s="4">
        <v>3</v>
      </c>
      <c r="M48" s="4">
        <v>1</v>
      </c>
      <c r="N48" s="4">
        <v>0</v>
      </c>
      <c r="O48" s="4">
        <v>0</v>
      </c>
      <c r="P48" s="4">
        <v>0</v>
      </c>
      <c r="Q48" s="4">
        <v>0</v>
      </c>
      <c r="R48" s="29" t="b">
        <v>0</v>
      </c>
      <c r="S48" s="31">
        <v>0</v>
      </c>
      <c r="T48" s="35" t="s">
        <v>3347</v>
      </c>
      <c r="U48" s="36" t="s">
        <v>3348</v>
      </c>
      <c r="V48" s="31">
        <v>1</v>
      </c>
      <c r="W48" s="30">
        <v>0.8</v>
      </c>
      <c r="X48" s="31">
        <v>0</v>
      </c>
      <c r="Y48" s="31">
        <v>0</v>
      </c>
      <c r="Z48" s="31">
        <v>0</v>
      </c>
      <c r="AA48" s="30">
        <v>0</v>
      </c>
      <c r="AB48" s="4">
        <v>850</v>
      </c>
      <c r="AC48" s="4">
        <v>0</v>
      </c>
      <c r="AD48" s="4">
        <v>0.8</v>
      </c>
      <c r="AE48" s="33">
        <v>0.8</v>
      </c>
      <c r="AF48" s="4">
        <v>0</v>
      </c>
      <c r="AG48" s="4">
        <v>0</v>
      </c>
      <c r="AH48" s="29">
        <v>0</v>
      </c>
      <c r="AI48" s="30">
        <v>0</v>
      </c>
      <c r="AJ48" s="29">
        <v>0</v>
      </c>
      <c r="AK48" s="30">
        <v>0</v>
      </c>
      <c r="AL48" s="29">
        <v>0</v>
      </c>
      <c r="AM48" s="4" t="s">
        <v>9989</v>
      </c>
      <c r="AN48" s="4">
        <v>99</v>
      </c>
    </row>
    <row r="49" spans="1:41" x14ac:dyDescent="0.15">
      <c r="A49" s="4" t="s">
        <v>2662</v>
      </c>
      <c r="C49" s="4" t="s">
        <v>2926</v>
      </c>
      <c r="D49" s="4">
        <v>1404</v>
      </c>
      <c r="G49" s="4" t="s">
        <v>3729</v>
      </c>
      <c r="H49" s="4">
        <v>4</v>
      </c>
      <c r="I49" s="4">
        <v>1</v>
      </c>
      <c r="J49" s="4">
        <v>1</v>
      </c>
      <c r="K49" s="4">
        <v>1</v>
      </c>
      <c r="L49" s="4">
        <v>3</v>
      </c>
      <c r="M49" s="4">
        <v>1</v>
      </c>
      <c r="N49" s="4">
        <v>0</v>
      </c>
      <c r="O49" s="4">
        <v>0</v>
      </c>
      <c r="P49" s="4">
        <v>0</v>
      </c>
      <c r="Q49" s="4">
        <v>0</v>
      </c>
      <c r="R49" s="29" t="b">
        <v>0</v>
      </c>
      <c r="S49" s="31">
        <v>0</v>
      </c>
      <c r="T49" s="35" t="s">
        <v>3347</v>
      </c>
      <c r="U49" s="36" t="s">
        <v>3348</v>
      </c>
      <c r="V49" s="31">
        <v>0</v>
      </c>
      <c r="W49" s="30">
        <v>0</v>
      </c>
      <c r="X49" s="31">
        <v>0</v>
      </c>
      <c r="Y49" s="31">
        <v>0</v>
      </c>
      <c r="Z49" s="31">
        <v>0</v>
      </c>
      <c r="AA49" s="30">
        <v>0</v>
      </c>
      <c r="AB49" s="4">
        <v>580</v>
      </c>
      <c r="AC49" s="4">
        <v>0</v>
      </c>
      <c r="AD49" s="4">
        <v>2.2000000000000002</v>
      </c>
      <c r="AE49" s="33" t="s">
        <v>3353</v>
      </c>
      <c r="AF49" s="4">
        <v>43</v>
      </c>
      <c r="AG49" s="4">
        <v>0</v>
      </c>
      <c r="AH49" s="29">
        <v>0</v>
      </c>
      <c r="AI49" s="30">
        <v>0</v>
      </c>
      <c r="AJ49" s="29">
        <v>0</v>
      </c>
      <c r="AK49" s="30">
        <v>0</v>
      </c>
      <c r="AL49" s="29">
        <v>0</v>
      </c>
      <c r="AM49" s="4" t="s">
        <v>9990</v>
      </c>
      <c r="AN49" s="4">
        <v>1</v>
      </c>
      <c r="AO49" s="4" t="s">
        <v>3354</v>
      </c>
    </row>
    <row r="50" spans="1:41" x14ac:dyDescent="0.15">
      <c r="A50" s="4" t="s">
        <v>2662</v>
      </c>
      <c r="C50" s="4" t="s">
        <v>2927</v>
      </c>
      <c r="D50" s="4">
        <v>1405</v>
      </c>
      <c r="H50" s="4">
        <v>1</v>
      </c>
      <c r="I50" s="4">
        <v>0.8</v>
      </c>
      <c r="J50" s="4">
        <v>1</v>
      </c>
      <c r="K50" s="4">
        <v>0.4</v>
      </c>
      <c r="L50" s="4">
        <v>3</v>
      </c>
      <c r="M50" s="4">
        <v>1</v>
      </c>
      <c r="N50" s="4">
        <v>0</v>
      </c>
      <c r="O50" s="4">
        <v>0</v>
      </c>
      <c r="P50" s="4">
        <v>0</v>
      </c>
      <c r="Q50" s="4">
        <v>3</v>
      </c>
      <c r="R50" s="29" t="b">
        <v>0</v>
      </c>
      <c r="S50" s="31">
        <v>0</v>
      </c>
      <c r="T50" s="35" t="s">
        <v>3347</v>
      </c>
      <c r="U50" s="36" t="s">
        <v>3348</v>
      </c>
      <c r="V50" s="31">
        <v>0</v>
      </c>
      <c r="W50" s="30">
        <v>0</v>
      </c>
      <c r="X50" s="31">
        <v>0</v>
      </c>
      <c r="Y50" s="31">
        <v>0</v>
      </c>
      <c r="Z50" s="31">
        <v>0</v>
      </c>
      <c r="AA50" s="30">
        <v>0</v>
      </c>
      <c r="AB50" s="4">
        <v>540</v>
      </c>
      <c r="AC50" s="4">
        <v>0</v>
      </c>
      <c r="AD50" s="4">
        <v>0.8</v>
      </c>
      <c r="AE50" s="33" t="s">
        <v>3493</v>
      </c>
      <c r="AF50" s="4">
        <v>41</v>
      </c>
      <c r="AG50" s="4">
        <v>0</v>
      </c>
      <c r="AH50" s="29">
        <v>0</v>
      </c>
      <c r="AI50" s="30">
        <v>0</v>
      </c>
      <c r="AJ50" s="29">
        <v>0</v>
      </c>
      <c r="AK50" s="30">
        <v>0</v>
      </c>
      <c r="AL50" s="33" t="s">
        <v>3355</v>
      </c>
      <c r="AM50" s="4" t="s">
        <v>9796</v>
      </c>
      <c r="AN50" s="4">
        <v>1405</v>
      </c>
      <c r="AO50" s="4" t="s">
        <v>3356</v>
      </c>
    </row>
    <row r="51" spans="1:41" x14ac:dyDescent="0.15">
      <c r="A51" s="4" t="s">
        <v>2662</v>
      </c>
      <c r="C51" s="4" t="s">
        <v>2928</v>
      </c>
      <c r="D51" s="4">
        <v>1406</v>
      </c>
      <c r="H51" s="4">
        <v>10</v>
      </c>
      <c r="I51" s="4">
        <v>0.8</v>
      </c>
      <c r="J51" s="4">
        <v>1</v>
      </c>
      <c r="K51" s="4">
        <v>1</v>
      </c>
      <c r="L51" s="4">
        <v>3</v>
      </c>
      <c r="M51" s="4">
        <v>1</v>
      </c>
      <c r="N51" s="4">
        <v>0</v>
      </c>
      <c r="O51" s="4">
        <v>0</v>
      </c>
      <c r="P51" s="4">
        <v>0</v>
      </c>
      <c r="Q51" s="4">
        <v>31</v>
      </c>
      <c r="R51" s="29" t="b">
        <v>0</v>
      </c>
      <c r="S51" s="31">
        <v>0</v>
      </c>
      <c r="T51" s="35" t="s">
        <v>3347</v>
      </c>
      <c r="U51" s="36" t="s">
        <v>3357</v>
      </c>
      <c r="V51" s="31">
        <v>0</v>
      </c>
      <c r="W51" s="30">
        <v>0</v>
      </c>
      <c r="X51" s="31">
        <v>0</v>
      </c>
      <c r="Y51" s="31">
        <v>0</v>
      </c>
      <c r="Z51" s="31">
        <v>0</v>
      </c>
      <c r="AA51" s="30">
        <v>0</v>
      </c>
      <c r="AB51" s="4">
        <v>550</v>
      </c>
      <c r="AC51" s="4">
        <v>0</v>
      </c>
      <c r="AD51" s="4">
        <v>0.8</v>
      </c>
      <c r="AE51" s="33">
        <v>0.3</v>
      </c>
      <c r="AF51" s="4">
        <v>41</v>
      </c>
      <c r="AG51" s="4">
        <v>0</v>
      </c>
      <c r="AH51" s="29">
        <v>0</v>
      </c>
      <c r="AI51" s="30">
        <v>0</v>
      </c>
      <c r="AJ51" s="29">
        <v>0</v>
      </c>
      <c r="AK51" s="30">
        <v>0</v>
      </c>
      <c r="AL51" s="29">
        <v>0</v>
      </c>
      <c r="AM51" s="4" t="s">
        <v>9797</v>
      </c>
      <c r="AN51" s="4">
        <v>1406</v>
      </c>
      <c r="AO51" s="4" t="s">
        <v>3356</v>
      </c>
    </row>
    <row r="52" spans="1:41" x14ac:dyDescent="0.15">
      <c r="A52" s="4" t="s">
        <v>2662</v>
      </c>
      <c r="C52" s="4" t="s">
        <v>2929</v>
      </c>
      <c r="D52" s="4">
        <v>1407</v>
      </c>
      <c r="H52" s="4">
        <v>1</v>
      </c>
      <c r="I52" s="4">
        <v>0.8</v>
      </c>
      <c r="J52" s="4">
        <v>1</v>
      </c>
      <c r="K52" s="4">
        <v>0.4</v>
      </c>
      <c r="L52" s="4">
        <v>3</v>
      </c>
      <c r="M52" s="4">
        <v>1</v>
      </c>
      <c r="N52" s="4">
        <v>0</v>
      </c>
      <c r="O52" s="4">
        <v>0</v>
      </c>
      <c r="P52" s="4">
        <v>0</v>
      </c>
      <c r="Q52" s="4">
        <v>3</v>
      </c>
      <c r="R52" s="29" t="b">
        <v>0</v>
      </c>
      <c r="S52" s="31">
        <v>0</v>
      </c>
      <c r="T52" s="35" t="s">
        <v>3347</v>
      </c>
      <c r="U52" s="36" t="s">
        <v>3348</v>
      </c>
      <c r="V52" s="31">
        <v>0</v>
      </c>
      <c r="W52" s="30">
        <v>0</v>
      </c>
      <c r="X52" s="31">
        <v>0</v>
      </c>
      <c r="Y52" s="31">
        <v>0</v>
      </c>
      <c r="Z52" s="31">
        <v>0</v>
      </c>
      <c r="AA52" s="30">
        <v>0</v>
      </c>
      <c r="AB52" s="4">
        <v>540</v>
      </c>
      <c r="AC52" s="4">
        <v>0</v>
      </c>
      <c r="AD52" s="4">
        <v>0.8</v>
      </c>
      <c r="AE52" s="33" t="s">
        <v>3358</v>
      </c>
      <c r="AF52" s="4">
        <v>41</v>
      </c>
      <c r="AG52" s="4">
        <v>0</v>
      </c>
      <c r="AH52" s="29">
        <v>0</v>
      </c>
      <c r="AI52" s="30">
        <v>0</v>
      </c>
      <c r="AJ52" s="29">
        <v>0</v>
      </c>
      <c r="AK52" s="30">
        <v>0</v>
      </c>
      <c r="AL52" s="33" t="s">
        <v>3355</v>
      </c>
      <c r="AM52" s="4" t="s">
        <v>9796</v>
      </c>
      <c r="AN52" s="4">
        <v>1407</v>
      </c>
      <c r="AO52" s="4" t="s">
        <v>3356</v>
      </c>
    </row>
    <row r="53" spans="1:41" x14ac:dyDescent="0.15">
      <c r="A53" s="4" t="s">
        <v>2662</v>
      </c>
      <c r="C53" s="4" t="s">
        <v>2930</v>
      </c>
      <c r="D53" s="4">
        <v>1408</v>
      </c>
      <c r="H53" s="4">
        <v>10</v>
      </c>
      <c r="I53" s="4">
        <v>0.8</v>
      </c>
      <c r="J53" s="4">
        <v>1</v>
      </c>
      <c r="K53" s="4">
        <v>1</v>
      </c>
      <c r="L53" s="4">
        <v>3</v>
      </c>
      <c r="M53" s="4">
        <v>1</v>
      </c>
      <c r="N53" s="4">
        <v>0</v>
      </c>
      <c r="O53" s="4">
        <v>0</v>
      </c>
      <c r="P53" s="4">
        <v>0</v>
      </c>
      <c r="Q53" s="4">
        <v>31</v>
      </c>
      <c r="R53" s="29" t="b">
        <v>0</v>
      </c>
      <c r="S53" s="31">
        <v>0</v>
      </c>
      <c r="T53" s="35" t="s">
        <v>3347</v>
      </c>
      <c r="U53" s="36" t="s">
        <v>3357</v>
      </c>
      <c r="V53" s="31">
        <v>0</v>
      </c>
      <c r="W53" s="30">
        <v>0</v>
      </c>
      <c r="X53" s="31">
        <v>0</v>
      </c>
      <c r="Y53" s="31">
        <v>0</v>
      </c>
      <c r="Z53" s="31">
        <v>0</v>
      </c>
      <c r="AA53" s="30">
        <v>0</v>
      </c>
      <c r="AB53" s="4">
        <v>550</v>
      </c>
      <c r="AC53" s="4">
        <v>0</v>
      </c>
      <c r="AD53" s="4">
        <v>0.8</v>
      </c>
      <c r="AE53" s="33" t="s">
        <v>9795</v>
      </c>
      <c r="AF53" s="4">
        <v>41</v>
      </c>
      <c r="AG53" s="4">
        <v>0</v>
      </c>
      <c r="AH53" s="29">
        <v>0</v>
      </c>
      <c r="AI53" s="30">
        <v>0</v>
      </c>
      <c r="AJ53" s="29">
        <v>0</v>
      </c>
      <c r="AK53" s="30">
        <v>0</v>
      </c>
      <c r="AL53" s="33" t="s">
        <v>9795</v>
      </c>
      <c r="AM53" s="4" t="s">
        <v>9797</v>
      </c>
      <c r="AN53" s="4">
        <v>1408</v>
      </c>
      <c r="AO53" s="4" t="s">
        <v>3356</v>
      </c>
    </row>
    <row r="54" spans="1:41" x14ac:dyDescent="0.15">
      <c r="A54" s="4" t="s">
        <v>2662</v>
      </c>
      <c r="C54" s="4" t="s">
        <v>2931</v>
      </c>
      <c r="D54" s="4">
        <v>1409</v>
      </c>
      <c r="H54" s="4">
        <v>1</v>
      </c>
      <c r="I54" s="4">
        <v>0.8</v>
      </c>
      <c r="J54" s="4">
        <v>1</v>
      </c>
      <c r="K54" s="4">
        <v>0.4</v>
      </c>
      <c r="L54" s="4">
        <v>3</v>
      </c>
      <c r="M54" s="4">
        <v>1</v>
      </c>
      <c r="N54" s="4">
        <v>0</v>
      </c>
      <c r="O54" s="4">
        <v>0</v>
      </c>
      <c r="P54" s="4">
        <v>0</v>
      </c>
      <c r="Q54" s="4">
        <v>3</v>
      </c>
      <c r="R54" s="29" t="b">
        <v>0</v>
      </c>
      <c r="S54" s="31">
        <v>0</v>
      </c>
      <c r="T54" s="35" t="s">
        <v>3347</v>
      </c>
      <c r="U54" s="36" t="s">
        <v>3357</v>
      </c>
      <c r="V54" s="31">
        <v>0</v>
      </c>
      <c r="W54" s="30">
        <v>0</v>
      </c>
      <c r="X54" s="31">
        <v>0</v>
      </c>
      <c r="Y54" s="31">
        <v>0</v>
      </c>
      <c r="Z54" s="31">
        <v>0</v>
      </c>
      <c r="AA54" s="30">
        <v>0</v>
      </c>
      <c r="AB54" s="4">
        <v>540</v>
      </c>
      <c r="AC54" s="4">
        <v>0</v>
      </c>
      <c r="AD54" s="4">
        <v>0.8</v>
      </c>
      <c r="AE54" s="33" t="s">
        <v>3355</v>
      </c>
      <c r="AF54" s="4">
        <v>41</v>
      </c>
      <c r="AG54" s="4">
        <v>0</v>
      </c>
      <c r="AH54" s="29">
        <v>0</v>
      </c>
      <c r="AI54" s="30">
        <v>0</v>
      </c>
      <c r="AJ54" s="29">
        <v>0</v>
      </c>
      <c r="AK54" s="30">
        <v>0</v>
      </c>
      <c r="AL54" s="33" t="s">
        <v>3355</v>
      </c>
      <c r="AM54" s="4" t="s">
        <v>9796</v>
      </c>
      <c r="AN54" s="4">
        <v>1409</v>
      </c>
      <c r="AO54" s="4" t="s">
        <v>3356</v>
      </c>
    </row>
    <row r="55" spans="1:41" x14ac:dyDescent="0.15">
      <c r="A55" s="4" t="s">
        <v>2662</v>
      </c>
      <c r="C55" s="4" t="s">
        <v>2932</v>
      </c>
      <c r="D55" s="4">
        <v>1410</v>
      </c>
      <c r="H55" s="4">
        <v>10</v>
      </c>
      <c r="I55" s="4">
        <v>0.8</v>
      </c>
      <c r="J55" s="4">
        <v>1</v>
      </c>
      <c r="K55" s="4">
        <v>1</v>
      </c>
      <c r="L55" s="4">
        <v>3</v>
      </c>
      <c r="M55" s="4">
        <v>1</v>
      </c>
      <c r="N55" s="4">
        <v>0</v>
      </c>
      <c r="O55" s="4">
        <v>0</v>
      </c>
      <c r="P55" s="4">
        <v>0</v>
      </c>
      <c r="Q55" s="4">
        <v>31</v>
      </c>
      <c r="R55" s="29" t="b">
        <v>0</v>
      </c>
      <c r="S55" s="31">
        <v>0</v>
      </c>
      <c r="T55" s="35" t="s">
        <v>3347</v>
      </c>
      <c r="U55" s="36" t="s">
        <v>3357</v>
      </c>
      <c r="V55" s="31">
        <v>0</v>
      </c>
      <c r="W55" s="30">
        <v>0</v>
      </c>
      <c r="X55" s="31">
        <v>0</v>
      </c>
      <c r="Y55" s="31">
        <v>0</v>
      </c>
      <c r="Z55" s="31">
        <v>0</v>
      </c>
      <c r="AA55" s="30">
        <v>0</v>
      </c>
      <c r="AB55" s="4">
        <v>550</v>
      </c>
      <c r="AC55" s="4">
        <v>0</v>
      </c>
      <c r="AD55" s="4">
        <v>0.8</v>
      </c>
      <c r="AE55" s="33" t="s">
        <v>3494</v>
      </c>
      <c r="AF55" s="4">
        <v>41</v>
      </c>
      <c r="AG55" s="4">
        <v>0</v>
      </c>
      <c r="AH55" s="29">
        <v>0</v>
      </c>
      <c r="AI55" s="30">
        <v>0</v>
      </c>
      <c r="AJ55" s="29">
        <v>0</v>
      </c>
      <c r="AK55" s="30">
        <v>0</v>
      </c>
      <c r="AL55" s="33" t="s">
        <v>3494</v>
      </c>
      <c r="AM55" s="4" t="s">
        <v>9797</v>
      </c>
      <c r="AN55" s="4">
        <v>1410</v>
      </c>
      <c r="AO55" s="4" t="s">
        <v>3356</v>
      </c>
    </row>
    <row r="57" spans="1:41" ht="11.25" customHeight="1" x14ac:dyDescent="0.15"/>
    <row r="58" spans="1:41" x14ac:dyDescent="0.15">
      <c r="A58" s="4" t="s">
        <v>2662</v>
      </c>
      <c r="B58" s="4">
        <v>5</v>
      </c>
      <c r="C58" s="4" t="s">
        <v>2923</v>
      </c>
      <c r="D58" s="4">
        <v>1501</v>
      </c>
      <c r="G58" s="4" t="s">
        <v>3748</v>
      </c>
      <c r="H58" s="4">
        <v>2</v>
      </c>
      <c r="I58" s="4">
        <v>3</v>
      </c>
      <c r="J58" s="4">
        <v>2</v>
      </c>
      <c r="K58" s="4">
        <v>0</v>
      </c>
      <c r="L58" s="4">
        <v>3</v>
      </c>
      <c r="M58" s="4">
        <v>1</v>
      </c>
      <c r="N58" s="4">
        <v>0</v>
      </c>
      <c r="O58" s="4">
        <v>0</v>
      </c>
      <c r="P58" s="4">
        <v>0</v>
      </c>
      <c r="Q58" s="4">
        <v>6</v>
      </c>
      <c r="R58" s="29" t="b">
        <v>0</v>
      </c>
      <c r="S58" s="31">
        <v>0</v>
      </c>
      <c r="T58" s="35" t="s">
        <v>3347</v>
      </c>
      <c r="U58" s="36" t="s">
        <v>3348</v>
      </c>
      <c r="V58" s="31">
        <v>1</v>
      </c>
      <c r="W58" s="30">
        <v>0.8</v>
      </c>
      <c r="X58" s="31">
        <v>0</v>
      </c>
      <c r="Y58" s="31">
        <v>0</v>
      </c>
      <c r="Z58" s="31">
        <v>0</v>
      </c>
      <c r="AA58" s="30">
        <v>0</v>
      </c>
      <c r="AB58" s="4">
        <v>910</v>
      </c>
      <c r="AC58" s="4">
        <v>0</v>
      </c>
      <c r="AD58" s="4">
        <v>0.8</v>
      </c>
      <c r="AE58" s="33">
        <v>0</v>
      </c>
      <c r="AF58" s="4">
        <v>0</v>
      </c>
      <c r="AG58" s="4">
        <v>0</v>
      </c>
      <c r="AH58" s="29">
        <v>1</v>
      </c>
      <c r="AI58" s="30">
        <v>0.8</v>
      </c>
      <c r="AJ58" s="29">
        <v>0</v>
      </c>
      <c r="AK58" s="30">
        <v>0</v>
      </c>
      <c r="AL58" s="29">
        <v>0</v>
      </c>
      <c r="AN58" s="4">
        <v>0</v>
      </c>
      <c r="AO58" s="4" t="s">
        <v>3349</v>
      </c>
    </row>
    <row r="59" spans="1:41" x14ac:dyDescent="0.15">
      <c r="A59" s="4" t="s">
        <v>3350</v>
      </c>
      <c r="C59" s="4" t="s">
        <v>3351</v>
      </c>
      <c r="D59" s="4">
        <v>1502</v>
      </c>
      <c r="G59" s="4" t="s">
        <v>3730</v>
      </c>
      <c r="H59" s="4">
        <v>3</v>
      </c>
      <c r="I59" s="4">
        <v>10</v>
      </c>
      <c r="J59" s="4">
        <v>1</v>
      </c>
      <c r="K59" s="4">
        <v>2</v>
      </c>
      <c r="L59" s="4">
        <v>3</v>
      </c>
      <c r="M59" s="4">
        <v>1</v>
      </c>
      <c r="N59" s="4">
        <v>0</v>
      </c>
      <c r="O59" s="4">
        <v>0</v>
      </c>
      <c r="P59" s="4">
        <v>0</v>
      </c>
      <c r="Q59" s="4">
        <v>5</v>
      </c>
      <c r="R59" s="29" t="b">
        <v>0</v>
      </c>
      <c r="S59" s="31">
        <v>0</v>
      </c>
      <c r="T59" s="35" t="s">
        <v>3352</v>
      </c>
      <c r="U59" s="36" t="s">
        <v>3348</v>
      </c>
      <c r="V59" s="31">
        <v>2</v>
      </c>
      <c r="W59" s="30">
        <v>0.8</v>
      </c>
      <c r="X59" s="31">
        <v>0</v>
      </c>
      <c r="Y59" s="31">
        <v>0</v>
      </c>
      <c r="Z59" s="31">
        <v>0</v>
      </c>
      <c r="AA59" s="30">
        <v>0</v>
      </c>
      <c r="AB59" s="4">
        <v>900</v>
      </c>
      <c r="AC59" s="4">
        <v>0</v>
      </c>
      <c r="AD59" s="4">
        <v>1</v>
      </c>
      <c r="AE59" s="33" t="s">
        <v>3681</v>
      </c>
      <c r="AF59" s="4">
        <v>52</v>
      </c>
      <c r="AG59" s="4">
        <v>0</v>
      </c>
      <c r="AH59" s="29">
        <v>0</v>
      </c>
      <c r="AI59" s="30">
        <v>0</v>
      </c>
      <c r="AJ59" s="29">
        <v>0</v>
      </c>
      <c r="AK59" s="30">
        <v>0</v>
      </c>
      <c r="AL59" s="29">
        <v>0</v>
      </c>
      <c r="AM59" s="4" t="s">
        <v>9991</v>
      </c>
      <c r="AN59" s="4">
        <v>1</v>
      </c>
    </row>
    <row r="60" spans="1:41" x14ac:dyDescent="0.15">
      <c r="A60" s="4" t="s">
        <v>2662</v>
      </c>
      <c r="C60" s="4" t="s">
        <v>2925</v>
      </c>
      <c r="D60" s="4">
        <v>1503</v>
      </c>
      <c r="H60" s="4">
        <v>6</v>
      </c>
      <c r="I60" s="4">
        <v>40</v>
      </c>
      <c r="J60" s="4">
        <v>1</v>
      </c>
      <c r="K60" s="4">
        <v>0</v>
      </c>
      <c r="L60" s="4">
        <v>3</v>
      </c>
      <c r="M60" s="4">
        <v>1</v>
      </c>
      <c r="N60" s="4">
        <v>0</v>
      </c>
      <c r="O60" s="4">
        <v>0</v>
      </c>
      <c r="P60" s="4">
        <v>0</v>
      </c>
      <c r="Q60" s="4">
        <v>0</v>
      </c>
      <c r="R60" s="29" t="b">
        <v>0</v>
      </c>
      <c r="S60" s="31">
        <v>0</v>
      </c>
      <c r="T60" s="35" t="s">
        <v>3347</v>
      </c>
      <c r="U60" s="36" t="s">
        <v>3348</v>
      </c>
      <c r="V60" s="31">
        <v>1</v>
      </c>
      <c r="W60" s="30">
        <v>0.8</v>
      </c>
      <c r="X60" s="31">
        <v>0</v>
      </c>
      <c r="Y60" s="31">
        <v>0</v>
      </c>
      <c r="Z60" s="31">
        <v>0</v>
      </c>
      <c r="AA60" s="30">
        <v>0</v>
      </c>
      <c r="AB60" s="4">
        <v>860</v>
      </c>
      <c r="AC60" s="4">
        <v>0</v>
      </c>
      <c r="AD60" s="4">
        <v>0.8</v>
      </c>
      <c r="AE60" s="33">
        <v>0.8</v>
      </c>
      <c r="AF60" s="4">
        <v>0</v>
      </c>
      <c r="AG60" s="4">
        <v>0</v>
      </c>
      <c r="AH60" s="29">
        <v>0</v>
      </c>
      <c r="AI60" s="30">
        <v>0</v>
      </c>
      <c r="AJ60" s="29">
        <v>0</v>
      </c>
      <c r="AK60" s="30">
        <v>0</v>
      </c>
      <c r="AL60" s="29">
        <v>0</v>
      </c>
      <c r="AM60" s="4" t="s">
        <v>9992</v>
      </c>
      <c r="AN60" s="4">
        <v>99</v>
      </c>
    </row>
    <row r="61" spans="1:41" x14ac:dyDescent="0.15">
      <c r="A61" s="4" t="s">
        <v>2662</v>
      </c>
      <c r="C61" s="4" t="s">
        <v>2926</v>
      </c>
      <c r="D61" s="4">
        <v>1504</v>
      </c>
      <c r="G61" s="4" t="s">
        <v>3731</v>
      </c>
      <c r="H61" s="4">
        <v>4</v>
      </c>
      <c r="I61" s="4">
        <v>1</v>
      </c>
      <c r="J61" s="4">
        <v>1</v>
      </c>
      <c r="K61" s="4">
        <v>1</v>
      </c>
      <c r="L61" s="4">
        <v>3</v>
      </c>
      <c r="M61" s="4">
        <v>1</v>
      </c>
      <c r="N61" s="4">
        <v>0</v>
      </c>
      <c r="O61" s="4">
        <v>0</v>
      </c>
      <c r="P61" s="4">
        <v>0</v>
      </c>
      <c r="Q61" s="4">
        <v>0</v>
      </c>
      <c r="R61" s="29" t="b">
        <v>0</v>
      </c>
      <c r="S61" s="31">
        <v>0</v>
      </c>
      <c r="T61" s="35" t="s">
        <v>3347</v>
      </c>
      <c r="U61" s="36" t="s">
        <v>3348</v>
      </c>
      <c r="V61" s="31">
        <v>0</v>
      </c>
      <c r="W61" s="30">
        <v>0</v>
      </c>
      <c r="X61" s="31">
        <v>0</v>
      </c>
      <c r="Y61" s="31">
        <v>0</v>
      </c>
      <c r="Z61" s="31">
        <v>0</v>
      </c>
      <c r="AA61" s="30">
        <v>0</v>
      </c>
      <c r="AB61" s="4">
        <v>920</v>
      </c>
      <c r="AC61" s="4">
        <v>0</v>
      </c>
      <c r="AD61" s="4">
        <v>3</v>
      </c>
      <c r="AE61" s="33" t="s">
        <v>3678</v>
      </c>
      <c r="AF61" s="4">
        <v>53</v>
      </c>
      <c r="AG61" s="4">
        <v>0</v>
      </c>
      <c r="AH61" s="29">
        <v>0</v>
      </c>
      <c r="AI61" s="30">
        <v>0</v>
      </c>
      <c r="AJ61" s="29">
        <v>0</v>
      </c>
      <c r="AK61" s="30">
        <v>0</v>
      </c>
      <c r="AL61" s="29">
        <v>0</v>
      </c>
      <c r="AM61" s="4" t="s">
        <v>9993</v>
      </c>
      <c r="AN61" s="4">
        <v>1</v>
      </c>
      <c r="AO61" s="4" t="s">
        <v>3354</v>
      </c>
    </row>
    <row r="62" spans="1:41" x14ac:dyDescent="0.15">
      <c r="A62" s="4" t="s">
        <v>2662</v>
      </c>
      <c r="C62" s="4" t="s">
        <v>2927</v>
      </c>
      <c r="D62" s="4">
        <v>1505</v>
      </c>
      <c r="H62" s="4">
        <v>1</v>
      </c>
      <c r="I62" s="4">
        <v>0.8</v>
      </c>
      <c r="J62" s="4">
        <v>1</v>
      </c>
      <c r="K62" s="4">
        <v>1</v>
      </c>
      <c r="L62" s="4">
        <v>3</v>
      </c>
      <c r="M62" s="4">
        <v>1</v>
      </c>
      <c r="N62" s="4">
        <v>0</v>
      </c>
      <c r="O62" s="4">
        <v>0</v>
      </c>
      <c r="P62" s="4">
        <v>0</v>
      </c>
      <c r="Q62" s="4">
        <v>3</v>
      </c>
      <c r="R62" s="29" t="b">
        <v>0</v>
      </c>
      <c r="S62" s="31">
        <v>0</v>
      </c>
      <c r="T62" s="35" t="s">
        <v>3347</v>
      </c>
      <c r="U62" s="36" t="s">
        <v>3348</v>
      </c>
      <c r="V62" s="31">
        <v>0</v>
      </c>
      <c r="W62" s="30">
        <v>0</v>
      </c>
      <c r="X62" s="31">
        <v>0</v>
      </c>
      <c r="Y62" s="31">
        <v>0</v>
      </c>
      <c r="Z62" s="31">
        <v>0</v>
      </c>
      <c r="AA62" s="30">
        <v>0</v>
      </c>
      <c r="AB62" s="4">
        <v>0</v>
      </c>
      <c r="AC62" s="4">
        <v>0</v>
      </c>
      <c r="AD62" s="4">
        <v>0.8</v>
      </c>
      <c r="AE62" s="33" t="s">
        <v>3767</v>
      </c>
      <c r="AF62" s="4">
        <v>51</v>
      </c>
      <c r="AG62" s="4">
        <v>0</v>
      </c>
      <c r="AH62" s="29">
        <v>0</v>
      </c>
      <c r="AI62" s="30">
        <v>0</v>
      </c>
      <c r="AJ62" s="29">
        <v>0</v>
      </c>
      <c r="AK62" s="30">
        <v>0</v>
      </c>
      <c r="AL62" s="29">
        <v>0</v>
      </c>
      <c r="AM62" s="4" t="s">
        <v>9981</v>
      </c>
      <c r="AN62" s="4">
        <v>1</v>
      </c>
      <c r="AO62" s="4" t="s">
        <v>3356</v>
      </c>
    </row>
    <row r="63" spans="1:41" x14ac:dyDescent="0.15">
      <c r="A63" s="4" t="s">
        <v>2662</v>
      </c>
      <c r="C63" s="4" t="s">
        <v>2928</v>
      </c>
      <c r="D63" s="4">
        <v>1506</v>
      </c>
      <c r="H63" s="4">
        <v>10</v>
      </c>
      <c r="I63" s="4">
        <v>0.8</v>
      </c>
      <c r="J63" s="4">
        <v>1</v>
      </c>
      <c r="K63" s="4">
        <v>1</v>
      </c>
      <c r="L63" s="4">
        <v>3</v>
      </c>
      <c r="M63" s="4">
        <v>1</v>
      </c>
      <c r="N63" s="4">
        <v>0</v>
      </c>
      <c r="O63" s="4">
        <v>0</v>
      </c>
      <c r="P63" s="4">
        <v>0</v>
      </c>
      <c r="Q63" s="4">
        <v>31</v>
      </c>
      <c r="R63" s="29" t="b">
        <v>0</v>
      </c>
      <c r="S63" s="31">
        <v>0</v>
      </c>
      <c r="T63" s="35" t="s">
        <v>3347</v>
      </c>
      <c r="U63" s="36" t="s">
        <v>3357</v>
      </c>
      <c r="V63" s="31">
        <v>0</v>
      </c>
      <c r="W63" s="30">
        <v>0</v>
      </c>
      <c r="X63" s="31">
        <v>0</v>
      </c>
      <c r="Y63" s="31">
        <v>0</v>
      </c>
      <c r="Z63" s="31">
        <v>0</v>
      </c>
      <c r="AA63" s="30">
        <v>0</v>
      </c>
      <c r="AB63" s="4">
        <v>880</v>
      </c>
      <c r="AC63" s="4">
        <v>0</v>
      </c>
      <c r="AD63" s="4">
        <v>0.8</v>
      </c>
      <c r="AE63" s="33" t="s">
        <v>3677</v>
      </c>
      <c r="AF63" s="4">
        <v>51</v>
      </c>
      <c r="AG63" s="4">
        <v>0</v>
      </c>
      <c r="AH63" s="29">
        <v>0</v>
      </c>
      <c r="AI63" s="30">
        <v>0</v>
      </c>
      <c r="AJ63" s="29">
        <v>0</v>
      </c>
      <c r="AK63" s="30">
        <v>0</v>
      </c>
      <c r="AL63" s="29">
        <v>0</v>
      </c>
      <c r="AN63" s="4">
        <v>1</v>
      </c>
      <c r="AO63" s="4" t="s">
        <v>3356</v>
      </c>
    </row>
    <row r="64" spans="1:41" x14ac:dyDescent="0.15">
      <c r="A64" s="4" t="s">
        <v>2662</v>
      </c>
      <c r="C64" s="4" t="s">
        <v>2929</v>
      </c>
      <c r="D64" s="4">
        <v>1507</v>
      </c>
      <c r="H64" s="4">
        <v>1</v>
      </c>
      <c r="I64" s="4">
        <v>0.8</v>
      </c>
      <c r="J64" s="4">
        <v>1</v>
      </c>
      <c r="K64" s="4">
        <v>1</v>
      </c>
      <c r="L64" s="4">
        <v>3</v>
      </c>
      <c r="M64" s="4">
        <v>1</v>
      </c>
      <c r="N64" s="4">
        <v>0</v>
      </c>
      <c r="O64" s="4">
        <v>0</v>
      </c>
      <c r="P64" s="4">
        <v>0</v>
      </c>
      <c r="Q64" s="4">
        <v>3</v>
      </c>
      <c r="R64" s="29" t="b">
        <v>0</v>
      </c>
      <c r="S64" s="31">
        <v>0</v>
      </c>
      <c r="T64" s="35" t="s">
        <v>3347</v>
      </c>
      <c r="U64" s="36" t="s">
        <v>3348</v>
      </c>
      <c r="V64" s="31">
        <v>0</v>
      </c>
      <c r="W64" s="30">
        <v>0</v>
      </c>
      <c r="X64" s="31">
        <v>0</v>
      </c>
      <c r="Y64" s="31">
        <v>0</v>
      </c>
      <c r="Z64" s="31">
        <v>0</v>
      </c>
      <c r="AA64" s="30">
        <v>0</v>
      </c>
      <c r="AB64" s="4">
        <v>0</v>
      </c>
      <c r="AC64" s="4">
        <v>0</v>
      </c>
      <c r="AD64" s="4">
        <v>0.8</v>
      </c>
      <c r="AE64" s="33" t="s">
        <v>3773</v>
      </c>
      <c r="AF64" s="4">
        <v>51</v>
      </c>
      <c r="AG64" s="4">
        <v>0</v>
      </c>
      <c r="AH64" s="29">
        <v>0</v>
      </c>
      <c r="AI64" s="30">
        <v>0</v>
      </c>
      <c r="AJ64" s="29">
        <v>0</v>
      </c>
      <c r="AK64" s="30">
        <v>0</v>
      </c>
      <c r="AL64" s="29">
        <v>0</v>
      </c>
      <c r="AM64" s="4" t="s">
        <v>9981</v>
      </c>
      <c r="AN64" s="4">
        <v>1</v>
      </c>
      <c r="AO64" s="4" t="s">
        <v>3356</v>
      </c>
    </row>
    <row r="65" spans="1:41" x14ac:dyDescent="0.15">
      <c r="A65" s="4" t="s">
        <v>2662</v>
      </c>
      <c r="C65" s="4" t="s">
        <v>2930</v>
      </c>
      <c r="D65" s="4">
        <v>1508</v>
      </c>
      <c r="H65" s="4">
        <v>10</v>
      </c>
      <c r="I65" s="4">
        <v>0.8</v>
      </c>
      <c r="J65" s="4">
        <v>1</v>
      </c>
      <c r="K65" s="4">
        <v>1</v>
      </c>
      <c r="L65" s="4">
        <v>3</v>
      </c>
      <c r="M65" s="4">
        <v>1</v>
      </c>
      <c r="N65" s="4">
        <v>0</v>
      </c>
      <c r="O65" s="4">
        <v>0</v>
      </c>
      <c r="P65" s="4">
        <v>0</v>
      </c>
      <c r="Q65" s="4">
        <v>31</v>
      </c>
      <c r="R65" s="29" t="b">
        <v>0</v>
      </c>
      <c r="S65" s="31">
        <v>0</v>
      </c>
      <c r="T65" s="35" t="s">
        <v>3347</v>
      </c>
      <c r="U65" s="36" t="s">
        <v>3357</v>
      </c>
      <c r="V65" s="31">
        <v>0</v>
      </c>
      <c r="W65" s="30">
        <v>0</v>
      </c>
      <c r="X65" s="31">
        <v>0</v>
      </c>
      <c r="Y65" s="31">
        <v>0</v>
      </c>
      <c r="Z65" s="31">
        <v>0</v>
      </c>
      <c r="AA65" s="30">
        <v>0</v>
      </c>
      <c r="AB65" s="4">
        <v>880</v>
      </c>
      <c r="AC65" s="4">
        <v>0</v>
      </c>
      <c r="AD65" s="4">
        <v>0.8</v>
      </c>
      <c r="AE65" s="33" t="s">
        <v>3775</v>
      </c>
      <c r="AF65" s="4">
        <v>51</v>
      </c>
      <c r="AG65" s="4">
        <v>0</v>
      </c>
      <c r="AH65" s="29">
        <v>0</v>
      </c>
      <c r="AI65" s="30">
        <v>0</v>
      </c>
      <c r="AJ65" s="29">
        <v>0</v>
      </c>
      <c r="AK65" s="30">
        <v>0</v>
      </c>
      <c r="AL65" s="29">
        <v>0</v>
      </c>
      <c r="AN65" s="4">
        <v>1</v>
      </c>
      <c r="AO65" s="4" t="s">
        <v>3356</v>
      </c>
    </row>
    <row r="66" spans="1:41" x14ac:dyDescent="0.15">
      <c r="A66" s="4" t="s">
        <v>2662</v>
      </c>
      <c r="C66" s="4" t="s">
        <v>2931</v>
      </c>
      <c r="D66" s="4">
        <v>1509</v>
      </c>
      <c r="H66" s="4">
        <v>1</v>
      </c>
      <c r="I66" s="4">
        <v>0.8</v>
      </c>
      <c r="J66" s="4">
        <v>1</v>
      </c>
      <c r="K66" s="4">
        <v>1</v>
      </c>
      <c r="L66" s="4">
        <v>3</v>
      </c>
      <c r="M66" s="4">
        <v>1</v>
      </c>
      <c r="N66" s="4">
        <v>0</v>
      </c>
      <c r="O66" s="4">
        <v>0</v>
      </c>
      <c r="P66" s="4">
        <v>0</v>
      </c>
      <c r="Q66" s="4">
        <v>3</v>
      </c>
      <c r="R66" s="29" t="b">
        <v>0</v>
      </c>
      <c r="S66" s="31">
        <v>0</v>
      </c>
      <c r="T66" s="35" t="s">
        <v>3347</v>
      </c>
      <c r="U66" s="36" t="s">
        <v>3357</v>
      </c>
      <c r="V66" s="31">
        <v>0</v>
      </c>
      <c r="W66" s="30">
        <v>0</v>
      </c>
      <c r="X66" s="31">
        <v>0</v>
      </c>
      <c r="Y66" s="31">
        <v>0</v>
      </c>
      <c r="Z66" s="31">
        <v>0</v>
      </c>
      <c r="AA66" s="30">
        <v>0</v>
      </c>
      <c r="AB66" s="4">
        <v>0</v>
      </c>
      <c r="AC66" s="4">
        <v>0</v>
      </c>
      <c r="AD66" s="4">
        <v>0.8</v>
      </c>
      <c r="AE66" s="33" t="s">
        <v>3592</v>
      </c>
      <c r="AF66" s="4">
        <v>51</v>
      </c>
      <c r="AG66" s="4">
        <v>0</v>
      </c>
      <c r="AH66" s="29">
        <v>0</v>
      </c>
      <c r="AI66" s="30">
        <v>0</v>
      </c>
      <c r="AJ66" s="29">
        <v>0</v>
      </c>
      <c r="AK66" s="30">
        <v>0</v>
      </c>
      <c r="AL66" s="29">
        <v>0</v>
      </c>
      <c r="AM66" s="4" t="s">
        <v>9981</v>
      </c>
      <c r="AN66" s="4">
        <v>1</v>
      </c>
      <c r="AO66" s="4" t="s">
        <v>3356</v>
      </c>
    </row>
    <row r="67" spans="1:41" x14ac:dyDescent="0.15">
      <c r="A67" s="4" t="s">
        <v>2662</v>
      </c>
      <c r="C67" s="4" t="s">
        <v>2932</v>
      </c>
      <c r="D67" s="4">
        <v>1510</v>
      </c>
      <c r="H67" s="4">
        <v>10</v>
      </c>
      <c r="I67" s="4">
        <v>0.8</v>
      </c>
      <c r="J67" s="4">
        <v>1</v>
      </c>
      <c r="K67" s="4">
        <v>1</v>
      </c>
      <c r="L67" s="4">
        <v>3</v>
      </c>
      <c r="M67" s="4">
        <v>1</v>
      </c>
      <c r="N67" s="4">
        <v>0</v>
      </c>
      <c r="O67" s="4">
        <v>0</v>
      </c>
      <c r="P67" s="4">
        <v>0</v>
      </c>
      <c r="Q67" s="4">
        <v>31</v>
      </c>
      <c r="R67" s="29" t="b">
        <v>0</v>
      </c>
      <c r="S67" s="31">
        <v>0</v>
      </c>
      <c r="T67" s="35" t="s">
        <v>3347</v>
      </c>
      <c r="U67" s="36" t="s">
        <v>3357</v>
      </c>
      <c r="V67" s="31">
        <v>0</v>
      </c>
      <c r="W67" s="30">
        <v>0</v>
      </c>
      <c r="X67" s="31">
        <v>0</v>
      </c>
      <c r="Y67" s="31">
        <v>0</v>
      </c>
      <c r="Z67" s="31">
        <v>0</v>
      </c>
      <c r="AA67" s="30">
        <v>0</v>
      </c>
      <c r="AB67" s="4">
        <v>880</v>
      </c>
      <c r="AC67" s="4">
        <v>0</v>
      </c>
      <c r="AD67" s="4">
        <v>0.8</v>
      </c>
      <c r="AE67" s="33" t="s">
        <v>3774</v>
      </c>
      <c r="AF67" s="4">
        <v>51</v>
      </c>
      <c r="AG67" s="4">
        <v>0</v>
      </c>
      <c r="AH67" s="29">
        <v>0</v>
      </c>
      <c r="AI67" s="30">
        <v>0</v>
      </c>
      <c r="AJ67" s="29">
        <v>0</v>
      </c>
      <c r="AK67" s="30">
        <v>0</v>
      </c>
      <c r="AL67" s="29">
        <v>0</v>
      </c>
      <c r="AN67" s="4">
        <v>1</v>
      </c>
      <c r="AO67" s="4" t="s">
        <v>3356</v>
      </c>
    </row>
    <row r="69" spans="1:41" ht="11.25" customHeight="1" x14ac:dyDescent="0.15"/>
    <row r="70" spans="1:41" x14ac:dyDescent="0.15">
      <c r="A70" s="4" t="s">
        <v>2662</v>
      </c>
      <c r="B70" s="4">
        <v>6</v>
      </c>
      <c r="C70" s="4" t="s">
        <v>2923</v>
      </c>
      <c r="D70" s="4">
        <v>1601</v>
      </c>
      <c r="G70" s="4" t="s">
        <v>3749</v>
      </c>
      <c r="H70" s="4">
        <v>2</v>
      </c>
      <c r="I70" s="4">
        <v>3</v>
      </c>
      <c r="J70" s="4">
        <v>2</v>
      </c>
      <c r="K70" s="4">
        <v>0</v>
      </c>
      <c r="L70" s="4">
        <v>3</v>
      </c>
      <c r="M70" s="4">
        <v>1</v>
      </c>
      <c r="N70" s="4">
        <v>0</v>
      </c>
      <c r="O70" s="4">
        <v>0</v>
      </c>
      <c r="P70" s="4">
        <v>0</v>
      </c>
      <c r="Q70" s="4">
        <v>6</v>
      </c>
      <c r="R70" s="29" t="b">
        <v>0</v>
      </c>
      <c r="S70" s="31">
        <v>0</v>
      </c>
      <c r="T70" s="35" t="s">
        <v>3347</v>
      </c>
      <c r="U70" s="36" t="s">
        <v>3348</v>
      </c>
      <c r="V70" s="31">
        <v>1</v>
      </c>
      <c r="W70" s="30">
        <v>0.8</v>
      </c>
      <c r="X70" s="31">
        <v>0</v>
      </c>
      <c r="Y70" s="31">
        <v>0</v>
      </c>
      <c r="Z70" s="31">
        <v>0</v>
      </c>
      <c r="AA70" s="30">
        <v>0</v>
      </c>
      <c r="AB70" s="4">
        <v>960</v>
      </c>
      <c r="AC70" s="4">
        <v>0</v>
      </c>
      <c r="AD70" s="4">
        <v>0.8</v>
      </c>
      <c r="AE70" s="33">
        <v>0</v>
      </c>
      <c r="AF70" s="4">
        <v>0</v>
      </c>
      <c r="AG70" s="4">
        <v>0</v>
      </c>
      <c r="AH70" s="29">
        <v>1</v>
      </c>
      <c r="AI70" s="30">
        <v>0.8</v>
      </c>
      <c r="AJ70" s="29">
        <v>0</v>
      </c>
      <c r="AK70" s="30">
        <v>0</v>
      </c>
      <c r="AL70" s="29">
        <v>0</v>
      </c>
      <c r="AN70" s="4">
        <v>0</v>
      </c>
      <c r="AO70" s="4" t="s">
        <v>3349</v>
      </c>
    </row>
    <row r="71" spans="1:41" x14ac:dyDescent="0.15">
      <c r="A71" s="4" t="s">
        <v>3350</v>
      </c>
      <c r="C71" s="4" t="s">
        <v>3351</v>
      </c>
      <c r="D71" s="4">
        <v>1602</v>
      </c>
      <c r="G71" s="4" t="s">
        <v>3732</v>
      </c>
      <c r="H71" s="4">
        <v>3</v>
      </c>
      <c r="I71" s="4">
        <v>10</v>
      </c>
      <c r="J71" s="4">
        <v>1</v>
      </c>
      <c r="K71" s="4">
        <v>2</v>
      </c>
      <c r="L71" s="4">
        <v>3</v>
      </c>
      <c r="M71" s="4">
        <v>1</v>
      </c>
      <c r="N71" s="4">
        <v>0</v>
      </c>
      <c r="O71" s="4">
        <v>0</v>
      </c>
      <c r="P71" s="4">
        <v>0</v>
      </c>
      <c r="Q71" s="4">
        <v>5</v>
      </c>
      <c r="R71" s="29" t="b">
        <v>0</v>
      </c>
      <c r="S71" s="31">
        <v>0</v>
      </c>
      <c r="T71" s="35" t="s">
        <v>3352</v>
      </c>
      <c r="U71" s="36" t="s">
        <v>3348</v>
      </c>
      <c r="V71" s="31">
        <v>2</v>
      </c>
      <c r="W71" s="30">
        <v>0.8</v>
      </c>
      <c r="X71" s="31">
        <v>0</v>
      </c>
      <c r="Y71" s="31">
        <v>0</v>
      </c>
      <c r="Z71" s="31">
        <v>0</v>
      </c>
      <c r="AA71" s="30">
        <v>0</v>
      </c>
      <c r="AB71" s="4">
        <v>950</v>
      </c>
      <c r="AC71" s="4">
        <v>0</v>
      </c>
      <c r="AD71" s="4">
        <v>1</v>
      </c>
      <c r="AE71" s="33">
        <v>0.66</v>
      </c>
      <c r="AF71" s="4">
        <v>0</v>
      </c>
      <c r="AG71" s="4">
        <v>0</v>
      </c>
      <c r="AH71" s="29">
        <v>0</v>
      </c>
      <c r="AI71" s="30">
        <v>0</v>
      </c>
      <c r="AJ71" s="29">
        <v>0</v>
      </c>
      <c r="AK71" s="30">
        <v>0</v>
      </c>
      <c r="AL71" s="29">
        <v>0</v>
      </c>
      <c r="AM71" s="4" t="s">
        <v>9978</v>
      </c>
      <c r="AN71" s="4">
        <v>16</v>
      </c>
    </row>
    <row r="72" spans="1:41" x14ac:dyDescent="0.15">
      <c r="A72" s="4" t="s">
        <v>2662</v>
      </c>
      <c r="C72" s="4" t="s">
        <v>2925</v>
      </c>
      <c r="D72" s="4">
        <v>1603</v>
      </c>
      <c r="H72" s="4">
        <v>6</v>
      </c>
      <c r="I72" s="4">
        <v>40</v>
      </c>
      <c r="J72" s="4">
        <v>1</v>
      </c>
      <c r="K72" s="4">
        <v>0</v>
      </c>
      <c r="L72" s="4">
        <v>3</v>
      </c>
      <c r="M72" s="4">
        <v>1</v>
      </c>
      <c r="N72" s="4">
        <v>0</v>
      </c>
      <c r="O72" s="4">
        <v>0</v>
      </c>
      <c r="P72" s="4">
        <v>0</v>
      </c>
      <c r="Q72" s="4">
        <v>0</v>
      </c>
      <c r="R72" s="29" t="b">
        <v>0</v>
      </c>
      <c r="S72" s="31">
        <v>0</v>
      </c>
      <c r="T72" s="35" t="s">
        <v>3347</v>
      </c>
      <c r="U72" s="36" t="s">
        <v>3348</v>
      </c>
      <c r="V72" s="31">
        <v>1</v>
      </c>
      <c r="W72" s="30">
        <v>0.8</v>
      </c>
      <c r="X72" s="31">
        <v>0</v>
      </c>
      <c r="Y72" s="31">
        <v>0</v>
      </c>
      <c r="Z72" s="31">
        <v>0</v>
      </c>
      <c r="AA72" s="30">
        <v>0</v>
      </c>
      <c r="AB72" s="4">
        <v>870</v>
      </c>
      <c r="AC72" s="4">
        <v>0</v>
      </c>
      <c r="AD72" s="4">
        <v>0.8</v>
      </c>
      <c r="AE72" s="33">
        <v>0.8</v>
      </c>
      <c r="AF72" s="4">
        <v>0</v>
      </c>
      <c r="AG72" s="4">
        <v>0</v>
      </c>
      <c r="AH72" s="29">
        <v>0</v>
      </c>
      <c r="AI72" s="30">
        <v>0</v>
      </c>
      <c r="AJ72" s="29">
        <v>0</v>
      </c>
      <c r="AK72" s="30">
        <v>0</v>
      </c>
      <c r="AL72" s="29">
        <v>0</v>
      </c>
      <c r="AM72" s="4" t="s">
        <v>9994</v>
      </c>
      <c r="AN72" s="4">
        <v>99</v>
      </c>
    </row>
    <row r="73" spans="1:41" x14ac:dyDescent="0.15">
      <c r="A73" s="4" t="s">
        <v>2662</v>
      </c>
      <c r="C73" s="4" t="s">
        <v>2926</v>
      </c>
      <c r="D73" s="4">
        <v>1604</v>
      </c>
      <c r="G73" s="4" t="s">
        <v>3733</v>
      </c>
      <c r="H73" s="4">
        <v>4</v>
      </c>
      <c r="I73" s="4">
        <v>1</v>
      </c>
      <c r="J73" s="4">
        <v>1</v>
      </c>
      <c r="K73" s="4">
        <v>1</v>
      </c>
      <c r="L73" s="4">
        <v>3</v>
      </c>
      <c r="M73" s="4">
        <v>1</v>
      </c>
      <c r="N73" s="4">
        <v>0</v>
      </c>
      <c r="O73" s="4">
        <v>0</v>
      </c>
      <c r="P73" s="4">
        <v>0</v>
      </c>
      <c r="Q73" s="4">
        <v>0</v>
      </c>
      <c r="R73" s="29" t="b">
        <v>0</v>
      </c>
      <c r="S73" s="31">
        <v>0</v>
      </c>
      <c r="T73" s="35" t="s">
        <v>3347</v>
      </c>
      <c r="U73" s="36" t="s">
        <v>3348</v>
      </c>
      <c r="V73" s="31">
        <v>0</v>
      </c>
      <c r="W73" s="30">
        <v>0</v>
      </c>
      <c r="X73" s="31">
        <v>0</v>
      </c>
      <c r="Y73" s="31">
        <v>0</v>
      </c>
      <c r="Z73" s="31">
        <v>0</v>
      </c>
      <c r="AA73" s="30">
        <v>0</v>
      </c>
      <c r="AB73" s="4">
        <v>970</v>
      </c>
      <c r="AC73" s="4">
        <v>0</v>
      </c>
      <c r="AD73" s="4">
        <v>3.2</v>
      </c>
      <c r="AE73" s="33" t="s">
        <v>3679</v>
      </c>
      <c r="AF73" s="4">
        <v>62</v>
      </c>
      <c r="AG73" s="4">
        <v>0</v>
      </c>
      <c r="AH73" s="29">
        <v>0</v>
      </c>
      <c r="AI73" s="30">
        <v>0</v>
      </c>
      <c r="AJ73" s="29">
        <v>0</v>
      </c>
      <c r="AK73" s="30">
        <v>0</v>
      </c>
      <c r="AL73" s="29">
        <v>0</v>
      </c>
      <c r="AM73" s="4" t="s">
        <v>9995</v>
      </c>
      <c r="AN73" s="4">
        <v>15</v>
      </c>
      <c r="AO73" s="4" t="s">
        <v>3354</v>
      </c>
    </row>
    <row r="74" spans="1:41" x14ac:dyDescent="0.15">
      <c r="A74" s="4" t="s">
        <v>2662</v>
      </c>
      <c r="C74" s="4" t="s">
        <v>2927</v>
      </c>
      <c r="D74" s="4">
        <v>1605</v>
      </c>
      <c r="H74" s="4">
        <v>1</v>
      </c>
      <c r="I74" s="4">
        <v>0.8</v>
      </c>
      <c r="J74" s="4">
        <v>1</v>
      </c>
      <c r="K74" s="4">
        <v>1</v>
      </c>
      <c r="L74" s="4">
        <v>3</v>
      </c>
      <c r="M74" s="4">
        <v>1</v>
      </c>
      <c r="N74" s="4">
        <v>0</v>
      </c>
      <c r="O74" s="4">
        <v>0</v>
      </c>
      <c r="P74" s="4">
        <v>0</v>
      </c>
      <c r="Q74" s="4">
        <v>3</v>
      </c>
      <c r="R74" s="29" t="b">
        <v>0</v>
      </c>
      <c r="S74" s="31">
        <v>0</v>
      </c>
      <c r="T74" s="35" t="s">
        <v>3347</v>
      </c>
      <c r="U74" s="36" t="s">
        <v>3348</v>
      </c>
      <c r="V74" s="31">
        <v>0</v>
      </c>
      <c r="W74" s="30">
        <v>0</v>
      </c>
      <c r="X74" s="31">
        <v>0</v>
      </c>
      <c r="Y74" s="31">
        <v>0</v>
      </c>
      <c r="Z74" s="31">
        <v>0</v>
      </c>
      <c r="AA74" s="30">
        <v>0</v>
      </c>
      <c r="AC74" s="4">
        <v>0</v>
      </c>
      <c r="AD74" s="4">
        <v>0.8</v>
      </c>
      <c r="AE74" s="33" t="s">
        <v>3358</v>
      </c>
      <c r="AF74" s="4">
        <v>61</v>
      </c>
      <c r="AG74" s="4">
        <v>0</v>
      </c>
      <c r="AH74" s="29">
        <v>0</v>
      </c>
      <c r="AI74" s="30">
        <v>0</v>
      </c>
      <c r="AJ74" s="29">
        <v>0</v>
      </c>
      <c r="AK74" s="30">
        <v>0</v>
      </c>
      <c r="AL74" s="29">
        <v>0</v>
      </c>
      <c r="AM74" s="4" t="s">
        <v>9977</v>
      </c>
      <c r="AN74" s="4">
        <v>1</v>
      </c>
      <c r="AO74" s="4" t="s">
        <v>3356</v>
      </c>
    </row>
    <row r="75" spans="1:41" x14ac:dyDescent="0.15">
      <c r="A75" s="4" t="s">
        <v>2662</v>
      </c>
      <c r="C75" s="4" t="s">
        <v>2928</v>
      </c>
      <c r="D75" s="4">
        <v>1606</v>
      </c>
      <c r="H75" s="4">
        <v>10</v>
      </c>
      <c r="I75" s="4">
        <v>0.8</v>
      </c>
      <c r="J75" s="4">
        <v>1</v>
      </c>
      <c r="K75" s="4">
        <v>1</v>
      </c>
      <c r="L75" s="4">
        <v>3</v>
      </c>
      <c r="M75" s="4">
        <v>1</v>
      </c>
      <c r="N75" s="4">
        <v>0</v>
      </c>
      <c r="O75" s="4">
        <v>0</v>
      </c>
      <c r="P75" s="4">
        <v>0</v>
      </c>
      <c r="Q75" s="4">
        <v>31</v>
      </c>
      <c r="R75" s="29" t="b">
        <v>0</v>
      </c>
      <c r="S75" s="31">
        <v>0</v>
      </c>
      <c r="T75" s="35" t="s">
        <v>3347</v>
      </c>
      <c r="U75" s="36" t="s">
        <v>3357</v>
      </c>
      <c r="V75" s="31">
        <v>0</v>
      </c>
      <c r="W75" s="30">
        <v>0</v>
      </c>
      <c r="X75" s="31">
        <v>0</v>
      </c>
      <c r="Y75" s="31">
        <v>0</v>
      </c>
      <c r="Z75" s="31">
        <v>0</v>
      </c>
      <c r="AA75" s="30">
        <v>0</v>
      </c>
      <c r="AB75" s="4">
        <v>930</v>
      </c>
      <c r="AC75" s="4">
        <v>0</v>
      </c>
      <c r="AD75" s="4">
        <v>0.8</v>
      </c>
      <c r="AE75" s="33" t="s">
        <v>3682</v>
      </c>
      <c r="AF75" s="4">
        <v>61</v>
      </c>
      <c r="AG75" s="4">
        <v>0</v>
      </c>
      <c r="AH75" s="29">
        <v>0</v>
      </c>
      <c r="AI75" s="30">
        <v>0</v>
      </c>
      <c r="AJ75" s="29">
        <v>0</v>
      </c>
      <c r="AK75" s="30">
        <v>0</v>
      </c>
      <c r="AL75" s="29">
        <v>0</v>
      </c>
      <c r="AN75" s="4">
        <v>1</v>
      </c>
      <c r="AO75" s="4" t="s">
        <v>3356</v>
      </c>
    </row>
    <row r="76" spans="1:41" x14ac:dyDescent="0.15">
      <c r="A76" s="4" t="s">
        <v>2662</v>
      </c>
      <c r="C76" s="4" t="s">
        <v>2929</v>
      </c>
      <c r="D76" s="4">
        <v>1607</v>
      </c>
      <c r="H76" s="4">
        <v>1</v>
      </c>
      <c r="I76" s="4">
        <v>0.8</v>
      </c>
      <c r="J76" s="4">
        <v>1</v>
      </c>
      <c r="K76" s="4">
        <v>1</v>
      </c>
      <c r="L76" s="4">
        <v>3</v>
      </c>
      <c r="M76" s="4">
        <v>1</v>
      </c>
      <c r="N76" s="4">
        <v>0</v>
      </c>
      <c r="O76" s="4">
        <v>0</v>
      </c>
      <c r="P76" s="4">
        <v>0</v>
      </c>
      <c r="Q76" s="4">
        <v>3</v>
      </c>
      <c r="R76" s="29" t="b">
        <v>0</v>
      </c>
      <c r="S76" s="31">
        <v>0</v>
      </c>
      <c r="T76" s="35" t="s">
        <v>3347</v>
      </c>
      <c r="U76" s="36" t="s">
        <v>3348</v>
      </c>
      <c r="V76" s="31">
        <v>0</v>
      </c>
      <c r="W76" s="30">
        <v>0</v>
      </c>
      <c r="X76" s="31">
        <v>0</v>
      </c>
      <c r="Y76" s="31">
        <v>0</v>
      </c>
      <c r="Z76" s="31">
        <v>0</v>
      </c>
      <c r="AA76" s="30">
        <v>0</v>
      </c>
      <c r="AC76" s="4">
        <v>0</v>
      </c>
      <c r="AD76" s="4">
        <v>0.8</v>
      </c>
      <c r="AE76" s="33" t="s">
        <v>3783</v>
      </c>
      <c r="AF76" s="4">
        <v>61</v>
      </c>
      <c r="AG76" s="4">
        <v>0</v>
      </c>
      <c r="AH76" s="29">
        <v>0</v>
      </c>
      <c r="AI76" s="30">
        <v>0</v>
      </c>
      <c r="AJ76" s="29">
        <v>0</v>
      </c>
      <c r="AK76" s="30">
        <v>0</v>
      </c>
      <c r="AL76" s="29">
        <v>0</v>
      </c>
      <c r="AM76" s="4" t="s">
        <v>9977</v>
      </c>
      <c r="AN76" s="4">
        <v>1</v>
      </c>
      <c r="AO76" s="4" t="s">
        <v>3356</v>
      </c>
    </row>
    <row r="77" spans="1:41" x14ac:dyDescent="0.15">
      <c r="A77" s="4" t="s">
        <v>2662</v>
      </c>
      <c r="C77" s="4" t="s">
        <v>2930</v>
      </c>
      <c r="D77" s="4">
        <v>1608</v>
      </c>
      <c r="H77" s="4">
        <v>10</v>
      </c>
      <c r="I77" s="4">
        <v>0.8</v>
      </c>
      <c r="J77" s="4">
        <v>1</v>
      </c>
      <c r="K77" s="4">
        <v>1</v>
      </c>
      <c r="L77" s="4">
        <v>3</v>
      </c>
      <c r="M77" s="4">
        <v>1</v>
      </c>
      <c r="N77" s="4">
        <v>0</v>
      </c>
      <c r="O77" s="4">
        <v>0</v>
      </c>
      <c r="P77" s="4">
        <v>0</v>
      </c>
      <c r="Q77" s="4">
        <v>31</v>
      </c>
      <c r="R77" s="29" t="b">
        <v>0</v>
      </c>
      <c r="S77" s="31">
        <v>0</v>
      </c>
      <c r="T77" s="35" t="s">
        <v>3347</v>
      </c>
      <c r="U77" s="36" t="s">
        <v>3357</v>
      </c>
      <c r="V77" s="31">
        <v>0</v>
      </c>
      <c r="W77" s="30">
        <v>0</v>
      </c>
      <c r="X77" s="31">
        <v>0</v>
      </c>
      <c r="Y77" s="31">
        <v>0</v>
      </c>
      <c r="Z77" s="31">
        <v>0</v>
      </c>
      <c r="AA77" s="30">
        <v>0</v>
      </c>
      <c r="AB77" s="4">
        <v>930</v>
      </c>
      <c r="AC77" s="4">
        <v>0</v>
      </c>
      <c r="AD77" s="4">
        <v>0.8</v>
      </c>
      <c r="AE77" s="33" t="s">
        <v>9935</v>
      </c>
      <c r="AF77" s="4">
        <v>61</v>
      </c>
      <c r="AG77" s="4">
        <v>0</v>
      </c>
      <c r="AH77" s="29">
        <v>0</v>
      </c>
      <c r="AI77" s="30">
        <v>0</v>
      </c>
      <c r="AJ77" s="29">
        <v>0</v>
      </c>
      <c r="AK77" s="30">
        <v>0</v>
      </c>
      <c r="AL77" s="29">
        <v>0</v>
      </c>
      <c r="AN77" s="4">
        <v>1</v>
      </c>
      <c r="AO77" s="4" t="s">
        <v>3356</v>
      </c>
    </row>
    <row r="78" spans="1:41" x14ac:dyDescent="0.15">
      <c r="A78" s="4" t="s">
        <v>2662</v>
      </c>
      <c r="C78" s="4" t="s">
        <v>2931</v>
      </c>
      <c r="D78" s="4">
        <v>1609</v>
      </c>
      <c r="H78" s="4">
        <v>1</v>
      </c>
      <c r="I78" s="4">
        <v>0.8</v>
      </c>
      <c r="J78" s="4">
        <v>1</v>
      </c>
      <c r="K78" s="4">
        <v>1</v>
      </c>
      <c r="L78" s="4">
        <v>3</v>
      </c>
      <c r="M78" s="4">
        <v>1</v>
      </c>
      <c r="N78" s="4">
        <v>0</v>
      </c>
      <c r="O78" s="4">
        <v>0</v>
      </c>
      <c r="P78" s="4">
        <v>0</v>
      </c>
      <c r="Q78" s="4">
        <v>3</v>
      </c>
      <c r="R78" s="29" t="b">
        <v>0</v>
      </c>
      <c r="S78" s="31">
        <v>0</v>
      </c>
      <c r="T78" s="35" t="s">
        <v>3347</v>
      </c>
      <c r="U78" s="36" t="s">
        <v>3357</v>
      </c>
      <c r="V78" s="31">
        <v>0</v>
      </c>
      <c r="W78" s="30">
        <v>0</v>
      </c>
      <c r="X78" s="31">
        <v>0</v>
      </c>
      <c r="Y78" s="31">
        <v>0</v>
      </c>
      <c r="Z78" s="31">
        <v>0</v>
      </c>
      <c r="AA78" s="30">
        <v>0</v>
      </c>
      <c r="AC78" s="4">
        <v>0</v>
      </c>
      <c r="AD78" s="4">
        <v>0.8</v>
      </c>
      <c r="AE78" s="33" t="s">
        <v>9934</v>
      </c>
      <c r="AF78" s="4">
        <v>61</v>
      </c>
      <c r="AG78" s="4">
        <v>0</v>
      </c>
      <c r="AH78" s="29">
        <v>0</v>
      </c>
      <c r="AI78" s="30">
        <v>0</v>
      </c>
      <c r="AJ78" s="29">
        <v>0</v>
      </c>
      <c r="AK78" s="30">
        <v>0</v>
      </c>
      <c r="AL78" s="29">
        <v>0</v>
      </c>
      <c r="AM78" s="4" t="s">
        <v>9977</v>
      </c>
      <c r="AN78" s="4">
        <v>1</v>
      </c>
      <c r="AO78" s="4" t="s">
        <v>3356</v>
      </c>
    </row>
    <row r="79" spans="1:41" x14ac:dyDescent="0.15">
      <c r="A79" s="4" t="s">
        <v>2662</v>
      </c>
      <c r="C79" s="4" t="s">
        <v>2932</v>
      </c>
      <c r="D79" s="4">
        <v>1610</v>
      </c>
      <c r="H79" s="4">
        <v>10</v>
      </c>
      <c r="I79" s="4">
        <v>0.8</v>
      </c>
      <c r="J79" s="4">
        <v>1</v>
      </c>
      <c r="K79" s="4">
        <v>1</v>
      </c>
      <c r="L79" s="4">
        <v>3</v>
      </c>
      <c r="M79" s="4">
        <v>1</v>
      </c>
      <c r="N79" s="4">
        <v>0</v>
      </c>
      <c r="O79" s="4">
        <v>0</v>
      </c>
      <c r="P79" s="4">
        <v>0</v>
      </c>
      <c r="Q79" s="4">
        <v>31</v>
      </c>
      <c r="R79" s="29" t="b">
        <v>0</v>
      </c>
      <c r="S79" s="31">
        <v>0</v>
      </c>
      <c r="T79" s="35" t="s">
        <v>3347</v>
      </c>
      <c r="U79" s="36" t="s">
        <v>3357</v>
      </c>
      <c r="V79" s="31">
        <v>0</v>
      </c>
      <c r="W79" s="30">
        <v>0</v>
      </c>
      <c r="X79" s="31">
        <v>0</v>
      </c>
      <c r="Y79" s="31">
        <v>0</v>
      </c>
      <c r="Z79" s="31">
        <v>0</v>
      </c>
      <c r="AA79" s="30">
        <v>0</v>
      </c>
      <c r="AB79" s="4">
        <v>930</v>
      </c>
      <c r="AC79" s="4">
        <v>0</v>
      </c>
      <c r="AD79" s="4">
        <v>0.8</v>
      </c>
      <c r="AE79" s="33" t="s">
        <v>9936</v>
      </c>
      <c r="AF79" s="4">
        <v>61</v>
      </c>
      <c r="AG79" s="4">
        <v>0</v>
      </c>
      <c r="AH79" s="29">
        <v>0</v>
      </c>
      <c r="AI79" s="30">
        <v>0</v>
      </c>
      <c r="AJ79" s="29">
        <v>0</v>
      </c>
      <c r="AK79" s="30">
        <v>0</v>
      </c>
      <c r="AL79" s="29">
        <v>0</v>
      </c>
      <c r="AN79" s="4">
        <v>1</v>
      </c>
      <c r="AO79" s="4" t="s">
        <v>3356</v>
      </c>
    </row>
    <row r="82" spans="1:41" x14ac:dyDescent="0.15">
      <c r="B82" s="4" t="s">
        <v>2860</v>
      </c>
    </row>
    <row r="83" spans="1:41" x14ac:dyDescent="0.15">
      <c r="A83" s="4" t="s">
        <v>2742</v>
      </c>
      <c r="B83" s="4" t="s">
        <v>3451</v>
      </c>
      <c r="C83" s="4" t="s">
        <v>2973</v>
      </c>
      <c r="D83" s="4">
        <v>3111</v>
      </c>
      <c r="F83" s="4" t="s">
        <v>2756</v>
      </c>
      <c r="H83" s="4">
        <v>1</v>
      </c>
      <c r="I83" s="4">
        <v>2</v>
      </c>
      <c r="J83" s="4">
        <v>1</v>
      </c>
      <c r="K83" s="4">
        <v>1</v>
      </c>
      <c r="L83" s="4">
        <v>3</v>
      </c>
      <c r="M83" s="4">
        <v>1</v>
      </c>
      <c r="N83" s="4">
        <v>0</v>
      </c>
      <c r="O83" s="4">
        <v>0</v>
      </c>
      <c r="P83" s="4">
        <v>0</v>
      </c>
      <c r="Q83" s="4">
        <v>3</v>
      </c>
      <c r="R83" s="29" t="b">
        <v>0</v>
      </c>
      <c r="S83" s="31">
        <v>0</v>
      </c>
      <c r="T83" s="35" t="s">
        <v>3260</v>
      </c>
      <c r="U83" s="36" t="s">
        <v>3261</v>
      </c>
      <c r="V83" s="31">
        <v>0</v>
      </c>
      <c r="W83" s="30">
        <v>0</v>
      </c>
      <c r="X83" s="31">
        <v>0</v>
      </c>
      <c r="Y83" s="31">
        <v>0</v>
      </c>
      <c r="Z83" s="31">
        <v>0</v>
      </c>
      <c r="AA83" s="30">
        <v>0</v>
      </c>
      <c r="AB83" s="4">
        <v>0</v>
      </c>
      <c r="AC83" s="4">
        <v>0</v>
      </c>
      <c r="AD83" s="4">
        <v>0.8</v>
      </c>
      <c r="AE83" s="33">
        <v>0.3</v>
      </c>
      <c r="AF83" s="4">
        <v>511</v>
      </c>
      <c r="AG83" s="4">
        <v>0</v>
      </c>
      <c r="AH83" s="29">
        <v>0</v>
      </c>
      <c r="AI83" s="30">
        <v>0</v>
      </c>
      <c r="AJ83" s="29">
        <v>0</v>
      </c>
      <c r="AK83" s="30">
        <v>0</v>
      </c>
      <c r="AL83" s="29">
        <v>0</v>
      </c>
      <c r="AN83" s="4">
        <v>1</v>
      </c>
      <c r="AO83" s="4" t="s">
        <v>2755</v>
      </c>
    </row>
    <row r="84" spans="1:41" x14ac:dyDescent="0.15">
      <c r="A84" s="4" t="s">
        <v>2663</v>
      </c>
      <c r="B84" s="4" t="s">
        <v>3452</v>
      </c>
      <c r="C84" s="4" t="s">
        <v>2974</v>
      </c>
      <c r="D84" s="4">
        <v>3121</v>
      </c>
      <c r="F84" s="4" t="s">
        <v>2756</v>
      </c>
      <c r="H84" s="4">
        <v>1</v>
      </c>
      <c r="I84" s="4">
        <v>2</v>
      </c>
      <c r="J84" s="4">
        <v>1</v>
      </c>
      <c r="K84" s="4">
        <v>1</v>
      </c>
      <c r="L84" s="4">
        <v>3</v>
      </c>
      <c r="M84" s="4">
        <v>1</v>
      </c>
      <c r="N84" s="4">
        <v>0</v>
      </c>
      <c r="O84" s="4">
        <v>0</v>
      </c>
      <c r="P84" s="4">
        <v>0</v>
      </c>
      <c r="Q84" s="4">
        <v>3</v>
      </c>
      <c r="R84" s="29" t="b">
        <v>0</v>
      </c>
      <c r="S84" s="31">
        <v>0</v>
      </c>
      <c r="T84" s="35" t="s">
        <v>3260</v>
      </c>
      <c r="U84" s="36" t="s">
        <v>3261</v>
      </c>
      <c r="V84" s="31">
        <v>0</v>
      </c>
      <c r="W84" s="30">
        <v>0</v>
      </c>
      <c r="X84" s="31">
        <v>0</v>
      </c>
      <c r="Y84" s="31">
        <v>0</v>
      </c>
      <c r="Z84" s="31">
        <v>0</v>
      </c>
      <c r="AA84" s="30">
        <v>0</v>
      </c>
      <c r="AB84" s="4">
        <v>0</v>
      </c>
      <c r="AC84" s="4">
        <v>0</v>
      </c>
      <c r="AD84" s="4">
        <v>0.8</v>
      </c>
      <c r="AE84" s="33">
        <v>0.5</v>
      </c>
      <c r="AF84" s="4">
        <v>521</v>
      </c>
      <c r="AG84" s="4">
        <v>0</v>
      </c>
      <c r="AH84" s="29">
        <v>0</v>
      </c>
      <c r="AI84" s="30">
        <v>0</v>
      </c>
      <c r="AJ84" s="29">
        <v>0</v>
      </c>
      <c r="AK84" s="30">
        <v>0</v>
      </c>
      <c r="AL84" s="29">
        <v>0</v>
      </c>
      <c r="AN84" s="4">
        <v>1</v>
      </c>
      <c r="AO84" s="4" t="s">
        <v>2755</v>
      </c>
    </row>
    <row r="85" spans="1:41" x14ac:dyDescent="0.15">
      <c r="A85" s="4" t="s">
        <v>2663</v>
      </c>
      <c r="B85" s="4" t="s">
        <v>3453</v>
      </c>
      <c r="C85" s="4" t="s">
        <v>2975</v>
      </c>
      <c r="D85" s="4">
        <v>3131</v>
      </c>
      <c r="F85" s="4" t="s">
        <v>2756</v>
      </c>
      <c r="H85" s="4">
        <v>1</v>
      </c>
      <c r="I85" s="4">
        <v>2</v>
      </c>
      <c r="J85" s="4">
        <v>1</v>
      </c>
      <c r="K85" s="4">
        <v>1</v>
      </c>
      <c r="L85" s="4">
        <v>3</v>
      </c>
      <c r="M85" s="4">
        <v>1</v>
      </c>
      <c r="N85" s="4">
        <v>0</v>
      </c>
      <c r="O85" s="4">
        <v>0</v>
      </c>
      <c r="P85" s="4">
        <v>0</v>
      </c>
      <c r="Q85" s="4">
        <v>3</v>
      </c>
      <c r="R85" s="29" t="b">
        <v>0</v>
      </c>
      <c r="S85" s="31">
        <v>0</v>
      </c>
      <c r="T85" s="35" t="s">
        <v>3260</v>
      </c>
      <c r="U85" s="36" t="s">
        <v>3261</v>
      </c>
      <c r="V85" s="31">
        <v>0</v>
      </c>
      <c r="W85" s="30">
        <v>0</v>
      </c>
      <c r="X85" s="31">
        <v>0</v>
      </c>
      <c r="Y85" s="31">
        <v>0</v>
      </c>
      <c r="Z85" s="31">
        <v>0</v>
      </c>
      <c r="AA85" s="30">
        <v>0</v>
      </c>
      <c r="AB85" s="4">
        <v>0</v>
      </c>
      <c r="AC85" s="4">
        <v>0</v>
      </c>
      <c r="AD85" s="4">
        <v>1</v>
      </c>
      <c r="AE85" s="33">
        <v>0.5</v>
      </c>
      <c r="AF85" s="4">
        <v>531</v>
      </c>
      <c r="AG85" s="4">
        <v>0</v>
      </c>
      <c r="AH85" s="29">
        <v>0</v>
      </c>
      <c r="AI85" s="30">
        <v>0</v>
      </c>
      <c r="AJ85" s="29">
        <v>0</v>
      </c>
      <c r="AK85" s="30">
        <v>0</v>
      </c>
      <c r="AL85" s="29">
        <v>0</v>
      </c>
      <c r="AN85" s="4">
        <v>1</v>
      </c>
      <c r="AO85" s="4" t="s">
        <v>2755</v>
      </c>
    </row>
    <row r="86" spans="1:41" x14ac:dyDescent="0.15">
      <c r="A86" s="4" t="s">
        <v>2663</v>
      </c>
      <c r="B86" s="4" t="s">
        <v>3454</v>
      </c>
      <c r="C86" s="4" t="s">
        <v>3220</v>
      </c>
      <c r="D86" s="4">
        <v>3141</v>
      </c>
      <c r="F86" s="4" t="s">
        <v>2756</v>
      </c>
      <c r="H86" s="4">
        <v>1</v>
      </c>
      <c r="I86" s="4">
        <v>2</v>
      </c>
      <c r="J86" s="4">
        <v>1</v>
      </c>
      <c r="K86" s="4">
        <v>1</v>
      </c>
      <c r="L86" s="4">
        <v>0.5</v>
      </c>
      <c r="M86" s="4">
        <v>1</v>
      </c>
      <c r="N86" s="4">
        <v>0</v>
      </c>
      <c r="O86" s="4">
        <v>0</v>
      </c>
      <c r="P86" s="4">
        <v>0</v>
      </c>
      <c r="Q86" s="4">
        <v>7</v>
      </c>
      <c r="R86" s="29" t="b">
        <v>0</v>
      </c>
      <c r="S86" s="31">
        <v>0</v>
      </c>
      <c r="T86" s="35" t="s">
        <v>3260</v>
      </c>
      <c r="U86" s="36" t="s">
        <v>3261</v>
      </c>
      <c r="V86" s="31">
        <v>0</v>
      </c>
      <c r="W86" s="30">
        <v>0</v>
      </c>
      <c r="X86" s="31">
        <v>0</v>
      </c>
      <c r="Y86" s="31">
        <v>0</v>
      </c>
      <c r="Z86" s="31">
        <v>0</v>
      </c>
      <c r="AA86" s="30">
        <v>0</v>
      </c>
      <c r="AB86" s="4">
        <v>470</v>
      </c>
      <c r="AC86" s="4">
        <v>0</v>
      </c>
      <c r="AD86" s="4">
        <v>1</v>
      </c>
      <c r="AE86" s="33" t="s">
        <v>3240</v>
      </c>
      <c r="AF86" s="4">
        <v>542</v>
      </c>
      <c r="AG86" s="4">
        <v>0</v>
      </c>
      <c r="AH86" s="29">
        <v>0</v>
      </c>
      <c r="AI86" s="30">
        <v>0</v>
      </c>
      <c r="AJ86" s="29">
        <v>0</v>
      </c>
      <c r="AK86" s="30">
        <v>0</v>
      </c>
      <c r="AL86" s="29">
        <v>0</v>
      </c>
      <c r="AN86" s="4">
        <v>1</v>
      </c>
      <c r="AO86" s="4" t="s">
        <v>2755</v>
      </c>
    </row>
    <row r="87" spans="1:41" x14ac:dyDescent="0.15">
      <c r="A87" s="4" t="s">
        <v>2663</v>
      </c>
      <c r="B87" s="4" t="s">
        <v>3455</v>
      </c>
      <c r="C87" s="4" t="s">
        <v>3221</v>
      </c>
      <c r="D87" s="4">
        <v>3151</v>
      </c>
      <c r="F87" s="4" t="s">
        <v>2756</v>
      </c>
      <c r="H87" s="4">
        <v>1</v>
      </c>
      <c r="I87" s="4">
        <v>2</v>
      </c>
      <c r="J87" s="4">
        <v>1</v>
      </c>
      <c r="K87" s="4">
        <v>1</v>
      </c>
      <c r="L87" s="4">
        <v>3</v>
      </c>
      <c r="M87" s="4">
        <v>1</v>
      </c>
      <c r="N87" s="4">
        <v>0</v>
      </c>
      <c r="O87" s="4">
        <v>0</v>
      </c>
      <c r="P87" s="4">
        <v>0</v>
      </c>
      <c r="Q87" s="4">
        <v>3</v>
      </c>
      <c r="R87" s="29" t="b">
        <v>0</v>
      </c>
      <c r="S87" s="31">
        <v>0</v>
      </c>
      <c r="T87" s="35" t="s">
        <v>3260</v>
      </c>
      <c r="U87" s="36" t="s">
        <v>3261</v>
      </c>
      <c r="V87" s="31">
        <v>0</v>
      </c>
      <c r="W87" s="30">
        <v>0</v>
      </c>
      <c r="X87" s="31">
        <v>0</v>
      </c>
      <c r="Y87" s="31">
        <v>0</v>
      </c>
      <c r="Z87" s="31">
        <v>0</v>
      </c>
      <c r="AA87" s="30">
        <v>0</v>
      </c>
      <c r="AB87" s="4">
        <v>0</v>
      </c>
      <c r="AC87" s="4">
        <v>0</v>
      </c>
      <c r="AD87" s="4">
        <v>1</v>
      </c>
      <c r="AE87" s="33">
        <v>0.5</v>
      </c>
      <c r="AF87" s="4">
        <v>551</v>
      </c>
      <c r="AG87" s="4">
        <v>0</v>
      </c>
      <c r="AH87" s="29">
        <v>0</v>
      </c>
      <c r="AI87" s="30">
        <v>0</v>
      </c>
      <c r="AJ87" s="29">
        <v>0</v>
      </c>
      <c r="AK87" s="30">
        <v>0</v>
      </c>
      <c r="AL87" s="29">
        <v>0</v>
      </c>
      <c r="AN87" s="4">
        <v>1</v>
      </c>
      <c r="AO87" s="4" t="s">
        <v>2755</v>
      </c>
    </row>
    <row r="88" spans="1:41" x14ac:dyDescent="0.15">
      <c r="A88" s="4" t="s">
        <v>3359</v>
      </c>
      <c r="B88" s="4" t="s">
        <v>3456</v>
      </c>
      <c r="C88" s="4" t="s">
        <v>3360</v>
      </c>
      <c r="D88" s="4">
        <v>3161</v>
      </c>
      <c r="F88" s="4" t="s">
        <v>3361</v>
      </c>
      <c r="H88" s="4">
        <v>1</v>
      </c>
      <c r="I88" s="4">
        <v>2</v>
      </c>
      <c r="J88" s="4">
        <v>1</v>
      </c>
      <c r="K88" s="4">
        <v>1</v>
      </c>
      <c r="L88" s="4">
        <v>0.5</v>
      </c>
      <c r="M88" s="4">
        <v>1</v>
      </c>
      <c r="N88" s="4">
        <v>0</v>
      </c>
      <c r="O88" s="4">
        <v>0</v>
      </c>
      <c r="P88" s="4">
        <v>0</v>
      </c>
      <c r="Q88" s="4">
        <v>7</v>
      </c>
      <c r="R88" s="29" t="b">
        <v>0</v>
      </c>
      <c r="S88" s="31">
        <v>0</v>
      </c>
      <c r="T88" s="35" t="s">
        <v>3347</v>
      </c>
      <c r="U88" s="36" t="s">
        <v>3348</v>
      </c>
      <c r="V88" s="31">
        <v>0</v>
      </c>
      <c r="W88" s="30">
        <v>0</v>
      </c>
      <c r="X88" s="31">
        <v>0</v>
      </c>
      <c r="Y88" s="31">
        <v>0</v>
      </c>
      <c r="Z88" s="31">
        <v>0</v>
      </c>
      <c r="AA88" s="30">
        <v>0</v>
      </c>
      <c r="AB88" s="4">
        <v>660</v>
      </c>
      <c r="AC88" s="4">
        <v>0</v>
      </c>
      <c r="AD88" s="4">
        <v>1</v>
      </c>
      <c r="AE88" s="33" t="s">
        <v>3362</v>
      </c>
      <c r="AF88" s="4">
        <v>562</v>
      </c>
      <c r="AG88" s="4">
        <v>0</v>
      </c>
      <c r="AH88" s="29">
        <v>0</v>
      </c>
      <c r="AI88" s="30">
        <v>0</v>
      </c>
      <c r="AJ88" s="29">
        <v>0</v>
      </c>
      <c r="AK88" s="30">
        <v>0</v>
      </c>
      <c r="AL88" s="29">
        <v>0</v>
      </c>
      <c r="AN88" s="4">
        <v>1</v>
      </c>
      <c r="AO88" s="4" t="s">
        <v>3363</v>
      </c>
    </row>
    <row r="89" spans="1:41" x14ac:dyDescent="0.15">
      <c r="A89" s="4" t="s">
        <v>2662</v>
      </c>
      <c r="B89" s="4" t="s">
        <v>3567</v>
      </c>
      <c r="C89" s="4" t="s">
        <v>3364</v>
      </c>
      <c r="D89" s="4">
        <v>3171</v>
      </c>
      <c r="F89" s="4" t="s">
        <v>3365</v>
      </c>
      <c r="H89" s="4">
        <v>1</v>
      </c>
      <c r="I89" s="4">
        <v>10</v>
      </c>
      <c r="J89" s="4">
        <v>1</v>
      </c>
      <c r="K89" s="4">
        <v>1</v>
      </c>
      <c r="L89" s="4">
        <v>1</v>
      </c>
      <c r="M89" s="4">
        <v>1</v>
      </c>
      <c r="N89" s="4">
        <v>0</v>
      </c>
      <c r="O89" s="4">
        <v>0</v>
      </c>
      <c r="P89" s="4">
        <v>0</v>
      </c>
      <c r="Q89" s="4">
        <v>7</v>
      </c>
      <c r="R89" s="29" t="b">
        <v>0</v>
      </c>
      <c r="S89" s="31">
        <v>0</v>
      </c>
      <c r="T89" s="35" t="s">
        <v>3366</v>
      </c>
      <c r="U89" s="36" t="s">
        <v>3367</v>
      </c>
      <c r="V89" s="31">
        <v>0</v>
      </c>
      <c r="W89" s="30">
        <v>0</v>
      </c>
      <c r="X89" s="31">
        <v>0</v>
      </c>
      <c r="Y89" s="31">
        <v>0</v>
      </c>
      <c r="Z89" s="31">
        <v>0</v>
      </c>
      <c r="AA89" s="30">
        <v>0</v>
      </c>
      <c r="AB89" s="4">
        <v>690</v>
      </c>
      <c r="AC89" s="4">
        <v>0</v>
      </c>
      <c r="AD89" s="4">
        <v>3</v>
      </c>
      <c r="AE89" s="33">
        <v>2.1</v>
      </c>
      <c r="AF89" s="4">
        <v>572</v>
      </c>
      <c r="AG89" s="4">
        <v>0</v>
      </c>
      <c r="AH89" s="29">
        <v>80</v>
      </c>
      <c r="AI89" s="30">
        <v>0.1</v>
      </c>
      <c r="AJ89" s="29">
        <v>0</v>
      </c>
      <c r="AK89" s="30">
        <v>0</v>
      </c>
      <c r="AL89" s="29">
        <v>0</v>
      </c>
      <c r="AN89" s="4">
        <v>18</v>
      </c>
      <c r="AO89" s="4" t="s">
        <v>3368</v>
      </c>
    </row>
    <row r="90" spans="1:41" x14ac:dyDescent="0.15">
      <c r="A90" s="4" t="s">
        <v>2662</v>
      </c>
      <c r="B90" s="4" t="s">
        <v>3457</v>
      </c>
      <c r="C90" s="4" t="s">
        <v>3468</v>
      </c>
      <c r="D90" s="4">
        <v>3181</v>
      </c>
      <c r="F90" s="4" t="s">
        <v>3365</v>
      </c>
      <c r="H90" s="4">
        <v>1</v>
      </c>
      <c r="I90" s="4">
        <v>2</v>
      </c>
      <c r="J90" s="4">
        <v>1</v>
      </c>
      <c r="K90" s="4">
        <v>1</v>
      </c>
      <c r="L90" s="4">
        <v>0.5</v>
      </c>
      <c r="M90" s="4">
        <v>1</v>
      </c>
      <c r="N90" s="4">
        <v>0</v>
      </c>
      <c r="O90" s="4">
        <v>0</v>
      </c>
      <c r="P90" s="4">
        <v>0</v>
      </c>
      <c r="Q90" s="4">
        <v>5</v>
      </c>
      <c r="R90" s="29" t="b">
        <v>0</v>
      </c>
      <c r="S90" s="31">
        <v>0</v>
      </c>
      <c r="T90" s="35" t="s">
        <v>3366</v>
      </c>
      <c r="U90" s="36" t="s">
        <v>3367</v>
      </c>
      <c r="V90" s="31">
        <v>0</v>
      </c>
      <c r="W90" s="30">
        <v>0</v>
      </c>
      <c r="X90" s="31">
        <v>0</v>
      </c>
      <c r="Y90" s="31">
        <v>0</v>
      </c>
      <c r="Z90" s="31">
        <v>0</v>
      </c>
      <c r="AA90" s="30">
        <v>0</v>
      </c>
      <c r="AB90" s="4">
        <v>730</v>
      </c>
      <c r="AC90" s="4">
        <v>0</v>
      </c>
      <c r="AD90" s="4">
        <v>0.8</v>
      </c>
      <c r="AE90" s="33">
        <v>0.4</v>
      </c>
      <c r="AF90" s="4">
        <v>582</v>
      </c>
      <c r="AG90" s="4">
        <v>0</v>
      </c>
      <c r="AH90" s="29">
        <v>0</v>
      </c>
      <c r="AI90" s="30">
        <v>0</v>
      </c>
      <c r="AJ90" s="29">
        <v>0</v>
      </c>
      <c r="AK90" s="30">
        <v>0</v>
      </c>
      <c r="AL90" s="29">
        <v>0</v>
      </c>
      <c r="AN90" s="4">
        <v>1</v>
      </c>
      <c r="AO90" s="4" t="s">
        <v>3356</v>
      </c>
    </row>
    <row r="91" spans="1:41" x14ac:dyDescent="0.15">
      <c r="A91" s="4" t="s">
        <v>2662</v>
      </c>
      <c r="B91" s="4" t="s">
        <v>3457</v>
      </c>
      <c r="C91" s="4" t="s">
        <v>3531</v>
      </c>
      <c r="D91" s="4">
        <v>3182</v>
      </c>
      <c r="F91" s="4" t="s">
        <v>3365</v>
      </c>
      <c r="H91" s="4">
        <v>2</v>
      </c>
      <c r="I91" s="4">
        <v>10</v>
      </c>
      <c r="J91" s="4">
        <v>1</v>
      </c>
      <c r="K91" s="4">
        <v>1</v>
      </c>
      <c r="L91" s="4">
        <v>3</v>
      </c>
      <c r="M91" s="4">
        <v>1</v>
      </c>
      <c r="N91" s="4">
        <v>0</v>
      </c>
      <c r="O91" s="4">
        <v>0</v>
      </c>
      <c r="P91" s="4">
        <v>0</v>
      </c>
      <c r="Q91" s="4">
        <v>7</v>
      </c>
      <c r="R91" s="29" t="b">
        <v>0</v>
      </c>
      <c r="S91" s="31">
        <v>0</v>
      </c>
      <c r="T91" s="35" t="s">
        <v>3366</v>
      </c>
      <c r="U91" s="36" t="s">
        <v>3367</v>
      </c>
      <c r="V91" s="31">
        <v>0</v>
      </c>
      <c r="W91" s="30">
        <v>0</v>
      </c>
      <c r="X91" s="31">
        <v>0</v>
      </c>
      <c r="Y91" s="31">
        <v>0</v>
      </c>
      <c r="Z91" s="31">
        <v>0</v>
      </c>
      <c r="AA91" s="30">
        <v>0</v>
      </c>
      <c r="AB91" s="4">
        <v>750</v>
      </c>
      <c r="AC91" s="4">
        <v>0</v>
      </c>
      <c r="AD91" s="4">
        <v>5.3</v>
      </c>
      <c r="AE91" s="33">
        <v>0</v>
      </c>
      <c r="AF91" s="4">
        <v>0</v>
      </c>
      <c r="AG91" s="4">
        <v>0</v>
      </c>
      <c r="AH91" s="4">
        <v>90</v>
      </c>
      <c r="AI91" s="30">
        <v>5</v>
      </c>
      <c r="AJ91" s="29">
        <v>0</v>
      </c>
      <c r="AK91" s="30">
        <v>0</v>
      </c>
      <c r="AL91" s="29">
        <v>0</v>
      </c>
      <c r="AN91" s="4">
        <v>0</v>
      </c>
      <c r="AO91" s="4" t="s">
        <v>3356</v>
      </c>
    </row>
    <row r="92" spans="1:41" x14ac:dyDescent="0.15">
      <c r="A92" s="4" t="s">
        <v>2663</v>
      </c>
      <c r="B92" s="4" t="s">
        <v>3458</v>
      </c>
      <c r="C92" s="4" t="s">
        <v>3478</v>
      </c>
      <c r="D92" s="4">
        <v>3191</v>
      </c>
      <c r="F92" s="4" t="s">
        <v>2756</v>
      </c>
      <c r="H92" s="4">
        <v>1</v>
      </c>
      <c r="I92" s="4">
        <v>2</v>
      </c>
      <c r="J92" s="4">
        <v>1</v>
      </c>
      <c r="K92" s="4">
        <v>1</v>
      </c>
      <c r="L92" s="4">
        <v>0.5</v>
      </c>
      <c r="M92" s="4">
        <v>1</v>
      </c>
      <c r="N92" s="4">
        <v>0</v>
      </c>
      <c r="O92" s="4">
        <v>0</v>
      </c>
      <c r="P92" s="4">
        <v>0</v>
      </c>
      <c r="Q92" s="4">
        <v>7</v>
      </c>
      <c r="R92" s="29" t="b">
        <v>0</v>
      </c>
      <c r="S92" s="31">
        <v>0</v>
      </c>
      <c r="T92" s="35" t="s">
        <v>3260</v>
      </c>
      <c r="U92" s="36" t="s">
        <v>3261</v>
      </c>
      <c r="V92" s="31">
        <v>0</v>
      </c>
      <c r="W92" s="30">
        <v>0</v>
      </c>
      <c r="X92" s="31">
        <v>0</v>
      </c>
      <c r="Y92" s="31">
        <v>0</v>
      </c>
      <c r="Z92" s="31">
        <v>0</v>
      </c>
      <c r="AA92" s="30">
        <v>0</v>
      </c>
      <c r="AB92" s="4">
        <v>810</v>
      </c>
      <c r="AC92" s="4">
        <v>0</v>
      </c>
      <c r="AD92" s="4">
        <v>1.5</v>
      </c>
      <c r="AE92" s="33" t="s">
        <v>9958</v>
      </c>
      <c r="AF92" s="4">
        <v>593</v>
      </c>
      <c r="AG92" s="4">
        <v>0</v>
      </c>
      <c r="AH92" s="29">
        <v>0</v>
      </c>
      <c r="AI92" s="30">
        <v>0</v>
      </c>
      <c r="AJ92" s="29">
        <v>0</v>
      </c>
      <c r="AK92" s="30">
        <v>0</v>
      </c>
      <c r="AL92" s="29">
        <v>0</v>
      </c>
      <c r="AN92" s="4">
        <v>1</v>
      </c>
      <c r="AO92" s="4" t="s">
        <v>2755</v>
      </c>
    </row>
    <row r="93" spans="1:41" x14ac:dyDescent="0.15">
      <c r="A93" s="4" t="s">
        <v>2663</v>
      </c>
      <c r="B93" s="4" t="s">
        <v>3529</v>
      </c>
      <c r="C93" s="4" t="s">
        <v>3787</v>
      </c>
      <c r="D93" s="4">
        <v>3192</v>
      </c>
      <c r="F93" s="4" t="s">
        <v>2756</v>
      </c>
      <c r="H93" s="4">
        <v>2</v>
      </c>
      <c r="I93" s="4">
        <v>10</v>
      </c>
      <c r="J93" s="4">
        <v>1</v>
      </c>
      <c r="K93" s="4">
        <v>1</v>
      </c>
      <c r="L93" s="4">
        <v>3</v>
      </c>
      <c r="M93" s="4">
        <v>1</v>
      </c>
      <c r="N93" s="4">
        <v>0</v>
      </c>
      <c r="O93" s="4">
        <v>0</v>
      </c>
      <c r="P93" s="4">
        <v>0</v>
      </c>
      <c r="Q93" s="4">
        <v>3</v>
      </c>
      <c r="R93" s="29" t="b">
        <v>0</v>
      </c>
      <c r="S93" s="31">
        <v>0</v>
      </c>
      <c r="T93" s="35" t="s">
        <v>3260</v>
      </c>
      <c r="U93" s="36" t="s">
        <v>3261</v>
      </c>
      <c r="V93" s="31">
        <v>0</v>
      </c>
      <c r="W93" s="30">
        <v>0</v>
      </c>
      <c r="X93" s="31">
        <v>0</v>
      </c>
      <c r="Y93" s="31">
        <v>0</v>
      </c>
      <c r="Z93" s="31">
        <v>0</v>
      </c>
      <c r="AA93" s="30">
        <v>0</v>
      </c>
      <c r="AB93" s="4">
        <v>820</v>
      </c>
      <c r="AC93" s="4">
        <v>0</v>
      </c>
      <c r="AD93" s="4">
        <v>0.5</v>
      </c>
      <c r="AE93" s="33">
        <v>0.4</v>
      </c>
      <c r="AF93" s="4">
        <v>594</v>
      </c>
      <c r="AG93" s="4">
        <v>0</v>
      </c>
      <c r="AH93" s="29">
        <v>110</v>
      </c>
      <c r="AI93" s="30">
        <v>0.1</v>
      </c>
      <c r="AJ93" s="29">
        <v>0</v>
      </c>
      <c r="AK93" s="30">
        <v>0</v>
      </c>
      <c r="AL93" s="29">
        <v>0</v>
      </c>
      <c r="AN93" s="4">
        <v>14</v>
      </c>
      <c r="AO93" s="4" t="s">
        <v>2755</v>
      </c>
    </row>
    <row r="94" spans="1:41" x14ac:dyDescent="0.15">
      <c r="A94" s="4" t="s">
        <v>2663</v>
      </c>
      <c r="B94" s="4" t="s">
        <v>3529</v>
      </c>
      <c r="C94" s="4" t="s">
        <v>3530</v>
      </c>
      <c r="D94" s="4">
        <v>3193</v>
      </c>
      <c r="F94" s="4" t="s">
        <v>2756</v>
      </c>
      <c r="H94" s="4">
        <v>2</v>
      </c>
      <c r="I94" s="4">
        <v>10</v>
      </c>
      <c r="J94" s="4">
        <v>1</v>
      </c>
      <c r="K94" s="4">
        <v>1</v>
      </c>
      <c r="L94" s="4">
        <v>3</v>
      </c>
      <c r="M94" s="4">
        <v>1</v>
      </c>
      <c r="N94" s="4">
        <v>0</v>
      </c>
      <c r="O94" s="4">
        <v>0</v>
      </c>
      <c r="P94" s="4">
        <v>0</v>
      </c>
      <c r="Q94" s="4">
        <v>3</v>
      </c>
      <c r="R94" s="29" t="b">
        <v>0</v>
      </c>
      <c r="S94" s="31">
        <v>0</v>
      </c>
      <c r="T94" s="35" t="s">
        <v>3260</v>
      </c>
      <c r="U94" s="36" t="s">
        <v>3261</v>
      </c>
      <c r="V94" s="31">
        <v>0</v>
      </c>
      <c r="W94" s="30">
        <v>0</v>
      </c>
      <c r="X94" s="31">
        <v>0</v>
      </c>
      <c r="Y94" s="31">
        <v>0</v>
      </c>
      <c r="Z94" s="31">
        <v>0</v>
      </c>
      <c r="AA94" s="30">
        <v>0</v>
      </c>
      <c r="AB94" s="4">
        <v>820</v>
      </c>
      <c r="AC94" s="4">
        <v>0</v>
      </c>
      <c r="AD94" s="4">
        <v>0.5</v>
      </c>
      <c r="AE94" s="33">
        <v>0.4</v>
      </c>
      <c r="AF94" s="4">
        <v>595</v>
      </c>
      <c r="AG94" s="4">
        <v>0</v>
      </c>
      <c r="AH94" s="29">
        <v>110</v>
      </c>
      <c r="AI94" s="30">
        <v>0.1</v>
      </c>
      <c r="AJ94" s="29">
        <v>0</v>
      </c>
      <c r="AK94" s="30">
        <v>0</v>
      </c>
      <c r="AL94" s="29">
        <v>0</v>
      </c>
      <c r="AN94" s="4">
        <v>14</v>
      </c>
      <c r="AO94" s="4" t="s">
        <v>2755</v>
      </c>
    </row>
    <row r="95" spans="1:41" x14ac:dyDescent="0.15">
      <c r="A95" s="4" t="s">
        <v>2663</v>
      </c>
      <c r="B95" s="4" t="s">
        <v>3529</v>
      </c>
      <c r="C95" s="4" t="s">
        <v>3530</v>
      </c>
      <c r="D95" s="4">
        <v>3194</v>
      </c>
      <c r="F95" s="4" t="s">
        <v>2756</v>
      </c>
      <c r="H95" s="4">
        <v>4</v>
      </c>
      <c r="I95" s="4">
        <v>10</v>
      </c>
      <c r="J95" s="4">
        <v>1</v>
      </c>
      <c r="K95" s="4">
        <v>1</v>
      </c>
      <c r="L95" s="4">
        <v>3</v>
      </c>
      <c r="M95" s="4">
        <v>1</v>
      </c>
      <c r="N95" s="4">
        <v>0</v>
      </c>
      <c r="O95" s="4">
        <v>0</v>
      </c>
      <c r="P95" s="4">
        <v>0</v>
      </c>
      <c r="Q95" s="4">
        <v>3</v>
      </c>
      <c r="R95" s="29" t="b">
        <v>0</v>
      </c>
      <c r="S95" s="31">
        <v>0</v>
      </c>
      <c r="T95" s="35" t="s">
        <v>3260</v>
      </c>
      <c r="U95" s="36" t="s">
        <v>3261</v>
      </c>
      <c r="V95" s="31">
        <v>0</v>
      </c>
      <c r="W95" s="30">
        <v>0</v>
      </c>
      <c r="X95" s="31">
        <v>0</v>
      </c>
      <c r="Y95" s="31">
        <v>0</v>
      </c>
      <c r="Z95" s="31">
        <v>0</v>
      </c>
      <c r="AA95" s="30">
        <v>0</v>
      </c>
      <c r="AB95" s="4">
        <v>820</v>
      </c>
      <c r="AC95" s="4">
        <v>0</v>
      </c>
      <c r="AD95" s="4">
        <v>0.5</v>
      </c>
      <c r="AE95" s="33">
        <v>0.4</v>
      </c>
      <c r="AF95" s="4">
        <v>595</v>
      </c>
      <c r="AG95" s="4">
        <v>0</v>
      </c>
      <c r="AH95" s="29">
        <v>110</v>
      </c>
      <c r="AI95" s="30">
        <v>0.1</v>
      </c>
      <c r="AJ95" s="29">
        <v>0</v>
      </c>
      <c r="AK95" s="30">
        <v>0</v>
      </c>
      <c r="AL95" s="29">
        <v>0</v>
      </c>
      <c r="AN95" s="4">
        <v>14</v>
      </c>
      <c r="AO95" s="4" t="s">
        <v>2755</v>
      </c>
    </row>
    <row r="96" spans="1:41" x14ac:dyDescent="0.15">
      <c r="A96" s="4" t="s">
        <v>2662</v>
      </c>
      <c r="B96" s="4" t="s">
        <v>3701</v>
      </c>
      <c r="C96" s="4" t="s">
        <v>3707</v>
      </c>
      <c r="D96" s="4">
        <v>3201</v>
      </c>
      <c r="F96" s="4" t="s">
        <v>3707</v>
      </c>
      <c r="H96" s="4">
        <v>1</v>
      </c>
      <c r="I96" s="4">
        <v>3</v>
      </c>
      <c r="J96" s="4">
        <v>1</v>
      </c>
      <c r="K96" s="4">
        <v>1</v>
      </c>
      <c r="L96" s="4">
        <v>3</v>
      </c>
      <c r="M96" s="4">
        <v>1</v>
      </c>
      <c r="N96" s="4">
        <v>0</v>
      </c>
      <c r="O96" s="4">
        <v>0</v>
      </c>
      <c r="P96" s="4">
        <v>0</v>
      </c>
      <c r="Q96" s="4">
        <v>3</v>
      </c>
      <c r="R96" s="29" t="b">
        <v>0</v>
      </c>
      <c r="S96" s="31">
        <v>0</v>
      </c>
      <c r="T96" s="35" t="s">
        <v>3352</v>
      </c>
      <c r="U96" s="36" t="s">
        <v>3348</v>
      </c>
      <c r="V96" s="31">
        <v>0</v>
      </c>
      <c r="W96" s="30">
        <v>0</v>
      </c>
      <c r="X96" s="31">
        <v>0</v>
      </c>
      <c r="Y96" s="31">
        <v>0</v>
      </c>
      <c r="Z96" s="31">
        <v>0</v>
      </c>
      <c r="AA96" s="30">
        <v>0</v>
      </c>
      <c r="AB96" s="4">
        <v>1040</v>
      </c>
      <c r="AC96" s="4">
        <v>0</v>
      </c>
      <c r="AD96" s="4">
        <v>1.5</v>
      </c>
      <c r="AE96" s="33">
        <v>1</v>
      </c>
      <c r="AF96" s="4">
        <v>601</v>
      </c>
      <c r="AG96" s="4">
        <v>0</v>
      </c>
      <c r="AH96" s="29">
        <v>0</v>
      </c>
      <c r="AI96" s="30">
        <v>0</v>
      </c>
      <c r="AJ96" s="29">
        <v>0</v>
      </c>
      <c r="AK96" s="30">
        <v>0</v>
      </c>
      <c r="AL96" s="29">
        <v>0</v>
      </c>
      <c r="AN96" s="4">
        <v>1</v>
      </c>
      <c r="AO96" s="4" t="s">
        <v>3356</v>
      </c>
    </row>
    <row r="99" spans="1:41" x14ac:dyDescent="0.15">
      <c r="B99" s="4" t="s">
        <v>3507</v>
      </c>
    </row>
    <row r="100" spans="1:41" x14ac:dyDescent="0.15">
      <c r="A100" s="4" t="s">
        <v>2742</v>
      </c>
      <c r="B100" s="4" t="s">
        <v>3451</v>
      </c>
      <c r="C100" s="4" t="s">
        <v>2980</v>
      </c>
      <c r="D100" s="4">
        <v>4011</v>
      </c>
      <c r="F100" s="4" t="s">
        <v>2980</v>
      </c>
      <c r="H100" s="4">
        <v>1</v>
      </c>
      <c r="I100" s="4">
        <v>1</v>
      </c>
      <c r="J100" s="4">
        <v>1</v>
      </c>
      <c r="K100" s="4">
        <v>1</v>
      </c>
      <c r="L100" s="4">
        <v>3</v>
      </c>
      <c r="M100" s="4">
        <v>1</v>
      </c>
      <c r="N100" s="4">
        <v>0</v>
      </c>
      <c r="O100" s="4">
        <v>0</v>
      </c>
      <c r="P100" s="4">
        <v>0</v>
      </c>
      <c r="Q100" s="4">
        <v>3</v>
      </c>
      <c r="R100" s="29" t="b">
        <v>0</v>
      </c>
      <c r="S100" s="31">
        <v>0</v>
      </c>
      <c r="T100" s="35" t="s">
        <v>3260</v>
      </c>
      <c r="U100" s="36" t="s">
        <v>3261</v>
      </c>
      <c r="V100" s="31">
        <v>0</v>
      </c>
      <c r="W100" s="30">
        <v>0</v>
      </c>
      <c r="X100" s="31">
        <v>0</v>
      </c>
      <c r="Y100" s="31">
        <v>0</v>
      </c>
      <c r="Z100" s="31">
        <v>0</v>
      </c>
      <c r="AA100" s="30">
        <v>0</v>
      </c>
      <c r="AB100" s="4">
        <v>0</v>
      </c>
      <c r="AC100" s="4">
        <v>0</v>
      </c>
      <c r="AD100" s="4">
        <v>0.8</v>
      </c>
      <c r="AE100" s="33">
        <v>0.3</v>
      </c>
      <c r="AF100" s="4">
        <v>511</v>
      </c>
      <c r="AG100" s="4">
        <v>0</v>
      </c>
      <c r="AH100" s="29">
        <v>0</v>
      </c>
      <c r="AI100" s="30">
        <v>0</v>
      </c>
      <c r="AJ100" s="29">
        <v>0</v>
      </c>
      <c r="AK100" s="30">
        <v>0</v>
      </c>
      <c r="AL100" s="29">
        <v>0</v>
      </c>
      <c r="AN100" s="4">
        <v>1</v>
      </c>
      <c r="AO100" s="4" t="s">
        <v>2755</v>
      </c>
    </row>
    <row r="101" spans="1:41" x14ac:dyDescent="0.15">
      <c r="A101" s="4" t="s">
        <v>2742</v>
      </c>
      <c r="C101" s="4" t="s">
        <v>2981</v>
      </c>
      <c r="D101" s="4">
        <v>4012</v>
      </c>
      <c r="F101" s="4" t="s">
        <v>2981</v>
      </c>
      <c r="H101" s="4">
        <v>2</v>
      </c>
      <c r="I101" s="4">
        <v>5</v>
      </c>
      <c r="J101" s="4">
        <v>1</v>
      </c>
      <c r="K101" s="4">
        <v>0.3</v>
      </c>
      <c r="L101" s="4">
        <v>2</v>
      </c>
      <c r="M101" s="4">
        <v>1</v>
      </c>
      <c r="N101" s="4">
        <v>0</v>
      </c>
      <c r="O101" s="4">
        <v>0</v>
      </c>
      <c r="P101" s="4">
        <v>0</v>
      </c>
      <c r="Q101" s="4">
        <v>5</v>
      </c>
      <c r="R101" s="29" t="b">
        <v>0</v>
      </c>
      <c r="S101" s="31">
        <v>0</v>
      </c>
      <c r="T101" s="35" t="s">
        <v>3260</v>
      </c>
      <c r="U101" s="36" t="s">
        <v>3261</v>
      </c>
      <c r="V101" s="31">
        <v>0</v>
      </c>
      <c r="W101" s="30">
        <v>0</v>
      </c>
      <c r="X101" s="31">
        <v>0</v>
      </c>
      <c r="Y101" s="31">
        <v>0</v>
      </c>
      <c r="Z101" s="31">
        <v>0</v>
      </c>
      <c r="AA101" s="30">
        <v>0</v>
      </c>
      <c r="AB101" s="4">
        <v>80</v>
      </c>
      <c r="AC101" s="4">
        <v>0</v>
      </c>
      <c r="AD101" s="4">
        <v>1.5</v>
      </c>
      <c r="AE101" s="33" t="s">
        <v>2812</v>
      </c>
      <c r="AF101" s="4">
        <v>512</v>
      </c>
      <c r="AG101" s="4">
        <v>0</v>
      </c>
      <c r="AH101" s="29">
        <v>0</v>
      </c>
      <c r="AI101" s="30">
        <v>0</v>
      </c>
      <c r="AJ101" s="29">
        <v>0</v>
      </c>
      <c r="AK101" s="30">
        <v>0</v>
      </c>
      <c r="AL101" s="29">
        <v>0</v>
      </c>
      <c r="AN101" s="4">
        <v>1</v>
      </c>
      <c r="AO101" s="4" t="s">
        <v>2755</v>
      </c>
    </row>
    <row r="102" spans="1:41" x14ac:dyDescent="0.15">
      <c r="A102" s="4" t="s">
        <v>2742</v>
      </c>
      <c r="C102" s="4" t="s">
        <v>2982</v>
      </c>
      <c r="D102" s="4">
        <v>4013</v>
      </c>
      <c r="F102" s="4" t="s">
        <v>2982</v>
      </c>
      <c r="G102" s="4" t="s">
        <v>3734</v>
      </c>
      <c r="H102" s="4">
        <v>3</v>
      </c>
      <c r="I102" s="4">
        <v>10</v>
      </c>
      <c r="J102" s="4">
        <v>1</v>
      </c>
      <c r="K102" s="4">
        <v>1</v>
      </c>
      <c r="L102" s="4">
        <v>3</v>
      </c>
      <c r="M102" s="4">
        <v>2</v>
      </c>
      <c r="N102" s="4">
        <v>0</v>
      </c>
      <c r="O102" s="4">
        <v>0</v>
      </c>
      <c r="P102" s="4">
        <v>0</v>
      </c>
      <c r="Q102" s="4">
        <v>6</v>
      </c>
      <c r="R102" s="29" t="b">
        <v>0</v>
      </c>
      <c r="S102" s="31">
        <v>0</v>
      </c>
      <c r="T102" s="35" t="s">
        <v>3260</v>
      </c>
      <c r="U102" s="36" t="s">
        <v>3261</v>
      </c>
      <c r="V102" s="31">
        <v>0</v>
      </c>
      <c r="W102" s="30">
        <v>0</v>
      </c>
      <c r="X102" s="31">
        <v>0</v>
      </c>
      <c r="Y102" s="31">
        <v>0</v>
      </c>
      <c r="Z102" s="31">
        <v>0</v>
      </c>
      <c r="AA102" s="30">
        <v>0</v>
      </c>
      <c r="AB102" s="4">
        <v>40</v>
      </c>
      <c r="AC102" s="4">
        <v>0</v>
      </c>
      <c r="AD102" s="4">
        <v>0.8</v>
      </c>
      <c r="AE102" s="33">
        <v>0.4</v>
      </c>
      <c r="AF102" s="4">
        <v>0</v>
      </c>
      <c r="AG102" s="4">
        <v>0</v>
      </c>
      <c r="AH102" s="29">
        <v>0</v>
      </c>
      <c r="AI102" s="30">
        <v>0</v>
      </c>
      <c r="AJ102" s="29">
        <v>10</v>
      </c>
      <c r="AK102" s="30">
        <v>0</v>
      </c>
      <c r="AL102" s="29">
        <v>0</v>
      </c>
      <c r="AN102" s="4">
        <v>0</v>
      </c>
    </row>
    <row r="104" spans="1:41" x14ac:dyDescent="0.15">
      <c r="A104" s="4" t="s">
        <v>2663</v>
      </c>
      <c r="B104" s="4" t="s">
        <v>3452</v>
      </c>
      <c r="C104" s="4" t="s">
        <v>2979</v>
      </c>
      <c r="D104" s="4">
        <f>D100+10</f>
        <v>4021</v>
      </c>
      <c r="F104" s="4" t="s">
        <v>2979</v>
      </c>
      <c r="H104" s="4">
        <v>1</v>
      </c>
      <c r="I104" s="4">
        <v>1</v>
      </c>
      <c r="J104" s="4">
        <v>1</v>
      </c>
      <c r="K104" s="4">
        <v>1</v>
      </c>
      <c r="L104" s="4">
        <v>3</v>
      </c>
      <c r="M104" s="4">
        <v>1</v>
      </c>
      <c r="N104" s="4">
        <v>0</v>
      </c>
      <c r="O104" s="4">
        <v>0</v>
      </c>
      <c r="P104" s="4">
        <v>0</v>
      </c>
      <c r="Q104" s="4">
        <v>3</v>
      </c>
      <c r="R104" s="29" t="b">
        <v>0</v>
      </c>
      <c r="S104" s="31">
        <v>0</v>
      </c>
      <c r="T104" s="35" t="s">
        <v>3260</v>
      </c>
      <c r="U104" s="36" t="s">
        <v>3261</v>
      </c>
      <c r="V104" s="31">
        <v>0</v>
      </c>
      <c r="W104" s="30">
        <v>0</v>
      </c>
      <c r="X104" s="31">
        <v>0</v>
      </c>
      <c r="Y104" s="31">
        <v>0</v>
      </c>
      <c r="Z104" s="31">
        <v>0</v>
      </c>
      <c r="AA104" s="30">
        <v>0</v>
      </c>
      <c r="AB104" s="4">
        <v>0</v>
      </c>
      <c r="AC104" s="4">
        <v>0</v>
      </c>
      <c r="AD104" s="4">
        <v>0.8</v>
      </c>
      <c r="AE104" s="33">
        <v>0.5</v>
      </c>
      <c r="AF104" s="4">
        <v>521</v>
      </c>
      <c r="AG104" s="4">
        <v>0</v>
      </c>
      <c r="AH104" s="29">
        <v>0</v>
      </c>
      <c r="AI104" s="30">
        <v>0</v>
      </c>
      <c r="AJ104" s="29">
        <v>0</v>
      </c>
      <c r="AK104" s="30">
        <v>0</v>
      </c>
      <c r="AL104" s="29">
        <v>0</v>
      </c>
      <c r="AN104" s="4">
        <v>1</v>
      </c>
      <c r="AO104" s="4" t="s">
        <v>2755</v>
      </c>
    </row>
    <row r="105" spans="1:41" x14ac:dyDescent="0.15">
      <c r="A105" s="4" t="s">
        <v>2663</v>
      </c>
      <c r="C105" s="4" t="s">
        <v>2976</v>
      </c>
      <c r="D105" s="4">
        <f t="shared" ref="D105:D106" si="0">D101+10</f>
        <v>4022</v>
      </c>
      <c r="F105" s="4" t="s">
        <v>2976</v>
      </c>
      <c r="H105" s="4">
        <v>2</v>
      </c>
      <c r="I105" s="4">
        <v>1</v>
      </c>
      <c r="J105" s="4">
        <v>1</v>
      </c>
      <c r="K105" s="4">
        <v>2</v>
      </c>
      <c r="L105" s="4">
        <v>1</v>
      </c>
      <c r="M105" s="4">
        <v>1</v>
      </c>
      <c r="N105" s="4">
        <v>0</v>
      </c>
      <c r="O105" s="4">
        <v>0</v>
      </c>
      <c r="P105" s="4">
        <v>0</v>
      </c>
      <c r="Q105" s="4">
        <v>5</v>
      </c>
      <c r="R105" s="29" t="b">
        <v>0</v>
      </c>
      <c r="S105" s="31">
        <v>0</v>
      </c>
      <c r="T105" s="35" t="s">
        <v>3260</v>
      </c>
      <c r="U105" s="36" t="s">
        <v>3261</v>
      </c>
      <c r="V105" s="31">
        <v>0</v>
      </c>
      <c r="W105" s="30">
        <v>0</v>
      </c>
      <c r="X105" s="31">
        <v>0</v>
      </c>
      <c r="Y105" s="31">
        <v>0</v>
      </c>
      <c r="Z105" s="31">
        <v>0</v>
      </c>
      <c r="AA105" s="30">
        <v>0</v>
      </c>
      <c r="AB105" s="4">
        <v>350</v>
      </c>
      <c r="AC105" s="4">
        <v>0</v>
      </c>
      <c r="AD105" s="4">
        <v>1.5</v>
      </c>
      <c r="AE105" s="33">
        <v>1.3</v>
      </c>
      <c r="AF105" s="4">
        <v>522</v>
      </c>
      <c r="AG105" s="4">
        <v>0</v>
      </c>
      <c r="AH105" s="29">
        <v>1</v>
      </c>
      <c r="AI105" s="30">
        <v>1.5</v>
      </c>
      <c r="AJ105" s="29">
        <v>0</v>
      </c>
      <c r="AK105" s="30">
        <v>0</v>
      </c>
      <c r="AL105" s="29">
        <v>0</v>
      </c>
      <c r="AN105" s="4">
        <v>11</v>
      </c>
      <c r="AO105" s="4" t="s">
        <v>3008</v>
      </c>
    </row>
    <row r="106" spans="1:41" x14ac:dyDescent="0.15">
      <c r="A106" s="4" t="s">
        <v>2663</v>
      </c>
      <c r="C106" s="4" t="s">
        <v>2977</v>
      </c>
      <c r="D106" s="4">
        <f t="shared" si="0"/>
        <v>4023</v>
      </c>
      <c r="F106" s="4" t="s">
        <v>2977</v>
      </c>
      <c r="G106" s="4" t="s">
        <v>3735</v>
      </c>
      <c r="H106" s="4">
        <v>3</v>
      </c>
      <c r="I106" s="4">
        <v>10</v>
      </c>
      <c r="J106" s="4">
        <v>1</v>
      </c>
      <c r="K106" s="4">
        <v>1</v>
      </c>
      <c r="L106" s="4">
        <v>3</v>
      </c>
      <c r="M106" s="4">
        <v>2</v>
      </c>
      <c r="N106" s="4">
        <v>0</v>
      </c>
      <c r="O106" s="4">
        <v>0</v>
      </c>
      <c r="P106" s="4">
        <v>0</v>
      </c>
      <c r="Q106" s="4">
        <v>6</v>
      </c>
      <c r="R106" s="29" t="b">
        <v>0</v>
      </c>
      <c r="S106" s="31">
        <v>0</v>
      </c>
      <c r="T106" s="35" t="s">
        <v>3260</v>
      </c>
      <c r="U106" s="36" t="s">
        <v>3261</v>
      </c>
      <c r="V106" s="31">
        <v>0</v>
      </c>
      <c r="W106" s="30">
        <v>0</v>
      </c>
      <c r="X106" s="31">
        <v>0</v>
      </c>
      <c r="Y106" s="31">
        <v>0</v>
      </c>
      <c r="Z106" s="31">
        <v>0</v>
      </c>
      <c r="AA106" s="30">
        <v>0</v>
      </c>
      <c r="AB106" s="4">
        <v>360</v>
      </c>
      <c r="AC106" s="4">
        <v>0</v>
      </c>
      <c r="AD106" s="4">
        <v>0.8</v>
      </c>
      <c r="AE106" s="33">
        <v>0.4</v>
      </c>
      <c r="AF106" s="4">
        <v>0</v>
      </c>
      <c r="AG106" s="4">
        <v>0</v>
      </c>
      <c r="AH106" s="29">
        <v>0</v>
      </c>
      <c r="AI106" s="30">
        <v>0</v>
      </c>
      <c r="AJ106" s="4">
        <v>20</v>
      </c>
      <c r="AK106" s="30">
        <v>10</v>
      </c>
      <c r="AL106" s="29">
        <v>0</v>
      </c>
      <c r="AN106" s="4">
        <v>0</v>
      </c>
    </row>
    <row r="108" spans="1:41" x14ac:dyDescent="0.15">
      <c r="A108" s="4" t="s">
        <v>2663</v>
      </c>
      <c r="B108" s="4" t="s">
        <v>3453</v>
      </c>
      <c r="C108" s="4" t="s">
        <v>2978</v>
      </c>
      <c r="D108" s="4">
        <f>D104+10</f>
        <v>4031</v>
      </c>
      <c r="F108" s="4" t="s">
        <v>2978</v>
      </c>
      <c r="H108" s="4">
        <v>1</v>
      </c>
      <c r="I108" s="4">
        <v>1</v>
      </c>
      <c r="J108" s="4">
        <v>1</v>
      </c>
      <c r="K108" s="4">
        <v>1</v>
      </c>
      <c r="L108" s="4">
        <v>3</v>
      </c>
      <c r="M108" s="4">
        <v>1</v>
      </c>
      <c r="N108" s="4">
        <v>0</v>
      </c>
      <c r="O108" s="4">
        <v>0</v>
      </c>
      <c r="P108" s="4">
        <v>0</v>
      </c>
      <c r="Q108" s="4">
        <v>3</v>
      </c>
      <c r="R108" s="29" t="b">
        <v>0</v>
      </c>
      <c r="S108" s="31">
        <v>0</v>
      </c>
      <c r="T108" s="35" t="s">
        <v>3260</v>
      </c>
      <c r="U108" s="36" t="s">
        <v>3261</v>
      </c>
      <c r="V108" s="31">
        <v>0</v>
      </c>
      <c r="W108" s="30">
        <v>0</v>
      </c>
      <c r="X108" s="31">
        <v>0</v>
      </c>
      <c r="Y108" s="31">
        <v>0</v>
      </c>
      <c r="Z108" s="31">
        <v>0</v>
      </c>
      <c r="AA108" s="30">
        <v>0</v>
      </c>
      <c r="AB108" s="4">
        <v>0</v>
      </c>
      <c r="AC108" s="4">
        <v>0</v>
      </c>
      <c r="AD108" s="4">
        <v>1</v>
      </c>
      <c r="AE108" s="33">
        <v>0.5</v>
      </c>
      <c r="AF108" s="4">
        <v>531</v>
      </c>
      <c r="AG108" s="4">
        <v>0</v>
      </c>
      <c r="AH108" s="29">
        <v>0</v>
      </c>
      <c r="AI108" s="30">
        <v>0</v>
      </c>
      <c r="AJ108" s="29">
        <v>0</v>
      </c>
      <c r="AK108" s="30">
        <v>0</v>
      </c>
      <c r="AL108" s="29">
        <v>0</v>
      </c>
      <c r="AN108" s="4">
        <v>1</v>
      </c>
      <c r="AO108" s="4" t="s">
        <v>2755</v>
      </c>
    </row>
    <row r="109" spans="1:41" x14ac:dyDescent="0.15">
      <c r="A109" s="4" t="s">
        <v>2663</v>
      </c>
      <c r="C109" s="4" t="s">
        <v>3007</v>
      </c>
      <c r="D109" s="4">
        <f t="shared" ref="D109:D110" si="1">D105+10</f>
        <v>4032</v>
      </c>
      <c r="F109" s="4" t="s">
        <v>2983</v>
      </c>
      <c r="H109" s="4">
        <v>2</v>
      </c>
      <c r="I109" s="4">
        <v>5</v>
      </c>
      <c r="J109" s="4">
        <v>1</v>
      </c>
      <c r="K109" s="4">
        <v>2</v>
      </c>
      <c r="L109" s="4">
        <v>3</v>
      </c>
      <c r="M109" s="4">
        <v>1</v>
      </c>
      <c r="N109" s="4">
        <v>0</v>
      </c>
      <c r="O109" s="4">
        <v>0</v>
      </c>
      <c r="P109" s="4">
        <v>0</v>
      </c>
      <c r="Q109" s="4">
        <v>5</v>
      </c>
      <c r="R109" s="29" t="b">
        <v>0</v>
      </c>
      <c r="S109" s="31">
        <v>0</v>
      </c>
      <c r="T109" s="35" t="s">
        <v>3260</v>
      </c>
      <c r="U109" s="36" t="s">
        <v>3261</v>
      </c>
      <c r="V109" s="31">
        <v>0</v>
      </c>
      <c r="W109" s="30">
        <v>0</v>
      </c>
      <c r="X109" s="31">
        <v>0</v>
      </c>
      <c r="Y109" s="31">
        <v>0</v>
      </c>
      <c r="Z109" s="31">
        <v>0</v>
      </c>
      <c r="AA109" s="30">
        <v>0</v>
      </c>
      <c r="AB109" s="4">
        <v>0</v>
      </c>
      <c r="AC109" s="4">
        <v>0</v>
      </c>
      <c r="AD109" s="4">
        <v>1.5</v>
      </c>
      <c r="AE109" s="33">
        <v>0</v>
      </c>
      <c r="AF109" s="4">
        <v>532</v>
      </c>
      <c r="AG109" s="4">
        <v>0</v>
      </c>
      <c r="AH109" s="29">
        <v>0</v>
      </c>
      <c r="AI109" s="30">
        <v>0</v>
      </c>
      <c r="AJ109" s="29">
        <v>0</v>
      </c>
      <c r="AK109" s="30">
        <v>0</v>
      </c>
      <c r="AL109" s="29">
        <v>0</v>
      </c>
      <c r="AN109" s="4">
        <v>1</v>
      </c>
      <c r="AO109" s="4" t="s">
        <v>2755</v>
      </c>
    </row>
    <row r="110" spans="1:41" x14ac:dyDescent="0.15">
      <c r="A110" s="4" t="s">
        <v>2663</v>
      </c>
      <c r="C110" s="4" t="s">
        <v>3006</v>
      </c>
      <c r="D110" s="4">
        <f t="shared" si="1"/>
        <v>4033</v>
      </c>
      <c r="F110" s="4" t="s">
        <v>2984</v>
      </c>
      <c r="G110" s="4" t="s">
        <v>3736</v>
      </c>
      <c r="H110" s="4">
        <v>3</v>
      </c>
      <c r="I110" s="4">
        <v>10</v>
      </c>
      <c r="J110" s="4">
        <v>1</v>
      </c>
      <c r="K110" s="4">
        <v>1</v>
      </c>
      <c r="L110" s="4">
        <v>3</v>
      </c>
      <c r="M110" s="4">
        <v>2</v>
      </c>
      <c r="N110" s="4">
        <v>0</v>
      </c>
      <c r="O110" s="4">
        <v>0</v>
      </c>
      <c r="P110" s="4">
        <v>0</v>
      </c>
      <c r="Q110" s="4">
        <v>6</v>
      </c>
      <c r="R110" s="29" t="b">
        <v>0</v>
      </c>
      <c r="S110" s="31">
        <v>0</v>
      </c>
      <c r="T110" s="35" t="s">
        <v>3260</v>
      </c>
      <c r="U110" s="36" t="s">
        <v>3261</v>
      </c>
      <c r="V110" s="31">
        <v>0</v>
      </c>
      <c r="W110" s="30">
        <v>0</v>
      </c>
      <c r="X110" s="31">
        <v>0</v>
      </c>
      <c r="Y110" s="31">
        <v>0</v>
      </c>
      <c r="Z110" s="31">
        <v>0</v>
      </c>
      <c r="AA110" s="30">
        <v>0</v>
      </c>
      <c r="AB110" s="4">
        <v>40</v>
      </c>
      <c r="AC110" s="4">
        <v>0</v>
      </c>
      <c r="AD110" s="4">
        <v>0.8</v>
      </c>
      <c r="AE110" s="33">
        <v>0.4</v>
      </c>
      <c r="AF110" s="4">
        <v>0</v>
      </c>
      <c r="AG110" s="4">
        <v>0</v>
      </c>
      <c r="AH110" s="29">
        <v>0</v>
      </c>
      <c r="AI110" s="30">
        <v>0</v>
      </c>
      <c r="AJ110" s="4">
        <v>40</v>
      </c>
      <c r="AK110" s="30">
        <v>5</v>
      </c>
      <c r="AL110" s="29">
        <v>0</v>
      </c>
      <c r="AN110" s="4">
        <v>0</v>
      </c>
    </row>
    <row r="112" spans="1:41" x14ac:dyDescent="0.15">
      <c r="A112" s="4" t="s">
        <v>2663</v>
      </c>
      <c r="B112" s="4" t="s">
        <v>3454</v>
      </c>
      <c r="C112" s="4" t="s">
        <v>3222</v>
      </c>
      <c r="D112" s="4">
        <f>D108+10</f>
        <v>4041</v>
      </c>
      <c r="F112" s="4" t="s">
        <v>3227</v>
      </c>
      <c r="H112" s="4">
        <v>1</v>
      </c>
      <c r="I112" s="4">
        <v>1</v>
      </c>
      <c r="J112" s="4">
        <v>1</v>
      </c>
      <c r="K112" s="4">
        <v>1</v>
      </c>
      <c r="L112" s="4">
        <v>3</v>
      </c>
      <c r="M112" s="4">
        <v>1</v>
      </c>
      <c r="N112" s="4">
        <v>0</v>
      </c>
      <c r="O112" s="4">
        <v>0</v>
      </c>
      <c r="P112" s="4">
        <v>0</v>
      </c>
      <c r="Q112" s="4">
        <v>3</v>
      </c>
      <c r="R112" s="29" t="b">
        <v>0</v>
      </c>
      <c r="S112" s="31">
        <v>0</v>
      </c>
      <c r="T112" s="35" t="s">
        <v>3260</v>
      </c>
      <c r="U112" s="36" t="s">
        <v>3261</v>
      </c>
      <c r="V112" s="31">
        <v>0</v>
      </c>
      <c r="W112" s="30">
        <v>0</v>
      </c>
      <c r="X112" s="31">
        <v>0</v>
      </c>
      <c r="Y112" s="31">
        <v>0</v>
      </c>
      <c r="Z112" s="31">
        <v>0</v>
      </c>
      <c r="AA112" s="30">
        <v>0</v>
      </c>
      <c r="AB112" s="4">
        <v>0</v>
      </c>
      <c r="AC112" s="4">
        <v>0</v>
      </c>
      <c r="AD112" s="4">
        <v>0.8</v>
      </c>
      <c r="AE112" s="33">
        <v>0.5</v>
      </c>
      <c r="AF112" s="4">
        <v>541</v>
      </c>
      <c r="AG112" s="4">
        <v>0</v>
      </c>
      <c r="AH112" s="29">
        <v>0</v>
      </c>
      <c r="AI112" s="30">
        <v>0</v>
      </c>
      <c r="AJ112" s="29">
        <v>0</v>
      </c>
      <c r="AK112" s="30">
        <v>0</v>
      </c>
      <c r="AL112" s="29">
        <v>0</v>
      </c>
      <c r="AN112" s="4">
        <v>1</v>
      </c>
      <c r="AO112" s="4" t="s">
        <v>2755</v>
      </c>
    </row>
    <row r="113" spans="1:41" x14ac:dyDescent="0.15">
      <c r="A113" s="4" t="s">
        <v>2663</v>
      </c>
      <c r="C113" s="4" t="s">
        <v>3223</v>
      </c>
      <c r="D113" s="4">
        <f t="shared" ref="D113:D114" si="2">D109+10</f>
        <v>4042</v>
      </c>
      <c r="F113" s="4" t="s">
        <v>3228</v>
      </c>
      <c r="H113" s="4">
        <v>2</v>
      </c>
      <c r="I113" s="4">
        <v>5</v>
      </c>
      <c r="J113" s="4">
        <v>1</v>
      </c>
      <c r="K113" s="4">
        <v>0.5</v>
      </c>
      <c r="L113" s="4">
        <v>3</v>
      </c>
      <c r="M113" s="4">
        <v>1</v>
      </c>
      <c r="N113" s="4">
        <v>0</v>
      </c>
      <c r="O113" s="4">
        <v>0</v>
      </c>
      <c r="P113" s="4">
        <v>0</v>
      </c>
      <c r="Q113" s="4">
        <v>5</v>
      </c>
      <c r="R113" s="29" t="b">
        <v>0</v>
      </c>
      <c r="S113" s="31">
        <v>0</v>
      </c>
      <c r="T113" s="35" t="s">
        <v>3260</v>
      </c>
      <c r="U113" s="36" t="s">
        <v>3261</v>
      </c>
      <c r="V113" s="31">
        <v>0</v>
      </c>
      <c r="W113" s="30">
        <v>0</v>
      </c>
      <c r="X113" s="31">
        <v>0</v>
      </c>
      <c r="Y113" s="31">
        <v>0</v>
      </c>
      <c r="Z113" s="31">
        <v>0</v>
      </c>
      <c r="AA113" s="30">
        <v>0</v>
      </c>
      <c r="AB113" s="4">
        <v>480</v>
      </c>
      <c r="AC113" s="4">
        <v>0</v>
      </c>
      <c r="AD113" s="4">
        <v>3</v>
      </c>
      <c r="AE113" s="33" t="s">
        <v>3238</v>
      </c>
      <c r="AF113" s="4">
        <v>543</v>
      </c>
      <c r="AG113" s="4">
        <v>0</v>
      </c>
      <c r="AH113" s="29">
        <v>1</v>
      </c>
      <c r="AI113" s="30">
        <v>3</v>
      </c>
      <c r="AJ113" s="29">
        <v>0</v>
      </c>
      <c r="AK113" s="30">
        <v>0</v>
      </c>
      <c r="AL113" s="29">
        <v>0</v>
      </c>
      <c r="AN113" s="4">
        <v>1</v>
      </c>
      <c r="AO113" s="4" t="s">
        <v>2755</v>
      </c>
    </row>
    <row r="114" spans="1:41" x14ac:dyDescent="0.15">
      <c r="A114" s="4" t="s">
        <v>2663</v>
      </c>
      <c r="C114" s="4" t="s">
        <v>3226</v>
      </c>
      <c r="D114" s="4">
        <f t="shared" si="2"/>
        <v>4043</v>
      </c>
      <c r="F114" s="4" t="s">
        <v>3229</v>
      </c>
      <c r="G114" s="4" t="s">
        <v>3737</v>
      </c>
      <c r="H114" s="4">
        <v>3</v>
      </c>
      <c r="I114" s="4">
        <v>10</v>
      </c>
      <c r="J114" s="4">
        <v>1</v>
      </c>
      <c r="K114" s="4">
        <v>1</v>
      </c>
      <c r="L114" s="4">
        <v>3</v>
      </c>
      <c r="M114" s="4">
        <v>2</v>
      </c>
      <c r="N114" s="4">
        <v>0</v>
      </c>
      <c r="O114" s="4">
        <v>0</v>
      </c>
      <c r="P114" s="4">
        <v>0</v>
      </c>
      <c r="Q114" s="4">
        <v>6</v>
      </c>
      <c r="R114" s="29" t="b">
        <v>0</v>
      </c>
      <c r="S114" s="31">
        <v>0</v>
      </c>
      <c r="T114" s="35" t="s">
        <v>3260</v>
      </c>
      <c r="U114" s="36" t="s">
        <v>3261</v>
      </c>
      <c r="V114" s="31">
        <v>0</v>
      </c>
      <c r="W114" s="30">
        <v>0</v>
      </c>
      <c r="X114" s="31">
        <v>0</v>
      </c>
      <c r="Y114" s="31">
        <v>0</v>
      </c>
      <c r="Z114" s="31">
        <v>0</v>
      </c>
      <c r="AA114" s="30">
        <v>0</v>
      </c>
      <c r="AB114" s="4">
        <v>490</v>
      </c>
      <c r="AC114" s="4">
        <v>0</v>
      </c>
      <c r="AD114" s="4">
        <v>0.8</v>
      </c>
      <c r="AE114" s="33">
        <v>0.4</v>
      </c>
      <c r="AF114" s="4">
        <v>0</v>
      </c>
      <c r="AG114" s="4">
        <v>0</v>
      </c>
      <c r="AH114" s="29">
        <v>0</v>
      </c>
      <c r="AI114" s="30">
        <v>0</v>
      </c>
      <c r="AJ114" s="4">
        <v>0</v>
      </c>
      <c r="AK114" s="30">
        <v>0</v>
      </c>
      <c r="AL114" s="29">
        <v>0</v>
      </c>
      <c r="AN114" s="4">
        <v>13</v>
      </c>
      <c r="AO114" s="4" t="s">
        <v>3239</v>
      </c>
    </row>
    <row r="116" spans="1:41" x14ac:dyDescent="0.15">
      <c r="A116" s="4" t="s">
        <v>2663</v>
      </c>
      <c r="B116" s="4" t="s">
        <v>3455</v>
      </c>
      <c r="C116" s="4" t="s">
        <v>3224</v>
      </c>
      <c r="D116" s="4">
        <f>D112+10</f>
        <v>4051</v>
      </c>
      <c r="F116" s="4" t="s">
        <v>3224</v>
      </c>
      <c r="H116" s="4">
        <v>1</v>
      </c>
      <c r="I116" s="4">
        <v>1</v>
      </c>
      <c r="J116" s="4">
        <v>1</v>
      </c>
      <c r="K116" s="4">
        <v>1</v>
      </c>
      <c r="L116" s="4">
        <v>3</v>
      </c>
      <c r="M116" s="4">
        <v>1</v>
      </c>
      <c r="N116" s="4">
        <v>0</v>
      </c>
      <c r="O116" s="4">
        <v>0</v>
      </c>
      <c r="P116" s="4">
        <v>0</v>
      </c>
      <c r="Q116" s="4">
        <v>3</v>
      </c>
      <c r="R116" s="29" t="b">
        <v>0</v>
      </c>
      <c r="S116" s="31">
        <v>0</v>
      </c>
      <c r="T116" s="35" t="s">
        <v>3260</v>
      </c>
      <c r="U116" s="36" t="s">
        <v>3261</v>
      </c>
      <c r="V116" s="31">
        <v>0</v>
      </c>
      <c r="W116" s="30">
        <v>0</v>
      </c>
      <c r="X116" s="31">
        <v>0</v>
      </c>
      <c r="Y116" s="31">
        <v>0</v>
      </c>
      <c r="Z116" s="31">
        <v>0</v>
      </c>
      <c r="AA116" s="30">
        <v>0</v>
      </c>
      <c r="AB116" s="4">
        <v>0</v>
      </c>
      <c r="AC116" s="4">
        <v>0</v>
      </c>
      <c r="AD116" s="4">
        <v>1</v>
      </c>
      <c r="AE116" s="33">
        <v>0.5</v>
      </c>
      <c r="AF116" s="4">
        <v>551</v>
      </c>
      <c r="AG116" s="4">
        <v>0</v>
      </c>
      <c r="AH116" s="29">
        <v>0</v>
      </c>
      <c r="AI116" s="30">
        <v>0</v>
      </c>
      <c r="AJ116" s="29">
        <v>0</v>
      </c>
      <c r="AK116" s="30">
        <v>0</v>
      </c>
      <c r="AL116" s="29">
        <v>0</v>
      </c>
      <c r="AN116" s="4">
        <v>1</v>
      </c>
      <c r="AO116" s="4" t="s">
        <v>2755</v>
      </c>
    </row>
    <row r="117" spans="1:41" x14ac:dyDescent="0.15">
      <c r="A117" s="4" t="s">
        <v>2663</v>
      </c>
      <c r="C117" s="4" t="s">
        <v>3225</v>
      </c>
      <c r="D117" s="4">
        <f t="shared" ref="D117:D118" si="3">D113+10</f>
        <v>4052</v>
      </c>
      <c r="F117" s="4" t="s">
        <v>3231</v>
      </c>
      <c r="H117" s="4">
        <v>2</v>
      </c>
      <c r="I117" s="4">
        <v>5</v>
      </c>
      <c r="J117" s="4">
        <v>1</v>
      </c>
      <c r="K117" s="4">
        <v>0.8</v>
      </c>
      <c r="L117" s="4">
        <v>1</v>
      </c>
      <c r="M117" s="4">
        <v>1</v>
      </c>
      <c r="N117" s="4">
        <v>0</v>
      </c>
      <c r="O117" s="4">
        <v>0</v>
      </c>
      <c r="P117" s="4">
        <v>0</v>
      </c>
      <c r="Q117" s="4">
        <v>5</v>
      </c>
      <c r="R117" s="29" t="b">
        <v>0</v>
      </c>
      <c r="S117" s="31">
        <v>0</v>
      </c>
      <c r="T117" s="35" t="s">
        <v>3260</v>
      </c>
      <c r="U117" s="36" t="s">
        <v>3261</v>
      </c>
      <c r="V117" s="31">
        <v>0</v>
      </c>
      <c r="W117" s="30">
        <v>0</v>
      </c>
      <c r="X117" s="31">
        <v>0</v>
      </c>
      <c r="Y117" s="31">
        <v>0</v>
      </c>
      <c r="Z117" s="31">
        <v>0</v>
      </c>
      <c r="AA117" s="30">
        <v>0</v>
      </c>
      <c r="AB117" s="4">
        <v>510</v>
      </c>
      <c r="AC117" s="4">
        <v>0</v>
      </c>
      <c r="AD117" s="4">
        <v>1.5</v>
      </c>
      <c r="AE117" s="33" t="s">
        <v>3414</v>
      </c>
      <c r="AF117" s="4">
        <v>552</v>
      </c>
      <c r="AG117" s="4">
        <v>0</v>
      </c>
      <c r="AH117" s="29">
        <v>0</v>
      </c>
      <c r="AI117" s="30">
        <v>0</v>
      </c>
      <c r="AJ117" s="29">
        <v>0</v>
      </c>
      <c r="AK117" s="30">
        <v>0</v>
      </c>
      <c r="AL117" s="29">
        <v>0</v>
      </c>
      <c r="AN117" s="4">
        <v>10</v>
      </c>
      <c r="AO117" s="4" t="s">
        <v>2755</v>
      </c>
    </row>
    <row r="118" spans="1:41" x14ac:dyDescent="0.15">
      <c r="A118" s="4" t="s">
        <v>2663</v>
      </c>
      <c r="C118" s="4" t="s">
        <v>3253</v>
      </c>
      <c r="D118" s="4">
        <f t="shared" si="3"/>
        <v>4053</v>
      </c>
      <c r="F118" s="4" t="s">
        <v>3232</v>
      </c>
      <c r="G118" s="4" t="s">
        <v>3738</v>
      </c>
      <c r="H118" s="4">
        <v>3</v>
      </c>
      <c r="I118" s="4">
        <v>10</v>
      </c>
      <c r="J118" s="4">
        <v>1</v>
      </c>
      <c r="K118" s="4">
        <v>1</v>
      </c>
      <c r="L118" s="4">
        <v>3</v>
      </c>
      <c r="M118" s="4">
        <v>2</v>
      </c>
      <c r="N118" s="4">
        <v>0</v>
      </c>
      <c r="O118" s="4">
        <v>0</v>
      </c>
      <c r="P118" s="4">
        <v>0</v>
      </c>
      <c r="Q118" s="4">
        <v>6</v>
      </c>
      <c r="R118" s="29" t="b">
        <v>0</v>
      </c>
      <c r="S118" s="31">
        <v>0</v>
      </c>
      <c r="T118" s="35" t="s">
        <v>3260</v>
      </c>
      <c r="U118" s="36" t="s">
        <v>3261</v>
      </c>
      <c r="V118" s="31">
        <v>0</v>
      </c>
      <c r="W118" s="30">
        <v>0</v>
      </c>
      <c r="X118" s="31">
        <v>0</v>
      </c>
      <c r="Y118" s="31">
        <v>0</v>
      </c>
      <c r="Z118" s="31">
        <v>0</v>
      </c>
      <c r="AA118" s="30">
        <v>0</v>
      </c>
      <c r="AB118" s="4">
        <v>520</v>
      </c>
      <c r="AC118" s="4">
        <v>0</v>
      </c>
      <c r="AD118" s="4">
        <v>0.8</v>
      </c>
      <c r="AE118" s="33">
        <v>0.4</v>
      </c>
      <c r="AF118" s="4">
        <v>0</v>
      </c>
      <c r="AG118" s="4">
        <v>0</v>
      </c>
      <c r="AH118" s="29">
        <v>0</v>
      </c>
      <c r="AI118" s="30">
        <v>0</v>
      </c>
      <c r="AJ118" s="4">
        <v>50</v>
      </c>
      <c r="AK118" s="30">
        <v>5</v>
      </c>
      <c r="AL118" s="29">
        <v>0</v>
      </c>
      <c r="AN118" s="4">
        <v>0</v>
      </c>
    </row>
    <row r="120" spans="1:41" x14ac:dyDescent="0.15">
      <c r="A120" s="4" t="s">
        <v>2662</v>
      </c>
      <c r="B120" s="4" t="s">
        <v>3456</v>
      </c>
      <c r="C120" s="4" t="s">
        <v>3369</v>
      </c>
      <c r="D120" s="4">
        <f>D116+10</f>
        <v>4061</v>
      </c>
      <c r="F120" s="4" t="s">
        <v>3369</v>
      </c>
      <c r="H120" s="4">
        <v>1</v>
      </c>
      <c r="I120" s="4">
        <v>1</v>
      </c>
      <c r="J120" s="4">
        <v>1</v>
      </c>
      <c r="K120" s="4">
        <v>2</v>
      </c>
      <c r="L120" s="4">
        <v>3</v>
      </c>
      <c r="M120" s="4">
        <v>1</v>
      </c>
      <c r="N120" s="4">
        <v>0</v>
      </c>
      <c r="O120" s="4">
        <v>0</v>
      </c>
      <c r="P120" s="4">
        <v>0</v>
      </c>
      <c r="Q120" s="4">
        <v>3</v>
      </c>
      <c r="R120" s="29" t="b">
        <v>0</v>
      </c>
      <c r="S120" s="31">
        <v>0</v>
      </c>
      <c r="T120" s="35" t="s">
        <v>3347</v>
      </c>
      <c r="U120" s="36" t="s">
        <v>3348</v>
      </c>
      <c r="V120" s="31">
        <v>0</v>
      </c>
      <c r="W120" s="30">
        <v>0</v>
      </c>
      <c r="X120" s="31">
        <v>0</v>
      </c>
      <c r="Y120" s="31">
        <v>0</v>
      </c>
      <c r="Z120" s="31">
        <v>0</v>
      </c>
      <c r="AA120" s="30">
        <v>0</v>
      </c>
      <c r="AB120" s="4">
        <v>620</v>
      </c>
      <c r="AC120" s="4">
        <v>0</v>
      </c>
      <c r="AD120" s="4">
        <v>1.5</v>
      </c>
      <c r="AE120" s="33">
        <v>1</v>
      </c>
      <c r="AF120" s="4">
        <v>3061</v>
      </c>
      <c r="AG120" s="4">
        <v>0</v>
      </c>
      <c r="AH120" s="29">
        <v>0</v>
      </c>
      <c r="AI120" s="30">
        <v>0</v>
      </c>
      <c r="AJ120" s="29">
        <v>0</v>
      </c>
      <c r="AK120" s="30">
        <v>0</v>
      </c>
      <c r="AL120" s="29">
        <v>0</v>
      </c>
      <c r="AN120" s="4">
        <v>1</v>
      </c>
      <c r="AO120" s="4" t="s">
        <v>3356</v>
      </c>
    </row>
    <row r="121" spans="1:41" x14ac:dyDescent="0.15">
      <c r="A121" s="4" t="s">
        <v>2662</v>
      </c>
      <c r="C121" s="4" t="s">
        <v>3373</v>
      </c>
      <c r="D121" s="4">
        <f t="shared" ref="D121:D122" si="4">D117+10</f>
        <v>4062</v>
      </c>
      <c r="F121" s="4" t="s">
        <v>3374</v>
      </c>
      <c r="H121" s="4">
        <v>2</v>
      </c>
      <c r="I121" s="4">
        <v>5</v>
      </c>
      <c r="J121" s="4">
        <v>1</v>
      </c>
      <c r="K121" s="4">
        <v>1</v>
      </c>
      <c r="L121" s="4">
        <v>0.5</v>
      </c>
      <c r="M121" s="4">
        <v>1</v>
      </c>
      <c r="N121" s="4">
        <v>0</v>
      </c>
      <c r="O121" s="4">
        <v>0</v>
      </c>
      <c r="P121" s="4">
        <v>0</v>
      </c>
      <c r="Q121" s="4">
        <v>5</v>
      </c>
      <c r="R121" s="29" t="b">
        <v>0</v>
      </c>
      <c r="S121" s="31">
        <v>0</v>
      </c>
      <c r="T121" s="35" t="s">
        <v>3347</v>
      </c>
      <c r="U121" s="36" t="s">
        <v>3348</v>
      </c>
      <c r="V121" s="31">
        <v>0</v>
      </c>
      <c r="W121" s="30">
        <v>0</v>
      </c>
      <c r="X121" s="31">
        <v>0</v>
      </c>
      <c r="Y121" s="31">
        <v>0</v>
      </c>
      <c r="Z121" s="31">
        <v>0</v>
      </c>
      <c r="AA121" s="30">
        <v>0</v>
      </c>
      <c r="AB121" s="4">
        <v>640</v>
      </c>
      <c r="AC121" s="4">
        <v>0</v>
      </c>
      <c r="AD121" s="4">
        <v>2</v>
      </c>
      <c r="AE121" s="33" t="s">
        <v>3417</v>
      </c>
      <c r="AF121" s="4">
        <v>3062</v>
      </c>
      <c r="AG121" s="4">
        <v>0</v>
      </c>
      <c r="AH121" s="29">
        <v>0</v>
      </c>
      <c r="AI121" s="30">
        <v>0</v>
      </c>
      <c r="AJ121" s="29">
        <v>0</v>
      </c>
      <c r="AK121" s="30">
        <v>0</v>
      </c>
      <c r="AL121" s="29">
        <v>0</v>
      </c>
      <c r="AN121" s="4">
        <v>1</v>
      </c>
      <c r="AO121" s="4" t="s">
        <v>3356</v>
      </c>
    </row>
    <row r="122" spans="1:41" x14ac:dyDescent="0.15">
      <c r="A122" s="4" t="s">
        <v>2662</v>
      </c>
      <c r="C122" s="4" t="s">
        <v>3413</v>
      </c>
      <c r="D122" s="4">
        <f t="shared" si="4"/>
        <v>4063</v>
      </c>
      <c r="F122" s="4" t="s">
        <v>3374</v>
      </c>
      <c r="G122" s="4" t="s">
        <v>3739</v>
      </c>
      <c r="H122" s="4">
        <v>3</v>
      </c>
      <c r="I122" s="4">
        <v>10</v>
      </c>
      <c r="J122" s="4">
        <v>1</v>
      </c>
      <c r="K122" s="4">
        <v>0</v>
      </c>
      <c r="L122" s="4">
        <v>3</v>
      </c>
      <c r="M122" s="4">
        <v>2</v>
      </c>
      <c r="N122" s="4">
        <v>0</v>
      </c>
      <c r="O122" s="4">
        <v>0</v>
      </c>
      <c r="P122" s="4">
        <v>0</v>
      </c>
      <c r="Q122" s="4">
        <v>6</v>
      </c>
      <c r="R122" s="29" t="b">
        <v>0</v>
      </c>
      <c r="S122" s="31">
        <v>0</v>
      </c>
      <c r="T122" s="35" t="s">
        <v>3347</v>
      </c>
      <c r="U122" s="36" t="s">
        <v>3348</v>
      </c>
      <c r="V122" s="31">
        <v>0</v>
      </c>
      <c r="W122" s="30">
        <v>0</v>
      </c>
      <c r="X122" s="31">
        <v>0</v>
      </c>
      <c r="Y122" s="31">
        <v>0</v>
      </c>
      <c r="Z122" s="31">
        <v>0</v>
      </c>
      <c r="AA122" s="30">
        <v>0</v>
      </c>
      <c r="AB122" s="4">
        <v>650</v>
      </c>
      <c r="AC122" s="4">
        <v>0</v>
      </c>
      <c r="AD122" s="4">
        <v>1</v>
      </c>
      <c r="AE122" s="33">
        <v>0.5</v>
      </c>
      <c r="AF122" s="4">
        <v>3063</v>
      </c>
      <c r="AG122" s="4">
        <v>0</v>
      </c>
      <c r="AH122" s="29">
        <v>0</v>
      </c>
      <c r="AI122" s="30">
        <v>0</v>
      </c>
      <c r="AJ122" s="4">
        <v>0</v>
      </c>
      <c r="AK122" s="30">
        <v>0</v>
      </c>
      <c r="AL122" s="29">
        <v>0</v>
      </c>
      <c r="AN122" s="4">
        <v>2</v>
      </c>
      <c r="AO122" s="4" t="s">
        <v>3416</v>
      </c>
    </row>
    <row r="124" spans="1:41" x14ac:dyDescent="0.15">
      <c r="A124" s="4" t="s">
        <v>2662</v>
      </c>
      <c r="B124" s="4" t="s">
        <v>3498</v>
      </c>
      <c r="C124" s="4" t="s">
        <v>3376</v>
      </c>
      <c r="D124" s="4">
        <v>4071</v>
      </c>
      <c r="F124" s="4" t="s">
        <v>3376</v>
      </c>
      <c r="H124" s="4">
        <v>1</v>
      </c>
      <c r="I124" s="4">
        <v>1</v>
      </c>
      <c r="J124" s="4">
        <v>1</v>
      </c>
      <c r="K124" s="4">
        <v>1</v>
      </c>
      <c r="L124" s="4">
        <v>2</v>
      </c>
      <c r="M124" s="4">
        <v>1</v>
      </c>
      <c r="N124" s="4">
        <v>0</v>
      </c>
      <c r="O124" s="4">
        <v>0</v>
      </c>
      <c r="P124" s="4">
        <v>0</v>
      </c>
      <c r="Q124" s="4">
        <v>3</v>
      </c>
      <c r="R124" s="29" t="b">
        <v>0</v>
      </c>
      <c r="S124" s="31">
        <v>0</v>
      </c>
      <c r="T124" s="35" t="s">
        <v>3347</v>
      </c>
      <c r="U124" s="36" t="s">
        <v>3348</v>
      </c>
      <c r="V124" s="31">
        <v>0</v>
      </c>
      <c r="W124" s="30">
        <v>0</v>
      </c>
      <c r="X124" s="31">
        <v>0</v>
      </c>
      <c r="Y124" s="31">
        <v>0</v>
      </c>
      <c r="Z124" s="31">
        <v>0</v>
      </c>
      <c r="AA124" s="30">
        <v>0</v>
      </c>
      <c r="AB124" s="4">
        <v>0</v>
      </c>
      <c r="AC124" s="4">
        <v>0</v>
      </c>
      <c r="AD124" s="4">
        <v>0.8</v>
      </c>
      <c r="AE124" s="33">
        <v>0.4</v>
      </c>
      <c r="AF124" s="4">
        <v>571</v>
      </c>
      <c r="AG124" s="4">
        <v>0</v>
      </c>
      <c r="AH124" s="29">
        <v>0</v>
      </c>
      <c r="AI124" s="30">
        <v>0</v>
      </c>
      <c r="AJ124" s="29">
        <v>0</v>
      </c>
      <c r="AK124" s="30">
        <v>0</v>
      </c>
      <c r="AL124" s="29">
        <v>0</v>
      </c>
      <c r="AN124" s="4">
        <v>17</v>
      </c>
      <c r="AO124" s="4" t="s">
        <v>3356</v>
      </c>
    </row>
    <row r="125" spans="1:41" x14ac:dyDescent="0.15">
      <c r="A125" s="4" t="s">
        <v>2662</v>
      </c>
      <c r="C125" s="4" t="s">
        <v>3429</v>
      </c>
      <c r="D125" s="4">
        <v>4072</v>
      </c>
      <c r="F125" s="4" t="s">
        <v>3378</v>
      </c>
      <c r="G125" s="4" t="s">
        <v>3740</v>
      </c>
      <c r="H125" s="4">
        <v>3</v>
      </c>
      <c r="I125" s="4">
        <v>10</v>
      </c>
      <c r="J125" s="4">
        <v>1</v>
      </c>
      <c r="K125" s="4">
        <v>1</v>
      </c>
      <c r="L125" s="4">
        <v>3</v>
      </c>
      <c r="M125" s="4">
        <v>2</v>
      </c>
      <c r="N125" s="4">
        <v>0</v>
      </c>
      <c r="O125" s="4">
        <v>0</v>
      </c>
      <c r="P125" s="4">
        <v>0</v>
      </c>
      <c r="Q125" s="4">
        <v>6</v>
      </c>
      <c r="R125" s="29" t="b">
        <v>0</v>
      </c>
      <c r="S125" s="31">
        <v>0</v>
      </c>
      <c r="T125" s="35" t="s">
        <v>3347</v>
      </c>
      <c r="U125" s="36" t="s">
        <v>3348</v>
      </c>
      <c r="V125" s="31">
        <v>0</v>
      </c>
      <c r="W125" s="30">
        <v>0</v>
      </c>
      <c r="X125" s="31">
        <v>0</v>
      </c>
      <c r="Y125" s="31">
        <v>0</v>
      </c>
      <c r="Z125" s="31">
        <v>0</v>
      </c>
      <c r="AA125" s="30">
        <v>0</v>
      </c>
      <c r="AB125" s="4">
        <v>680</v>
      </c>
      <c r="AC125" s="4">
        <v>0</v>
      </c>
      <c r="AD125" s="4">
        <v>0.8</v>
      </c>
      <c r="AE125" s="33">
        <v>0.4</v>
      </c>
      <c r="AF125" s="4">
        <v>0</v>
      </c>
      <c r="AG125" s="4">
        <v>0</v>
      </c>
      <c r="AH125" s="29">
        <v>0</v>
      </c>
      <c r="AI125" s="30">
        <v>0</v>
      </c>
      <c r="AJ125" s="4">
        <v>70</v>
      </c>
      <c r="AK125" s="30">
        <v>5</v>
      </c>
      <c r="AL125" s="29">
        <v>0</v>
      </c>
      <c r="AN125" s="4">
        <v>0</v>
      </c>
    </row>
    <row r="127" spans="1:41" x14ac:dyDescent="0.15">
      <c r="A127" s="4" t="s">
        <v>2662</v>
      </c>
      <c r="B127" s="4" t="s">
        <v>3457</v>
      </c>
      <c r="C127" s="4" t="s">
        <v>3427</v>
      </c>
      <c r="D127" s="4">
        <v>4081</v>
      </c>
      <c r="F127" s="4" t="s">
        <v>3427</v>
      </c>
      <c r="H127" s="4">
        <v>1</v>
      </c>
      <c r="I127" s="4">
        <v>1</v>
      </c>
      <c r="J127" s="4">
        <v>1</v>
      </c>
      <c r="K127" s="4">
        <v>1</v>
      </c>
      <c r="L127" s="4">
        <v>3</v>
      </c>
      <c r="M127" s="4">
        <v>1</v>
      </c>
      <c r="N127" s="4">
        <v>0</v>
      </c>
      <c r="O127" s="4">
        <v>0</v>
      </c>
      <c r="P127" s="4">
        <v>0</v>
      </c>
      <c r="Q127" s="4">
        <v>3</v>
      </c>
      <c r="R127" s="29" t="b">
        <v>0</v>
      </c>
      <c r="S127" s="31">
        <v>0</v>
      </c>
      <c r="T127" s="35" t="s">
        <v>3347</v>
      </c>
      <c r="U127" s="36" t="s">
        <v>3348</v>
      </c>
      <c r="V127" s="31">
        <v>0</v>
      </c>
      <c r="W127" s="30">
        <v>0</v>
      </c>
      <c r="X127" s="31">
        <v>0</v>
      </c>
      <c r="Y127" s="31">
        <v>0</v>
      </c>
      <c r="Z127" s="31">
        <v>0</v>
      </c>
      <c r="AA127" s="30">
        <v>0</v>
      </c>
      <c r="AB127" s="4">
        <v>0</v>
      </c>
      <c r="AC127" s="4">
        <v>0</v>
      </c>
      <c r="AD127" s="4">
        <v>0.8</v>
      </c>
      <c r="AE127" s="33">
        <v>0.4</v>
      </c>
      <c r="AF127" s="4">
        <v>581</v>
      </c>
      <c r="AG127" s="4">
        <v>0</v>
      </c>
      <c r="AH127" s="29">
        <v>0</v>
      </c>
      <c r="AI127" s="30">
        <v>0</v>
      </c>
      <c r="AJ127" s="29">
        <v>0</v>
      </c>
      <c r="AK127" s="30">
        <v>0</v>
      </c>
      <c r="AL127" s="29">
        <v>0</v>
      </c>
      <c r="AN127" s="4">
        <v>1</v>
      </c>
      <c r="AO127" s="4" t="s">
        <v>3356</v>
      </c>
    </row>
    <row r="128" spans="1:41" x14ac:dyDescent="0.15">
      <c r="A128" s="4" t="s">
        <v>2662</v>
      </c>
      <c r="C128" s="4" t="s">
        <v>3428</v>
      </c>
      <c r="D128" s="4">
        <v>4082</v>
      </c>
      <c r="F128" s="4" t="s">
        <v>3365</v>
      </c>
      <c r="H128" s="4">
        <v>2</v>
      </c>
      <c r="I128" s="4">
        <v>10</v>
      </c>
      <c r="J128" s="4">
        <v>1</v>
      </c>
      <c r="K128" s="4">
        <v>1</v>
      </c>
      <c r="L128" s="4">
        <v>3</v>
      </c>
      <c r="M128" s="4">
        <v>1</v>
      </c>
      <c r="N128" s="4">
        <v>0</v>
      </c>
      <c r="O128" s="4">
        <v>0</v>
      </c>
      <c r="P128" s="4">
        <v>0</v>
      </c>
      <c r="Q128" s="4">
        <v>7</v>
      </c>
      <c r="R128" s="29" t="b">
        <v>0</v>
      </c>
      <c r="S128" s="31">
        <v>0</v>
      </c>
      <c r="T128" s="35" t="s">
        <v>3366</v>
      </c>
      <c r="U128" s="36" t="s">
        <v>3367</v>
      </c>
      <c r="V128" s="31">
        <v>0</v>
      </c>
      <c r="W128" s="30">
        <v>0</v>
      </c>
      <c r="X128" s="31">
        <v>0</v>
      </c>
      <c r="Y128" s="31">
        <v>0</v>
      </c>
      <c r="Z128" s="31">
        <v>0</v>
      </c>
      <c r="AA128" s="30">
        <v>0</v>
      </c>
      <c r="AB128" s="4">
        <v>750</v>
      </c>
      <c r="AC128" s="4">
        <v>0</v>
      </c>
      <c r="AD128" s="4">
        <v>5.3</v>
      </c>
      <c r="AE128" s="33">
        <v>0</v>
      </c>
      <c r="AF128" s="4">
        <v>0</v>
      </c>
      <c r="AG128" s="4">
        <v>0</v>
      </c>
      <c r="AH128" s="4">
        <v>90</v>
      </c>
      <c r="AI128" s="30">
        <v>5</v>
      </c>
      <c r="AJ128" s="29">
        <v>0</v>
      </c>
      <c r="AK128" s="30">
        <v>0</v>
      </c>
      <c r="AL128" s="29">
        <v>0</v>
      </c>
      <c r="AN128" s="4">
        <v>0</v>
      </c>
      <c r="AO128" s="4" t="s">
        <v>3356</v>
      </c>
    </row>
    <row r="129" spans="1:41" x14ac:dyDescent="0.15">
      <c r="A129" s="4" t="s">
        <v>2662</v>
      </c>
      <c r="C129" s="4" t="s">
        <v>3430</v>
      </c>
      <c r="D129" s="4">
        <v>4083</v>
      </c>
      <c r="F129" s="4" t="s">
        <v>3431</v>
      </c>
      <c r="G129" s="4" t="s">
        <v>3741</v>
      </c>
      <c r="H129" s="4">
        <v>3</v>
      </c>
      <c r="I129" s="4">
        <v>10</v>
      </c>
      <c r="J129" s="4">
        <v>1</v>
      </c>
      <c r="K129" s="4">
        <v>1</v>
      </c>
      <c r="L129" s="4">
        <v>3</v>
      </c>
      <c r="M129" s="4">
        <v>1</v>
      </c>
      <c r="N129" s="4">
        <v>0</v>
      </c>
      <c r="O129" s="4">
        <v>0</v>
      </c>
      <c r="P129" s="4">
        <v>0</v>
      </c>
      <c r="Q129" s="4">
        <v>6</v>
      </c>
      <c r="R129" s="29" t="b">
        <v>0</v>
      </c>
      <c r="S129" s="31">
        <v>0</v>
      </c>
      <c r="T129" s="35" t="s">
        <v>3347</v>
      </c>
      <c r="U129" s="36" t="s">
        <v>3348</v>
      </c>
      <c r="V129" s="31">
        <v>0</v>
      </c>
      <c r="W129" s="30">
        <v>0</v>
      </c>
      <c r="X129" s="31">
        <v>0</v>
      </c>
      <c r="Y129" s="31">
        <v>0</v>
      </c>
      <c r="Z129" s="31">
        <v>0</v>
      </c>
      <c r="AA129" s="30">
        <v>0</v>
      </c>
      <c r="AB129" s="4">
        <v>740</v>
      </c>
      <c r="AC129" s="4">
        <v>0</v>
      </c>
      <c r="AD129" s="4">
        <v>0.8</v>
      </c>
      <c r="AE129" s="33">
        <v>0.4</v>
      </c>
      <c r="AF129" s="4">
        <v>583</v>
      </c>
      <c r="AG129" s="4">
        <v>0</v>
      </c>
      <c r="AH129" s="29">
        <v>0</v>
      </c>
      <c r="AI129" s="30">
        <v>0</v>
      </c>
      <c r="AJ129" s="4">
        <v>0</v>
      </c>
      <c r="AK129" s="30">
        <v>0</v>
      </c>
      <c r="AL129" s="29">
        <v>0</v>
      </c>
      <c r="AN129" s="4">
        <v>2</v>
      </c>
      <c r="AO129" s="4" t="s">
        <v>3416</v>
      </c>
    </row>
    <row r="131" spans="1:41" x14ac:dyDescent="0.15">
      <c r="A131" s="4" t="s">
        <v>2663</v>
      </c>
      <c r="B131" s="4" t="s">
        <v>3497</v>
      </c>
      <c r="C131" s="4" t="s">
        <v>3479</v>
      </c>
      <c r="D131" s="4">
        <f>D127+10</f>
        <v>4091</v>
      </c>
      <c r="F131" s="4" t="s">
        <v>3479</v>
      </c>
      <c r="H131" s="4">
        <v>1</v>
      </c>
      <c r="I131" s="4">
        <v>1</v>
      </c>
      <c r="J131" s="4">
        <v>1</v>
      </c>
      <c r="K131" s="4">
        <v>1</v>
      </c>
      <c r="L131" s="4">
        <v>3</v>
      </c>
      <c r="M131" s="4">
        <v>1</v>
      </c>
      <c r="N131" s="4">
        <v>0</v>
      </c>
      <c r="O131" s="4">
        <v>0</v>
      </c>
      <c r="P131" s="4">
        <v>0</v>
      </c>
      <c r="Q131" s="4">
        <v>3</v>
      </c>
      <c r="R131" s="29" t="b">
        <v>0</v>
      </c>
      <c r="S131" s="31">
        <v>0</v>
      </c>
      <c r="T131" s="35" t="s">
        <v>3260</v>
      </c>
      <c r="U131" s="36" t="s">
        <v>3261</v>
      </c>
      <c r="V131" s="31">
        <v>0</v>
      </c>
      <c r="W131" s="30">
        <v>0</v>
      </c>
      <c r="X131" s="31">
        <v>0</v>
      </c>
      <c r="Y131" s="31">
        <v>0</v>
      </c>
      <c r="Z131" s="31">
        <v>0</v>
      </c>
      <c r="AA131" s="30">
        <v>0</v>
      </c>
      <c r="AB131" s="4">
        <v>0</v>
      </c>
      <c r="AC131" s="4">
        <v>0</v>
      </c>
      <c r="AD131" s="4">
        <v>1</v>
      </c>
      <c r="AE131" s="33">
        <v>0.5</v>
      </c>
      <c r="AF131" s="4">
        <v>551</v>
      </c>
      <c r="AG131" s="4">
        <v>0</v>
      </c>
      <c r="AH131" s="29">
        <v>0</v>
      </c>
      <c r="AI131" s="30">
        <v>0</v>
      </c>
      <c r="AJ131" s="29">
        <v>0</v>
      </c>
      <c r="AK131" s="30">
        <v>0</v>
      </c>
      <c r="AL131" s="29">
        <v>0</v>
      </c>
      <c r="AN131" s="4">
        <v>1</v>
      </c>
      <c r="AO131" s="4" t="s">
        <v>2755</v>
      </c>
    </row>
    <row r="132" spans="1:41" x14ac:dyDescent="0.15">
      <c r="A132" s="4" t="s">
        <v>2663</v>
      </c>
      <c r="C132" s="4" t="s">
        <v>3480</v>
      </c>
      <c r="D132" s="4">
        <f t="shared" ref="D132:D133" si="5">D128+10</f>
        <v>4092</v>
      </c>
      <c r="F132" s="4" t="s">
        <v>9959</v>
      </c>
      <c r="H132" s="4">
        <v>2</v>
      </c>
      <c r="I132" s="4">
        <v>5</v>
      </c>
      <c r="J132" s="4">
        <v>1</v>
      </c>
      <c r="K132" s="4">
        <v>0.8</v>
      </c>
      <c r="L132" s="4">
        <v>3</v>
      </c>
      <c r="M132" s="4">
        <v>1</v>
      </c>
      <c r="N132" s="4">
        <v>0</v>
      </c>
      <c r="O132" s="4">
        <v>0</v>
      </c>
      <c r="P132" s="4">
        <v>0</v>
      </c>
      <c r="Q132" s="4">
        <v>5</v>
      </c>
      <c r="R132" s="29" t="b">
        <v>0</v>
      </c>
      <c r="S132" s="31">
        <v>0</v>
      </c>
      <c r="T132" s="35" t="s">
        <v>9960</v>
      </c>
      <c r="U132" s="36" t="s">
        <v>9961</v>
      </c>
      <c r="V132" s="31">
        <v>0</v>
      </c>
      <c r="W132" s="30">
        <v>0</v>
      </c>
      <c r="X132" s="31">
        <v>0</v>
      </c>
      <c r="Y132" s="31">
        <v>0</v>
      </c>
      <c r="Z132" s="31">
        <v>0</v>
      </c>
      <c r="AA132" s="30">
        <v>0</v>
      </c>
      <c r="AB132" s="4">
        <v>780</v>
      </c>
      <c r="AC132" s="4">
        <v>0</v>
      </c>
      <c r="AD132" s="4">
        <v>2</v>
      </c>
      <c r="AE132" s="33" t="s">
        <v>9957</v>
      </c>
      <c r="AF132" s="4">
        <v>591</v>
      </c>
      <c r="AG132" s="4">
        <v>0</v>
      </c>
      <c r="AH132" s="29">
        <v>0</v>
      </c>
      <c r="AI132" s="30">
        <v>0</v>
      </c>
      <c r="AJ132" s="29">
        <v>0</v>
      </c>
      <c r="AK132" s="30">
        <v>0</v>
      </c>
      <c r="AL132" s="29">
        <v>0</v>
      </c>
      <c r="AN132" s="4">
        <v>8</v>
      </c>
      <c r="AO132" s="4" t="s">
        <v>9962</v>
      </c>
    </row>
    <row r="133" spans="1:41" x14ac:dyDescent="0.15">
      <c r="A133" s="4" t="s">
        <v>2663</v>
      </c>
      <c r="C133" s="4" t="s">
        <v>3647</v>
      </c>
      <c r="D133" s="4">
        <f t="shared" si="5"/>
        <v>4093</v>
      </c>
      <c r="F133" s="4" t="s">
        <v>3482</v>
      </c>
      <c r="G133" s="4" t="s">
        <v>3742</v>
      </c>
      <c r="H133" s="4">
        <v>3</v>
      </c>
      <c r="I133" s="4">
        <v>10</v>
      </c>
      <c r="J133" s="4">
        <v>1</v>
      </c>
      <c r="K133" s="4">
        <v>1</v>
      </c>
      <c r="L133" s="4">
        <v>3</v>
      </c>
      <c r="M133" s="4">
        <v>2</v>
      </c>
      <c r="N133" s="4">
        <v>0</v>
      </c>
      <c r="O133" s="4">
        <v>0</v>
      </c>
      <c r="P133" s="4">
        <v>0</v>
      </c>
      <c r="Q133" s="4">
        <v>6</v>
      </c>
      <c r="R133" s="29" t="b">
        <v>0</v>
      </c>
      <c r="S133" s="31">
        <v>0</v>
      </c>
      <c r="T133" s="35" t="s">
        <v>3260</v>
      </c>
      <c r="U133" s="36" t="s">
        <v>3261</v>
      </c>
      <c r="V133" s="31">
        <v>0</v>
      </c>
      <c r="W133" s="30">
        <v>0</v>
      </c>
      <c r="X133" s="31">
        <v>0</v>
      </c>
      <c r="Y133" s="31">
        <v>0</v>
      </c>
      <c r="Z133" s="31">
        <v>0</v>
      </c>
      <c r="AA133" s="30">
        <v>0</v>
      </c>
      <c r="AB133" s="4">
        <v>520</v>
      </c>
      <c r="AC133" s="4">
        <v>0</v>
      </c>
      <c r="AD133" s="4">
        <v>0.8</v>
      </c>
      <c r="AE133" s="33">
        <v>0.4</v>
      </c>
      <c r="AF133" s="4">
        <v>0</v>
      </c>
      <c r="AG133" s="4">
        <v>0</v>
      </c>
      <c r="AH133" s="29">
        <v>0</v>
      </c>
      <c r="AI133" s="30">
        <v>0</v>
      </c>
      <c r="AJ133" s="4">
        <v>50</v>
      </c>
      <c r="AK133" s="30">
        <v>5</v>
      </c>
      <c r="AL133" s="29">
        <v>0</v>
      </c>
      <c r="AN133" s="4">
        <v>0</v>
      </c>
    </row>
    <row r="135" spans="1:41" x14ac:dyDescent="0.15">
      <c r="A135" s="4" t="s">
        <v>2662</v>
      </c>
      <c r="B135" s="4" t="s">
        <v>3701</v>
      </c>
      <c r="C135" s="4" t="s">
        <v>3698</v>
      </c>
      <c r="D135" s="4">
        <v>4101</v>
      </c>
      <c r="F135" s="4" t="s">
        <v>3698</v>
      </c>
      <c r="H135" s="4">
        <v>1</v>
      </c>
      <c r="I135" s="4">
        <v>3</v>
      </c>
      <c r="J135" s="4">
        <v>1</v>
      </c>
      <c r="K135" s="4">
        <v>2</v>
      </c>
      <c r="L135" s="4">
        <v>3</v>
      </c>
      <c r="M135" s="4">
        <v>1</v>
      </c>
      <c r="N135" s="4">
        <v>0</v>
      </c>
      <c r="O135" s="4">
        <v>0</v>
      </c>
      <c r="P135" s="4">
        <v>0</v>
      </c>
      <c r="Q135" s="4">
        <v>3</v>
      </c>
      <c r="R135" s="29" t="b">
        <v>0</v>
      </c>
      <c r="S135" s="31">
        <v>0</v>
      </c>
      <c r="T135" s="35" t="s">
        <v>3347</v>
      </c>
      <c r="U135" s="36" t="s">
        <v>3348</v>
      </c>
      <c r="V135" s="31">
        <v>0</v>
      </c>
      <c r="W135" s="30">
        <v>0</v>
      </c>
      <c r="X135" s="31">
        <v>0</v>
      </c>
      <c r="Y135" s="31">
        <v>0</v>
      </c>
      <c r="Z135" s="31">
        <v>0</v>
      </c>
      <c r="AA135" s="30">
        <v>0</v>
      </c>
      <c r="AB135" s="4">
        <v>1040</v>
      </c>
      <c r="AC135" s="4">
        <v>0</v>
      </c>
      <c r="AD135" s="4">
        <v>1.5</v>
      </c>
      <c r="AE135" s="33">
        <v>1</v>
      </c>
      <c r="AF135" s="4">
        <v>3101</v>
      </c>
      <c r="AG135" s="4">
        <v>0</v>
      </c>
      <c r="AH135" s="29">
        <v>0</v>
      </c>
      <c r="AI135" s="30">
        <v>0</v>
      </c>
      <c r="AJ135" s="29">
        <v>0</v>
      </c>
      <c r="AK135" s="30">
        <v>0</v>
      </c>
      <c r="AL135" s="29">
        <v>0</v>
      </c>
      <c r="AN135" s="4">
        <v>1</v>
      </c>
      <c r="AO135" s="4" t="s">
        <v>3356</v>
      </c>
    </row>
    <row r="136" spans="1:41" x14ac:dyDescent="0.15">
      <c r="A136" s="4" t="s">
        <v>2662</v>
      </c>
      <c r="C136" s="4" t="s">
        <v>3699</v>
      </c>
      <c r="D136" s="4">
        <v>4102</v>
      </c>
      <c r="F136" s="4" t="s">
        <v>3699</v>
      </c>
      <c r="H136" s="4">
        <v>2</v>
      </c>
      <c r="I136" s="4">
        <v>5</v>
      </c>
      <c r="J136" s="4">
        <v>1</v>
      </c>
      <c r="K136" s="4">
        <v>2</v>
      </c>
      <c r="L136" s="4">
        <v>3</v>
      </c>
      <c r="M136" s="4">
        <v>1</v>
      </c>
      <c r="N136" s="4">
        <v>0</v>
      </c>
      <c r="O136" s="4">
        <v>0</v>
      </c>
      <c r="P136" s="4">
        <v>0</v>
      </c>
      <c r="Q136" s="4">
        <v>5</v>
      </c>
      <c r="R136" s="29" t="b">
        <v>0</v>
      </c>
      <c r="S136" s="31">
        <v>0</v>
      </c>
      <c r="T136" s="35" t="s">
        <v>3347</v>
      </c>
      <c r="U136" s="36" t="s">
        <v>3348</v>
      </c>
      <c r="V136" s="31">
        <v>0</v>
      </c>
      <c r="W136" s="30">
        <v>0</v>
      </c>
      <c r="X136" s="31">
        <v>0</v>
      </c>
      <c r="Y136" s="31">
        <v>0</v>
      </c>
      <c r="Z136" s="31">
        <v>0</v>
      </c>
      <c r="AA136" s="30">
        <v>0</v>
      </c>
      <c r="AB136" s="4">
        <v>0</v>
      </c>
      <c r="AC136" s="4">
        <v>0</v>
      </c>
      <c r="AD136" s="4">
        <v>1.5</v>
      </c>
      <c r="AE136" s="33">
        <v>1</v>
      </c>
      <c r="AF136" s="4">
        <v>3102</v>
      </c>
      <c r="AG136" s="4">
        <v>0</v>
      </c>
      <c r="AH136" s="29">
        <v>0</v>
      </c>
      <c r="AI136" s="30">
        <v>0</v>
      </c>
      <c r="AJ136" s="29">
        <v>0</v>
      </c>
      <c r="AK136" s="30">
        <v>0</v>
      </c>
      <c r="AL136" s="29">
        <v>0</v>
      </c>
      <c r="AN136" s="4">
        <v>2</v>
      </c>
      <c r="AO136" s="4" t="s">
        <v>3356</v>
      </c>
    </row>
    <row r="137" spans="1:41" x14ac:dyDescent="0.15">
      <c r="A137" s="4" t="s">
        <v>2662</v>
      </c>
      <c r="C137" s="4" t="s">
        <v>3700</v>
      </c>
      <c r="D137" s="4">
        <v>4103</v>
      </c>
      <c r="F137" s="4" t="s">
        <v>3700</v>
      </c>
      <c r="G137" s="4" t="s">
        <v>3743</v>
      </c>
      <c r="H137" s="4">
        <v>3</v>
      </c>
      <c r="I137" s="4">
        <v>10</v>
      </c>
      <c r="J137" s="4">
        <v>1</v>
      </c>
      <c r="K137" s="4">
        <v>0</v>
      </c>
      <c r="L137" s="4">
        <v>3</v>
      </c>
      <c r="M137" s="4">
        <v>2</v>
      </c>
      <c r="N137" s="4">
        <v>0</v>
      </c>
      <c r="O137" s="4">
        <v>0</v>
      </c>
      <c r="P137" s="4">
        <v>0</v>
      </c>
      <c r="Q137" s="4">
        <v>6</v>
      </c>
      <c r="R137" s="29" t="b">
        <v>0</v>
      </c>
      <c r="S137" s="31">
        <v>0</v>
      </c>
      <c r="T137" s="35" t="s">
        <v>3347</v>
      </c>
      <c r="U137" s="36" t="s">
        <v>3375</v>
      </c>
      <c r="V137" s="31">
        <v>0</v>
      </c>
      <c r="W137" s="30">
        <v>0</v>
      </c>
      <c r="X137" s="31">
        <v>0</v>
      </c>
      <c r="Y137" s="31">
        <v>0</v>
      </c>
      <c r="Z137" s="31">
        <v>0</v>
      </c>
      <c r="AA137" s="30">
        <v>0</v>
      </c>
      <c r="AB137" s="4">
        <v>0</v>
      </c>
      <c r="AC137" s="4">
        <v>0</v>
      </c>
      <c r="AD137" s="4">
        <v>1</v>
      </c>
      <c r="AE137" s="33">
        <v>0.2</v>
      </c>
      <c r="AF137" s="4">
        <v>3103</v>
      </c>
      <c r="AG137" s="4">
        <v>0</v>
      </c>
      <c r="AH137" s="29">
        <v>0</v>
      </c>
      <c r="AI137" s="30">
        <v>0</v>
      </c>
      <c r="AJ137" s="4">
        <v>0</v>
      </c>
      <c r="AK137" s="30">
        <v>0</v>
      </c>
      <c r="AL137" s="29">
        <v>0</v>
      </c>
      <c r="AN137" s="4">
        <v>2</v>
      </c>
      <c r="AO137" s="4" t="s">
        <v>3416</v>
      </c>
    </row>
    <row r="141" spans="1:41" x14ac:dyDescent="0.15">
      <c r="B141" s="4" t="s">
        <v>2831</v>
      </c>
    </row>
    <row r="142" spans="1:41" x14ac:dyDescent="0.15">
      <c r="A142" s="4" t="s">
        <v>2830</v>
      </c>
      <c r="C142" s="4" t="s">
        <v>2942</v>
      </c>
      <c r="D142" s="4">
        <v>5101</v>
      </c>
      <c r="F142" s="4" t="s">
        <v>2832</v>
      </c>
      <c r="H142" s="4">
        <v>1</v>
      </c>
      <c r="I142" s="4">
        <v>2</v>
      </c>
      <c r="J142" s="4">
        <v>1</v>
      </c>
      <c r="K142" s="4">
        <v>1</v>
      </c>
      <c r="L142" s="4">
        <v>4</v>
      </c>
      <c r="M142" s="4">
        <v>1</v>
      </c>
      <c r="N142" s="4">
        <v>1</v>
      </c>
      <c r="O142" s="4">
        <v>190</v>
      </c>
      <c r="P142" s="4">
        <v>50</v>
      </c>
      <c r="Q142" s="4">
        <v>51</v>
      </c>
      <c r="R142" s="29" t="b">
        <v>1</v>
      </c>
      <c r="S142" s="31">
        <v>4</v>
      </c>
      <c r="T142" s="35" t="s">
        <v>3260</v>
      </c>
      <c r="U142" s="36" t="s">
        <v>3568</v>
      </c>
      <c r="V142" s="31">
        <v>0</v>
      </c>
      <c r="W142" s="30">
        <v>0</v>
      </c>
      <c r="X142" s="31">
        <v>0</v>
      </c>
      <c r="Y142" s="31">
        <v>0</v>
      </c>
      <c r="Z142" s="31">
        <v>0</v>
      </c>
      <c r="AA142" s="30">
        <v>0</v>
      </c>
      <c r="AB142" s="4">
        <v>120</v>
      </c>
      <c r="AC142" s="4">
        <v>0</v>
      </c>
      <c r="AD142" s="4">
        <v>1</v>
      </c>
      <c r="AE142" s="33" t="s">
        <v>2839</v>
      </c>
      <c r="AF142" s="4">
        <v>1101</v>
      </c>
      <c r="AG142" s="4">
        <v>0</v>
      </c>
      <c r="AH142" s="29">
        <v>0</v>
      </c>
      <c r="AI142" s="30">
        <v>0</v>
      </c>
      <c r="AJ142" s="29">
        <v>0</v>
      </c>
      <c r="AK142" s="30">
        <v>0</v>
      </c>
      <c r="AL142" s="29">
        <v>0</v>
      </c>
      <c r="AM142" s="4" t="s">
        <v>9778</v>
      </c>
      <c r="AN142" s="4">
        <v>5</v>
      </c>
      <c r="AO142" s="4" t="s">
        <v>2869</v>
      </c>
    </row>
    <row r="143" spans="1:41" x14ac:dyDescent="0.15">
      <c r="A143" s="4" t="s">
        <v>2830</v>
      </c>
      <c r="C143" s="4" t="s">
        <v>2943</v>
      </c>
      <c r="D143" s="4">
        <v>5102</v>
      </c>
      <c r="F143" s="4" t="s">
        <v>2840</v>
      </c>
      <c r="H143" s="4">
        <v>2</v>
      </c>
      <c r="I143" s="4">
        <v>1</v>
      </c>
      <c r="J143" s="4">
        <v>1</v>
      </c>
      <c r="K143" s="4">
        <v>1</v>
      </c>
      <c r="L143" s="4">
        <v>6</v>
      </c>
      <c r="M143" s="4">
        <v>1</v>
      </c>
      <c r="N143" s="4">
        <v>0.5</v>
      </c>
      <c r="O143" s="4">
        <v>190</v>
      </c>
      <c r="P143" s="4">
        <v>60</v>
      </c>
      <c r="Q143" s="4">
        <v>61</v>
      </c>
      <c r="R143" s="29" t="b">
        <v>0</v>
      </c>
      <c r="S143" s="31">
        <v>0</v>
      </c>
      <c r="T143" s="35" t="s">
        <v>3260</v>
      </c>
      <c r="U143" s="36" t="s">
        <v>3692</v>
      </c>
      <c r="V143" s="31">
        <v>0</v>
      </c>
      <c r="W143" s="30">
        <v>0</v>
      </c>
      <c r="X143" s="31">
        <v>0</v>
      </c>
      <c r="Y143" s="31">
        <v>0</v>
      </c>
      <c r="Z143" s="31">
        <v>0</v>
      </c>
      <c r="AA143" s="30">
        <v>0</v>
      </c>
      <c r="AB143" s="4">
        <v>130</v>
      </c>
      <c r="AC143" s="4">
        <v>0</v>
      </c>
      <c r="AD143" s="4">
        <v>1.3</v>
      </c>
      <c r="AE143" s="33" t="s">
        <v>2844</v>
      </c>
      <c r="AF143" s="4">
        <v>1102</v>
      </c>
      <c r="AG143" s="4">
        <v>0</v>
      </c>
      <c r="AH143" s="29">
        <v>0</v>
      </c>
      <c r="AI143" s="30">
        <v>0</v>
      </c>
      <c r="AJ143" s="29">
        <v>0</v>
      </c>
      <c r="AK143" s="30">
        <v>0</v>
      </c>
      <c r="AL143" s="29">
        <v>0</v>
      </c>
      <c r="AM143" s="4" t="s">
        <v>9779</v>
      </c>
      <c r="AN143" s="4">
        <v>6</v>
      </c>
      <c r="AO143" s="4" t="s">
        <v>2870</v>
      </c>
    </row>
    <row r="144" spans="1:41" x14ac:dyDescent="0.15">
      <c r="A144" s="4" t="s">
        <v>2830</v>
      </c>
      <c r="C144" s="4" t="s">
        <v>2944</v>
      </c>
      <c r="D144" s="4">
        <v>5103</v>
      </c>
      <c r="F144" s="4" t="s">
        <v>2841</v>
      </c>
      <c r="H144" s="4">
        <v>3</v>
      </c>
      <c r="I144" s="4">
        <v>5</v>
      </c>
      <c r="J144" s="4">
        <v>1</v>
      </c>
      <c r="K144" s="4">
        <v>1</v>
      </c>
      <c r="L144" s="4">
        <v>4</v>
      </c>
      <c r="M144" s="4">
        <v>1</v>
      </c>
      <c r="N144" s="4">
        <v>0</v>
      </c>
      <c r="O144" s="4">
        <v>0</v>
      </c>
      <c r="P144" s="4">
        <v>70</v>
      </c>
      <c r="Q144" s="4">
        <v>71</v>
      </c>
      <c r="R144" s="29" t="b">
        <v>0</v>
      </c>
      <c r="S144" s="31">
        <v>0</v>
      </c>
      <c r="T144" s="35" t="s">
        <v>3260</v>
      </c>
      <c r="U144" s="36" t="s">
        <v>3261</v>
      </c>
      <c r="V144" s="31">
        <v>0</v>
      </c>
      <c r="W144" s="30">
        <v>0</v>
      </c>
      <c r="X144" s="31">
        <v>0</v>
      </c>
      <c r="Y144" s="31">
        <v>0</v>
      </c>
      <c r="Z144" s="31">
        <v>0</v>
      </c>
      <c r="AA144" s="30">
        <v>0</v>
      </c>
      <c r="AB144" s="4">
        <v>140</v>
      </c>
      <c r="AC144" s="4">
        <v>0</v>
      </c>
      <c r="AD144" s="4">
        <v>1.5</v>
      </c>
      <c r="AE144" s="33" t="s">
        <v>2845</v>
      </c>
      <c r="AF144" s="4">
        <v>1103</v>
      </c>
      <c r="AG144" s="4">
        <v>0</v>
      </c>
      <c r="AH144" s="29">
        <v>0</v>
      </c>
      <c r="AI144" s="30">
        <v>0</v>
      </c>
      <c r="AJ144" s="29">
        <v>0</v>
      </c>
      <c r="AK144" s="30">
        <v>0</v>
      </c>
      <c r="AL144" s="29">
        <v>0</v>
      </c>
      <c r="AM144" s="4" t="s">
        <v>9780</v>
      </c>
      <c r="AN144" s="4">
        <v>7</v>
      </c>
      <c r="AO144" s="4" t="s">
        <v>2755</v>
      </c>
    </row>
    <row r="145" spans="1:41" x14ac:dyDescent="0.15">
      <c r="A145" s="4" t="s">
        <v>2830</v>
      </c>
      <c r="C145" s="4" t="s">
        <v>3536</v>
      </c>
      <c r="D145" s="4">
        <v>5104</v>
      </c>
      <c r="F145" s="4" t="s">
        <v>2842</v>
      </c>
      <c r="H145" s="4">
        <v>4</v>
      </c>
      <c r="I145" s="4">
        <v>5</v>
      </c>
      <c r="J145" s="4">
        <v>1</v>
      </c>
      <c r="K145" s="4">
        <v>1</v>
      </c>
      <c r="L145" s="4">
        <v>2</v>
      </c>
      <c r="M145" s="4">
        <v>1</v>
      </c>
      <c r="N145" s="4">
        <v>1</v>
      </c>
      <c r="O145" s="4">
        <v>190</v>
      </c>
      <c r="P145" s="4">
        <v>80</v>
      </c>
      <c r="Q145" s="4">
        <v>81</v>
      </c>
      <c r="R145" s="29" t="b">
        <v>1</v>
      </c>
      <c r="S145" s="31">
        <v>3</v>
      </c>
      <c r="T145" s="35" t="s">
        <v>3262</v>
      </c>
      <c r="U145" s="36" t="s">
        <v>3263</v>
      </c>
      <c r="V145" s="31">
        <v>0</v>
      </c>
      <c r="W145" s="30">
        <v>0</v>
      </c>
      <c r="X145" s="31">
        <v>0</v>
      </c>
      <c r="Y145" s="31">
        <v>0</v>
      </c>
      <c r="Z145" s="31">
        <v>0</v>
      </c>
      <c r="AA145" s="30">
        <v>0</v>
      </c>
      <c r="AB145" s="4">
        <v>150</v>
      </c>
      <c r="AC145" s="4">
        <v>0</v>
      </c>
      <c r="AD145" s="4">
        <v>3.2</v>
      </c>
      <c r="AE145" s="33">
        <v>0.6</v>
      </c>
      <c r="AF145" s="4">
        <v>1104</v>
      </c>
      <c r="AG145" s="4">
        <v>0</v>
      </c>
      <c r="AH145" s="29">
        <v>0</v>
      </c>
      <c r="AI145" s="30">
        <v>0</v>
      </c>
      <c r="AJ145" s="29">
        <v>0</v>
      </c>
      <c r="AK145" s="30">
        <v>0</v>
      </c>
      <c r="AL145" s="29">
        <v>0</v>
      </c>
      <c r="AM145" s="4" t="s">
        <v>9781</v>
      </c>
      <c r="AN145" s="4">
        <v>1</v>
      </c>
      <c r="AO145" s="4" t="s">
        <v>2755</v>
      </c>
    </row>
    <row r="146" spans="1:41" x14ac:dyDescent="0.15">
      <c r="A146" s="4" t="s">
        <v>2830</v>
      </c>
      <c r="C146" s="4" t="s">
        <v>2941</v>
      </c>
      <c r="D146" s="4">
        <v>5105</v>
      </c>
      <c r="F146" s="4" t="s">
        <v>2843</v>
      </c>
      <c r="H146" s="4">
        <v>5</v>
      </c>
      <c r="I146" s="4">
        <v>10</v>
      </c>
      <c r="J146" s="4">
        <v>1</v>
      </c>
      <c r="K146" s="4">
        <v>1</v>
      </c>
      <c r="L146" s="4">
        <v>6</v>
      </c>
      <c r="M146" s="4">
        <v>1</v>
      </c>
      <c r="N146" s="4">
        <v>2</v>
      </c>
      <c r="O146" s="4">
        <v>191</v>
      </c>
      <c r="P146" s="4">
        <v>90</v>
      </c>
      <c r="Q146" s="4">
        <v>91</v>
      </c>
      <c r="R146" s="29" t="b">
        <v>0</v>
      </c>
      <c r="S146" s="31">
        <v>0</v>
      </c>
      <c r="T146" s="35" t="s">
        <v>3260</v>
      </c>
      <c r="U146" s="36" t="s">
        <v>3261</v>
      </c>
      <c r="V146" s="31">
        <v>0</v>
      </c>
      <c r="W146" s="30">
        <v>0</v>
      </c>
      <c r="X146" s="31">
        <v>0</v>
      </c>
      <c r="Y146" s="31">
        <v>0</v>
      </c>
      <c r="Z146" s="31">
        <v>0</v>
      </c>
      <c r="AA146" s="30">
        <v>0</v>
      </c>
      <c r="AB146" s="4">
        <v>160</v>
      </c>
      <c r="AC146" s="4">
        <v>0</v>
      </c>
      <c r="AD146" s="4">
        <v>3.3</v>
      </c>
      <c r="AE146" s="33" t="s">
        <v>2890</v>
      </c>
      <c r="AF146" s="4">
        <v>1105</v>
      </c>
      <c r="AG146" s="4">
        <v>0</v>
      </c>
      <c r="AH146" s="29">
        <v>0</v>
      </c>
      <c r="AI146" s="30">
        <v>0</v>
      </c>
      <c r="AJ146" s="29">
        <v>0</v>
      </c>
      <c r="AK146" s="30">
        <v>0</v>
      </c>
      <c r="AL146" s="29">
        <v>0</v>
      </c>
      <c r="AM146" s="4" t="s">
        <v>9782</v>
      </c>
      <c r="AN146" s="4">
        <v>8</v>
      </c>
      <c r="AO146" s="4" t="s">
        <v>2871</v>
      </c>
    </row>
    <row r="148" spans="1:41" x14ac:dyDescent="0.15">
      <c r="A148" s="4" t="s">
        <v>2663</v>
      </c>
      <c r="C148" s="4" t="s">
        <v>3688</v>
      </c>
      <c r="D148" s="4">
        <v>5201</v>
      </c>
      <c r="F148" s="4" t="s">
        <v>3486</v>
      </c>
      <c r="H148" s="4">
        <v>1</v>
      </c>
      <c r="I148" s="4">
        <v>2</v>
      </c>
      <c r="J148" s="4">
        <v>1</v>
      </c>
      <c r="K148" s="4">
        <v>1</v>
      </c>
      <c r="L148" s="4">
        <v>4</v>
      </c>
      <c r="M148" s="4">
        <v>1</v>
      </c>
      <c r="N148" s="4">
        <v>1</v>
      </c>
      <c r="O148" s="4">
        <v>1030</v>
      </c>
      <c r="P148" s="4">
        <v>50</v>
      </c>
      <c r="Q148" s="4">
        <v>51</v>
      </c>
      <c r="R148" s="29" t="b">
        <v>1</v>
      </c>
      <c r="S148" s="31">
        <v>3</v>
      </c>
      <c r="T148" s="35" t="s">
        <v>3687</v>
      </c>
      <c r="U148" s="36" t="s">
        <v>3263</v>
      </c>
      <c r="V148" s="31">
        <v>0</v>
      </c>
      <c r="W148" s="30">
        <v>0</v>
      </c>
      <c r="X148" s="31">
        <v>0</v>
      </c>
      <c r="Y148" s="31">
        <v>0</v>
      </c>
      <c r="Z148" s="31">
        <v>0</v>
      </c>
      <c r="AA148" s="30">
        <v>0</v>
      </c>
      <c r="AB148" s="4">
        <v>980</v>
      </c>
      <c r="AC148" s="4">
        <v>0</v>
      </c>
      <c r="AD148" s="4">
        <v>0.8</v>
      </c>
      <c r="AE148" s="33">
        <v>0.7</v>
      </c>
      <c r="AF148" s="4">
        <v>1201</v>
      </c>
      <c r="AG148" s="4">
        <v>0</v>
      </c>
      <c r="AH148" s="29">
        <v>0</v>
      </c>
      <c r="AI148" s="30">
        <v>0</v>
      </c>
      <c r="AJ148" s="29">
        <v>0</v>
      </c>
      <c r="AK148" s="30">
        <v>0</v>
      </c>
      <c r="AL148" s="29">
        <v>0.7</v>
      </c>
      <c r="AM148" s="4" t="s">
        <v>10059</v>
      </c>
      <c r="AN148" s="4">
        <v>5201</v>
      </c>
      <c r="AO148" s="4" t="s">
        <v>2869</v>
      </c>
    </row>
    <row r="149" spans="1:41" x14ac:dyDescent="0.15">
      <c r="A149" s="4" t="s">
        <v>2663</v>
      </c>
      <c r="C149" s="4" t="s">
        <v>3776</v>
      </c>
      <c r="D149" s="4">
        <v>5202</v>
      </c>
      <c r="F149" s="4" t="s">
        <v>3487</v>
      </c>
      <c r="H149" s="4">
        <v>2</v>
      </c>
      <c r="I149" s="4">
        <v>1</v>
      </c>
      <c r="J149" s="4">
        <v>1</v>
      </c>
      <c r="K149" s="4">
        <v>1</v>
      </c>
      <c r="L149" s="4">
        <v>4</v>
      </c>
      <c r="M149" s="4">
        <v>1</v>
      </c>
      <c r="N149" s="4">
        <v>0.5</v>
      </c>
      <c r="O149" s="4">
        <v>1030</v>
      </c>
      <c r="P149" s="4">
        <v>60</v>
      </c>
      <c r="Q149" s="4">
        <v>61</v>
      </c>
      <c r="R149" s="29" t="b">
        <v>1</v>
      </c>
      <c r="S149" s="31">
        <v>1</v>
      </c>
      <c r="T149" s="35" t="s">
        <v>3260</v>
      </c>
      <c r="U149" s="36" t="s">
        <v>3261</v>
      </c>
      <c r="V149" s="31">
        <v>0</v>
      </c>
      <c r="W149" s="30">
        <v>0</v>
      </c>
      <c r="X149" s="31">
        <v>0</v>
      </c>
      <c r="Y149" s="31">
        <v>0</v>
      </c>
      <c r="Z149" s="31">
        <v>0</v>
      </c>
      <c r="AA149" s="30">
        <v>0</v>
      </c>
      <c r="AB149" s="4">
        <v>990</v>
      </c>
      <c r="AC149" s="4">
        <v>0</v>
      </c>
      <c r="AD149" s="4">
        <v>1</v>
      </c>
      <c r="AE149" s="33">
        <v>0.66</v>
      </c>
      <c r="AF149" s="4">
        <v>1202</v>
      </c>
      <c r="AG149" s="4">
        <v>0</v>
      </c>
      <c r="AH149" s="29">
        <v>0</v>
      </c>
      <c r="AI149" s="30">
        <v>0</v>
      </c>
      <c r="AJ149" s="29">
        <v>0</v>
      </c>
      <c r="AK149" s="30">
        <v>0</v>
      </c>
      <c r="AL149" s="29">
        <v>0</v>
      </c>
      <c r="AM149" s="4" t="s">
        <v>10055</v>
      </c>
      <c r="AN149" s="4">
        <v>1</v>
      </c>
      <c r="AO149" s="4" t="s">
        <v>2870</v>
      </c>
    </row>
    <row r="150" spans="1:41" x14ac:dyDescent="0.15">
      <c r="A150" s="4" t="s">
        <v>2663</v>
      </c>
      <c r="C150" s="4" t="s">
        <v>3690</v>
      </c>
      <c r="D150" s="4">
        <v>5203</v>
      </c>
      <c r="F150" s="4" t="s">
        <v>3488</v>
      </c>
      <c r="H150" s="4">
        <v>3</v>
      </c>
      <c r="I150" s="4">
        <v>5</v>
      </c>
      <c r="J150" s="4">
        <v>1</v>
      </c>
      <c r="K150" s="4">
        <v>1</v>
      </c>
      <c r="L150" s="4">
        <v>4</v>
      </c>
      <c r="M150" s="4">
        <v>1</v>
      </c>
      <c r="N150" s="4">
        <v>1</v>
      </c>
      <c r="O150" s="4">
        <v>1030</v>
      </c>
      <c r="P150" s="4">
        <v>70</v>
      </c>
      <c r="Q150" s="4">
        <v>71</v>
      </c>
      <c r="R150" s="29" t="b">
        <v>1</v>
      </c>
      <c r="S150" s="31">
        <v>1</v>
      </c>
      <c r="T150" s="35" t="s">
        <v>3260</v>
      </c>
      <c r="U150" s="36" t="s">
        <v>3692</v>
      </c>
      <c r="V150" s="31">
        <v>0</v>
      </c>
      <c r="W150" s="30">
        <v>0</v>
      </c>
      <c r="X150" s="31">
        <v>0</v>
      </c>
      <c r="Y150" s="31">
        <v>0</v>
      </c>
      <c r="Z150" s="31">
        <v>0</v>
      </c>
      <c r="AA150" s="30">
        <v>0</v>
      </c>
      <c r="AB150" s="4">
        <v>1000</v>
      </c>
      <c r="AC150" s="4">
        <v>0</v>
      </c>
      <c r="AD150" s="4">
        <v>1.3</v>
      </c>
      <c r="AE150" s="33">
        <v>1</v>
      </c>
      <c r="AF150" s="4">
        <v>1203</v>
      </c>
      <c r="AG150" s="4">
        <v>0</v>
      </c>
      <c r="AH150" s="29">
        <v>0</v>
      </c>
      <c r="AI150" s="30">
        <v>0</v>
      </c>
      <c r="AJ150" s="29">
        <v>0</v>
      </c>
      <c r="AK150" s="30">
        <v>0</v>
      </c>
      <c r="AL150" s="29">
        <v>0</v>
      </c>
      <c r="AN150" s="4">
        <v>5203</v>
      </c>
      <c r="AO150" s="4" t="s">
        <v>2755</v>
      </c>
    </row>
    <row r="151" spans="1:41" x14ac:dyDescent="0.15">
      <c r="A151" s="4" t="s">
        <v>2663</v>
      </c>
      <c r="C151" s="4" t="s">
        <v>3777</v>
      </c>
      <c r="D151" s="4">
        <v>5204</v>
      </c>
      <c r="F151" s="4" t="s">
        <v>3489</v>
      </c>
      <c r="H151" s="4">
        <v>4</v>
      </c>
      <c r="I151" s="4">
        <v>5</v>
      </c>
      <c r="J151" s="4">
        <v>1</v>
      </c>
      <c r="K151" s="4">
        <v>1</v>
      </c>
      <c r="L151" s="4">
        <v>6</v>
      </c>
      <c r="M151" s="4">
        <v>1</v>
      </c>
      <c r="N151" s="4">
        <v>0</v>
      </c>
      <c r="O151" s="4">
        <v>0</v>
      </c>
      <c r="P151" s="4">
        <v>80</v>
      </c>
      <c r="Q151" s="4">
        <v>81</v>
      </c>
      <c r="R151" s="29" t="b">
        <v>0</v>
      </c>
      <c r="S151" s="31">
        <v>0</v>
      </c>
      <c r="T151" s="35" t="s">
        <v>3260</v>
      </c>
      <c r="U151" s="36" t="s">
        <v>3261</v>
      </c>
      <c r="V151" s="31">
        <v>0</v>
      </c>
      <c r="W151" s="30">
        <v>0</v>
      </c>
      <c r="X151" s="31">
        <v>0</v>
      </c>
      <c r="Y151" s="31">
        <v>0</v>
      </c>
      <c r="Z151" s="31">
        <v>0</v>
      </c>
      <c r="AA151" s="30">
        <v>0</v>
      </c>
      <c r="AB151" s="4">
        <v>0</v>
      </c>
      <c r="AC151" s="4">
        <v>0</v>
      </c>
      <c r="AD151" s="4">
        <v>2.5</v>
      </c>
      <c r="AE151" s="33">
        <v>0</v>
      </c>
      <c r="AF151" s="4">
        <v>0</v>
      </c>
      <c r="AG151" s="4">
        <v>0</v>
      </c>
      <c r="AH151" s="29">
        <v>0</v>
      </c>
      <c r="AI151" s="30">
        <v>0</v>
      </c>
      <c r="AJ151" s="29">
        <v>0</v>
      </c>
      <c r="AK151" s="30">
        <v>0</v>
      </c>
      <c r="AL151" s="29">
        <v>0</v>
      </c>
      <c r="AN151" s="4">
        <v>0</v>
      </c>
    </row>
    <row r="152" spans="1:41" x14ac:dyDescent="0.15">
      <c r="A152" s="4" t="s">
        <v>2663</v>
      </c>
      <c r="C152" s="4" t="s">
        <v>3691</v>
      </c>
      <c r="D152" s="4">
        <v>5205</v>
      </c>
      <c r="F152" s="4" t="s">
        <v>3490</v>
      </c>
      <c r="H152" s="4">
        <v>5</v>
      </c>
      <c r="I152" s="4">
        <v>10</v>
      </c>
      <c r="J152" s="4">
        <v>1</v>
      </c>
      <c r="K152" s="4">
        <v>1</v>
      </c>
      <c r="L152" s="4">
        <v>6</v>
      </c>
      <c r="M152" s="4">
        <v>1</v>
      </c>
      <c r="N152" s="4">
        <v>2</v>
      </c>
      <c r="O152" s="4">
        <v>1030</v>
      </c>
      <c r="P152" s="4">
        <v>90</v>
      </c>
      <c r="Q152" s="4">
        <v>91</v>
      </c>
      <c r="R152" s="29" t="b">
        <v>0</v>
      </c>
      <c r="S152" s="31">
        <v>0</v>
      </c>
      <c r="T152" s="35" t="s">
        <v>3260</v>
      </c>
      <c r="U152" s="36" t="s">
        <v>3261</v>
      </c>
      <c r="V152" s="31">
        <v>0</v>
      </c>
      <c r="W152" s="30">
        <v>0</v>
      </c>
      <c r="X152" s="31">
        <v>0</v>
      </c>
      <c r="Y152" s="31">
        <v>0</v>
      </c>
      <c r="Z152" s="31">
        <v>0</v>
      </c>
      <c r="AA152" s="30">
        <v>0</v>
      </c>
      <c r="AB152" s="4">
        <v>1010</v>
      </c>
      <c r="AC152" s="4">
        <v>0</v>
      </c>
      <c r="AD152" s="4">
        <v>3</v>
      </c>
      <c r="AE152" s="33" t="s">
        <v>3684</v>
      </c>
      <c r="AF152" s="4">
        <v>1205</v>
      </c>
      <c r="AG152" s="4">
        <v>0</v>
      </c>
      <c r="AH152" s="29">
        <v>0</v>
      </c>
      <c r="AI152" s="30">
        <v>0</v>
      </c>
      <c r="AJ152" s="29">
        <v>0</v>
      </c>
      <c r="AK152" s="30">
        <v>0</v>
      </c>
      <c r="AL152" s="29">
        <v>0</v>
      </c>
      <c r="AM152" s="4" t="s">
        <v>9782</v>
      </c>
      <c r="AN152" s="4">
        <v>8</v>
      </c>
      <c r="AO152" s="4" t="s">
        <v>2871</v>
      </c>
    </row>
    <row r="154" spans="1:41" x14ac:dyDescent="0.15">
      <c r="A154" s="4" t="s">
        <v>2663</v>
      </c>
      <c r="C154" s="4" t="s">
        <v>9884</v>
      </c>
      <c r="D154" s="4">
        <v>5301</v>
      </c>
      <c r="F154" s="4" t="s">
        <v>9864</v>
      </c>
      <c r="H154" s="4">
        <v>1</v>
      </c>
      <c r="I154" s="4">
        <v>10</v>
      </c>
      <c r="J154" s="4">
        <v>1</v>
      </c>
      <c r="K154" s="4">
        <v>1</v>
      </c>
      <c r="L154" s="4">
        <v>4</v>
      </c>
      <c r="M154" s="4">
        <v>1</v>
      </c>
      <c r="N154" s="4">
        <v>1</v>
      </c>
      <c r="O154" s="4">
        <v>1160</v>
      </c>
      <c r="P154" s="4">
        <v>50</v>
      </c>
      <c r="Q154" s="4">
        <v>51</v>
      </c>
      <c r="R154" s="29" t="b">
        <v>1</v>
      </c>
      <c r="S154" s="31">
        <v>3</v>
      </c>
      <c r="T154" s="35" t="s">
        <v>3687</v>
      </c>
      <c r="U154" s="36" t="s">
        <v>3263</v>
      </c>
      <c r="V154" s="31">
        <v>0</v>
      </c>
      <c r="W154" s="30">
        <v>0</v>
      </c>
      <c r="X154" s="31">
        <v>0</v>
      </c>
      <c r="Y154" s="31">
        <v>0</v>
      </c>
      <c r="Z154" s="31">
        <v>0</v>
      </c>
      <c r="AA154" s="30">
        <v>0</v>
      </c>
      <c r="AB154" s="4">
        <v>1080</v>
      </c>
      <c r="AC154" s="4">
        <v>0</v>
      </c>
      <c r="AD154" s="4">
        <v>0.8</v>
      </c>
      <c r="AE154" s="33">
        <v>0.4</v>
      </c>
      <c r="AF154" s="4">
        <v>1301</v>
      </c>
      <c r="AG154" s="4">
        <v>201</v>
      </c>
      <c r="AH154" s="29">
        <v>0</v>
      </c>
      <c r="AI154" s="30">
        <v>0</v>
      </c>
      <c r="AJ154" s="29">
        <v>0</v>
      </c>
      <c r="AK154" s="30">
        <v>0</v>
      </c>
      <c r="AL154" s="29">
        <v>0</v>
      </c>
      <c r="AM154" s="4" t="s">
        <v>10058</v>
      </c>
      <c r="AN154" s="4">
        <v>2</v>
      </c>
    </row>
    <row r="155" spans="1:41" x14ac:dyDescent="0.15">
      <c r="A155" s="4" t="s">
        <v>2663</v>
      </c>
      <c r="C155" s="4" t="s">
        <v>9885</v>
      </c>
      <c r="D155" s="4">
        <v>5302</v>
      </c>
      <c r="F155" s="4" t="s">
        <v>9865</v>
      </c>
      <c r="H155" s="4">
        <v>2</v>
      </c>
      <c r="I155" s="4">
        <v>1</v>
      </c>
      <c r="J155" s="4">
        <v>1</v>
      </c>
      <c r="K155" s="4">
        <v>1</v>
      </c>
      <c r="L155" s="4">
        <v>4</v>
      </c>
      <c r="M155" s="4">
        <v>1</v>
      </c>
      <c r="N155" s="4">
        <v>0.5</v>
      </c>
      <c r="O155" s="4">
        <v>1160</v>
      </c>
      <c r="P155" s="4">
        <v>60</v>
      </c>
      <c r="Q155" s="4">
        <v>61</v>
      </c>
      <c r="R155" s="29" t="b">
        <v>1</v>
      </c>
      <c r="S155" s="31">
        <v>1</v>
      </c>
      <c r="T155" s="35" t="s">
        <v>3260</v>
      </c>
      <c r="U155" s="36" t="s">
        <v>3261</v>
      </c>
      <c r="V155" s="31">
        <v>0</v>
      </c>
      <c r="W155" s="30">
        <v>0</v>
      </c>
      <c r="X155" s="31">
        <v>0</v>
      </c>
      <c r="Y155" s="31">
        <v>0</v>
      </c>
      <c r="Z155" s="31">
        <v>0</v>
      </c>
      <c r="AA155" s="30">
        <v>0</v>
      </c>
      <c r="AB155" s="4">
        <v>1100</v>
      </c>
      <c r="AC155" s="4">
        <v>0</v>
      </c>
      <c r="AD155" s="4">
        <v>5</v>
      </c>
      <c r="AE155" s="33" t="s">
        <v>9890</v>
      </c>
      <c r="AF155" s="4">
        <v>1302</v>
      </c>
      <c r="AG155" s="4">
        <v>0</v>
      </c>
      <c r="AH155" s="29">
        <v>0</v>
      </c>
      <c r="AI155" s="30">
        <v>0</v>
      </c>
      <c r="AJ155" s="29">
        <v>0</v>
      </c>
      <c r="AK155" s="30">
        <v>0</v>
      </c>
      <c r="AL155" s="29">
        <v>0</v>
      </c>
      <c r="AN155" s="4">
        <v>5302</v>
      </c>
    </row>
    <row r="156" spans="1:41" x14ac:dyDescent="0.15">
      <c r="A156" s="4" t="s">
        <v>2663</v>
      </c>
      <c r="C156" s="4" t="s">
        <v>9886</v>
      </c>
      <c r="D156" s="4">
        <v>5303</v>
      </c>
      <c r="F156" s="4" t="s">
        <v>9866</v>
      </c>
      <c r="H156" s="4">
        <v>3</v>
      </c>
      <c r="I156" s="4">
        <v>5</v>
      </c>
      <c r="J156" s="4">
        <v>1</v>
      </c>
      <c r="K156" s="4">
        <v>1</v>
      </c>
      <c r="L156" s="4">
        <v>4</v>
      </c>
      <c r="M156" s="4">
        <v>1</v>
      </c>
      <c r="N156" s="4">
        <v>1</v>
      </c>
      <c r="O156" s="4">
        <v>1160</v>
      </c>
      <c r="P156" s="4">
        <v>70</v>
      </c>
      <c r="Q156" s="4">
        <v>71</v>
      </c>
      <c r="R156" s="29" t="b">
        <v>1</v>
      </c>
      <c r="S156" s="31">
        <v>1</v>
      </c>
      <c r="T156" s="35" t="s">
        <v>3260</v>
      </c>
      <c r="U156" s="36" t="s">
        <v>3692</v>
      </c>
      <c r="V156" s="31">
        <v>0</v>
      </c>
      <c r="W156" s="30">
        <v>0</v>
      </c>
      <c r="X156" s="31">
        <v>0</v>
      </c>
      <c r="Y156" s="31">
        <v>0</v>
      </c>
      <c r="Z156" s="31">
        <v>0</v>
      </c>
      <c r="AA156" s="30">
        <v>0</v>
      </c>
      <c r="AB156" s="4">
        <v>1110</v>
      </c>
      <c r="AC156" s="4">
        <v>0</v>
      </c>
      <c r="AD156" s="4">
        <v>0.8</v>
      </c>
      <c r="AE156" s="33">
        <v>0.4</v>
      </c>
      <c r="AF156" s="4">
        <v>0</v>
      </c>
      <c r="AG156" s="4">
        <v>0</v>
      </c>
      <c r="AH156" s="4">
        <v>11</v>
      </c>
      <c r="AI156" s="30">
        <v>0</v>
      </c>
      <c r="AJ156" s="29">
        <v>0</v>
      </c>
      <c r="AK156" s="30">
        <v>0</v>
      </c>
      <c r="AL156" s="29">
        <v>0</v>
      </c>
      <c r="AN156" s="4">
        <v>0</v>
      </c>
    </row>
    <row r="157" spans="1:41" x14ac:dyDescent="0.15">
      <c r="A157" s="4" t="s">
        <v>2663</v>
      </c>
      <c r="C157" s="4" t="s">
        <v>9887</v>
      </c>
      <c r="D157" s="4">
        <v>5304</v>
      </c>
      <c r="F157" s="4" t="s">
        <v>9867</v>
      </c>
      <c r="H157" s="4">
        <v>4</v>
      </c>
      <c r="I157" s="4">
        <v>5</v>
      </c>
      <c r="J157" s="4">
        <v>1</v>
      </c>
      <c r="K157" s="4">
        <v>1</v>
      </c>
      <c r="L157" s="4">
        <v>6</v>
      </c>
      <c r="M157" s="4">
        <v>1</v>
      </c>
      <c r="N157" s="4">
        <v>0</v>
      </c>
      <c r="O157" s="4">
        <v>0</v>
      </c>
      <c r="P157" s="4">
        <v>80</v>
      </c>
      <c r="Q157" s="4">
        <v>81</v>
      </c>
      <c r="R157" s="29" t="b">
        <v>0</v>
      </c>
      <c r="S157" s="31">
        <v>0</v>
      </c>
      <c r="T157" s="35" t="s">
        <v>3260</v>
      </c>
      <c r="U157" s="36" t="s">
        <v>3261</v>
      </c>
      <c r="V157" s="31">
        <v>0</v>
      </c>
      <c r="W157" s="30">
        <v>0</v>
      </c>
      <c r="X157" s="31">
        <v>0</v>
      </c>
      <c r="Y157" s="31">
        <v>0</v>
      </c>
      <c r="Z157" s="31">
        <v>0</v>
      </c>
      <c r="AA157" s="30">
        <v>0</v>
      </c>
      <c r="AB157" s="4">
        <v>1130</v>
      </c>
      <c r="AC157" s="4">
        <v>0</v>
      </c>
      <c r="AD157" s="4">
        <v>5</v>
      </c>
      <c r="AE157" s="33" t="s">
        <v>9889</v>
      </c>
      <c r="AF157" s="4">
        <v>1304</v>
      </c>
      <c r="AG157" s="4">
        <v>0</v>
      </c>
      <c r="AH157" s="29">
        <v>0</v>
      </c>
      <c r="AI157" s="30">
        <v>0</v>
      </c>
      <c r="AJ157" s="29">
        <v>0</v>
      </c>
      <c r="AK157" s="30">
        <v>0</v>
      </c>
      <c r="AL157" s="29">
        <v>0</v>
      </c>
      <c r="AN157" s="4">
        <v>5304</v>
      </c>
    </row>
    <row r="158" spans="1:41" x14ac:dyDescent="0.15">
      <c r="A158" s="4" t="s">
        <v>2663</v>
      </c>
      <c r="C158" s="4" t="s">
        <v>9888</v>
      </c>
      <c r="D158" s="4">
        <v>5305</v>
      </c>
      <c r="F158" s="4" t="s">
        <v>9868</v>
      </c>
      <c r="H158" s="4">
        <v>5</v>
      </c>
      <c r="I158" s="4">
        <v>10</v>
      </c>
      <c r="J158" s="4">
        <v>1</v>
      </c>
      <c r="K158" s="4">
        <v>1</v>
      </c>
      <c r="L158" s="4">
        <v>6</v>
      </c>
      <c r="M158" s="4">
        <v>1</v>
      </c>
      <c r="N158" s="4">
        <v>2</v>
      </c>
      <c r="O158" s="4">
        <v>1160</v>
      </c>
      <c r="P158" s="4">
        <v>90</v>
      </c>
      <c r="Q158" s="4">
        <v>91</v>
      </c>
      <c r="R158" s="29" t="b">
        <v>0</v>
      </c>
      <c r="S158" s="31">
        <v>0</v>
      </c>
      <c r="T158" s="35" t="s">
        <v>3260</v>
      </c>
      <c r="U158" s="36" t="s">
        <v>3261</v>
      </c>
      <c r="V158" s="31">
        <v>0</v>
      </c>
      <c r="W158" s="30">
        <v>0</v>
      </c>
      <c r="X158" s="31">
        <v>0</v>
      </c>
      <c r="Y158" s="31">
        <v>0</v>
      </c>
      <c r="Z158" s="31">
        <v>0</v>
      </c>
      <c r="AA158" s="30">
        <v>0</v>
      </c>
      <c r="AB158" s="4">
        <v>1140</v>
      </c>
      <c r="AC158" s="4">
        <v>0</v>
      </c>
      <c r="AD158" s="4">
        <v>3</v>
      </c>
      <c r="AE158" s="33" t="s">
        <v>3684</v>
      </c>
      <c r="AF158" s="4">
        <v>1305</v>
      </c>
      <c r="AG158" s="4">
        <v>0</v>
      </c>
      <c r="AH158" s="29">
        <v>0</v>
      </c>
      <c r="AI158" s="30">
        <v>0</v>
      </c>
      <c r="AJ158" s="29">
        <v>0</v>
      </c>
      <c r="AK158" s="30">
        <v>0</v>
      </c>
      <c r="AL158" s="29">
        <v>0</v>
      </c>
      <c r="AM158" s="4" t="s">
        <v>9782</v>
      </c>
      <c r="AN158" s="4">
        <v>8</v>
      </c>
    </row>
    <row r="160" spans="1:41" x14ac:dyDescent="0.15">
      <c r="A160" s="4" t="s">
        <v>2663</v>
      </c>
      <c r="C160" s="4" t="s">
        <v>9896</v>
      </c>
      <c r="D160" s="4">
        <v>5401</v>
      </c>
      <c r="F160" s="4" t="s">
        <v>9869</v>
      </c>
      <c r="H160" s="4">
        <v>1</v>
      </c>
      <c r="I160" s="4">
        <v>5</v>
      </c>
      <c r="J160" s="4">
        <v>1</v>
      </c>
      <c r="K160" s="4">
        <v>1</v>
      </c>
      <c r="L160" s="4">
        <v>4</v>
      </c>
      <c r="M160" s="4">
        <v>1</v>
      </c>
      <c r="N160" s="4">
        <v>1</v>
      </c>
      <c r="O160" s="4">
        <v>1220</v>
      </c>
      <c r="P160" s="4">
        <v>50</v>
      </c>
      <c r="Q160" s="4">
        <v>51</v>
      </c>
      <c r="R160" s="29" t="b">
        <v>0</v>
      </c>
      <c r="S160" s="31">
        <v>0</v>
      </c>
      <c r="T160" s="35" t="s">
        <v>3260</v>
      </c>
      <c r="U160" s="36" t="s">
        <v>3261</v>
      </c>
      <c r="V160" s="31">
        <v>0</v>
      </c>
      <c r="W160" s="30">
        <v>0</v>
      </c>
      <c r="X160" s="31">
        <v>0</v>
      </c>
      <c r="Y160" s="31">
        <v>0</v>
      </c>
      <c r="Z160" s="31">
        <v>0</v>
      </c>
      <c r="AA160" s="30">
        <v>0</v>
      </c>
      <c r="AB160" s="4">
        <v>1170</v>
      </c>
      <c r="AC160" s="4">
        <v>0</v>
      </c>
      <c r="AD160" s="4">
        <v>3</v>
      </c>
      <c r="AE160" s="33">
        <v>2.5</v>
      </c>
      <c r="AF160" s="4">
        <v>1401</v>
      </c>
      <c r="AG160" s="4">
        <v>0</v>
      </c>
      <c r="AH160" s="29">
        <v>0</v>
      </c>
      <c r="AI160" s="30">
        <v>0</v>
      </c>
      <c r="AJ160" s="29">
        <v>0</v>
      </c>
      <c r="AK160" s="30">
        <v>0</v>
      </c>
      <c r="AL160" s="29">
        <v>0</v>
      </c>
      <c r="AM160" s="4" t="s">
        <v>10056</v>
      </c>
      <c r="AN160" s="4">
        <v>5401</v>
      </c>
    </row>
    <row r="161" spans="1:40" x14ac:dyDescent="0.15">
      <c r="A161" s="4" t="s">
        <v>2663</v>
      </c>
      <c r="C161" s="4" t="s">
        <v>9897</v>
      </c>
      <c r="D161" s="4">
        <v>5402</v>
      </c>
      <c r="F161" s="4" t="s">
        <v>9870</v>
      </c>
      <c r="H161" s="4">
        <v>2</v>
      </c>
      <c r="I161" s="4">
        <v>10</v>
      </c>
      <c r="J161" s="4">
        <v>1</v>
      </c>
      <c r="K161" s="4">
        <v>1</v>
      </c>
      <c r="L161" s="4">
        <v>4</v>
      </c>
      <c r="M161" s="4">
        <v>1</v>
      </c>
      <c r="N161" s="4">
        <v>0.5</v>
      </c>
      <c r="O161" s="4">
        <v>1220</v>
      </c>
      <c r="P161" s="4">
        <v>60</v>
      </c>
      <c r="Q161" s="4">
        <v>61</v>
      </c>
      <c r="R161" s="29" t="b">
        <v>0</v>
      </c>
      <c r="S161" s="31">
        <v>0</v>
      </c>
      <c r="T161" s="35" t="s">
        <v>3260</v>
      </c>
      <c r="U161" s="36" t="s">
        <v>3261</v>
      </c>
      <c r="V161" s="31">
        <v>0</v>
      </c>
      <c r="W161" s="30">
        <v>0</v>
      </c>
      <c r="X161" s="31">
        <v>0</v>
      </c>
      <c r="Y161" s="31">
        <v>0</v>
      </c>
      <c r="Z161" s="31">
        <v>0</v>
      </c>
      <c r="AA161" s="30">
        <v>0</v>
      </c>
      <c r="AB161" s="4">
        <v>1180</v>
      </c>
      <c r="AC161" s="4">
        <v>0</v>
      </c>
      <c r="AD161" s="4">
        <v>0.5</v>
      </c>
      <c r="AE161" s="33">
        <v>0.4</v>
      </c>
      <c r="AF161" s="4">
        <v>0</v>
      </c>
      <c r="AG161" s="4">
        <v>202</v>
      </c>
      <c r="AH161" s="29">
        <v>0</v>
      </c>
      <c r="AI161" s="30">
        <v>0</v>
      </c>
      <c r="AJ161" s="29">
        <v>0</v>
      </c>
      <c r="AK161" s="30">
        <v>0</v>
      </c>
      <c r="AL161" s="29">
        <v>0</v>
      </c>
      <c r="AM161" s="4" t="s">
        <v>10057</v>
      </c>
      <c r="AN161" s="4">
        <v>0</v>
      </c>
    </row>
    <row r="162" spans="1:40" x14ac:dyDescent="0.15">
      <c r="A162" s="4" t="s">
        <v>2663</v>
      </c>
      <c r="C162" s="4" t="s">
        <v>9899</v>
      </c>
      <c r="D162" s="4">
        <v>5403</v>
      </c>
      <c r="F162" s="4" t="s">
        <v>9871</v>
      </c>
      <c r="H162" s="4">
        <v>3</v>
      </c>
      <c r="I162" s="4">
        <v>5</v>
      </c>
      <c r="J162" s="4">
        <v>1</v>
      </c>
      <c r="K162" s="4">
        <v>1</v>
      </c>
      <c r="L162" s="4">
        <v>4</v>
      </c>
      <c r="M162" s="4">
        <v>1</v>
      </c>
      <c r="N162" s="4">
        <v>1</v>
      </c>
      <c r="O162" s="4">
        <v>1220</v>
      </c>
      <c r="P162" s="4">
        <v>70</v>
      </c>
      <c r="Q162" s="4">
        <v>71</v>
      </c>
      <c r="R162" s="29" t="b">
        <v>0</v>
      </c>
      <c r="S162" s="31">
        <v>0</v>
      </c>
      <c r="T162" s="35" t="s">
        <v>3260</v>
      </c>
      <c r="U162" s="36" t="s">
        <v>3261</v>
      </c>
      <c r="V162" s="31">
        <v>0</v>
      </c>
      <c r="W162" s="30">
        <v>0</v>
      </c>
      <c r="X162" s="31">
        <v>0</v>
      </c>
      <c r="Y162" s="31">
        <v>0</v>
      </c>
      <c r="Z162" s="31">
        <v>0</v>
      </c>
      <c r="AA162" s="30">
        <v>0</v>
      </c>
      <c r="AB162" s="4">
        <v>1190</v>
      </c>
      <c r="AC162" s="4">
        <v>0</v>
      </c>
      <c r="AD162" s="4">
        <v>1.3</v>
      </c>
      <c r="AE162" s="33" t="s">
        <v>9904</v>
      </c>
      <c r="AF162" s="4">
        <v>1403</v>
      </c>
      <c r="AG162" s="4">
        <v>0</v>
      </c>
      <c r="AH162" s="29">
        <v>0</v>
      </c>
      <c r="AI162" s="30">
        <v>0</v>
      </c>
      <c r="AJ162" s="29">
        <v>0</v>
      </c>
      <c r="AK162" s="30">
        <v>0</v>
      </c>
      <c r="AL162" s="29">
        <v>0</v>
      </c>
      <c r="AN162" s="4">
        <v>5403</v>
      </c>
    </row>
    <row r="163" spans="1:40" x14ac:dyDescent="0.15">
      <c r="A163" s="4" t="s">
        <v>2663</v>
      </c>
      <c r="C163" s="4" t="s">
        <v>9900</v>
      </c>
      <c r="D163" s="4">
        <v>5404</v>
      </c>
      <c r="F163" s="4" t="s">
        <v>9872</v>
      </c>
      <c r="H163" s="4">
        <v>4</v>
      </c>
      <c r="I163" s="4">
        <v>20</v>
      </c>
      <c r="J163" s="4">
        <v>1</v>
      </c>
      <c r="K163" s="4">
        <v>1</v>
      </c>
      <c r="L163" s="4">
        <v>6</v>
      </c>
      <c r="M163" s="4">
        <v>1</v>
      </c>
      <c r="N163" s="4">
        <v>0</v>
      </c>
      <c r="O163" s="4">
        <v>0</v>
      </c>
      <c r="P163" s="4">
        <v>80</v>
      </c>
      <c r="Q163" s="4">
        <v>81</v>
      </c>
      <c r="R163" s="29" t="b">
        <v>0</v>
      </c>
      <c r="S163" s="31">
        <v>0</v>
      </c>
      <c r="T163" s="35" t="s">
        <v>3260</v>
      </c>
      <c r="U163" s="36" t="s">
        <v>3261</v>
      </c>
      <c r="V163" s="31">
        <v>0</v>
      </c>
      <c r="W163" s="30">
        <v>0</v>
      </c>
      <c r="X163" s="31">
        <v>0</v>
      </c>
      <c r="Y163" s="31">
        <v>0</v>
      </c>
      <c r="Z163" s="31">
        <v>0</v>
      </c>
      <c r="AA163" s="30">
        <v>0</v>
      </c>
      <c r="AB163" s="4">
        <v>1200</v>
      </c>
      <c r="AC163" s="4">
        <v>0</v>
      </c>
      <c r="AD163" s="4">
        <v>0.5</v>
      </c>
      <c r="AE163" s="33">
        <v>0.3</v>
      </c>
      <c r="AF163" s="4">
        <v>1404</v>
      </c>
      <c r="AG163" s="4">
        <v>0</v>
      </c>
      <c r="AH163" s="29">
        <v>0</v>
      </c>
      <c r="AI163" s="30">
        <v>0</v>
      </c>
      <c r="AJ163" s="29">
        <v>0</v>
      </c>
      <c r="AK163" s="30">
        <v>0</v>
      </c>
      <c r="AL163" s="29">
        <v>0</v>
      </c>
      <c r="AM163" s="4" t="s">
        <v>10058</v>
      </c>
      <c r="AN163" s="4">
        <v>19</v>
      </c>
    </row>
    <row r="164" spans="1:40" x14ac:dyDescent="0.15">
      <c r="A164" s="4" t="s">
        <v>2663</v>
      </c>
      <c r="C164" s="4" t="s">
        <v>9901</v>
      </c>
      <c r="D164" s="4">
        <v>5405</v>
      </c>
      <c r="F164" s="4" t="s">
        <v>9873</v>
      </c>
      <c r="H164" s="4">
        <v>5</v>
      </c>
      <c r="I164" s="4">
        <v>10</v>
      </c>
      <c r="J164" s="4">
        <v>1</v>
      </c>
      <c r="K164" s="4">
        <v>1</v>
      </c>
      <c r="L164" s="4">
        <v>6</v>
      </c>
      <c r="M164" s="4">
        <v>1</v>
      </c>
      <c r="N164" s="4">
        <v>2</v>
      </c>
      <c r="O164" s="4">
        <v>1220</v>
      </c>
      <c r="P164" s="4">
        <v>90</v>
      </c>
      <c r="Q164" s="4">
        <v>91</v>
      </c>
      <c r="R164" s="29" t="b">
        <v>0</v>
      </c>
      <c r="S164" s="31">
        <v>0</v>
      </c>
      <c r="T164" s="35" t="s">
        <v>3260</v>
      </c>
      <c r="U164" s="36" t="s">
        <v>3261</v>
      </c>
      <c r="V164" s="31">
        <v>0</v>
      </c>
      <c r="W164" s="30">
        <v>0</v>
      </c>
      <c r="X164" s="31">
        <v>0</v>
      </c>
      <c r="Y164" s="31">
        <v>0</v>
      </c>
      <c r="Z164" s="31">
        <v>0</v>
      </c>
      <c r="AA164" s="30">
        <v>0</v>
      </c>
      <c r="AB164" s="4">
        <v>0</v>
      </c>
      <c r="AC164" s="4">
        <v>0</v>
      </c>
      <c r="AD164" s="4">
        <v>3.5</v>
      </c>
      <c r="AE164" s="33" t="s">
        <v>9906</v>
      </c>
      <c r="AF164" s="4">
        <v>1405</v>
      </c>
      <c r="AG164" s="4">
        <v>0</v>
      </c>
      <c r="AH164" s="29">
        <v>0</v>
      </c>
      <c r="AI164" s="30">
        <v>0</v>
      </c>
      <c r="AJ164" s="29">
        <v>0</v>
      </c>
      <c r="AK164" s="30">
        <v>0</v>
      </c>
      <c r="AL164" s="29">
        <v>0</v>
      </c>
      <c r="AM164" s="4" t="s">
        <v>9782</v>
      </c>
      <c r="AN164" s="4">
        <v>8</v>
      </c>
    </row>
    <row r="166" spans="1:40" x14ac:dyDescent="0.15">
      <c r="A166" s="4" t="s">
        <v>2663</v>
      </c>
      <c r="C166" s="4" t="s">
        <v>9908</v>
      </c>
      <c r="D166" s="4">
        <v>5501</v>
      </c>
      <c r="F166" s="4" t="s">
        <v>9874</v>
      </c>
      <c r="H166" s="4">
        <v>1</v>
      </c>
      <c r="I166" s="4">
        <v>2</v>
      </c>
      <c r="J166" s="4">
        <v>1</v>
      </c>
      <c r="K166" s="4">
        <v>1</v>
      </c>
      <c r="L166" s="4">
        <v>4</v>
      </c>
      <c r="M166" s="4">
        <v>1</v>
      </c>
      <c r="N166" s="4">
        <v>1</v>
      </c>
      <c r="O166" s="4">
        <v>1270</v>
      </c>
      <c r="P166" s="4">
        <v>50</v>
      </c>
      <c r="Q166" s="4">
        <v>51</v>
      </c>
      <c r="R166" s="29" t="b">
        <v>0</v>
      </c>
      <c r="S166" s="31">
        <v>0</v>
      </c>
      <c r="T166" s="35" t="s">
        <v>3260</v>
      </c>
      <c r="U166" s="36" t="s">
        <v>3261</v>
      </c>
      <c r="V166" s="31">
        <v>0</v>
      </c>
      <c r="W166" s="30">
        <v>0</v>
      </c>
      <c r="X166" s="31">
        <v>0</v>
      </c>
      <c r="Y166" s="31">
        <v>0</v>
      </c>
      <c r="Z166" s="31">
        <v>0</v>
      </c>
      <c r="AA166" s="30">
        <v>0</v>
      </c>
      <c r="AB166" s="4">
        <v>1230</v>
      </c>
      <c r="AC166" s="4">
        <v>0</v>
      </c>
      <c r="AD166" s="4">
        <v>1</v>
      </c>
      <c r="AE166" s="33" t="s">
        <v>9905</v>
      </c>
      <c r="AF166" s="4">
        <v>1501</v>
      </c>
      <c r="AG166" s="4">
        <v>0</v>
      </c>
      <c r="AH166" s="29">
        <v>0</v>
      </c>
      <c r="AI166" s="30">
        <v>0</v>
      </c>
      <c r="AJ166" s="29">
        <v>0</v>
      </c>
      <c r="AK166" s="30">
        <v>0</v>
      </c>
      <c r="AL166" s="29">
        <v>0</v>
      </c>
      <c r="AM166" s="4" t="s">
        <v>9778</v>
      </c>
      <c r="AN166" s="4">
        <v>5</v>
      </c>
    </row>
    <row r="167" spans="1:40" x14ac:dyDescent="0.15">
      <c r="A167" s="4" t="s">
        <v>2663</v>
      </c>
      <c r="C167" s="4" t="s">
        <v>9909</v>
      </c>
      <c r="D167" s="4">
        <v>5502</v>
      </c>
      <c r="F167" s="4" t="s">
        <v>9875</v>
      </c>
      <c r="H167" s="4">
        <v>2</v>
      </c>
      <c r="I167" s="4">
        <v>1</v>
      </c>
      <c r="J167" s="4">
        <v>1</v>
      </c>
      <c r="K167" s="4">
        <v>1</v>
      </c>
      <c r="L167" s="4">
        <v>4</v>
      </c>
      <c r="M167" s="4">
        <v>1</v>
      </c>
      <c r="N167" s="4">
        <v>0.5</v>
      </c>
      <c r="O167" s="4">
        <v>1270</v>
      </c>
      <c r="P167" s="4">
        <v>60</v>
      </c>
      <c r="Q167" s="4">
        <v>61</v>
      </c>
      <c r="R167" s="29" t="b">
        <v>0</v>
      </c>
      <c r="S167" s="31">
        <v>0</v>
      </c>
      <c r="T167" s="35" t="s">
        <v>3260</v>
      </c>
      <c r="U167" s="36" t="s">
        <v>3261</v>
      </c>
      <c r="V167" s="31">
        <v>0</v>
      </c>
      <c r="W167" s="30">
        <v>0</v>
      </c>
      <c r="X167" s="31">
        <v>0</v>
      </c>
      <c r="Y167" s="31">
        <v>0</v>
      </c>
      <c r="Z167" s="31">
        <v>0</v>
      </c>
      <c r="AA167" s="30">
        <v>0</v>
      </c>
      <c r="AB167" s="4">
        <v>1240</v>
      </c>
      <c r="AC167" s="4">
        <v>0</v>
      </c>
      <c r="AD167" s="4">
        <v>0.3</v>
      </c>
      <c r="AE167" s="33">
        <v>0.2</v>
      </c>
      <c r="AF167" s="4">
        <v>1502</v>
      </c>
      <c r="AG167" s="4">
        <v>0</v>
      </c>
      <c r="AH167" s="29">
        <v>0</v>
      </c>
      <c r="AI167" s="30">
        <v>0</v>
      </c>
      <c r="AJ167" s="29">
        <v>0</v>
      </c>
      <c r="AK167" s="30">
        <v>0</v>
      </c>
      <c r="AL167" s="29">
        <v>0</v>
      </c>
      <c r="AM167" s="4" t="s">
        <v>10058</v>
      </c>
      <c r="AN167" s="4">
        <v>2</v>
      </c>
    </row>
    <row r="168" spans="1:40" x14ac:dyDescent="0.15">
      <c r="A168" s="4" t="s">
        <v>2663</v>
      </c>
      <c r="C168" s="4" t="s">
        <v>9910</v>
      </c>
      <c r="D168" s="4">
        <v>5503</v>
      </c>
      <c r="F168" s="4" t="s">
        <v>9876</v>
      </c>
      <c r="H168" s="4">
        <v>3</v>
      </c>
      <c r="I168" s="4">
        <v>5</v>
      </c>
      <c r="J168" s="4">
        <v>1</v>
      </c>
      <c r="K168" s="4">
        <v>1</v>
      </c>
      <c r="L168" s="4">
        <v>4</v>
      </c>
      <c r="M168" s="4">
        <v>1</v>
      </c>
      <c r="N168" s="4">
        <v>1</v>
      </c>
      <c r="O168" s="4">
        <v>1270</v>
      </c>
      <c r="P168" s="4">
        <v>70</v>
      </c>
      <c r="Q168" s="4">
        <v>71</v>
      </c>
      <c r="R168" s="29" t="b">
        <v>0</v>
      </c>
      <c r="S168" s="31">
        <v>0</v>
      </c>
      <c r="T168" s="35" t="s">
        <v>3260</v>
      </c>
      <c r="U168" s="36" t="s">
        <v>3261</v>
      </c>
      <c r="V168" s="31">
        <v>0</v>
      </c>
      <c r="W168" s="30">
        <v>0</v>
      </c>
      <c r="X168" s="31">
        <v>0</v>
      </c>
      <c r="Y168" s="31">
        <v>0</v>
      </c>
      <c r="Z168" s="31">
        <v>0</v>
      </c>
      <c r="AA168" s="30">
        <v>0</v>
      </c>
      <c r="AB168" s="4">
        <v>1250</v>
      </c>
      <c r="AC168" s="4">
        <v>0</v>
      </c>
      <c r="AD168" s="4">
        <v>0.8</v>
      </c>
      <c r="AE168" s="33">
        <v>0.8</v>
      </c>
      <c r="AF168" s="4">
        <v>1503</v>
      </c>
      <c r="AG168" s="4">
        <v>0</v>
      </c>
      <c r="AH168" s="29">
        <v>0</v>
      </c>
      <c r="AI168" s="30">
        <v>0</v>
      </c>
      <c r="AJ168" s="29">
        <v>0</v>
      </c>
      <c r="AK168" s="30">
        <v>0</v>
      </c>
      <c r="AL168" s="29">
        <v>0</v>
      </c>
      <c r="AM168" s="4" t="s">
        <v>9988</v>
      </c>
      <c r="AN168" s="4">
        <v>19</v>
      </c>
    </row>
    <row r="169" spans="1:40" x14ac:dyDescent="0.15">
      <c r="A169" s="4" t="s">
        <v>2663</v>
      </c>
      <c r="C169" s="4" t="s">
        <v>9911</v>
      </c>
      <c r="D169" s="4">
        <v>5504</v>
      </c>
      <c r="F169" s="4" t="s">
        <v>9877</v>
      </c>
      <c r="H169" s="4">
        <v>4</v>
      </c>
      <c r="I169" s="4">
        <v>5</v>
      </c>
      <c r="J169" s="4">
        <v>1</v>
      </c>
      <c r="K169" s="4">
        <v>1</v>
      </c>
      <c r="L169" s="4">
        <v>6</v>
      </c>
      <c r="M169" s="4">
        <v>1</v>
      </c>
      <c r="N169" s="4">
        <v>0</v>
      </c>
      <c r="O169" s="4">
        <v>0</v>
      </c>
      <c r="P169" s="4">
        <v>80</v>
      </c>
      <c r="Q169" s="4">
        <v>81</v>
      </c>
      <c r="R169" s="29" t="b">
        <v>0</v>
      </c>
      <c r="S169" s="31">
        <v>0</v>
      </c>
      <c r="T169" s="35" t="s">
        <v>3260</v>
      </c>
      <c r="U169" s="36" t="s">
        <v>3261</v>
      </c>
      <c r="V169" s="31">
        <v>0</v>
      </c>
      <c r="W169" s="30">
        <v>0</v>
      </c>
      <c r="X169" s="31">
        <v>0</v>
      </c>
      <c r="Y169" s="31">
        <v>0</v>
      </c>
      <c r="Z169" s="31">
        <v>0</v>
      </c>
      <c r="AA169" s="30">
        <v>0</v>
      </c>
      <c r="AB169" s="4">
        <v>0</v>
      </c>
      <c r="AC169" s="4">
        <v>0</v>
      </c>
      <c r="AD169" s="4">
        <v>1</v>
      </c>
      <c r="AE169" s="33">
        <v>0</v>
      </c>
      <c r="AF169" s="4">
        <v>0</v>
      </c>
      <c r="AG169" s="4">
        <v>0</v>
      </c>
      <c r="AH169" s="29">
        <v>0</v>
      </c>
      <c r="AI169" s="30">
        <v>0</v>
      </c>
      <c r="AJ169" s="29">
        <v>0</v>
      </c>
      <c r="AK169" s="30">
        <v>0</v>
      </c>
      <c r="AL169" s="29">
        <v>0</v>
      </c>
      <c r="AN169" s="4">
        <v>0</v>
      </c>
    </row>
    <row r="170" spans="1:40" x14ac:dyDescent="0.15">
      <c r="A170" s="4" t="s">
        <v>2663</v>
      </c>
      <c r="C170" s="4" t="s">
        <v>9912</v>
      </c>
      <c r="D170" s="4">
        <v>5505</v>
      </c>
      <c r="F170" s="4" t="s">
        <v>9878</v>
      </c>
      <c r="H170" s="4">
        <v>5</v>
      </c>
      <c r="I170" s="4">
        <v>10</v>
      </c>
      <c r="J170" s="4">
        <v>1</v>
      </c>
      <c r="K170" s="4">
        <v>1</v>
      </c>
      <c r="L170" s="4">
        <v>6</v>
      </c>
      <c r="M170" s="4">
        <v>1</v>
      </c>
      <c r="N170" s="4">
        <v>2</v>
      </c>
      <c r="O170" s="4">
        <v>1270</v>
      </c>
      <c r="P170" s="4">
        <v>90</v>
      </c>
      <c r="Q170" s="4">
        <v>91</v>
      </c>
      <c r="R170" s="29" t="b">
        <v>0</v>
      </c>
      <c r="S170" s="31">
        <v>0</v>
      </c>
      <c r="T170" s="35" t="s">
        <v>3260</v>
      </c>
      <c r="U170" s="36" t="s">
        <v>3261</v>
      </c>
      <c r="V170" s="31">
        <v>0</v>
      </c>
      <c r="W170" s="30">
        <v>0</v>
      </c>
      <c r="X170" s="31">
        <v>0</v>
      </c>
      <c r="Y170" s="31">
        <v>0</v>
      </c>
      <c r="Z170" s="31">
        <v>0</v>
      </c>
      <c r="AA170" s="30">
        <v>0</v>
      </c>
      <c r="AB170" s="4">
        <v>1260</v>
      </c>
      <c r="AC170" s="4">
        <v>0</v>
      </c>
      <c r="AD170" s="4">
        <v>2.8</v>
      </c>
      <c r="AE170" s="33" t="s">
        <v>9907</v>
      </c>
      <c r="AF170" s="4">
        <v>1505</v>
      </c>
      <c r="AG170" s="4">
        <v>0</v>
      </c>
      <c r="AH170" s="29">
        <v>0</v>
      </c>
      <c r="AI170" s="30">
        <v>0</v>
      </c>
      <c r="AJ170" s="29">
        <v>0</v>
      </c>
      <c r="AK170" s="30">
        <v>0</v>
      </c>
      <c r="AL170" s="29">
        <v>0</v>
      </c>
      <c r="AM170" s="4" t="s">
        <v>9782</v>
      </c>
      <c r="AN170" s="4">
        <v>8</v>
      </c>
    </row>
    <row r="172" spans="1:40" x14ac:dyDescent="0.15">
      <c r="A172" s="4" t="s">
        <v>2663</v>
      </c>
      <c r="C172" s="4" t="s">
        <v>9922</v>
      </c>
      <c r="D172" s="4">
        <v>5601</v>
      </c>
      <c r="F172" s="4" t="s">
        <v>9879</v>
      </c>
      <c r="H172" s="4">
        <v>1</v>
      </c>
      <c r="I172" s="4">
        <v>2</v>
      </c>
      <c r="J172" s="4">
        <v>1</v>
      </c>
      <c r="K172" s="4">
        <v>1</v>
      </c>
      <c r="L172" s="4">
        <v>4</v>
      </c>
      <c r="M172" s="4">
        <v>1</v>
      </c>
      <c r="N172" s="4">
        <v>1</v>
      </c>
      <c r="O172" s="4">
        <v>1320</v>
      </c>
      <c r="P172" s="4">
        <v>50</v>
      </c>
      <c r="Q172" s="4">
        <v>51</v>
      </c>
      <c r="R172" s="29" t="b">
        <v>1</v>
      </c>
      <c r="S172" s="31">
        <v>4</v>
      </c>
      <c r="T172" s="35" t="s">
        <v>3260</v>
      </c>
      <c r="U172" s="36" t="s">
        <v>3568</v>
      </c>
      <c r="V172" s="31">
        <v>0</v>
      </c>
      <c r="W172" s="30">
        <v>0</v>
      </c>
      <c r="X172" s="31">
        <v>0</v>
      </c>
      <c r="Y172" s="31">
        <v>0</v>
      </c>
      <c r="Z172" s="31">
        <v>0</v>
      </c>
      <c r="AA172" s="30">
        <v>0</v>
      </c>
      <c r="AB172" s="4">
        <v>1280</v>
      </c>
      <c r="AC172" s="4">
        <v>0</v>
      </c>
      <c r="AD172" s="4">
        <v>1.1000000000000001</v>
      </c>
      <c r="AE172" s="33" t="s">
        <v>9923</v>
      </c>
      <c r="AF172" s="4">
        <v>1601</v>
      </c>
      <c r="AG172" s="4">
        <v>0</v>
      </c>
      <c r="AH172" s="29">
        <v>0</v>
      </c>
      <c r="AI172" s="30">
        <v>0</v>
      </c>
      <c r="AJ172" s="29">
        <v>0</v>
      </c>
      <c r="AK172" s="30">
        <v>0</v>
      </c>
      <c r="AL172" s="29">
        <v>0</v>
      </c>
      <c r="AM172" s="4" t="s">
        <v>9778</v>
      </c>
      <c r="AN172" s="4">
        <v>5</v>
      </c>
    </row>
    <row r="173" spans="1:40" x14ac:dyDescent="0.15">
      <c r="A173" s="4" t="s">
        <v>2663</v>
      </c>
      <c r="C173" s="4" t="s">
        <v>9925</v>
      </c>
      <c r="D173" s="4">
        <v>5602</v>
      </c>
      <c r="F173" s="4" t="s">
        <v>9880</v>
      </c>
      <c r="H173" s="4">
        <v>2</v>
      </c>
      <c r="I173" s="4">
        <v>1</v>
      </c>
      <c r="J173" s="4">
        <v>1</v>
      </c>
      <c r="K173" s="4">
        <v>1</v>
      </c>
      <c r="L173" s="4">
        <v>4</v>
      </c>
      <c r="M173" s="4">
        <v>1</v>
      </c>
      <c r="N173" s="4">
        <v>0.5</v>
      </c>
      <c r="O173" s="4">
        <v>1320</v>
      </c>
      <c r="P173" s="4">
        <v>60</v>
      </c>
      <c r="Q173" s="4">
        <v>61</v>
      </c>
      <c r="R173" s="29" t="b">
        <v>0</v>
      </c>
      <c r="S173" s="31">
        <v>0</v>
      </c>
      <c r="T173" s="35" t="s">
        <v>3260</v>
      </c>
      <c r="U173" s="36" t="s">
        <v>3692</v>
      </c>
      <c r="V173" s="31">
        <v>0</v>
      </c>
      <c r="W173" s="30">
        <v>0</v>
      </c>
      <c r="X173" s="31">
        <v>0</v>
      </c>
      <c r="Y173" s="31">
        <v>0</v>
      </c>
      <c r="Z173" s="31">
        <v>0</v>
      </c>
      <c r="AA173" s="30">
        <v>0</v>
      </c>
      <c r="AB173" s="4">
        <v>1290</v>
      </c>
      <c r="AC173" s="4">
        <v>0</v>
      </c>
      <c r="AD173" s="4">
        <v>1.4</v>
      </c>
      <c r="AE173" s="33" t="s">
        <v>9924</v>
      </c>
      <c r="AF173" s="4">
        <v>1602</v>
      </c>
      <c r="AG173" s="4">
        <v>0</v>
      </c>
      <c r="AH173" s="29">
        <v>0</v>
      </c>
      <c r="AI173" s="30">
        <v>0</v>
      </c>
      <c r="AJ173" s="29">
        <v>0</v>
      </c>
      <c r="AK173" s="30">
        <v>0</v>
      </c>
      <c r="AL173" s="29">
        <v>0</v>
      </c>
      <c r="AM173" s="4" t="s">
        <v>9779</v>
      </c>
      <c r="AN173" s="4">
        <v>6</v>
      </c>
    </row>
    <row r="174" spans="1:40" x14ac:dyDescent="0.15">
      <c r="A174" s="4" t="s">
        <v>2663</v>
      </c>
      <c r="C174" s="4" t="s">
        <v>9926</v>
      </c>
      <c r="D174" s="4">
        <v>5603</v>
      </c>
      <c r="F174" s="4" t="s">
        <v>9881</v>
      </c>
      <c r="H174" s="4">
        <v>3</v>
      </c>
      <c r="I174" s="4">
        <v>10</v>
      </c>
      <c r="J174" s="4">
        <v>1</v>
      </c>
      <c r="K174" s="4">
        <v>1</v>
      </c>
      <c r="L174" s="4">
        <v>4</v>
      </c>
      <c r="M174" s="4">
        <v>1</v>
      </c>
      <c r="N174" s="4">
        <v>1</v>
      </c>
      <c r="O174" s="4">
        <v>1320</v>
      </c>
      <c r="P174" s="4">
        <v>70</v>
      </c>
      <c r="Q174" s="4">
        <v>71</v>
      </c>
      <c r="R174" s="29" t="b">
        <v>0</v>
      </c>
      <c r="S174" s="31">
        <v>0</v>
      </c>
      <c r="T174" s="35" t="s">
        <v>3260</v>
      </c>
      <c r="U174" s="36" t="s">
        <v>3261</v>
      </c>
      <c r="V174" s="31">
        <v>0</v>
      </c>
      <c r="W174" s="30">
        <v>0</v>
      </c>
      <c r="X174" s="31">
        <v>0</v>
      </c>
      <c r="Y174" s="31">
        <v>0</v>
      </c>
      <c r="Z174" s="31">
        <v>0</v>
      </c>
      <c r="AA174" s="30">
        <v>0</v>
      </c>
      <c r="AB174" s="4">
        <v>1300</v>
      </c>
      <c r="AC174" s="4">
        <v>0</v>
      </c>
      <c r="AD174" s="4">
        <v>0.4</v>
      </c>
      <c r="AE174" s="33">
        <v>0.3</v>
      </c>
      <c r="AF174" s="4">
        <v>0</v>
      </c>
      <c r="AG174" s="4">
        <v>0</v>
      </c>
      <c r="AH174" s="29">
        <v>0</v>
      </c>
      <c r="AI174" s="30">
        <v>0</v>
      </c>
      <c r="AJ174" s="29">
        <v>0</v>
      </c>
      <c r="AK174" s="30">
        <v>0</v>
      </c>
      <c r="AL174" s="29">
        <v>0</v>
      </c>
      <c r="AN174" s="4">
        <v>16</v>
      </c>
    </row>
    <row r="175" spans="1:40" x14ac:dyDescent="0.15">
      <c r="A175" s="4" t="s">
        <v>2663</v>
      </c>
      <c r="C175" s="4" t="s">
        <v>9927</v>
      </c>
      <c r="D175" s="4">
        <v>5604</v>
      </c>
      <c r="F175" s="4" t="s">
        <v>9882</v>
      </c>
      <c r="H175" s="4">
        <v>4</v>
      </c>
      <c r="I175" s="4">
        <v>5</v>
      </c>
      <c r="J175" s="4">
        <v>1</v>
      </c>
      <c r="K175" s="4">
        <v>1</v>
      </c>
      <c r="L175" s="4">
        <v>6</v>
      </c>
      <c r="M175" s="4">
        <v>1</v>
      </c>
      <c r="N175" s="4">
        <v>0</v>
      </c>
      <c r="O175" s="4">
        <v>0</v>
      </c>
      <c r="P175" s="4">
        <v>80</v>
      </c>
      <c r="Q175" s="4">
        <v>81</v>
      </c>
      <c r="R175" s="29" t="b">
        <v>0</v>
      </c>
      <c r="S175" s="31">
        <v>0</v>
      </c>
      <c r="T175" s="35" t="s">
        <v>3260</v>
      </c>
      <c r="U175" s="36" t="s">
        <v>3261</v>
      </c>
      <c r="V175" s="31">
        <v>0</v>
      </c>
      <c r="W175" s="30">
        <v>0</v>
      </c>
      <c r="X175" s="31">
        <v>0</v>
      </c>
      <c r="Y175" s="31">
        <v>0</v>
      </c>
      <c r="Z175" s="31">
        <v>0</v>
      </c>
      <c r="AA175" s="30">
        <v>0</v>
      </c>
      <c r="AB175" s="4">
        <v>0</v>
      </c>
      <c r="AC175" s="4">
        <v>0</v>
      </c>
      <c r="AD175" s="4">
        <v>2</v>
      </c>
      <c r="AE175" s="33">
        <v>0</v>
      </c>
      <c r="AF175" s="4">
        <v>0</v>
      </c>
      <c r="AG175" s="4">
        <v>0</v>
      </c>
      <c r="AH175" s="29">
        <v>0</v>
      </c>
      <c r="AI175" s="30">
        <v>0</v>
      </c>
      <c r="AJ175" s="29">
        <v>0</v>
      </c>
      <c r="AK175" s="30">
        <v>0</v>
      </c>
      <c r="AL175" s="29">
        <v>0</v>
      </c>
      <c r="AN175" s="4">
        <v>0</v>
      </c>
    </row>
    <row r="176" spans="1:40" x14ac:dyDescent="0.15">
      <c r="A176" s="4" t="s">
        <v>2663</v>
      </c>
      <c r="C176" s="4" t="s">
        <v>9928</v>
      </c>
      <c r="D176" s="4">
        <v>5605</v>
      </c>
      <c r="F176" s="4" t="s">
        <v>9883</v>
      </c>
      <c r="H176" s="4">
        <v>5</v>
      </c>
      <c r="I176" s="4">
        <v>10</v>
      </c>
      <c r="J176" s="4">
        <v>1</v>
      </c>
      <c r="K176" s="4">
        <v>1</v>
      </c>
      <c r="L176" s="4">
        <v>6</v>
      </c>
      <c r="M176" s="4">
        <v>1</v>
      </c>
      <c r="N176" s="4">
        <v>2</v>
      </c>
      <c r="O176" s="4">
        <v>1320</v>
      </c>
      <c r="P176" s="4">
        <v>90</v>
      </c>
      <c r="Q176" s="4">
        <v>91</v>
      </c>
      <c r="R176" s="29" t="b">
        <v>0</v>
      </c>
      <c r="S176" s="31">
        <v>0</v>
      </c>
      <c r="T176" s="35" t="s">
        <v>3260</v>
      </c>
      <c r="U176" s="36" t="s">
        <v>3261</v>
      </c>
      <c r="V176" s="31">
        <v>0</v>
      </c>
      <c r="W176" s="30">
        <v>0</v>
      </c>
      <c r="X176" s="31">
        <v>0</v>
      </c>
      <c r="Y176" s="31">
        <v>0</v>
      </c>
      <c r="Z176" s="31">
        <v>0</v>
      </c>
      <c r="AA176" s="30">
        <v>0</v>
      </c>
      <c r="AB176" s="4">
        <v>0</v>
      </c>
      <c r="AC176" s="4">
        <v>0</v>
      </c>
      <c r="AD176" s="4">
        <v>3.1</v>
      </c>
      <c r="AE176" s="33" t="s">
        <v>9907</v>
      </c>
      <c r="AF176" s="4">
        <v>1605</v>
      </c>
      <c r="AG176" s="4">
        <v>0</v>
      </c>
      <c r="AH176" s="29">
        <v>0</v>
      </c>
      <c r="AI176" s="30">
        <v>0</v>
      </c>
      <c r="AJ176" s="29">
        <v>0</v>
      </c>
      <c r="AK176" s="30">
        <v>0</v>
      </c>
      <c r="AL176" s="29">
        <v>0</v>
      </c>
      <c r="AM176" s="4" t="s">
        <v>9782</v>
      </c>
      <c r="AN176" s="4">
        <v>8</v>
      </c>
    </row>
    <row r="178" spans="1:40" x14ac:dyDescent="0.15">
      <c r="A178" s="4" t="s">
        <v>2663</v>
      </c>
      <c r="C178" s="4" t="s">
        <v>10026</v>
      </c>
      <c r="D178" s="4">
        <v>5701</v>
      </c>
      <c r="F178" s="4" t="s">
        <v>10007</v>
      </c>
      <c r="H178" s="4">
        <v>1</v>
      </c>
      <c r="I178" s="4">
        <v>10</v>
      </c>
      <c r="J178" s="4">
        <v>1</v>
      </c>
      <c r="K178" s="4">
        <v>1</v>
      </c>
      <c r="L178" s="4">
        <v>6</v>
      </c>
      <c r="M178" s="4">
        <v>1</v>
      </c>
      <c r="N178" s="4">
        <v>1</v>
      </c>
      <c r="O178" s="4">
        <v>1420</v>
      </c>
      <c r="P178" s="4">
        <v>50</v>
      </c>
      <c r="Q178" s="4">
        <v>51</v>
      </c>
      <c r="R178" s="29" t="b">
        <v>0</v>
      </c>
      <c r="S178" s="31">
        <v>0</v>
      </c>
      <c r="T178" s="35" t="s">
        <v>3260</v>
      </c>
      <c r="U178" s="36" t="s">
        <v>3261</v>
      </c>
      <c r="V178" s="31">
        <v>0</v>
      </c>
      <c r="W178" s="30">
        <v>0</v>
      </c>
      <c r="X178" s="31">
        <v>0</v>
      </c>
      <c r="Y178" s="31">
        <v>0</v>
      </c>
      <c r="Z178" s="31">
        <v>0</v>
      </c>
      <c r="AA178" s="30">
        <v>0</v>
      </c>
      <c r="AB178" s="4">
        <v>0</v>
      </c>
      <c r="AC178" s="4">
        <v>0</v>
      </c>
      <c r="AD178" s="4">
        <v>0.3</v>
      </c>
      <c r="AE178" s="33">
        <v>0.1</v>
      </c>
      <c r="AF178" s="4">
        <v>1701</v>
      </c>
      <c r="AG178" s="4">
        <v>0</v>
      </c>
      <c r="AH178" s="29">
        <v>0</v>
      </c>
      <c r="AI178" s="30">
        <v>0</v>
      </c>
      <c r="AJ178" s="29">
        <v>0</v>
      </c>
      <c r="AK178" s="30">
        <v>0</v>
      </c>
      <c r="AL178" s="29">
        <v>0</v>
      </c>
      <c r="AM178" s="4" t="s">
        <v>10058</v>
      </c>
      <c r="AN178" s="4">
        <v>19</v>
      </c>
    </row>
    <row r="179" spans="1:40" x14ac:dyDescent="0.15">
      <c r="A179" s="4" t="s">
        <v>2663</v>
      </c>
      <c r="C179" s="4" t="s">
        <v>10027</v>
      </c>
      <c r="D179" s="4">
        <v>5702</v>
      </c>
      <c r="F179" s="4" t="s">
        <v>10008</v>
      </c>
      <c r="H179" s="4">
        <v>2</v>
      </c>
      <c r="I179" s="4">
        <v>5</v>
      </c>
      <c r="J179" s="4">
        <v>1</v>
      </c>
      <c r="K179" s="4">
        <v>1</v>
      </c>
      <c r="L179" s="4">
        <v>6</v>
      </c>
      <c r="M179" s="4">
        <v>1</v>
      </c>
      <c r="N179" s="4">
        <v>0.5</v>
      </c>
      <c r="O179" s="4">
        <v>1420</v>
      </c>
      <c r="P179" s="4">
        <v>60</v>
      </c>
      <c r="Q179" s="4">
        <v>61</v>
      </c>
      <c r="R179" s="29" t="b">
        <v>0</v>
      </c>
      <c r="S179" s="31">
        <v>0</v>
      </c>
      <c r="T179" s="35" t="s">
        <v>3260</v>
      </c>
      <c r="U179" s="36" t="s">
        <v>3261</v>
      </c>
      <c r="V179" s="31">
        <v>0</v>
      </c>
      <c r="W179" s="30">
        <v>0</v>
      </c>
      <c r="X179" s="31">
        <v>0</v>
      </c>
      <c r="Y179" s="31">
        <v>0</v>
      </c>
      <c r="Z179" s="31">
        <v>0</v>
      </c>
      <c r="AA179" s="30">
        <v>0</v>
      </c>
      <c r="AB179" s="4">
        <v>0</v>
      </c>
      <c r="AC179" s="4">
        <v>0</v>
      </c>
      <c r="AD179" s="4">
        <v>0.3</v>
      </c>
      <c r="AE179" s="33">
        <v>0.1</v>
      </c>
      <c r="AF179" s="4">
        <v>1702</v>
      </c>
      <c r="AG179" s="4">
        <v>0</v>
      </c>
      <c r="AH179" s="29">
        <v>0</v>
      </c>
      <c r="AI179" s="30">
        <v>0</v>
      </c>
      <c r="AJ179" s="29">
        <v>0</v>
      </c>
      <c r="AK179" s="30">
        <v>0</v>
      </c>
      <c r="AL179" s="29">
        <v>0</v>
      </c>
      <c r="AM179" s="4" t="s">
        <v>9985</v>
      </c>
      <c r="AN179" s="4">
        <v>1</v>
      </c>
    </row>
    <row r="180" spans="1:40" x14ac:dyDescent="0.15">
      <c r="A180" s="4" t="s">
        <v>2663</v>
      </c>
      <c r="C180" s="4" t="s">
        <v>10028</v>
      </c>
      <c r="D180" s="4">
        <v>5703</v>
      </c>
      <c r="F180" s="4" t="s">
        <v>10009</v>
      </c>
      <c r="H180" s="4">
        <v>3</v>
      </c>
      <c r="I180" s="4">
        <v>1</v>
      </c>
      <c r="J180" s="4">
        <v>1</v>
      </c>
      <c r="K180" s="4">
        <v>1</v>
      </c>
      <c r="L180" s="4">
        <v>6</v>
      </c>
      <c r="M180" s="4">
        <v>1</v>
      </c>
      <c r="N180" s="4">
        <v>1</v>
      </c>
      <c r="O180" s="4">
        <v>1420</v>
      </c>
      <c r="P180" s="4">
        <v>70</v>
      </c>
      <c r="Q180" s="4">
        <v>71</v>
      </c>
      <c r="R180" s="29" t="b">
        <v>0</v>
      </c>
      <c r="S180" s="31">
        <v>0</v>
      </c>
      <c r="T180" s="35" t="s">
        <v>3260</v>
      </c>
      <c r="U180" s="36" t="s">
        <v>3261</v>
      </c>
      <c r="V180" s="31">
        <v>0</v>
      </c>
      <c r="W180" s="30">
        <v>0</v>
      </c>
      <c r="X180" s="31">
        <v>0</v>
      </c>
      <c r="Y180" s="31">
        <v>0</v>
      </c>
      <c r="Z180" s="31">
        <v>0</v>
      </c>
      <c r="AA180" s="30">
        <v>0</v>
      </c>
      <c r="AB180" s="4">
        <v>1390</v>
      </c>
      <c r="AC180" s="4">
        <v>0</v>
      </c>
      <c r="AD180" s="4">
        <v>3.1</v>
      </c>
      <c r="AE180" s="33" t="s">
        <v>10044</v>
      </c>
      <c r="AF180" s="4">
        <v>1703</v>
      </c>
      <c r="AG180" s="4">
        <v>0</v>
      </c>
      <c r="AH180" s="29">
        <v>0</v>
      </c>
      <c r="AI180" s="30">
        <v>0</v>
      </c>
      <c r="AJ180" s="29">
        <v>0</v>
      </c>
      <c r="AK180" s="30">
        <v>0</v>
      </c>
      <c r="AL180" s="29">
        <v>0</v>
      </c>
      <c r="AM180" s="4" t="s">
        <v>9782</v>
      </c>
      <c r="AN180" s="4">
        <v>5703</v>
      </c>
    </row>
    <row r="181" spans="1:40" x14ac:dyDescent="0.15">
      <c r="A181" s="4" t="s">
        <v>2663</v>
      </c>
      <c r="C181" s="4" t="s">
        <v>10029</v>
      </c>
      <c r="D181" s="4">
        <v>5704</v>
      </c>
      <c r="F181" s="4" t="s">
        <v>10010</v>
      </c>
      <c r="H181" s="4">
        <v>4</v>
      </c>
      <c r="I181" s="4">
        <v>5</v>
      </c>
      <c r="J181" s="4">
        <v>1</v>
      </c>
      <c r="K181" s="4">
        <v>1</v>
      </c>
      <c r="L181" s="4">
        <v>6</v>
      </c>
      <c r="M181" s="4">
        <v>1</v>
      </c>
      <c r="N181" s="4">
        <v>0</v>
      </c>
      <c r="O181" s="4">
        <v>0</v>
      </c>
      <c r="P181" s="4">
        <v>80</v>
      </c>
      <c r="Q181" s="4">
        <v>81</v>
      </c>
      <c r="R181" s="29" t="b">
        <v>0</v>
      </c>
      <c r="S181" s="31">
        <v>0</v>
      </c>
      <c r="T181" s="35" t="s">
        <v>3260</v>
      </c>
      <c r="U181" s="36" t="s">
        <v>3261</v>
      </c>
      <c r="V181" s="31">
        <v>0</v>
      </c>
      <c r="W181" s="30">
        <v>0</v>
      </c>
      <c r="X181" s="31">
        <v>0</v>
      </c>
      <c r="Y181" s="31">
        <v>0</v>
      </c>
      <c r="Z181" s="31">
        <v>0</v>
      </c>
      <c r="AA181" s="30">
        <v>0</v>
      </c>
      <c r="AB181" s="4">
        <v>0</v>
      </c>
      <c r="AC181" s="4">
        <v>0</v>
      </c>
      <c r="AD181" s="4">
        <v>3.5</v>
      </c>
      <c r="AE181" s="33">
        <v>0</v>
      </c>
      <c r="AF181" s="4">
        <v>0</v>
      </c>
      <c r="AG181" s="4">
        <v>0</v>
      </c>
      <c r="AH181" s="29">
        <v>0</v>
      </c>
      <c r="AI181" s="30">
        <v>0</v>
      </c>
      <c r="AJ181" s="29">
        <v>0</v>
      </c>
      <c r="AK181" s="30">
        <v>0</v>
      </c>
      <c r="AL181" s="29">
        <v>0</v>
      </c>
      <c r="AN181" s="4">
        <v>0</v>
      </c>
    </row>
    <row r="182" spans="1:40" x14ac:dyDescent="0.15">
      <c r="A182" s="4" t="s">
        <v>2663</v>
      </c>
      <c r="C182" s="4" t="s">
        <v>10030</v>
      </c>
      <c r="D182" s="4">
        <v>5705</v>
      </c>
      <c r="F182" s="4" t="s">
        <v>10011</v>
      </c>
      <c r="H182" s="4">
        <v>5</v>
      </c>
      <c r="I182" s="4">
        <v>20</v>
      </c>
      <c r="J182" s="4">
        <v>1</v>
      </c>
      <c r="K182" s="4">
        <v>1</v>
      </c>
      <c r="L182" s="4">
        <v>6</v>
      </c>
      <c r="M182" s="4">
        <v>1</v>
      </c>
      <c r="N182" s="4">
        <v>2</v>
      </c>
      <c r="O182" s="4">
        <v>1420</v>
      </c>
      <c r="P182" s="4">
        <v>90</v>
      </c>
      <c r="Q182" s="4">
        <v>91</v>
      </c>
      <c r="R182" s="29" t="b">
        <v>0</v>
      </c>
      <c r="S182" s="31">
        <v>0</v>
      </c>
      <c r="T182" s="35" t="s">
        <v>3260</v>
      </c>
      <c r="U182" s="36" t="s">
        <v>3261</v>
      </c>
      <c r="V182" s="31">
        <v>0</v>
      </c>
      <c r="W182" s="30">
        <v>0</v>
      </c>
      <c r="X182" s="31">
        <v>0</v>
      </c>
      <c r="Y182" s="31">
        <v>0</v>
      </c>
      <c r="Z182" s="31">
        <v>0</v>
      </c>
      <c r="AA182" s="30">
        <v>0</v>
      </c>
      <c r="AB182" s="4">
        <v>0</v>
      </c>
      <c r="AC182" s="4">
        <v>0</v>
      </c>
      <c r="AD182" s="4">
        <v>3.1</v>
      </c>
      <c r="AE182" s="33" t="s">
        <v>10034</v>
      </c>
      <c r="AF182" s="4">
        <v>1705</v>
      </c>
      <c r="AG182" s="4">
        <v>0</v>
      </c>
      <c r="AH182" s="29">
        <v>0</v>
      </c>
      <c r="AI182" s="30">
        <v>0</v>
      </c>
      <c r="AJ182" s="29">
        <v>0</v>
      </c>
      <c r="AK182" s="30">
        <v>0</v>
      </c>
      <c r="AL182" s="29">
        <v>0</v>
      </c>
      <c r="AM182" s="4" t="s">
        <v>9782</v>
      </c>
      <c r="AN182" s="4">
        <v>8</v>
      </c>
    </row>
    <row r="183" spans="1:40" x14ac:dyDescent="0.15">
      <c r="A183" s="4" t="s">
        <v>2663</v>
      </c>
      <c r="C183" s="4" t="s">
        <v>10052</v>
      </c>
      <c r="D183" s="4">
        <v>5706</v>
      </c>
      <c r="F183" s="4" t="s">
        <v>10053</v>
      </c>
      <c r="H183" s="4">
        <v>6</v>
      </c>
      <c r="I183" s="4">
        <v>1</v>
      </c>
      <c r="J183" s="4">
        <v>1</v>
      </c>
      <c r="K183" s="4">
        <v>1</v>
      </c>
      <c r="L183" s="4">
        <v>6</v>
      </c>
      <c r="M183" s="4">
        <v>2</v>
      </c>
      <c r="N183" s="4">
        <v>0</v>
      </c>
      <c r="O183" s="4">
        <v>0</v>
      </c>
      <c r="P183" s="4">
        <v>0</v>
      </c>
      <c r="Q183" s="4">
        <v>9</v>
      </c>
      <c r="R183" s="29" t="b">
        <v>0</v>
      </c>
      <c r="S183" s="31">
        <v>0</v>
      </c>
      <c r="T183" s="35" t="s">
        <v>3260</v>
      </c>
      <c r="U183" s="36" t="s">
        <v>3261</v>
      </c>
      <c r="V183" s="31">
        <v>0</v>
      </c>
      <c r="W183" s="30">
        <v>0</v>
      </c>
      <c r="X183" s="31">
        <v>0</v>
      </c>
      <c r="Y183" s="31">
        <v>0</v>
      </c>
      <c r="Z183" s="31">
        <v>0</v>
      </c>
      <c r="AA183" s="30">
        <v>0</v>
      </c>
      <c r="AB183" s="4">
        <v>1410</v>
      </c>
      <c r="AC183" s="4">
        <v>0</v>
      </c>
      <c r="AD183" s="4">
        <v>1</v>
      </c>
      <c r="AE183" s="33">
        <v>0.9</v>
      </c>
      <c r="AF183" s="4">
        <v>0</v>
      </c>
      <c r="AG183" s="4">
        <v>0</v>
      </c>
      <c r="AH183" s="29">
        <v>0</v>
      </c>
      <c r="AI183" s="30">
        <v>0</v>
      </c>
      <c r="AJ183" s="29">
        <v>0</v>
      </c>
      <c r="AK183" s="30">
        <v>0</v>
      </c>
      <c r="AL183" s="29">
        <v>0</v>
      </c>
      <c r="AN183" s="4">
        <v>98</v>
      </c>
    </row>
    <row r="185" spans="1:40" x14ac:dyDescent="0.15">
      <c r="A185" s="4" t="s">
        <v>2663</v>
      </c>
      <c r="C185" s="4" t="s">
        <v>10032</v>
      </c>
      <c r="D185" s="4">
        <v>5801</v>
      </c>
      <c r="F185" s="4" t="s">
        <v>10012</v>
      </c>
      <c r="H185" s="4">
        <v>1</v>
      </c>
      <c r="I185" s="4">
        <v>1</v>
      </c>
      <c r="J185" s="4">
        <v>1</v>
      </c>
      <c r="K185" s="4">
        <v>1</v>
      </c>
      <c r="L185" s="4">
        <v>6</v>
      </c>
      <c r="M185" s="4">
        <v>1</v>
      </c>
      <c r="N185" s="4">
        <v>1</v>
      </c>
      <c r="O185" s="4">
        <v>1470</v>
      </c>
      <c r="P185" s="4">
        <v>50</v>
      </c>
      <c r="Q185" s="4">
        <v>51</v>
      </c>
      <c r="R185" s="29" t="b">
        <v>0</v>
      </c>
      <c r="S185" s="31">
        <v>0</v>
      </c>
      <c r="T185" s="35" t="s">
        <v>3260</v>
      </c>
      <c r="U185" s="36" t="s">
        <v>3261</v>
      </c>
      <c r="V185" s="31">
        <v>0</v>
      </c>
      <c r="W185" s="30">
        <v>0</v>
      </c>
      <c r="X185" s="31">
        <v>0</v>
      </c>
      <c r="Y185" s="31">
        <v>0</v>
      </c>
      <c r="Z185" s="31">
        <v>0</v>
      </c>
      <c r="AA185" s="30">
        <v>0</v>
      </c>
      <c r="AB185" s="4">
        <v>1430</v>
      </c>
      <c r="AC185" s="4">
        <v>0</v>
      </c>
      <c r="AD185" s="4">
        <v>0.9</v>
      </c>
      <c r="AE185" s="33">
        <v>0.5</v>
      </c>
      <c r="AF185" s="4">
        <v>1801</v>
      </c>
      <c r="AG185" s="4">
        <v>0</v>
      </c>
      <c r="AH185" s="29">
        <v>0</v>
      </c>
      <c r="AI185" s="30">
        <v>0</v>
      </c>
      <c r="AJ185" s="29">
        <v>0</v>
      </c>
      <c r="AK185" s="30">
        <v>0</v>
      </c>
      <c r="AL185" s="29">
        <v>0</v>
      </c>
      <c r="AM185" s="4" t="s">
        <v>9981</v>
      </c>
      <c r="AN185" s="4">
        <v>1</v>
      </c>
    </row>
    <row r="186" spans="1:40" x14ac:dyDescent="0.15">
      <c r="A186" s="4" t="s">
        <v>2663</v>
      </c>
      <c r="C186" s="4" t="s">
        <v>10031</v>
      </c>
      <c r="D186" s="4">
        <v>5802</v>
      </c>
      <c r="F186" s="4" t="s">
        <v>10013</v>
      </c>
      <c r="H186" s="4">
        <v>2</v>
      </c>
      <c r="I186" s="4">
        <v>30</v>
      </c>
      <c r="J186" s="4">
        <v>1</v>
      </c>
      <c r="K186" s="4">
        <v>1</v>
      </c>
      <c r="L186" s="4">
        <v>6</v>
      </c>
      <c r="M186" s="4">
        <v>1</v>
      </c>
      <c r="N186" s="4">
        <v>0.5</v>
      </c>
      <c r="O186" s="4">
        <v>1470</v>
      </c>
      <c r="P186" s="4">
        <v>60</v>
      </c>
      <c r="Q186" s="4">
        <v>61</v>
      </c>
      <c r="R186" s="29" t="b">
        <v>0</v>
      </c>
      <c r="S186" s="31">
        <v>0</v>
      </c>
      <c r="T186" s="35" t="s">
        <v>3260</v>
      </c>
      <c r="U186" s="36" t="s">
        <v>3261</v>
      </c>
      <c r="V186" s="31">
        <v>0</v>
      </c>
      <c r="W186" s="30">
        <v>0</v>
      </c>
      <c r="X186" s="31">
        <v>0</v>
      </c>
      <c r="Y186" s="31">
        <v>0</v>
      </c>
      <c r="Z186" s="31">
        <v>0</v>
      </c>
      <c r="AA186" s="30">
        <v>0</v>
      </c>
      <c r="AB186" s="4">
        <v>0</v>
      </c>
      <c r="AC186" s="4">
        <v>0</v>
      </c>
      <c r="AD186" s="4">
        <v>1</v>
      </c>
      <c r="AE186" s="33">
        <v>0.5</v>
      </c>
      <c r="AF186" s="4">
        <v>1802</v>
      </c>
      <c r="AG186" s="4">
        <v>0</v>
      </c>
      <c r="AH186" s="29">
        <v>0</v>
      </c>
      <c r="AI186" s="30">
        <v>0</v>
      </c>
      <c r="AJ186" s="29">
        <v>0</v>
      </c>
      <c r="AK186" s="30">
        <v>0</v>
      </c>
      <c r="AL186" s="29">
        <v>0</v>
      </c>
      <c r="AM186" s="4" t="s">
        <v>9988</v>
      </c>
      <c r="AN186" s="4">
        <v>1</v>
      </c>
    </row>
    <row r="187" spans="1:40" x14ac:dyDescent="0.15">
      <c r="A187" s="4" t="s">
        <v>2663</v>
      </c>
      <c r="C187" s="4" t="s">
        <v>10033</v>
      </c>
      <c r="D187" s="4">
        <v>5803</v>
      </c>
      <c r="F187" s="4" t="s">
        <v>10070</v>
      </c>
      <c r="H187" s="4">
        <v>3</v>
      </c>
      <c r="I187" s="4">
        <v>5</v>
      </c>
      <c r="J187" s="4">
        <v>1</v>
      </c>
      <c r="K187" s="4">
        <v>1</v>
      </c>
      <c r="L187" s="4">
        <v>6</v>
      </c>
      <c r="M187" s="4">
        <v>1</v>
      </c>
      <c r="N187" s="4">
        <v>1</v>
      </c>
      <c r="O187" s="4">
        <v>1470</v>
      </c>
      <c r="P187" s="4">
        <v>70</v>
      </c>
      <c r="Q187" s="4">
        <v>71</v>
      </c>
      <c r="R187" s="29" t="b">
        <v>0</v>
      </c>
      <c r="S187" s="31">
        <v>0</v>
      </c>
      <c r="T187" s="35" t="s">
        <v>3260</v>
      </c>
      <c r="U187" s="36" t="s">
        <v>3261</v>
      </c>
      <c r="V187" s="31">
        <v>0</v>
      </c>
      <c r="W187" s="30">
        <v>0</v>
      </c>
      <c r="X187" s="31">
        <v>0</v>
      </c>
      <c r="Y187" s="31">
        <v>0</v>
      </c>
      <c r="Z187" s="31">
        <v>0</v>
      </c>
      <c r="AA187" s="30">
        <v>0</v>
      </c>
      <c r="AB187" s="4">
        <v>1450</v>
      </c>
      <c r="AC187" s="4">
        <v>0</v>
      </c>
      <c r="AD187" s="4">
        <v>0.8</v>
      </c>
      <c r="AE187" s="33">
        <v>0.16</v>
      </c>
      <c r="AF187" s="4">
        <v>1803</v>
      </c>
      <c r="AG187" s="4">
        <v>0</v>
      </c>
      <c r="AH187" s="29">
        <v>0</v>
      </c>
      <c r="AI187" s="30">
        <v>0</v>
      </c>
      <c r="AJ187" s="29">
        <v>0</v>
      </c>
      <c r="AK187" s="30">
        <v>0</v>
      </c>
      <c r="AL187" s="29">
        <v>0</v>
      </c>
      <c r="AM187" s="4" t="s">
        <v>10058</v>
      </c>
      <c r="AN187" s="4">
        <v>19</v>
      </c>
    </row>
    <row r="188" spans="1:40" x14ac:dyDescent="0.15">
      <c r="A188" s="4" t="s">
        <v>2663</v>
      </c>
      <c r="C188" s="4" t="s">
        <v>9927</v>
      </c>
      <c r="D188" s="4">
        <v>5804</v>
      </c>
      <c r="F188" s="4" t="s">
        <v>10014</v>
      </c>
      <c r="H188" s="4">
        <v>4</v>
      </c>
      <c r="I188" s="4">
        <v>30</v>
      </c>
      <c r="J188" s="4">
        <v>1</v>
      </c>
      <c r="K188" s="4">
        <v>1</v>
      </c>
      <c r="L188" s="4">
        <v>6</v>
      </c>
      <c r="M188" s="4">
        <v>1</v>
      </c>
      <c r="N188" s="4">
        <v>0</v>
      </c>
      <c r="O188" s="4">
        <v>0</v>
      </c>
      <c r="P188" s="4">
        <v>80</v>
      </c>
      <c r="Q188" s="4">
        <v>81</v>
      </c>
      <c r="R188" s="29" t="b">
        <v>0</v>
      </c>
      <c r="S188" s="31">
        <v>0</v>
      </c>
      <c r="T188" s="35" t="s">
        <v>3260</v>
      </c>
      <c r="U188" s="36" t="s">
        <v>3261</v>
      </c>
      <c r="V188" s="31">
        <v>0</v>
      </c>
      <c r="W188" s="30">
        <v>0</v>
      </c>
      <c r="X188" s="31">
        <v>0</v>
      </c>
      <c r="Y188" s="31">
        <v>0</v>
      </c>
      <c r="Z188" s="31">
        <v>0</v>
      </c>
      <c r="AA188" s="30">
        <v>0</v>
      </c>
      <c r="AB188" s="4">
        <v>0</v>
      </c>
      <c r="AC188" s="4">
        <v>0</v>
      </c>
      <c r="AD188" s="4">
        <v>3.2</v>
      </c>
      <c r="AE188" s="33">
        <v>0</v>
      </c>
      <c r="AF188" s="4">
        <v>0</v>
      </c>
      <c r="AG188" s="4">
        <v>0</v>
      </c>
      <c r="AH188" s="29">
        <v>0</v>
      </c>
      <c r="AI188" s="30">
        <v>0</v>
      </c>
      <c r="AJ188" s="29">
        <v>0</v>
      </c>
      <c r="AK188" s="30">
        <v>0</v>
      </c>
      <c r="AL188" s="29">
        <v>0</v>
      </c>
      <c r="AN188" s="4">
        <v>0</v>
      </c>
    </row>
    <row r="189" spans="1:40" x14ac:dyDescent="0.15">
      <c r="A189" s="4" t="s">
        <v>2663</v>
      </c>
      <c r="C189" s="4" t="s">
        <v>9901</v>
      </c>
      <c r="D189" s="4">
        <v>5805</v>
      </c>
      <c r="F189" s="4" t="s">
        <v>10015</v>
      </c>
      <c r="H189" s="4">
        <v>5</v>
      </c>
      <c r="I189" s="4">
        <v>20</v>
      </c>
      <c r="J189" s="4">
        <v>1</v>
      </c>
      <c r="K189" s="4">
        <v>1</v>
      </c>
      <c r="L189" s="4">
        <v>6</v>
      </c>
      <c r="M189" s="4">
        <v>1</v>
      </c>
      <c r="N189" s="4">
        <v>2</v>
      </c>
      <c r="O189" s="4">
        <v>1470</v>
      </c>
      <c r="P189" s="4">
        <v>90</v>
      </c>
      <c r="Q189" s="4">
        <v>91</v>
      </c>
      <c r="R189" s="29" t="b">
        <v>0</v>
      </c>
      <c r="S189" s="31">
        <v>0</v>
      </c>
      <c r="T189" s="35" t="s">
        <v>3260</v>
      </c>
      <c r="U189" s="36" t="s">
        <v>3261</v>
      </c>
      <c r="V189" s="31">
        <v>0</v>
      </c>
      <c r="W189" s="30">
        <v>0</v>
      </c>
      <c r="X189" s="31">
        <v>0</v>
      </c>
      <c r="Y189" s="31">
        <v>0</v>
      </c>
      <c r="Z189" s="31">
        <v>0</v>
      </c>
      <c r="AA189" s="30">
        <v>0</v>
      </c>
      <c r="AB189" s="4">
        <v>1460</v>
      </c>
      <c r="AC189" s="4">
        <v>0</v>
      </c>
      <c r="AD189" s="4">
        <v>3.2</v>
      </c>
      <c r="AE189" s="33" t="s">
        <v>10071</v>
      </c>
      <c r="AF189" s="4">
        <v>1805</v>
      </c>
      <c r="AG189" s="4">
        <v>0</v>
      </c>
      <c r="AH189" s="29">
        <v>0</v>
      </c>
      <c r="AI189" s="30">
        <v>0</v>
      </c>
      <c r="AJ189" s="29">
        <v>0</v>
      </c>
      <c r="AK189" s="30">
        <v>0</v>
      </c>
      <c r="AL189" s="29">
        <v>0</v>
      </c>
      <c r="AM189" s="4" t="s">
        <v>9782</v>
      </c>
      <c r="AN189" s="4">
        <v>8</v>
      </c>
    </row>
    <row r="195" spans="1:41" x14ac:dyDescent="0.15">
      <c r="B195" s="4" t="s">
        <v>2859</v>
      </c>
    </row>
    <row r="196" spans="1:41" x14ac:dyDescent="0.15">
      <c r="A196" s="4" t="s">
        <v>2742</v>
      </c>
      <c r="B196" s="4" t="s">
        <v>3451</v>
      </c>
      <c r="C196" s="4" t="s">
        <v>2980</v>
      </c>
      <c r="D196" s="4">
        <v>7101</v>
      </c>
      <c r="F196" s="4" t="s">
        <v>2980</v>
      </c>
      <c r="H196" s="4">
        <v>1</v>
      </c>
      <c r="I196" s="4">
        <v>1</v>
      </c>
      <c r="J196" s="4">
        <v>1</v>
      </c>
      <c r="K196" s="4">
        <v>1</v>
      </c>
      <c r="L196" s="4">
        <v>3</v>
      </c>
      <c r="M196" s="4">
        <v>1</v>
      </c>
      <c r="N196" s="4">
        <v>0</v>
      </c>
      <c r="O196" s="4">
        <v>0</v>
      </c>
      <c r="P196" s="4">
        <v>0</v>
      </c>
      <c r="Q196" s="4">
        <v>3</v>
      </c>
      <c r="R196" s="29" t="b">
        <v>0</v>
      </c>
      <c r="S196" s="31">
        <v>0</v>
      </c>
      <c r="T196" s="35" t="s">
        <v>3260</v>
      </c>
      <c r="U196" s="36" t="s">
        <v>3261</v>
      </c>
      <c r="V196" s="31">
        <v>0</v>
      </c>
      <c r="W196" s="30">
        <v>0</v>
      </c>
      <c r="X196" s="31">
        <v>0</v>
      </c>
      <c r="Y196" s="31">
        <v>0</v>
      </c>
      <c r="Z196" s="31">
        <v>0</v>
      </c>
      <c r="AA196" s="30">
        <v>0</v>
      </c>
      <c r="AB196" s="4">
        <v>0</v>
      </c>
      <c r="AC196" s="4">
        <v>0</v>
      </c>
      <c r="AD196" s="4">
        <v>0.8</v>
      </c>
      <c r="AE196" s="33">
        <v>0.3</v>
      </c>
      <c r="AF196" s="4">
        <v>511</v>
      </c>
      <c r="AG196" s="4">
        <v>0</v>
      </c>
      <c r="AH196" s="29">
        <v>0</v>
      </c>
      <c r="AI196" s="30">
        <v>0</v>
      </c>
      <c r="AJ196" s="29">
        <v>0</v>
      </c>
      <c r="AK196" s="30">
        <v>0</v>
      </c>
      <c r="AL196" s="29">
        <v>0</v>
      </c>
      <c r="AN196" s="4">
        <v>1</v>
      </c>
      <c r="AO196" s="4" t="s">
        <v>2755</v>
      </c>
    </row>
    <row r="197" spans="1:41" x14ac:dyDescent="0.15">
      <c r="A197" s="4" t="s">
        <v>2742</v>
      </c>
      <c r="C197" s="4" t="s">
        <v>2981</v>
      </c>
      <c r="D197" s="4">
        <v>7102</v>
      </c>
      <c r="F197" s="4" t="s">
        <v>2981</v>
      </c>
      <c r="H197" s="4">
        <v>2</v>
      </c>
      <c r="I197" s="4">
        <v>5</v>
      </c>
      <c r="J197" s="4">
        <v>1</v>
      </c>
      <c r="K197" s="4">
        <v>0.3</v>
      </c>
      <c r="L197" s="4">
        <v>2</v>
      </c>
      <c r="M197" s="4">
        <v>1</v>
      </c>
      <c r="N197" s="4">
        <v>0</v>
      </c>
      <c r="O197" s="4">
        <v>0</v>
      </c>
      <c r="P197" s="4">
        <v>0</v>
      </c>
      <c r="Q197" s="4">
        <v>5</v>
      </c>
      <c r="R197" s="29" t="b">
        <v>0</v>
      </c>
      <c r="S197" s="31">
        <v>0</v>
      </c>
      <c r="T197" s="35" t="s">
        <v>3260</v>
      </c>
      <c r="U197" s="36" t="s">
        <v>3261</v>
      </c>
      <c r="V197" s="31">
        <v>0</v>
      </c>
      <c r="W197" s="30">
        <v>0</v>
      </c>
      <c r="X197" s="31">
        <v>0</v>
      </c>
      <c r="Y197" s="31">
        <v>0</v>
      </c>
      <c r="Z197" s="31">
        <v>0</v>
      </c>
      <c r="AA197" s="30">
        <v>0</v>
      </c>
      <c r="AB197" s="4">
        <v>80</v>
      </c>
      <c r="AC197" s="4">
        <v>0</v>
      </c>
      <c r="AD197" s="4">
        <v>1.5</v>
      </c>
      <c r="AE197" s="33" t="s">
        <v>2812</v>
      </c>
      <c r="AF197" s="4">
        <v>512</v>
      </c>
      <c r="AG197" s="4">
        <v>0</v>
      </c>
      <c r="AH197" s="29">
        <v>0</v>
      </c>
      <c r="AI197" s="30">
        <v>0</v>
      </c>
      <c r="AJ197" s="29">
        <v>0</v>
      </c>
      <c r="AK197" s="30">
        <v>0</v>
      </c>
      <c r="AL197" s="29">
        <v>0</v>
      </c>
      <c r="AN197" s="4">
        <v>1</v>
      </c>
      <c r="AO197" s="4" t="s">
        <v>2755</v>
      </c>
    </row>
    <row r="198" spans="1:41" x14ac:dyDescent="0.15">
      <c r="A198" s="4" t="s">
        <v>2742</v>
      </c>
      <c r="C198" s="4" t="s">
        <v>2982</v>
      </c>
      <c r="D198" s="4">
        <v>7103</v>
      </c>
      <c r="F198" s="4" t="s">
        <v>2982</v>
      </c>
      <c r="G198" s="4" t="s">
        <v>3734</v>
      </c>
      <c r="H198" s="4">
        <v>3</v>
      </c>
      <c r="I198" s="4">
        <v>10</v>
      </c>
      <c r="J198" s="4">
        <v>1</v>
      </c>
      <c r="K198" s="4">
        <v>1</v>
      </c>
      <c r="L198" s="4">
        <v>3</v>
      </c>
      <c r="M198" s="4">
        <v>2</v>
      </c>
      <c r="N198" s="4">
        <v>0</v>
      </c>
      <c r="O198" s="4">
        <v>0</v>
      </c>
      <c r="P198" s="4">
        <v>0</v>
      </c>
      <c r="Q198" s="4">
        <v>6</v>
      </c>
      <c r="R198" s="29" t="b">
        <v>0</v>
      </c>
      <c r="S198" s="31">
        <v>0</v>
      </c>
      <c r="T198" s="35" t="s">
        <v>3260</v>
      </c>
      <c r="U198" s="36" t="s">
        <v>3261</v>
      </c>
      <c r="V198" s="31">
        <v>0</v>
      </c>
      <c r="W198" s="30">
        <v>0</v>
      </c>
      <c r="X198" s="31">
        <v>0</v>
      </c>
      <c r="Y198" s="31">
        <v>0</v>
      </c>
      <c r="Z198" s="31">
        <v>0</v>
      </c>
      <c r="AA198" s="30">
        <v>0</v>
      </c>
      <c r="AB198" s="4">
        <v>40</v>
      </c>
      <c r="AC198" s="4">
        <v>0</v>
      </c>
      <c r="AD198" s="4">
        <v>0.8</v>
      </c>
      <c r="AE198" s="33">
        <v>0.4</v>
      </c>
      <c r="AF198" s="4">
        <v>0</v>
      </c>
      <c r="AG198" s="4">
        <v>0</v>
      </c>
      <c r="AH198" s="29">
        <v>0</v>
      </c>
      <c r="AI198" s="30">
        <v>0</v>
      </c>
      <c r="AJ198" s="29">
        <v>10</v>
      </c>
      <c r="AK198" s="30">
        <v>0</v>
      </c>
      <c r="AL198" s="29">
        <v>0</v>
      </c>
      <c r="AN198" s="4">
        <v>0</v>
      </c>
    </row>
    <row r="200" spans="1:41" x14ac:dyDescent="0.15">
      <c r="A200" s="4" t="s">
        <v>2663</v>
      </c>
      <c r="B200" s="4" t="s">
        <v>3452</v>
      </c>
      <c r="C200" s="4" t="s">
        <v>2979</v>
      </c>
      <c r="D200" s="4">
        <v>7201</v>
      </c>
      <c r="F200" s="4" t="s">
        <v>2979</v>
      </c>
      <c r="H200" s="4">
        <v>1</v>
      </c>
      <c r="I200" s="4">
        <v>1</v>
      </c>
      <c r="J200" s="4">
        <v>1</v>
      </c>
      <c r="K200" s="4">
        <v>1</v>
      </c>
      <c r="L200" s="4">
        <v>3</v>
      </c>
      <c r="M200" s="4">
        <v>1</v>
      </c>
      <c r="N200" s="4">
        <v>0</v>
      </c>
      <c r="O200" s="4">
        <v>0</v>
      </c>
      <c r="P200" s="4">
        <v>0</v>
      </c>
      <c r="Q200" s="4">
        <v>3</v>
      </c>
      <c r="R200" s="29" t="b">
        <v>0</v>
      </c>
      <c r="S200" s="31">
        <v>0</v>
      </c>
      <c r="T200" s="35" t="s">
        <v>3260</v>
      </c>
      <c r="U200" s="36" t="s">
        <v>3261</v>
      </c>
      <c r="V200" s="31">
        <v>0</v>
      </c>
      <c r="W200" s="30">
        <v>0</v>
      </c>
      <c r="X200" s="31">
        <v>0</v>
      </c>
      <c r="Y200" s="31">
        <v>0</v>
      </c>
      <c r="Z200" s="31">
        <v>0</v>
      </c>
      <c r="AA200" s="30">
        <v>0</v>
      </c>
      <c r="AB200" s="4">
        <v>0</v>
      </c>
      <c r="AC200" s="4">
        <v>0</v>
      </c>
      <c r="AD200" s="4">
        <v>0.8</v>
      </c>
      <c r="AE200" s="33">
        <v>0.5</v>
      </c>
      <c r="AF200" s="4">
        <v>521</v>
      </c>
      <c r="AG200" s="4">
        <v>0</v>
      </c>
      <c r="AH200" s="29">
        <v>0</v>
      </c>
      <c r="AI200" s="30">
        <v>0</v>
      </c>
      <c r="AJ200" s="29">
        <v>0</v>
      </c>
      <c r="AK200" s="30">
        <v>0</v>
      </c>
      <c r="AL200" s="29">
        <v>0</v>
      </c>
      <c r="AN200" s="4">
        <v>1</v>
      </c>
      <c r="AO200" s="4" t="s">
        <v>2755</v>
      </c>
    </row>
    <row r="201" spans="1:41" x14ac:dyDescent="0.15">
      <c r="A201" s="4" t="s">
        <v>2663</v>
      </c>
      <c r="C201" s="4" t="s">
        <v>2976</v>
      </c>
      <c r="D201" s="4">
        <v>7202</v>
      </c>
      <c r="F201" s="4" t="s">
        <v>2976</v>
      </c>
      <c r="H201" s="4">
        <v>2</v>
      </c>
      <c r="I201" s="4">
        <v>5</v>
      </c>
      <c r="J201" s="4">
        <v>1</v>
      </c>
      <c r="K201" s="4">
        <v>2</v>
      </c>
      <c r="L201" s="4">
        <v>1</v>
      </c>
      <c r="M201" s="4">
        <v>1</v>
      </c>
      <c r="N201" s="4">
        <v>0</v>
      </c>
      <c r="O201" s="4">
        <v>0</v>
      </c>
      <c r="P201" s="4">
        <v>0</v>
      </c>
      <c r="Q201" s="4">
        <v>5</v>
      </c>
      <c r="R201" s="29" t="b">
        <v>0</v>
      </c>
      <c r="S201" s="31">
        <v>0</v>
      </c>
      <c r="T201" s="35" t="s">
        <v>3260</v>
      </c>
      <c r="U201" s="36" t="s">
        <v>3261</v>
      </c>
      <c r="V201" s="31">
        <v>0</v>
      </c>
      <c r="W201" s="30">
        <v>0</v>
      </c>
      <c r="X201" s="31">
        <v>0</v>
      </c>
      <c r="Y201" s="31">
        <v>0</v>
      </c>
      <c r="Z201" s="31">
        <v>0</v>
      </c>
      <c r="AA201" s="30">
        <v>0</v>
      </c>
      <c r="AB201" s="4">
        <v>350</v>
      </c>
      <c r="AC201" s="4">
        <v>0</v>
      </c>
      <c r="AD201" s="4">
        <v>1.5</v>
      </c>
      <c r="AE201" s="33">
        <v>1.3</v>
      </c>
      <c r="AF201" s="4">
        <v>522</v>
      </c>
      <c r="AG201" s="4">
        <v>0</v>
      </c>
      <c r="AH201" s="29">
        <v>1</v>
      </c>
      <c r="AI201" s="30">
        <v>1.5</v>
      </c>
      <c r="AJ201" s="29">
        <v>0</v>
      </c>
      <c r="AK201" s="30">
        <v>0</v>
      </c>
      <c r="AL201" s="29">
        <v>0</v>
      </c>
      <c r="AN201" s="4">
        <v>11</v>
      </c>
      <c r="AO201" s="4" t="s">
        <v>3008</v>
      </c>
    </row>
    <row r="202" spans="1:41" x14ac:dyDescent="0.15">
      <c r="A202" s="4" t="s">
        <v>2663</v>
      </c>
      <c r="C202" s="4" t="s">
        <v>2977</v>
      </c>
      <c r="D202" s="4">
        <v>7203</v>
      </c>
      <c r="F202" s="4" t="s">
        <v>2977</v>
      </c>
      <c r="G202" s="4" t="s">
        <v>3735</v>
      </c>
      <c r="H202" s="4">
        <v>3</v>
      </c>
      <c r="I202" s="4">
        <v>10</v>
      </c>
      <c r="J202" s="4">
        <v>1</v>
      </c>
      <c r="K202" s="4">
        <v>1</v>
      </c>
      <c r="L202" s="4">
        <v>3</v>
      </c>
      <c r="M202" s="4">
        <v>2</v>
      </c>
      <c r="N202" s="4">
        <v>0</v>
      </c>
      <c r="O202" s="4">
        <v>0</v>
      </c>
      <c r="P202" s="4">
        <v>0</v>
      </c>
      <c r="Q202" s="4">
        <v>6</v>
      </c>
      <c r="R202" s="29" t="b">
        <v>0</v>
      </c>
      <c r="S202" s="31">
        <v>0</v>
      </c>
      <c r="T202" s="35" t="s">
        <v>3260</v>
      </c>
      <c r="U202" s="36" t="s">
        <v>3261</v>
      </c>
      <c r="V202" s="31">
        <v>0</v>
      </c>
      <c r="W202" s="30">
        <v>0</v>
      </c>
      <c r="X202" s="31">
        <v>0</v>
      </c>
      <c r="Y202" s="31">
        <v>0</v>
      </c>
      <c r="Z202" s="31">
        <v>0</v>
      </c>
      <c r="AA202" s="30">
        <v>0</v>
      </c>
      <c r="AB202" s="4">
        <v>360</v>
      </c>
      <c r="AC202" s="4">
        <v>0</v>
      </c>
      <c r="AD202" s="4">
        <v>0.8</v>
      </c>
      <c r="AE202" s="33">
        <v>0.4</v>
      </c>
      <c r="AF202" s="4">
        <v>0</v>
      </c>
      <c r="AG202" s="4">
        <v>0</v>
      </c>
      <c r="AH202" s="29">
        <v>0</v>
      </c>
      <c r="AI202" s="30">
        <v>0</v>
      </c>
      <c r="AJ202" s="4">
        <v>20</v>
      </c>
      <c r="AK202" s="30">
        <v>10</v>
      </c>
      <c r="AL202" s="29">
        <v>0</v>
      </c>
      <c r="AN202" s="4">
        <v>0</v>
      </c>
    </row>
    <row r="204" spans="1:41" x14ac:dyDescent="0.15">
      <c r="A204" s="4" t="s">
        <v>2663</v>
      </c>
      <c r="B204" s="4" t="s">
        <v>3453</v>
      </c>
      <c r="C204" s="4" t="s">
        <v>2978</v>
      </c>
      <c r="D204" s="4">
        <v>7301</v>
      </c>
      <c r="F204" s="4" t="s">
        <v>2978</v>
      </c>
      <c r="H204" s="4">
        <v>1</v>
      </c>
      <c r="I204" s="4">
        <v>1</v>
      </c>
      <c r="J204" s="4">
        <v>1</v>
      </c>
      <c r="K204" s="4">
        <v>1</v>
      </c>
      <c r="L204" s="4">
        <v>3</v>
      </c>
      <c r="M204" s="4">
        <v>1</v>
      </c>
      <c r="N204" s="4">
        <v>0</v>
      </c>
      <c r="O204" s="4">
        <v>0</v>
      </c>
      <c r="P204" s="4">
        <v>0</v>
      </c>
      <c r="Q204" s="4">
        <v>3</v>
      </c>
      <c r="R204" s="29" t="b">
        <v>0</v>
      </c>
      <c r="S204" s="31">
        <v>0</v>
      </c>
      <c r="T204" s="35" t="s">
        <v>3260</v>
      </c>
      <c r="U204" s="36" t="s">
        <v>3261</v>
      </c>
      <c r="V204" s="31">
        <v>0</v>
      </c>
      <c r="W204" s="30">
        <v>0</v>
      </c>
      <c r="X204" s="31">
        <v>0</v>
      </c>
      <c r="Y204" s="31">
        <v>0</v>
      </c>
      <c r="Z204" s="31">
        <v>0</v>
      </c>
      <c r="AA204" s="30">
        <v>0</v>
      </c>
      <c r="AB204" s="4">
        <v>0</v>
      </c>
      <c r="AC204" s="4">
        <v>0</v>
      </c>
      <c r="AD204" s="4">
        <v>1</v>
      </c>
      <c r="AE204" s="33">
        <v>0.5</v>
      </c>
      <c r="AF204" s="4">
        <v>531</v>
      </c>
      <c r="AG204" s="4">
        <v>0</v>
      </c>
      <c r="AH204" s="29">
        <v>0</v>
      </c>
      <c r="AI204" s="30">
        <v>0</v>
      </c>
      <c r="AJ204" s="29">
        <v>0</v>
      </c>
      <c r="AK204" s="30">
        <v>0</v>
      </c>
      <c r="AL204" s="29">
        <v>0</v>
      </c>
      <c r="AN204" s="4">
        <v>1</v>
      </c>
      <c r="AO204" s="4" t="s">
        <v>2755</v>
      </c>
    </row>
    <row r="205" spans="1:41" x14ac:dyDescent="0.15">
      <c r="A205" s="4" t="s">
        <v>2663</v>
      </c>
      <c r="C205" s="4" t="s">
        <v>3007</v>
      </c>
      <c r="D205" s="4">
        <v>7302</v>
      </c>
      <c r="F205" s="4" t="s">
        <v>2983</v>
      </c>
      <c r="H205" s="4">
        <v>2</v>
      </c>
      <c r="I205" s="4">
        <v>5</v>
      </c>
      <c r="J205" s="4">
        <v>1</v>
      </c>
      <c r="K205" s="4">
        <v>2</v>
      </c>
      <c r="L205" s="4">
        <v>3</v>
      </c>
      <c r="M205" s="4">
        <v>1</v>
      </c>
      <c r="N205" s="4">
        <v>0</v>
      </c>
      <c r="O205" s="4">
        <v>0</v>
      </c>
      <c r="P205" s="4">
        <v>0</v>
      </c>
      <c r="Q205" s="4">
        <v>5</v>
      </c>
      <c r="R205" s="29" t="b">
        <v>0</v>
      </c>
      <c r="S205" s="31">
        <v>0</v>
      </c>
      <c r="T205" s="35" t="s">
        <v>3260</v>
      </c>
      <c r="U205" s="36" t="s">
        <v>3261</v>
      </c>
      <c r="V205" s="31">
        <v>0</v>
      </c>
      <c r="W205" s="30">
        <v>0</v>
      </c>
      <c r="X205" s="31">
        <v>0</v>
      </c>
      <c r="Y205" s="31">
        <v>0</v>
      </c>
      <c r="Z205" s="31">
        <v>0</v>
      </c>
      <c r="AA205" s="30">
        <v>0</v>
      </c>
      <c r="AB205" s="4">
        <v>0</v>
      </c>
      <c r="AC205" s="4">
        <v>0</v>
      </c>
      <c r="AD205" s="4">
        <v>1.5</v>
      </c>
      <c r="AE205" s="33">
        <v>0</v>
      </c>
      <c r="AF205" s="4">
        <v>532</v>
      </c>
      <c r="AG205" s="4">
        <v>0</v>
      </c>
      <c r="AH205" s="29">
        <v>0</v>
      </c>
      <c r="AI205" s="30">
        <v>0</v>
      </c>
      <c r="AJ205" s="29">
        <v>0</v>
      </c>
      <c r="AK205" s="30">
        <v>0</v>
      </c>
      <c r="AL205" s="29">
        <v>0</v>
      </c>
      <c r="AN205" s="4">
        <v>1</v>
      </c>
      <c r="AO205" s="4" t="s">
        <v>2755</v>
      </c>
    </row>
    <row r="206" spans="1:41" x14ac:dyDescent="0.15">
      <c r="A206" s="4" t="s">
        <v>2663</v>
      </c>
      <c r="C206" s="4" t="s">
        <v>3006</v>
      </c>
      <c r="D206" s="4">
        <v>7303</v>
      </c>
      <c r="F206" s="4" t="s">
        <v>2984</v>
      </c>
      <c r="G206" s="4" t="s">
        <v>3736</v>
      </c>
      <c r="H206" s="4">
        <v>3</v>
      </c>
      <c r="I206" s="4">
        <v>10</v>
      </c>
      <c r="J206" s="4">
        <v>1</v>
      </c>
      <c r="K206" s="4">
        <v>1</v>
      </c>
      <c r="L206" s="4">
        <v>3</v>
      </c>
      <c r="M206" s="4">
        <v>2</v>
      </c>
      <c r="N206" s="4">
        <v>0</v>
      </c>
      <c r="O206" s="4">
        <v>0</v>
      </c>
      <c r="P206" s="4">
        <v>0</v>
      </c>
      <c r="Q206" s="4">
        <v>6</v>
      </c>
      <c r="R206" s="29" t="b">
        <v>0</v>
      </c>
      <c r="S206" s="31">
        <v>0</v>
      </c>
      <c r="T206" s="35" t="s">
        <v>3260</v>
      </c>
      <c r="U206" s="36" t="s">
        <v>3261</v>
      </c>
      <c r="V206" s="31">
        <v>0</v>
      </c>
      <c r="W206" s="30">
        <v>0</v>
      </c>
      <c r="X206" s="31">
        <v>0</v>
      </c>
      <c r="Y206" s="31">
        <v>0</v>
      </c>
      <c r="Z206" s="31">
        <v>0</v>
      </c>
      <c r="AA206" s="30">
        <v>0</v>
      </c>
      <c r="AB206" s="4">
        <v>40</v>
      </c>
      <c r="AC206" s="4">
        <v>0</v>
      </c>
      <c r="AD206" s="4">
        <v>0.8</v>
      </c>
      <c r="AE206" s="33">
        <v>0.4</v>
      </c>
      <c r="AF206" s="4">
        <v>0</v>
      </c>
      <c r="AG206" s="4">
        <v>0</v>
      </c>
      <c r="AH206" s="29">
        <v>0</v>
      </c>
      <c r="AI206" s="30">
        <v>0</v>
      </c>
      <c r="AJ206" s="4">
        <v>40</v>
      </c>
      <c r="AK206" s="30">
        <v>5</v>
      </c>
      <c r="AL206" s="29">
        <v>0</v>
      </c>
      <c r="AN206" s="4">
        <v>0</v>
      </c>
    </row>
    <row r="208" spans="1:41" x14ac:dyDescent="0.15">
      <c r="A208" s="4" t="s">
        <v>2663</v>
      </c>
      <c r="B208" s="4" t="s">
        <v>3454</v>
      </c>
      <c r="C208" s="4" t="s">
        <v>3222</v>
      </c>
      <c r="D208" s="4">
        <v>7401</v>
      </c>
      <c r="F208" s="4" t="s">
        <v>3227</v>
      </c>
      <c r="H208" s="4">
        <v>1</v>
      </c>
      <c r="I208" s="4">
        <v>1</v>
      </c>
      <c r="J208" s="4">
        <v>1</v>
      </c>
      <c r="K208" s="4">
        <v>1</v>
      </c>
      <c r="L208" s="4">
        <v>3</v>
      </c>
      <c r="M208" s="4">
        <v>1</v>
      </c>
      <c r="N208" s="4">
        <v>0</v>
      </c>
      <c r="O208" s="4">
        <v>0</v>
      </c>
      <c r="P208" s="4">
        <v>0</v>
      </c>
      <c r="Q208" s="4">
        <v>3</v>
      </c>
      <c r="R208" s="29" t="b">
        <v>0</v>
      </c>
      <c r="S208" s="31">
        <v>0</v>
      </c>
      <c r="T208" s="35" t="s">
        <v>3260</v>
      </c>
      <c r="U208" s="36" t="s">
        <v>3261</v>
      </c>
      <c r="V208" s="31">
        <v>0</v>
      </c>
      <c r="W208" s="30">
        <v>0</v>
      </c>
      <c r="X208" s="31">
        <v>0</v>
      </c>
      <c r="Y208" s="31">
        <v>0</v>
      </c>
      <c r="Z208" s="31">
        <v>0</v>
      </c>
      <c r="AA208" s="30">
        <v>0</v>
      </c>
      <c r="AB208" s="4">
        <v>0</v>
      </c>
      <c r="AC208" s="4">
        <v>0</v>
      </c>
      <c r="AD208" s="4">
        <v>0.8</v>
      </c>
      <c r="AE208" s="33">
        <v>0.5</v>
      </c>
      <c r="AF208" s="4">
        <v>541</v>
      </c>
      <c r="AG208" s="4">
        <v>0</v>
      </c>
      <c r="AH208" s="29">
        <v>0</v>
      </c>
      <c r="AI208" s="30">
        <v>0</v>
      </c>
      <c r="AJ208" s="29">
        <v>0</v>
      </c>
      <c r="AK208" s="30">
        <v>0</v>
      </c>
      <c r="AL208" s="29">
        <v>0</v>
      </c>
      <c r="AN208" s="4">
        <v>1</v>
      </c>
      <c r="AO208" s="4" t="s">
        <v>2755</v>
      </c>
    </row>
    <row r="209" spans="1:41" x14ac:dyDescent="0.15">
      <c r="A209" s="4" t="s">
        <v>2663</v>
      </c>
      <c r="C209" s="4" t="s">
        <v>3223</v>
      </c>
      <c r="D209" s="4">
        <v>7402</v>
      </c>
      <c r="F209" s="4" t="s">
        <v>3228</v>
      </c>
      <c r="H209" s="4">
        <v>2</v>
      </c>
      <c r="I209" s="4">
        <v>5</v>
      </c>
      <c r="J209" s="4">
        <v>1</v>
      </c>
      <c r="K209" s="4">
        <v>0.5</v>
      </c>
      <c r="L209" s="4">
        <v>3</v>
      </c>
      <c r="M209" s="4">
        <v>1</v>
      </c>
      <c r="N209" s="4">
        <v>0</v>
      </c>
      <c r="O209" s="4">
        <v>0</v>
      </c>
      <c r="P209" s="4">
        <v>0</v>
      </c>
      <c r="Q209" s="4">
        <v>5</v>
      </c>
      <c r="R209" s="29" t="b">
        <v>0</v>
      </c>
      <c r="S209" s="31">
        <v>0</v>
      </c>
      <c r="T209" s="35" t="s">
        <v>3260</v>
      </c>
      <c r="U209" s="36" t="s">
        <v>3261</v>
      </c>
      <c r="V209" s="31">
        <v>0</v>
      </c>
      <c r="W209" s="30">
        <v>0</v>
      </c>
      <c r="X209" s="31">
        <v>0</v>
      </c>
      <c r="Y209" s="31">
        <v>0</v>
      </c>
      <c r="Z209" s="31">
        <v>0</v>
      </c>
      <c r="AA209" s="30">
        <v>0</v>
      </c>
      <c r="AB209" s="4">
        <v>480</v>
      </c>
      <c r="AC209" s="4">
        <v>0</v>
      </c>
      <c r="AD209" s="4">
        <v>3</v>
      </c>
      <c r="AE209" s="33" t="s">
        <v>3238</v>
      </c>
      <c r="AF209" s="4">
        <v>543</v>
      </c>
      <c r="AG209" s="4">
        <v>0</v>
      </c>
      <c r="AH209" s="29">
        <v>1</v>
      </c>
      <c r="AI209" s="30">
        <v>3</v>
      </c>
      <c r="AJ209" s="29">
        <v>0</v>
      </c>
      <c r="AK209" s="30">
        <v>0</v>
      </c>
      <c r="AL209" s="29">
        <v>0</v>
      </c>
      <c r="AN209" s="4">
        <v>1</v>
      </c>
      <c r="AO209" s="4" t="s">
        <v>2755</v>
      </c>
    </row>
    <row r="210" spans="1:41" x14ac:dyDescent="0.15">
      <c r="A210" s="4" t="s">
        <v>2663</v>
      </c>
      <c r="C210" s="4" t="s">
        <v>3226</v>
      </c>
      <c r="D210" s="4">
        <v>7403</v>
      </c>
      <c r="F210" s="4" t="s">
        <v>3229</v>
      </c>
      <c r="G210" s="4" t="s">
        <v>3737</v>
      </c>
      <c r="H210" s="4">
        <v>3</v>
      </c>
      <c r="I210" s="4">
        <v>10</v>
      </c>
      <c r="J210" s="4">
        <v>1</v>
      </c>
      <c r="K210" s="4">
        <v>1</v>
      </c>
      <c r="L210" s="4">
        <v>3</v>
      </c>
      <c r="M210" s="4">
        <v>2</v>
      </c>
      <c r="N210" s="4">
        <v>0</v>
      </c>
      <c r="O210" s="4">
        <v>0</v>
      </c>
      <c r="P210" s="4">
        <v>0</v>
      </c>
      <c r="Q210" s="4">
        <v>6</v>
      </c>
      <c r="R210" s="29" t="b">
        <v>0</v>
      </c>
      <c r="S210" s="31">
        <v>0</v>
      </c>
      <c r="T210" s="35" t="s">
        <v>3260</v>
      </c>
      <c r="U210" s="36" t="s">
        <v>3261</v>
      </c>
      <c r="V210" s="31">
        <v>0</v>
      </c>
      <c r="W210" s="30">
        <v>0</v>
      </c>
      <c r="X210" s="31">
        <v>0</v>
      </c>
      <c r="Y210" s="31">
        <v>0</v>
      </c>
      <c r="Z210" s="31">
        <v>0</v>
      </c>
      <c r="AA210" s="30">
        <v>0</v>
      </c>
      <c r="AB210" s="4">
        <v>490</v>
      </c>
      <c r="AC210" s="4">
        <v>0</v>
      </c>
      <c r="AD210" s="4">
        <v>0.8</v>
      </c>
      <c r="AE210" s="33">
        <v>0.4</v>
      </c>
      <c r="AF210" s="4">
        <v>0</v>
      </c>
      <c r="AG210" s="4">
        <v>0</v>
      </c>
      <c r="AH210" s="29">
        <v>0</v>
      </c>
      <c r="AI210" s="30">
        <v>0</v>
      </c>
      <c r="AJ210" s="4">
        <v>0</v>
      </c>
      <c r="AK210" s="30">
        <v>0</v>
      </c>
      <c r="AL210" s="29">
        <v>0</v>
      </c>
      <c r="AN210" s="4">
        <v>13</v>
      </c>
      <c r="AO210" s="4" t="s">
        <v>3239</v>
      </c>
    </row>
    <row r="212" spans="1:41" x14ac:dyDescent="0.15">
      <c r="A212" s="4" t="s">
        <v>2663</v>
      </c>
      <c r="B212" s="4" t="s">
        <v>3455</v>
      </c>
      <c r="C212" s="4" t="s">
        <v>3224</v>
      </c>
      <c r="D212" s="4">
        <v>7501</v>
      </c>
      <c r="F212" s="4" t="s">
        <v>3230</v>
      </c>
      <c r="H212" s="4">
        <v>1</v>
      </c>
      <c r="I212" s="4">
        <v>1</v>
      </c>
      <c r="J212" s="4">
        <v>1</v>
      </c>
      <c r="K212" s="4">
        <v>1</v>
      </c>
      <c r="L212" s="4">
        <v>3</v>
      </c>
      <c r="M212" s="4">
        <v>1</v>
      </c>
      <c r="N212" s="4">
        <v>0</v>
      </c>
      <c r="O212" s="4">
        <v>0</v>
      </c>
      <c r="P212" s="4">
        <v>0</v>
      </c>
      <c r="Q212" s="4">
        <v>3</v>
      </c>
      <c r="R212" s="29" t="b">
        <v>0</v>
      </c>
      <c r="S212" s="31">
        <v>0</v>
      </c>
      <c r="T212" s="35" t="s">
        <v>3260</v>
      </c>
      <c r="U212" s="36" t="s">
        <v>3261</v>
      </c>
      <c r="V212" s="31">
        <v>0</v>
      </c>
      <c r="W212" s="30">
        <v>0</v>
      </c>
      <c r="X212" s="31">
        <v>0</v>
      </c>
      <c r="Y212" s="31">
        <v>0</v>
      </c>
      <c r="Z212" s="31">
        <v>0</v>
      </c>
      <c r="AA212" s="30">
        <v>0</v>
      </c>
      <c r="AB212" s="4">
        <v>0</v>
      </c>
      <c r="AC212" s="4">
        <v>0</v>
      </c>
      <c r="AD212" s="4">
        <v>1</v>
      </c>
      <c r="AE212" s="33">
        <v>0.5</v>
      </c>
      <c r="AF212" s="4">
        <v>551</v>
      </c>
      <c r="AG212" s="4">
        <v>0</v>
      </c>
      <c r="AH212" s="29">
        <v>0</v>
      </c>
      <c r="AI212" s="30">
        <v>0</v>
      </c>
      <c r="AJ212" s="29">
        <v>0</v>
      </c>
      <c r="AK212" s="30">
        <v>0</v>
      </c>
      <c r="AL212" s="29">
        <v>0</v>
      </c>
      <c r="AN212" s="4">
        <v>1</v>
      </c>
      <c r="AO212" s="4" t="s">
        <v>2755</v>
      </c>
    </row>
    <row r="213" spans="1:41" x14ac:dyDescent="0.15">
      <c r="A213" s="4" t="s">
        <v>2663</v>
      </c>
      <c r="C213" s="4" t="s">
        <v>3225</v>
      </c>
      <c r="D213" s="4">
        <v>7502</v>
      </c>
      <c r="F213" s="4" t="s">
        <v>3231</v>
      </c>
      <c r="H213" s="4">
        <v>2</v>
      </c>
      <c r="I213" s="4">
        <v>5</v>
      </c>
      <c r="J213" s="4">
        <v>1</v>
      </c>
      <c r="K213" s="4">
        <v>0.8</v>
      </c>
      <c r="L213" s="4">
        <v>1</v>
      </c>
      <c r="M213" s="4">
        <v>1</v>
      </c>
      <c r="N213" s="4">
        <v>0</v>
      </c>
      <c r="O213" s="4">
        <v>0</v>
      </c>
      <c r="P213" s="4">
        <v>0</v>
      </c>
      <c r="Q213" s="4">
        <v>5</v>
      </c>
      <c r="R213" s="29" t="b">
        <v>0</v>
      </c>
      <c r="S213" s="31">
        <v>0</v>
      </c>
      <c r="T213" s="35" t="s">
        <v>3260</v>
      </c>
      <c r="U213" s="36" t="s">
        <v>3261</v>
      </c>
      <c r="V213" s="31">
        <v>0</v>
      </c>
      <c r="W213" s="30">
        <v>0</v>
      </c>
      <c r="X213" s="31">
        <v>0</v>
      </c>
      <c r="Y213" s="31">
        <v>0</v>
      </c>
      <c r="Z213" s="31">
        <v>0</v>
      </c>
      <c r="AA213" s="30">
        <v>0</v>
      </c>
      <c r="AB213" s="4">
        <v>510</v>
      </c>
      <c r="AC213" s="4">
        <v>0</v>
      </c>
      <c r="AD213" s="4">
        <v>1.5</v>
      </c>
      <c r="AE213" s="33" t="s">
        <v>3414</v>
      </c>
      <c r="AF213" s="4">
        <v>552</v>
      </c>
      <c r="AG213" s="4">
        <v>0</v>
      </c>
      <c r="AH213" s="29">
        <v>0</v>
      </c>
      <c r="AI213" s="30">
        <v>0</v>
      </c>
      <c r="AJ213" s="29">
        <v>0</v>
      </c>
      <c r="AK213" s="30">
        <v>0</v>
      </c>
      <c r="AL213" s="29">
        <v>0</v>
      </c>
      <c r="AN213" s="4">
        <v>10</v>
      </c>
      <c r="AO213" s="4" t="s">
        <v>2755</v>
      </c>
    </row>
    <row r="214" spans="1:41" x14ac:dyDescent="0.15">
      <c r="A214" s="4" t="s">
        <v>2663</v>
      </c>
      <c r="C214" s="4" t="s">
        <v>3253</v>
      </c>
      <c r="D214" s="4">
        <v>7503</v>
      </c>
      <c r="F214" s="4" t="s">
        <v>3232</v>
      </c>
      <c r="G214" s="4" t="s">
        <v>3738</v>
      </c>
      <c r="H214" s="4">
        <v>3</v>
      </c>
      <c r="I214" s="4">
        <v>10</v>
      </c>
      <c r="J214" s="4">
        <v>1</v>
      </c>
      <c r="K214" s="4">
        <v>1</v>
      </c>
      <c r="L214" s="4">
        <v>3</v>
      </c>
      <c r="M214" s="4">
        <v>2</v>
      </c>
      <c r="N214" s="4">
        <v>0</v>
      </c>
      <c r="O214" s="4">
        <v>0</v>
      </c>
      <c r="P214" s="4">
        <v>0</v>
      </c>
      <c r="Q214" s="4">
        <v>6</v>
      </c>
      <c r="R214" s="29" t="b">
        <v>0</v>
      </c>
      <c r="S214" s="31">
        <v>0</v>
      </c>
      <c r="T214" s="35" t="s">
        <v>3260</v>
      </c>
      <c r="U214" s="36" t="s">
        <v>3261</v>
      </c>
      <c r="V214" s="31">
        <v>0</v>
      </c>
      <c r="W214" s="30">
        <v>0</v>
      </c>
      <c r="X214" s="31">
        <v>0</v>
      </c>
      <c r="Y214" s="31">
        <v>0</v>
      </c>
      <c r="Z214" s="31">
        <v>0</v>
      </c>
      <c r="AA214" s="30">
        <v>0</v>
      </c>
      <c r="AB214" s="4">
        <v>520</v>
      </c>
      <c r="AC214" s="4">
        <v>0</v>
      </c>
      <c r="AD214" s="4">
        <v>0.8</v>
      </c>
      <c r="AE214" s="33">
        <v>0.4</v>
      </c>
      <c r="AF214" s="4">
        <v>0</v>
      </c>
      <c r="AG214" s="4">
        <v>0</v>
      </c>
      <c r="AH214" s="29">
        <v>0</v>
      </c>
      <c r="AI214" s="30">
        <v>0</v>
      </c>
      <c r="AJ214" s="4">
        <v>50</v>
      </c>
      <c r="AK214" s="30">
        <v>5</v>
      </c>
      <c r="AL214" s="29">
        <v>0</v>
      </c>
      <c r="AN214" s="4">
        <v>0</v>
      </c>
    </row>
    <row r="216" spans="1:41" x14ac:dyDescent="0.15">
      <c r="A216" s="4" t="s">
        <v>2662</v>
      </c>
      <c r="B216" s="4" t="s">
        <v>3456</v>
      </c>
      <c r="C216" s="4" t="s">
        <v>3369</v>
      </c>
      <c r="D216" s="4">
        <v>7601</v>
      </c>
      <c r="F216" s="4" t="s">
        <v>3370</v>
      </c>
      <c r="H216" s="4">
        <v>1</v>
      </c>
      <c r="I216" s="4">
        <v>1</v>
      </c>
      <c r="J216" s="4">
        <v>1</v>
      </c>
      <c r="K216" s="4">
        <v>2</v>
      </c>
      <c r="L216" s="4">
        <v>3</v>
      </c>
      <c r="M216" s="4">
        <v>1</v>
      </c>
      <c r="N216" s="4">
        <v>0</v>
      </c>
      <c r="O216" s="4">
        <v>0</v>
      </c>
      <c r="P216" s="4">
        <v>0</v>
      </c>
      <c r="Q216" s="4">
        <v>3</v>
      </c>
      <c r="R216" s="29" t="b">
        <v>0</v>
      </c>
      <c r="S216" s="31">
        <v>0</v>
      </c>
      <c r="T216" s="35" t="s">
        <v>3371</v>
      </c>
      <c r="U216" s="36" t="s">
        <v>3348</v>
      </c>
      <c r="V216" s="31">
        <v>0</v>
      </c>
      <c r="W216" s="30">
        <v>0</v>
      </c>
      <c r="X216" s="31">
        <v>0</v>
      </c>
      <c r="Y216" s="31">
        <v>0</v>
      </c>
      <c r="Z216" s="31">
        <v>0</v>
      </c>
      <c r="AA216" s="30">
        <v>0</v>
      </c>
      <c r="AB216" s="4">
        <v>620</v>
      </c>
      <c r="AC216" s="4">
        <v>0</v>
      </c>
      <c r="AD216" s="4">
        <v>1.5</v>
      </c>
      <c r="AE216" s="33">
        <v>1</v>
      </c>
      <c r="AF216" s="4">
        <v>561</v>
      </c>
      <c r="AG216" s="4">
        <v>0</v>
      </c>
      <c r="AH216" s="29">
        <v>0</v>
      </c>
      <c r="AI216" s="30">
        <v>0</v>
      </c>
      <c r="AJ216" s="29">
        <v>0</v>
      </c>
      <c r="AK216" s="30">
        <v>0</v>
      </c>
      <c r="AL216" s="29">
        <v>0</v>
      </c>
      <c r="AN216" s="4">
        <v>1</v>
      </c>
      <c r="AO216" s="4" t="s">
        <v>3372</v>
      </c>
    </row>
    <row r="217" spans="1:41" x14ac:dyDescent="0.15">
      <c r="A217" s="4" t="s">
        <v>2662</v>
      </c>
      <c r="C217" s="4" t="s">
        <v>3373</v>
      </c>
      <c r="D217" s="4">
        <v>7602</v>
      </c>
      <c r="F217" s="4" t="s">
        <v>3374</v>
      </c>
      <c r="H217" s="4">
        <v>2</v>
      </c>
      <c r="I217" s="4">
        <v>5</v>
      </c>
      <c r="J217" s="4">
        <v>1</v>
      </c>
      <c r="K217" s="4">
        <v>1</v>
      </c>
      <c r="L217" s="4">
        <v>0.5</v>
      </c>
      <c r="M217" s="4">
        <v>1</v>
      </c>
      <c r="N217" s="4">
        <v>0</v>
      </c>
      <c r="O217" s="4">
        <v>0</v>
      </c>
      <c r="P217" s="4">
        <v>0</v>
      </c>
      <c r="Q217" s="4">
        <v>5</v>
      </c>
      <c r="R217" s="29" t="b">
        <v>0</v>
      </c>
      <c r="S217" s="31">
        <v>0</v>
      </c>
      <c r="T217" s="35" t="s">
        <v>3347</v>
      </c>
      <c r="U217" s="36" t="s">
        <v>3348</v>
      </c>
      <c r="V217" s="31">
        <v>0</v>
      </c>
      <c r="W217" s="30">
        <v>0</v>
      </c>
      <c r="X217" s="31">
        <v>0</v>
      </c>
      <c r="Y217" s="31">
        <v>0</v>
      </c>
      <c r="Z217" s="31">
        <v>0</v>
      </c>
      <c r="AA217" s="30">
        <v>0</v>
      </c>
      <c r="AB217" s="4">
        <v>640</v>
      </c>
      <c r="AC217" s="4">
        <v>0</v>
      </c>
      <c r="AD217" s="4">
        <v>2</v>
      </c>
      <c r="AE217" s="33" t="s">
        <v>3417</v>
      </c>
      <c r="AF217" s="4">
        <v>562</v>
      </c>
      <c r="AG217" s="4">
        <v>0</v>
      </c>
      <c r="AH217" s="29">
        <v>0</v>
      </c>
      <c r="AI217" s="30">
        <v>0</v>
      </c>
      <c r="AJ217" s="29">
        <v>0</v>
      </c>
      <c r="AK217" s="30">
        <v>0</v>
      </c>
      <c r="AL217" s="29">
        <v>0</v>
      </c>
      <c r="AN217" s="4">
        <v>1</v>
      </c>
      <c r="AO217" s="4" t="s">
        <v>3372</v>
      </c>
    </row>
    <row r="218" spans="1:41" x14ac:dyDescent="0.15">
      <c r="A218" s="4" t="s">
        <v>2662</v>
      </c>
      <c r="C218" s="4" t="s">
        <v>3413</v>
      </c>
      <c r="D218" s="4">
        <v>7603</v>
      </c>
      <c r="F218" s="4" t="s">
        <v>3374</v>
      </c>
      <c r="G218" s="4" t="s">
        <v>3739</v>
      </c>
      <c r="H218" s="4">
        <v>3</v>
      </c>
      <c r="I218" s="4">
        <v>10</v>
      </c>
      <c r="J218" s="4">
        <v>1</v>
      </c>
      <c r="K218" s="4">
        <v>0</v>
      </c>
      <c r="L218" s="4">
        <v>3</v>
      </c>
      <c r="M218" s="4">
        <v>2</v>
      </c>
      <c r="N218" s="4">
        <v>0</v>
      </c>
      <c r="O218" s="4">
        <v>0</v>
      </c>
      <c r="P218" s="4">
        <v>0</v>
      </c>
      <c r="Q218" s="4">
        <v>6</v>
      </c>
      <c r="R218" s="29" t="b">
        <v>0</v>
      </c>
      <c r="S218" s="31">
        <v>0</v>
      </c>
      <c r="T218" s="35" t="s">
        <v>3347</v>
      </c>
      <c r="U218" s="36" t="s">
        <v>3375</v>
      </c>
      <c r="V218" s="31">
        <v>0</v>
      </c>
      <c r="W218" s="30">
        <v>0</v>
      </c>
      <c r="X218" s="31">
        <v>0</v>
      </c>
      <c r="Y218" s="31">
        <v>0</v>
      </c>
      <c r="Z218" s="31">
        <v>0</v>
      </c>
      <c r="AA218" s="30">
        <v>0</v>
      </c>
      <c r="AB218" s="4">
        <v>650</v>
      </c>
      <c r="AC218" s="4">
        <v>0</v>
      </c>
      <c r="AD218" s="4">
        <v>1</v>
      </c>
      <c r="AE218" s="33">
        <v>0.5</v>
      </c>
      <c r="AF218" s="4">
        <v>563</v>
      </c>
      <c r="AG218" s="4">
        <v>0</v>
      </c>
      <c r="AH218" s="29">
        <v>0</v>
      </c>
      <c r="AI218" s="30">
        <v>0</v>
      </c>
      <c r="AJ218" s="4">
        <v>0</v>
      </c>
      <c r="AK218" s="30">
        <v>0</v>
      </c>
      <c r="AL218" s="29">
        <v>0</v>
      </c>
      <c r="AN218" s="4">
        <v>2</v>
      </c>
      <c r="AO218" s="4" t="s">
        <v>3416</v>
      </c>
    </row>
    <row r="220" spans="1:41" x14ac:dyDescent="0.15">
      <c r="A220" s="4" t="s">
        <v>2662</v>
      </c>
      <c r="B220" s="4" t="s">
        <v>3498</v>
      </c>
      <c r="C220" s="4" t="s">
        <v>3376</v>
      </c>
      <c r="D220" s="4">
        <v>7701</v>
      </c>
      <c r="F220" s="4" t="s">
        <v>3377</v>
      </c>
      <c r="H220" s="4">
        <v>1</v>
      </c>
      <c r="I220" s="4">
        <v>2</v>
      </c>
      <c r="J220" s="4">
        <v>1</v>
      </c>
      <c r="K220" s="4">
        <v>1</v>
      </c>
      <c r="L220" s="4">
        <v>2</v>
      </c>
      <c r="M220" s="4">
        <v>1</v>
      </c>
      <c r="N220" s="4">
        <v>0</v>
      </c>
      <c r="O220" s="4">
        <v>0</v>
      </c>
      <c r="P220" s="4">
        <v>0</v>
      </c>
      <c r="Q220" s="4">
        <v>3</v>
      </c>
      <c r="R220" s="29" t="b">
        <v>0</v>
      </c>
      <c r="S220" s="31">
        <v>0</v>
      </c>
      <c r="T220" s="35" t="s">
        <v>3347</v>
      </c>
      <c r="U220" s="36" t="s">
        <v>3375</v>
      </c>
      <c r="V220" s="31">
        <v>0</v>
      </c>
      <c r="W220" s="30">
        <v>0</v>
      </c>
      <c r="X220" s="31">
        <v>0</v>
      </c>
      <c r="Y220" s="31">
        <v>0</v>
      </c>
      <c r="Z220" s="31">
        <v>0</v>
      </c>
      <c r="AA220" s="30">
        <v>0</v>
      </c>
      <c r="AB220" s="4">
        <v>0</v>
      </c>
      <c r="AC220" s="4">
        <v>0</v>
      </c>
      <c r="AD220" s="4">
        <v>0.8</v>
      </c>
      <c r="AE220" s="33">
        <v>0.4</v>
      </c>
      <c r="AF220" s="4">
        <v>571</v>
      </c>
      <c r="AG220" s="4">
        <v>0</v>
      </c>
      <c r="AH220" s="29">
        <v>0</v>
      </c>
      <c r="AI220" s="30">
        <v>0</v>
      </c>
      <c r="AJ220" s="29">
        <v>0</v>
      </c>
      <c r="AK220" s="30">
        <v>0</v>
      </c>
      <c r="AL220" s="29">
        <v>0</v>
      </c>
      <c r="AN220" s="4">
        <v>17</v>
      </c>
      <c r="AO220" s="4" t="s">
        <v>3356</v>
      </c>
    </row>
    <row r="221" spans="1:41" x14ac:dyDescent="0.15">
      <c r="A221" s="4" t="s">
        <v>2662</v>
      </c>
      <c r="C221" s="4" t="s">
        <v>3429</v>
      </c>
      <c r="D221" s="4">
        <v>7702</v>
      </c>
      <c r="F221" s="4" t="s">
        <v>3378</v>
      </c>
      <c r="G221" s="4" t="s">
        <v>3740</v>
      </c>
      <c r="H221" s="4">
        <v>3</v>
      </c>
      <c r="I221" s="4">
        <v>10</v>
      </c>
      <c r="J221" s="4">
        <v>1</v>
      </c>
      <c r="K221" s="4">
        <v>1</v>
      </c>
      <c r="L221" s="4">
        <v>3</v>
      </c>
      <c r="M221" s="4">
        <v>2</v>
      </c>
      <c r="N221" s="4">
        <v>0</v>
      </c>
      <c r="O221" s="4">
        <v>0</v>
      </c>
      <c r="P221" s="4">
        <v>0</v>
      </c>
      <c r="Q221" s="4">
        <v>6</v>
      </c>
      <c r="R221" s="29" t="b">
        <v>0</v>
      </c>
      <c r="S221" s="31">
        <v>0</v>
      </c>
      <c r="T221" s="35" t="s">
        <v>3347</v>
      </c>
      <c r="U221" s="36" t="s">
        <v>3348</v>
      </c>
      <c r="V221" s="31">
        <v>0</v>
      </c>
      <c r="W221" s="30">
        <v>0</v>
      </c>
      <c r="X221" s="31">
        <v>0</v>
      </c>
      <c r="Y221" s="31">
        <v>0</v>
      </c>
      <c r="Z221" s="31">
        <v>0</v>
      </c>
      <c r="AA221" s="30">
        <v>0</v>
      </c>
      <c r="AB221" s="4">
        <v>680</v>
      </c>
      <c r="AC221" s="4">
        <v>0</v>
      </c>
      <c r="AD221" s="4">
        <v>0.8</v>
      </c>
      <c r="AE221" s="33">
        <v>0.4</v>
      </c>
      <c r="AF221" s="4">
        <v>0</v>
      </c>
      <c r="AG221" s="4">
        <v>0</v>
      </c>
      <c r="AH221" s="29">
        <v>0</v>
      </c>
      <c r="AI221" s="30">
        <v>0</v>
      </c>
      <c r="AJ221" s="4">
        <v>70</v>
      </c>
      <c r="AK221" s="30">
        <v>5</v>
      </c>
      <c r="AL221" s="29">
        <v>0</v>
      </c>
      <c r="AN221" s="4">
        <v>0</v>
      </c>
    </row>
    <row r="223" spans="1:41" x14ac:dyDescent="0.15">
      <c r="A223" s="4" t="s">
        <v>2662</v>
      </c>
      <c r="B223" s="4" t="s">
        <v>3457</v>
      </c>
      <c r="C223" s="4" t="s">
        <v>3427</v>
      </c>
      <c r="D223" s="4">
        <v>7801</v>
      </c>
      <c r="F223" s="4" t="s">
        <v>3427</v>
      </c>
      <c r="H223" s="4">
        <v>1</v>
      </c>
      <c r="I223" s="4">
        <v>1</v>
      </c>
      <c r="J223" s="4">
        <v>1</v>
      </c>
      <c r="K223" s="4">
        <v>1</v>
      </c>
      <c r="L223" s="4">
        <v>3</v>
      </c>
      <c r="M223" s="4">
        <v>1</v>
      </c>
      <c r="N223" s="4">
        <v>0</v>
      </c>
      <c r="O223" s="4">
        <v>0</v>
      </c>
      <c r="P223" s="4">
        <v>0</v>
      </c>
      <c r="Q223" s="4">
        <v>3</v>
      </c>
      <c r="R223" s="29" t="b">
        <v>0</v>
      </c>
      <c r="S223" s="31">
        <v>0</v>
      </c>
      <c r="T223" s="35" t="s">
        <v>3347</v>
      </c>
      <c r="U223" s="36" t="s">
        <v>3348</v>
      </c>
      <c r="V223" s="31">
        <v>0</v>
      </c>
      <c r="W223" s="30">
        <v>0</v>
      </c>
      <c r="X223" s="31">
        <v>0</v>
      </c>
      <c r="Y223" s="31">
        <v>0</v>
      </c>
      <c r="Z223" s="31">
        <v>0</v>
      </c>
      <c r="AA223" s="30">
        <v>0</v>
      </c>
      <c r="AB223" s="4">
        <v>0</v>
      </c>
      <c r="AC223" s="4">
        <v>0</v>
      </c>
      <c r="AD223" s="4">
        <v>0.8</v>
      </c>
      <c r="AE223" s="33">
        <v>0.4</v>
      </c>
      <c r="AF223" s="4">
        <v>581</v>
      </c>
      <c r="AG223" s="4">
        <v>0</v>
      </c>
      <c r="AH223" s="29">
        <v>0</v>
      </c>
      <c r="AI223" s="30">
        <v>0</v>
      </c>
      <c r="AJ223" s="29">
        <v>0</v>
      </c>
      <c r="AK223" s="30">
        <v>0</v>
      </c>
      <c r="AL223" s="29">
        <v>0</v>
      </c>
      <c r="AN223" s="4">
        <v>1</v>
      </c>
      <c r="AO223" s="4" t="s">
        <v>3356</v>
      </c>
    </row>
    <row r="224" spans="1:41" x14ac:dyDescent="0.15">
      <c r="A224" s="4" t="s">
        <v>2662</v>
      </c>
      <c r="C224" s="4" t="s">
        <v>3428</v>
      </c>
      <c r="D224" s="4">
        <v>7802</v>
      </c>
      <c r="F224" s="4" t="s">
        <v>3365</v>
      </c>
      <c r="H224" s="4">
        <v>2</v>
      </c>
      <c r="I224" s="4">
        <v>5</v>
      </c>
      <c r="J224" s="4">
        <v>1</v>
      </c>
      <c r="K224" s="4">
        <v>1</v>
      </c>
      <c r="L224" s="4">
        <v>3</v>
      </c>
      <c r="M224" s="4">
        <v>1</v>
      </c>
      <c r="N224" s="4">
        <v>0</v>
      </c>
      <c r="O224" s="4">
        <v>0</v>
      </c>
      <c r="P224" s="4">
        <v>0</v>
      </c>
      <c r="Q224" s="4">
        <v>7</v>
      </c>
      <c r="R224" s="29" t="b">
        <v>0</v>
      </c>
      <c r="S224" s="31">
        <v>0</v>
      </c>
      <c r="T224" s="35" t="s">
        <v>3366</v>
      </c>
      <c r="U224" s="36" t="s">
        <v>3367</v>
      </c>
      <c r="V224" s="31">
        <v>0</v>
      </c>
      <c r="W224" s="30">
        <v>0</v>
      </c>
      <c r="X224" s="31">
        <v>0</v>
      </c>
      <c r="Y224" s="31">
        <v>0</v>
      </c>
      <c r="Z224" s="31">
        <v>0</v>
      </c>
      <c r="AA224" s="30">
        <v>0</v>
      </c>
      <c r="AB224" s="4">
        <v>750</v>
      </c>
      <c r="AC224" s="4">
        <v>0</v>
      </c>
      <c r="AD224" s="4">
        <v>5.3</v>
      </c>
      <c r="AE224" s="33">
        <v>0</v>
      </c>
      <c r="AF224" s="4">
        <v>0</v>
      </c>
      <c r="AG224" s="4">
        <v>0</v>
      </c>
      <c r="AH224" s="4">
        <v>90</v>
      </c>
      <c r="AI224" s="30">
        <v>5</v>
      </c>
      <c r="AJ224" s="29">
        <v>0</v>
      </c>
      <c r="AK224" s="30">
        <v>0</v>
      </c>
      <c r="AL224" s="29">
        <v>0</v>
      </c>
      <c r="AN224" s="4">
        <v>0</v>
      </c>
      <c r="AO224" s="4" t="s">
        <v>3356</v>
      </c>
    </row>
    <row r="225" spans="1:41" x14ac:dyDescent="0.15">
      <c r="A225" s="4" t="s">
        <v>2662</v>
      </c>
      <c r="C225" s="4" t="s">
        <v>3430</v>
      </c>
      <c r="D225" s="4">
        <v>7803</v>
      </c>
      <c r="F225" s="4" t="s">
        <v>3431</v>
      </c>
      <c r="G225" s="4" t="s">
        <v>3741</v>
      </c>
      <c r="H225" s="4">
        <v>3</v>
      </c>
      <c r="I225" s="4">
        <v>5</v>
      </c>
      <c r="J225" s="4">
        <v>1</v>
      </c>
      <c r="K225" s="4">
        <v>1</v>
      </c>
      <c r="L225" s="4">
        <v>3</v>
      </c>
      <c r="M225" s="4">
        <v>1</v>
      </c>
      <c r="N225" s="4">
        <v>0</v>
      </c>
      <c r="O225" s="4">
        <v>0</v>
      </c>
      <c r="P225" s="4">
        <v>0</v>
      </c>
      <c r="Q225" s="4">
        <v>6</v>
      </c>
      <c r="R225" s="29" t="b">
        <v>0</v>
      </c>
      <c r="S225" s="31">
        <v>0</v>
      </c>
      <c r="T225" s="35" t="s">
        <v>3347</v>
      </c>
      <c r="U225" s="36" t="s">
        <v>3348</v>
      </c>
      <c r="V225" s="31">
        <v>0</v>
      </c>
      <c r="W225" s="30">
        <v>0</v>
      </c>
      <c r="X225" s="31">
        <v>0</v>
      </c>
      <c r="Y225" s="31">
        <v>0</v>
      </c>
      <c r="Z225" s="31">
        <v>0</v>
      </c>
      <c r="AA225" s="30">
        <v>0</v>
      </c>
      <c r="AB225" s="4">
        <v>740</v>
      </c>
      <c r="AC225" s="4">
        <v>0</v>
      </c>
      <c r="AD225" s="4">
        <v>0.8</v>
      </c>
      <c r="AE225" s="33">
        <v>0.4</v>
      </c>
      <c r="AF225" s="4">
        <v>583</v>
      </c>
      <c r="AG225" s="4">
        <v>0</v>
      </c>
      <c r="AH225" s="29">
        <v>0</v>
      </c>
      <c r="AI225" s="30">
        <v>0</v>
      </c>
      <c r="AJ225" s="4">
        <v>0</v>
      </c>
      <c r="AK225" s="30">
        <v>0</v>
      </c>
      <c r="AL225" s="29">
        <v>0</v>
      </c>
      <c r="AN225" s="4">
        <v>2</v>
      </c>
      <c r="AO225" s="4" t="s">
        <v>3416</v>
      </c>
    </row>
    <row r="227" spans="1:41" x14ac:dyDescent="0.15">
      <c r="A227" s="4" t="s">
        <v>2663</v>
      </c>
      <c r="B227" s="4" t="s">
        <v>3497</v>
      </c>
      <c r="C227" s="4" t="s">
        <v>3479</v>
      </c>
      <c r="D227" s="4">
        <v>7901</v>
      </c>
      <c r="F227" s="4" t="s">
        <v>3481</v>
      </c>
      <c r="H227" s="4">
        <v>1</v>
      </c>
      <c r="I227" s="4">
        <v>1</v>
      </c>
      <c r="J227" s="4">
        <v>1</v>
      </c>
      <c r="K227" s="4">
        <v>1</v>
      </c>
      <c r="L227" s="4">
        <v>3</v>
      </c>
      <c r="M227" s="4">
        <v>1</v>
      </c>
      <c r="N227" s="4">
        <v>0</v>
      </c>
      <c r="O227" s="4">
        <v>0</v>
      </c>
      <c r="P227" s="4">
        <v>0</v>
      </c>
      <c r="Q227" s="4">
        <v>3</v>
      </c>
      <c r="R227" s="29" t="b">
        <v>0</v>
      </c>
      <c r="S227" s="31">
        <v>0</v>
      </c>
      <c r="T227" s="35" t="s">
        <v>3260</v>
      </c>
      <c r="U227" s="36" t="s">
        <v>3261</v>
      </c>
      <c r="V227" s="31">
        <v>0</v>
      </c>
      <c r="W227" s="30">
        <v>0</v>
      </c>
      <c r="X227" s="31">
        <v>0</v>
      </c>
      <c r="Y227" s="31">
        <v>0</v>
      </c>
      <c r="Z227" s="31">
        <v>0</v>
      </c>
      <c r="AA227" s="30">
        <v>0</v>
      </c>
      <c r="AB227" s="4">
        <v>760</v>
      </c>
      <c r="AC227" s="4">
        <v>0</v>
      </c>
      <c r="AD227" s="4">
        <v>0.8</v>
      </c>
      <c r="AE227" s="33">
        <v>0.4</v>
      </c>
      <c r="AF227" s="4">
        <v>591</v>
      </c>
      <c r="AG227" s="4">
        <v>0</v>
      </c>
      <c r="AH227" s="29">
        <v>0</v>
      </c>
      <c r="AI227" s="30">
        <v>0</v>
      </c>
      <c r="AJ227" s="29">
        <v>0</v>
      </c>
      <c r="AK227" s="30">
        <v>0</v>
      </c>
      <c r="AL227" s="29">
        <v>0</v>
      </c>
      <c r="AN227" s="4">
        <v>1</v>
      </c>
      <c r="AO227" s="4" t="s">
        <v>2755</v>
      </c>
    </row>
    <row r="228" spans="1:41" x14ac:dyDescent="0.15">
      <c r="A228" s="4" t="s">
        <v>2663</v>
      </c>
      <c r="C228" s="4" t="s">
        <v>3480</v>
      </c>
      <c r="D228" s="4">
        <v>7902</v>
      </c>
      <c r="F228" s="4" t="s">
        <v>3482</v>
      </c>
      <c r="H228" s="4">
        <v>2</v>
      </c>
      <c r="I228" s="4">
        <v>5</v>
      </c>
      <c r="J228" s="4">
        <v>1</v>
      </c>
      <c r="K228" s="4">
        <v>0.8</v>
      </c>
      <c r="L228" s="4">
        <v>3</v>
      </c>
      <c r="M228" s="4">
        <v>1</v>
      </c>
      <c r="N228" s="4">
        <v>0</v>
      </c>
      <c r="O228" s="4">
        <v>0</v>
      </c>
      <c r="P228" s="4">
        <v>0</v>
      </c>
      <c r="Q228" s="4">
        <v>5</v>
      </c>
      <c r="R228" s="29" t="b">
        <v>0</v>
      </c>
      <c r="S228" s="31">
        <v>0</v>
      </c>
      <c r="T228" s="35" t="s">
        <v>3260</v>
      </c>
      <c r="U228" s="36" t="s">
        <v>3261</v>
      </c>
      <c r="V228" s="31">
        <v>0</v>
      </c>
      <c r="W228" s="30">
        <v>0</v>
      </c>
      <c r="X228" s="31">
        <v>0</v>
      </c>
      <c r="Y228" s="31">
        <v>0</v>
      </c>
      <c r="Z228" s="31">
        <v>0</v>
      </c>
      <c r="AA228" s="30">
        <v>0</v>
      </c>
      <c r="AB228" s="4">
        <v>780</v>
      </c>
      <c r="AC228" s="4">
        <v>0</v>
      </c>
      <c r="AD228" s="4">
        <v>2</v>
      </c>
      <c r="AE228" s="33" t="s">
        <v>3527</v>
      </c>
      <c r="AF228" s="4">
        <v>591</v>
      </c>
      <c r="AG228" s="4">
        <v>0</v>
      </c>
      <c r="AH228" s="29">
        <v>0</v>
      </c>
      <c r="AI228" s="30">
        <v>0</v>
      </c>
      <c r="AJ228" s="29">
        <v>0</v>
      </c>
      <c r="AK228" s="30">
        <v>0</v>
      </c>
      <c r="AL228" s="29">
        <v>0</v>
      </c>
      <c r="AN228" s="4">
        <v>8</v>
      </c>
      <c r="AO228" s="4" t="s">
        <v>2755</v>
      </c>
    </row>
    <row r="229" spans="1:41" x14ac:dyDescent="0.15">
      <c r="A229" s="4" t="s">
        <v>2663</v>
      </c>
      <c r="C229" s="4" t="s">
        <v>3526</v>
      </c>
      <c r="D229" s="4">
        <v>7903</v>
      </c>
      <c r="F229" s="4" t="s">
        <v>3483</v>
      </c>
      <c r="G229" s="4" t="s">
        <v>3742</v>
      </c>
      <c r="H229" s="4">
        <v>3</v>
      </c>
      <c r="I229" s="4">
        <v>10</v>
      </c>
      <c r="J229" s="4">
        <v>1</v>
      </c>
      <c r="K229" s="4">
        <v>0</v>
      </c>
      <c r="L229" s="4">
        <v>6</v>
      </c>
      <c r="M229" s="4">
        <v>1</v>
      </c>
      <c r="N229" s="4">
        <v>0</v>
      </c>
      <c r="O229" s="4">
        <v>0</v>
      </c>
      <c r="P229" s="4">
        <v>0</v>
      </c>
      <c r="Q229" s="4">
        <v>6</v>
      </c>
      <c r="R229" s="29" t="b">
        <v>0</v>
      </c>
      <c r="S229" s="31">
        <v>0</v>
      </c>
      <c r="T229" s="35" t="s">
        <v>3260</v>
      </c>
      <c r="U229" s="36" t="s">
        <v>3261</v>
      </c>
      <c r="V229" s="31">
        <v>0</v>
      </c>
      <c r="W229" s="30">
        <v>0</v>
      </c>
      <c r="X229" s="31">
        <v>0</v>
      </c>
      <c r="Y229" s="31">
        <v>0</v>
      </c>
      <c r="Z229" s="31">
        <v>0</v>
      </c>
      <c r="AA229" s="30">
        <v>0</v>
      </c>
      <c r="AB229" s="4">
        <v>790</v>
      </c>
      <c r="AC229" s="4">
        <v>0</v>
      </c>
      <c r="AD229" s="4">
        <v>1</v>
      </c>
      <c r="AE229" s="33">
        <v>0.2</v>
      </c>
      <c r="AF229" s="4">
        <v>592</v>
      </c>
      <c r="AG229" s="4">
        <v>0</v>
      </c>
      <c r="AH229" s="29">
        <v>0</v>
      </c>
      <c r="AI229" s="30">
        <v>0</v>
      </c>
      <c r="AJ229" s="4">
        <v>0</v>
      </c>
      <c r="AK229" s="30">
        <v>0</v>
      </c>
      <c r="AL229" s="29">
        <v>0</v>
      </c>
      <c r="AN229" s="4">
        <v>1</v>
      </c>
    </row>
    <row r="231" spans="1:41" x14ac:dyDescent="0.15">
      <c r="A231" s="4" t="s">
        <v>2662</v>
      </c>
      <c r="B231" s="4" t="s">
        <v>3701</v>
      </c>
      <c r="C231" s="4" t="s">
        <v>3698</v>
      </c>
      <c r="D231" s="4">
        <v>8001</v>
      </c>
      <c r="F231" s="4" t="s">
        <v>3698</v>
      </c>
      <c r="H231" s="4">
        <v>1</v>
      </c>
      <c r="I231" s="4">
        <v>2</v>
      </c>
      <c r="J231" s="4">
        <v>1</v>
      </c>
      <c r="K231" s="4">
        <v>2</v>
      </c>
      <c r="L231" s="4">
        <v>3</v>
      </c>
      <c r="M231" s="4">
        <v>1</v>
      </c>
      <c r="N231" s="4">
        <v>0</v>
      </c>
      <c r="O231" s="4">
        <v>0</v>
      </c>
      <c r="P231" s="4">
        <v>0</v>
      </c>
      <c r="Q231" s="4">
        <v>3</v>
      </c>
      <c r="R231" s="29" t="b">
        <v>0</v>
      </c>
      <c r="S231" s="31">
        <v>0</v>
      </c>
      <c r="T231" s="35" t="s">
        <v>3352</v>
      </c>
      <c r="U231" s="36" t="s">
        <v>3348</v>
      </c>
      <c r="V231" s="31">
        <v>0</v>
      </c>
      <c r="W231" s="30">
        <v>0</v>
      </c>
      <c r="X231" s="31">
        <v>0</v>
      </c>
      <c r="Y231" s="31">
        <v>0</v>
      </c>
      <c r="Z231" s="31">
        <v>0</v>
      </c>
      <c r="AA231" s="30">
        <v>0</v>
      </c>
      <c r="AB231" s="4">
        <v>1040</v>
      </c>
      <c r="AC231" s="4">
        <v>0</v>
      </c>
      <c r="AD231" s="4">
        <v>1.5</v>
      </c>
      <c r="AE231" s="33">
        <v>1</v>
      </c>
      <c r="AF231" s="4">
        <v>601</v>
      </c>
      <c r="AG231" s="4">
        <v>0</v>
      </c>
      <c r="AH231" s="29">
        <v>0</v>
      </c>
      <c r="AI231" s="30">
        <v>0</v>
      </c>
      <c r="AJ231" s="29">
        <v>0</v>
      </c>
      <c r="AK231" s="30">
        <v>0</v>
      </c>
      <c r="AL231" s="29">
        <v>0</v>
      </c>
      <c r="AN231" s="4">
        <v>1</v>
      </c>
      <c r="AO231" s="4" t="s">
        <v>3356</v>
      </c>
    </row>
    <row r="232" spans="1:41" x14ac:dyDescent="0.15">
      <c r="A232" s="4" t="s">
        <v>2662</v>
      </c>
      <c r="C232" s="4" t="s">
        <v>3699</v>
      </c>
      <c r="D232" s="4">
        <v>8002</v>
      </c>
      <c r="F232" s="4" t="s">
        <v>3699</v>
      </c>
      <c r="H232" s="4">
        <v>2</v>
      </c>
      <c r="I232" s="4">
        <v>5</v>
      </c>
      <c r="J232" s="4">
        <v>1</v>
      </c>
      <c r="K232" s="4">
        <v>2</v>
      </c>
      <c r="L232" s="4">
        <v>3</v>
      </c>
      <c r="M232" s="4">
        <v>1</v>
      </c>
      <c r="N232" s="4">
        <v>0</v>
      </c>
      <c r="O232" s="4">
        <v>0</v>
      </c>
      <c r="P232" s="4">
        <v>0</v>
      </c>
      <c r="Q232" s="4">
        <v>5</v>
      </c>
      <c r="R232" s="29" t="b">
        <v>0</v>
      </c>
      <c r="S232" s="31">
        <v>0</v>
      </c>
      <c r="T232" s="35" t="s">
        <v>3347</v>
      </c>
      <c r="U232" s="36" t="s">
        <v>3348</v>
      </c>
      <c r="V232" s="31">
        <v>0</v>
      </c>
      <c r="W232" s="30">
        <v>0</v>
      </c>
      <c r="X232" s="31">
        <v>0</v>
      </c>
      <c r="Y232" s="31">
        <v>0</v>
      </c>
      <c r="Z232" s="31">
        <v>0</v>
      </c>
      <c r="AA232" s="30">
        <v>0</v>
      </c>
      <c r="AB232" s="4">
        <v>0</v>
      </c>
      <c r="AC232" s="4">
        <v>0</v>
      </c>
      <c r="AD232" s="4">
        <v>1.5</v>
      </c>
      <c r="AE232" s="33">
        <v>1</v>
      </c>
      <c r="AF232" s="4">
        <v>602</v>
      </c>
      <c r="AG232" s="4">
        <v>0</v>
      </c>
      <c r="AH232" s="29">
        <v>0</v>
      </c>
      <c r="AI232" s="30">
        <v>0</v>
      </c>
      <c r="AJ232" s="29">
        <v>0</v>
      </c>
      <c r="AK232" s="30">
        <v>0</v>
      </c>
      <c r="AL232" s="29">
        <v>0</v>
      </c>
      <c r="AN232" s="4">
        <v>2</v>
      </c>
      <c r="AO232" s="4" t="s">
        <v>3356</v>
      </c>
    </row>
    <row r="233" spans="1:41" x14ac:dyDescent="0.15">
      <c r="A233" s="4" t="s">
        <v>2662</v>
      </c>
      <c r="C233" s="4" t="s">
        <v>3700</v>
      </c>
      <c r="D233" s="4">
        <v>8003</v>
      </c>
      <c r="F233" s="4" t="s">
        <v>3700</v>
      </c>
      <c r="G233" s="4" t="s">
        <v>3743</v>
      </c>
      <c r="H233" s="4">
        <v>3</v>
      </c>
      <c r="I233" s="4">
        <v>10</v>
      </c>
      <c r="J233" s="4">
        <v>1</v>
      </c>
      <c r="K233" s="4">
        <v>0</v>
      </c>
      <c r="L233" s="4">
        <v>3</v>
      </c>
      <c r="M233" s="4">
        <v>2</v>
      </c>
      <c r="N233" s="4">
        <v>0</v>
      </c>
      <c r="O233" s="4">
        <v>0</v>
      </c>
      <c r="P233" s="4">
        <v>0</v>
      </c>
      <c r="Q233" s="4">
        <v>6</v>
      </c>
      <c r="R233" s="29" t="b">
        <v>0</v>
      </c>
      <c r="S233" s="31">
        <v>0</v>
      </c>
      <c r="T233" s="35" t="s">
        <v>3347</v>
      </c>
      <c r="U233" s="36" t="s">
        <v>3375</v>
      </c>
      <c r="V233" s="31">
        <v>0</v>
      </c>
      <c r="W233" s="30">
        <v>0</v>
      </c>
      <c r="X233" s="31">
        <v>0</v>
      </c>
      <c r="Y233" s="31">
        <v>0</v>
      </c>
      <c r="Z233" s="31">
        <v>0</v>
      </c>
      <c r="AA233" s="30">
        <v>0</v>
      </c>
      <c r="AB233" s="4">
        <v>0</v>
      </c>
      <c r="AC233" s="4">
        <v>0</v>
      </c>
      <c r="AD233" s="4">
        <v>1</v>
      </c>
      <c r="AE233" s="33">
        <v>0.2</v>
      </c>
      <c r="AF233" s="4">
        <v>603</v>
      </c>
      <c r="AG233" s="4">
        <v>0</v>
      </c>
      <c r="AH233" s="29">
        <v>0</v>
      </c>
      <c r="AI233" s="30">
        <v>0</v>
      </c>
      <c r="AJ233" s="4">
        <v>0</v>
      </c>
      <c r="AK233" s="30">
        <v>0</v>
      </c>
      <c r="AL233" s="29">
        <v>0</v>
      </c>
      <c r="AN233" s="4">
        <v>2</v>
      </c>
      <c r="AO233" s="4" t="s">
        <v>3416</v>
      </c>
    </row>
    <row r="236" spans="1:41" x14ac:dyDescent="0.15">
      <c r="A236" s="4" t="s">
        <v>2663</v>
      </c>
      <c r="C236" s="4" t="s">
        <v>3025</v>
      </c>
      <c r="D236" s="4">
        <v>10001</v>
      </c>
      <c r="F236" s="4" t="s">
        <v>3025</v>
      </c>
      <c r="H236" s="4">
        <v>1</v>
      </c>
      <c r="I236" s="4">
        <v>0.2</v>
      </c>
      <c r="J236" s="4">
        <v>1</v>
      </c>
      <c r="K236" s="4">
        <v>0.1</v>
      </c>
      <c r="L236" s="4">
        <v>6</v>
      </c>
      <c r="M236" s="4">
        <v>1</v>
      </c>
      <c r="N236" s="4">
        <v>0</v>
      </c>
      <c r="O236" s="4">
        <v>0</v>
      </c>
      <c r="P236" s="4">
        <v>0</v>
      </c>
      <c r="Q236" s="4">
        <v>3</v>
      </c>
      <c r="R236" s="29" t="b">
        <v>0</v>
      </c>
      <c r="S236" s="31">
        <v>0</v>
      </c>
      <c r="T236" s="35" t="s">
        <v>3260</v>
      </c>
      <c r="U236" s="36" t="s">
        <v>3261</v>
      </c>
      <c r="V236" s="31">
        <v>0</v>
      </c>
      <c r="W236" s="30">
        <v>0</v>
      </c>
      <c r="X236" s="31">
        <v>0</v>
      </c>
      <c r="Y236" s="31">
        <v>0</v>
      </c>
      <c r="Z236" s="31">
        <v>0</v>
      </c>
      <c r="AA236" s="30">
        <v>0</v>
      </c>
      <c r="AB236" s="4">
        <v>0</v>
      </c>
      <c r="AC236" s="4">
        <v>0</v>
      </c>
      <c r="AD236" s="4">
        <v>0.1</v>
      </c>
      <c r="AE236" s="33">
        <v>0</v>
      </c>
      <c r="AF236" s="4">
        <v>10001</v>
      </c>
      <c r="AG236" s="4">
        <v>0</v>
      </c>
      <c r="AH236" s="29">
        <v>0</v>
      </c>
      <c r="AI236" s="30">
        <v>0</v>
      </c>
      <c r="AJ236" s="29">
        <v>0</v>
      </c>
      <c r="AK236" s="30">
        <v>0</v>
      </c>
      <c r="AL236" s="29">
        <v>0</v>
      </c>
      <c r="AM236" s="4" t="s">
        <v>9803</v>
      </c>
      <c r="AN236" s="4">
        <v>1</v>
      </c>
      <c r="AO236" s="4" t="s">
        <v>2755</v>
      </c>
    </row>
    <row r="237" spans="1:41" x14ac:dyDescent="0.15">
      <c r="A237" s="4" t="s">
        <v>2663</v>
      </c>
      <c r="C237" s="4" t="s">
        <v>10047</v>
      </c>
      <c r="D237" s="4">
        <v>10002</v>
      </c>
      <c r="F237" s="4" t="s">
        <v>10048</v>
      </c>
      <c r="H237" s="4">
        <v>1</v>
      </c>
      <c r="I237" s="4">
        <v>2</v>
      </c>
      <c r="J237" s="4">
        <v>1</v>
      </c>
      <c r="K237" s="4">
        <v>1</v>
      </c>
      <c r="L237" s="4">
        <v>6</v>
      </c>
      <c r="M237" s="4">
        <v>1</v>
      </c>
      <c r="N237" s="4">
        <v>0</v>
      </c>
      <c r="O237" s="4">
        <v>0</v>
      </c>
      <c r="P237" s="4">
        <v>0</v>
      </c>
      <c r="Q237" s="4">
        <v>1</v>
      </c>
      <c r="R237" s="29" t="b">
        <v>0</v>
      </c>
      <c r="S237" s="31">
        <v>0</v>
      </c>
      <c r="T237" s="35" t="s">
        <v>3260</v>
      </c>
      <c r="U237" s="36" t="s">
        <v>3261</v>
      </c>
      <c r="V237" s="31">
        <v>0</v>
      </c>
      <c r="W237" s="30">
        <v>0</v>
      </c>
      <c r="X237" s="31">
        <v>0</v>
      </c>
      <c r="Y237" s="31">
        <v>0</v>
      </c>
      <c r="Z237" s="31">
        <v>0</v>
      </c>
      <c r="AA237" s="30">
        <v>0</v>
      </c>
      <c r="AB237" s="4">
        <v>0</v>
      </c>
      <c r="AC237" s="4">
        <v>0</v>
      </c>
      <c r="AD237" s="4">
        <v>0.8</v>
      </c>
      <c r="AE237" s="33" t="s">
        <v>10060</v>
      </c>
      <c r="AF237" s="4">
        <v>10002</v>
      </c>
      <c r="AG237" s="4">
        <v>0</v>
      </c>
      <c r="AH237" s="29">
        <v>0</v>
      </c>
      <c r="AI237" s="30">
        <v>0</v>
      </c>
      <c r="AJ237" s="29">
        <v>0</v>
      </c>
      <c r="AK237" s="30">
        <v>0</v>
      </c>
      <c r="AL237" s="29">
        <v>0</v>
      </c>
      <c r="AN237" s="4">
        <v>10002</v>
      </c>
      <c r="AO237" s="4" t="s">
        <v>2755</v>
      </c>
    </row>
    <row r="238" spans="1:41" x14ac:dyDescent="0.15">
      <c r="A238" s="4" t="s">
        <v>2663</v>
      </c>
      <c r="C238" s="4" t="s">
        <v>9946</v>
      </c>
      <c r="D238" s="4">
        <v>11111</v>
      </c>
      <c r="F238" s="4" t="s">
        <v>9946</v>
      </c>
      <c r="H238" s="4">
        <v>5</v>
      </c>
      <c r="I238" s="4">
        <v>2</v>
      </c>
      <c r="J238" s="4">
        <v>1</v>
      </c>
      <c r="K238" s="4">
        <v>0</v>
      </c>
      <c r="L238" s="4">
        <v>3</v>
      </c>
      <c r="M238" s="4">
        <v>1</v>
      </c>
      <c r="N238" s="4">
        <v>0</v>
      </c>
      <c r="O238" s="4">
        <v>0</v>
      </c>
      <c r="P238" s="4">
        <v>0</v>
      </c>
      <c r="Q238" s="4">
        <v>1</v>
      </c>
      <c r="R238" s="29" t="b">
        <v>0</v>
      </c>
      <c r="S238" s="31">
        <v>0</v>
      </c>
      <c r="T238" s="35" t="s">
        <v>3260</v>
      </c>
      <c r="U238" s="36" t="s">
        <v>3261</v>
      </c>
      <c r="V238" s="31">
        <v>0</v>
      </c>
      <c r="W238" s="30">
        <v>0</v>
      </c>
      <c r="X238" s="31">
        <v>0</v>
      </c>
      <c r="Y238" s="31">
        <v>0</v>
      </c>
      <c r="Z238" s="31">
        <v>0</v>
      </c>
      <c r="AA238" s="30">
        <v>0</v>
      </c>
      <c r="AB238" s="4">
        <v>0</v>
      </c>
      <c r="AC238" s="4">
        <v>0</v>
      </c>
      <c r="AD238" s="4">
        <v>0.1</v>
      </c>
      <c r="AE238" s="33">
        <v>0</v>
      </c>
      <c r="AF238" s="4">
        <v>0</v>
      </c>
      <c r="AG238" s="4">
        <v>0</v>
      </c>
      <c r="AH238" s="29">
        <v>0</v>
      </c>
      <c r="AI238" s="30">
        <v>0</v>
      </c>
      <c r="AJ238" s="29">
        <v>0</v>
      </c>
      <c r="AK238" s="30">
        <v>0</v>
      </c>
      <c r="AL238" s="29">
        <v>0</v>
      </c>
      <c r="AN238" s="4">
        <v>100</v>
      </c>
      <c r="AO238" s="4" t="s">
        <v>2755</v>
      </c>
    </row>
    <row r="241" spans="1:40" x14ac:dyDescent="0.15">
      <c r="A241" s="4" t="s">
        <v>2663</v>
      </c>
      <c r="C241" s="4" t="s">
        <v>9783</v>
      </c>
      <c r="D241" s="4">
        <v>20001</v>
      </c>
      <c r="F241" s="4" t="s">
        <v>9783</v>
      </c>
      <c r="G241" s="4" t="s">
        <v>3734</v>
      </c>
      <c r="H241" s="4">
        <v>3</v>
      </c>
      <c r="I241" s="4">
        <v>10</v>
      </c>
      <c r="J241" s="4">
        <v>1</v>
      </c>
      <c r="K241" s="4">
        <v>1</v>
      </c>
      <c r="L241" s="4">
        <v>3</v>
      </c>
      <c r="M241" s="4">
        <v>2</v>
      </c>
      <c r="N241" s="4">
        <v>0</v>
      </c>
      <c r="O241" s="4">
        <v>0</v>
      </c>
      <c r="P241" s="4">
        <v>0</v>
      </c>
      <c r="Q241" s="4">
        <v>6</v>
      </c>
      <c r="R241" s="29" t="b">
        <v>0</v>
      </c>
      <c r="S241" s="31">
        <v>0</v>
      </c>
      <c r="T241" s="35" t="s">
        <v>3260</v>
      </c>
      <c r="U241" s="36" t="s">
        <v>3261</v>
      </c>
      <c r="V241" s="31">
        <v>0</v>
      </c>
      <c r="W241" s="30">
        <v>0</v>
      </c>
      <c r="X241" s="31">
        <v>0</v>
      </c>
      <c r="Y241" s="31">
        <v>0</v>
      </c>
      <c r="Z241" s="31">
        <v>0</v>
      </c>
      <c r="AA241" s="30">
        <v>0</v>
      </c>
      <c r="AB241" s="4">
        <v>0</v>
      </c>
      <c r="AC241" s="4">
        <v>0</v>
      </c>
      <c r="AD241" s="4">
        <v>0.8</v>
      </c>
      <c r="AE241" s="33">
        <v>0.4</v>
      </c>
      <c r="AF241" s="4">
        <v>0</v>
      </c>
      <c r="AG241" s="4">
        <v>0</v>
      </c>
      <c r="AH241" s="29">
        <v>0</v>
      </c>
      <c r="AI241" s="30">
        <v>0</v>
      </c>
      <c r="AJ241" s="29">
        <v>10</v>
      </c>
      <c r="AK241" s="30">
        <v>0</v>
      </c>
      <c r="AL241" s="29">
        <v>0</v>
      </c>
      <c r="AN241" s="4">
        <v>0</v>
      </c>
    </row>
    <row r="242" spans="1:40" x14ac:dyDescent="0.15">
      <c r="A242" s="4" t="s">
        <v>2663</v>
      </c>
      <c r="C242" s="4" t="s">
        <v>9784</v>
      </c>
      <c r="D242" s="4">
        <v>20002</v>
      </c>
      <c r="F242" s="4" t="s">
        <v>9784</v>
      </c>
      <c r="G242" s="4" t="s">
        <v>3735</v>
      </c>
      <c r="H242" s="4">
        <v>3</v>
      </c>
      <c r="I242" s="4">
        <v>10</v>
      </c>
      <c r="J242" s="4">
        <v>1</v>
      </c>
      <c r="K242" s="4">
        <v>1</v>
      </c>
      <c r="L242" s="4">
        <v>3</v>
      </c>
      <c r="M242" s="4">
        <v>2</v>
      </c>
      <c r="N242" s="4">
        <v>0</v>
      </c>
      <c r="O242" s="4">
        <v>0</v>
      </c>
      <c r="P242" s="4">
        <v>0</v>
      </c>
      <c r="Q242" s="4">
        <v>6</v>
      </c>
      <c r="R242" s="29" t="b">
        <v>0</v>
      </c>
      <c r="S242" s="31">
        <v>0</v>
      </c>
      <c r="T242" s="35" t="s">
        <v>3260</v>
      </c>
      <c r="U242" s="36" t="s">
        <v>3261</v>
      </c>
      <c r="V242" s="31">
        <v>0</v>
      </c>
      <c r="W242" s="30">
        <v>0</v>
      </c>
      <c r="X242" s="31">
        <v>0</v>
      </c>
      <c r="Y242" s="31">
        <v>0</v>
      </c>
      <c r="Z242" s="31">
        <v>0</v>
      </c>
      <c r="AA242" s="30">
        <v>0</v>
      </c>
      <c r="AB242" s="4">
        <v>0</v>
      </c>
      <c r="AC242" s="4">
        <v>0</v>
      </c>
      <c r="AD242" s="4">
        <v>0.8</v>
      </c>
      <c r="AE242" s="33">
        <v>0.4</v>
      </c>
      <c r="AF242" s="4">
        <v>0</v>
      </c>
      <c r="AG242" s="4">
        <v>0</v>
      </c>
      <c r="AH242" s="29">
        <v>0</v>
      </c>
      <c r="AI242" s="30">
        <v>0</v>
      </c>
      <c r="AJ242" s="4">
        <v>20</v>
      </c>
      <c r="AK242" s="30">
        <v>10</v>
      </c>
      <c r="AL242" s="29">
        <v>0</v>
      </c>
      <c r="AN242" s="4">
        <v>0</v>
      </c>
    </row>
    <row r="243" spans="1:40" x14ac:dyDescent="0.15">
      <c r="A243" s="4" t="s">
        <v>2663</v>
      </c>
      <c r="C243" s="4" t="s">
        <v>9785</v>
      </c>
      <c r="D243" s="4">
        <v>20003</v>
      </c>
      <c r="F243" s="4" t="s">
        <v>9785</v>
      </c>
      <c r="G243" s="4" t="s">
        <v>3736</v>
      </c>
      <c r="H243" s="4">
        <v>3</v>
      </c>
      <c r="I243" s="4">
        <v>10</v>
      </c>
      <c r="J243" s="4">
        <v>1</v>
      </c>
      <c r="K243" s="4">
        <v>1</v>
      </c>
      <c r="L243" s="4">
        <v>3</v>
      </c>
      <c r="M243" s="4">
        <v>2</v>
      </c>
      <c r="N243" s="4">
        <v>0</v>
      </c>
      <c r="O243" s="4">
        <v>0</v>
      </c>
      <c r="P243" s="4">
        <v>0</v>
      </c>
      <c r="Q243" s="4">
        <v>6</v>
      </c>
      <c r="R243" s="29" t="b">
        <v>0</v>
      </c>
      <c r="S243" s="31">
        <v>0</v>
      </c>
      <c r="T243" s="35" t="s">
        <v>3260</v>
      </c>
      <c r="U243" s="36" t="s">
        <v>3261</v>
      </c>
      <c r="V243" s="31">
        <v>0</v>
      </c>
      <c r="W243" s="30">
        <v>0</v>
      </c>
      <c r="X243" s="31">
        <v>0</v>
      </c>
      <c r="Y243" s="31">
        <v>0</v>
      </c>
      <c r="Z243" s="31">
        <v>0</v>
      </c>
      <c r="AA243" s="30">
        <v>0</v>
      </c>
      <c r="AB243" s="4">
        <v>0</v>
      </c>
      <c r="AC243" s="4">
        <v>0</v>
      </c>
      <c r="AD243" s="4">
        <v>0.8</v>
      </c>
      <c r="AE243" s="33">
        <v>0.4</v>
      </c>
      <c r="AF243" s="4">
        <v>0</v>
      </c>
      <c r="AG243" s="4">
        <v>0</v>
      </c>
      <c r="AH243" s="29">
        <v>0</v>
      </c>
      <c r="AI243" s="30">
        <v>0</v>
      </c>
      <c r="AJ243" s="4">
        <v>40</v>
      </c>
      <c r="AK243" s="30">
        <v>5</v>
      </c>
      <c r="AL243" s="29">
        <v>0</v>
      </c>
      <c r="AN243" s="4">
        <v>0</v>
      </c>
    </row>
    <row r="244" spans="1:40" x14ac:dyDescent="0.15">
      <c r="A244" s="4" t="s">
        <v>2663</v>
      </c>
      <c r="C244" s="4" t="s">
        <v>9786</v>
      </c>
      <c r="D244" s="4">
        <v>20004</v>
      </c>
      <c r="F244" s="4" t="s">
        <v>9786</v>
      </c>
      <c r="G244" s="4" t="s">
        <v>3738</v>
      </c>
      <c r="H244" s="4">
        <v>3</v>
      </c>
      <c r="I244" s="4">
        <v>10</v>
      </c>
      <c r="J244" s="4">
        <v>1</v>
      </c>
      <c r="K244" s="4">
        <v>1</v>
      </c>
      <c r="L244" s="4">
        <v>3</v>
      </c>
      <c r="M244" s="4">
        <v>2</v>
      </c>
      <c r="N244" s="4">
        <v>0</v>
      </c>
      <c r="O244" s="4">
        <v>0</v>
      </c>
      <c r="P244" s="4">
        <v>0</v>
      </c>
      <c r="Q244" s="4">
        <v>6</v>
      </c>
      <c r="R244" s="29" t="b">
        <v>0</v>
      </c>
      <c r="S244" s="31">
        <v>0</v>
      </c>
      <c r="T244" s="35" t="s">
        <v>3260</v>
      </c>
      <c r="U244" s="36" t="s">
        <v>3261</v>
      </c>
      <c r="V244" s="31">
        <v>0</v>
      </c>
      <c r="W244" s="30">
        <v>0</v>
      </c>
      <c r="X244" s="31">
        <v>0</v>
      </c>
      <c r="Y244" s="31">
        <v>0</v>
      </c>
      <c r="Z244" s="31">
        <v>0</v>
      </c>
      <c r="AA244" s="30">
        <v>0</v>
      </c>
      <c r="AB244" s="4">
        <v>0</v>
      </c>
      <c r="AC244" s="4">
        <v>0</v>
      </c>
      <c r="AD244" s="4">
        <v>0.8</v>
      </c>
      <c r="AE244" s="33">
        <v>0.4</v>
      </c>
      <c r="AF244" s="4">
        <v>0</v>
      </c>
      <c r="AG244" s="4">
        <v>0</v>
      </c>
      <c r="AH244" s="29">
        <v>0</v>
      </c>
      <c r="AI244" s="30">
        <v>0</v>
      </c>
      <c r="AJ244" s="4">
        <v>50</v>
      </c>
      <c r="AK244" s="30">
        <v>5</v>
      </c>
      <c r="AL244" s="29">
        <v>0</v>
      </c>
      <c r="AN244" s="4">
        <v>0</v>
      </c>
    </row>
    <row r="245" spans="1:40" x14ac:dyDescent="0.15">
      <c r="A245" s="4" t="s">
        <v>2662</v>
      </c>
      <c r="C245" s="4" t="s">
        <v>9787</v>
      </c>
      <c r="D245" s="4">
        <v>20005</v>
      </c>
      <c r="F245" s="4" t="s">
        <v>9787</v>
      </c>
      <c r="G245" s="4" t="s">
        <v>3739</v>
      </c>
      <c r="H245" s="4">
        <v>3</v>
      </c>
      <c r="I245" s="4">
        <v>10</v>
      </c>
      <c r="J245" s="4">
        <v>1</v>
      </c>
      <c r="K245" s="4">
        <v>1</v>
      </c>
      <c r="L245" s="4">
        <v>3</v>
      </c>
      <c r="M245" s="4">
        <v>1</v>
      </c>
      <c r="N245" s="4">
        <v>0</v>
      </c>
      <c r="O245" s="4">
        <v>0</v>
      </c>
      <c r="P245" s="4">
        <v>0</v>
      </c>
      <c r="Q245" s="4">
        <v>6</v>
      </c>
      <c r="R245" s="29" t="b">
        <v>0</v>
      </c>
      <c r="S245" s="31">
        <v>0</v>
      </c>
      <c r="T245" s="35" t="s">
        <v>3347</v>
      </c>
      <c r="U245" s="36" t="s">
        <v>3375</v>
      </c>
      <c r="V245" s="31">
        <v>0</v>
      </c>
      <c r="W245" s="30">
        <v>0</v>
      </c>
      <c r="X245" s="31">
        <v>0</v>
      </c>
      <c r="Y245" s="31">
        <v>0</v>
      </c>
      <c r="Z245" s="31">
        <v>0</v>
      </c>
      <c r="AA245" s="30">
        <v>0</v>
      </c>
      <c r="AB245" s="4">
        <v>0</v>
      </c>
      <c r="AC245" s="4">
        <v>0</v>
      </c>
      <c r="AD245" s="4">
        <v>0.8</v>
      </c>
      <c r="AE245" s="33">
        <v>0.4</v>
      </c>
      <c r="AF245" s="4">
        <v>0</v>
      </c>
      <c r="AG245" s="4">
        <v>0</v>
      </c>
      <c r="AH245" s="29">
        <v>0</v>
      </c>
      <c r="AI245" s="30">
        <v>0</v>
      </c>
      <c r="AJ245" s="4">
        <v>60</v>
      </c>
      <c r="AK245" s="30">
        <v>5</v>
      </c>
      <c r="AL245" s="29">
        <v>0</v>
      </c>
      <c r="AN245" s="4">
        <v>0</v>
      </c>
    </row>
    <row r="246" spans="1:40" x14ac:dyDescent="0.15">
      <c r="A246" s="4" t="s">
        <v>2662</v>
      </c>
      <c r="C246" s="4" t="s">
        <v>9788</v>
      </c>
      <c r="D246" s="4">
        <v>20006</v>
      </c>
      <c r="F246" s="4" t="s">
        <v>9788</v>
      </c>
      <c r="G246" s="4" t="s">
        <v>3740</v>
      </c>
      <c r="H246" s="4">
        <v>3</v>
      </c>
      <c r="I246" s="4">
        <v>10</v>
      </c>
      <c r="J246" s="4">
        <v>1</v>
      </c>
      <c r="K246" s="4">
        <v>1</v>
      </c>
      <c r="L246" s="4">
        <v>3</v>
      </c>
      <c r="M246" s="4">
        <v>2</v>
      </c>
      <c r="N246" s="4">
        <v>0</v>
      </c>
      <c r="O246" s="4">
        <v>0</v>
      </c>
      <c r="P246" s="4">
        <v>0</v>
      </c>
      <c r="Q246" s="4">
        <v>6</v>
      </c>
      <c r="R246" s="29" t="b">
        <v>0</v>
      </c>
      <c r="S246" s="31">
        <v>0</v>
      </c>
      <c r="T246" s="35" t="s">
        <v>3347</v>
      </c>
      <c r="U246" s="36" t="s">
        <v>3348</v>
      </c>
      <c r="V246" s="31">
        <v>0</v>
      </c>
      <c r="W246" s="30">
        <v>0</v>
      </c>
      <c r="X246" s="31">
        <v>0</v>
      </c>
      <c r="Y246" s="31">
        <v>0</v>
      </c>
      <c r="Z246" s="31">
        <v>0</v>
      </c>
      <c r="AA246" s="30">
        <v>0</v>
      </c>
      <c r="AB246" s="4">
        <v>0</v>
      </c>
      <c r="AC246" s="4">
        <v>0</v>
      </c>
      <c r="AD246" s="4">
        <v>0.8</v>
      </c>
      <c r="AE246" s="33">
        <v>0.4</v>
      </c>
      <c r="AF246" s="4">
        <v>0</v>
      </c>
      <c r="AG246" s="4">
        <v>0</v>
      </c>
      <c r="AH246" s="29">
        <v>0</v>
      </c>
      <c r="AI246" s="30">
        <v>0</v>
      </c>
      <c r="AJ246" s="4">
        <v>70</v>
      </c>
      <c r="AK246" s="30">
        <v>5</v>
      </c>
      <c r="AL246" s="29">
        <v>0</v>
      </c>
      <c r="AN246" s="4">
        <v>0</v>
      </c>
    </row>
    <row r="247" spans="1:40" x14ac:dyDescent="0.15">
      <c r="A247" s="4" t="s">
        <v>2662</v>
      </c>
      <c r="C247" s="4" t="s">
        <v>9789</v>
      </c>
      <c r="D247" s="4">
        <v>20007</v>
      </c>
      <c r="F247" s="4" t="s">
        <v>9789</v>
      </c>
      <c r="G247" s="4" t="s">
        <v>3741</v>
      </c>
      <c r="H247" s="4">
        <v>3</v>
      </c>
      <c r="I247" s="4">
        <v>10</v>
      </c>
      <c r="J247" s="4">
        <v>1</v>
      </c>
      <c r="K247" s="4">
        <v>1</v>
      </c>
      <c r="L247" s="4">
        <v>3</v>
      </c>
      <c r="M247" s="4">
        <v>1</v>
      </c>
      <c r="N247" s="4">
        <v>0</v>
      </c>
      <c r="O247" s="4">
        <v>0</v>
      </c>
      <c r="P247" s="4">
        <v>0</v>
      </c>
      <c r="Q247" s="4">
        <v>6</v>
      </c>
      <c r="R247" s="29" t="b">
        <v>0</v>
      </c>
      <c r="S247" s="31">
        <v>0</v>
      </c>
      <c r="T247" s="35" t="s">
        <v>3347</v>
      </c>
      <c r="U247" s="36" t="s">
        <v>3348</v>
      </c>
      <c r="V247" s="31">
        <v>0</v>
      </c>
      <c r="W247" s="30">
        <v>0</v>
      </c>
      <c r="X247" s="31">
        <v>0</v>
      </c>
      <c r="Y247" s="31">
        <v>0</v>
      </c>
      <c r="Z247" s="31">
        <v>0</v>
      </c>
      <c r="AA247" s="30">
        <v>0</v>
      </c>
      <c r="AB247" s="4">
        <v>0</v>
      </c>
      <c r="AC247" s="4">
        <v>0</v>
      </c>
      <c r="AD247" s="4">
        <v>0.8</v>
      </c>
      <c r="AE247" s="33">
        <v>0.4</v>
      </c>
      <c r="AF247" s="4">
        <v>0</v>
      </c>
      <c r="AG247" s="4">
        <v>0</v>
      </c>
      <c r="AH247" s="29">
        <v>0</v>
      </c>
      <c r="AI247" s="30">
        <v>0</v>
      </c>
      <c r="AJ247" s="4">
        <v>30</v>
      </c>
      <c r="AK247" s="30">
        <v>5</v>
      </c>
      <c r="AL247" s="29">
        <v>0</v>
      </c>
      <c r="AN247" s="4">
        <v>0</v>
      </c>
    </row>
    <row r="248" spans="1:40" x14ac:dyDescent="0.15">
      <c r="A248" s="4" t="s">
        <v>2662</v>
      </c>
      <c r="C248" s="4" t="s">
        <v>9790</v>
      </c>
      <c r="D248" s="4">
        <v>20008</v>
      </c>
      <c r="F248" s="4" t="s">
        <v>9790</v>
      </c>
      <c r="G248" s="4" t="s">
        <v>3743</v>
      </c>
      <c r="H248" s="4">
        <v>3</v>
      </c>
      <c r="I248" s="4">
        <v>10</v>
      </c>
      <c r="J248" s="4">
        <v>1</v>
      </c>
      <c r="K248" s="4">
        <v>1</v>
      </c>
      <c r="L248" s="4">
        <v>3</v>
      </c>
      <c r="M248" s="4">
        <v>1</v>
      </c>
      <c r="N248" s="4">
        <v>0</v>
      </c>
      <c r="O248" s="4">
        <v>0</v>
      </c>
      <c r="P248" s="4">
        <v>0</v>
      </c>
      <c r="Q248" s="4">
        <v>6</v>
      </c>
      <c r="R248" s="29" t="b">
        <v>0</v>
      </c>
      <c r="S248" s="31">
        <v>0</v>
      </c>
      <c r="T248" s="35" t="s">
        <v>3347</v>
      </c>
      <c r="U248" s="36" t="s">
        <v>3375</v>
      </c>
      <c r="V248" s="31">
        <v>0</v>
      </c>
      <c r="W248" s="30">
        <v>0</v>
      </c>
      <c r="X248" s="31">
        <v>0</v>
      </c>
      <c r="Y248" s="31">
        <v>0</v>
      </c>
      <c r="Z248" s="31">
        <v>0</v>
      </c>
      <c r="AA248" s="30">
        <v>0</v>
      </c>
      <c r="AB248" s="4">
        <v>0</v>
      </c>
      <c r="AC248" s="4">
        <v>0</v>
      </c>
      <c r="AD248" s="4">
        <v>0.8</v>
      </c>
      <c r="AE248" s="33">
        <v>0.4</v>
      </c>
      <c r="AF248" s="4">
        <v>0</v>
      </c>
      <c r="AG248" s="4">
        <v>0</v>
      </c>
      <c r="AH248" s="29">
        <v>0</v>
      </c>
      <c r="AI248" s="30">
        <v>0</v>
      </c>
      <c r="AJ248" s="4">
        <v>120</v>
      </c>
      <c r="AK248" s="30">
        <v>5</v>
      </c>
      <c r="AL248" s="29">
        <v>0</v>
      </c>
      <c r="AN248" s="4">
        <v>0</v>
      </c>
    </row>
    <row r="256" spans="1:40" x14ac:dyDescent="0.15">
      <c r="A256" s="4" t="s">
        <v>1</v>
      </c>
    </row>
    <row r="257" spans="1:3" x14ac:dyDescent="0.15">
      <c r="A257" s="4" t="s">
        <v>10</v>
      </c>
    </row>
    <row r="261" spans="1:3" x14ac:dyDescent="0.15">
      <c r="C261" s="4">
        <v>12</v>
      </c>
    </row>
    <row r="262" spans="1:3" x14ac:dyDescent="0.15">
      <c r="C262" s="4">
        <f>(1/30)*C261</f>
        <v>0.4</v>
      </c>
    </row>
  </sheetData>
  <phoneticPr fontId="7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167"/>
  <sheetViews>
    <sheetView workbookViewId="0">
      <pane xSplit="3" ySplit="5" topLeftCell="D135" activePane="bottomRight" state="frozen"/>
      <selection pane="topRight" activeCell="D1" sqref="D1"/>
      <selection pane="bottomLeft" activeCell="A6" sqref="A6"/>
      <selection pane="bottomRight" activeCell="M117" sqref="M117"/>
    </sheetView>
  </sheetViews>
  <sheetFormatPr defaultRowHeight="12" x14ac:dyDescent="0.15"/>
  <cols>
    <col min="1" max="1" width="9.625" style="4" customWidth="1"/>
    <col min="2" max="2" width="11.625" style="4" bestFit="1" customWidth="1"/>
    <col min="3" max="3" width="16.375" style="4" customWidth="1"/>
    <col min="4" max="4" width="5" style="4" customWidth="1"/>
    <col min="5" max="5" width="17.125" style="4" customWidth="1"/>
    <col min="6" max="6" width="9.125" style="4" bestFit="1" customWidth="1"/>
    <col min="7" max="9" width="9" style="4"/>
    <col min="10" max="11" width="10.75" style="4" customWidth="1"/>
    <col min="12" max="12" width="9" style="4"/>
    <col min="13" max="13" width="11.25" style="4" customWidth="1"/>
    <col min="14" max="17" width="9" style="4"/>
    <col min="18" max="18" width="9" style="29"/>
    <col min="19" max="19" width="9" style="31"/>
    <col min="20" max="20" width="9" style="30"/>
    <col min="21" max="22" width="10" style="4" customWidth="1"/>
    <col min="23" max="23" width="11.5" style="4" customWidth="1"/>
    <col min="24" max="24" width="9" style="4"/>
    <col min="25" max="25" width="26.75" style="4" customWidth="1"/>
    <col min="26" max="249" width="9" style="4"/>
    <col min="250" max="250" width="9.625" style="4" customWidth="1"/>
    <col min="251" max="251" width="11.5" style="4" customWidth="1"/>
    <col min="252" max="252" width="9" style="4" customWidth="1"/>
    <col min="253" max="253" width="13.375" style="4" customWidth="1"/>
    <col min="254" max="254" width="10.5" style="4" customWidth="1"/>
    <col min="255" max="255" width="12.5" style="4" customWidth="1"/>
    <col min="256" max="256" width="13.75" style="4" customWidth="1"/>
    <col min="257" max="257" width="9" style="4"/>
    <col min="258" max="258" width="12.375" style="4" customWidth="1"/>
    <col min="259" max="260" width="9" style="4"/>
    <col min="261" max="261" width="15.625" style="4" bestFit="1" customWidth="1"/>
    <col min="262" max="262" width="18.875" style="4" customWidth="1"/>
    <col min="263" max="505" width="9" style="4"/>
    <col min="506" max="506" width="9.625" style="4" customWidth="1"/>
    <col min="507" max="507" width="11.5" style="4" customWidth="1"/>
    <col min="508" max="508" width="9" style="4" customWidth="1"/>
    <col min="509" max="509" width="13.375" style="4" customWidth="1"/>
    <col min="510" max="510" width="10.5" style="4" customWidth="1"/>
    <col min="511" max="511" width="12.5" style="4" customWidth="1"/>
    <col min="512" max="512" width="13.75" style="4" customWidth="1"/>
    <col min="513" max="513" width="9" style="4"/>
    <col min="514" max="514" width="12.375" style="4" customWidth="1"/>
    <col min="515" max="516" width="9" style="4"/>
    <col min="517" max="517" width="15.625" style="4" bestFit="1" customWidth="1"/>
    <col min="518" max="518" width="18.875" style="4" customWidth="1"/>
    <col min="519" max="761" width="9" style="4"/>
    <col min="762" max="762" width="9.625" style="4" customWidth="1"/>
    <col min="763" max="763" width="11.5" style="4" customWidth="1"/>
    <col min="764" max="764" width="9" style="4" customWidth="1"/>
    <col min="765" max="765" width="13.375" style="4" customWidth="1"/>
    <col min="766" max="766" width="10.5" style="4" customWidth="1"/>
    <col min="767" max="767" width="12.5" style="4" customWidth="1"/>
    <col min="768" max="768" width="13.75" style="4" customWidth="1"/>
    <col min="769" max="769" width="9" style="4"/>
    <col min="770" max="770" width="12.375" style="4" customWidth="1"/>
    <col min="771" max="772" width="9" style="4"/>
    <col min="773" max="773" width="15.625" style="4" bestFit="1" customWidth="1"/>
    <col min="774" max="774" width="18.875" style="4" customWidth="1"/>
    <col min="775" max="1017" width="9" style="4"/>
    <col min="1018" max="1018" width="9.625" style="4" customWidth="1"/>
    <col min="1019" max="1019" width="11.5" style="4" customWidth="1"/>
    <col min="1020" max="1020" width="9" style="4" customWidth="1"/>
    <col min="1021" max="1021" width="13.375" style="4" customWidth="1"/>
    <col min="1022" max="1022" width="10.5" style="4" customWidth="1"/>
    <col min="1023" max="1023" width="12.5" style="4" customWidth="1"/>
    <col min="1024" max="1024" width="13.75" style="4" customWidth="1"/>
    <col min="1025" max="1025" width="9" style="4"/>
    <col min="1026" max="1026" width="12.375" style="4" customWidth="1"/>
    <col min="1027" max="1028" width="9" style="4"/>
    <col min="1029" max="1029" width="15.625" style="4" bestFit="1" customWidth="1"/>
    <col min="1030" max="1030" width="18.875" style="4" customWidth="1"/>
    <col min="1031" max="1273" width="9" style="4"/>
    <col min="1274" max="1274" width="9.625" style="4" customWidth="1"/>
    <col min="1275" max="1275" width="11.5" style="4" customWidth="1"/>
    <col min="1276" max="1276" width="9" style="4" customWidth="1"/>
    <col min="1277" max="1277" width="13.375" style="4" customWidth="1"/>
    <col min="1278" max="1278" width="10.5" style="4" customWidth="1"/>
    <col min="1279" max="1279" width="12.5" style="4" customWidth="1"/>
    <col min="1280" max="1280" width="13.75" style="4" customWidth="1"/>
    <col min="1281" max="1281" width="9" style="4"/>
    <col min="1282" max="1282" width="12.375" style="4" customWidth="1"/>
    <col min="1283" max="1284" width="9" style="4"/>
    <col min="1285" max="1285" width="15.625" style="4" bestFit="1" customWidth="1"/>
    <col min="1286" max="1286" width="18.875" style="4" customWidth="1"/>
    <col min="1287" max="1529" width="9" style="4"/>
    <col min="1530" max="1530" width="9.625" style="4" customWidth="1"/>
    <col min="1531" max="1531" width="11.5" style="4" customWidth="1"/>
    <col min="1532" max="1532" width="9" style="4" customWidth="1"/>
    <col min="1533" max="1533" width="13.375" style="4" customWidth="1"/>
    <col min="1534" max="1534" width="10.5" style="4" customWidth="1"/>
    <col min="1535" max="1535" width="12.5" style="4" customWidth="1"/>
    <col min="1536" max="1536" width="13.75" style="4" customWidth="1"/>
    <col min="1537" max="1537" width="9" style="4"/>
    <col min="1538" max="1538" width="12.375" style="4" customWidth="1"/>
    <col min="1539" max="1540" width="9" style="4"/>
    <col min="1541" max="1541" width="15.625" style="4" bestFit="1" customWidth="1"/>
    <col min="1542" max="1542" width="18.875" style="4" customWidth="1"/>
    <col min="1543" max="1785" width="9" style="4"/>
    <col min="1786" max="1786" width="9.625" style="4" customWidth="1"/>
    <col min="1787" max="1787" width="11.5" style="4" customWidth="1"/>
    <col min="1788" max="1788" width="9" style="4" customWidth="1"/>
    <col min="1789" max="1789" width="13.375" style="4" customWidth="1"/>
    <col min="1790" max="1790" width="10.5" style="4" customWidth="1"/>
    <col min="1791" max="1791" width="12.5" style="4" customWidth="1"/>
    <col min="1792" max="1792" width="13.75" style="4" customWidth="1"/>
    <col min="1793" max="1793" width="9" style="4"/>
    <col min="1794" max="1794" width="12.375" style="4" customWidth="1"/>
    <col min="1795" max="1796" width="9" style="4"/>
    <col min="1797" max="1797" width="15.625" style="4" bestFit="1" customWidth="1"/>
    <col min="1798" max="1798" width="18.875" style="4" customWidth="1"/>
    <col min="1799" max="2041" width="9" style="4"/>
    <col min="2042" max="2042" width="9.625" style="4" customWidth="1"/>
    <col min="2043" max="2043" width="11.5" style="4" customWidth="1"/>
    <col min="2044" max="2044" width="9" style="4" customWidth="1"/>
    <col min="2045" max="2045" width="13.375" style="4" customWidth="1"/>
    <col min="2046" max="2046" width="10.5" style="4" customWidth="1"/>
    <col min="2047" max="2047" width="12.5" style="4" customWidth="1"/>
    <col min="2048" max="2048" width="13.75" style="4" customWidth="1"/>
    <col min="2049" max="2049" width="9" style="4"/>
    <col min="2050" max="2050" width="12.375" style="4" customWidth="1"/>
    <col min="2051" max="2052" width="9" style="4"/>
    <col min="2053" max="2053" width="15.625" style="4" bestFit="1" customWidth="1"/>
    <col min="2054" max="2054" width="18.875" style="4" customWidth="1"/>
    <col min="2055" max="2297" width="9" style="4"/>
    <col min="2298" max="2298" width="9.625" style="4" customWidth="1"/>
    <col min="2299" max="2299" width="11.5" style="4" customWidth="1"/>
    <col min="2300" max="2300" width="9" style="4" customWidth="1"/>
    <col min="2301" max="2301" width="13.375" style="4" customWidth="1"/>
    <col min="2302" max="2302" width="10.5" style="4" customWidth="1"/>
    <col min="2303" max="2303" width="12.5" style="4" customWidth="1"/>
    <col min="2304" max="2304" width="13.75" style="4" customWidth="1"/>
    <col min="2305" max="2305" width="9" style="4"/>
    <col min="2306" max="2306" width="12.375" style="4" customWidth="1"/>
    <col min="2307" max="2308" width="9" style="4"/>
    <col min="2309" max="2309" width="15.625" style="4" bestFit="1" customWidth="1"/>
    <col min="2310" max="2310" width="18.875" style="4" customWidth="1"/>
    <col min="2311" max="2553" width="9" style="4"/>
    <col min="2554" max="2554" width="9.625" style="4" customWidth="1"/>
    <col min="2555" max="2555" width="11.5" style="4" customWidth="1"/>
    <col min="2556" max="2556" width="9" style="4" customWidth="1"/>
    <col min="2557" max="2557" width="13.375" style="4" customWidth="1"/>
    <col min="2558" max="2558" width="10.5" style="4" customWidth="1"/>
    <col min="2559" max="2559" width="12.5" style="4" customWidth="1"/>
    <col min="2560" max="2560" width="13.75" style="4" customWidth="1"/>
    <col min="2561" max="2561" width="9" style="4"/>
    <col min="2562" max="2562" width="12.375" style="4" customWidth="1"/>
    <col min="2563" max="2564" width="9" style="4"/>
    <col min="2565" max="2565" width="15.625" style="4" bestFit="1" customWidth="1"/>
    <col min="2566" max="2566" width="18.875" style="4" customWidth="1"/>
    <col min="2567" max="2809" width="9" style="4"/>
    <col min="2810" max="2810" width="9.625" style="4" customWidth="1"/>
    <col min="2811" max="2811" width="11.5" style="4" customWidth="1"/>
    <col min="2812" max="2812" width="9" style="4" customWidth="1"/>
    <col min="2813" max="2813" width="13.375" style="4" customWidth="1"/>
    <col min="2814" max="2814" width="10.5" style="4" customWidth="1"/>
    <col min="2815" max="2815" width="12.5" style="4" customWidth="1"/>
    <col min="2816" max="2816" width="13.75" style="4" customWidth="1"/>
    <col min="2817" max="2817" width="9" style="4"/>
    <col min="2818" max="2818" width="12.375" style="4" customWidth="1"/>
    <col min="2819" max="2820" width="9" style="4"/>
    <col min="2821" max="2821" width="15.625" style="4" bestFit="1" customWidth="1"/>
    <col min="2822" max="2822" width="18.875" style="4" customWidth="1"/>
    <col min="2823" max="3065" width="9" style="4"/>
    <col min="3066" max="3066" width="9.625" style="4" customWidth="1"/>
    <col min="3067" max="3067" width="11.5" style="4" customWidth="1"/>
    <col min="3068" max="3068" width="9" style="4" customWidth="1"/>
    <col min="3069" max="3069" width="13.375" style="4" customWidth="1"/>
    <col min="3070" max="3070" width="10.5" style="4" customWidth="1"/>
    <col min="3071" max="3071" width="12.5" style="4" customWidth="1"/>
    <col min="3072" max="3072" width="13.75" style="4" customWidth="1"/>
    <col min="3073" max="3073" width="9" style="4"/>
    <col min="3074" max="3074" width="12.375" style="4" customWidth="1"/>
    <col min="3075" max="3076" width="9" style="4"/>
    <col min="3077" max="3077" width="15.625" style="4" bestFit="1" customWidth="1"/>
    <col min="3078" max="3078" width="18.875" style="4" customWidth="1"/>
    <col min="3079" max="3321" width="9" style="4"/>
    <col min="3322" max="3322" width="9.625" style="4" customWidth="1"/>
    <col min="3323" max="3323" width="11.5" style="4" customWidth="1"/>
    <col min="3324" max="3324" width="9" style="4" customWidth="1"/>
    <col min="3325" max="3325" width="13.375" style="4" customWidth="1"/>
    <col min="3326" max="3326" width="10.5" style="4" customWidth="1"/>
    <col min="3327" max="3327" width="12.5" style="4" customWidth="1"/>
    <col min="3328" max="3328" width="13.75" style="4" customWidth="1"/>
    <col min="3329" max="3329" width="9" style="4"/>
    <col min="3330" max="3330" width="12.375" style="4" customWidth="1"/>
    <col min="3331" max="3332" width="9" style="4"/>
    <col min="3333" max="3333" width="15.625" style="4" bestFit="1" customWidth="1"/>
    <col min="3334" max="3334" width="18.875" style="4" customWidth="1"/>
    <col min="3335" max="3577" width="9" style="4"/>
    <col min="3578" max="3578" width="9.625" style="4" customWidth="1"/>
    <col min="3579" max="3579" width="11.5" style="4" customWidth="1"/>
    <col min="3580" max="3580" width="9" style="4" customWidth="1"/>
    <col min="3581" max="3581" width="13.375" style="4" customWidth="1"/>
    <col min="3582" max="3582" width="10.5" style="4" customWidth="1"/>
    <col min="3583" max="3583" width="12.5" style="4" customWidth="1"/>
    <col min="3584" max="3584" width="13.75" style="4" customWidth="1"/>
    <col min="3585" max="3585" width="9" style="4"/>
    <col min="3586" max="3586" width="12.375" style="4" customWidth="1"/>
    <col min="3587" max="3588" width="9" style="4"/>
    <col min="3589" max="3589" width="15.625" style="4" bestFit="1" customWidth="1"/>
    <col min="3590" max="3590" width="18.875" style="4" customWidth="1"/>
    <col min="3591" max="3833" width="9" style="4"/>
    <col min="3834" max="3834" width="9.625" style="4" customWidth="1"/>
    <col min="3835" max="3835" width="11.5" style="4" customWidth="1"/>
    <col min="3836" max="3836" width="9" style="4" customWidth="1"/>
    <col min="3837" max="3837" width="13.375" style="4" customWidth="1"/>
    <col min="3838" max="3838" width="10.5" style="4" customWidth="1"/>
    <col min="3839" max="3839" width="12.5" style="4" customWidth="1"/>
    <col min="3840" max="3840" width="13.75" style="4" customWidth="1"/>
    <col min="3841" max="3841" width="9" style="4"/>
    <col min="3842" max="3842" width="12.375" style="4" customWidth="1"/>
    <col min="3843" max="3844" width="9" style="4"/>
    <col min="3845" max="3845" width="15.625" style="4" bestFit="1" customWidth="1"/>
    <col min="3846" max="3846" width="18.875" style="4" customWidth="1"/>
    <col min="3847" max="4089" width="9" style="4"/>
    <col min="4090" max="4090" width="9.625" style="4" customWidth="1"/>
    <col min="4091" max="4091" width="11.5" style="4" customWidth="1"/>
    <col min="4092" max="4092" width="9" style="4" customWidth="1"/>
    <col min="4093" max="4093" width="13.375" style="4" customWidth="1"/>
    <col min="4094" max="4094" width="10.5" style="4" customWidth="1"/>
    <col min="4095" max="4095" width="12.5" style="4" customWidth="1"/>
    <col min="4096" max="4096" width="13.75" style="4" customWidth="1"/>
    <col min="4097" max="4097" width="9" style="4"/>
    <col min="4098" max="4098" width="12.375" style="4" customWidth="1"/>
    <col min="4099" max="4100" width="9" style="4"/>
    <col min="4101" max="4101" width="15.625" style="4" bestFit="1" customWidth="1"/>
    <col min="4102" max="4102" width="18.875" style="4" customWidth="1"/>
    <col min="4103" max="4345" width="9" style="4"/>
    <col min="4346" max="4346" width="9.625" style="4" customWidth="1"/>
    <col min="4347" max="4347" width="11.5" style="4" customWidth="1"/>
    <col min="4348" max="4348" width="9" style="4" customWidth="1"/>
    <col min="4349" max="4349" width="13.375" style="4" customWidth="1"/>
    <col min="4350" max="4350" width="10.5" style="4" customWidth="1"/>
    <col min="4351" max="4351" width="12.5" style="4" customWidth="1"/>
    <col min="4352" max="4352" width="13.75" style="4" customWidth="1"/>
    <col min="4353" max="4353" width="9" style="4"/>
    <col min="4354" max="4354" width="12.375" style="4" customWidth="1"/>
    <col min="4355" max="4356" width="9" style="4"/>
    <col min="4357" max="4357" width="15.625" style="4" bestFit="1" customWidth="1"/>
    <col min="4358" max="4358" width="18.875" style="4" customWidth="1"/>
    <col min="4359" max="4601" width="9" style="4"/>
    <col min="4602" max="4602" width="9.625" style="4" customWidth="1"/>
    <col min="4603" max="4603" width="11.5" style="4" customWidth="1"/>
    <col min="4604" max="4604" width="9" style="4" customWidth="1"/>
    <col min="4605" max="4605" width="13.375" style="4" customWidth="1"/>
    <col min="4606" max="4606" width="10.5" style="4" customWidth="1"/>
    <col min="4607" max="4607" width="12.5" style="4" customWidth="1"/>
    <col min="4608" max="4608" width="13.75" style="4" customWidth="1"/>
    <col min="4609" max="4609" width="9" style="4"/>
    <col min="4610" max="4610" width="12.375" style="4" customWidth="1"/>
    <col min="4611" max="4612" width="9" style="4"/>
    <col min="4613" max="4613" width="15.625" style="4" bestFit="1" customWidth="1"/>
    <col min="4614" max="4614" width="18.875" style="4" customWidth="1"/>
    <col min="4615" max="4857" width="9" style="4"/>
    <col min="4858" max="4858" width="9.625" style="4" customWidth="1"/>
    <col min="4859" max="4859" width="11.5" style="4" customWidth="1"/>
    <col min="4860" max="4860" width="9" style="4" customWidth="1"/>
    <col min="4861" max="4861" width="13.375" style="4" customWidth="1"/>
    <col min="4862" max="4862" width="10.5" style="4" customWidth="1"/>
    <col min="4863" max="4863" width="12.5" style="4" customWidth="1"/>
    <col min="4864" max="4864" width="13.75" style="4" customWidth="1"/>
    <col min="4865" max="4865" width="9" style="4"/>
    <col min="4866" max="4866" width="12.375" style="4" customWidth="1"/>
    <col min="4867" max="4868" width="9" style="4"/>
    <col min="4869" max="4869" width="15.625" style="4" bestFit="1" customWidth="1"/>
    <col min="4870" max="4870" width="18.875" style="4" customWidth="1"/>
    <col min="4871" max="5113" width="9" style="4"/>
    <col min="5114" max="5114" width="9.625" style="4" customWidth="1"/>
    <col min="5115" max="5115" width="11.5" style="4" customWidth="1"/>
    <col min="5116" max="5116" width="9" style="4" customWidth="1"/>
    <col min="5117" max="5117" width="13.375" style="4" customWidth="1"/>
    <col min="5118" max="5118" width="10.5" style="4" customWidth="1"/>
    <col min="5119" max="5119" width="12.5" style="4" customWidth="1"/>
    <col min="5120" max="5120" width="13.75" style="4" customWidth="1"/>
    <col min="5121" max="5121" width="9" style="4"/>
    <col min="5122" max="5122" width="12.375" style="4" customWidth="1"/>
    <col min="5123" max="5124" width="9" style="4"/>
    <col min="5125" max="5125" width="15.625" style="4" bestFit="1" customWidth="1"/>
    <col min="5126" max="5126" width="18.875" style="4" customWidth="1"/>
    <col min="5127" max="5369" width="9" style="4"/>
    <col min="5370" max="5370" width="9.625" style="4" customWidth="1"/>
    <col min="5371" max="5371" width="11.5" style="4" customWidth="1"/>
    <col min="5372" max="5372" width="9" style="4" customWidth="1"/>
    <col min="5373" max="5373" width="13.375" style="4" customWidth="1"/>
    <col min="5374" max="5374" width="10.5" style="4" customWidth="1"/>
    <col min="5375" max="5375" width="12.5" style="4" customWidth="1"/>
    <col min="5376" max="5376" width="13.75" style="4" customWidth="1"/>
    <col min="5377" max="5377" width="9" style="4"/>
    <col min="5378" max="5378" width="12.375" style="4" customWidth="1"/>
    <col min="5379" max="5380" width="9" style="4"/>
    <col min="5381" max="5381" width="15.625" style="4" bestFit="1" customWidth="1"/>
    <col min="5382" max="5382" width="18.875" style="4" customWidth="1"/>
    <col min="5383" max="5625" width="9" style="4"/>
    <col min="5626" max="5626" width="9.625" style="4" customWidth="1"/>
    <col min="5627" max="5627" width="11.5" style="4" customWidth="1"/>
    <col min="5628" max="5628" width="9" style="4" customWidth="1"/>
    <col min="5629" max="5629" width="13.375" style="4" customWidth="1"/>
    <col min="5630" max="5630" width="10.5" style="4" customWidth="1"/>
    <col min="5631" max="5631" width="12.5" style="4" customWidth="1"/>
    <col min="5632" max="5632" width="13.75" style="4" customWidth="1"/>
    <col min="5633" max="5633" width="9" style="4"/>
    <col min="5634" max="5634" width="12.375" style="4" customWidth="1"/>
    <col min="5635" max="5636" width="9" style="4"/>
    <col min="5637" max="5637" width="15.625" style="4" bestFit="1" customWidth="1"/>
    <col min="5638" max="5638" width="18.875" style="4" customWidth="1"/>
    <col min="5639" max="5881" width="9" style="4"/>
    <col min="5882" max="5882" width="9.625" style="4" customWidth="1"/>
    <col min="5883" max="5883" width="11.5" style="4" customWidth="1"/>
    <col min="5884" max="5884" width="9" style="4" customWidth="1"/>
    <col min="5885" max="5885" width="13.375" style="4" customWidth="1"/>
    <col min="5886" max="5886" width="10.5" style="4" customWidth="1"/>
    <col min="5887" max="5887" width="12.5" style="4" customWidth="1"/>
    <col min="5888" max="5888" width="13.75" style="4" customWidth="1"/>
    <col min="5889" max="5889" width="9" style="4"/>
    <col min="5890" max="5890" width="12.375" style="4" customWidth="1"/>
    <col min="5891" max="5892" width="9" style="4"/>
    <col min="5893" max="5893" width="15.625" style="4" bestFit="1" customWidth="1"/>
    <col min="5894" max="5894" width="18.875" style="4" customWidth="1"/>
    <col min="5895" max="6137" width="9" style="4"/>
    <col min="6138" max="6138" width="9.625" style="4" customWidth="1"/>
    <col min="6139" max="6139" width="11.5" style="4" customWidth="1"/>
    <col min="6140" max="6140" width="9" style="4" customWidth="1"/>
    <col min="6141" max="6141" width="13.375" style="4" customWidth="1"/>
    <col min="6142" max="6142" width="10.5" style="4" customWidth="1"/>
    <col min="6143" max="6143" width="12.5" style="4" customWidth="1"/>
    <col min="6144" max="6144" width="13.75" style="4" customWidth="1"/>
    <col min="6145" max="6145" width="9" style="4"/>
    <col min="6146" max="6146" width="12.375" style="4" customWidth="1"/>
    <col min="6147" max="6148" width="9" style="4"/>
    <col min="6149" max="6149" width="15.625" style="4" bestFit="1" customWidth="1"/>
    <col min="6150" max="6150" width="18.875" style="4" customWidth="1"/>
    <col min="6151" max="6393" width="9" style="4"/>
    <col min="6394" max="6394" width="9.625" style="4" customWidth="1"/>
    <col min="6395" max="6395" width="11.5" style="4" customWidth="1"/>
    <col min="6396" max="6396" width="9" style="4" customWidth="1"/>
    <col min="6397" max="6397" width="13.375" style="4" customWidth="1"/>
    <col min="6398" max="6398" width="10.5" style="4" customWidth="1"/>
    <col min="6399" max="6399" width="12.5" style="4" customWidth="1"/>
    <col min="6400" max="6400" width="13.75" style="4" customWidth="1"/>
    <col min="6401" max="6401" width="9" style="4"/>
    <col min="6402" max="6402" width="12.375" style="4" customWidth="1"/>
    <col min="6403" max="6404" width="9" style="4"/>
    <col min="6405" max="6405" width="15.625" style="4" bestFit="1" customWidth="1"/>
    <col min="6406" max="6406" width="18.875" style="4" customWidth="1"/>
    <col min="6407" max="6649" width="9" style="4"/>
    <col min="6650" max="6650" width="9.625" style="4" customWidth="1"/>
    <col min="6651" max="6651" width="11.5" style="4" customWidth="1"/>
    <col min="6652" max="6652" width="9" style="4" customWidth="1"/>
    <col min="6653" max="6653" width="13.375" style="4" customWidth="1"/>
    <col min="6654" max="6654" width="10.5" style="4" customWidth="1"/>
    <col min="6655" max="6655" width="12.5" style="4" customWidth="1"/>
    <col min="6656" max="6656" width="13.75" style="4" customWidth="1"/>
    <col min="6657" max="6657" width="9" style="4"/>
    <col min="6658" max="6658" width="12.375" style="4" customWidth="1"/>
    <col min="6659" max="6660" width="9" style="4"/>
    <col min="6661" max="6661" width="15.625" style="4" bestFit="1" customWidth="1"/>
    <col min="6662" max="6662" width="18.875" style="4" customWidth="1"/>
    <col min="6663" max="6905" width="9" style="4"/>
    <col min="6906" max="6906" width="9.625" style="4" customWidth="1"/>
    <col min="6907" max="6907" width="11.5" style="4" customWidth="1"/>
    <col min="6908" max="6908" width="9" style="4" customWidth="1"/>
    <col min="6909" max="6909" width="13.375" style="4" customWidth="1"/>
    <col min="6910" max="6910" width="10.5" style="4" customWidth="1"/>
    <col min="6911" max="6911" width="12.5" style="4" customWidth="1"/>
    <col min="6912" max="6912" width="13.75" style="4" customWidth="1"/>
    <col min="6913" max="6913" width="9" style="4"/>
    <col min="6914" max="6914" width="12.375" style="4" customWidth="1"/>
    <col min="6915" max="6916" width="9" style="4"/>
    <col min="6917" max="6917" width="15.625" style="4" bestFit="1" customWidth="1"/>
    <col min="6918" max="6918" width="18.875" style="4" customWidth="1"/>
    <col min="6919" max="7161" width="9" style="4"/>
    <col min="7162" max="7162" width="9.625" style="4" customWidth="1"/>
    <col min="7163" max="7163" width="11.5" style="4" customWidth="1"/>
    <col min="7164" max="7164" width="9" style="4" customWidth="1"/>
    <col min="7165" max="7165" width="13.375" style="4" customWidth="1"/>
    <col min="7166" max="7166" width="10.5" style="4" customWidth="1"/>
    <col min="7167" max="7167" width="12.5" style="4" customWidth="1"/>
    <col min="7168" max="7168" width="13.75" style="4" customWidth="1"/>
    <col min="7169" max="7169" width="9" style="4"/>
    <col min="7170" max="7170" width="12.375" style="4" customWidth="1"/>
    <col min="7171" max="7172" width="9" style="4"/>
    <col min="7173" max="7173" width="15.625" style="4" bestFit="1" customWidth="1"/>
    <col min="7174" max="7174" width="18.875" style="4" customWidth="1"/>
    <col min="7175" max="7417" width="9" style="4"/>
    <col min="7418" max="7418" width="9.625" style="4" customWidth="1"/>
    <col min="7419" max="7419" width="11.5" style="4" customWidth="1"/>
    <col min="7420" max="7420" width="9" style="4" customWidth="1"/>
    <col min="7421" max="7421" width="13.375" style="4" customWidth="1"/>
    <col min="7422" max="7422" width="10.5" style="4" customWidth="1"/>
    <col min="7423" max="7423" width="12.5" style="4" customWidth="1"/>
    <col min="7424" max="7424" width="13.75" style="4" customWidth="1"/>
    <col min="7425" max="7425" width="9" style="4"/>
    <col min="7426" max="7426" width="12.375" style="4" customWidth="1"/>
    <col min="7427" max="7428" width="9" style="4"/>
    <col min="7429" max="7429" width="15.625" style="4" bestFit="1" customWidth="1"/>
    <col min="7430" max="7430" width="18.875" style="4" customWidth="1"/>
    <col min="7431" max="7673" width="9" style="4"/>
    <col min="7674" max="7674" width="9.625" style="4" customWidth="1"/>
    <col min="7675" max="7675" width="11.5" style="4" customWidth="1"/>
    <col min="7676" max="7676" width="9" style="4" customWidth="1"/>
    <col min="7677" max="7677" width="13.375" style="4" customWidth="1"/>
    <col min="7678" max="7678" width="10.5" style="4" customWidth="1"/>
    <col min="7679" max="7679" width="12.5" style="4" customWidth="1"/>
    <col min="7680" max="7680" width="13.75" style="4" customWidth="1"/>
    <col min="7681" max="7681" width="9" style="4"/>
    <col min="7682" max="7682" width="12.375" style="4" customWidth="1"/>
    <col min="7683" max="7684" width="9" style="4"/>
    <col min="7685" max="7685" width="15.625" style="4" bestFit="1" customWidth="1"/>
    <col min="7686" max="7686" width="18.875" style="4" customWidth="1"/>
    <col min="7687" max="7929" width="9" style="4"/>
    <col min="7930" max="7930" width="9.625" style="4" customWidth="1"/>
    <col min="7931" max="7931" width="11.5" style="4" customWidth="1"/>
    <col min="7932" max="7932" width="9" style="4" customWidth="1"/>
    <col min="7933" max="7933" width="13.375" style="4" customWidth="1"/>
    <col min="7934" max="7934" width="10.5" style="4" customWidth="1"/>
    <col min="7935" max="7935" width="12.5" style="4" customWidth="1"/>
    <col min="7936" max="7936" width="13.75" style="4" customWidth="1"/>
    <col min="7937" max="7937" width="9" style="4"/>
    <col min="7938" max="7938" width="12.375" style="4" customWidth="1"/>
    <col min="7939" max="7940" width="9" style="4"/>
    <col min="7941" max="7941" width="15.625" style="4" bestFit="1" customWidth="1"/>
    <col min="7942" max="7942" width="18.875" style="4" customWidth="1"/>
    <col min="7943" max="8185" width="9" style="4"/>
    <col min="8186" max="8186" width="9.625" style="4" customWidth="1"/>
    <col min="8187" max="8187" width="11.5" style="4" customWidth="1"/>
    <col min="8188" max="8188" width="9" style="4" customWidth="1"/>
    <col min="8189" max="8189" width="13.375" style="4" customWidth="1"/>
    <col min="8190" max="8190" width="10.5" style="4" customWidth="1"/>
    <col min="8191" max="8191" width="12.5" style="4" customWidth="1"/>
    <col min="8192" max="8192" width="13.75" style="4" customWidth="1"/>
    <col min="8193" max="8193" width="9" style="4"/>
    <col min="8194" max="8194" width="12.375" style="4" customWidth="1"/>
    <col min="8195" max="8196" width="9" style="4"/>
    <col min="8197" max="8197" width="15.625" style="4" bestFit="1" customWidth="1"/>
    <col min="8198" max="8198" width="18.875" style="4" customWidth="1"/>
    <col min="8199" max="8441" width="9" style="4"/>
    <col min="8442" max="8442" width="9.625" style="4" customWidth="1"/>
    <col min="8443" max="8443" width="11.5" style="4" customWidth="1"/>
    <col min="8444" max="8444" width="9" style="4" customWidth="1"/>
    <col min="8445" max="8445" width="13.375" style="4" customWidth="1"/>
    <col min="8446" max="8446" width="10.5" style="4" customWidth="1"/>
    <col min="8447" max="8447" width="12.5" style="4" customWidth="1"/>
    <col min="8448" max="8448" width="13.75" style="4" customWidth="1"/>
    <col min="8449" max="8449" width="9" style="4"/>
    <col min="8450" max="8450" width="12.375" style="4" customWidth="1"/>
    <col min="8451" max="8452" width="9" style="4"/>
    <col min="8453" max="8453" width="15.625" style="4" bestFit="1" customWidth="1"/>
    <col min="8454" max="8454" width="18.875" style="4" customWidth="1"/>
    <col min="8455" max="8697" width="9" style="4"/>
    <col min="8698" max="8698" width="9.625" style="4" customWidth="1"/>
    <col min="8699" max="8699" width="11.5" style="4" customWidth="1"/>
    <col min="8700" max="8700" width="9" style="4" customWidth="1"/>
    <col min="8701" max="8701" width="13.375" style="4" customWidth="1"/>
    <col min="8702" max="8702" width="10.5" style="4" customWidth="1"/>
    <col min="8703" max="8703" width="12.5" style="4" customWidth="1"/>
    <col min="8704" max="8704" width="13.75" style="4" customWidth="1"/>
    <col min="8705" max="8705" width="9" style="4"/>
    <col min="8706" max="8706" width="12.375" style="4" customWidth="1"/>
    <col min="8707" max="8708" width="9" style="4"/>
    <col min="8709" max="8709" width="15.625" style="4" bestFit="1" customWidth="1"/>
    <col min="8710" max="8710" width="18.875" style="4" customWidth="1"/>
    <col min="8711" max="8953" width="9" style="4"/>
    <col min="8954" max="8954" width="9.625" style="4" customWidth="1"/>
    <col min="8955" max="8955" width="11.5" style="4" customWidth="1"/>
    <col min="8956" max="8956" width="9" style="4" customWidth="1"/>
    <col min="8957" max="8957" width="13.375" style="4" customWidth="1"/>
    <col min="8958" max="8958" width="10.5" style="4" customWidth="1"/>
    <col min="8959" max="8959" width="12.5" style="4" customWidth="1"/>
    <col min="8960" max="8960" width="13.75" style="4" customWidth="1"/>
    <col min="8961" max="8961" width="9" style="4"/>
    <col min="8962" max="8962" width="12.375" style="4" customWidth="1"/>
    <col min="8963" max="8964" width="9" style="4"/>
    <col min="8965" max="8965" width="15.625" style="4" bestFit="1" customWidth="1"/>
    <col min="8966" max="8966" width="18.875" style="4" customWidth="1"/>
    <col min="8967" max="9209" width="9" style="4"/>
    <col min="9210" max="9210" width="9.625" style="4" customWidth="1"/>
    <col min="9211" max="9211" width="11.5" style="4" customWidth="1"/>
    <col min="9212" max="9212" width="9" style="4" customWidth="1"/>
    <col min="9213" max="9213" width="13.375" style="4" customWidth="1"/>
    <col min="9214" max="9214" width="10.5" style="4" customWidth="1"/>
    <col min="9215" max="9215" width="12.5" style="4" customWidth="1"/>
    <col min="9216" max="9216" width="13.75" style="4" customWidth="1"/>
    <col min="9217" max="9217" width="9" style="4"/>
    <col min="9218" max="9218" width="12.375" style="4" customWidth="1"/>
    <col min="9219" max="9220" width="9" style="4"/>
    <col min="9221" max="9221" width="15.625" style="4" bestFit="1" customWidth="1"/>
    <col min="9222" max="9222" width="18.875" style="4" customWidth="1"/>
    <col min="9223" max="9465" width="9" style="4"/>
    <col min="9466" max="9466" width="9.625" style="4" customWidth="1"/>
    <col min="9467" max="9467" width="11.5" style="4" customWidth="1"/>
    <col min="9468" max="9468" width="9" style="4" customWidth="1"/>
    <col min="9469" max="9469" width="13.375" style="4" customWidth="1"/>
    <col min="9470" max="9470" width="10.5" style="4" customWidth="1"/>
    <col min="9471" max="9471" width="12.5" style="4" customWidth="1"/>
    <col min="9472" max="9472" width="13.75" style="4" customWidth="1"/>
    <col min="9473" max="9473" width="9" style="4"/>
    <col min="9474" max="9474" width="12.375" style="4" customWidth="1"/>
    <col min="9475" max="9476" width="9" style="4"/>
    <col min="9477" max="9477" width="15.625" style="4" bestFit="1" customWidth="1"/>
    <col min="9478" max="9478" width="18.875" style="4" customWidth="1"/>
    <col min="9479" max="9721" width="9" style="4"/>
    <col min="9722" max="9722" width="9.625" style="4" customWidth="1"/>
    <col min="9723" max="9723" width="11.5" style="4" customWidth="1"/>
    <col min="9724" max="9724" width="9" style="4" customWidth="1"/>
    <col min="9725" max="9725" width="13.375" style="4" customWidth="1"/>
    <col min="9726" max="9726" width="10.5" style="4" customWidth="1"/>
    <col min="9727" max="9727" width="12.5" style="4" customWidth="1"/>
    <col min="9728" max="9728" width="13.75" style="4" customWidth="1"/>
    <col min="9729" max="9729" width="9" style="4"/>
    <col min="9730" max="9730" width="12.375" style="4" customWidth="1"/>
    <col min="9731" max="9732" width="9" style="4"/>
    <col min="9733" max="9733" width="15.625" style="4" bestFit="1" customWidth="1"/>
    <col min="9734" max="9734" width="18.875" style="4" customWidth="1"/>
    <col min="9735" max="9977" width="9" style="4"/>
    <col min="9978" max="9978" width="9.625" style="4" customWidth="1"/>
    <col min="9979" max="9979" width="11.5" style="4" customWidth="1"/>
    <col min="9980" max="9980" width="9" style="4" customWidth="1"/>
    <col min="9981" max="9981" width="13.375" style="4" customWidth="1"/>
    <col min="9982" max="9982" width="10.5" style="4" customWidth="1"/>
    <col min="9983" max="9983" width="12.5" style="4" customWidth="1"/>
    <col min="9984" max="9984" width="13.75" style="4" customWidth="1"/>
    <col min="9985" max="9985" width="9" style="4"/>
    <col min="9986" max="9986" width="12.375" style="4" customWidth="1"/>
    <col min="9987" max="9988" width="9" style="4"/>
    <col min="9989" max="9989" width="15.625" style="4" bestFit="1" customWidth="1"/>
    <col min="9990" max="9990" width="18.875" style="4" customWidth="1"/>
    <col min="9991" max="10233" width="9" style="4"/>
    <col min="10234" max="10234" width="9.625" style="4" customWidth="1"/>
    <col min="10235" max="10235" width="11.5" style="4" customWidth="1"/>
    <col min="10236" max="10236" width="9" style="4" customWidth="1"/>
    <col min="10237" max="10237" width="13.375" style="4" customWidth="1"/>
    <col min="10238" max="10238" width="10.5" style="4" customWidth="1"/>
    <col min="10239" max="10239" width="12.5" style="4" customWidth="1"/>
    <col min="10240" max="10240" width="13.75" style="4" customWidth="1"/>
    <col min="10241" max="10241" width="9" style="4"/>
    <col min="10242" max="10242" width="12.375" style="4" customWidth="1"/>
    <col min="10243" max="10244" width="9" style="4"/>
    <col min="10245" max="10245" width="15.625" style="4" bestFit="1" customWidth="1"/>
    <col min="10246" max="10246" width="18.875" style="4" customWidth="1"/>
    <col min="10247" max="10489" width="9" style="4"/>
    <col min="10490" max="10490" width="9.625" style="4" customWidth="1"/>
    <col min="10491" max="10491" width="11.5" style="4" customWidth="1"/>
    <col min="10492" max="10492" width="9" style="4" customWidth="1"/>
    <col min="10493" max="10493" width="13.375" style="4" customWidth="1"/>
    <col min="10494" max="10494" width="10.5" style="4" customWidth="1"/>
    <col min="10495" max="10495" width="12.5" style="4" customWidth="1"/>
    <col min="10496" max="10496" width="13.75" style="4" customWidth="1"/>
    <col min="10497" max="10497" width="9" style="4"/>
    <col min="10498" max="10498" width="12.375" style="4" customWidth="1"/>
    <col min="10499" max="10500" width="9" style="4"/>
    <col min="10501" max="10501" width="15.625" style="4" bestFit="1" customWidth="1"/>
    <col min="10502" max="10502" width="18.875" style="4" customWidth="1"/>
    <col min="10503" max="10745" width="9" style="4"/>
    <col min="10746" max="10746" width="9.625" style="4" customWidth="1"/>
    <col min="10747" max="10747" width="11.5" style="4" customWidth="1"/>
    <col min="10748" max="10748" width="9" style="4" customWidth="1"/>
    <col min="10749" max="10749" width="13.375" style="4" customWidth="1"/>
    <col min="10750" max="10750" width="10.5" style="4" customWidth="1"/>
    <col min="10751" max="10751" width="12.5" style="4" customWidth="1"/>
    <col min="10752" max="10752" width="13.75" style="4" customWidth="1"/>
    <col min="10753" max="10753" width="9" style="4"/>
    <col min="10754" max="10754" width="12.375" style="4" customWidth="1"/>
    <col min="10755" max="10756" width="9" style="4"/>
    <col min="10757" max="10757" width="15.625" style="4" bestFit="1" customWidth="1"/>
    <col min="10758" max="10758" width="18.875" style="4" customWidth="1"/>
    <col min="10759" max="11001" width="9" style="4"/>
    <col min="11002" max="11002" width="9.625" style="4" customWidth="1"/>
    <col min="11003" max="11003" width="11.5" style="4" customWidth="1"/>
    <col min="11004" max="11004" width="9" style="4" customWidth="1"/>
    <col min="11005" max="11005" width="13.375" style="4" customWidth="1"/>
    <col min="11006" max="11006" width="10.5" style="4" customWidth="1"/>
    <col min="11007" max="11007" width="12.5" style="4" customWidth="1"/>
    <col min="11008" max="11008" width="13.75" style="4" customWidth="1"/>
    <col min="11009" max="11009" width="9" style="4"/>
    <col min="11010" max="11010" width="12.375" style="4" customWidth="1"/>
    <col min="11011" max="11012" width="9" style="4"/>
    <col min="11013" max="11013" width="15.625" style="4" bestFit="1" customWidth="1"/>
    <col min="11014" max="11014" width="18.875" style="4" customWidth="1"/>
    <col min="11015" max="11257" width="9" style="4"/>
    <col min="11258" max="11258" width="9.625" style="4" customWidth="1"/>
    <col min="11259" max="11259" width="11.5" style="4" customWidth="1"/>
    <col min="11260" max="11260" width="9" style="4" customWidth="1"/>
    <col min="11261" max="11261" width="13.375" style="4" customWidth="1"/>
    <col min="11262" max="11262" width="10.5" style="4" customWidth="1"/>
    <col min="11263" max="11263" width="12.5" style="4" customWidth="1"/>
    <col min="11264" max="11264" width="13.75" style="4" customWidth="1"/>
    <col min="11265" max="11265" width="9" style="4"/>
    <col min="11266" max="11266" width="12.375" style="4" customWidth="1"/>
    <col min="11267" max="11268" width="9" style="4"/>
    <col min="11269" max="11269" width="15.625" style="4" bestFit="1" customWidth="1"/>
    <col min="11270" max="11270" width="18.875" style="4" customWidth="1"/>
    <col min="11271" max="11513" width="9" style="4"/>
    <col min="11514" max="11514" width="9.625" style="4" customWidth="1"/>
    <col min="11515" max="11515" width="11.5" style="4" customWidth="1"/>
    <col min="11516" max="11516" width="9" style="4" customWidth="1"/>
    <col min="11517" max="11517" width="13.375" style="4" customWidth="1"/>
    <col min="11518" max="11518" width="10.5" style="4" customWidth="1"/>
    <col min="11519" max="11519" width="12.5" style="4" customWidth="1"/>
    <col min="11520" max="11520" width="13.75" style="4" customWidth="1"/>
    <col min="11521" max="11521" width="9" style="4"/>
    <col min="11522" max="11522" width="12.375" style="4" customWidth="1"/>
    <col min="11523" max="11524" width="9" style="4"/>
    <col min="11525" max="11525" width="15.625" style="4" bestFit="1" customWidth="1"/>
    <col min="11526" max="11526" width="18.875" style="4" customWidth="1"/>
    <col min="11527" max="11769" width="9" style="4"/>
    <col min="11770" max="11770" width="9.625" style="4" customWidth="1"/>
    <col min="11771" max="11771" width="11.5" style="4" customWidth="1"/>
    <col min="11772" max="11772" width="9" style="4" customWidth="1"/>
    <col min="11773" max="11773" width="13.375" style="4" customWidth="1"/>
    <col min="11774" max="11774" width="10.5" style="4" customWidth="1"/>
    <col min="11775" max="11775" width="12.5" style="4" customWidth="1"/>
    <col min="11776" max="11776" width="13.75" style="4" customWidth="1"/>
    <col min="11777" max="11777" width="9" style="4"/>
    <col min="11778" max="11778" width="12.375" style="4" customWidth="1"/>
    <col min="11779" max="11780" width="9" style="4"/>
    <col min="11781" max="11781" width="15.625" style="4" bestFit="1" customWidth="1"/>
    <col min="11782" max="11782" width="18.875" style="4" customWidth="1"/>
    <col min="11783" max="12025" width="9" style="4"/>
    <col min="12026" max="12026" width="9.625" style="4" customWidth="1"/>
    <col min="12027" max="12027" width="11.5" style="4" customWidth="1"/>
    <col min="12028" max="12028" width="9" style="4" customWidth="1"/>
    <col min="12029" max="12029" width="13.375" style="4" customWidth="1"/>
    <col min="12030" max="12030" width="10.5" style="4" customWidth="1"/>
    <col min="12031" max="12031" width="12.5" style="4" customWidth="1"/>
    <col min="12032" max="12032" width="13.75" style="4" customWidth="1"/>
    <col min="12033" max="12033" width="9" style="4"/>
    <col min="12034" max="12034" width="12.375" style="4" customWidth="1"/>
    <col min="12035" max="12036" width="9" style="4"/>
    <col min="12037" max="12037" width="15.625" style="4" bestFit="1" customWidth="1"/>
    <col min="12038" max="12038" width="18.875" style="4" customWidth="1"/>
    <col min="12039" max="12281" width="9" style="4"/>
    <col min="12282" max="12282" width="9.625" style="4" customWidth="1"/>
    <col min="12283" max="12283" width="11.5" style="4" customWidth="1"/>
    <col min="12284" max="12284" width="9" style="4" customWidth="1"/>
    <col min="12285" max="12285" width="13.375" style="4" customWidth="1"/>
    <col min="12286" max="12286" width="10.5" style="4" customWidth="1"/>
    <col min="12287" max="12287" width="12.5" style="4" customWidth="1"/>
    <col min="12288" max="12288" width="13.75" style="4" customWidth="1"/>
    <col min="12289" max="12289" width="9" style="4"/>
    <col min="12290" max="12290" width="12.375" style="4" customWidth="1"/>
    <col min="12291" max="12292" width="9" style="4"/>
    <col min="12293" max="12293" width="15.625" style="4" bestFit="1" customWidth="1"/>
    <col min="12294" max="12294" width="18.875" style="4" customWidth="1"/>
    <col min="12295" max="12537" width="9" style="4"/>
    <col min="12538" max="12538" width="9.625" style="4" customWidth="1"/>
    <col min="12539" max="12539" width="11.5" style="4" customWidth="1"/>
    <col min="12540" max="12540" width="9" style="4" customWidth="1"/>
    <col min="12541" max="12541" width="13.375" style="4" customWidth="1"/>
    <col min="12542" max="12542" width="10.5" style="4" customWidth="1"/>
    <col min="12543" max="12543" width="12.5" style="4" customWidth="1"/>
    <col min="12544" max="12544" width="13.75" style="4" customWidth="1"/>
    <col min="12545" max="12545" width="9" style="4"/>
    <col min="12546" max="12546" width="12.375" style="4" customWidth="1"/>
    <col min="12547" max="12548" width="9" style="4"/>
    <col min="12549" max="12549" width="15.625" style="4" bestFit="1" customWidth="1"/>
    <col min="12550" max="12550" width="18.875" style="4" customWidth="1"/>
    <col min="12551" max="12793" width="9" style="4"/>
    <col min="12794" max="12794" width="9.625" style="4" customWidth="1"/>
    <col min="12795" max="12795" width="11.5" style="4" customWidth="1"/>
    <col min="12796" max="12796" width="9" style="4" customWidth="1"/>
    <col min="12797" max="12797" width="13.375" style="4" customWidth="1"/>
    <col min="12798" max="12798" width="10.5" style="4" customWidth="1"/>
    <col min="12799" max="12799" width="12.5" style="4" customWidth="1"/>
    <col min="12800" max="12800" width="13.75" style="4" customWidth="1"/>
    <col min="12801" max="12801" width="9" style="4"/>
    <col min="12802" max="12802" width="12.375" style="4" customWidth="1"/>
    <col min="12803" max="12804" width="9" style="4"/>
    <col min="12805" max="12805" width="15.625" style="4" bestFit="1" customWidth="1"/>
    <col min="12806" max="12806" width="18.875" style="4" customWidth="1"/>
    <col min="12807" max="13049" width="9" style="4"/>
    <col min="13050" max="13050" width="9.625" style="4" customWidth="1"/>
    <col min="13051" max="13051" width="11.5" style="4" customWidth="1"/>
    <col min="13052" max="13052" width="9" style="4" customWidth="1"/>
    <col min="13053" max="13053" width="13.375" style="4" customWidth="1"/>
    <col min="13054" max="13054" width="10.5" style="4" customWidth="1"/>
    <col min="13055" max="13055" width="12.5" style="4" customWidth="1"/>
    <col min="13056" max="13056" width="13.75" style="4" customWidth="1"/>
    <col min="13057" max="13057" width="9" style="4"/>
    <col min="13058" max="13058" width="12.375" style="4" customWidth="1"/>
    <col min="13059" max="13060" width="9" style="4"/>
    <col min="13061" max="13061" width="15.625" style="4" bestFit="1" customWidth="1"/>
    <col min="13062" max="13062" width="18.875" style="4" customWidth="1"/>
    <col min="13063" max="13305" width="9" style="4"/>
    <col min="13306" max="13306" width="9.625" style="4" customWidth="1"/>
    <col min="13307" max="13307" width="11.5" style="4" customWidth="1"/>
    <col min="13308" max="13308" width="9" style="4" customWidth="1"/>
    <col min="13309" max="13309" width="13.375" style="4" customWidth="1"/>
    <col min="13310" max="13310" width="10.5" style="4" customWidth="1"/>
    <col min="13311" max="13311" width="12.5" style="4" customWidth="1"/>
    <col min="13312" max="13312" width="13.75" style="4" customWidth="1"/>
    <col min="13313" max="13313" width="9" style="4"/>
    <col min="13314" max="13314" width="12.375" style="4" customWidth="1"/>
    <col min="13315" max="13316" width="9" style="4"/>
    <col min="13317" max="13317" width="15.625" style="4" bestFit="1" customWidth="1"/>
    <col min="13318" max="13318" width="18.875" style="4" customWidth="1"/>
    <col min="13319" max="13561" width="9" style="4"/>
    <col min="13562" max="13562" width="9.625" style="4" customWidth="1"/>
    <col min="13563" max="13563" width="11.5" style="4" customWidth="1"/>
    <col min="13564" max="13564" width="9" style="4" customWidth="1"/>
    <col min="13565" max="13565" width="13.375" style="4" customWidth="1"/>
    <col min="13566" max="13566" width="10.5" style="4" customWidth="1"/>
    <col min="13567" max="13567" width="12.5" style="4" customWidth="1"/>
    <col min="13568" max="13568" width="13.75" style="4" customWidth="1"/>
    <col min="13569" max="13569" width="9" style="4"/>
    <col min="13570" max="13570" width="12.375" style="4" customWidth="1"/>
    <col min="13571" max="13572" width="9" style="4"/>
    <col min="13573" max="13573" width="15.625" style="4" bestFit="1" customWidth="1"/>
    <col min="13574" max="13574" width="18.875" style="4" customWidth="1"/>
    <col min="13575" max="13817" width="9" style="4"/>
    <col min="13818" max="13818" width="9.625" style="4" customWidth="1"/>
    <col min="13819" max="13819" width="11.5" style="4" customWidth="1"/>
    <col min="13820" max="13820" width="9" style="4" customWidth="1"/>
    <col min="13821" max="13821" width="13.375" style="4" customWidth="1"/>
    <col min="13822" max="13822" width="10.5" style="4" customWidth="1"/>
    <col min="13823" max="13823" width="12.5" style="4" customWidth="1"/>
    <col min="13824" max="13824" width="13.75" style="4" customWidth="1"/>
    <col min="13825" max="13825" width="9" style="4"/>
    <col min="13826" max="13826" width="12.375" style="4" customWidth="1"/>
    <col min="13827" max="13828" width="9" style="4"/>
    <col min="13829" max="13829" width="15.625" style="4" bestFit="1" customWidth="1"/>
    <col min="13830" max="13830" width="18.875" style="4" customWidth="1"/>
    <col min="13831" max="14073" width="9" style="4"/>
    <col min="14074" max="14074" width="9.625" style="4" customWidth="1"/>
    <col min="14075" max="14075" width="11.5" style="4" customWidth="1"/>
    <col min="14076" max="14076" width="9" style="4" customWidth="1"/>
    <col min="14077" max="14077" width="13.375" style="4" customWidth="1"/>
    <col min="14078" max="14078" width="10.5" style="4" customWidth="1"/>
    <col min="14079" max="14079" width="12.5" style="4" customWidth="1"/>
    <col min="14080" max="14080" width="13.75" style="4" customWidth="1"/>
    <col min="14081" max="14081" width="9" style="4"/>
    <col min="14082" max="14082" width="12.375" style="4" customWidth="1"/>
    <col min="14083" max="14084" width="9" style="4"/>
    <col min="14085" max="14085" width="15.625" style="4" bestFit="1" customWidth="1"/>
    <col min="14086" max="14086" width="18.875" style="4" customWidth="1"/>
    <col min="14087" max="14329" width="9" style="4"/>
    <col min="14330" max="14330" width="9.625" style="4" customWidth="1"/>
    <col min="14331" max="14331" width="11.5" style="4" customWidth="1"/>
    <col min="14332" max="14332" width="9" style="4" customWidth="1"/>
    <col min="14333" max="14333" width="13.375" style="4" customWidth="1"/>
    <col min="14334" max="14334" width="10.5" style="4" customWidth="1"/>
    <col min="14335" max="14335" width="12.5" style="4" customWidth="1"/>
    <col min="14336" max="14336" width="13.75" style="4" customWidth="1"/>
    <col min="14337" max="14337" width="9" style="4"/>
    <col min="14338" max="14338" width="12.375" style="4" customWidth="1"/>
    <col min="14339" max="14340" width="9" style="4"/>
    <col min="14341" max="14341" width="15.625" style="4" bestFit="1" customWidth="1"/>
    <col min="14342" max="14342" width="18.875" style="4" customWidth="1"/>
    <col min="14343" max="14585" width="9" style="4"/>
    <col min="14586" max="14586" width="9.625" style="4" customWidth="1"/>
    <col min="14587" max="14587" width="11.5" style="4" customWidth="1"/>
    <col min="14588" max="14588" width="9" style="4" customWidth="1"/>
    <col min="14589" max="14589" width="13.375" style="4" customWidth="1"/>
    <col min="14590" max="14590" width="10.5" style="4" customWidth="1"/>
    <col min="14591" max="14591" width="12.5" style="4" customWidth="1"/>
    <col min="14592" max="14592" width="13.75" style="4" customWidth="1"/>
    <col min="14593" max="14593" width="9" style="4"/>
    <col min="14594" max="14594" width="12.375" style="4" customWidth="1"/>
    <col min="14595" max="14596" width="9" style="4"/>
    <col min="14597" max="14597" width="15.625" style="4" bestFit="1" customWidth="1"/>
    <col min="14598" max="14598" width="18.875" style="4" customWidth="1"/>
    <col min="14599" max="14841" width="9" style="4"/>
    <col min="14842" max="14842" width="9.625" style="4" customWidth="1"/>
    <col min="14843" max="14843" width="11.5" style="4" customWidth="1"/>
    <col min="14844" max="14844" width="9" style="4" customWidth="1"/>
    <col min="14845" max="14845" width="13.375" style="4" customWidth="1"/>
    <col min="14846" max="14846" width="10.5" style="4" customWidth="1"/>
    <col min="14847" max="14847" width="12.5" style="4" customWidth="1"/>
    <col min="14848" max="14848" width="13.75" style="4" customWidth="1"/>
    <col min="14849" max="14849" width="9" style="4"/>
    <col min="14850" max="14850" width="12.375" style="4" customWidth="1"/>
    <col min="14851" max="14852" width="9" style="4"/>
    <col min="14853" max="14853" width="15.625" style="4" bestFit="1" customWidth="1"/>
    <col min="14854" max="14854" width="18.875" style="4" customWidth="1"/>
    <col min="14855" max="15097" width="9" style="4"/>
    <col min="15098" max="15098" width="9.625" style="4" customWidth="1"/>
    <col min="15099" max="15099" width="11.5" style="4" customWidth="1"/>
    <col min="15100" max="15100" width="9" style="4" customWidth="1"/>
    <col min="15101" max="15101" width="13.375" style="4" customWidth="1"/>
    <col min="15102" max="15102" width="10.5" style="4" customWidth="1"/>
    <col min="15103" max="15103" width="12.5" style="4" customWidth="1"/>
    <col min="15104" max="15104" width="13.75" style="4" customWidth="1"/>
    <col min="15105" max="15105" width="9" style="4"/>
    <col min="15106" max="15106" width="12.375" style="4" customWidth="1"/>
    <col min="15107" max="15108" width="9" style="4"/>
    <col min="15109" max="15109" width="15.625" style="4" bestFit="1" customWidth="1"/>
    <col min="15110" max="15110" width="18.875" style="4" customWidth="1"/>
    <col min="15111" max="15353" width="9" style="4"/>
    <col min="15354" max="15354" width="9.625" style="4" customWidth="1"/>
    <col min="15355" max="15355" width="11.5" style="4" customWidth="1"/>
    <col min="15356" max="15356" width="9" style="4" customWidth="1"/>
    <col min="15357" max="15357" width="13.375" style="4" customWidth="1"/>
    <col min="15358" max="15358" width="10.5" style="4" customWidth="1"/>
    <col min="15359" max="15359" width="12.5" style="4" customWidth="1"/>
    <col min="15360" max="15360" width="13.75" style="4" customWidth="1"/>
    <col min="15361" max="15361" width="9" style="4"/>
    <col min="15362" max="15362" width="12.375" style="4" customWidth="1"/>
    <col min="15363" max="15364" width="9" style="4"/>
    <col min="15365" max="15365" width="15.625" style="4" bestFit="1" customWidth="1"/>
    <col min="15366" max="15366" width="18.875" style="4" customWidth="1"/>
    <col min="15367" max="15609" width="9" style="4"/>
    <col min="15610" max="15610" width="9.625" style="4" customWidth="1"/>
    <col min="15611" max="15611" width="11.5" style="4" customWidth="1"/>
    <col min="15612" max="15612" width="9" style="4" customWidth="1"/>
    <col min="15613" max="15613" width="13.375" style="4" customWidth="1"/>
    <col min="15614" max="15614" width="10.5" style="4" customWidth="1"/>
    <col min="15615" max="15615" width="12.5" style="4" customWidth="1"/>
    <col min="15616" max="15616" width="13.75" style="4" customWidth="1"/>
    <col min="15617" max="15617" width="9" style="4"/>
    <col min="15618" max="15618" width="12.375" style="4" customWidth="1"/>
    <col min="15619" max="15620" width="9" style="4"/>
    <col min="15621" max="15621" width="15.625" style="4" bestFit="1" customWidth="1"/>
    <col min="15622" max="15622" width="18.875" style="4" customWidth="1"/>
    <col min="15623" max="15865" width="9" style="4"/>
    <col min="15866" max="15866" width="9.625" style="4" customWidth="1"/>
    <col min="15867" max="15867" width="11.5" style="4" customWidth="1"/>
    <col min="15868" max="15868" width="9" style="4" customWidth="1"/>
    <col min="15869" max="15869" width="13.375" style="4" customWidth="1"/>
    <col min="15870" max="15870" width="10.5" style="4" customWidth="1"/>
    <col min="15871" max="15871" width="12.5" style="4" customWidth="1"/>
    <col min="15872" max="15872" width="13.75" style="4" customWidth="1"/>
    <col min="15873" max="15873" width="9" style="4"/>
    <col min="15874" max="15874" width="12.375" style="4" customWidth="1"/>
    <col min="15875" max="15876" width="9" style="4"/>
    <col min="15877" max="15877" width="15.625" style="4" bestFit="1" customWidth="1"/>
    <col min="15878" max="15878" width="18.875" style="4" customWidth="1"/>
    <col min="15879" max="16121" width="9" style="4"/>
    <col min="16122" max="16122" width="9.625" style="4" customWidth="1"/>
    <col min="16123" max="16123" width="11.5" style="4" customWidth="1"/>
    <col min="16124" max="16124" width="9" style="4" customWidth="1"/>
    <col min="16125" max="16125" width="13.375" style="4" customWidth="1"/>
    <col min="16126" max="16126" width="10.5" style="4" customWidth="1"/>
    <col min="16127" max="16127" width="12.5" style="4" customWidth="1"/>
    <col min="16128" max="16128" width="13.75" style="4" customWidth="1"/>
    <col min="16129" max="16129" width="9" style="4"/>
    <col min="16130" max="16130" width="12.375" style="4" customWidth="1"/>
    <col min="16131" max="16132" width="9" style="4"/>
    <col min="16133" max="16133" width="15.625" style="4" bestFit="1" customWidth="1"/>
    <col min="16134" max="16134" width="18.875" style="4" customWidth="1"/>
    <col min="16135" max="16384" width="9" style="4"/>
  </cols>
  <sheetData>
    <row r="1" spans="1:25" ht="16.5" x14ac:dyDescent="0.15">
      <c r="A1" s="5" t="s">
        <v>28</v>
      </c>
      <c r="B1" s="6" t="s">
        <v>29</v>
      </c>
    </row>
    <row r="2" spans="1:25" x14ac:dyDescent="0.15">
      <c r="A2" s="4" t="s">
        <v>0</v>
      </c>
      <c r="B2" s="4" t="s">
        <v>2644</v>
      </c>
    </row>
    <row r="3" spans="1:25" x14ac:dyDescent="0.15">
      <c r="A3" s="4" t="s">
        <v>11</v>
      </c>
      <c r="D3" s="4" t="s">
        <v>12</v>
      </c>
      <c r="E3" s="4" t="s">
        <v>2717</v>
      </c>
      <c r="F3" s="4" t="s">
        <v>12</v>
      </c>
      <c r="G3" s="4" t="s">
        <v>12</v>
      </c>
      <c r="H3" s="4" t="s">
        <v>12</v>
      </c>
      <c r="I3" s="4" t="s">
        <v>3165</v>
      </c>
      <c r="J3" s="4" t="s">
        <v>16</v>
      </c>
      <c r="K3" s="4" t="s">
        <v>12</v>
      </c>
      <c r="L3" s="4" t="s">
        <v>12</v>
      </c>
      <c r="M3" s="4" t="s">
        <v>12</v>
      </c>
      <c r="N3" s="4" t="s">
        <v>12</v>
      </c>
      <c r="O3" s="4" t="s">
        <v>2723</v>
      </c>
      <c r="P3" s="4" t="s">
        <v>12</v>
      </c>
      <c r="Q3" s="4" t="s">
        <v>3021</v>
      </c>
      <c r="R3" s="29" t="s">
        <v>2646</v>
      </c>
      <c r="S3" s="31" t="s">
        <v>2646</v>
      </c>
      <c r="T3" s="30" t="s">
        <v>3161</v>
      </c>
      <c r="U3" s="4" t="s">
        <v>2738</v>
      </c>
      <c r="V3" s="4" t="s">
        <v>2738</v>
      </c>
      <c r="W3" s="4" t="s">
        <v>2738</v>
      </c>
      <c r="X3" s="4" t="s">
        <v>2714</v>
      </c>
    </row>
    <row r="4" spans="1:25" x14ac:dyDescent="0.15">
      <c r="A4" s="4" t="s">
        <v>9</v>
      </c>
      <c r="D4" s="4" t="s">
        <v>13</v>
      </c>
      <c r="E4" s="4" t="s">
        <v>2718</v>
      </c>
      <c r="F4" s="4" t="s">
        <v>2708</v>
      </c>
      <c r="G4" s="4" t="s">
        <v>2709</v>
      </c>
      <c r="H4" s="4" t="s">
        <v>2710</v>
      </c>
      <c r="I4" s="4" t="s">
        <v>3164</v>
      </c>
      <c r="J4" s="4" t="s">
        <v>2711</v>
      </c>
      <c r="K4" s="4" t="s">
        <v>2670</v>
      </c>
      <c r="L4" s="4" t="s">
        <v>2712</v>
      </c>
      <c r="M4" s="4" t="s">
        <v>2733</v>
      </c>
      <c r="N4" s="4" t="s">
        <v>2713</v>
      </c>
      <c r="O4" s="4" t="s">
        <v>2725</v>
      </c>
      <c r="P4" s="4" t="s">
        <v>3020</v>
      </c>
      <c r="Q4" s="4" t="s">
        <v>3022</v>
      </c>
      <c r="R4" s="29" t="s">
        <v>2957</v>
      </c>
      <c r="S4" s="31" t="s">
        <v>2955</v>
      </c>
      <c r="T4" s="30" t="s">
        <v>3162</v>
      </c>
      <c r="U4" s="4" t="s">
        <v>2972</v>
      </c>
      <c r="V4" s="4" t="s">
        <v>2778</v>
      </c>
      <c r="W4" s="4" t="s">
        <v>2740</v>
      </c>
      <c r="X4" s="4" t="s">
        <v>2715</v>
      </c>
    </row>
    <row r="5" spans="1:25" x14ac:dyDescent="0.15">
      <c r="E5" s="4" t="s">
        <v>2719</v>
      </c>
      <c r="F5" s="4" t="s">
        <v>2702</v>
      </c>
      <c r="G5" s="4" t="s">
        <v>2703</v>
      </c>
      <c r="H5" s="4" t="s">
        <v>2706</v>
      </c>
      <c r="I5" s="4" t="s">
        <v>3166</v>
      </c>
      <c r="J5" s="4" t="s">
        <v>2704</v>
      </c>
      <c r="K5" s="4" t="s">
        <v>2648</v>
      </c>
      <c r="L5" s="4" t="s">
        <v>2705</v>
      </c>
      <c r="M5" s="4" t="s">
        <v>2734</v>
      </c>
      <c r="N5" s="4" t="s">
        <v>2707</v>
      </c>
      <c r="O5" s="4" t="s">
        <v>2724</v>
      </c>
      <c r="P5" s="4" t="s">
        <v>3011</v>
      </c>
      <c r="Q5" s="4" t="s">
        <v>3023</v>
      </c>
      <c r="R5" s="29" t="s">
        <v>2949</v>
      </c>
      <c r="S5" s="31" t="s">
        <v>2951</v>
      </c>
      <c r="T5" s="30" t="s">
        <v>3163</v>
      </c>
      <c r="U5" s="4" t="s">
        <v>2739</v>
      </c>
      <c r="V5" s="4" t="s">
        <v>2746</v>
      </c>
      <c r="W5" s="4" t="s">
        <v>2741</v>
      </c>
      <c r="X5" s="4" t="s">
        <v>2716</v>
      </c>
    </row>
    <row r="7" spans="1:25" x14ac:dyDescent="0.15">
      <c r="A7" s="4" t="s">
        <v>2720</v>
      </c>
      <c r="C7" s="4" t="s">
        <v>2726</v>
      </c>
      <c r="D7" s="4">
        <v>11</v>
      </c>
      <c r="E7" s="4" t="s">
        <v>2721</v>
      </c>
      <c r="F7" s="4">
        <v>4</v>
      </c>
      <c r="G7" s="4">
        <v>2</v>
      </c>
      <c r="H7" s="4">
        <v>2</v>
      </c>
      <c r="I7" s="4" t="b">
        <v>0</v>
      </c>
      <c r="J7" s="4" t="b">
        <v>0</v>
      </c>
      <c r="K7" s="4">
        <v>1</v>
      </c>
      <c r="L7" s="4">
        <v>0</v>
      </c>
      <c r="M7" s="4">
        <v>10</v>
      </c>
      <c r="N7" s="4">
        <v>2</v>
      </c>
      <c r="O7" s="4">
        <v>0.2</v>
      </c>
      <c r="P7" s="4">
        <v>0</v>
      </c>
      <c r="Q7" s="4">
        <v>0</v>
      </c>
      <c r="R7" s="29">
        <v>0</v>
      </c>
      <c r="S7" s="31">
        <v>0</v>
      </c>
      <c r="T7" s="30">
        <v>0</v>
      </c>
      <c r="U7" s="4">
        <v>0</v>
      </c>
      <c r="V7" s="4">
        <v>0</v>
      </c>
      <c r="W7" s="4">
        <v>0</v>
      </c>
      <c r="X7" s="4">
        <v>2</v>
      </c>
      <c r="Y7" s="4" t="s">
        <v>2729</v>
      </c>
    </row>
    <row r="8" spans="1:25" x14ac:dyDescent="0.15">
      <c r="A8" s="4" t="s">
        <v>2720</v>
      </c>
      <c r="C8" s="4" t="s">
        <v>2735</v>
      </c>
      <c r="D8" s="4">
        <v>12</v>
      </c>
      <c r="E8" s="4" t="s">
        <v>2736</v>
      </c>
      <c r="F8" s="4">
        <v>8</v>
      </c>
      <c r="G8" s="4">
        <v>2</v>
      </c>
      <c r="H8" s="4">
        <v>2</v>
      </c>
      <c r="I8" s="4" t="b">
        <v>0</v>
      </c>
      <c r="J8" s="4" t="b">
        <v>0</v>
      </c>
      <c r="K8" s="4">
        <v>1</v>
      </c>
      <c r="L8" s="4">
        <v>1</v>
      </c>
      <c r="M8" s="4">
        <v>10</v>
      </c>
      <c r="N8" s="4">
        <v>3</v>
      </c>
      <c r="O8" s="4">
        <v>0.2</v>
      </c>
      <c r="P8" s="4">
        <v>0</v>
      </c>
      <c r="Q8" s="4">
        <v>0</v>
      </c>
      <c r="R8" s="29">
        <v>0</v>
      </c>
      <c r="S8" s="31">
        <v>0</v>
      </c>
      <c r="T8" s="30">
        <v>0</v>
      </c>
      <c r="U8" s="4">
        <v>0</v>
      </c>
      <c r="V8" s="4">
        <v>0</v>
      </c>
      <c r="W8" s="4">
        <v>0</v>
      </c>
      <c r="X8" s="4">
        <v>1</v>
      </c>
      <c r="Y8" s="4" t="s">
        <v>2737</v>
      </c>
    </row>
    <row r="9" spans="1:25" x14ac:dyDescent="0.15">
      <c r="A9" s="4" t="s">
        <v>2720</v>
      </c>
      <c r="C9" s="4" t="s">
        <v>2731</v>
      </c>
      <c r="D9" s="4">
        <v>13</v>
      </c>
      <c r="E9" s="4" t="s">
        <v>2732</v>
      </c>
      <c r="F9" s="4">
        <v>6</v>
      </c>
      <c r="G9" s="4">
        <v>1</v>
      </c>
      <c r="H9" s="4">
        <v>0.5</v>
      </c>
      <c r="I9" s="4" t="b">
        <v>1</v>
      </c>
      <c r="J9" s="4" t="b">
        <v>0</v>
      </c>
      <c r="K9" s="4">
        <v>1</v>
      </c>
      <c r="L9" s="4">
        <v>1.5</v>
      </c>
      <c r="M9" s="4">
        <v>0</v>
      </c>
      <c r="N9" s="4">
        <v>4</v>
      </c>
      <c r="O9" s="4">
        <v>1</v>
      </c>
      <c r="P9" s="4">
        <v>0</v>
      </c>
      <c r="Q9" s="4">
        <v>0</v>
      </c>
      <c r="R9" s="29">
        <v>0.5</v>
      </c>
      <c r="S9" s="31">
        <v>0.05</v>
      </c>
      <c r="T9" s="30">
        <v>2</v>
      </c>
      <c r="U9" s="4">
        <v>0</v>
      </c>
      <c r="V9" s="4">
        <v>0</v>
      </c>
      <c r="W9" s="4">
        <v>101</v>
      </c>
      <c r="X9" s="4">
        <v>0</v>
      </c>
    </row>
    <row r="10" spans="1:25" x14ac:dyDescent="0.15">
      <c r="A10" s="4" t="s">
        <v>2663</v>
      </c>
      <c r="C10" s="4" t="s">
        <v>2824</v>
      </c>
      <c r="D10" s="4">
        <v>14</v>
      </c>
      <c r="E10" s="4" t="s">
        <v>2971</v>
      </c>
      <c r="F10" s="4">
        <v>6</v>
      </c>
      <c r="G10" s="4">
        <v>1</v>
      </c>
      <c r="H10" s="4">
        <v>0.5</v>
      </c>
      <c r="I10" s="4" t="b">
        <v>1</v>
      </c>
      <c r="J10" s="4" t="b">
        <v>0</v>
      </c>
      <c r="K10" s="4">
        <v>1</v>
      </c>
      <c r="L10" s="4">
        <v>2</v>
      </c>
      <c r="M10" s="4">
        <v>0</v>
      </c>
      <c r="N10" s="4">
        <v>4</v>
      </c>
      <c r="O10" s="4">
        <v>1</v>
      </c>
      <c r="P10" s="4">
        <v>0</v>
      </c>
      <c r="Q10" s="4">
        <v>0</v>
      </c>
      <c r="R10" s="29">
        <v>0.5</v>
      </c>
      <c r="S10" s="31">
        <v>0.05</v>
      </c>
      <c r="T10" s="30">
        <v>2</v>
      </c>
      <c r="U10" s="4">
        <v>0</v>
      </c>
      <c r="V10" s="4">
        <v>0</v>
      </c>
      <c r="W10" s="4">
        <v>0</v>
      </c>
      <c r="X10" s="4">
        <v>0</v>
      </c>
      <c r="Y10" s="4" t="s">
        <v>2825</v>
      </c>
    </row>
    <row r="12" spans="1:25" x14ac:dyDescent="0.15">
      <c r="A12" s="4" t="s">
        <v>2663</v>
      </c>
      <c r="C12" s="4" t="s">
        <v>2945</v>
      </c>
      <c r="D12" s="4">
        <v>21</v>
      </c>
      <c r="E12" s="4" t="s">
        <v>2910</v>
      </c>
      <c r="F12" s="4">
        <v>6</v>
      </c>
      <c r="G12" s="4">
        <v>2</v>
      </c>
      <c r="H12" s="4">
        <v>2</v>
      </c>
      <c r="I12" s="4" t="b">
        <v>0</v>
      </c>
      <c r="J12" s="4" t="b">
        <v>1</v>
      </c>
      <c r="K12" s="4">
        <v>1</v>
      </c>
      <c r="L12" s="4">
        <v>0</v>
      </c>
      <c r="M12" s="4">
        <v>290</v>
      </c>
      <c r="N12" s="4">
        <v>1</v>
      </c>
      <c r="O12" s="4">
        <v>0</v>
      </c>
      <c r="P12" s="4">
        <v>0</v>
      </c>
      <c r="Q12" s="4">
        <v>0</v>
      </c>
      <c r="R12" s="29">
        <v>0</v>
      </c>
      <c r="S12" s="31">
        <v>0</v>
      </c>
      <c r="T12" s="30">
        <v>0</v>
      </c>
      <c r="U12" s="4">
        <v>0</v>
      </c>
      <c r="V12" s="4">
        <v>0</v>
      </c>
      <c r="W12" s="4">
        <v>0</v>
      </c>
      <c r="X12" s="4">
        <v>1</v>
      </c>
      <c r="Y12" s="4" t="s">
        <v>2729</v>
      </c>
    </row>
    <row r="13" spans="1:25" x14ac:dyDescent="0.15">
      <c r="A13" s="4" t="s">
        <v>2663</v>
      </c>
      <c r="C13" s="4" t="s">
        <v>2945</v>
      </c>
      <c r="D13" s="4">
        <v>22</v>
      </c>
      <c r="E13" s="4" t="s">
        <v>2910</v>
      </c>
      <c r="F13" s="4">
        <v>6</v>
      </c>
      <c r="G13" s="4">
        <v>2</v>
      </c>
      <c r="H13" s="4">
        <v>2</v>
      </c>
      <c r="I13" s="4" t="b">
        <v>0</v>
      </c>
      <c r="J13" s="4" t="b">
        <v>1</v>
      </c>
      <c r="K13" s="4">
        <v>1</v>
      </c>
      <c r="L13" s="4">
        <v>0</v>
      </c>
      <c r="M13" s="4">
        <v>290</v>
      </c>
      <c r="N13" s="4">
        <v>1</v>
      </c>
      <c r="O13" s="4">
        <v>0</v>
      </c>
      <c r="P13" s="4">
        <v>0</v>
      </c>
      <c r="Q13" s="4">
        <v>0</v>
      </c>
      <c r="R13" s="29">
        <v>0</v>
      </c>
      <c r="S13" s="31">
        <v>0</v>
      </c>
      <c r="T13" s="30">
        <v>0</v>
      </c>
      <c r="U13" s="4">
        <v>0</v>
      </c>
      <c r="V13" s="4">
        <v>0</v>
      </c>
      <c r="W13" s="4">
        <v>0</v>
      </c>
      <c r="X13" s="4">
        <v>1</v>
      </c>
      <c r="Y13" s="4" t="s">
        <v>2729</v>
      </c>
    </row>
    <row r="14" spans="1:25" x14ac:dyDescent="0.15">
      <c r="A14" s="4" t="s">
        <v>2663</v>
      </c>
      <c r="C14" s="4" t="s">
        <v>2945</v>
      </c>
      <c r="D14" s="4">
        <v>23</v>
      </c>
      <c r="E14" s="4" t="s">
        <v>2910</v>
      </c>
      <c r="F14" s="4">
        <v>6</v>
      </c>
      <c r="G14" s="4">
        <v>2</v>
      </c>
      <c r="H14" s="4">
        <v>2</v>
      </c>
      <c r="I14" s="4" t="b">
        <v>0</v>
      </c>
      <c r="J14" s="4" t="b">
        <v>1</v>
      </c>
      <c r="K14" s="4">
        <v>1</v>
      </c>
      <c r="L14" s="4">
        <v>0</v>
      </c>
      <c r="M14" s="4">
        <v>290</v>
      </c>
      <c r="N14" s="4">
        <v>2</v>
      </c>
      <c r="O14" s="4">
        <v>0.2</v>
      </c>
      <c r="P14" s="4">
        <v>0</v>
      </c>
      <c r="Q14" s="4">
        <v>0</v>
      </c>
      <c r="R14" s="29">
        <v>0</v>
      </c>
      <c r="S14" s="31">
        <v>0</v>
      </c>
      <c r="T14" s="30">
        <v>0</v>
      </c>
      <c r="U14" s="4">
        <v>0</v>
      </c>
      <c r="V14" s="4">
        <v>0</v>
      </c>
      <c r="W14" s="4">
        <v>0</v>
      </c>
      <c r="X14" s="4">
        <v>1</v>
      </c>
      <c r="Y14" s="4" t="s">
        <v>2729</v>
      </c>
    </row>
    <row r="15" spans="1:25" x14ac:dyDescent="0.15">
      <c r="A15" s="4" t="s">
        <v>2663</v>
      </c>
      <c r="C15" s="4" t="s">
        <v>3029</v>
      </c>
      <c r="D15" s="4">
        <v>24</v>
      </c>
      <c r="E15" s="4" t="s">
        <v>3028</v>
      </c>
      <c r="F15" s="4">
        <v>0</v>
      </c>
      <c r="G15" s="4">
        <v>1</v>
      </c>
      <c r="H15" s="4">
        <v>0.5</v>
      </c>
      <c r="I15" s="4" t="b">
        <v>1</v>
      </c>
      <c r="J15" s="4" t="b">
        <v>0</v>
      </c>
      <c r="K15" s="4">
        <v>1</v>
      </c>
      <c r="L15" s="4">
        <v>0</v>
      </c>
      <c r="M15" s="4">
        <v>0</v>
      </c>
      <c r="N15" s="4">
        <v>0</v>
      </c>
      <c r="O15" s="4">
        <v>0</v>
      </c>
      <c r="P15" s="4">
        <v>1001</v>
      </c>
      <c r="Q15" s="4">
        <v>20</v>
      </c>
      <c r="R15" s="29">
        <v>0</v>
      </c>
      <c r="S15" s="31">
        <v>0</v>
      </c>
      <c r="T15" s="30">
        <v>0</v>
      </c>
      <c r="U15" s="4">
        <v>0</v>
      </c>
      <c r="V15" s="4">
        <v>0</v>
      </c>
      <c r="W15" s="4">
        <v>0</v>
      </c>
      <c r="X15" s="4">
        <v>3</v>
      </c>
      <c r="Y15" s="4" t="s">
        <v>3030</v>
      </c>
    </row>
    <row r="16" spans="1:25" x14ac:dyDescent="0.15">
      <c r="A16" s="4" t="s">
        <v>2663</v>
      </c>
      <c r="C16" s="4" t="s">
        <v>3029</v>
      </c>
      <c r="D16" s="4">
        <v>25</v>
      </c>
      <c r="E16" s="4" t="s">
        <v>3028</v>
      </c>
      <c r="F16" s="4">
        <v>0</v>
      </c>
      <c r="G16" s="4">
        <v>1</v>
      </c>
      <c r="H16" s="4">
        <v>0.5</v>
      </c>
      <c r="I16" s="4" t="b">
        <v>1</v>
      </c>
      <c r="J16" s="4" t="b">
        <v>0</v>
      </c>
      <c r="K16" s="4">
        <v>1</v>
      </c>
      <c r="L16" s="4">
        <v>0</v>
      </c>
      <c r="M16" s="4">
        <v>0</v>
      </c>
      <c r="N16" s="4">
        <v>0</v>
      </c>
      <c r="O16" s="4">
        <v>0</v>
      </c>
      <c r="P16" s="4">
        <v>1002</v>
      </c>
      <c r="Q16" s="4">
        <v>20</v>
      </c>
      <c r="R16" s="29">
        <v>0</v>
      </c>
      <c r="S16" s="31">
        <v>0</v>
      </c>
      <c r="T16" s="30">
        <v>0</v>
      </c>
      <c r="U16" s="4">
        <v>0</v>
      </c>
      <c r="V16" s="4">
        <v>0</v>
      </c>
      <c r="W16" s="4">
        <v>0</v>
      </c>
      <c r="X16" s="4">
        <v>3</v>
      </c>
      <c r="Y16" s="4" t="s">
        <v>3013</v>
      </c>
    </row>
    <row r="17" spans="1:25" x14ac:dyDescent="0.15">
      <c r="A17" s="4" t="s">
        <v>2663</v>
      </c>
      <c r="C17" s="4" t="s">
        <v>3029</v>
      </c>
      <c r="D17" s="4">
        <v>26</v>
      </c>
      <c r="E17" s="4" t="s">
        <v>3028</v>
      </c>
      <c r="F17" s="4">
        <v>0</v>
      </c>
      <c r="G17" s="4">
        <v>1</v>
      </c>
      <c r="H17" s="4">
        <v>0.5</v>
      </c>
      <c r="I17" s="4" t="b">
        <v>1</v>
      </c>
      <c r="J17" s="4" t="b">
        <v>0</v>
      </c>
      <c r="K17" s="4">
        <v>1</v>
      </c>
      <c r="L17" s="4">
        <v>0</v>
      </c>
      <c r="M17" s="4">
        <v>0</v>
      </c>
      <c r="N17" s="4">
        <v>0</v>
      </c>
      <c r="O17" s="4">
        <v>0</v>
      </c>
      <c r="P17" s="4">
        <v>1003</v>
      </c>
      <c r="Q17" s="4">
        <v>20</v>
      </c>
      <c r="R17" s="29">
        <v>0</v>
      </c>
      <c r="S17" s="31">
        <v>0</v>
      </c>
      <c r="T17" s="30">
        <v>0</v>
      </c>
      <c r="U17" s="4">
        <v>0</v>
      </c>
      <c r="V17" s="4">
        <v>0</v>
      </c>
      <c r="W17" s="4">
        <v>0</v>
      </c>
      <c r="X17" s="4">
        <v>3</v>
      </c>
      <c r="Y17" s="4" t="s">
        <v>3013</v>
      </c>
    </row>
    <row r="18" spans="1:25" x14ac:dyDescent="0.15">
      <c r="A18" s="4" t="s">
        <v>2663</v>
      </c>
      <c r="C18" s="4" t="s">
        <v>3136</v>
      </c>
      <c r="D18" s="4">
        <v>27</v>
      </c>
      <c r="E18" s="4" t="s">
        <v>2810</v>
      </c>
      <c r="F18" s="4">
        <v>6</v>
      </c>
      <c r="G18" s="4">
        <v>0.1</v>
      </c>
      <c r="H18" s="4">
        <v>0</v>
      </c>
      <c r="I18" s="4" t="b">
        <v>1</v>
      </c>
      <c r="J18" s="4" t="b">
        <v>0</v>
      </c>
      <c r="K18" s="4">
        <v>1</v>
      </c>
      <c r="L18" s="4">
        <v>3</v>
      </c>
      <c r="M18" s="4">
        <v>0</v>
      </c>
      <c r="N18" s="4">
        <v>6</v>
      </c>
      <c r="O18" s="4">
        <v>0.5</v>
      </c>
      <c r="P18" s="4">
        <v>0</v>
      </c>
      <c r="Q18" s="4">
        <v>0</v>
      </c>
      <c r="R18" s="29">
        <v>0.5</v>
      </c>
      <c r="S18" s="31">
        <v>0.05</v>
      </c>
      <c r="T18" s="30">
        <v>2</v>
      </c>
      <c r="U18" s="4">
        <v>0</v>
      </c>
      <c r="V18" s="4">
        <v>0</v>
      </c>
      <c r="W18" s="4">
        <v>0</v>
      </c>
      <c r="X18" s="4">
        <v>0</v>
      </c>
    </row>
    <row r="20" spans="1:25" x14ac:dyDescent="0.15">
      <c r="A20" s="4" t="s">
        <v>2720</v>
      </c>
      <c r="C20" s="4" t="s">
        <v>2991</v>
      </c>
      <c r="D20" s="4">
        <v>31</v>
      </c>
      <c r="E20" s="4" t="s">
        <v>2990</v>
      </c>
      <c r="F20" s="4">
        <v>6</v>
      </c>
      <c r="G20" s="4">
        <v>2</v>
      </c>
      <c r="H20" s="4">
        <v>2</v>
      </c>
      <c r="I20" s="4" t="b">
        <v>0</v>
      </c>
      <c r="J20" s="4" t="b">
        <v>0</v>
      </c>
      <c r="K20" s="4">
        <v>1</v>
      </c>
      <c r="L20" s="4">
        <v>0</v>
      </c>
      <c r="M20" s="4">
        <v>390</v>
      </c>
      <c r="N20" s="4">
        <v>2</v>
      </c>
      <c r="O20" s="4">
        <v>0.2</v>
      </c>
      <c r="P20" s="4">
        <v>0</v>
      </c>
      <c r="Q20" s="4">
        <v>0</v>
      </c>
      <c r="R20" s="29">
        <v>0</v>
      </c>
      <c r="S20" s="31">
        <v>0</v>
      </c>
      <c r="T20" s="30">
        <v>0</v>
      </c>
      <c r="U20" s="4">
        <v>0</v>
      </c>
      <c r="V20" s="4">
        <v>0</v>
      </c>
      <c r="W20" s="4">
        <v>0</v>
      </c>
      <c r="X20" s="4">
        <v>1</v>
      </c>
      <c r="Y20" s="4" t="s">
        <v>2729</v>
      </c>
    </row>
    <row r="21" spans="1:25" x14ac:dyDescent="0.15">
      <c r="A21" s="4" t="s">
        <v>2720</v>
      </c>
      <c r="C21" s="4" t="s">
        <v>2992</v>
      </c>
      <c r="D21" s="4">
        <v>32</v>
      </c>
      <c r="E21" s="4" t="s">
        <v>2993</v>
      </c>
      <c r="F21" s="4">
        <v>8</v>
      </c>
      <c r="G21" s="4">
        <v>2</v>
      </c>
      <c r="H21" s="4">
        <v>2</v>
      </c>
      <c r="I21" s="4" t="b">
        <v>0</v>
      </c>
      <c r="J21" s="4" t="b">
        <v>0</v>
      </c>
      <c r="K21" s="4">
        <v>1</v>
      </c>
      <c r="L21" s="4">
        <v>1</v>
      </c>
      <c r="M21" s="4">
        <v>390</v>
      </c>
      <c r="N21" s="4">
        <v>3</v>
      </c>
      <c r="O21" s="4">
        <v>0.2</v>
      </c>
      <c r="P21" s="4">
        <v>0</v>
      </c>
      <c r="Q21" s="4">
        <v>0</v>
      </c>
      <c r="R21" s="29">
        <v>0</v>
      </c>
      <c r="S21" s="31">
        <v>0</v>
      </c>
      <c r="T21" s="30">
        <v>0</v>
      </c>
      <c r="U21" s="4">
        <v>0</v>
      </c>
      <c r="V21" s="4">
        <v>0</v>
      </c>
      <c r="W21" s="4">
        <v>0</v>
      </c>
      <c r="X21" s="4">
        <v>1</v>
      </c>
      <c r="Y21" s="4" t="s">
        <v>2737</v>
      </c>
    </row>
    <row r="22" spans="1:25" x14ac:dyDescent="0.15">
      <c r="A22" s="4" t="s">
        <v>2720</v>
      </c>
      <c r="C22" s="4" t="s">
        <v>2995</v>
      </c>
      <c r="D22" s="4">
        <v>33</v>
      </c>
      <c r="E22" s="4" t="s">
        <v>2994</v>
      </c>
      <c r="F22" s="4">
        <v>6</v>
      </c>
      <c r="G22" s="4">
        <v>1.1000000000000001</v>
      </c>
      <c r="H22" s="4">
        <v>1</v>
      </c>
      <c r="I22" s="4" t="b">
        <v>1</v>
      </c>
      <c r="J22" s="4" t="b">
        <v>0</v>
      </c>
      <c r="K22" s="4">
        <v>1</v>
      </c>
      <c r="L22" s="4">
        <v>1.5</v>
      </c>
      <c r="M22" s="4">
        <v>0</v>
      </c>
      <c r="N22" s="4">
        <v>1</v>
      </c>
      <c r="O22" s="4">
        <v>0</v>
      </c>
      <c r="P22" s="4">
        <v>0</v>
      </c>
      <c r="Q22" s="4">
        <v>0</v>
      </c>
      <c r="R22" s="29">
        <v>0</v>
      </c>
      <c r="S22" s="31">
        <v>0</v>
      </c>
      <c r="T22" s="30">
        <v>0</v>
      </c>
      <c r="U22" s="4">
        <v>0</v>
      </c>
      <c r="V22" s="4">
        <v>0</v>
      </c>
      <c r="W22" s="4">
        <v>102</v>
      </c>
      <c r="X22" s="4">
        <v>0</v>
      </c>
    </row>
    <row r="23" spans="1:25" x14ac:dyDescent="0.15">
      <c r="A23" s="4" t="s">
        <v>2663</v>
      </c>
      <c r="C23" s="4" t="s">
        <v>3134</v>
      </c>
      <c r="D23" s="4">
        <v>34</v>
      </c>
      <c r="E23" s="4" t="s">
        <v>3135</v>
      </c>
      <c r="F23" s="4">
        <v>6</v>
      </c>
      <c r="G23" s="4">
        <v>2.6</v>
      </c>
      <c r="H23" s="4">
        <v>1.6</v>
      </c>
      <c r="I23" s="4" t="b">
        <v>1</v>
      </c>
      <c r="J23" s="4" t="b">
        <v>0</v>
      </c>
      <c r="K23" s="4">
        <v>1</v>
      </c>
      <c r="L23" s="4">
        <v>3</v>
      </c>
      <c r="M23" s="4">
        <v>0</v>
      </c>
      <c r="N23" s="4">
        <v>3</v>
      </c>
      <c r="O23" s="4">
        <v>0.2</v>
      </c>
      <c r="P23" s="4">
        <v>0</v>
      </c>
      <c r="Q23" s="4">
        <v>0</v>
      </c>
      <c r="R23" s="29">
        <v>0.5</v>
      </c>
      <c r="S23" s="31">
        <v>0.05</v>
      </c>
      <c r="T23" s="30">
        <v>1</v>
      </c>
      <c r="U23" s="4">
        <v>0</v>
      </c>
      <c r="V23" s="4">
        <v>0</v>
      </c>
      <c r="W23" s="4">
        <v>0</v>
      </c>
      <c r="X23" s="4">
        <v>0</v>
      </c>
    </row>
    <row r="25" spans="1:25" x14ac:dyDescent="0.15">
      <c r="A25" s="4" t="s">
        <v>2662</v>
      </c>
      <c r="C25" s="4" t="s">
        <v>3379</v>
      </c>
      <c r="D25" s="4">
        <v>41</v>
      </c>
      <c r="E25" s="4" t="s">
        <v>3380</v>
      </c>
      <c r="F25" s="4">
        <v>6</v>
      </c>
      <c r="G25" s="4">
        <v>2</v>
      </c>
      <c r="H25" s="4">
        <v>2</v>
      </c>
      <c r="I25" s="4" t="b">
        <v>0</v>
      </c>
      <c r="J25" s="4" t="b">
        <v>0</v>
      </c>
      <c r="K25" s="4">
        <v>1</v>
      </c>
      <c r="L25" s="4">
        <v>0</v>
      </c>
      <c r="M25" s="4">
        <v>590</v>
      </c>
      <c r="N25" s="4">
        <v>2</v>
      </c>
      <c r="O25" s="4">
        <v>0.2</v>
      </c>
      <c r="P25" s="4">
        <v>0</v>
      </c>
      <c r="Q25" s="4">
        <v>0</v>
      </c>
      <c r="R25" s="29">
        <v>0</v>
      </c>
      <c r="S25" s="31">
        <v>0</v>
      </c>
      <c r="T25" s="30">
        <v>0</v>
      </c>
      <c r="U25" s="4">
        <v>0</v>
      </c>
      <c r="V25" s="4">
        <v>0</v>
      </c>
      <c r="W25" s="4">
        <v>0</v>
      </c>
      <c r="X25" s="4">
        <v>1</v>
      </c>
      <c r="Y25" s="4" t="s">
        <v>3381</v>
      </c>
    </row>
    <row r="26" spans="1:25" x14ac:dyDescent="0.15">
      <c r="A26" s="4" t="s">
        <v>2662</v>
      </c>
      <c r="C26" s="4" t="s">
        <v>3382</v>
      </c>
      <c r="D26" s="4">
        <v>42</v>
      </c>
      <c r="E26" s="4" t="s">
        <v>3383</v>
      </c>
      <c r="F26" s="4">
        <v>2</v>
      </c>
      <c r="G26" s="4">
        <v>4</v>
      </c>
      <c r="H26" s="4">
        <v>4</v>
      </c>
      <c r="I26" s="4" t="b">
        <v>0</v>
      </c>
      <c r="J26" s="4" t="b">
        <v>0</v>
      </c>
      <c r="K26" s="4">
        <v>1</v>
      </c>
      <c r="L26" s="4">
        <v>1.5</v>
      </c>
      <c r="M26" s="4">
        <v>0</v>
      </c>
      <c r="N26" s="4">
        <v>2</v>
      </c>
      <c r="O26" s="4">
        <v>0.2</v>
      </c>
      <c r="P26" s="4">
        <v>0</v>
      </c>
      <c r="Q26" s="4">
        <v>0</v>
      </c>
      <c r="R26" s="29">
        <v>0</v>
      </c>
      <c r="S26" s="31">
        <v>0</v>
      </c>
      <c r="T26" s="30">
        <v>0</v>
      </c>
      <c r="U26" s="4">
        <v>0</v>
      </c>
      <c r="V26" s="4">
        <v>0</v>
      </c>
      <c r="W26" s="4">
        <v>103</v>
      </c>
      <c r="X26" s="4">
        <v>1</v>
      </c>
      <c r="Y26" s="4" t="s">
        <v>3384</v>
      </c>
    </row>
    <row r="27" spans="1:25" x14ac:dyDescent="0.15">
      <c r="A27" s="4" t="s">
        <v>2662</v>
      </c>
      <c r="C27" s="4" t="s">
        <v>3385</v>
      </c>
      <c r="D27" s="4">
        <v>43</v>
      </c>
      <c r="E27" s="4" t="s">
        <v>3386</v>
      </c>
      <c r="F27" s="4">
        <v>6</v>
      </c>
      <c r="G27" s="4">
        <v>0.1</v>
      </c>
      <c r="H27" s="4">
        <v>0</v>
      </c>
      <c r="I27" s="4" t="b">
        <v>1</v>
      </c>
      <c r="J27" s="4" t="b">
        <v>0</v>
      </c>
      <c r="K27" s="4">
        <v>3</v>
      </c>
      <c r="L27" s="4">
        <v>3</v>
      </c>
      <c r="M27" s="4">
        <v>0</v>
      </c>
      <c r="N27" s="4">
        <v>2</v>
      </c>
      <c r="O27" s="4">
        <v>0.2</v>
      </c>
      <c r="P27" s="4">
        <v>0</v>
      </c>
      <c r="Q27" s="4">
        <v>0</v>
      </c>
      <c r="R27" s="29">
        <v>0.5</v>
      </c>
      <c r="S27" s="31">
        <v>0.05</v>
      </c>
      <c r="T27" s="30">
        <v>2</v>
      </c>
      <c r="U27" s="4">
        <v>0</v>
      </c>
      <c r="V27" s="4">
        <v>0</v>
      </c>
      <c r="W27" s="4">
        <v>0</v>
      </c>
      <c r="X27" s="4">
        <v>0</v>
      </c>
    </row>
    <row r="29" spans="1:25" x14ac:dyDescent="0.15">
      <c r="A29" s="4" t="s">
        <v>2662</v>
      </c>
      <c r="C29" s="4" t="s">
        <v>3669</v>
      </c>
      <c r="D29" s="4">
        <v>51</v>
      </c>
      <c r="E29" s="4" t="s">
        <v>3672</v>
      </c>
      <c r="F29" s="4">
        <v>6</v>
      </c>
      <c r="G29" s="4">
        <v>2</v>
      </c>
      <c r="H29" s="4">
        <v>2</v>
      </c>
      <c r="I29" s="4" t="b">
        <v>0</v>
      </c>
      <c r="J29" s="4" t="b">
        <v>0</v>
      </c>
      <c r="K29" s="4">
        <v>1</v>
      </c>
      <c r="L29" s="4">
        <v>0</v>
      </c>
      <c r="M29" s="4">
        <v>890</v>
      </c>
      <c r="N29" s="4">
        <v>2</v>
      </c>
      <c r="O29" s="4">
        <v>0.2</v>
      </c>
      <c r="P29" s="4">
        <v>0</v>
      </c>
      <c r="Q29" s="4">
        <v>0</v>
      </c>
      <c r="R29" s="29">
        <v>0</v>
      </c>
      <c r="S29" s="31">
        <v>0</v>
      </c>
      <c r="T29" s="30">
        <v>0</v>
      </c>
      <c r="U29" s="4">
        <v>0</v>
      </c>
      <c r="V29" s="4">
        <v>0</v>
      </c>
      <c r="W29" s="4">
        <v>0</v>
      </c>
      <c r="X29" s="4">
        <v>2</v>
      </c>
      <c r="Y29" s="4" t="s">
        <v>3381</v>
      </c>
    </row>
    <row r="30" spans="1:25" x14ac:dyDescent="0.15">
      <c r="A30" s="4" t="s">
        <v>2662</v>
      </c>
      <c r="C30" s="4" t="s">
        <v>3670</v>
      </c>
      <c r="D30" s="4">
        <v>52</v>
      </c>
      <c r="E30" s="4" t="s">
        <v>3673</v>
      </c>
      <c r="F30" s="4">
        <v>6</v>
      </c>
      <c r="G30" s="4">
        <v>60</v>
      </c>
      <c r="H30" s="4">
        <v>60</v>
      </c>
      <c r="I30" s="4" t="b">
        <v>0</v>
      </c>
      <c r="J30" s="4" t="b">
        <v>0</v>
      </c>
      <c r="K30" s="4">
        <v>1</v>
      </c>
      <c r="L30" s="4">
        <v>0</v>
      </c>
      <c r="M30" s="4">
        <v>890</v>
      </c>
      <c r="N30" s="4">
        <v>2</v>
      </c>
      <c r="O30" s="4">
        <v>0.2</v>
      </c>
      <c r="P30" s="4">
        <v>0</v>
      </c>
      <c r="Q30" s="4">
        <v>0</v>
      </c>
      <c r="R30" s="29">
        <v>0</v>
      </c>
      <c r="S30" s="31">
        <v>0</v>
      </c>
      <c r="T30" s="30">
        <v>0</v>
      </c>
      <c r="U30" s="4">
        <v>0</v>
      </c>
      <c r="V30" s="4">
        <v>0</v>
      </c>
      <c r="W30" s="4">
        <v>0</v>
      </c>
      <c r="X30" s="4">
        <v>5</v>
      </c>
      <c r="Y30" s="4" t="s">
        <v>3680</v>
      </c>
    </row>
    <row r="31" spans="1:25" x14ac:dyDescent="0.15">
      <c r="A31" s="4" t="s">
        <v>2662</v>
      </c>
      <c r="C31" s="4" t="s">
        <v>3671</v>
      </c>
      <c r="D31" s="4">
        <v>53</v>
      </c>
      <c r="E31" s="4" t="s">
        <v>3386</v>
      </c>
      <c r="F31" s="4">
        <v>6</v>
      </c>
      <c r="G31" s="4">
        <v>2</v>
      </c>
      <c r="H31" s="4">
        <v>2</v>
      </c>
      <c r="I31" s="4" t="b">
        <v>0</v>
      </c>
      <c r="J31" s="4" t="b">
        <v>1</v>
      </c>
      <c r="K31" s="4">
        <v>1</v>
      </c>
      <c r="L31" s="4">
        <v>0</v>
      </c>
      <c r="M31" s="4">
        <v>0</v>
      </c>
      <c r="N31" s="4">
        <v>2</v>
      </c>
      <c r="O31" s="4">
        <v>0.2</v>
      </c>
      <c r="P31" s="4">
        <v>0</v>
      </c>
      <c r="Q31" s="4">
        <v>0</v>
      </c>
      <c r="R31" s="29">
        <v>0</v>
      </c>
      <c r="S31" s="31">
        <v>0</v>
      </c>
      <c r="T31" s="30">
        <v>0</v>
      </c>
      <c r="U31" s="4">
        <v>0</v>
      </c>
      <c r="V31" s="4">
        <v>0</v>
      </c>
      <c r="W31" s="4">
        <v>0</v>
      </c>
      <c r="X31" s="4">
        <v>1</v>
      </c>
      <c r="Y31" s="4" t="s">
        <v>3381</v>
      </c>
    </row>
    <row r="33" spans="1:25" x14ac:dyDescent="0.15">
      <c r="A33" s="4" t="s">
        <v>2662</v>
      </c>
      <c r="C33" s="4" t="s">
        <v>3674</v>
      </c>
      <c r="D33" s="4">
        <v>61</v>
      </c>
      <c r="E33" s="4" t="s">
        <v>3676</v>
      </c>
      <c r="F33" s="4">
        <v>6</v>
      </c>
      <c r="G33" s="4">
        <v>3</v>
      </c>
      <c r="H33" s="4">
        <v>3</v>
      </c>
      <c r="I33" s="4" t="b">
        <v>0</v>
      </c>
      <c r="J33" s="4" t="b">
        <v>0</v>
      </c>
      <c r="K33" s="4">
        <v>1</v>
      </c>
      <c r="L33" s="4">
        <v>0</v>
      </c>
      <c r="M33" s="4">
        <v>940</v>
      </c>
      <c r="N33" s="4">
        <v>2</v>
      </c>
      <c r="O33" s="4">
        <v>0.2</v>
      </c>
      <c r="P33" s="4">
        <v>0</v>
      </c>
      <c r="Q33" s="4">
        <v>0</v>
      </c>
      <c r="R33" s="29">
        <v>0</v>
      </c>
      <c r="S33" s="31">
        <v>0</v>
      </c>
      <c r="T33" s="30">
        <v>0</v>
      </c>
      <c r="U33" s="4">
        <v>0</v>
      </c>
      <c r="V33" s="4">
        <v>0</v>
      </c>
      <c r="W33" s="4">
        <v>0</v>
      </c>
      <c r="X33" s="4">
        <v>6</v>
      </c>
      <c r="Y33" s="4" t="s">
        <v>3683</v>
      </c>
    </row>
    <row r="34" spans="1:25" x14ac:dyDescent="0.15">
      <c r="A34" s="4" t="s">
        <v>2662</v>
      </c>
      <c r="C34" s="4" t="s">
        <v>3675</v>
      </c>
      <c r="D34" s="4">
        <v>62</v>
      </c>
      <c r="E34" s="4" t="s">
        <v>3676</v>
      </c>
      <c r="F34" s="4">
        <v>4</v>
      </c>
      <c r="G34" s="4">
        <v>2</v>
      </c>
      <c r="H34" s="4">
        <v>2</v>
      </c>
      <c r="I34" s="4" t="b">
        <v>0</v>
      </c>
      <c r="J34" s="4" t="b">
        <v>0</v>
      </c>
      <c r="K34" s="4">
        <v>1</v>
      </c>
      <c r="L34" s="4">
        <v>0</v>
      </c>
      <c r="M34" s="4">
        <v>940</v>
      </c>
      <c r="N34" s="4">
        <v>2</v>
      </c>
      <c r="O34" s="4">
        <v>0.2</v>
      </c>
      <c r="P34" s="4">
        <v>0</v>
      </c>
      <c r="Q34" s="4">
        <v>0</v>
      </c>
      <c r="R34" s="29">
        <v>0</v>
      </c>
      <c r="S34" s="31">
        <v>0</v>
      </c>
      <c r="T34" s="30">
        <v>0</v>
      </c>
      <c r="U34" s="4">
        <v>0</v>
      </c>
      <c r="V34" s="4">
        <v>0</v>
      </c>
      <c r="W34" s="4">
        <v>0</v>
      </c>
      <c r="X34" s="4">
        <v>1</v>
      </c>
      <c r="Y34" s="4" t="s">
        <v>3381</v>
      </c>
    </row>
    <row r="37" spans="1:25" s="41" customFormat="1" x14ac:dyDescent="0.15">
      <c r="R37" s="42"/>
      <c r="S37" s="43"/>
      <c r="T37" s="44"/>
    </row>
    <row r="38" spans="1:25" x14ac:dyDescent="0.15">
      <c r="A38" s="4" t="s">
        <v>2720</v>
      </c>
      <c r="C38" s="4" t="s">
        <v>2727</v>
      </c>
      <c r="D38" s="4">
        <v>511</v>
      </c>
      <c r="E38" s="4" t="s">
        <v>2728</v>
      </c>
      <c r="F38" s="4">
        <v>6</v>
      </c>
      <c r="G38" s="4">
        <v>2</v>
      </c>
      <c r="H38" s="4">
        <v>2</v>
      </c>
      <c r="I38" s="4" t="b">
        <v>0</v>
      </c>
      <c r="J38" s="4" t="b">
        <v>0</v>
      </c>
      <c r="K38" s="4">
        <v>1</v>
      </c>
      <c r="L38" s="4">
        <v>0</v>
      </c>
      <c r="M38" s="4">
        <v>10</v>
      </c>
      <c r="N38" s="4">
        <v>1</v>
      </c>
      <c r="O38" s="4">
        <v>0</v>
      </c>
      <c r="P38" s="4">
        <v>0</v>
      </c>
      <c r="Q38" s="4">
        <v>0</v>
      </c>
      <c r="R38" s="29">
        <v>0</v>
      </c>
      <c r="S38" s="31">
        <v>0</v>
      </c>
      <c r="T38" s="30">
        <v>0</v>
      </c>
      <c r="U38" s="4">
        <v>0</v>
      </c>
      <c r="V38" s="4">
        <v>0</v>
      </c>
      <c r="W38" s="4">
        <v>0</v>
      </c>
      <c r="X38" s="4">
        <v>1</v>
      </c>
      <c r="Y38" s="4" t="s">
        <v>2730</v>
      </c>
    </row>
    <row r="39" spans="1:25" x14ac:dyDescent="0.15">
      <c r="A39" s="4" t="s">
        <v>2720</v>
      </c>
      <c r="C39" s="4" t="s">
        <v>2809</v>
      </c>
      <c r="D39" s="4">
        <v>512</v>
      </c>
      <c r="E39" s="4" t="s">
        <v>2810</v>
      </c>
      <c r="F39" s="4">
        <v>0</v>
      </c>
      <c r="G39" s="4">
        <v>0.1</v>
      </c>
      <c r="H39" s="4">
        <v>0</v>
      </c>
      <c r="I39" s="4" t="b">
        <v>1</v>
      </c>
      <c r="J39" s="4" t="b">
        <v>0</v>
      </c>
      <c r="K39" s="4">
        <v>3</v>
      </c>
      <c r="L39" s="4">
        <v>3</v>
      </c>
      <c r="M39" s="4">
        <v>0</v>
      </c>
      <c r="N39" s="4">
        <v>1</v>
      </c>
      <c r="O39" s="4">
        <v>0</v>
      </c>
      <c r="P39" s="4">
        <v>0</v>
      </c>
      <c r="Q39" s="4">
        <v>0</v>
      </c>
      <c r="R39" s="29">
        <v>0</v>
      </c>
      <c r="S39" s="31">
        <v>0</v>
      </c>
      <c r="T39" s="30">
        <v>0</v>
      </c>
      <c r="U39" s="4">
        <v>0</v>
      </c>
      <c r="V39" s="4">
        <v>0</v>
      </c>
      <c r="W39" s="4">
        <v>0</v>
      </c>
      <c r="X39" s="4">
        <v>0</v>
      </c>
    </row>
    <row r="41" spans="1:25" x14ac:dyDescent="0.15">
      <c r="A41" s="4" t="s">
        <v>2720</v>
      </c>
      <c r="C41" s="4" t="s">
        <v>2964</v>
      </c>
      <c r="D41" s="4">
        <v>521</v>
      </c>
      <c r="E41" s="4" t="s">
        <v>2967</v>
      </c>
      <c r="F41" s="4">
        <v>6</v>
      </c>
      <c r="G41" s="4">
        <v>2</v>
      </c>
      <c r="H41" s="4">
        <v>2</v>
      </c>
      <c r="I41" s="4" t="b">
        <v>0</v>
      </c>
      <c r="J41" s="4" t="b">
        <v>0</v>
      </c>
      <c r="K41" s="4">
        <v>1</v>
      </c>
      <c r="L41" s="4">
        <v>0</v>
      </c>
      <c r="M41" s="4">
        <v>340</v>
      </c>
      <c r="N41" s="4">
        <v>1</v>
      </c>
      <c r="O41" s="4">
        <v>0</v>
      </c>
      <c r="P41" s="4">
        <v>0</v>
      </c>
      <c r="Q41" s="4">
        <v>0</v>
      </c>
      <c r="R41" s="29">
        <v>0</v>
      </c>
      <c r="S41" s="31">
        <v>0</v>
      </c>
      <c r="T41" s="30">
        <v>0</v>
      </c>
      <c r="U41" s="4">
        <v>0</v>
      </c>
      <c r="V41" s="4">
        <v>0</v>
      </c>
      <c r="W41" s="4">
        <v>0</v>
      </c>
      <c r="X41" s="4">
        <v>1</v>
      </c>
      <c r="Y41" s="4" t="s">
        <v>2730</v>
      </c>
    </row>
    <row r="42" spans="1:25" x14ac:dyDescent="0.15">
      <c r="A42" s="4" t="s">
        <v>2720</v>
      </c>
      <c r="C42" s="4" t="s">
        <v>2965</v>
      </c>
      <c r="D42" s="4">
        <v>522</v>
      </c>
      <c r="E42" s="4" t="s">
        <v>2910</v>
      </c>
      <c r="F42" s="4">
        <v>2</v>
      </c>
      <c r="G42" s="4">
        <v>1.5</v>
      </c>
      <c r="H42" s="4">
        <v>1.5</v>
      </c>
      <c r="I42" s="4" t="b">
        <v>0</v>
      </c>
      <c r="J42" s="4" t="b">
        <v>1</v>
      </c>
      <c r="K42" s="4">
        <v>1</v>
      </c>
      <c r="L42" s="4">
        <v>0</v>
      </c>
      <c r="M42" s="4">
        <v>0</v>
      </c>
      <c r="N42" s="4">
        <v>3</v>
      </c>
      <c r="O42" s="4">
        <v>0.2</v>
      </c>
      <c r="P42" s="4">
        <v>0</v>
      </c>
      <c r="Q42" s="4">
        <v>0</v>
      </c>
      <c r="R42" s="29">
        <v>0</v>
      </c>
      <c r="S42" s="31">
        <v>0</v>
      </c>
      <c r="T42" s="30">
        <v>0</v>
      </c>
      <c r="U42" s="4">
        <v>0</v>
      </c>
      <c r="V42" s="4">
        <v>0</v>
      </c>
      <c r="W42" s="4">
        <v>0</v>
      </c>
      <c r="X42" s="4">
        <v>1</v>
      </c>
      <c r="Y42" s="4" t="s">
        <v>2730</v>
      </c>
    </row>
    <row r="44" spans="1:25" x14ac:dyDescent="0.15">
      <c r="A44" s="4" t="s">
        <v>2720</v>
      </c>
      <c r="C44" s="4" t="s">
        <v>2966</v>
      </c>
      <c r="D44" s="4">
        <v>531</v>
      </c>
      <c r="E44" s="4" t="s">
        <v>2968</v>
      </c>
      <c r="F44" s="4">
        <v>6</v>
      </c>
      <c r="G44" s="4">
        <v>2</v>
      </c>
      <c r="H44" s="4">
        <v>2</v>
      </c>
      <c r="I44" s="4" t="b">
        <v>0</v>
      </c>
      <c r="J44" s="4" t="b">
        <v>0</v>
      </c>
      <c r="K44" s="4">
        <v>1</v>
      </c>
      <c r="L44" s="4">
        <v>0</v>
      </c>
      <c r="M44" s="4">
        <v>370</v>
      </c>
      <c r="N44" s="4">
        <v>1</v>
      </c>
      <c r="O44" s="4">
        <v>0</v>
      </c>
      <c r="P44" s="4">
        <v>0</v>
      </c>
      <c r="Q44" s="4">
        <v>0</v>
      </c>
      <c r="R44" s="29">
        <v>0</v>
      </c>
      <c r="S44" s="31">
        <v>0</v>
      </c>
      <c r="T44" s="30">
        <v>0</v>
      </c>
      <c r="U44" s="4">
        <v>0</v>
      </c>
      <c r="V44" s="4">
        <v>0</v>
      </c>
      <c r="W44" s="4">
        <v>0</v>
      </c>
      <c r="X44" s="4">
        <v>1</v>
      </c>
      <c r="Y44" s="4" t="s">
        <v>2730</v>
      </c>
    </row>
    <row r="45" spans="1:25" x14ac:dyDescent="0.15">
      <c r="A45" s="4" t="s">
        <v>2663</v>
      </c>
      <c r="C45" s="4" t="s">
        <v>3005</v>
      </c>
      <c r="D45" s="4">
        <v>532</v>
      </c>
      <c r="E45" s="4" t="s">
        <v>3108</v>
      </c>
      <c r="F45" s="4">
        <v>4</v>
      </c>
      <c r="G45" s="4">
        <v>2</v>
      </c>
      <c r="H45" s="4">
        <v>2</v>
      </c>
      <c r="I45" s="4" t="b">
        <v>0</v>
      </c>
      <c r="J45" s="4" t="b">
        <v>0</v>
      </c>
      <c r="K45" s="4">
        <v>1</v>
      </c>
      <c r="L45" s="4">
        <v>1.5</v>
      </c>
      <c r="M45" s="4">
        <v>420</v>
      </c>
      <c r="N45" s="4">
        <v>2</v>
      </c>
      <c r="O45" s="4">
        <v>0.2</v>
      </c>
      <c r="P45" s="4">
        <v>0</v>
      </c>
      <c r="Q45" s="4">
        <v>0</v>
      </c>
      <c r="R45" s="29">
        <v>0</v>
      </c>
      <c r="S45" s="31">
        <v>0</v>
      </c>
      <c r="T45" s="30">
        <v>0</v>
      </c>
      <c r="U45" s="4">
        <v>0</v>
      </c>
      <c r="V45" s="4">
        <v>0</v>
      </c>
      <c r="W45" s="4">
        <v>0</v>
      </c>
      <c r="X45" s="4">
        <v>1</v>
      </c>
      <c r="Y45" s="4" t="s">
        <v>2730</v>
      </c>
    </row>
    <row r="47" spans="1:25" x14ac:dyDescent="0.15">
      <c r="A47" s="4" t="s">
        <v>2720</v>
      </c>
      <c r="C47" s="4" t="s">
        <v>3233</v>
      </c>
      <c r="D47" s="4">
        <v>541</v>
      </c>
      <c r="E47" s="4" t="s">
        <v>3027</v>
      </c>
      <c r="F47" s="4">
        <v>6</v>
      </c>
      <c r="G47" s="4">
        <v>2</v>
      </c>
      <c r="H47" s="4">
        <v>2</v>
      </c>
      <c r="I47" s="4" t="b">
        <v>0</v>
      </c>
      <c r="J47" s="4" t="b">
        <v>0</v>
      </c>
      <c r="K47" s="4">
        <v>1</v>
      </c>
      <c r="L47" s="4">
        <v>0</v>
      </c>
      <c r="M47" s="4">
        <v>290</v>
      </c>
      <c r="N47" s="4">
        <v>1</v>
      </c>
      <c r="O47" s="4">
        <v>0</v>
      </c>
      <c r="P47" s="4">
        <v>0</v>
      </c>
      <c r="Q47" s="4">
        <v>0</v>
      </c>
      <c r="R47" s="29">
        <v>0</v>
      </c>
      <c r="S47" s="31">
        <v>0</v>
      </c>
      <c r="T47" s="30">
        <v>0</v>
      </c>
      <c r="U47" s="4">
        <v>0</v>
      </c>
      <c r="V47" s="4">
        <v>0</v>
      </c>
      <c r="W47" s="4">
        <v>0</v>
      </c>
      <c r="X47" s="4">
        <v>1</v>
      </c>
      <c r="Y47" s="4" t="s">
        <v>2730</v>
      </c>
    </row>
    <row r="48" spans="1:25" x14ac:dyDescent="0.15">
      <c r="A48" s="4" t="s">
        <v>2720</v>
      </c>
      <c r="C48" s="4" t="s">
        <v>3237</v>
      </c>
      <c r="D48" s="4">
        <v>542</v>
      </c>
      <c r="E48" s="4" t="s">
        <v>3254</v>
      </c>
      <c r="F48" s="4">
        <v>0</v>
      </c>
      <c r="G48" s="4">
        <v>0.1</v>
      </c>
      <c r="H48" s="4">
        <v>0</v>
      </c>
      <c r="I48" s="4" t="b">
        <v>0</v>
      </c>
      <c r="J48" s="4" t="b">
        <v>1</v>
      </c>
      <c r="K48" s="4">
        <v>1</v>
      </c>
      <c r="L48" s="4">
        <v>0</v>
      </c>
      <c r="M48" s="4">
        <v>0</v>
      </c>
      <c r="N48" s="4">
        <v>2</v>
      </c>
      <c r="O48" s="4">
        <v>0.2</v>
      </c>
      <c r="P48" s="4">
        <v>0</v>
      </c>
      <c r="Q48" s="4">
        <v>0</v>
      </c>
      <c r="R48" s="29">
        <v>0</v>
      </c>
      <c r="S48" s="31">
        <v>0</v>
      </c>
      <c r="T48" s="30">
        <v>0</v>
      </c>
      <c r="U48" s="4">
        <v>0</v>
      </c>
      <c r="V48" s="4">
        <v>0</v>
      </c>
      <c r="W48" s="4">
        <v>0</v>
      </c>
      <c r="X48" s="4">
        <v>0</v>
      </c>
      <c r="Y48" s="4" t="s">
        <v>2730</v>
      </c>
    </row>
    <row r="49" spans="1:25" x14ac:dyDescent="0.15">
      <c r="A49" s="4" t="s">
        <v>2663</v>
      </c>
      <c r="C49" s="4" t="s">
        <v>3411</v>
      </c>
      <c r="D49" s="4">
        <v>543</v>
      </c>
      <c r="E49" s="4" t="s">
        <v>2910</v>
      </c>
      <c r="F49" s="4">
        <v>6</v>
      </c>
      <c r="G49" s="4">
        <v>2</v>
      </c>
      <c r="H49" s="4">
        <v>2</v>
      </c>
      <c r="I49" s="4" t="b">
        <v>0</v>
      </c>
      <c r="J49" s="4" t="b">
        <v>1</v>
      </c>
      <c r="K49" s="4">
        <v>1</v>
      </c>
      <c r="L49" s="4">
        <v>0</v>
      </c>
      <c r="M49" s="4">
        <v>290</v>
      </c>
      <c r="N49" s="4">
        <v>1</v>
      </c>
      <c r="O49" s="4">
        <v>0</v>
      </c>
      <c r="P49" s="4">
        <v>0</v>
      </c>
      <c r="Q49" s="4">
        <v>0</v>
      </c>
      <c r="R49" s="29">
        <v>0</v>
      </c>
      <c r="S49" s="31">
        <v>0</v>
      </c>
      <c r="T49" s="30">
        <v>0</v>
      </c>
      <c r="U49" s="4">
        <v>0</v>
      </c>
      <c r="V49" s="4">
        <v>0</v>
      </c>
      <c r="W49" s="4">
        <v>0</v>
      </c>
      <c r="X49" s="4">
        <v>1</v>
      </c>
      <c r="Y49" s="4" t="s">
        <v>2730</v>
      </c>
    </row>
    <row r="51" spans="1:25" x14ac:dyDescent="0.15">
      <c r="A51" s="4" t="s">
        <v>2720</v>
      </c>
      <c r="C51" s="4" t="s">
        <v>3234</v>
      </c>
      <c r="D51" s="4">
        <v>551</v>
      </c>
      <c r="E51" s="4" t="s">
        <v>3215</v>
      </c>
      <c r="F51" s="4">
        <v>6</v>
      </c>
      <c r="G51" s="4">
        <v>2</v>
      </c>
      <c r="H51" s="4">
        <v>2</v>
      </c>
      <c r="I51" s="4" t="b">
        <v>0</v>
      </c>
      <c r="J51" s="4" t="b">
        <v>0</v>
      </c>
      <c r="K51" s="4">
        <v>1</v>
      </c>
      <c r="L51" s="4">
        <v>0</v>
      </c>
      <c r="M51" s="4">
        <v>500</v>
      </c>
      <c r="N51" s="4">
        <v>1</v>
      </c>
      <c r="O51" s="4">
        <v>0</v>
      </c>
      <c r="P51" s="4">
        <v>0</v>
      </c>
      <c r="Q51" s="4">
        <v>0</v>
      </c>
      <c r="R51" s="29">
        <v>0</v>
      </c>
      <c r="S51" s="31">
        <v>0</v>
      </c>
      <c r="T51" s="30">
        <v>0</v>
      </c>
      <c r="U51" s="4">
        <v>0</v>
      </c>
      <c r="V51" s="4">
        <v>0</v>
      </c>
      <c r="W51" s="4">
        <v>0</v>
      </c>
      <c r="X51" s="4">
        <v>1</v>
      </c>
      <c r="Y51" s="4" t="s">
        <v>2730</v>
      </c>
    </row>
    <row r="52" spans="1:25" x14ac:dyDescent="0.15">
      <c r="A52" s="4" t="s">
        <v>2663</v>
      </c>
      <c r="C52" s="4" t="s">
        <v>3235</v>
      </c>
      <c r="D52" s="4">
        <v>552</v>
      </c>
      <c r="E52" s="4" t="s">
        <v>2810</v>
      </c>
      <c r="F52" s="4">
        <v>0</v>
      </c>
      <c r="G52" s="4">
        <v>0.1</v>
      </c>
      <c r="H52" s="4">
        <v>0</v>
      </c>
      <c r="I52" s="4" t="b">
        <v>0</v>
      </c>
      <c r="J52" s="4" t="b">
        <v>0</v>
      </c>
      <c r="K52" s="4">
        <v>1</v>
      </c>
      <c r="L52" s="4">
        <v>1</v>
      </c>
      <c r="M52" s="4">
        <v>0</v>
      </c>
      <c r="N52" s="4">
        <v>1</v>
      </c>
      <c r="O52" s="4">
        <v>0</v>
      </c>
      <c r="P52" s="4">
        <v>0</v>
      </c>
      <c r="Q52" s="4">
        <v>0</v>
      </c>
      <c r="R52" s="29">
        <v>0</v>
      </c>
      <c r="S52" s="31">
        <v>0</v>
      </c>
      <c r="T52" s="30">
        <v>0</v>
      </c>
      <c r="U52" s="4">
        <v>0</v>
      </c>
      <c r="V52" s="4">
        <v>0</v>
      </c>
      <c r="W52" s="4">
        <v>0</v>
      </c>
      <c r="X52" s="4">
        <v>0</v>
      </c>
      <c r="Y52" s="4" t="s">
        <v>2730</v>
      </c>
    </row>
    <row r="54" spans="1:25" x14ac:dyDescent="0.15">
      <c r="A54" s="4" t="s">
        <v>2720</v>
      </c>
      <c r="C54" s="4" t="s">
        <v>3408</v>
      </c>
      <c r="D54" s="4">
        <v>561</v>
      </c>
      <c r="E54" s="4" t="s">
        <v>3409</v>
      </c>
      <c r="F54" s="4">
        <v>6</v>
      </c>
      <c r="G54" s="4">
        <v>2</v>
      </c>
      <c r="H54" s="4">
        <v>2</v>
      </c>
      <c r="I54" s="4" t="b">
        <v>0</v>
      </c>
      <c r="J54" s="4" t="b">
        <v>0</v>
      </c>
      <c r="K54" s="4">
        <v>1</v>
      </c>
      <c r="L54" s="4">
        <v>1</v>
      </c>
      <c r="M54" s="4">
        <v>630</v>
      </c>
      <c r="N54" s="4">
        <v>1</v>
      </c>
      <c r="O54" s="4">
        <v>0</v>
      </c>
      <c r="P54" s="4">
        <v>0</v>
      </c>
      <c r="Q54" s="4">
        <v>0</v>
      </c>
      <c r="R54" s="29">
        <v>0</v>
      </c>
      <c r="S54" s="31">
        <v>0</v>
      </c>
      <c r="T54" s="30">
        <v>0</v>
      </c>
      <c r="U54" s="4">
        <v>0</v>
      </c>
      <c r="V54" s="4">
        <v>0</v>
      </c>
      <c r="W54" s="4">
        <v>0</v>
      </c>
      <c r="X54" s="4">
        <v>1</v>
      </c>
      <c r="Y54" s="4" t="s">
        <v>2730</v>
      </c>
    </row>
    <row r="55" spans="1:25" x14ac:dyDescent="0.15">
      <c r="A55" s="4" t="s">
        <v>2663</v>
      </c>
      <c r="C55" s="4" t="s">
        <v>3412</v>
      </c>
      <c r="D55" s="4">
        <v>562</v>
      </c>
      <c r="E55" s="4" t="s">
        <v>3410</v>
      </c>
      <c r="F55" s="4">
        <v>0</v>
      </c>
      <c r="G55" s="4">
        <v>0.1</v>
      </c>
      <c r="H55" s="4">
        <v>0</v>
      </c>
      <c r="I55" s="4" t="b">
        <v>0</v>
      </c>
      <c r="J55" s="4" t="b">
        <v>1</v>
      </c>
      <c r="K55" s="4">
        <v>1</v>
      </c>
      <c r="L55" s="4">
        <v>0</v>
      </c>
      <c r="M55" s="4">
        <v>0</v>
      </c>
      <c r="N55" s="4">
        <v>2</v>
      </c>
      <c r="O55" s="4">
        <v>0.2</v>
      </c>
      <c r="P55" s="4">
        <v>0</v>
      </c>
      <c r="Q55" s="4">
        <v>0</v>
      </c>
      <c r="R55" s="29">
        <v>0</v>
      </c>
      <c r="S55" s="31">
        <v>0</v>
      </c>
      <c r="T55" s="30">
        <v>0</v>
      </c>
      <c r="U55" s="4">
        <v>0</v>
      </c>
      <c r="V55" s="4">
        <v>0</v>
      </c>
      <c r="W55" s="4">
        <v>0</v>
      </c>
      <c r="X55" s="4">
        <v>0</v>
      </c>
      <c r="Y55" s="4" t="s">
        <v>2730</v>
      </c>
    </row>
    <row r="56" spans="1:25" x14ac:dyDescent="0.15">
      <c r="A56" s="4" t="s">
        <v>2663</v>
      </c>
      <c r="C56" s="4" t="s">
        <v>3415</v>
      </c>
      <c r="D56" s="4">
        <v>563</v>
      </c>
      <c r="E56" s="4" t="s">
        <v>3400</v>
      </c>
      <c r="F56" s="4">
        <v>0</v>
      </c>
      <c r="G56" s="4">
        <v>2</v>
      </c>
      <c r="H56" s="4">
        <v>0.2</v>
      </c>
      <c r="I56" s="4" t="b">
        <v>1</v>
      </c>
      <c r="J56" s="4" t="b">
        <v>0</v>
      </c>
      <c r="K56" s="4">
        <v>1</v>
      </c>
      <c r="L56" s="4">
        <v>2</v>
      </c>
      <c r="M56" s="4">
        <v>0</v>
      </c>
      <c r="N56" s="4">
        <v>1</v>
      </c>
      <c r="O56" s="4">
        <v>0</v>
      </c>
      <c r="P56" s="4">
        <v>0</v>
      </c>
      <c r="Q56" s="4">
        <v>0</v>
      </c>
      <c r="R56" s="29">
        <v>0</v>
      </c>
      <c r="S56" s="31">
        <v>0</v>
      </c>
      <c r="T56" s="30">
        <v>0</v>
      </c>
      <c r="U56" s="4">
        <v>60</v>
      </c>
      <c r="V56" s="4">
        <v>5</v>
      </c>
      <c r="W56" s="4">
        <v>0</v>
      </c>
      <c r="X56" s="4">
        <v>0</v>
      </c>
      <c r="Y56" s="4" t="s">
        <v>2730</v>
      </c>
    </row>
    <row r="58" spans="1:25" x14ac:dyDescent="0.15">
      <c r="A58" s="4" t="s">
        <v>2720</v>
      </c>
      <c r="C58" s="4" t="s">
        <v>3437</v>
      </c>
      <c r="D58" s="4">
        <v>571</v>
      </c>
      <c r="E58" s="4" t="s">
        <v>3447</v>
      </c>
      <c r="F58" s="4">
        <v>6</v>
      </c>
      <c r="G58" s="4">
        <v>3.1</v>
      </c>
      <c r="H58" s="4">
        <v>3</v>
      </c>
      <c r="I58" s="4" t="b">
        <v>0</v>
      </c>
      <c r="J58" s="4" t="b">
        <v>0</v>
      </c>
      <c r="K58" s="4">
        <v>1</v>
      </c>
      <c r="L58" s="4">
        <v>1</v>
      </c>
      <c r="M58" s="4">
        <v>700</v>
      </c>
      <c r="N58" s="4">
        <v>4</v>
      </c>
      <c r="O58" s="4">
        <v>1</v>
      </c>
      <c r="P58" s="4">
        <v>0</v>
      </c>
      <c r="Q58" s="4">
        <v>0</v>
      </c>
      <c r="R58" s="29">
        <v>0</v>
      </c>
      <c r="S58" s="31">
        <v>0</v>
      </c>
      <c r="T58" s="30">
        <v>0</v>
      </c>
      <c r="U58" s="4">
        <v>0</v>
      </c>
      <c r="V58" s="4">
        <v>0</v>
      </c>
      <c r="W58" s="4">
        <v>0</v>
      </c>
      <c r="X58" s="4">
        <v>0</v>
      </c>
    </row>
    <row r="59" spans="1:25" x14ac:dyDescent="0.15">
      <c r="A59" s="4" t="s">
        <v>2720</v>
      </c>
      <c r="C59" s="4" t="s">
        <v>3448</v>
      </c>
      <c r="D59" s="4">
        <v>572</v>
      </c>
      <c r="E59" s="4" t="s">
        <v>2810</v>
      </c>
      <c r="F59" s="4">
        <v>0</v>
      </c>
      <c r="G59" s="4">
        <v>0.1</v>
      </c>
      <c r="H59" s="4">
        <v>0</v>
      </c>
      <c r="I59" s="4" t="b">
        <v>1</v>
      </c>
      <c r="J59" s="4" t="b">
        <v>0</v>
      </c>
      <c r="K59" s="4">
        <v>1</v>
      </c>
      <c r="L59" s="4">
        <v>1</v>
      </c>
      <c r="M59" s="4">
        <v>710</v>
      </c>
      <c r="N59" s="4">
        <v>4</v>
      </c>
      <c r="O59" s="4">
        <v>1</v>
      </c>
      <c r="P59" s="4">
        <v>0</v>
      </c>
      <c r="Q59" s="4">
        <v>0</v>
      </c>
      <c r="R59" s="29">
        <v>0</v>
      </c>
      <c r="S59" s="31">
        <v>0</v>
      </c>
      <c r="T59" s="30">
        <v>0</v>
      </c>
      <c r="U59" s="4">
        <v>0</v>
      </c>
      <c r="V59" s="4">
        <v>0</v>
      </c>
      <c r="W59" s="4">
        <v>0</v>
      </c>
      <c r="X59" s="4">
        <v>1</v>
      </c>
      <c r="Y59" s="4" t="s">
        <v>2730</v>
      </c>
    </row>
    <row r="61" spans="1:25" x14ac:dyDescent="0.15">
      <c r="A61" s="4" t="s">
        <v>2663</v>
      </c>
      <c r="C61" s="4" t="s">
        <v>3465</v>
      </c>
      <c r="D61" s="4">
        <v>581</v>
      </c>
      <c r="E61" s="4" t="s">
        <v>3464</v>
      </c>
      <c r="F61" s="4">
        <v>6</v>
      </c>
      <c r="G61" s="4">
        <v>2</v>
      </c>
      <c r="H61" s="4">
        <v>2</v>
      </c>
      <c r="I61" s="4" t="b">
        <v>0</v>
      </c>
      <c r="J61" s="4" t="b">
        <v>0</v>
      </c>
      <c r="K61" s="4">
        <v>1</v>
      </c>
      <c r="L61" s="4">
        <v>0</v>
      </c>
      <c r="M61" s="4">
        <v>720</v>
      </c>
      <c r="N61" s="4">
        <v>1</v>
      </c>
      <c r="O61" s="4">
        <v>0</v>
      </c>
      <c r="P61" s="4">
        <v>0</v>
      </c>
      <c r="Q61" s="4">
        <v>0</v>
      </c>
      <c r="R61" s="29">
        <v>0</v>
      </c>
      <c r="S61" s="31">
        <v>0</v>
      </c>
      <c r="T61" s="30">
        <v>0</v>
      </c>
      <c r="U61" s="4">
        <v>0</v>
      </c>
      <c r="V61" s="4">
        <v>0</v>
      </c>
      <c r="W61" s="4">
        <v>0</v>
      </c>
      <c r="X61" s="4">
        <v>1</v>
      </c>
      <c r="Y61" s="4" t="s">
        <v>2729</v>
      </c>
    </row>
    <row r="62" spans="1:25" x14ac:dyDescent="0.15">
      <c r="A62" s="4" t="s">
        <v>2663</v>
      </c>
      <c r="C62" s="4" t="s">
        <v>3466</v>
      </c>
      <c r="D62" s="4">
        <v>582</v>
      </c>
      <c r="E62" s="4" t="s">
        <v>3410</v>
      </c>
      <c r="F62" s="4">
        <v>0</v>
      </c>
      <c r="G62" s="4">
        <v>0.1</v>
      </c>
      <c r="H62" s="4">
        <v>0</v>
      </c>
      <c r="I62" s="4" t="b">
        <v>0</v>
      </c>
      <c r="J62" s="4" t="b">
        <v>1</v>
      </c>
      <c r="K62" s="4">
        <v>1</v>
      </c>
      <c r="L62" s="4">
        <v>0</v>
      </c>
      <c r="M62" s="4">
        <v>0</v>
      </c>
      <c r="N62" s="4">
        <v>2</v>
      </c>
      <c r="O62" s="4">
        <v>0.2</v>
      </c>
      <c r="P62" s="4">
        <v>0</v>
      </c>
      <c r="Q62" s="4">
        <v>0</v>
      </c>
      <c r="R62" s="29">
        <v>0</v>
      </c>
      <c r="S62" s="31">
        <v>0</v>
      </c>
      <c r="T62" s="30">
        <v>0</v>
      </c>
      <c r="U62" s="4">
        <v>0</v>
      </c>
      <c r="V62" s="4">
        <v>0</v>
      </c>
      <c r="W62" s="4">
        <v>0</v>
      </c>
      <c r="X62" s="4">
        <v>0</v>
      </c>
      <c r="Y62" s="4" t="s">
        <v>2729</v>
      </c>
    </row>
    <row r="63" spans="1:25" x14ac:dyDescent="0.15">
      <c r="A63" s="4" t="s">
        <v>2663</v>
      </c>
      <c r="C63" s="4" t="s">
        <v>3469</v>
      </c>
      <c r="D63" s="4">
        <v>583</v>
      </c>
      <c r="E63" s="4" t="s">
        <v>2810</v>
      </c>
      <c r="F63" s="4">
        <v>0</v>
      </c>
      <c r="G63" s="4">
        <v>0.1</v>
      </c>
      <c r="H63" s="4">
        <v>0</v>
      </c>
      <c r="I63" s="4" t="b">
        <v>1</v>
      </c>
      <c r="J63" s="4" t="b">
        <v>0</v>
      </c>
      <c r="K63" s="4">
        <v>1</v>
      </c>
      <c r="L63" s="4">
        <v>0</v>
      </c>
      <c r="M63" s="4">
        <v>0</v>
      </c>
      <c r="N63" s="4">
        <v>2</v>
      </c>
      <c r="O63" s="4">
        <v>0.2</v>
      </c>
      <c r="P63" s="4">
        <v>0</v>
      </c>
      <c r="Q63" s="4">
        <v>0</v>
      </c>
      <c r="R63" s="29">
        <v>0</v>
      </c>
      <c r="S63" s="31">
        <v>0</v>
      </c>
      <c r="T63" s="30">
        <v>0</v>
      </c>
      <c r="U63" s="4">
        <v>0</v>
      </c>
      <c r="V63" s="4">
        <v>0</v>
      </c>
      <c r="W63" s="4">
        <v>104</v>
      </c>
      <c r="X63" s="4">
        <v>0</v>
      </c>
      <c r="Y63" s="4" t="s">
        <v>2729</v>
      </c>
    </row>
    <row r="65" spans="1:25" x14ac:dyDescent="0.15">
      <c r="A65" s="4" t="s">
        <v>2663</v>
      </c>
      <c r="C65" s="4" t="s">
        <v>3484</v>
      </c>
      <c r="D65" s="4">
        <v>591</v>
      </c>
      <c r="E65" s="4" t="s">
        <v>3523</v>
      </c>
      <c r="F65" s="4">
        <v>6</v>
      </c>
      <c r="G65" s="4">
        <v>2</v>
      </c>
      <c r="H65" s="4">
        <v>2</v>
      </c>
      <c r="I65" s="4" t="b">
        <v>0</v>
      </c>
      <c r="J65" s="4" t="b">
        <v>0</v>
      </c>
      <c r="K65" s="4">
        <v>1</v>
      </c>
      <c r="L65" s="4">
        <v>0</v>
      </c>
      <c r="M65" s="4">
        <v>770</v>
      </c>
      <c r="N65" s="4">
        <v>1</v>
      </c>
      <c r="O65" s="4">
        <v>0</v>
      </c>
      <c r="P65" s="4">
        <v>0</v>
      </c>
      <c r="Q65" s="4">
        <v>0</v>
      </c>
      <c r="R65" s="29">
        <v>0</v>
      </c>
      <c r="S65" s="31">
        <v>0</v>
      </c>
      <c r="T65" s="30">
        <v>0</v>
      </c>
      <c r="U65" s="4">
        <v>0</v>
      </c>
      <c r="V65" s="4">
        <v>0</v>
      </c>
      <c r="W65" s="4">
        <v>0</v>
      </c>
      <c r="X65" s="4">
        <v>1</v>
      </c>
      <c r="Y65" s="4" t="s">
        <v>2729</v>
      </c>
    </row>
    <row r="66" spans="1:25" x14ac:dyDescent="0.15">
      <c r="A66" s="4" t="s">
        <v>2663</v>
      </c>
      <c r="C66" s="4" t="s">
        <v>3525</v>
      </c>
      <c r="D66" s="4">
        <v>592</v>
      </c>
      <c r="E66" s="4" t="s">
        <v>3524</v>
      </c>
      <c r="F66" s="4">
        <v>4</v>
      </c>
      <c r="G66" s="4">
        <v>2</v>
      </c>
      <c r="H66" s="4">
        <v>2</v>
      </c>
      <c r="I66" s="4" t="b">
        <v>0</v>
      </c>
      <c r="J66" s="4" t="b">
        <v>0</v>
      </c>
      <c r="K66" s="4">
        <v>1</v>
      </c>
      <c r="L66" s="4">
        <v>0</v>
      </c>
      <c r="M66" s="4">
        <v>800</v>
      </c>
      <c r="N66" s="4">
        <v>1</v>
      </c>
      <c r="O66" s="4">
        <v>0</v>
      </c>
      <c r="P66" s="4">
        <v>0</v>
      </c>
      <c r="Q66" s="4">
        <v>0</v>
      </c>
      <c r="R66" s="29">
        <v>0</v>
      </c>
      <c r="S66" s="31">
        <v>0</v>
      </c>
      <c r="T66" s="30">
        <v>0</v>
      </c>
      <c r="U66" s="4">
        <v>100</v>
      </c>
      <c r="V66" s="4">
        <v>0</v>
      </c>
      <c r="W66" s="4">
        <v>0</v>
      </c>
      <c r="X66" s="4">
        <v>1</v>
      </c>
      <c r="Y66" s="4" t="s">
        <v>2729</v>
      </c>
    </row>
    <row r="67" spans="1:25" x14ac:dyDescent="0.15">
      <c r="A67" s="4" t="s">
        <v>2663</v>
      </c>
      <c r="C67" s="4" t="s">
        <v>3485</v>
      </c>
      <c r="D67" s="4">
        <v>593</v>
      </c>
      <c r="E67" s="4" t="s">
        <v>3254</v>
      </c>
      <c r="F67" s="4">
        <v>0</v>
      </c>
      <c r="G67" s="4">
        <v>0.1</v>
      </c>
      <c r="H67" s="4">
        <v>0</v>
      </c>
      <c r="I67" s="4" t="b">
        <v>0</v>
      </c>
      <c r="J67" s="4" t="b">
        <v>1</v>
      </c>
      <c r="K67" s="4">
        <v>1</v>
      </c>
      <c r="L67" s="4">
        <v>0</v>
      </c>
      <c r="M67" s="4">
        <v>0</v>
      </c>
      <c r="N67" s="4">
        <v>1</v>
      </c>
      <c r="O67" s="4">
        <v>0</v>
      </c>
      <c r="P67" s="4">
        <v>0</v>
      </c>
      <c r="Q67" s="4">
        <v>0</v>
      </c>
      <c r="R67" s="29">
        <v>0</v>
      </c>
      <c r="S67" s="31">
        <v>0</v>
      </c>
      <c r="T67" s="30">
        <v>0</v>
      </c>
      <c r="U67" s="4">
        <v>0</v>
      </c>
      <c r="V67" s="4">
        <v>0</v>
      </c>
      <c r="W67" s="4">
        <v>0</v>
      </c>
      <c r="X67" s="4">
        <v>0</v>
      </c>
      <c r="Y67" s="4" t="s">
        <v>2729</v>
      </c>
    </row>
    <row r="68" spans="1:25" x14ac:dyDescent="0.15">
      <c r="A68" s="4" t="s">
        <v>2663</v>
      </c>
      <c r="C68" s="4" t="s">
        <v>3562</v>
      </c>
      <c r="D68" s="4">
        <v>594</v>
      </c>
      <c r="E68" s="4" t="s">
        <v>2810</v>
      </c>
      <c r="F68" s="4">
        <v>0</v>
      </c>
      <c r="G68" s="4">
        <v>0.1</v>
      </c>
      <c r="H68" s="4">
        <v>0</v>
      </c>
      <c r="I68" s="4" t="b">
        <v>1</v>
      </c>
      <c r="J68" s="4" t="b">
        <v>0</v>
      </c>
      <c r="K68" s="4">
        <v>1</v>
      </c>
      <c r="L68" s="4">
        <v>0</v>
      </c>
      <c r="M68" s="4">
        <v>0</v>
      </c>
      <c r="N68" s="4">
        <v>1</v>
      </c>
      <c r="O68" s="4">
        <v>0</v>
      </c>
      <c r="P68" s="4">
        <v>1101</v>
      </c>
      <c r="Q68" s="4">
        <v>0</v>
      </c>
      <c r="R68" s="29">
        <v>0</v>
      </c>
      <c r="S68" s="31">
        <v>0</v>
      </c>
      <c r="T68" s="30">
        <v>0</v>
      </c>
      <c r="U68" s="4">
        <v>0</v>
      </c>
      <c r="V68" s="4">
        <v>0</v>
      </c>
      <c r="W68" s="4">
        <v>0</v>
      </c>
      <c r="X68" s="4">
        <v>4</v>
      </c>
      <c r="Y68" s="4" t="s">
        <v>3565</v>
      </c>
    </row>
    <row r="69" spans="1:25" x14ac:dyDescent="0.15">
      <c r="A69" s="4" t="s">
        <v>2663</v>
      </c>
      <c r="C69" s="4" t="s">
        <v>3562</v>
      </c>
      <c r="D69" s="4">
        <v>595</v>
      </c>
      <c r="E69" s="4" t="s">
        <v>2810</v>
      </c>
      <c r="F69" s="4">
        <v>0</v>
      </c>
      <c r="G69" s="4">
        <v>0.1</v>
      </c>
      <c r="H69" s="4">
        <v>0</v>
      </c>
      <c r="I69" s="4" t="b">
        <v>1</v>
      </c>
      <c r="J69" s="4" t="b">
        <v>0</v>
      </c>
      <c r="K69" s="4">
        <v>1</v>
      </c>
      <c r="L69" s="4">
        <v>0</v>
      </c>
      <c r="M69" s="4">
        <v>0</v>
      </c>
      <c r="N69" s="4">
        <v>1</v>
      </c>
      <c r="O69" s="4">
        <v>0</v>
      </c>
      <c r="P69" s="4">
        <v>1102</v>
      </c>
      <c r="Q69" s="4">
        <v>0</v>
      </c>
      <c r="R69" s="29">
        <v>0</v>
      </c>
      <c r="S69" s="31">
        <v>0</v>
      </c>
      <c r="T69" s="30">
        <v>0</v>
      </c>
      <c r="U69" s="4">
        <v>0</v>
      </c>
      <c r="V69" s="4">
        <v>0</v>
      </c>
      <c r="W69" s="4">
        <v>0</v>
      </c>
      <c r="X69" s="4">
        <v>4</v>
      </c>
      <c r="Y69" s="4" t="s">
        <v>3565</v>
      </c>
    </row>
    <row r="71" spans="1:25" x14ac:dyDescent="0.15">
      <c r="A71" s="4" t="s">
        <v>2720</v>
      </c>
      <c r="C71" s="4" t="s">
        <v>3693</v>
      </c>
      <c r="D71" s="4">
        <v>601</v>
      </c>
      <c r="E71" s="4" t="s">
        <v>3703</v>
      </c>
      <c r="F71" s="4">
        <v>6</v>
      </c>
      <c r="G71" s="4">
        <v>2</v>
      </c>
      <c r="H71" s="4">
        <v>2</v>
      </c>
      <c r="I71" s="4" t="b">
        <v>0</v>
      </c>
      <c r="J71" s="4" t="b">
        <v>0</v>
      </c>
      <c r="K71" s="4">
        <v>1</v>
      </c>
      <c r="L71" s="4">
        <v>0</v>
      </c>
      <c r="M71" s="4">
        <v>1050</v>
      </c>
      <c r="N71" s="4">
        <v>7</v>
      </c>
      <c r="O71" s="4">
        <v>0.5</v>
      </c>
      <c r="P71" s="4">
        <v>0</v>
      </c>
      <c r="Q71" s="4">
        <v>0</v>
      </c>
      <c r="R71" s="29">
        <v>0</v>
      </c>
      <c r="S71" s="31">
        <v>0</v>
      </c>
      <c r="T71" s="30">
        <v>0</v>
      </c>
      <c r="U71" s="4">
        <v>0</v>
      </c>
      <c r="V71" s="4">
        <v>0</v>
      </c>
      <c r="W71" s="4">
        <v>0</v>
      </c>
      <c r="X71" s="4">
        <v>1</v>
      </c>
      <c r="Y71" s="4" t="s">
        <v>2729</v>
      </c>
    </row>
    <row r="72" spans="1:25" x14ac:dyDescent="0.15">
      <c r="A72" s="4" t="s">
        <v>2663</v>
      </c>
      <c r="C72" s="4" t="s">
        <v>3706</v>
      </c>
      <c r="D72" s="4">
        <v>602</v>
      </c>
      <c r="E72" s="4" t="s">
        <v>3697</v>
      </c>
      <c r="F72" s="4">
        <v>6</v>
      </c>
      <c r="G72" s="4">
        <v>1.5</v>
      </c>
      <c r="H72" s="4">
        <v>0.5</v>
      </c>
      <c r="I72" s="4" t="b">
        <v>1</v>
      </c>
      <c r="J72" s="4" t="b">
        <v>0</v>
      </c>
      <c r="K72" s="4">
        <v>1</v>
      </c>
      <c r="L72" s="4">
        <v>1</v>
      </c>
      <c r="M72" s="4">
        <v>0</v>
      </c>
      <c r="N72" s="4">
        <v>2</v>
      </c>
      <c r="O72" s="4">
        <v>0.2</v>
      </c>
      <c r="P72" s="4">
        <v>0</v>
      </c>
      <c r="Q72" s="4">
        <v>0</v>
      </c>
      <c r="R72" s="29">
        <v>0</v>
      </c>
      <c r="S72" s="31">
        <v>0</v>
      </c>
      <c r="T72" s="30">
        <v>0</v>
      </c>
      <c r="U72" s="4">
        <v>0</v>
      </c>
      <c r="V72" s="4">
        <v>0</v>
      </c>
      <c r="W72" s="4">
        <v>0</v>
      </c>
      <c r="X72" s="4">
        <v>0</v>
      </c>
      <c r="Y72" s="4" t="s">
        <v>2729</v>
      </c>
    </row>
    <row r="73" spans="1:25" x14ac:dyDescent="0.15">
      <c r="A73" s="4" t="s">
        <v>2663</v>
      </c>
      <c r="C73" s="4" t="s">
        <v>3694</v>
      </c>
      <c r="D73" s="4">
        <v>603</v>
      </c>
      <c r="E73" s="4" t="s">
        <v>3702</v>
      </c>
      <c r="F73" s="4">
        <v>0</v>
      </c>
      <c r="G73" s="4">
        <v>2</v>
      </c>
      <c r="H73" s="4">
        <v>0.2</v>
      </c>
      <c r="I73" s="4" t="b">
        <v>1</v>
      </c>
      <c r="J73" s="4" t="b">
        <v>0</v>
      </c>
      <c r="K73" s="4">
        <v>1</v>
      </c>
      <c r="L73" s="4">
        <v>2</v>
      </c>
      <c r="M73" s="4">
        <v>0</v>
      </c>
      <c r="N73" s="4">
        <v>7</v>
      </c>
      <c r="O73" s="4">
        <v>5</v>
      </c>
      <c r="P73" s="4">
        <v>0</v>
      </c>
      <c r="Q73" s="4">
        <v>0</v>
      </c>
      <c r="R73" s="29">
        <v>0</v>
      </c>
      <c r="S73" s="31">
        <v>0</v>
      </c>
      <c r="T73" s="30">
        <v>0</v>
      </c>
      <c r="U73" s="4">
        <v>0</v>
      </c>
      <c r="V73" s="4">
        <v>0</v>
      </c>
      <c r="W73" s="4">
        <v>105</v>
      </c>
      <c r="X73" s="4">
        <v>0</v>
      </c>
      <c r="Y73" s="4" t="s">
        <v>2729</v>
      </c>
    </row>
    <row r="75" spans="1:25" x14ac:dyDescent="0.15">
      <c r="B75" s="4" t="s">
        <v>9891</v>
      </c>
    </row>
    <row r="76" spans="1:25" x14ac:dyDescent="0.15">
      <c r="A76" s="4" t="s">
        <v>2720</v>
      </c>
      <c r="C76" s="4" t="s">
        <v>2942</v>
      </c>
      <c r="D76" s="4">
        <v>1101</v>
      </c>
      <c r="E76" s="4" t="s">
        <v>2810</v>
      </c>
      <c r="F76" s="4">
        <v>0</v>
      </c>
      <c r="G76" s="4">
        <v>0.1</v>
      </c>
      <c r="H76" s="4">
        <v>0</v>
      </c>
      <c r="I76" s="4" t="b">
        <v>1</v>
      </c>
      <c r="J76" s="4" t="b">
        <v>0</v>
      </c>
      <c r="K76" s="4">
        <v>1.5</v>
      </c>
      <c r="L76" s="4">
        <v>1.5</v>
      </c>
      <c r="M76" s="4">
        <v>0</v>
      </c>
      <c r="N76" s="4">
        <v>4</v>
      </c>
      <c r="O76" s="4">
        <v>1</v>
      </c>
      <c r="P76" s="4">
        <v>0</v>
      </c>
      <c r="Q76" s="4">
        <v>0</v>
      </c>
      <c r="R76" s="29">
        <v>0</v>
      </c>
      <c r="S76" s="31">
        <v>0</v>
      </c>
      <c r="T76" s="30">
        <v>0</v>
      </c>
      <c r="U76" s="4">
        <v>0</v>
      </c>
      <c r="V76" s="4">
        <v>0</v>
      </c>
      <c r="W76" s="4">
        <v>0</v>
      </c>
      <c r="X76" s="4">
        <v>0</v>
      </c>
    </row>
    <row r="77" spans="1:25" x14ac:dyDescent="0.15">
      <c r="A77" s="4" t="s">
        <v>2720</v>
      </c>
      <c r="C77" s="4" t="s">
        <v>2943</v>
      </c>
      <c r="D77" s="4">
        <v>1102</v>
      </c>
      <c r="E77" s="4" t="s">
        <v>2857</v>
      </c>
      <c r="F77" s="4">
        <v>6</v>
      </c>
      <c r="G77" s="4">
        <v>2</v>
      </c>
      <c r="H77" s="4">
        <v>2</v>
      </c>
      <c r="I77" s="4" t="b">
        <v>0</v>
      </c>
      <c r="J77" s="4" t="b">
        <v>0</v>
      </c>
      <c r="K77" s="4">
        <v>1</v>
      </c>
      <c r="L77" s="4">
        <v>0</v>
      </c>
      <c r="M77" s="4">
        <v>170</v>
      </c>
      <c r="N77" s="4">
        <v>2</v>
      </c>
      <c r="O77" s="4">
        <v>0.2</v>
      </c>
      <c r="P77" s="4">
        <v>0</v>
      </c>
      <c r="Q77" s="4">
        <v>0</v>
      </c>
      <c r="R77" s="29">
        <v>0</v>
      </c>
      <c r="S77" s="31">
        <v>0</v>
      </c>
      <c r="T77" s="30">
        <v>0</v>
      </c>
      <c r="U77" s="4">
        <v>0</v>
      </c>
      <c r="V77" s="4">
        <v>0</v>
      </c>
      <c r="W77" s="4">
        <v>0</v>
      </c>
      <c r="X77" s="4">
        <v>1</v>
      </c>
    </row>
    <row r="78" spans="1:25" x14ac:dyDescent="0.15">
      <c r="A78" s="4" t="s">
        <v>2720</v>
      </c>
      <c r="C78" s="4" t="s">
        <v>2944</v>
      </c>
      <c r="D78" s="4">
        <v>1103</v>
      </c>
      <c r="E78" s="4" t="s">
        <v>2858</v>
      </c>
      <c r="F78" s="4">
        <v>6</v>
      </c>
      <c r="G78" s="4">
        <v>3.1</v>
      </c>
      <c r="H78" s="4">
        <v>3</v>
      </c>
      <c r="I78" s="4" t="b">
        <v>0</v>
      </c>
      <c r="J78" s="4" t="b">
        <v>0</v>
      </c>
      <c r="K78" s="4">
        <v>1</v>
      </c>
      <c r="L78" s="4">
        <v>1</v>
      </c>
      <c r="M78" s="4">
        <v>110</v>
      </c>
      <c r="N78" s="4">
        <v>4</v>
      </c>
      <c r="O78" s="4">
        <v>1</v>
      </c>
      <c r="P78" s="4">
        <v>0</v>
      </c>
      <c r="Q78" s="4">
        <v>0</v>
      </c>
      <c r="R78" s="29">
        <v>0</v>
      </c>
      <c r="S78" s="31">
        <v>0</v>
      </c>
      <c r="T78" s="30">
        <v>0</v>
      </c>
      <c r="U78" s="4">
        <v>0</v>
      </c>
      <c r="V78" s="4">
        <v>0</v>
      </c>
      <c r="W78" s="4">
        <v>0</v>
      </c>
      <c r="X78" s="4">
        <v>0</v>
      </c>
      <c r="Y78" s="4" t="s">
        <v>2868</v>
      </c>
    </row>
    <row r="79" spans="1:25" x14ac:dyDescent="0.15">
      <c r="A79" s="4" t="s">
        <v>2720</v>
      </c>
      <c r="C79" s="4" t="s">
        <v>2940</v>
      </c>
      <c r="D79" s="4">
        <v>1104</v>
      </c>
      <c r="E79" s="4" t="s">
        <v>2810</v>
      </c>
      <c r="F79" s="4">
        <v>0</v>
      </c>
      <c r="G79" s="4">
        <v>0.1</v>
      </c>
      <c r="H79" s="4">
        <v>0</v>
      </c>
      <c r="I79" s="4" t="b">
        <v>1</v>
      </c>
      <c r="J79" s="4" t="b">
        <v>0</v>
      </c>
      <c r="K79" s="4">
        <v>2</v>
      </c>
      <c r="L79" s="4">
        <v>2</v>
      </c>
      <c r="M79" s="4">
        <v>0</v>
      </c>
      <c r="N79" s="4">
        <v>5</v>
      </c>
      <c r="O79" s="4">
        <v>0.5</v>
      </c>
      <c r="P79" s="4">
        <v>0</v>
      </c>
      <c r="Q79" s="4">
        <v>0</v>
      </c>
      <c r="R79" s="29">
        <v>1</v>
      </c>
      <c r="S79" s="31">
        <v>0.05</v>
      </c>
      <c r="T79" s="30">
        <v>1</v>
      </c>
      <c r="U79" s="4">
        <v>0</v>
      </c>
      <c r="V79" s="4">
        <v>0</v>
      </c>
      <c r="W79" s="4">
        <v>0</v>
      </c>
      <c r="X79" s="4">
        <v>0</v>
      </c>
    </row>
    <row r="80" spans="1:25" x14ac:dyDescent="0.15">
      <c r="A80" s="4" t="s">
        <v>2720</v>
      </c>
      <c r="C80" s="4" t="s">
        <v>2941</v>
      </c>
      <c r="D80" s="4">
        <v>1105</v>
      </c>
      <c r="E80" s="4" t="s">
        <v>2857</v>
      </c>
      <c r="F80" s="4">
        <v>3</v>
      </c>
      <c r="G80" s="4">
        <v>3</v>
      </c>
      <c r="H80" s="4">
        <v>3</v>
      </c>
      <c r="I80" s="4" t="b">
        <v>0</v>
      </c>
      <c r="J80" s="4" t="b">
        <v>0</v>
      </c>
      <c r="K80" s="4">
        <v>1</v>
      </c>
      <c r="L80" s="4">
        <v>0</v>
      </c>
      <c r="M80" s="4">
        <v>170</v>
      </c>
      <c r="N80" s="4">
        <v>1</v>
      </c>
      <c r="O80" s="4">
        <v>0</v>
      </c>
      <c r="P80" s="4">
        <v>0</v>
      </c>
      <c r="Q80" s="4">
        <v>0</v>
      </c>
      <c r="R80" s="29">
        <v>0</v>
      </c>
      <c r="S80" s="31">
        <v>0</v>
      </c>
      <c r="T80" s="30">
        <v>0</v>
      </c>
      <c r="U80" s="4">
        <v>0</v>
      </c>
      <c r="V80" s="4">
        <v>0</v>
      </c>
      <c r="W80" s="4">
        <v>0</v>
      </c>
      <c r="X80" s="4">
        <v>1</v>
      </c>
    </row>
    <row r="82" spans="1:24" x14ac:dyDescent="0.15">
      <c r="A82" s="4" t="s">
        <v>2663</v>
      </c>
      <c r="C82" s="4" t="s">
        <v>3688</v>
      </c>
      <c r="D82" s="4">
        <v>1201</v>
      </c>
      <c r="E82" s="4" t="s">
        <v>2810</v>
      </c>
      <c r="F82" s="4">
        <v>0</v>
      </c>
      <c r="G82" s="4">
        <v>0.1</v>
      </c>
      <c r="H82" s="4">
        <v>0</v>
      </c>
      <c r="I82" s="4" t="b">
        <v>1</v>
      </c>
      <c r="J82" s="4" t="b">
        <v>0</v>
      </c>
      <c r="K82" s="4">
        <v>2</v>
      </c>
      <c r="L82" s="4">
        <v>2</v>
      </c>
      <c r="M82" s="4">
        <v>0</v>
      </c>
      <c r="N82" s="4">
        <v>4</v>
      </c>
      <c r="O82" s="4">
        <v>1</v>
      </c>
      <c r="P82" s="4">
        <v>0</v>
      </c>
      <c r="Q82" s="4">
        <v>0</v>
      </c>
      <c r="R82" s="29">
        <v>1</v>
      </c>
      <c r="S82" s="31">
        <v>0.05</v>
      </c>
      <c r="T82" s="30">
        <v>1</v>
      </c>
      <c r="U82" s="4">
        <v>0</v>
      </c>
      <c r="V82" s="4">
        <v>0</v>
      </c>
      <c r="W82" s="4">
        <v>0</v>
      </c>
      <c r="X82" s="4">
        <v>0</v>
      </c>
    </row>
    <row r="83" spans="1:24" x14ac:dyDescent="0.15">
      <c r="A83" s="4" t="s">
        <v>2663</v>
      </c>
      <c r="C83" s="4" t="s">
        <v>3689</v>
      </c>
      <c r="D83" s="4">
        <v>1202</v>
      </c>
      <c r="E83" s="4" t="s">
        <v>3685</v>
      </c>
      <c r="F83" s="4">
        <v>6</v>
      </c>
      <c r="G83" s="4">
        <v>2</v>
      </c>
      <c r="H83" s="4">
        <v>2</v>
      </c>
      <c r="I83" s="4" t="b">
        <v>0</v>
      </c>
      <c r="J83" s="4" t="b">
        <v>1</v>
      </c>
      <c r="K83" s="4">
        <v>1</v>
      </c>
      <c r="L83" s="4">
        <v>0</v>
      </c>
      <c r="M83" s="4">
        <v>1020</v>
      </c>
      <c r="N83" s="4">
        <v>3</v>
      </c>
      <c r="O83" s="4">
        <v>1</v>
      </c>
      <c r="P83" s="4">
        <v>0</v>
      </c>
      <c r="Q83" s="4">
        <v>0</v>
      </c>
      <c r="R83" s="29">
        <v>0</v>
      </c>
      <c r="S83" s="31">
        <v>0</v>
      </c>
      <c r="T83" s="30">
        <v>0</v>
      </c>
      <c r="U83" s="4">
        <v>0</v>
      </c>
      <c r="V83" s="4">
        <v>0</v>
      </c>
      <c r="W83" s="4">
        <v>0</v>
      </c>
      <c r="X83" s="4">
        <v>1</v>
      </c>
    </row>
    <row r="84" spans="1:24" x14ac:dyDescent="0.15">
      <c r="A84" s="4" t="s">
        <v>2663</v>
      </c>
      <c r="C84" s="4" t="s">
        <v>3690</v>
      </c>
      <c r="D84" s="4">
        <v>1203</v>
      </c>
      <c r="E84" s="4" t="s">
        <v>2810</v>
      </c>
      <c r="F84" s="4">
        <v>6</v>
      </c>
      <c r="G84" s="4">
        <v>0.1</v>
      </c>
      <c r="H84" s="4">
        <v>0</v>
      </c>
      <c r="I84" s="4" t="b">
        <v>1</v>
      </c>
      <c r="J84" s="4" t="b">
        <v>0</v>
      </c>
      <c r="K84" s="4">
        <v>1</v>
      </c>
      <c r="L84" s="4">
        <v>1</v>
      </c>
      <c r="M84" s="4">
        <v>0</v>
      </c>
      <c r="N84" s="4">
        <v>4</v>
      </c>
      <c r="O84" s="4">
        <v>2</v>
      </c>
      <c r="P84" s="4">
        <v>0</v>
      </c>
      <c r="Q84" s="4">
        <v>0</v>
      </c>
      <c r="R84" s="29">
        <v>0</v>
      </c>
      <c r="S84" s="31">
        <v>0</v>
      </c>
      <c r="T84" s="30">
        <v>0</v>
      </c>
      <c r="U84" s="4">
        <v>0</v>
      </c>
      <c r="V84" s="4">
        <v>0</v>
      </c>
      <c r="W84" s="4">
        <v>0</v>
      </c>
      <c r="X84" s="4">
        <v>0</v>
      </c>
    </row>
    <row r="85" spans="1:24" x14ac:dyDescent="0.15">
      <c r="A85" s="4" t="s">
        <v>2663</v>
      </c>
      <c r="D85" s="4">
        <v>1204</v>
      </c>
      <c r="E85" s="4" t="s">
        <v>2810</v>
      </c>
      <c r="F85" s="4">
        <v>0</v>
      </c>
      <c r="G85" s="4">
        <v>0.1</v>
      </c>
      <c r="H85" s="4">
        <v>0</v>
      </c>
      <c r="I85" s="4" t="b">
        <v>1</v>
      </c>
      <c r="J85" s="4" t="b">
        <v>0</v>
      </c>
      <c r="K85" s="4">
        <v>2</v>
      </c>
      <c r="L85" s="4">
        <v>2</v>
      </c>
      <c r="M85" s="4">
        <v>0</v>
      </c>
      <c r="N85" s="4">
        <v>4</v>
      </c>
      <c r="O85" s="4">
        <v>1</v>
      </c>
      <c r="P85" s="4">
        <v>0</v>
      </c>
      <c r="Q85" s="4">
        <v>0</v>
      </c>
      <c r="R85" s="29">
        <v>0</v>
      </c>
      <c r="S85" s="31">
        <v>0</v>
      </c>
      <c r="T85" s="30">
        <v>0</v>
      </c>
      <c r="U85" s="4">
        <v>0</v>
      </c>
      <c r="V85" s="4">
        <v>0</v>
      </c>
      <c r="W85" s="4">
        <v>0</v>
      </c>
      <c r="X85" s="4">
        <v>0</v>
      </c>
    </row>
    <row r="86" spans="1:24" x14ac:dyDescent="0.15">
      <c r="A86" s="4" t="s">
        <v>2663</v>
      </c>
      <c r="C86" s="4" t="s">
        <v>3691</v>
      </c>
      <c r="D86" s="4">
        <v>1205</v>
      </c>
      <c r="E86" s="4" t="s">
        <v>3686</v>
      </c>
      <c r="F86" s="4">
        <v>3</v>
      </c>
      <c r="G86" s="4">
        <v>3</v>
      </c>
      <c r="H86" s="4">
        <v>3</v>
      </c>
      <c r="I86" s="4" t="b">
        <v>0</v>
      </c>
      <c r="J86" s="4" t="b">
        <v>0</v>
      </c>
      <c r="K86" s="4">
        <v>1</v>
      </c>
      <c r="L86" s="4">
        <v>0</v>
      </c>
      <c r="M86" s="4">
        <v>1020</v>
      </c>
      <c r="N86" s="4">
        <v>1</v>
      </c>
      <c r="O86" s="4">
        <v>0</v>
      </c>
      <c r="P86" s="4">
        <v>0</v>
      </c>
      <c r="Q86" s="4">
        <v>0</v>
      </c>
      <c r="R86" s="29">
        <v>0</v>
      </c>
      <c r="S86" s="31">
        <v>0</v>
      </c>
      <c r="T86" s="30">
        <v>0</v>
      </c>
      <c r="U86" s="4">
        <v>0</v>
      </c>
      <c r="V86" s="4">
        <v>0</v>
      </c>
      <c r="W86" s="4">
        <v>0</v>
      </c>
      <c r="X86" s="4">
        <v>1</v>
      </c>
    </row>
    <row r="88" spans="1:24" x14ac:dyDescent="0.15">
      <c r="A88" s="4" t="s">
        <v>2663</v>
      </c>
      <c r="C88" s="4" t="s">
        <v>9884</v>
      </c>
      <c r="D88" s="4">
        <v>1301</v>
      </c>
      <c r="E88" s="4" t="s">
        <v>9824</v>
      </c>
      <c r="F88" s="4">
        <v>2</v>
      </c>
      <c r="G88" s="4">
        <v>2</v>
      </c>
      <c r="H88" s="4">
        <v>0</v>
      </c>
      <c r="I88" s="4" t="b">
        <v>1</v>
      </c>
      <c r="J88" s="4" t="b">
        <v>0</v>
      </c>
      <c r="K88" s="4">
        <v>2</v>
      </c>
      <c r="L88" s="4">
        <v>0</v>
      </c>
      <c r="M88" s="4">
        <v>0</v>
      </c>
      <c r="N88" s="4">
        <v>1</v>
      </c>
      <c r="O88" s="4">
        <v>0</v>
      </c>
      <c r="P88" s="4">
        <v>0</v>
      </c>
      <c r="Q88" s="4">
        <v>0</v>
      </c>
      <c r="R88" s="29">
        <v>0</v>
      </c>
      <c r="S88" s="31">
        <v>0</v>
      </c>
      <c r="T88" s="30">
        <v>0</v>
      </c>
      <c r="U88" s="4">
        <v>0</v>
      </c>
      <c r="V88" s="4">
        <v>0</v>
      </c>
      <c r="W88" s="4">
        <v>0</v>
      </c>
      <c r="X88" s="4">
        <v>0</v>
      </c>
    </row>
    <row r="89" spans="1:24" x14ac:dyDescent="0.15">
      <c r="A89" s="4" t="s">
        <v>2663</v>
      </c>
      <c r="C89" s="4" t="s">
        <v>9885</v>
      </c>
      <c r="D89" s="4">
        <v>1302</v>
      </c>
      <c r="E89" s="4" t="s">
        <v>2810</v>
      </c>
      <c r="F89" s="4">
        <v>8</v>
      </c>
      <c r="G89" s="4">
        <v>1.5</v>
      </c>
      <c r="H89" s="4">
        <v>1.5</v>
      </c>
      <c r="I89" s="4" t="b">
        <v>0</v>
      </c>
      <c r="J89" s="4" t="b">
        <v>1</v>
      </c>
      <c r="K89" s="4">
        <v>1</v>
      </c>
      <c r="L89" s="4">
        <v>0</v>
      </c>
      <c r="M89" s="4">
        <v>0</v>
      </c>
      <c r="N89" s="4">
        <v>3</v>
      </c>
      <c r="O89" s="4">
        <v>0.1</v>
      </c>
      <c r="P89" s="4">
        <v>0</v>
      </c>
      <c r="Q89" s="4">
        <v>0</v>
      </c>
      <c r="R89" s="29">
        <v>0</v>
      </c>
      <c r="S89" s="31">
        <v>0</v>
      </c>
      <c r="T89" s="30">
        <v>0</v>
      </c>
      <c r="U89" s="4">
        <v>0</v>
      </c>
      <c r="V89" s="4">
        <v>0</v>
      </c>
      <c r="W89" s="4">
        <v>0</v>
      </c>
      <c r="X89" s="4">
        <v>1</v>
      </c>
    </row>
    <row r="90" spans="1:24" x14ac:dyDescent="0.15">
      <c r="A90" s="4" t="s">
        <v>2663</v>
      </c>
      <c r="C90" s="4" t="s">
        <v>9886</v>
      </c>
      <c r="D90" s="4">
        <v>1303</v>
      </c>
      <c r="E90" s="4" t="s">
        <v>2810</v>
      </c>
      <c r="F90" s="4">
        <v>6</v>
      </c>
      <c r="G90" s="4">
        <v>0.1</v>
      </c>
      <c r="H90" s="4">
        <v>0</v>
      </c>
      <c r="I90" s="4" t="b">
        <v>0</v>
      </c>
      <c r="J90" s="4" t="b">
        <v>0</v>
      </c>
      <c r="K90" s="4">
        <v>1</v>
      </c>
      <c r="L90" s="4">
        <v>1</v>
      </c>
      <c r="M90" s="4">
        <v>0</v>
      </c>
      <c r="N90" s="4">
        <v>1</v>
      </c>
      <c r="O90" s="4">
        <v>0</v>
      </c>
      <c r="P90" s="4">
        <v>0</v>
      </c>
      <c r="Q90" s="4">
        <v>0</v>
      </c>
      <c r="R90" s="29">
        <v>0</v>
      </c>
      <c r="S90" s="31">
        <v>0</v>
      </c>
      <c r="T90" s="30">
        <v>0</v>
      </c>
      <c r="U90" s="4">
        <v>0</v>
      </c>
      <c r="V90" s="4">
        <v>0</v>
      </c>
      <c r="W90" s="4">
        <v>0</v>
      </c>
      <c r="X90" s="4">
        <v>0</v>
      </c>
    </row>
    <row r="91" spans="1:24" x14ac:dyDescent="0.15">
      <c r="A91" s="4" t="s">
        <v>2663</v>
      </c>
      <c r="C91" s="4" t="s">
        <v>9887</v>
      </c>
      <c r="D91" s="4">
        <v>1304</v>
      </c>
      <c r="E91" s="4" t="s">
        <v>2810</v>
      </c>
      <c r="F91" s="4">
        <v>0</v>
      </c>
      <c r="G91" s="4">
        <v>0.1</v>
      </c>
      <c r="H91" s="4">
        <v>0</v>
      </c>
      <c r="I91" s="4" t="b">
        <v>1</v>
      </c>
      <c r="J91" s="4" t="b">
        <v>0</v>
      </c>
      <c r="K91" s="4">
        <v>2</v>
      </c>
      <c r="L91" s="4">
        <v>2</v>
      </c>
      <c r="M91" s="4">
        <v>0</v>
      </c>
      <c r="N91" s="4">
        <v>3</v>
      </c>
      <c r="O91" s="4">
        <v>0.1</v>
      </c>
      <c r="P91" s="4">
        <v>0</v>
      </c>
      <c r="Q91" s="4">
        <v>0</v>
      </c>
      <c r="R91" s="29">
        <v>0</v>
      </c>
      <c r="S91" s="31">
        <v>0</v>
      </c>
      <c r="T91" s="30">
        <v>0</v>
      </c>
      <c r="U91" s="4">
        <v>0</v>
      </c>
      <c r="V91" s="4">
        <v>0</v>
      </c>
      <c r="W91" s="4">
        <v>0</v>
      </c>
      <c r="X91" s="4">
        <v>0</v>
      </c>
    </row>
    <row r="92" spans="1:24" x14ac:dyDescent="0.15">
      <c r="A92" s="4" t="s">
        <v>2663</v>
      </c>
      <c r="C92" s="4" t="s">
        <v>9888</v>
      </c>
      <c r="D92" s="4">
        <v>1305</v>
      </c>
      <c r="E92" s="4" t="s">
        <v>9895</v>
      </c>
      <c r="F92" s="4">
        <v>3</v>
      </c>
      <c r="G92" s="4">
        <v>3</v>
      </c>
      <c r="H92" s="4">
        <v>3</v>
      </c>
      <c r="I92" s="4" t="b">
        <v>0</v>
      </c>
      <c r="J92" s="4" t="b">
        <v>0</v>
      </c>
      <c r="K92" s="4">
        <v>1</v>
      </c>
      <c r="L92" s="4">
        <v>0</v>
      </c>
      <c r="M92" s="4">
        <v>1150</v>
      </c>
      <c r="N92" s="4">
        <v>1</v>
      </c>
      <c r="O92" s="4">
        <v>0</v>
      </c>
      <c r="P92" s="4">
        <v>0</v>
      </c>
      <c r="Q92" s="4">
        <v>0</v>
      </c>
      <c r="R92" s="29">
        <v>0</v>
      </c>
      <c r="S92" s="31">
        <v>0</v>
      </c>
      <c r="T92" s="30">
        <v>0</v>
      </c>
      <c r="U92" s="4">
        <v>0</v>
      </c>
      <c r="V92" s="4">
        <v>0</v>
      </c>
      <c r="W92" s="4">
        <v>0</v>
      </c>
      <c r="X92" s="4">
        <v>1</v>
      </c>
    </row>
    <row r="94" spans="1:24" x14ac:dyDescent="0.15">
      <c r="A94" s="4" t="s">
        <v>2663</v>
      </c>
      <c r="C94" s="4" t="s">
        <v>9896</v>
      </c>
      <c r="D94" s="4">
        <v>1401</v>
      </c>
      <c r="E94" s="4" t="s">
        <v>2810</v>
      </c>
      <c r="F94" s="4">
        <v>0</v>
      </c>
      <c r="G94" s="4">
        <v>0.1</v>
      </c>
      <c r="H94" s="4">
        <v>0</v>
      </c>
      <c r="I94" s="4" t="b">
        <v>1</v>
      </c>
      <c r="J94" s="4" t="b">
        <v>0</v>
      </c>
      <c r="K94" s="4">
        <v>2</v>
      </c>
      <c r="L94" s="4">
        <v>2</v>
      </c>
      <c r="M94" s="4">
        <v>0</v>
      </c>
      <c r="N94" s="4">
        <v>5</v>
      </c>
      <c r="O94" s="4">
        <v>0.5</v>
      </c>
      <c r="P94" s="4">
        <v>0</v>
      </c>
      <c r="Q94" s="4">
        <v>0</v>
      </c>
      <c r="R94" s="29">
        <v>1</v>
      </c>
      <c r="S94" s="31">
        <v>0.05</v>
      </c>
      <c r="T94" s="30">
        <v>1</v>
      </c>
      <c r="U94" s="4">
        <v>0</v>
      </c>
      <c r="V94" s="4">
        <v>0</v>
      </c>
      <c r="W94" s="4">
        <v>0</v>
      </c>
      <c r="X94" s="4">
        <v>0</v>
      </c>
    </row>
    <row r="95" spans="1:24" x14ac:dyDescent="0.15">
      <c r="A95" s="4" t="s">
        <v>2663</v>
      </c>
      <c r="C95" s="4" t="s">
        <v>9897</v>
      </c>
      <c r="D95" s="4">
        <v>1402</v>
      </c>
      <c r="E95" s="4" t="s">
        <v>2810</v>
      </c>
      <c r="F95" s="4">
        <v>6</v>
      </c>
      <c r="G95" s="4">
        <v>2</v>
      </c>
      <c r="H95" s="4">
        <v>2</v>
      </c>
      <c r="I95" s="4" t="b">
        <v>0</v>
      </c>
      <c r="J95" s="4" t="b">
        <v>1</v>
      </c>
      <c r="K95" s="4">
        <v>1</v>
      </c>
      <c r="L95" s="4">
        <v>0</v>
      </c>
      <c r="M95" s="4">
        <v>0</v>
      </c>
      <c r="N95" s="4">
        <v>1</v>
      </c>
      <c r="O95" s="4">
        <v>1</v>
      </c>
      <c r="P95" s="4">
        <v>0</v>
      </c>
      <c r="Q95" s="4">
        <v>0</v>
      </c>
      <c r="R95" s="29">
        <v>0</v>
      </c>
      <c r="S95" s="31">
        <v>0</v>
      </c>
      <c r="T95" s="30">
        <v>0</v>
      </c>
      <c r="U95" s="4">
        <v>0</v>
      </c>
      <c r="V95" s="4">
        <v>0</v>
      </c>
      <c r="W95" s="4">
        <v>0</v>
      </c>
      <c r="X95" s="4">
        <v>1</v>
      </c>
    </row>
    <row r="96" spans="1:24" x14ac:dyDescent="0.15">
      <c r="A96" s="4" t="s">
        <v>2663</v>
      </c>
      <c r="C96" s="4" t="s">
        <v>9899</v>
      </c>
      <c r="D96" s="4">
        <v>1403</v>
      </c>
      <c r="E96" s="4" t="s">
        <v>2810</v>
      </c>
      <c r="F96" s="4">
        <v>6</v>
      </c>
      <c r="G96" s="4">
        <v>0.1</v>
      </c>
      <c r="H96" s="4">
        <v>0</v>
      </c>
      <c r="I96" s="4" t="b">
        <v>1</v>
      </c>
      <c r="J96" s="4" t="b">
        <v>0</v>
      </c>
      <c r="K96" s="4">
        <v>1</v>
      </c>
      <c r="L96" s="4">
        <v>1</v>
      </c>
      <c r="M96" s="4">
        <v>0</v>
      </c>
      <c r="N96" s="4">
        <v>4</v>
      </c>
      <c r="O96" s="4">
        <v>2</v>
      </c>
      <c r="P96" s="4">
        <v>0</v>
      </c>
      <c r="Q96" s="4">
        <v>0</v>
      </c>
      <c r="R96" s="29">
        <v>0</v>
      </c>
      <c r="S96" s="31">
        <v>0</v>
      </c>
      <c r="T96" s="30">
        <v>0</v>
      </c>
      <c r="U96" s="4">
        <v>0</v>
      </c>
      <c r="V96" s="4">
        <v>0</v>
      </c>
      <c r="W96" s="4">
        <v>0</v>
      </c>
      <c r="X96" s="4">
        <v>0</v>
      </c>
    </row>
    <row r="97" spans="1:25" x14ac:dyDescent="0.15">
      <c r="A97" s="4" t="s">
        <v>2663</v>
      </c>
      <c r="C97" s="4" t="s">
        <v>9900</v>
      </c>
      <c r="D97" s="4">
        <v>1404</v>
      </c>
      <c r="E97" s="4" t="s">
        <v>2810</v>
      </c>
      <c r="F97" s="4">
        <v>0</v>
      </c>
      <c r="G97" s="4">
        <v>0.1</v>
      </c>
      <c r="H97" s="4">
        <v>0</v>
      </c>
      <c r="I97" s="4" t="b">
        <v>1</v>
      </c>
      <c r="J97" s="4" t="b">
        <v>0</v>
      </c>
      <c r="K97" s="4">
        <v>2</v>
      </c>
      <c r="L97" s="4">
        <v>0</v>
      </c>
      <c r="M97" s="4">
        <v>0</v>
      </c>
      <c r="N97" s="4">
        <v>3</v>
      </c>
      <c r="O97" s="4">
        <v>0.2</v>
      </c>
      <c r="P97" s="4">
        <v>0</v>
      </c>
      <c r="Q97" s="4">
        <v>0</v>
      </c>
      <c r="R97" s="29">
        <v>0</v>
      </c>
      <c r="S97" s="31">
        <v>0</v>
      </c>
      <c r="T97" s="30">
        <v>0</v>
      </c>
      <c r="U97" s="4">
        <v>0</v>
      </c>
      <c r="V97" s="4">
        <v>0</v>
      </c>
      <c r="W97" s="4">
        <v>203</v>
      </c>
      <c r="X97" s="4">
        <v>0</v>
      </c>
    </row>
    <row r="98" spans="1:25" x14ac:dyDescent="0.15">
      <c r="A98" s="4" t="s">
        <v>2663</v>
      </c>
      <c r="C98" s="4" t="s">
        <v>9901</v>
      </c>
      <c r="D98" s="4">
        <v>1405</v>
      </c>
      <c r="E98" s="4" t="s">
        <v>9902</v>
      </c>
      <c r="F98" s="4">
        <v>3</v>
      </c>
      <c r="G98" s="4">
        <v>3</v>
      </c>
      <c r="H98" s="4">
        <v>3</v>
      </c>
      <c r="I98" s="4" t="b">
        <v>0</v>
      </c>
      <c r="J98" s="4" t="b">
        <v>0</v>
      </c>
      <c r="K98" s="4">
        <v>1</v>
      </c>
      <c r="L98" s="4">
        <v>0</v>
      </c>
      <c r="M98" s="4">
        <v>1210</v>
      </c>
      <c r="N98" s="4">
        <v>1</v>
      </c>
      <c r="O98" s="4">
        <v>0</v>
      </c>
      <c r="P98" s="4">
        <v>0</v>
      </c>
      <c r="Q98" s="4">
        <v>0</v>
      </c>
      <c r="R98" s="29">
        <v>0</v>
      </c>
      <c r="S98" s="31">
        <v>0</v>
      </c>
      <c r="T98" s="30">
        <v>0</v>
      </c>
      <c r="U98" s="4">
        <v>0</v>
      </c>
      <c r="V98" s="4">
        <v>0</v>
      </c>
      <c r="W98" s="4">
        <v>0</v>
      </c>
      <c r="X98" s="4">
        <v>1</v>
      </c>
    </row>
    <row r="100" spans="1:25" x14ac:dyDescent="0.15">
      <c r="A100" s="4" t="s">
        <v>2663</v>
      </c>
      <c r="C100" s="4" t="s">
        <v>9908</v>
      </c>
      <c r="D100" s="4">
        <v>1501</v>
      </c>
      <c r="E100" s="4" t="s">
        <v>2810</v>
      </c>
      <c r="F100" s="4">
        <v>0</v>
      </c>
      <c r="G100" s="4">
        <v>0.1</v>
      </c>
      <c r="H100" s="4">
        <v>0</v>
      </c>
      <c r="I100" s="4" t="b">
        <v>1</v>
      </c>
      <c r="J100" s="4" t="b">
        <v>0</v>
      </c>
      <c r="K100" s="4">
        <v>1</v>
      </c>
      <c r="L100" s="4">
        <v>1</v>
      </c>
      <c r="M100" s="4">
        <v>0</v>
      </c>
      <c r="N100" s="4">
        <v>2</v>
      </c>
      <c r="O100" s="4">
        <v>0.2</v>
      </c>
      <c r="P100" s="4">
        <v>0</v>
      </c>
      <c r="Q100" s="4">
        <v>0</v>
      </c>
      <c r="R100" s="29">
        <v>1</v>
      </c>
      <c r="S100" s="31">
        <v>0.05</v>
      </c>
      <c r="T100" s="30">
        <v>1</v>
      </c>
      <c r="U100" s="4">
        <v>0</v>
      </c>
      <c r="V100" s="4">
        <v>0</v>
      </c>
      <c r="W100" s="4">
        <v>0</v>
      </c>
      <c r="X100" s="4">
        <v>0</v>
      </c>
    </row>
    <row r="101" spans="1:25" x14ac:dyDescent="0.15">
      <c r="A101" s="4" t="s">
        <v>2663</v>
      </c>
      <c r="C101" s="4" t="s">
        <v>9909</v>
      </c>
      <c r="D101" s="4">
        <v>1502</v>
      </c>
      <c r="E101" s="4" t="s">
        <v>9913</v>
      </c>
      <c r="F101" s="4">
        <v>0</v>
      </c>
      <c r="G101" s="4">
        <v>2</v>
      </c>
      <c r="H101" s="4">
        <v>2</v>
      </c>
      <c r="I101" s="4" t="b">
        <v>0</v>
      </c>
      <c r="J101" s="4" t="b">
        <v>1</v>
      </c>
      <c r="K101" s="4">
        <v>1</v>
      </c>
      <c r="L101" s="4">
        <v>2</v>
      </c>
      <c r="M101" s="4">
        <v>0</v>
      </c>
      <c r="N101" s="4">
        <v>2</v>
      </c>
      <c r="O101" s="4">
        <v>0.2</v>
      </c>
      <c r="P101" s="4">
        <v>0</v>
      </c>
      <c r="Q101" s="4">
        <v>0</v>
      </c>
      <c r="R101" s="29">
        <v>0</v>
      </c>
      <c r="S101" s="31">
        <v>0</v>
      </c>
      <c r="T101" s="30">
        <v>0</v>
      </c>
      <c r="U101" s="4">
        <v>0</v>
      </c>
      <c r="V101" s="4">
        <v>0</v>
      </c>
      <c r="W101" s="4">
        <v>0</v>
      </c>
      <c r="X101" s="4">
        <v>1</v>
      </c>
    </row>
    <row r="102" spans="1:25" x14ac:dyDescent="0.15">
      <c r="A102" s="4" t="s">
        <v>2663</v>
      </c>
      <c r="C102" s="4" t="s">
        <v>9910</v>
      </c>
      <c r="D102" s="4">
        <v>1503</v>
      </c>
      <c r="E102" s="4" t="s">
        <v>9914</v>
      </c>
      <c r="F102" s="4">
        <v>1</v>
      </c>
      <c r="G102" s="4">
        <v>4</v>
      </c>
      <c r="H102" s="4">
        <v>4</v>
      </c>
      <c r="I102" s="4" t="b">
        <v>0</v>
      </c>
      <c r="J102" s="4" t="b">
        <v>0</v>
      </c>
      <c r="K102" s="4">
        <v>1</v>
      </c>
      <c r="L102" s="4">
        <v>1</v>
      </c>
      <c r="M102" s="4">
        <v>0</v>
      </c>
      <c r="N102" s="4">
        <v>1</v>
      </c>
      <c r="O102" s="4">
        <v>0</v>
      </c>
      <c r="P102" s="4">
        <v>0</v>
      </c>
      <c r="Q102" s="4">
        <v>0</v>
      </c>
      <c r="R102" s="29">
        <v>0</v>
      </c>
      <c r="S102" s="31">
        <v>0</v>
      </c>
      <c r="T102" s="30">
        <v>0</v>
      </c>
      <c r="U102" s="4">
        <v>0</v>
      </c>
      <c r="V102" s="4">
        <v>0</v>
      </c>
      <c r="W102" s="4">
        <v>204</v>
      </c>
      <c r="X102" s="4">
        <v>6</v>
      </c>
      <c r="Y102" s="4" t="s">
        <v>9917</v>
      </c>
    </row>
    <row r="103" spans="1:25" x14ac:dyDescent="0.15">
      <c r="A103" s="4" t="s">
        <v>2663</v>
      </c>
      <c r="C103" s="4" t="s">
        <v>9911</v>
      </c>
      <c r="D103" s="4">
        <v>1504</v>
      </c>
      <c r="E103" s="4" t="s">
        <v>2810</v>
      </c>
      <c r="F103" s="4">
        <v>0</v>
      </c>
      <c r="G103" s="4">
        <v>0.1</v>
      </c>
      <c r="H103" s="4">
        <v>0</v>
      </c>
      <c r="I103" s="4" t="b">
        <v>1</v>
      </c>
      <c r="J103" s="4" t="b">
        <v>0</v>
      </c>
      <c r="K103" s="4">
        <v>2</v>
      </c>
      <c r="L103" s="4">
        <v>2</v>
      </c>
      <c r="M103" s="4">
        <v>0</v>
      </c>
      <c r="N103" s="4">
        <v>2</v>
      </c>
      <c r="O103" s="4">
        <v>0.2</v>
      </c>
      <c r="P103" s="4">
        <v>0</v>
      </c>
      <c r="Q103" s="4">
        <v>0</v>
      </c>
      <c r="R103" s="29">
        <v>0</v>
      </c>
      <c r="S103" s="31">
        <v>0</v>
      </c>
      <c r="T103" s="30">
        <v>0</v>
      </c>
      <c r="U103" s="4">
        <v>0</v>
      </c>
      <c r="V103" s="4">
        <v>0</v>
      </c>
      <c r="W103" s="4">
        <v>0</v>
      </c>
      <c r="X103" s="4">
        <v>0</v>
      </c>
    </row>
    <row r="104" spans="1:25" x14ac:dyDescent="0.15">
      <c r="A104" s="4" t="s">
        <v>2663</v>
      </c>
      <c r="C104" s="4" t="s">
        <v>9912</v>
      </c>
      <c r="D104" s="4">
        <v>1505</v>
      </c>
      <c r="E104" s="4" t="s">
        <v>9915</v>
      </c>
      <c r="F104" s="4">
        <v>3</v>
      </c>
      <c r="G104" s="4">
        <v>3</v>
      </c>
      <c r="H104" s="4">
        <v>3</v>
      </c>
      <c r="I104" s="4" t="b">
        <v>0</v>
      </c>
      <c r="J104" s="4" t="b">
        <v>0</v>
      </c>
      <c r="K104" s="4">
        <v>1</v>
      </c>
      <c r="L104" s="4">
        <v>0</v>
      </c>
      <c r="M104" s="4">
        <v>1330</v>
      </c>
      <c r="N104" s="4">
        <v>1</v>
      </c>
      <c r="O104" s="4">
        <v>0</v>
      </c>
      <c r="P104" s="4">
        <v>0</v>
      </c>
      <c r="Q104" s="4">
        <v>0</v>
      </c>
      <c r="R104" s="29">
        <v>0</v>
      </c>
      <c r="S104" s="31">
        <v>0</v>
      </c>
      <c r="T104" s="30">
        <v>0</v>
      </c>
      <c r="U104" s="4">
        <v>0</v>
      </c>
      <c r="V104" s="4">
        <v>0</v>
      </c>
      <c r="W104" s="4">
        <v>0</v>
      </c>
      <c r="X104" s="4">
        <v>1</v>
      </c>
    </row>
    <row r="106" spans="1:25" x14ac:dyDescent="0.15">
      <c r="A106" s="4" t="s">
        <v>2663</v>
      </c>
      <c r="C106" s="4" t="s">
        <v>9922</v>
      </c>
      <c r="D106" s="4">
        <v>1601</v>
      </c>
      <c r="E106" s="4" t="s">
        <v>2810</v>
      </c>
      <c r="F106" s="4">
        <v>0</v>
      </c>
      <c r="G106" s="4">
        <v>0.1</v>
      </c>
      <c r="H106" s="4">
        <v>0</v>
      </c>
      <c r="I106" s="4" t="b">
        <v>1</v>
      </c>
      <c r="J106" s="4" t="b">
        <v>0</v>
      </c>
      <c r="K106" s="4">
        <v>1.5</v>
      </c>
      <c r="L106" s="4">
        <v>1.5</v>
      </c>
      <c r="M106" s="4">
        <v>0</v>
      </c>
      <c r="N106" s="4">
        <v>4</v>
      </c>
      <c r="O106" s="4">
        <v>1</v>
      </c>
      <c r="P106" s="4">
        <v>0</v>
      </c>
      <c r="Q106" s="4">
        <v>0</v>
      </c>
      <c r="R106" s="29">
        <v>1</v>
      </c>
      <c r="S106" s="31">
        <v>0.05</v>
      </c>
      <c r="T106" s="30">
        <v>1</v>
      </c>
      <c r="U106" s="4">
        <v>0</v>
      </c>
      <c r="V106" s="4">
        <v>0</v>
      </c>
      <c r="W106" s="4">
        <v>0</v>
      </c>
      <c r="X106" s="4">
        <v>0</v>
      </c>
    </row>
    <row r="107" spans="1:25" x14ac:dyDescent="0.15">
      <c r="A107" s="4" t="s">
        <v>2663</v>
      </c>
      <c r="C107" s="4" t="s">
        <v>9925</v>
      </c>
      <c r="D107" s="4">
        <v>1602</v>
      </c>
      <c r="E107" s="4" t="s">
        <v>9929</v>
      </c>
      <c r="F107" s="4">
        <v>6</v>
      </c>
      <c r="G107" s="4">
        <v>2</v>
      </c>
      <c r="H107" s="4">
        <v>2</v>
      </c>
      <c r="I107" s="4" t="b">
        <v>0</v>
      </c>
      <c r="J107" s="4" t="b">
        <v>0</v>
      </c>
      <c r="K107" s="4">
        <v>1</v>
      </c>
      <c r="L107" s="4">
        <v>0</v>
      </c>
      <c r="M107" s="4">
        <v>1310</v>
      </c>
      <c r="N107" s="4">
        <v>2</v>
      </c>
      <c r="O107" s="4">
        <v>0.2</v>
      </c>
      <c r="P107" s="4">
        <v>0</v>
      </c>
      <c r="Q107" s="4">
        <v>0</v>
      </c>
      <c r="R107" s="29">
        <v>0</v>
      </c>
      <c r="S107" s="31">
        <v>0</v>
      </c>
      <c r="T107" s="30">
        <v>0</v>
      </c>
      <c r="U107" s="4">
        <v>0</v>
      </c>
      <c r="V107" s="4">
        <v>0</v>
      </c>
      <c r="W107" s="4">
        <v>0</v>
      </c>
      <c r="X107" s="4">
        <v>1</v>
      </c>
    </row>
    <row r="108" spans="1:25" x14ac:dyDescent="0.15">
      <c r="A108" s="4" t="s">
        <v>2663</v>
      </c>
      <c r="C108" s="4" t="s">
        <v>9926</v>
      </c>
      <c r="D108" s="4">
        <v>1603</v>
      </c>
      <c r="E108" s="4" t="s">
        <v>2810</v>
      </c>
      <c r="F108" s="4">
        <v>0</v>
      </c>
      <c r="G108" s="4">
        <v>0.1</v>
      </c>
      <c r="H108" s="4">
        <v>0</v>
      </c>
      <c r="I108" s="4" t="b">
        <v>1</v>
      </c>
      <c r="J108" s="4" t="b">
        <v>0</v>
      </c>
      <c r="K108" s="4">
        <v>1</v>
      </c>
      <c r="L108" s="4">
        <v>0</v>
      </c>
      <c r="M108" s="4">
        <v>0</v>
      </c>
      <c r="N108" s="4">
        <v>1</v>
      </c>
      <c r="O108" s="4">
        <v>0</v>
      </c>
      <c r="P108" s="4">
        <v>0</v>
      </c>
      <c r="Q108" s="4">
        <v>0</v>
      </c>
      <c r="R108" s="29">
        <v>0</v>
      </c>
      <c r="S108" s="31">
        <v>0</v>
      </c>
      <c r="T108" s="30">
        <v>0</v>
      </c>
      <c r="U108" s="4">
        <v>0</v>
      </c>
      <c r="V108" s="4">
        <v>0</v>
      </c>
      <c r="W108" s="4">
        <v>0</v>
      </c>
      <c r="X108" s="4">
        <v>0</v>
      </c>
    </row>
    <row r="109" spans="1:25" x14ac:dyDescent="0.15">
      <c r="A109" s="4" t="s">
        <v>2663</v>
      </c>
      <c r="C109" s="4" t="s">
        <v>9927</v>
      </c>
      <c r="D109" s="4">
        <v>1604</v>
      </c>
      <c r="E109" s="4" t="s">
        <v>2810</v>
      </c>
      <c r="F109" s="4">
        <v>0</v>
      </c>
      <c r="G109" s="4">
        <v>0.1</v>
      </c>
      <c r="H109" s="4">
        <v>0</v>
      </c>
      <c r="I109" s="4" t="b">
        <v>1</v>
      </c>
      <c r="J109" s="4" t="b">
        <v>0</v>
      </c>
      <c r="K109" s="4">
        <v>2</v>
      </c>
      <c r="L109" s="4">
        <v>0</v>
      </c>
      <c r="M109" s="4">
        <v>0</v>
      </c>
      <c r="N109" s="4">
        <v>1</v>
      </c>
      <c r="O109" s="4">
        <v>0</v>
      </c>
      <c r="P109" s="4">
        <v>0</v>
      </c>
      <c r="Q109" s="4">
        <v>0</v>
      </c>
      <c r="R109" s="29">
        <v>0</v>
      </c>
      <c r="S109" s="31">
        <v>0</v>
      </c>
      <c r="T109" s="30">
        <v>0</v>
      </c>
      <c r="U109" s="4">
        <v>0</v>
      </c>
      <c r="V109" s="4">
        <v>0</v>
      </c>
      <c r="W109" s="4">
        <v>0</v>
      </c>
      <c r="X109" s="4">
        <v>0</v>
      </c>
    </row>
    <row r="110" spans="1:25" x14ac:dyDescent="0.15">
      <c r="A110" s="4" t="s">
        <v>2663</v>
      </c>
      <c r="C110" s="4" t="s">
        <v>9928</v>
      </c>
      <c r="D110" s="4">
        <v>1605</v>
      </c>
      <c r="E110" s="4" t="s">
        <v>9930</v>
      </c>
      <c r="F110" s="4">
        <v>3</v>
      </c>
      <c r="G110" s="4">
        <v>3</v>
      </c>
      <c r="H110" s="4">
        <v>3</v>
      </c>
      <c r="I110" s="4" t="b">
        <v>0</v>
      </c>
      <c r="J110" s="4" t="b">
        <v>0</v>
      </c>
      <c r="K110" s="4">
        <v>1</v>
      </c>
      <c r="L110" s="4">
        <v>0</v>
      </c>
      <c r="M110" s="4">
        <v>1310</v>
      </c>
      <c r="N110" s="4">
        <v>1</v>
      </c>
      <c r="O110" s="4">
        <v>0</v>
      </c>
      <c r="P110" s="4">
        <v>0</v>
      </c>
      <c r="Q110" s="4">
        <v>0</v>
      </c>
      <c r="R110" s="29">
        <v>0</v>
      </c>
      <c r="S110" s="31">
        <v>0</v>
      </c>
      <c r="T110" s="30">
        <v>0</v>
      </c>
      <c r="U110" s="4">
        <v>0</v>
      </c>
      <c r="V110" s="4">
        <v>0</v>
      </c>
      <c r="W110" s="4">
        <v>0</v>
      </c>
      <c r="X110" s="4">
        <v>1</v>
      </c>
    </row>
    <row r="112" spans="1:25" x14ac:dyDescent="0.15">
      <c r="A112" s="4" t="s">
        <v>2663</v>
      </c>
      <c r="C112" s="4" t="s">
        <v>10026</v>
      </c>
      <c r="D112" s="4">
        <v>1701</v>
      </c>
      <c r="E112" s="4" t="s">
        <v>2810</v>
      </c>
      <c r="F112" s="4">
        <v>0</v>
      </c>
      <c r="G112" s="4">
        <v>0.1</v>
      </c>
      <c r="H112" s="4">
        <v>0</v>
      </c>
      <c r="I112" s="4" t="b">
        <v>1</v>
      </c>
      <c r="J112" s="4" t="b">
        <v>0</v>
      </c>
      <c r="K112" s="4">
        <v>1</v>
      </c>
      <c r="L112" s="4">
        <v>0</v>
      </c>
      <c r="M112" s="4">
        <v>0</v>
      </c>
      <c r="N112" s="4">
        <v>1</v>
      </c>
      <c r="O112" s="4">
        <v>0</v>
      </c>
      <c r="P112" s="4">
        <v>0</v>
      </c>
      <c r="Q112" s="4">
        <v>0</v>
      </c>
      <c r="R112" s="29">
        <v>0</v>
      </c>
      <c r="S112" s="31">
        <v>0</v>
      </c>
      <c r="T112" s="30">
        <v>0</v>
      </c>
      <c r="U112" s="4">
        <v>0</v>
      </c>
      <c r="V112" s="4">
        <v>0</v>
      </c>
      <c r="W112" s="4">
        <v>205</v>
      </c>
      <c r="X112" s="4">
        <v>0</v>
      </c>
    </row>
    <row r="113" spans="1:25" x14ac:dyDescent="0.15">
      <c r="A113" s="4" t="s">
        <v>2663</v>
      </c>
      <c r="C113" s="4" t="s">
        <v>10027</v>
      </c>
      <c r="D113" s="4">
        <v>1702</v>
      </c>
      <c r="E113" s="4" t="s">
        <v>10035</v>
      </c>
      <c r="F113" s="4">
        <v>6</v>
      </c>
      <c r="G113" s="4">
        <v>2</v>
      </c>
      <c r="H113" s="4">
        <v>2</v>
      </c>
      <c r="I113" s="4" t="b">
        <v>0</v>
      </c>
      <c r="J113" s="4" t="b">
        <v>0</v>
      </c>
      <c r="K113" s="4">
        <v>1</v>
      </c>
      <c r="L113" s="4">
        <v>1</v>
      </c>
      <c r="M113" s="4">
        <v>1380</v>
      </c>
      <c r="N113" s="4">
        <v>2</v>
      </c>
      <c r="O113" s="4">
        <v>0.2</v>
      </c>
      <c r="P113" s="4">
        <v>0</v>
      </c>
      <c r="Q113" s="4">
        <v>0</v>
      </c>
      <c r="R113" s="29">
        <v>0</v>
      </c>
      <c r="S113" s="31">
        <v>0</v>
      </c>
      <c r="T113" s="30">
        <v>0</v>
      </c>
      <c r="U113" s="4">
        <v>0</v>
      </c>
      <c r="V113" s="4">
        <v>0</v>
      </c>
      <c r="W113" s="4">
        <v>206</v>
      </c>
      <c r="X113" s="4">
        <v>1</v>
      </c>
    </row>
    <row r="114" spans="1:25" x14ac:dyDescent="0.15">
      <c r="A114" s="4" t="s">
        <v>2663</v>
      </c>
      <c r="C114" s="4" t="s">
        <v>10028</v>
      </c>
      <c r="D114" s="4">
        <v>1703</v>
      </c>
      <c r="E114" s="4" t="s">
        <v>10036</v>
      </c>
      <c r="F114" s="4">
        <v>6</v>
      </c>
      <c r="G114" s="4">
        <v>2</v>
      </c>
      <c r="H114" s="4">
        <v>2</v>
      </c>
      <c r="I114" s="4" t="b">
        <v>0</v>
      </c>
      <c r="J114" s="4" t="b">
        <v>1</v>
      </c>
      <c r="K114" s="4">
        <v>1</v>
      </c>
      <c r="L114" s="4">
        <v>0</v>
      </c>
      <c r="M114" s="4">
        <v>1400</v>
      </c>
      <c r="N114" s="4">
        <v>2</v>
      </c>
      <c r="O114" s="4">
        <v>0.2</v>
      </c>
      <c r="P114" s="4">
        <v>0</v>
      </c>
      <c r="Q114" s="4">
        <v>0</v>
      </c>
      <c r="R114" s="29">
        <v>0</v>
      </c>
      <c r="S114" s="31">
        <v>0</v>
      </c>
      <c r="T114" s="30">
        <v>0</v>
      </c>
      <c r="U114" s="4">
        <v>0</v>
      </c>
      <c r="V114" s="4">
        <v>0</v>
      </c>
      <c r="W114" s="4">
        <v>0</v>
      </c>
      <c r="X114" s="4">
        <v>1</v>
      </c>
    </row>
    <row r="115" spans="1:25" x14ac:dyDescent="0.15">
      <c r="A115" s="4" t="s">
        <v>2663</v>
      </c>
      <c r="C115" s="4" t="s">
        <v>10029</v>
      </c>
      <c r="D115" s="4">
        <v>1704</v>
      </c>
      <c r="E115" s="4" t="s">
        <v>2810</v>
      </c>
      <c r="F115" s="4">
        <v>0</v>
      </c>
      <c r="G115" s="4">
        <v>0.1</v>
      </c>
      <c r="H115" s="4">
        <v>0</v>
      </c>
      <c r="I115" s="4" t="b">
        <v>1</v>
      </c>
      <c r="J115" s="4" t="b">
        <v>0</v>
      </c>
      <c r="K115" s="4">
        <v>1</v>
      </c>
      <c r="L115" s="4">
        <v>0</v>
      </c>
      <c r="M115" s="4">
        <v>0</v>
      </c>
      <c r="N115" s="4">
        <v>1</v>
      </c>
      <c r="O115" s="4">
        <v>0</v>
      </c>
      <c r="P115" s="4">
        <v>0</v>
      </c>
      <c r="Q115" s="4">
        <v>0</v>
      </c>
      <c r="R115" s="29">
        <v>0</v>
      </c>
      <c r="S115" s="31">
        <v>0</v>
      </c>
      <c r="T115" s="30">
        <v>0</v>
      </c>
      <c r="U115" s="4">
        <v>0</v>
      </c>
      <c r="V115" s="4">
        <v>0</v>
      </c>
      <c r="W115" s="4">
        <v>0</v>
      </c>
      <c r="X115" s="4">
        <v>0</v>
      </c>
    </row>
    <row r="116" spans="1:25" x14ac:dyDescent="0.15">
      <c r="A116" s="4" t="s">
        <v>2663</v>
      </c>
      <c r="C116" s="4" t="s">
        <v>10030</v>
      </c>
      <c r="D116" s="4">
        <v>1705</v>
      </c>
      <c r="E116" s="4" t="s">
        <v>10036</v>
      </c>
      <c r="F116" s="4">
        <v>3</v>
      </c>
      <c r="G116" s="4">
        <v>3</v>
      </c>
      <c r="H116" s="4">
        <v>3</v>
      </c>
      <c r="I116" s="4" t="b">
        <v>0</v>
      </c>
      <c r="J116" s="4" t="b">
        <v>1</v>
      </c>
      <c r="K116" s="4">
        <v>1</v>
      </c>
      <c r="L116" s="4">
        <v>0</v>
      </c>
      <c r="M116" s="4">
        <v>1400</v>
      </c>
      <c r="N116" s="4">
        <v>1</v>
      </c>
      <c r="O116" s="4">
        <v>0</v>
      </c>
      <c r="P116" s="4">
        <v>0</v>
      </c>
      <c r="Q116" s="4">
        <v>0</v>
      </c>
      <c r="R116" s="29">
        <v>0</v>
      </c>
      <c r="S116" s="31">
        <v>0</v>
      </c>
      <c r="T116" s="30">
        <v>0</v>
      </c>
      <c r="U116" s="4">
        <v>0</v>
      </c>
      <c r="V116" s="4">
        <v>0</v>
      </c>
      <c r="W116" s="4">
        <v>0</v>
      </c>
      <c r="X116" s="4">
        <v>1</v>
      </c>
    </row>
    <row r="118" spans="1:25" x14ac:dyDescent="0.15">
      <c r="A118" s="4" t="s">
        <v>2663</v>
      </c>
      <c r="C118" s="4" t="s">
        <v>10032</v>
      </c>
      <c r="D118" s="4">
        <v>1801</v>
      </c>
      <c r="E118" s="4" t="s">
        <v>10043</v>
      </c>
      <c r="F118" s="4">
        <v>6</v>
      </c>
      <c r="G118" s="4">
        <v>2</v>
      </c>
      <c r="H118" s="4">
        <v>2</v>
      </c>
      <c r="I118" s="4" t="b">
        <v>0</v>
      </c>
      <c r="J118" s="4" t="b">
        <v>1</v>
      </c>
      <c r="K118" s="4">
        <v>1</v>
      </c>
      <c r="L118" s="4">
        <v>1</v>
      </c>
      <c r="M118" s="4">
        <v>1440</v>
      </c>
      <c r="N118" s="4">
        <v>2</v>
      </c>
      <c r="O118" s="4">
        <v>0.2</v>
      </c>
      <c r="P118" s="4">
        <v>0</v>
      </c>
      <c r="Q118" s="4">
        <v>0</v>
      </c>
      <c r="R118" s="29">
        <v>0</v>
      </c>
      <c r="S118" s="31">
        <v>0</v>
      </c>
      <c r="T118" s="30">
        <v>0</v>
      </c>
      <c r="U118" s="4">
        <v>0</v>
      </c>
      <c r="V118" s="4">
        <v>0</v>
      </c>
      <c r="W118" s="4">
        <v>0</v>
      </c>
      <c r="X118" s="4">
        <v>8</v>
      </c>
    </row>
    <row r="119" spans="1:25" x14ac:dyDescent="0.15">
      <c r="A119" s="4" t="s">
        <v>2663</v>
      </c>
      <c r="C119" s="4" t="s">
        <v>10031</v>
      </c>
      <c r="D119" s="4">
        <v>1802</v>
      </c>
      <c r="E119" s="4" t="s">
        <v>2810</v>
      </c>
      <c r="F119" s="4">
        <v>0</v>
      </c>
      <c r="G119" s="4">
        <v>0.1</v>
      </c>
      <c r="H119" s="4">
        <v>0</v>
      </c>
      <c r="I119" s="4" t="b">
        <v>1</v>
      </c>
      <c r="J119" s="4" t="b">
        <v>0</v>
      </c>
      <c r="K119" s="4">
        <v>1</v>
      </c>
      <c r="L119" s="4">
        <v>0</v>
      </c>
      <c r="M119" s="4">
        <v>0</v>
      </c>
      <c r="N119" s="4">
        <v>1</v>
      </c>
      <c r="O119" s="4">
        <v>0</v>
      </c>
      <c r="P119" s="4">
        <v>0</v>
      </c>
      <c r="Q119" s="4">
        <v>0</v>
      </c>
      <c r="R119" s="29">
        <v>0</v>
      </c>
      <c r="S119" s="31">
        <v>0</v>
      </c>
      <c r="T119" s="30">
        <v>0</v>
      </c>
      <c r="U119" s="4">
        <v>0</v>
      </c>
      <c r="V119" s="4">
        <v>0</v>
      </c>
      <c r="W119" s="4">
        <v>207</v>
      </c>
      <c r="X119" s="4">
        <v>0</v>
      </c>
    </row>
    <row r="120" spans="1:25" x14ac:dyDescent="0.15">
      <c r="A120" s="4" t="s">
        <v>2663</v>
      </c>
      <c r="C120" s="4" t="s">
        <v>10033</v>
      </c>
      <c r="D120" s="4">
        <v>1803</v>
      </c>
      <c r="E120" s="4" t="s">
        <v>2810</v>
      </c>
      <c r="F120" s="4">
        <v>0</v>
      </c>
      <c r="G120" s="4">
        <v>0.1</v>
      </c>
      <c r="H120" s="4">
        <v>0</v>
      </c>
      <c r="I120" s="4" t="b">
        <v>1</v>
      </c>
      <c r="J120" s="4" t="b">
        <v>0</v>
      </c>
      <c r="K120" s="4">
        <v>1</v>
      </c>
      <c r="L120" s="4">
        <v>1</v>
      </c>
      <c r="M120" s="4">
        <v>0</v>
      </c>
      <c r="N120" s="4">
        <v>5</v>
      </c>
      <c r="O120" s="4">
        <v>0.5</v>
      </c>
      <c r="P120" s="4">
        <v>1202</v>
      </c>
      <c r="Q120" s="4">
        <v>10</v>
      </c>
      <c r="R120" s="29">
        <v>0</v>
      </c>
      <c r="S120" s="31">
        <v>0</v>
      </c>
      <c r="T120" s="30">
        <v>0</v>
      </c>
      <c r="U120" s="4">
        <v>0</v>
      </c>
      <c r="V120" s="4">
        <v>0</v>
      </c>
      <c r="W120" s="4">
        <v>0</v>
      </c>
      <c r="X120" s="4">
        <v>3</v>
      </c>
    </row>
    <row r="121" spans="1:25" x14ac:dyDescent="0.15">
      <c r="A121" s="4" t="s">
        <v>2663</v>
      </c>
      <c r="C121" s="4" t="s">
        <v>9927</v>
      </c>
      <c r="D121" s="4">
        <v>1804</v>
      </c>
      <c r="E121" s="4" t="s">
        <v>2810</v>
      </c>
      <c r="F121" s="4">
        <v>0</v>
      </c>
      <c r="G121" s="4">
        <v>0.1</v>
      </c>
      <c r="H121" s="4">
        <v>0</v>
      </c>
      <c r="I121" s="4" t="b">
        <v>1</v>
      </c>
      <c r="J121" s="4" t="b">
        <v>0</v>
      </c>
      <c r="K121" s="4">
        <v>2</v>
      </c>
      <c r="L121" s="4">
        <v>0</v>
      </c>
      <c r="M121" s="4">
        <v>0</v>
      </c>
      <c r="N121" s="4">
        <v>1</v>
      </c>
      <c r="O121" s="4">
        <v>0</v>
      </c>
      <c r="P121" s="4">
        <v>0</v>
      </c>
      <c r="Q121" s="4">
        <v>0</v>
      </c>
      <c r="R121" s="29">
        <v>0</v>
      </c>
      <c r="S121" s="31">
        <v>0</v>
      </c>
      <c r="T121" s="30">
        <v>0</v>
      </c>
      <c r="U121" s="4">
        <v>0</v>
      </c>
      <c r="V121" s="4">
        <v>0</v>
      </c>
      <c r="W121" s="4">
        <v>0</v>
      </c>
      <c r="X121" s="4">
        <v>0</v>
      </c>
    </row>
    <row r="122" spans="1:25" x14ac:dyDescent="0.15">
      <c r="A122" s="4" t="s">
        <v>2663</v>
      </c>
      <c r="C122" s="4" t="s">
        <v>9901</v>
      </c>
      <c r="D122" s="4">
        <v>1805</v>
      </c>
      <c r="E122" s="4" t="s">
        <v>10043</v>
      </c>
      <c r="F122" s="4">
        <v>6</v>
      </c>
      <c r="G122" s="4">
        <v>2</v>
      </c>
      <c r="H122" s="4">
        <v>2</v>
      </c>
      <c r="I122" s="4" t="b">
        <v>0</v>
      </c>
      <c r="J122" s="4" t="b">
        <v>1</v>
      </c>
      <c r="K122" s="4">
        <v>1</v>
      </c>
      <c r="L122" s="4">
        <v>0</v>
      </c>
      <c r="M122" s="4">
        <v>0</v>
      </c>
      <c r="N122" s="4">
        <v>1</v>
      </c>
      <c r="O122" s="4">
        <v>0</v>
      </c>
      <c r="P122" s="4">
        <v>0</v>
      </c>
      <c r="Q122" s="4">
        <v>0</v>
      </c>
      <c r="R122" s="29">
        <v>0</v>
      </c>
      <c r="S122" s="31">
        <v>0</v>
      </c>
      <c r="T122" s="30">
        <v>0</v>
      </c>
      <c r="U122" s="4">
        <v>0</v>
      </c>
      <c r="V122" s="4">
        <v>0</v>
      </c>
      <c r="W122" s="4">
        <v>0</v>
      </c>
      <c r="X122" s="4">
        <v>8</v>
      </c>
      <c r="Y122" s="4" t="s">
        <v>10069</v>
      </c>
    </row>
    <row r="125" spans="1:25" x14ac:dyDescent="0.15">
      <c r="B125" s="4" t="s">
        <v>3501</v>
      </c>
    </row>
    <row r="126" spans="1:25" x14ac:dyDescent="0.15">
      <c r="A126" s="4" t="s">
        <v>2720</v>
      </c>
      <c r="C126" s="4" t="s">
        <v>2727</v>
      </c>
      <c r="D126" s="4">
        <v>3011</v>
      </c>
      <c r="E126" s="4" t="s">
        <v>2728</v>
      </c>
      <c r="F126" s="4">
        <v>6</v>
      </c>
      <c r="G126" s="4">
        <v>2</v>
      </c>
      <c r="H126" s="4">
        <v>2</v>
      </c>
      <c r="I126" s="4" t="b">
        <v>0</v>
      </c>
      <c r="J126" s="4" t="b">
        <v>0</v>
      </c>
      <c r="K126" s="4">
        <v>1</v>
      </c>
      <c r="L126" s="4">
        <v>0</v>
      </c>
      <c r="M126" s="4">
        <v>10</v>
      </c>
      <c r="N126" s="4">
        <v>1</v>
      </c>
      <c r="O126" s="4">
        <v>0</v>
      </c>
      <c r="P126" s="4">
        <v>0</v>
      </c>
      <c r="Q126" s="4">
        <v>0</v>
      </c>
      <c r="R126" s="29">
        <v>0</v>
      </c>
      <c r="S126" s="31">
        <v>0</v>
      </c>
      <c r="T126" s="30">
        <v>0</v>
      </c>
      <c r="U126" s="4">
        <v>0</v>
      </c>
      <c r="V126" s="4">
        <v>0</v>
      </c>
      <c r="W126" s="4">
        <v>0</v>
      </c>
      <c r="X126" s="4">
        <v>1</v>
      </c>
      <c r="Y126" s="4" t="s">
        <v>2729</v>
      </c>
    </row>
    <row r="127" spans="1:25" x14ac:dyDescent="0.15">
      <c r="A127" s="4" t="s">
        <v>2720</v>
      </c>
      <c r="C127" s="4" t="s">
        <v>2809</v>
      </c>
      <c r="D127" s="4">
        <v>3012</v>
      </c>
      <c r="E127" s="4" t="s">
        <v>2810</v>
      </c>
      <c r="F127" s="4">
        <v>0</v>
      </c>
      <c r="G127" s="4">
        <v>0.1</v>
      </c>
      <c r="H127" s="4">
        <v>0</v>
      </c>
      <c r="I127" s="4" t="b">
        <v>1</v>
      </c>
      <c r="J127" s="4" t="b">
        <v>0</v>
      </c>
      <c r="K127" s="4">
        <v>3</v>
      </c>
      <c r="L127" s="4">
        <v>3</v>
      </c>
      <c r="M127" s="4">
        <v>0</v>
      </c>
      <c r="N127" s="4">
        <v>1</v>
      </c>
      <c r="O127" s="4">
        <v>0</v>
      </c>
      <c r="P127" s="4">
        <v>0</v>
      </c>
      <c r="Q127" s="4">
        <v>0</v>
      </c>
      <c r="R127" s="29">
        <v>0</v>
      </c>
      <c r="S127" s="31">
        <v>0</v>
      </c>
      <c r="T127" s="30">
        <v>0</v>
      </c>
      <c r="U127" s="4">
        <v>0</v>
      </c>
      <c r="V127" s="4">
        <v>0</v>
      </c>
      <c r="W127" s="4">
        <v>0</v>
      </c>
      <c r="X127" s="4">
        <v>0</v>
      </c>
    </row>
    <row r="129" spans="1:25" x14ac:dyDescent="0.15">
      <c r="A129" s="4" t="s">
        <v>2720</v>
      </c>
      <c r="C129" s="4" t="s">
        <v>2964</v>
      </c>
      <c r="D129" s="4">
        <v>3021</v>
      </c>
      <c r="E129" s="4" t="s">
        <v>2967</v>
      </c>
      <c r="F129" s="4">
        <v>6</v>
      </c>
      <c r="G129" s="4">
        <v>2</v>
      </c>
      <c r="H129" s="4">
        <v>2</v>
      </c>
      <c r="I129" s="4" t="b">
        <v>0</v>
      </c>
      <c r="J129" s="4" t="b">
        <v>0</v>
      </c>
      <c r="K129" s="4">
        <v>1</v>
      </c>
      <c r="L129" s="4">
        <v>0</v>
      </c>
      <c r="M129" s="4">
        <v>340</v>
      </c>
      <c r="N129" s="4">
        <v>1</v>
      </c>
      <c r="O129" s="4">
        <v>0</v>
      </c>
      <c r="P129" s="4">
        <v>0</v>
      </c>
      <c r="Q129" s="4">
        <v>0</v>
      </c>
      <c r="R129" s="29">
        <v>0</v>
      </c>
      <c r="S129" s="31">
        <v>0</v>
      </c>
      <c r="T129" s="30">
        <v>0</v>
      </c>
      <c r="U129" s="4">
        <v>0</v>
      </c>
      <c r="V129" s="4">
        <v>0</v>
      </c>
      <c r="W129" s="4">
        <v>0</v>
      </c>
      <c r="X129" s="4">
        <v>1</v>
      </c>
      <c r="Y129" s="4" t="s">
        <v>2729</v>
      </c>
    </row>
    <row r="130" spans="1:25" x14ac:dyDescent="0.15">
      <c r="A130" s="4" t="s">
        <v>2720</v>
      </c>
      <c r="C130" s="4" t="s">
        <v>2965</v>
      </c>
      <c r="D130" s="4">
        <v>3022</v>
      </c>
      <c r="E130" s="4" t="s">
        <v>2910</v>
      </c>
      <c r="F130" s="4">
        <v>2</v>
      </c>
      <c r="G130" s="4">
        <v>1.5</v>
      </c>
      <c r="H130" s="4">
        <v>1.5</v>
      </c>
      <c r="I130" s="4" t="b">
        <v>0</v>
      </c>
      <c r="J130" s="4" t="b">
        <v>1</v>
      </c>
      <c r="K130" s="4">
        <v>1</v>
      </c>
      <c r="L130" s="4">
        <v>0</v>
      </c>
      <c r="M130" s="4">
        <v>0</v>
      </c>
      <c r="N130" s="4">
        <v>3</v>
      </c>
      <c r="O130" s="4">
        <v>0.2</v>
      </c>
      <c r="P130" s="4">
        <v>0</v>
      </c>
      <c r="Q130" s="4">
        <v>0</v>
      </c>
      <c r="R130" s="29">
        <v>0</v>
      </c>
      <c r="S130" s="31">
        <v>0</v>
      </c>
      <c r="T130" s="30">
        <v>0</v>
      </c>
      <c r="U130" s="4">
        <v>0</v>
      </c>
      <c r="V130" s="4">
        <v>0</v>
      </c>
      <c r="W130" s="4">
        <v>0</v>
      </c>
      <c r="X130" s="4">
        <v>1</v>
      </c>
      <c r="Y130" s="4" t="s">
        <v>2729</v>
      </c>
    </row>
    <row r="132" spans="1:25" x14ac:dyDescent="0.15">
      <c r="A132" s="4" t="s">
        <v>2720</v>
      </c>
      <c r="C132" s="4" t="s">
        <v>2966</v>
      </c>
      <c r="D132" s="4">
        <v>3031</v>
      </c>
      <c r="E132" s="4" t="s">
        <v>2968</v>
      </c>
      <c r="F132" s="4">
        <v>6</v>
      </c>
      <c r="G132" s="4">
        <v>2</v>
      </c>
      <c r="H132" s="4">
        <v>2</v>
      </c>
      <c r="I132" s="4" t="b">
        <v>0</v>
      </c>
      <c r="J132" s="4" t="b">
        <v>0</v>
      </c>
      <c r="K132" s="4">
        <v>1</v>
      </c>
      <c r="L132" s="4">
        <v>0</v>
      </c>
      <c r="M132" s="4">
        <v>370</v>
      </c>
      <c r="N132" s="4">
        <v>1</v>
      </c>
      <c r="O132" s="4">
        <v>0</v>
      </c>
      <c r="P132" s="4">
        <v>0</v>
      </c>
      <c r="Q132" s="4">
        <v>0</v>
      </c>
      <c r="R132" s="29">
        <v>0</v>
      </c>
      <c r="S132" s="31">
        <v>0</v>
      </c>
      <c r="T132" s="30">
        <v>0</v>
      </c>
      <c r="U132" s="4">
        <v>0</v>
      </c>
      <c r="V132" s="4">
        <v>0</v>
      </c>
      <c r="W132" s="4">
        <v>0</v>
      </c>
      <c r="X132" s="4">
        <v>1</v>
      </c>
      <c r="Y132" s="4" t="s">
        <v>2729</v>
      </c>
    </row>
    <row r="133" spans="1:25" x14ac:dyDescent="0.15">
      <c r="A133" s="4" t="s">
        <v>2663</v>
      </c>
      <c r="C133" s="4" t="s">
        <v>3005</v>
      </c>
      <c r="D133" s="4">
        <v>3032</v>
      </c>
      <c r="E133" s="4" t="s">
        <v>3108</v>
      </c>
      <c r="F133" s="4">
        <v>4</v>
      </c>
      <c r="G133" s="4">
        <v>2</v>
      </c>
      <c r="H133" s="4">
        <v>2</v>
      </c>
      <c r="I133" s="4" t="b">
        <v>0</v>
      </c>
      <c r="J133" s="4" t="b">
        <v>0</v>
      </c>
      <c r="K133" s="4">
        <v>1</v>
      </c>
      <c r="L133" s="4">
        <v>1.5</v>
      </c>
      <c r="M133" s="4">
        <v>420</v>
      </c>
      <c r="N133" s="4">
        <v>2</v>
      </c>
      <c r="O133" s="4">
        <v>0.2</v>
      </c>
      <c r="P133" s="4">
        <v>0</v>
      </c>
      <c r="Q133" s="4">
        <v>0</v>
      </c>
      <c r="R133" s="29">
        <v>0</v>
      </c>
      <c r="S133" s="31">
        <v>0</v>
      </c>
      <c r="T133" s="30">
        <v>0</v>
      </c>
      <c r="U133" s="4">
        <v>0</v>
      </c>
      <c r="V133" s="4">
        <v>0</v>
      </c>
      <c r="W133" s="4">
        <v>0</v>
      </c>
      <c r="X133" s="4">
        <v>1</v>
      </c>
      <c r="Y133" s="4" t="s">
        <v>2729</v>
      </c>
    </row>
    <row r="135" spans="1:25" x14ac:dyDescent="0.15">
      <c r="A135" s="4" t="s">
        <v>2720</v>
      </c>
      <c r="C135" s="4" t="s">
        <v>3233</v>
      </c>
      <c r="D135" s="4">
        <v>3041</v>
      </c>
      <c r="E135" s="4" t="s">
        <v>3027</v>
      </c>
      <c r="F135" s="4">
        <v>6</v>
      </c>
      <c r="G135" s="4">
        <v>2</v>
      </c>
      <c r="H135" s="4">
        <v>2</v>
      </c>
      <c r="I135" s="4" t="b">
        <v>0</v>
      </c>
      <c r="J135" s="4" t="b">
        <v>0</v>
      </c>
      <c r="K135" s="4">
        <v>1</v>
      </c>
      <c r="L135" s="4">
        <v>0</v>
      </c>
      <c r="M135" s="4">
        <v>290</v>
      </c>
      <c r="N135" s="4">
        <v>1</v>
      </c>
      <c r="O135" s="4">
        <v>0</v>
      </c>
      <c r="P135" s="4">
        <v>0</v>
      </c>
      <c r="Q135" s="4">
        <v>0</v>
      </c>
      <c r="R135" s="29">
        <v>0</v>
      </c>
      <c r="S135" s="31">
        <v>0</v>
      </c>
      <c r="T135" s="30">
        <v>0</v>
      </c>
      <c r="U135" s="4">
        <v>0</v>
      </c>
      <c r="V135" s="4">
        <v>0</v>
      </c>
      <c r="W135" s="4">
        <v>0</v>
      </c>
      <c r="X135" s="4">
        <v>1</v>
      </c>
      <c r="Y135" s="4" t="s">
        <v>2729</v>
      </c>
    </row>
    <row r="136" spans="1:25" x14ac:dyDescent="0.15">
      <c r="A136" s="4" t="s">
        <v>2720</v>
      </c>
      <c r="C136" s="4" t="s">
        <v>3237</v>
      </c>
      <c r="D136" s="4">
        <v>3042</v>
      </c>
      <c r="E136" s="4" t="s">
        <v>3254</v>
      </c>
      <c r="F136" s="4">
        <v>0</v>
      </c>
      <c r="G136" s="4">
        <v>0.1</v>
      </c>
      <c r="H136" s="4">
        <v>0</v>
      </c>
      <c r="I136" s="4" t="b">
        <v>0</v>
      </c>
      <c r="J136" s="4" t="b">
        <v>1</v>
      </c>
      <c r="K136" s="4">
        <v>1</v>
      </c>
      <c r="L136" s="4">
        <v>0</v>
      </c>
      <c r="M136" s="4">
        <v>0</v>
      </c>
      <c r="N136" s="4">
        <v>2</v>
      </c>
      <c r="O136" s="4">
        <v>0.2</v>
      </c>
      <c r="P136" s="4">
        <v>0</v>
      </c>
      <c r="Q136" s="4">
        <v>0</v>
      </c>
      <c r="R136" s="29">
        <v>0</v>
      </c>
      <c r="S136" s="31">
        <v>0</v>
      </c>
      <c r="T136" s="30">
        <v>0</v>
      </c>
      <c r="U136" s="4">
        <v>0</v>
      </c>
      <c r="V136" s="4">
        <v>0</v>
      </c>
      <c r="W136" s="4">
        <v>0</v>
      </c>
      <c r="X136" s="4">
        <v>0</v>
      </c>
      <c r="Y136" s="4" t="s">
        <v>2729</v>
      </c>
    </row>
    <row r="137" spans="1:25" x14ac:dyDescent="0.15">
      <c r="A137" s="4" t="s">
        <v>2663</v>
      </c>
      <c r="C137" s="4" t="s">
        <v>3411</v>
      </c>
      <c r="D137" s="4">
        <v>3043</v>
      </c>
      <c r="E137" s="4" t="s">
        <v>2910</v>
      </c>
      <c r="F137" s="4">
        <v>6</v>
      </c>
      <c r="G137" s="4">
        <v>2</v>
      </c>
      <c r="H137" s="4">
        <v>2</v>
      </c>
      <c r="I137" s="4" t="b">
        <v>0</v>
      </c>
      <c r="J137" s="4" t="b">
        <v>1</v>
      </c>
      <c r="K137" s="4">
        <v>1</v>
      </c>
      <c r="L137" s="4">
        <v>0</v>
      </c>
      <c r="M137" s="4">
        <v>290</v>
      </c>
      <c r="N137" s="4">
        <v>1</v>
      </c>
      <c r="O137" s="4">
        <v>0</v>
      </c>
      <c r="P137" s="4">
        <v>0</v>
      </c>
      <c r="Q137" s="4">
        <v>0</v>
      </c>
      <c r="R137" s="29">
        <v>0</v>
      </c>
      <c r="S137" s="31">
        <v>0</v>
      </c>
      <c r="T137" s="30">
        <v>0</v>
      </c>
      <c r="U137" s="4">
        <v>0</v>
      </c>
      <c r="V137" s="4">
        <v>0</v>
      </c>
      <c r="W137" s="4">
        <v>0</v>
      </c>
      <c r="X137" s="4">
        <v>1</v>
      </c>
      <c r="Y137" s="4" t="s">
        <v>2729</v>
      </c>
    </row>
    <row r="139" spans="1:25" x14ac:dyDescent="0.15">
      <c r="A139" s="4" t="s">
        <v>2720</v>
      </c>
      <c r="C139" s="4" t="s">
        <v>3234</v>
      </c>
      <c r="D139" s="4">
        <v>3051</v>
      </c>
      <c r="E139" s="4" t="s">
        <v>3215</v>
      </c>
      <c r="F139" s="4">
        <v>6</v>
      </c>
      <c r="G139" s="4">
        <v>2</v>
      </c>
      <c r="H139" s="4">
        <v>2</v>
      </c>
      <c r="I139" s="4" t="b">
        <v>0</v>
      </c>
      <c r="J139" s="4" t="b">
        <v>0</v>
      </c>
      <c r="K139" s="4">
        <v>1</v>
      </c>
      <c r="L139" s="4">
        <v>0</v>
      </c>
      <c r="M139" s="4">
        <v>500</v>
      </c>
      <c r="N139" s="4">
        <v>1</v>
      </c>
      <c r="O139" s="4">
        <v>0</v>
      </c>
      <c r="P139" s="4">
        <v>0</v>
      </c>
      <c r="Q139" s="4">
        <v>0</v>
      </c>
      <c r="R139" s="29">
        <v>0</v>
      </c>
      <c r="S139" s="31">
        <v>0</v>
      </c>
      <c r="T139" s="30">
        <v>0</v>
      </c>
      <c r="U139" s="4">
        <v>0</v>
      </c>
      <c r="V139" s="4">
        <v>0</v>
      </c>
      <c r="W139" s="4">
        <v>0</v>
      </c>
      <c r="X139" s="4">
        <v>1</v>
      </c>
      <c r="Y139" s="4" t="s">
        <v>2729</v>
      </c>
    </row>
    <row r="140" spans="1:25" x14ac:dyDescent="0.15">
      <c r="A140" s="4" t="s">
        <v>2663</v>
      </c>
      <c r="C140" s="4" t="s">
        <v>3235</v>
      </c>
      <c r="D140" s="4">
        <v>3052</v>
      </c>
      <c r="E140" s="4" t="s">
        <v>2810</v>
      </c>
      <c r="F140" s="4">
        <v>0</v>
      </c>
      <c r="G140" s="4">
        <v>0.1</v>
      </c>
      <c r="H140" s="4">
        <v>0</v>
      </c>
      <c r="I140" s="4" t="b">
        <v>0</v>
      </c>
      <c r="J140" s="4" t="b">
        <v>0</v>
      </c>
      <c r="K140" s="4">
        <v>1</v>
      </c>
      <c r="L140" s="4">
        <v>1</v>
      </c>
      <c r="M140" s="4">
        <v>0</v>
      </c>
      <c r="N140" s="4">
        <v>1</v>
      </c>
      <c r="O140" s="4">
        <v>0</v>
      </c>
      <c r="P140" s="4">
        <v>0</v>
      </c>
      <c r="Q140" s="4">
        <v>0</v>
      </c>
      <c r="R140" s="29">
        <v>0</v>
      </c>
      <c r="S140" s="31">
        <v>0</v>
      </c>
      <c r="T140" s="30">
        <v>0</v>
      </c>
      <c r="U140" s="4">
        <v>0</v>
      </c>
      <c r="V140" s="4">
        <v>0</v>
      </c>
      <c r="W140" s="4">
        <v>0</v>
      </c>
      <c r="X140" s="4">
        <v>0</v>
      </c>
      <c r="Y140" s="4" t="s">
        <v>2729</v>
      </c>
    </row>
    <row r="142" spans="1:25" x14ac:dyDescent="0.15">
      <c r="A142" s="4" t="s">
        <v>2720</v>
      </c>
      <c r="C142" s="4" t="s">
        <v>3408</v>
      </c>
      <c r="D142" s="4">
        <v>3061</v>
      </c>
      <c r="E142" s="4" t="s">
        <v>3409</v>
      </c>
      <c r="F142" s="4">
        <v>6</v>
      </c>
      <c r="G142" s="4">
        <v>2</v>
      </c>
      <c r="H142" s="4">
        <v>2</v>
      </c>
      <c r="I142" s="4" t="b">
        <v>0</v>
      </c>
      <c r="J142" s="4" t="b">
        <v>0</v>
      </c>
      <c r="K142" s="4">
        <v>1</v>
      </c>
      <c r="L142" s="4">
        <v>1</v>
      </c>
      <c r="M142" s="4">
        <v>630</v>
      </c>
      <c r="N142" s="4">
        <v>1</v>
      </c>
      <c r="O142" s="4">
        <v>0</v>
      </c>
      <c r="P142" s="4">
        <v>0</v>
      </c>
      <c r="Q142" s="4">
        <v>0</v>
      </c>
      <c r="R142" s="29">
        <v>0</v>
      </c>
      <c r="S142" s="31">
        <v>0</v>
      </c>
      <c r="T142" s="30">
        <v>0</v>
      </c>
      <c r="U142" s="4">
        <v>0</v>
      </c>
      <c r="V142" s="4">
        <v>0</v>
      </c>
      <c r="W142" s="4">
        <v>0</v>
      </c>
      <c r="X142" s="4">
        <v>1</v>
      </c>
      <c r="Y142" s="4" t="s">
        <v>2729</v>
      </c>
    </row>
    <row r="143" spans="1:25" x14ac:dyDescent="0.15">
      <c r="A143" s="4" t="s">
        <v>2663</v>
      </c>
      <c r="C143" s="4" t="s">
        <v>3412</v>
      </c>
      <c r="D143" s="4">
        <v>3062</v>
      </c>
      <c r="E143" s="4" t="s">
        <v>3410</v>
      </c>
      <c r="F143" s="4">
        <v>0</v>
      </c>
      <c r="G143" s="4">
        <v>0.1</v>
      </c>
      <c r="H143" s="4">
        <v>0</v>
      </c>
      <c r="I143" s="4" t="b">
        <v>0</v>
      </c>
      <c r="J143" s="4" t="b">
        <v>1</v>
      </c>
      <c r="K143" s="4">
        <v>1</v>
      </c>
      <c r="L143" s="4">
        <v>0</v>
      </c>
      <c r="M143" s="4">
        <v>0</v>
      </c>
      <c r="N143" s="4">
        <v>2</v>
      </c>
      <c r="O143" s="4">
        <v>0.2</v>
      </c>
      <c r="P143" s="4">
        <v>0</v>
      </c>
      <c r="Q143" s="4">
        <v>0</v>
      </c>
      <c r="R143" s="29">
        <v>0</v>
      </c>
      <c r="S143" s="31">
        <v>0</v>
      </c>
      <c r="T143" s="30">
        <v>0</v>
      </c>
      <c r="U143" s="4">
        <v>0</v>
      </c>
      <c r="V143" s="4">
        <v>0</v>
      </c>
      <c r="W143" s="4">
        <v>0</v>
      </c>
      <c r="X143" s="4">
        <v>0</v>
      </c>
      <c r="Y143" s="4" t="s">
        <v>2729</v>
      </c>
    </row>
    <row r="144" spans="1:25" x14ac:dyDescent="0.15">
      <c r="A144" s="4" t="s">
        <v>2663</v>
      </c>
      <c r="C144" s="4" t="s">
        <v>3415</v>
      </c>
      <c r="D144" s="4">
        <v>3063</v>
      </c>
      <c r="E144" s="4" t="s">
        <v>3400</v>
      </c>
      <c r="F144" s="4">
        <v>0</v>
      </c>
      <c r="G144" s="4">
        <v>2</v>
      </c>
      <c r="H144" s="4">
        <v>0.8</v>
      </c>
      <c r="I144" s="4" t="b">
        <v>1</v>
      </c>
      <c r="J144" s="4" t="b">
        <v>0</v>
      </c>
      <c r="K144" s="4">
        <v>1</v>
      </c>
      <c r="L144" s="4">
        <v>2</v>
      </c>
      <c r="M144" s="4">
        <v>0</v>
      </c>
      <c r="N144" s="4">
        <v>1</v>
      </c>
      <c r="O144" s="4">
        <v>0</v>
      </c>
      <c r="P144" s="4">
        <v>0</v>
      </c>
      <c r="Q144" s="4">
        <v>0</v>
      </c>
      <c r="R144" s="29">
        <v>0</v>
      </c>
      <c r="S144" s="31">
        <v>0</v>
      </c>
      <c r="T144" s="30">
        <v>0</v>
      </c>
      <c r="U144" s="4">
        <v>60</v>
      </c>
      <c r="V144" s="4">
        <v>3</v>
      </c>
      <c r="W144" s="4">
        <v>0</v>
      </c>
      <c r="X144" s="4">
        <v>0</v>
      </c>
      <c r="Y144" s="4" t="s">
        <v>2729</v>
      </c>
    </row>
    <row r="146" spans="1:25" x14ac:dyDescent="0.15">
      <c r="A146" s="4" t="s">
        <v>2720</v>
      </c>
      <c r="C146" s="4" t="s">
        <v>3437</v>
      </c>
      <c r="D146" s="4">
        <v>3071</v>
      </c>
      <c r="E146" s="4" t="s">
        <v>3447</v>
      </c>
      <c r="F146" s="4">
        <v>6</v>
      </c>
      <c r="G146" s="4">
        <v>3.1</v>
      </c>
      <c r="H146" s="4">
        <v>3</v>
      </c>
      <c r="I146" s="4" t="b">
        <v>0</v>
      </c>
      <c r="J146" s="4" t="b">
        <v>0</v>
      </c>
      <c r="K146" s="4">
        <v>1</v>
      </c>
      <c r="L146" s="4">
        <v>1</v>
      </c>
      <c r="M146" s="4">
        <v>700</v>
      </c>
      <c r="N146" s="4">
        <v>4</v>
      </c>
      <c r="O146" s="4">
        <v>1</v>
      </c>
      <c r="P146" s="4">
        <v>0</v>
      </c>
      <c r="Q146" s="4">
        <v>0</v>
      </c>
      <c r="R146" s="29">
        <v>0</v>
      </c>
      <c r="S146" s="31">
        <v>0</v>
      </c>
      <c r="T146" s="30">
        <v>0</v>
      </c>
      <c r="U146" s="4">
        <v>0</v>
      </c>
      <c r="V146" s="4">
        <v>0</v>
      </c>
      <c r="W146" s="4">
        <v>0</v>
      </c>
      <c r="X146" s="4">
        <v>0</v>
      </c>
    </row>
    <row r="147" spans="1:25" x14ac:dyDescent="0.15">
      <c r="A147" s="4" t="s">
        <v>2720</v>
      </c>
      <c r="C147" s="4" t="s">
        <v>3448</v>
      </c>
      <c r="D147" s="4">
        <v>3072</v>
      </c>
      <c r="E147" s="4" t="s">
        <v>2810</v>
      </c>
      <c r="F147" s="4">
        <v>0</v>
      </c>
      <c r="G147" s="4">
        <v>0.1</v>
      </c>
      <c r="H147" s="4">
        <v>0</v>
      </c>
      <c r="I147" s="4" t="b">
        <v>1</v>
      </c>
      <c r="J147" s="4" t="b">
        <v>0</v>
      </c>
      <c r="K147" s="4">
        <v>1</v>
      </c>
      <c r="L147" s="4">
        <v>1</v>
      </c>
      <c r="M147" s="4">
        <v>710</v>
      </c>
      <c r="N147" s="4">
        <v>4</v>
      </c>
      <c r="O147" s="4">
        <v>1</v>
      </c>
      <c r="P147" s="4">
        <v>0</v>
      </c>
      <c r="Q147" s="4">
        <v>0</v>
      </c>
      <c r="R147" s="29">
        <v>0</v>
      </c>
      <c r="S147" s="31">
        <v>0</v>
      </c>
      <c r="T147" s="30">
        <v>0</v>
      </c>
      <c r="U147" s="4">
        <v>0</v>
      </c>
      <c r="V147" s="4">
        <v>0</v>
      </c>
      <c r="W147" s="4">
        <v>0</v>
      </c>
      <c r="X147" s="4">
        <v>1</v>
      </c>
      <c r="Y147" s="4" t="s">
        <v>2729</v>
      </c>
    </row>
    <row r="149" spans="1:25" x14ac:dyDescent="0.15">
      <c r="A149" s="4" t="s">
        <v>2663</v>
      </c>
      <c r="C149" s="4" t="s">
        <v>3465</v>
      </c>
      <c r="D149" s="4">
        <v>3081</v>
      </c>
      <c r="E149" s="4" t="s">
        <v>3464</v>
      </c>
      <c r="F149" s="4">
        <v>6</v>
      </c>
      <c r="G149" s="4">
        <v>2</v>
      </c>
      <c r="H149" s="4">
        <v>2</v>
      </c>
      <c r="I149" s="4" t="b">
        <v>0</v>
      </c>
      <c r="J149" s="4" t="b">
        <v>0</v>
      </c>
      <c r="K149" s="4">
        <v>1</v>
      </c>
      <c r="L149" s="4">
        <v>0</v>
      </c>
      <c r="M149" s="4">
        <v>720</v>
      </c>
      <c r="N149" s="4">
        <v>1</v>
      </c>
      <c r="O149" s="4">
        <v>0</v>
      </c>
      <c r="P149" s="4">
        <v>0</v>
      </c>
      <c r="Q149" s="4">
        <v>0</v>
      </c>
      <c r="R149" s="29">
        <v>0</v>
      </c>
      <c r="S149" s="31">
        <v>0</v>
      </c>
      <c r="T149" s="30">
        <v>0</v>
      </c>
      <c r="U149" s="4">
        <v>0</v>
      </c>
      <c r="V149" s="4">
        <v>0</v>
      </c>
      <c r="W149" s="4">
        <v>0</v>
      </c>
      <c r="X149" s="4">
        <v>1</v>
      </c>
      <c r="Y149" s="4" t="s">
        <v>2729</v>
      </c>
    </row>
    <row r="150" spans="1:25" x14ac:dyDescent="0.15">
      <c r="A150" s="4" t="s">
        <v>2663</v>
      </c>
      <c r="C150" s="4" t="s">
        <v>3466</v>
      </c>
      <c r="D150" s="4">
        <v>3082</v>
      </c>
      <c r="E150" s="4" t="s">
        <v>3410</v>
      </c>
      <c r="F150" s="4">
        <v>0</v>
      </c>
      <c r="G150" s="4">
        <v>0.1</v>
      </c>
      <c r="H150" s="4">
        <v>0</v>
      </c>
      <c r="I150" s="4" t="b">
        <v>0</v>
      </c>
      <c r="J150" s="4" t="b">
        <v>1</v>
      </c>
      <c r="K150" s="4">
        <v>1</v>
      </c>
      <c r="L150" s="4">
        <v>0</v>
      </c>
      <c r="M150" s="4">
        <v>0</v>
      </c>
      <c r="N150" s="4">
        <v>2</v>
      </c>
      <c r="O150" s="4">
        <v>0.2</v>
      </c>
      <c r="P150" s="4">
        <v>0</v>
      </c>
      <c r="Q150" s="4">
        <v>0</v>
      </c>
      <c r="R150" s="29">
        <v>0</v>
      </c>
      <c r="S150" s="31">
        <v>0</v>
      </c>
      <c r="T150" s="30">
        <v>0</v>
      </c>
      <c r="U150" s="4">
        <v>0</v>
      </c>
      <c r="V150" s="4">
        <v>0</v>
      </c>
      <c r="W150" s="4">
        <v>0</v>
      </c>
      <c r="X150" s="4">
        <v>0</v>
      </c>
      <c r="Y150" s="4" t="s">
        <v>2729</v>
      </c>
    </row>
    <row r="151" spans="1:25" x14ac:dyDescent="0.15">
      <c r="A151" s="4" t="s">
        <v>2663</v>
      </c>
      <c r="C151" s="4" t="s">
        <v>3469</v>
      </c>
      <c r="D151" s="4">
        <v>3083</v>
      </c>
      <c r="E151" s="4" t="s">
        <v>2810</v>
      </c>
      <c r="F151" s="4">
        <v>0</v>
      </c>
      <c r="G151" s="4">
        <v>0.1</v>
      </c>
      <c r="H151" s="4">
        <v>0</v>
      </c>
      <c r="I151" s="4" t="b">
        <v>1</v>
      </c>
      <c r="J151" s="4" t="b">
        <v>0</v>
      </c>
      <c r="K151" s="4">
        <v>1</v>
      </c>
      <c r="L151" s="4">
        <v>0</v>
      </c>
      <c r="M151" s="4">
        <v>0</v>
      </c>
      <c r="N151" s="4">
        <v>2</v>
      </c>
      <c r="O151" s="4">
        <v>0.2</v>
      </c>
      <c r="P151" s="4">
        <v>0</v>
      </c>
      <c r="Q151" s="4">
        <v>0</v>
      </c>
      <c r="R151" s="29">
        <v>0</v>
      </c>
      <c r="S151" s="31">
        <v>0</v>
      </c>
      <c r="T151" s="30">
        <v>0</v>
      </c>
      <c r="U151" s="4">
        <v>0</v>
      </c>
      <c r="V151" s="4">
        <v>0</v>
      </c>
      <c r="W151" s="4">
        <v>104</v>
      </c>
      <c r="X151" s="4">
        <v>0</v>
      </c>
      <c r="Y151" s="4" t="s">
        <v>2729</v>
      </c>
    </row>
    <row r="153" spans="1:25" x14ac:dyDescent="0.15">
      <c r="A153" s="4" t="s">
        <v>2663</v>
      </c>
      <c r="C153" s="4" t="s">
        <v>3484</v>
      </c>
      <c r="D153" s="4">
        <v>3091</v>
      </c>
      <c r="E153" s="4" t="s">
        <v>3523</v>
      </c>
      <c r="F153" s="4">
        <v>6</v>
      </c>
      <c r="G153" s="4">
        <v>2</v>
      </c>
      <c r="H153" s="4">
        <v>2</v>
      </c>
      <c r="I153" s="4" t="b">
        <v>0</v>
      </c>
      <c r="J153" s="4" t="b">
        <v>0</v>
      </c>
      <c r="K153" s="4">
        <v>1</v>
      </c>
      <c r="L153" s="4">
        <v>0</v>
      </c>
      <c r="M153" s="4">
        <v>770</v>
      </c>
      <c r="N153" s="4">
        <v>1</v>
      </c>
      <c r="O153" s="4">
        <v>0</v>
      </c>
      <c r="P153" s="4">
        <v>0</v>
      </c>
      <c r="Q153" s="4">
        <v>0</v>
      </c>
      <c r="R153" s="29">
        <v>0</v>
      </c>
      <c r="S153" s="31">
        <v>0</v>
      </c>
      <c r="T153" s="30">
        <v>0</v>
      </c>
      <c r="U153" s="4">
        <v>0</v>
      </c>
      <c r="V153" s="4">
        <v>0</v>
      </c>
      <c r="W153" s="4">
        <v>0</v>
      </c>
      <c r="X153" s="4">
        <v>1</v>
      </c>
      <c r="Y153" s="4" t="s">
        <v>2729</v>
      </c>
    </row>
    <row r="154" spans="1:25" x14ac:dyDescent="0.15">
      <c r="A154" s="4" t="s">
        <v>2663</v>
      </c>
      <c r="C154" s="4" t="s">
        <v>3525</v>
      </c>
      <c r="D154" s="4">
        <v>3092</v>
      </c>
      <c r="E154" s="4" t="s">
        <v>3524</v>
      </c>
      <c r="F154" s="4">
        <v>4</v>
      </c>
      <c r="G154" s="4">
        <v>2</v>
      </c>
      <c r="H154" s="4">
        <v>2</v>
      </c>
      <c r="I154" s="4" t="b">
        <v>0</v>
      </c>
      <c r="J154" s="4" t="b">
        <v>0</v>
      </c>
      <c r="K154" s="4">
        <v>1</v>
      </c>
      <c r="L154" s="4">
        <v>0</v>
      </c>
      <c r="M154" s="4">
        <v>800</v>
      </c>
      <c r="N154" s="4">
        <v>1</v>
      </c>
      <c r="O154" s="4">
        <v>0</v>
      </c>
      <c r="P154" s="4">
        <v>0</v>
      </c>
      <c r="Q154" s="4">
        <v>0</v>
      </c>
      <c r="R154" s="29">
        <v>0</v>
      </c>
      <c r="S154" s="31">
        <v>0</v>
      </c>
      <c r="T154" s="30">
        <v>0</v>
      </c>
      <c r="U154" s="4">
        <v>0</v>
      </c>
      <c r="V154" s="4">
        <v>0</v>
      </c>
      <c r="W154" s="4">
        <v>0</v>
      </c>
      <c r="X154" s="4">
        <v>1</v>
      </c>
      <c r="Y154" s="4" t="s">
        <v>2729</v>
      </c>
    </row>
    <row r="155" spans="1:25" x14ac:dyDescent="0.15">
      <c r="A155" s="4" t="s">
        <v>2663</v>
      </c>
      <c r="C155" s="4" t="s">
        <v>3485</v>
      </c>
      <c r="D155" s="4">
        <v>3093</v>
      </c>
      <c r="E155" s="4" t="s">
        <v>3410</v>
      </c>
      <c r="F155" s="4">
        <v>0</v>
      </c>
      <c r="G155" s="4">
        <v>0.1</v>
      </c>
      <c r="H155" s="4">
        <v>0</v>
      </c>
      <c r="I155" s="4" t="b">
        <v>0</v>
      </c>
      <c r="J155" s="4" t="b">
        <v>1</v>
      </c>
      <c r="K155" s="4">
        <v>1</v>
      </c>
      <c r="L155" s="4">
        <v>0</v>
      </c>
      <c r="M155" s="4">
        <v>0</v>
      </c>
      <c r="N155" s="4">
        <v>1</v>
      </c>
      <c r="O155" s="4">
        <v>0</v>
      </c>
      <c r="P155" s="4">
        <v>0</v>
      </c>
      <c r="Q155" s="4">
        <v>0</v>
      </c>
      <c r="R155" s="29">
        <v>0</v>
      </c>
      <c r="S155" s="31">
        <v>0</v>
      </c>
      <c r="T155" s="30">
        <v>0</v>
      </c>
      <c r="U155" s="4">
        <v>0</v>
      </c>
      <c r="V155" s="4">
        <v>0</v>
      </c>
      <c r="W155" s="4">
        <v>0</v>
      </c>
      <c r="X155" s="4">
        <v>0</v>
      </c>
      <c r="Y155" s="4" t="s">
        <v>2729</v>
      </c>
    </row>
    <row r="157" spans="1:25" x14ac:dyDescent="0.15">
      <c r="A157" s="4" t="s">
        <v>2720</v>
      </c>
      <c r="C157" s="4" t="s">
        <v>3693</v>
      </c>
      <c r="D157" s="4">
        <v>3101</v>
      </c>
      <c r="E157" s="4" t="s">
        <v>3703</v>
      </c>
      <c r="F157" s="4">
        <v>6</v>
      </c>
      <c r="G157" s="4">
        <v>2</v>
      </c>
      <c r="H157" s="4">
        <v>2</v>
      </c>
      <c r="I157" s="4" t="b">
        <v>0</v>
      </c>
      <c r="J157" s="4" t="b">
        <v>0</v>
      </c>
      <c r="K157" s="4">
        <v>1</v>
      </c>
      <c r="L157" s="4">
        <v>0</v>
      </c>
      <c r="M157" s="4">
        <v>1050</v>
      </c>
      <c r="N157" s="4">
        <v>7</v>
      </c>
      <c r="O157" s="4">
        <v>0.5</v>
      </c>
      <c r="P157" s="4">
        <v>0</v>
      </c>
      <c r="Q157" s="4">
        <v>0</v>
      </c>
      <c r="R157" s="29">
        <v>0</v>
      </c>
      <c r="S157" s="31">
        <v>0</v>
      </c>
      <c r="T157" s="30">
        <v>0</v>
      </c>
      <c r="U157" s="4">
        <v>0</v>
      </c>
      <c r="V157" s="4">
        <v>0</v>
      </c>
      <c r="W157" s="4">
        <v>0</v>
      </c>
      <c r="X157" s="4">
        <v>1</v>
      </c>
      <c r="Y157" s="4" t="s">
        <v>2729</v>
      </c>
    </row>
    <row r="158" spans="1:25" x14ac:dyDescent="0.15">
      <c r="A158" s="4" t="s">
        <v>2663</v>
      </c>
      <c r="C158" s="4" t="s">
        <v>3706</v>
      </c>
      <c r="D158" s="4">
        <v>3102</v>
      </c>
      <c r="E158" s="4" t="s">
        <v>3697</v>
      </c>
      <c r="F158" s="4">
        <v>6</v>
      </c>
      <c r="G158" s="4">
        <v>1.5</v>
      </c>
      <c r="H158" s="4">
        <v>0.5</v>
      </c>
      <c r="I158" s="4" t="b">
        <v>1</v>
      </c>
      <c r="J158" s="4" t="b">
        <v>0</v>
      </c>
      <c r="K158" s="4">
        <v>1</v>
      </c>
      <c r="L158" s="4">
        <v>1</v>
      </c>
      <c r="M158" s="4">
        <v>0</v>
      </c>
      <c r="N158" s="4">
        <v>2</v>
      </c>
      <c r="O158" s="4">
        <v>0.2</v>
      </c>
      <c r="P158" s="4">
        <v>0</v>
      </c>
      <c r="Q158" s="4">
        <v>0</v>
      </c>
      <c r="R158" s="29">
        <v>0</v>
      </c>
      <c r="S158" s="31">
        <v>0</v>
      </c>
      <c r="T158" s="30">
        <v>0</v>
      </c>
      <c r="U158" s="4">
        <v>0</v>
      </c>
      <c r="V158" s="4">
        <v>0</v>
      </c>
      <c r="W158" s="4">
        <v>0</v>
      </c>
      <c r="X158" s="4">
        <v>0</v>
      </c>
      <c r="Y158" s="4" t="s">
        <v>2729</v>
      </c>
    </row>
    <row r="159" spans="1:25" x14ac:dyDescent="0.15">
      <c r="A159" s="4" t="s">
        <v>2663</v>
      </c>
      <c r="C159" s="4" t="s">
        <v>3694</v>
      </c>
      <c r="D159" s="4">
        <v>3103</v>
      </c>
      <c r="E159" s="4" t="s">
        <v>3702</v>
      </c>
      <c r="F159" s="4">
        <v>0</v>
      </c>
      <c r="G159" s="4">
        <v>2</v>
      </c>
      <c r="H159" s="4">
        <v>0.2</v>
      </c>
      <c r="I159" s="4" t="b">
        <v>1</v>
      </c>
      <c r="J159" s="4" t="b">
        <v>0</v>
      </c>
      <c r="K159" s="4">
        <v>1</v>
      </c>
      <c r="L159" s="4">
        <v>2</v>
      </c>
      <c r="M159" s="4">
        <v>0</v>
      </c>
      <c r="N159" s="4">
        <v>7</v>
      </c>
      <c r="O159" s="4">
        <v>3</v>
      </c>
      <c r="P159" s="4">
        <v>0</v>
      </c>
      <c r="Q159" s="4">
        <v>0</v>
      </c>
      <c r="R159" s="29">
        <v>0</v>
      </c>
      <c r="S159" s="31">
        <v>0</v>
      </c>
      <c r="T159" s="30">
        <v>0</v>
      </c>
      <c r="U159" s="4">
        <v>0</v>
      </c>
      <c r="V159" s="4">
        <v>0</v>
      </c>
      <c r="W159" s="4">
        <v>105</v>
      </c>
      <c r="X159" s="4">
        <v>0</v>
      </c>
      <c r="Y159" s="4" t="s">
        <v>2729</v>
      </c>
    </row>
    <row r="162" spans="1:25" x14ac:dyDescent="0.15">
      <c r="A162" s="4" t="s">
        <v>2663</v>
      </c>
      <c r="C162" s="4" t="s">
        <v>3026</v>
      </c>
      <c r="D162" s="4">
        <v>10001</v>
      </c>
      <c r="E162" s="4" t="s">
        <v>3027</v>
      </c>
      <c r="F162" s="4">
        <v>6</v>
      </c>
      <c r="G162" s="4">
        <v>2</v>
      </c>
      <c r="H162" s="4">
        <v>2</v>
      </c>
      <c r="I162" s="4" t="b">
        <v>0</v>
      </c>
      <c r="J162" s="4" t="b">
        <v>0</v>
      </c>
      <c r="K162" s="4">
        <v>1</v>
      </c>
      <c r="L162" s="4">
        <v>0</v>
      </c>
      <c r="M162" s="4">
        <v>290</v>
      </c>
      <c r="N162" s="4">
        <v>1</v>
      </c>
      <c r="O162" s="4">
        <v>0</v>
      </c>
      <c r="P162" s="4">
        <v>0</v>
      </c>
      <c r="Q162" s="4">
        <v>0</v>
      </c>
      <c r="R162" s="29">
        <v>0</v>
      </c>
      <c r="S162" s="31">
        <v>0</v>
      </c>
      <c r="T162" s="30">
        <v>0</v>
      </c>
      <c r="U162" s="4">
        <v>0</v>
      </c>
      <c r="V162" s="4">
        <v>0</v>
      </c>
      <c r="W162" s="4">
        <v>0</v>
      </c>
      <c r="X162" s="4">
        <v>1</v>
      </c>
      <c r="Y162" s="4" t="s">
        <v>2730</v>
      </c>
    </row>
    <row r="163" spans="1:25" x14ac:dyDescent="0.15">
      <c r="A163" s="4" t="s">
        <v>2663</v>
      </c>
      <c r="C163" s="4" t="s">
        <v>10033</v>
      </c>
      <c r="D163" s="4">
        <v>10002</v>
      </c>
      <c r="E163" s="4" t="s">
        <v>3676</v>
      </c>
      <c r="F163" s="4">
        <v>2</v>
      </c>
      <c r="G163" s="4">
        <v>2</v>
      </c>
      <c r="H163" s="4">
        <v>2</v>
      </c>
      <c r="I163" s="4" t="b">
        <v>0</v>
      </c>
      <c r="J163" s="4" t="b">
        <v>0</v>
      </c>
      <c r="K163" s="4">
        <v>1</v>
      </c>
      <c r="L163" s="4">
        <v>0</v>
      </c>
      <c r="M163" s="4">
        <v>0</v>
      </c>
      <c r="N163" s="4">
        <v>1</v>
      </c>
      <c r="O163" s="4">
        <v>0</v>
      </c>
      <c r="P163" s="4">
        <v>0</v>
      </c>
      <c r="Q163" s="4">
        <v>0</v>
      </c>
      <c r="R163" s="29">
        <v>0</v>
      </c>
      <c r="S163" s="31">
        <v>0</v>
      </c>
      <c r="T163" s="30">
        <v>0</v>
      </c>
      <c r="U163" s="4">
        <v>0</v>
      </c>
      <c r="V163" s="4">
        <v>0</v>
      </c>
      <c r="W163" s="4">
        <v>0</v>
      </c>
      <c r="X163" s="4">
        <v>1</v>
      </c>
      <c r="Y163" s="4" t="s">
        <v>10054</v>
      </c>
    </row>
    <row r="166" spans="1:25" x14ac:dyDescent="0.15">
      <c r="A166" s="4" t="s">
        <v>1</v>
      </c>
    </row>
    <row r="167" spans="1:25" x14ac:dyDescent="0.15">
      <c r="A167" s="4" t="s">
        <v>10</v>
      </c>
    </row>
  </sheetData>
  <phoneticPr fontId="7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56"/>
  <sheetViews>
    <sheetView workbookViewId="0">
      <selection activeCell="C39" sqref="C39"/>
    </sheetView>
  </sheetViews>
  <sheetFormatPr defaultRowHeight="12" x14ac:dyDescent="0.15"/>
  <cols>
    <col min="1" max="1" width="9.625" style="4" customWidth="1"/>
    <col min="2" max="2" width="11.625" style="4" bestFit="1" customWidth="1"/>
    <col min="3" max="3" width="13.125" style="4" bestFit="1" customWidth="1"/>
    <col min="4" max="4" width="4.125" style="4" bestFit="1" customWidth="1"/>
    <col min="5" max="5" width="17" style="4" customWidth="1"/>
    <col min="6" max="6" width="9.875" style="4" customWidth="1"/>
    <col min="7" max="7" width="9.125" style="4" bestFit="1" customWidth="1"/>
    <col min="8" max="8" width="9" style="4"/>
    <col min="9" max="9" width="8.75" style="4" customWidth="1"/>
    <col min="10" max="10" width="8.5" style="4" bestFit="1" customWidth="1"/>
    <col min="11" max="11" width="8.5" style="4" customWidth="1"/>
    <col min="12" max="12" width="11" style="4" customWidth="1"/>
    <col min="13" max="13" width="11.125" style="4" customWidth="1"/>
    <col min="14" max="14" width="10.875" style="4" customWidth="1"/>
    <col min="15" max="15" width="11.625" style="4" customWidth="1"/>
    <col min="16" max="242" width="9" style="4"/>
    <col min="243" max="243" width="9.625" style="4" customWidth="1"/>
    <col min="244" max="244" width="11.5" style="4" customWidth="1"/>
    <col min="245" max="245" width="9" style="4" customWidth="1"/>
    <col min="246" max="246" width="13.375" style="4" customWidth="1"/>
    <col min="247" max="247" width="10.5" style="4" customWidth="1"/>
    <col min="248" max="248" width="12.5" style="4" customWidth="1"/>
    <col min="249" max="249" width="13.75" style="4" customWidth="1"/>
    <col min="250" max="250" width="9" style="4"/>
    <col min="251" max="251" width="12.375" style="4" customWidth="1"/>
    <col min="252" max="253" width="9" style="4"/>
    <col min="254" max="254" width="15.625" style="4" bestFit="1" customWidth="1"/>
    <col min="255" max="255" width="18.875" style="4" customWidth="1"/>
    <col min="256" max="498" width="9" style="4"/>
    <col min="499" max="499" width="9.625" style="4" customWidth="1"/>
    <col min="500" max="500" width="11.5" style="4" customWidth="1"/>
    <col min="501" max="501" width="9" style="4" customWidth="1"/>
    <col min="502" max="502" width="13.375" style="4" customWidth="1"/>
    <col min="503" max="503" width="10.5" style="4" customWidth="1"/>
    <col min="504" max="504" width="12.5" style="4" customWidth="1"/>
    <col min="505" max="505" width="13.75" style="4" customWidth="1"/>
    <col min="506" max="506" width="9" style="4"/>
    <col min="507" max="507" width="12.375" style="4" customWidth="1"/>
    <col min="508" max="509" width="9" style="4"/>
    <col min="510" max="510" width="15.625" style="4" bestFit="1" customWidth="1"/>
    <col min="511" max="511" width="18.875" style="4" customWidth="1"/>
    <col min="512" max="754" width="9" style="4"/>
    <col min="755" max="755" width="9.625" style="4" customWidth="1"/>
    <col min="756" max="756" width="11.5" style="4" customWidth="1"/>
    <col min="757" max="757" width="9" style="4" customWidth="1"/>
    <col min="758" max="758" width="13.375" style="4" customWidth="1"/>
    <col min="759" max="759" width="10.5" style="4" customWidth="1"/>
    <col min="760" max="760" width="12.5" style="4" customWidth="1"/>
    <col min="761" max="761" width="13.75" style="4" customWidth="1"/>
    <col min="762" max="762" width="9" style="4"/>
    <col min="763" max="763" width="12.375" style="4" customWidth="1"/>
    <col min="764" max="765" width="9" style="4"/>
    <col min="766" max="766" width="15.625" style="4" bestFit="1" customWidth="1"/>
    <col min="767" max="767" width="18.875" style="4" customWidth="1"/>
    <col min="768" max="1010" width="9" style="4"/>
    <col min="1011" max="1011" width="9.625" style="4" customWidth="1"/>
    <col min="1012" max="1012" width="11.5" style="4" customWidth="1"/>
    <col min="1013" max="1013" width="9" style="4" customWidth="1"/>
    <col min="1014" max="1014" width="13.375" style="4" customWidth="1"/>
    <col min="1015" max="1015" width="10.5" style="4" customWidth="1"/>
    <col min="1016" max="1016" width="12.5" style="4" customWidth="1"/>
    <col min="1017" max="1017" width="13.75" style="4" customWidth="1"/>
    <col min="1018" max="1018" width="9" style="4"/>
    <col min="1019" max="1019" width="12.375" style="4" customWidth="1"/>
    <col min="1020" max="1021" width="9" style="4"/>
    <col min="1022" max="1022" width="15.625" style="4" bestFit="1" customWidth="1"/>
    <col min="1023" max="1023" width="18.875" style="4" customWidth="1"/>
    <col min="1024" max="1266" width="9" style="4"/>
    <col min="1267" max="1267" width="9.625" style="4" customWidth="1"/>
    <col min="1268" max="1268" width="11.5" style="4" customWidth="1"/>
    <col min="1269" max="1269" width="9" style="4" customWidth="1"/>
    <col min="1270" max="1270" width="13.375" style="4" customWidth="1"/>
    <col min="1271" max="1271" width="10.5" style="4" customWidth="1"/>
    <col min="1272" max="1272" width="12.5" style="4" customWidth="1"/>
    <col min="1273" max="1273" width="13.75" style="4" customWidth="1"/>
    <col min="1274" max="1274" width="9" style="4"/>
    <col min="1275" max="1275" width="12.375" style="4" customWidth="1"/>
    <col min="1276" max="1277" width="9" style="4"/>
    <col min="1278" max="1278" width="15.625" style="4" bestFit="1" customWidth="1"/>
    <col min="1279" max="1279" width="18.875" style="4" customWidth="1"/>
    <col min="1280" max="1522" width="9" style="4"/>
    <col min="1523" max="1523" width="9.625" style="4" customWidth="1"/>
    <col min="1524" max="1524" width="11.5" style="4" customWidth="1"/>
    <col min="1525" max="1525" width="9" style="4" customWidth="1"/>
    <col min="1526" max="1526" width="13.375" style="4" customWidth="1"/>
    <col min="1527" max="1527" width="10.5" style="4" customWidth="1"/>
    <col min="1528" max="1528" width="12.5" style="4" customWidth="1"/>
    <col min="1529" max="1529" width="13.75" style="4" customWidth="1"/>
    <col min="1530" max="1530" width="9" style="4"/>
    <col min="1531" max="1531" width="12.375" style="4" customWidth="1"/>
    <col min="1532" max="1533" width="9" style="4"/>
    <col min="1534" max="1534" width="15.625" style="4" bestFit="1" customWidth="1"/>
    <col min="1535" max="1535" width="18.875" style="4" customWidth="1"/>
    <col min="1536" max="1778" width="9" style="4"/>
    <col min="1779" max="1779" width="9.625" style="4" customWidth="1"/>
    <col min="1780" max="1780" width="11.5" style="4" customWidth="1"/>
    <col min="1781" max="1781" width="9" style="4" customWidth="1"/>
    <col min="1782" max="1782" width="13.375" style="4" customWidth="1"/>
    <col min="1783" max="1783" width="10.5" style="4" customWidth="1"/>
    <col min="1784" max="1784" width="12.5" style="4" customWidth="1"/>
    <col min="1785" max="1785" width="13.75" style="4" customWidth="1"/>
    <col min="1786" max="1786" width="9" style="4"/>
    <col min="1787" max="1787" width="12.375" style="4" customWidth="1"/>
    <col min="1788" max="1789" width="9" style="4"/>
    <col min="1790" max="1790" width="15.625" style="4" bestFit="1" customWidth="1"/>
    <col min="1791" max="1791" width="18.875" style="4" customWidth="1"/>
    <col min="1792" max="2034" width="9" style="4"/>
    <col min="2035" max="2035" width="9.625" style="4" customWidth="1"/>
    <col min="2036" max="2036" width="11.5" style="4" customWidth="1"/>
    <col min="2037" max="2037" width="9" style="4" customWidth="1"/>
    <col min="2038" max="2038" width="13.375" style="4" customWidth="1"/>
    <col min="2039" max="2039" width="10.5" style="4" customWidth="1"/>
    <col min="2040" max="2040" width="12.5" style="4" customWidth="1"/>
    <col min="2041" max="2041" width="13.75" style="4" customWidth="1"/>
    <col min="2042" max="2042" width="9" style="4"/>
    <col min="2043" max="2043" width="12.375" style="4" customWidth="1"/>
    <col min="2044" max="2045" width="9" style="4"/>
    <col min="2046" max="2046" width="15.625" style="4" bestFit="1" customWidth="1"/>
    <col min="2047" max="2047" width="18.875" style="4" customWidth="1"/>
    <col min="2048" max="2290" width="9" style="4"/>
    <col min="2291" max="2291" width="9.625" style="4" customWidth="1"/>
    <col min="2292" max="2292" width="11.5" style="4" customWidth="1"/>
    <col min="2293" max="2293" width="9" style="4" customWidth="1"/>
    <col min="2294" max="2294" width="13.375" style="4" customWidth="1"/>
    <col min="2295" max="2295" width="10.5" style="4" customWidth="1"/>
    <col min="2296" max="2296" width="12.5" style="4" customWidth="1"/>
    <col min="2297" max="2297" width="13.75" style="4" customWidth="1"/>
    <col min="2298" max="2298" width="9" style="4"/>
    <col min="2299" max="2299" width="12.375" style="4" customWidth="1"/>
    <col min="2300" max="2301" width="9" style="4"/>
    <col min="2302" max="2302" width="15.625" style="4" bestFit="1" customWidth="1"/>
    <col min="2303" max="2303" width="18.875" style="4" customWidth="1"/>
    <col min="2304" max="2546" width="9" style="4"/>
    <col min="2547" max="2547" width="9.625" style="4" customWidth="1"/>
    <col min="2548" max="2548" width="11.5" style="4" customWidth="1"/>
    <col min="2549" max="2549" width="9" style="4" customWidth="1"/>
    <col min="2550" max="2550" width="13.375" style="4" customWidth="1"/>
    <col min="2551" max="2551" width="10.5" style="4" customWidth="1"/>
    <col min="2552" max="2552" width="12.5" style="4" customWidth="1"/>
    <col min="2553" max="2553" width="13.75" style="4" customWidth="1"/>
    <col min="2554" max="2554" width="9" style="4"/>
    <col min="2555" max="2555" width="12.375" style="4" customWidth="1"/>
    <col min="2556" max="2557" width="9" style="4"/>
    <col min="2558" max="2558" width="15.625" style="4" bestFit="1" customWidth="1"/>
    <col min="2559" max="2559" width="18.875" style="4" customWidth="1"/>
    <col min="2560" max="2802" width="9" style="4"/>
    <col min="2803" max="2803" width="9.625" style="4" customWidth="1"/>
    <col min="2804" max="2804" width="11.5" style="4" customWidth="1"/>
    <col min="2805" max="2805" width="9" style="4" customWidth="1"/>
    <col min="2806" max="2806" width="13.375" style="4" customWidth="1"/>
    <col min="2807" max="2807" width="10.5" style="4" customWidth="1"/>
    <col min="2808" max="2808" width="12.5" style="4" customWidth="1"/>
    <col min="2809" max="2809" width="13.75" style="4" customWidth="1"/>
    <col min="2810" max="2810" width="9" style="4"/>
    <col min="2811" max="2811" width="12.375" style="4" customWidth="1"/>
    <col min="2812" max="2813" width="9" style="4"/>
    <col min="2814" max="2814" width="15.625" style="4" bestFit="1" customWidth="1"/>
    <col min="2815" max="2815" width="18.875" style="4" customWidth="1"/>
    <col min="2816" max="3058" width="9" style="4"/>
    <col min="3059" max="3059" width="9.625" style="4" customWidth="1"/>
    <col min="3060" max="3060" width="11.5" style="4" customWidth="1"/>
    <col min="3061" max="3061" width="9" style="4" customWidth="1"/>
    <col min="3062" max="3062" width="13.375" style="4" customWidth="1"/>
    <col min="3063" max="3063" width="10.5" style="4" customWidth="1"/>
    <col min="3064" max="3064" width="12.5" style="4" customWidth="1"/>
    <col min="3065" max="3065" width="13.75" style="4" customWidth="1"/>
    <col min="3066" max="3066" width="9" style="4"/>
    <col min="3067" max="3067" width="12.375" style="4" customWidth="1"/>
    <col min="3068" max="3069" width="9" style="4"/>
    <col min="3070" max="3070" width="15.625" style="4" bestFit="1" customWidth="1"/>
    <col min="3071" max="3071" width="18.875" style="4" customWidth="1"/>
    <col min="3072" max="3314" width="9" style="4"/>
    <col min="3315" max="3315" width="9.625" style="4" customWidth="1"/>
    <col min="3316" max="3316" width="11.5" style="4" customWidth="1"/>
    <col min="3317" max="3317" width="9" style="4" customWidth="1"/>
    <col min="3318" max="3318" width="13.375" style="4" customWidth="1"/>
    <col min="3319" max="3319" width="10.5" style="4" customWidth="1"/>
    <col min="3320" max="3320" width="12.5" style="4" customWidth="1"/>
    <col min="3321" max="3321" width="13.75" style="4" customWidth="1"/>
    <col min="3322" max="3322" width="9" style="4"/>
    <col min="3323" max="3323" width="12.375" style="4" customWidth="1"/>
    <col min="3324" max="3325" width="9" style="4"/>
    <col min="3326" max="3326" width="15.625" style="4" bestFit="1" customWidth="1"/>
    <col min="3327" max="3327" width="18.875" style="4" customWidth="1"/>
    <col min="3328" max="3570" width="9" style="4"/>
    <col min="3571" max="3571" width="9.625" style="4" customWidth="1"/>
    <col min="3572" max="3572" width="11.5" style="4" customWidth="1"/>
    <col min="3573" max="3573" width="9" style="4" customWidth="1"/>
    <col min="3574" max="3574" width="13.375" style="4" customWidth="1"/>
    <col min="3575" max="3575" width="10.5" style="4" customWidth="1"/>
    <col min="3576" max="3576" width="12.5" style="4" customWidth="1"/>
    <col min="3577" max="3577" width="13.75" style="4" customWidth="1"/>
    <col min="3578" max="3578" width="9" style="4"/>
    <col min="3579" max="3579" width="12.375" style="4" customWidth="1"/>
    <col min="3580" max="3581" width="9" style="4"/>
    <col min="3582" max="3582" width="15.625" style="4" bestFit="1" customWidth="1"/>
    <col min="3583" max="3583" width="18.875" style="4" customWidth="1"/>
    <col min="3584" max="3826" width="9" style="4"/>
    <col min="3827" max="3827" width="9.625" style="4" customWidth="1"/>
    <col min="3828" max="3828" width="11.5" style="4" customWidth="1"/>
    <col min="3829" max="3829" width="9" style="4" customWidth="1"/>
    <col min="3830" max="3830" width="13.375" style="4" customWidth="1"/>
    <col min="3831" max="3831" width="10.5" style="4" customWidth="1"/>
    <col min="3832" max="3832" width="12.5" style="4" customWidth="1"/>
    <col min="3833" max="3833" width="13.75" style="4" customWidth="1"/>
    <col min="3834" max="3834" width="9" style="4"/>
    <col min="3835" max="3835" width="12.375" style="4" customWidth="1"/>
    <col min="3836" max="3837" width="9" style="4"/>
    <col min="3838" max="3838" width="15.625" style="4" bestFit="1" customWidth="1"/>
    <col min="3839" max="3839" width="18.875" style="4" customWidth="1"/>
    <col min="3840" max="4082" width="9" style="4"/>
    <col min="4083" max="4083" width="9.625" style="4" customWidth="1"/>
    <col min="4084" max="4084" width="11.5" style="4" customWidth="1"/>
    <col min="4085" max="4085" width="9" style="4" customWidth="1"/>
    <col min="4086" max="4086" width="13.375" style="4" customWidth="1"/>
    <col min="4087" max="4087" width="10.5" style="4" customWidth="1"/>
    <col min="4088" max="4088" width="12.5" style="4" customWidth="1"/>
    <col min="4089" max="4089" width="13.75" style="4" customWidth="1"/>
    <col min="4090" max="4090" width="9" style="4"/>
    <col min="4091" max="4091" width="12.375" style="4" customWidth="1"/>
    <col min="4092" max="4093" width="9" style="4"/>
    <col min="4094" max="4094" width="15.625" style="4" bestFit="1" customWidth="1"/>
    <col min="4095" max="4095" width="18.875" style="4" customWidth="1"/>
    <col min="4096" max="4338" width="9" style="4"/>
    <col min="4339" max="4339" width="9.625" style="4" customWidth="1"/>
    <col min="4340" max="4340" width="11.5" style="4" customWidth="1"/>
    <col min="4341" max="4341" width="9" style="4" customWidth="1"/>
    <col min="4342" max="4342" width="13.375" style="4" customWidth="1"/>
    <col min="4343" max="4343" width="10.5" style="4" customWidth="1"/>
    <col min="4344" max="4344" width="12.5" style="4" customWidth="1"/>
    <col min="4345" max="4345" width="13.75" style="4" customWidth="1"/>
    <col min="4346" max="4346" width="9" style="4"/>
    <col min="4347" max="4347" width="12.375" style="4" customWidth="1"/>
    <col min="4348" max="4349" width="9" style="4"/>
    <col min="4350" max="4350" width="15.625" style="4" bestFit="1" customWidth="1"/>
    <col min="4351" max="4351" width="18.875" style="4" customWidth="1"/>
    <col min="4352" max="4594" width="9" style="4"/>
    <col min="4595" max="4595" width="9.625" style="4" customWidth="1"/>
    <col min="4596" max="4596" width="11.5" style="4" customWidth="1"/>
    <col min="4597" max="4597" width="9" style="4" customWidth="1"/>
    <col min="4598" max="4598" width="13.375" style="4" customWidth="1"/>
    <col min="4599" max="4599" width="10.5" style="4" customWidth="1"/>
    <col min="4600" max="4600" width="12.5" style="4" customWidth="1"/>
    <col min="4601" max="4601" width="13.75" style="4" customWidth="1"/>
    <col min="4602" max="4602" width="9" style="4"/>
    <col min="4603" max="4603" width="12.375" style="4" customWidth="1"/>
    <col min="4604" max="4605" width="9" style="4"/>
    <col min="4606" max="4606" width="15.625" style="4" bestFit="1" customWidth="1"/>
    <col min="4607" max="4607" width="18.875" style="4" customWidth="1"/>
    <col min="4608" max="4850" width="9" style="4"/>
    <col min="4851" max="4851" width="9.625" style="4" customWidth="1"/>
    <col min="4852" max="4852" width="11.5" style="4" customWidth="1"/>
    <col min="4853" max="4853" width="9" style="4" customWidth="1"/>
    <col min="4854" max="4854" width="13.375" style="4" customWidth="1"/>
    <col min="4855" max="4855" width="10.5" style="4" customWidth="1"/>
    <col min="4856" max="4856" width="12.5" style="4" customWidth="1"/>
    <col min="4857" max="4857" width="13.75" style="4" customWidth="1"/>
    <col min="4858" max="4858" width="9" style="4"/>
    <col min="4859" max="4859" width="12.375" style="4" customWidth="1"/>
    <col min="4860" max="4861" width="9" style="4"/>
    <col min="4862" max="4862" width="15.625" style="4" bestFit="1" customWidth="1"/>
    <col min="4863" max="4863" width="18.875" style="4" customWidth="1"/>
    <col min="4864" max="5106" width="9" style="4"/>
    <col min="5107" max="5107" width="9.625" style="4" customWidth="1"/>
    <col min="5108" max="5108" width="11.5" style="4" customWidth="1"/>
    <col min="5109" max="5109" width="9" style="4" customWidth="1"/>
    <col min="5110" max="5110" width="13.375" style="4" customWidth="1"/>
    <col min="5111" max="5111" width="10.5" style="4" customWidth="1"/>
    <col min="5112" max="5112" width="12.5" style="4" customWidth="1"/>
    <col min="5113" max="5113" width="13.75" style="4" customWidth="1"/>
    <col min="5114" max="5114" width="9" style="4"/>
    <col min="5115" max="5115" width="12.375" style="4" customWidth="1"/>
    <col min="5116" max="5117" width="9" style="4"/>
    <col min="5118" max="5118" width="15.625" style="4" bestFit="1" customWidth="1"/>
    <col min="5119" max="5119" width="18.875" style="4" customWidth="1"/>
    <col min="5120" max="5362" width="9" style="4"/>
    <col min="5363" max="5363" width="9.625" style="4" customWidth="1"/>
    <col min="5364" max="5364" width="11.5" style="4" customWidth="1"/>
    <col min="5365" max="5365" width="9" style="4" customWidth="1"/>
    <col min="5366" max="5366" width="13.375" style="4" customWidth="1"/>
    <col min="5367" max="5367" width="10.5" style="4" customWidth="1"/>
    <col min="5368" max="5368" width="12.5" style="4" customWidth="1"/>
    <col min="5369" max="5369" width="13.75" style="4" customWidth="1"/>
    <col min="5370" max="5370" width="9" style="4"/>
    <col min="5371" max="5371" width="12.375" style="4" customWidth="1"/>
    <col min="5372" max="5373" width="9" style="4"/>
    <col min="5374" max="5374" width="15.625" style="4" bestFit="1" customWidth="1"/>
    <col min="5375" max="5375" width="18.875" style="4" customWidth="1"/>
    <col min="5376" max="5618" width="9" style="4"/>
    <col min="5619" max="5619" width="9.625" style="4" customWidth="1"/>
    <col min="5620" max="5620" width="11.5" style="4" customWidth="1"/>
    <col min="5621" max="5621" width="9" style="4" customWidth="1"/>
    <col min="5622" max="5622" width="13.375" style="4" customWidth="1"/>
    <col min="5623" max="5623" width="10.5" style="4" customWidth="1"/>
    <col min="5624" max="5624" width="12.5" style="4" customWidth="1"/>
    <col min="5625" max="5625" width="13.75" style="4" customWidth="1"/>
    <col min="5626" max="5626" width="9" style="4"/>
    <col min="5627" max="5627" width="12.375" style="4" customWidth="1"/>
    <col min="5628" max="5629" width="9" style="4"/>
    <col min="5630" max="5630" width="15.625" style="4" bestFit="1" customWidth="1"/>
    <col min="5631" max="5631" width="18.875" style="4" customWidth="1"/>
    <col min="5632" max="5874" width="9" style="4"/>
    <col min="5875" max="5875" width="9.625" style="4" customWidth="1"/>
    <col min="5876" max="5876" width="11.5" style="4" customWidth="1"/>
    <col min="5877" max="5877" width="9" style="4" customWidth="1"/>
    <col min="5878" max="5878" width="13.375" style="4" customWidth="1"/>
    <col min="5879" max="5879" width="10.5" style="4" customWidth="1"/>
    <col min="5880" max="5880" width="12.5" style="4" customWidth="1"/>
    <col min="5881" max="5881" width="13.75" style="4" customWidth="1"/>
    <col min="5882" max="5882" width="9" style="4"/>
    <col min="5883" max="5883" width="12.375" style="4" customWidth="1"/>
    <col min="5884" max="5885" width="9" style="4"/>
    <col min="5886" max="5886" width="15.625" style="4" bestFit="1" customWidth="1"/>
    <col min="5887" max="5887" width="18.875" style="4" customWidth="1"/>
    <col min="5888" max="6130" width="9" style="4"/>
    <col min="6131" max="6131" width="9.625" style="4" customWidth="1"/>
    <col min="6132" max="6132" width="11.5" style="4" customWidth="1"/>
    <col min="6133" max="6133" width="9" style="4" customWidth="1"/>
    <col min="6134" max="6134" width="13.375" style="4" customWidth="1"/>
    <col min="6135" max="6135" width="10.5" style="4" customWidth="1"/>
    <col min="6136" max="6136" width="12.5" style="4" customWidth="1"/>
    <col min="6137" max="6137" width="13.75" style="4" customWidth="1"/>
    <col min="6138" max="6138" width="9" style="4"/>
    <col min="6139" max="6139" width="12.375" style="4" customWidth="1"/>
    <col min="6140" max="6141" width="9" style="4"/>
    <col min="6142" max="6142" width="15.625" style="4" bestFit="1" customWidth="1"/>
    <col min="6143" max="6143" width="18.875" style="4" customWidth="1"/>
    <col min="6144" max="6386" width="9" style="4"/>
    <col min="6387" max="6387" width="9.625" style="4" customWidth="1"/>
    <col min="6388" max="6388" width="11.5" style="4" customWidth="1"/>
    <col min="6389" max="6389" width="9" style="4" customWidth="1"/>
    <col min="6390" max="6390" width="13.375" style="4" customWidth="1"/>
    <col min="6391" max="6391" width="10.5" style="4" customWidth="1"/>
    <col min="6392" max="6392" width="12.5" style="4" customWidth="1"/>
    <col min="6393" max="6393" width="13.75" style="4" customWidth="1"/>
    <col min="6394" max="6394" width="9" style="4"/>
    <col min="6395" max="6395" width="12.375" style="4" customWidth="1"/>
    <col min="6396" max="6397" width="9" style="4"/>
    <col min="6398" max="6398" width="15.625" style="4" bestFit="1" customWidth="1"/>
    <col min="6399" max="6399" width="18.875" style="4" customWidth="1"/>
    <col min="6400" max="6642" width="9" style="4"/>
    <col min="6643" max="6643" width="9.625" style="4" customWidth="1"/>
    <col min="6644" max="6644" width="11.5" style="4" customWidth="1"/>
    <col min="6645" max="6645" width="9" style="4" customWidth="1"/>
    <col min="6646" max="6646" width="13.375" style="4" customWidth="1"/>
    <col min="6647" max="6647" width="10.5" style="4" customWidth="1"/>
    <col min="6648" max="6648" width="12.5" style="4" customWidth="1"/>
    <col min="6649" max="6649" width="13.75" style="4" customWidth="1"/>
    <col min="6650" max="6650" width="9" style="4"/>
    <col min="6651" max="6651" width="12.375" style="4" customWidth="1"/>
    <col min="6652" max="6653" width="9" style="4"/>
    <col min="6654" max="6654" width="15.625" style="4" bestFit="1" customWidth="1"/>
    <col min="6655" max="6655" width="18.875" style="4" customWidth="1"/>
    <col min="6656" max="6898" width="9" style="4"/>
    <col min="6899" max="6899" width="9.625" style="4" customWidth="1"/>
    <col min="6900" max="6900" width="11.5" style="4" customWidth="1"/>
    <col min="6901" max="6901" width="9" style="4" customWidth="1"/>
    <col min="6902" max="6902" width="13.375" style="4" customWidth="1"/>
    <col min="6903" max="6903" width="10.5" style="4" customWidth="1"/>
    <col min="6904" max="6904" width="12.5" style="4" customWidth="1"/>
    <col min="6905" max="6905" width="13.75" style="4" customWidth="1"/>
    <col min="6906" max="6906" width="9" style="4"/>
    <col min="6907" max="6907" width="12.375" style="4" customWidth="1"/>
    <col min="6908" max="6909" width="9" style="4"/>
    <col min="6910" max="6910" width="15.625" style="4" bestFit="1" customWidth="1"/>
    <col min="6911" max="6911" width="18.875" style="4" customWidth="1"/>
    <col min="6912" max="7154" width="9" style="4"/>
    <col min="7155" max="7155" width="9.625" style="4" customWidth="1"/>
    <col min="7156" max="7156" width="11.5" style="4" customWidth="1"/>
    <col min="7157" max="7157" width="9" style="4" customWidth="1"/>
    <col min="7158" max="7158" width="13.375" style="4" customWidth="1"/>
    <col min="7159" max="7159" width="10.5" style="4" customWidth="1"/>
    <col min="7160" max="7160" width="12.5" style="4" customWidth="1"/>
    <col min="7161" max="7161" width="13.75" style="4" customWidth="1"/>
    <col min="7162" max="7162" width="9" style="4"/>
    <col min="7163" max="7163" width="12.375" style="4" customWidth="1"/>
    <col min="7164" max="7165" width="9" style="4"/>
    <col min="7166" max="7166" width="15.625" style="4" bestFit="1" customWidth="1"/>
    <col min="7167" max="7167" width="18.875" style="4" customWidth="1"/>
    <col min="7168" max="7410" width="9" style="4"/>
    <col min="7411" max="7411" width="9.625" style="4" customWidth="1"/>
    <col min="7412" max="7412" width="11.5" style="4" customWidth="1"/>
    <col min="7413" max="7413" width="9" style="4" customWidth="1"/>
    <col min="7414" max="7414" width="13.375" style="4" customWidth="1"/>
    <col min="7415" max="7415" width="10.5" style="4" customWidth="1"/>
    <col min="7416" max="7416" width="12.5" style="4" customWidth="1"/>
    <col min="7417" max="7417" width="13.75" style="4" customWidth="1"/>
    <col min="7418" max="7418" width="9" style="4"/>
    <col min="7419" max="7419" width="12.375" style="4" customWidth="1"/>
    <col min="7420" max="7421" width="9" style="4"/>
    <col min="7422" max="7422" width="15.625" style="4" bestFit="1" customWidth="1"/>
    <col min="7423" max="7423" width="18.875" style="4" customWidth="1"/>
    <col min="7424" max="7666" width="9" style="4"/>
    <col min="7667" max="7667" width="9.625" style="4" customWidth="1"/>
    <col min="7668" max="7668" width="11.5" style="4" customWidth="1"/>
    <col min="7669" max="7669" width="9" style="4" customWidth="1"/>
    <col min="7670" max="7670" width="13.375" style="4" customWidth="1"/>
    <col min="7671" max="7671" width="10.5" style="4" customWidth="1"/>
    <col min="7672" max="7672" width="12.5" style="4" customWidth="1"/>
    <col min="7673" max="7673" width="13.75" style="4" customWidth="1"/>
    <col min="7674" max="7674" width="9" style="4"/>
    <col min="7675" max="7675" width="12.375" style="4" customWidth="1"/>
    <col min="7676" max="7677" width="9" style="4"/>
    <col min="7678" max="7678" width="15.625" style="4" bestFit="1" customWidth="1"/>
    <col min="7679" max="7679" width="18.875" style="4" customWidth="1"/>
    <col min="7680" max="7922" width="9" style="4"/>
    <col min="7923" max="7923" width="9.625" style="4" customWidth="1"/>
    <col min="7924" max="7924" width="11.5" style="4" customWidth="1"/>
    <col min="7925" max="7925" width="9" style="4" customWidth="1"/>
    <col min="7926" max="7926" width="13.375" style="4" customWidth="1"/>
    <col min="7927" max="7927" width="10.5" style="4" customWidth="1"/>
    <col min="7928" max="7928" width="12.5" style="4" customWidth="1"/>
    <col min="7929" max="7929" width="13.75" style="4" customWidth="1"/>
    <col min="7930" max="7930" width="9" style="4"/>
    <col min="7931" max="7931" width="12.375" style="4" customWidth="1"/>
    <col min="7932" max="7933" width="9" style="4"/>
    <col min="7934" max="7934" width="15.625" style="4" bestFit="1" customWidth="1"/>
    <col min="7935" max="7935" width="18.875" style="4" customWidth="1"/>
    <col min="7936" max="8178" width="9" style="4"/>
    <col min="8179" max="8179" width="9.625" style="4" customWidth="1"/>
    <col min="8180" max="8180" width="11.5" style="4" customWidth="1"/>
    <col min="8181" max="8181" width="9" style="4" customWidth="1"/>
    <col min="8182" max="8182" width="13.375" style="4" customWidth="1"/>
    <col min="8183" max="8183" width="10.5" style="4" customWidth="1"/>
    <col min="8184" max="8184" width="12.5" style="4" customWidth="1"/>
    <col min="8185" max="8185" width="13.75" style="4" customWidth="1"/>
    <col min="8186" max="8186" width="9" style="4"/>
    <col min="8187" max="8187" width="12.375" style="4" customWidth="1"/>
    <col min="8188" max="8189" width="9" style="4"/>
    <col min="8190" max="8190" width="15.625" style="4" bestFit="1" customWidth="1"/>
    <col min="8191" max="8191" width="18.875" style="4" customWidth="1"/>
    <col min="8192" max="8434" width="9" style="4"/>
    <col min="8435" max="8435" width="9.625" style="4" customWidth="1"/>
    <col min="8436" max="8436" width="11.5" style="4" customWidth="1"/>
    <col min="8437" max="8437" width="9" style="4" customWidth="1"/>
    <col min="8438" max="8438" width="13.375" style="4" customWidth="1"/>
    <col min="8439" max="8439" width="10.5" style="4" customWidth="1"/>
    <col min="8440" max="8440" width="12.5" style="4" customWidth="1"/>
    <col min="8441" max="8441" width="13.75" style="4" customWidth="1"/>
    <col min="8442" max="8442" width="9" style="4"/>
    <col min="8443" max="8443" width="12.375" style="4" customWidth="1"/>
    <col min="8444" max="8445" width="9" style="4"/>
    <col min="8446" max="8446" width="15.625" style="4" bestFit="1" customWidth="1"/>
    <col min="8447" max="8447" width="18.875" style="4" customWidth="1"/>
    <col min="8448" max="8690" width="9" style="4"/>
    <col min="8691" max="8691" width="9.625" style="4" customWidth="1"/>
    <col min="8692" max="8692" width="11.5" style="4" customWidth="1"/>
    <col min="8693" max="8693" width="9" style="4" customWidth="1"/>
    <col min="8694" max="8694" width="13.375" style="4" customWidth="1"/>
    <col min="8695" max="8695" width="10.5" style="4" customWidth="1"/>
    <col min="8696" max="8696" width="12.5" style="4" customWidth="1"/>
    <col min="8697" max="8697" width="13.75" style="4" customWidth="1"/>
    <col min="8698" max="8698" width="9" style="4"/>
    <col min="8699" max="8699" width="12.375" style="4" customWidth="1"/>
    <col min="8700" max="8701" width="9" style="4"/>
    <col min="8702" max="8702" width="15.625" style="4" bestFit="1" customWidth="1"/>
    <col min="8703" max="8703" width="18.875" style="4" customWidth="1"/>
    <col min="8704" max="8946" width="9" style="4"/>
    <col min="8947" max="8947" width="9.625" style="4" customWidth="1"/>
    <col min="8948" max="8948" width="11.5" style="4" customWidth="1"/>
    <col min="8949" max="8949" width="9" style="4" customWidth="1"/>
    <col min="8950" max="8950" width="13.375" style="4" customWidth="1"/>
    <col min="8951" max="8951" width="10.5" style="4" customWidth="1"/>
    <col min="8952" max="8952" width="12.5" style="4" customWidth="1"/>
    <col min="8953" max="8953" width="13.75" style="4" customWidth="1"/>
    <col min="8954" max="8954" width="9" style="4"/>
    <col min="8955" max="8955" width="12.375" style="4" customWidth="1"/>
    <col min="8956" max="8957" width="9" style="4"/>
    <col min="8958" max="8958" width="15.625" style="4" bestFit="1" customWidth="1"/>
    <col min="8959" max="8959" width="18.875" style="4" customWidth="1"/>
    <col min="8960" max="9202" width="9" style="4"/>
    <col min="9203" max="9203" width="9.625" style="4" customWidth="1"/>
    <col min="9204" max="9204" width="11.5" style="4" customWidth="1"/>
    <col min="9205" max="9205" width="9" style="4" customWidth="1"/>
    <col min="9206" max="9206" width="13.375" style="4" customWidth="1"/>
    <col min="9207" max="9207" width="10.5" style="4" customWidth="1"/>
    <col min="9208" max="9208" width="12.5" style="4" customWidth="1"/>
    <col min="9209" max="9209" width="13.75" style="4" customWidth="1"/>
    <col min="9210" max="9210" width="9" style="4"/>
    <col min="9211" max="9211" width="12.375" style="4" customWidth="1"/>
    <col min="9212" max="9213" width="9" style="4"/>
    <col min="9214" max="9214" width="15.625" style="4" bestFit="1" customWidth="1"/>
    <col min="9215" max="9215" width="18.875" style="4" customWidth="1"/>
    <col min="9216" max="9458" width="9" style="4"/>
    <col min="9459" max="9459" width="9.625" style="4" customWidth="1"/>
    <col min="9460" max="9460" width="11.5" style="4" customWidth="1"/>
    <col min="9461" max="9461" width="9" style="4" customWidth="1"/>
    <col min="9462" max="9462" width="13.375" style="4" customWidth="1"/>
    <col min="9463" max="9463" width="10.5" style="4" customWidth="1"/>
    <col min="9464" max="9464" width="12.5" style="4" customWidth="1"/>
    <col min="9465" max="9465" width="13.75" style="4" customWidth="1"/>
    <col min="9466" max="9466" width="9" style="4"/>
    <col min="9467" max="9467" width="12.375" style="4" customWidth="1"/>
    <col min="9468" max="9469" width="9" style="4"/>
    <col min="9470" max="9470" width="15.625" style="4" bestFit="1" customWidth="1"/>
    <col min="9471" max="9471" width="18.875" style="4" customWidth="1"/>
    <col min="9472" max="9714" width="9" style="4"/>
    <col min="9715" max="9715" width="9.625" style="4" customWidth="1"/>
    <col min="9716" max="9716" width="11.5" style="4" customWidth="1"/>
    <col min="9717" max="9717" width="9" style="4" customWidth="1"/>
    <col min="9718" max="9718" width="13.375" style="4" customWidth="1"/>
    <col min="9719" max="9719" width="10.5" style="4" customWidth="1"/>
    <col min="9720" max="9720" width="12.5" style="4" customWidth="1"/>
    <col min="9721" max="9721" width="13.75" style="4" customWidth="1"/>
    <col min="9722" max="9722" width="9" style="4"/>
    <col min="9723" max="9723" width="12.375" style="4" customWidth="1"/>
    <col min="9724" max="9725" width="9" style="4"/>
    <col min="9726" max="9726" width="15.625" style="4" bestFit="1" customWidth="1"/>
    <col min="9727" max="9727" width="18.875" style="4" customWidth="1"/>
    <col min="9728" max="9970" width="9" style="4"/>
    <col min="9971" max="9971" width="9.625" style="4" customWidth="1"/>
    <col min="9972" max="9972" width="11.5" style="4" customWidth="1"/>
    <col min="9973" max="9973" width="9" style="4" customWidth="1"/>
    <col min="9974" max="9974" width="13.375" style="4" customWidth="1"/>
    <col min="9975" max="9975" width="10.5" style="4" customWidth="1"/>
    <col min="9976" max="9976" width="12.5" style="4" customWidth="1"/>
    <col min="9977" max="9977" width="13.75" style="4" customWidth="1"/>
    <col min="9978" max="9978" width="9" style="4"/>
    <col min="9979" max="9979" width="12.375" style="4" customWidth="1"/>
    <col min="9980" max="9981" width="9" style="4"/>
    <col min="9982" max="9982" width="15.625" style="4" bestFit="1" customWidth="1"/>
    <col min="9983" max="9983" width="18.875" style="4" customWidth="1"/>
    <col min="9984" max="10226" width="9" style="4"/>
    <col min="10227" max="10227" width="9.625" style="4" customWidth="1"/>
    <col min="10228" max="10228" width="11.5" style="4" customWidth="1"/>
    <col min="10229" max="10229" width="9" style="4" customWidth="1"/>
    <col min="10230" max="10230" width="13.375" style="4" customWidth="1"/>
    <col min="10231" max="10231" width="10.5" style="4" customWidth="1"/>
    <col min="10232" max="10232" width="12.5" style="4" customWidth="1"/>
    <col min="10233" max="10233" width="13.75" style="4" customWidth="1"/>
    <col min="10234" max="10234" width="9" style="4"/>
    <col min="10235" max="10235" width="12.375" style="4" customWidth="1"/>
    <col min="10236" max="10237" width="9" style="4"/>
    <col min="10238" max="10238" width="15.625" style="4" bestFit="1" customWidth="1"/>
    <col min="10239" max="10239" width="18.875" style="4" customWidth="1"/>
    <col min="10240" max="10482" width="9" style="4"/>
    <col min="10483" max="10483" width="9.625" style="4" customWidth="1"/>
    <col min="10484" max="10484" width="11.5" style="4" customWidth="1"/>
    <col min="10485" max="10485" width="9" style="4" customWidth="1"/>
    <col min="10486" max="10486" width="13.375" style="4" customWidth="1"/>
    <col min="10487" max="10487" width="10.5" style="4" customWidth="1"/>
    <col min="10488" max="10488" width="12.5" style="4" customWidth="1"/>
    <col min="10489" max="10489" width="13.75" style="4" customWidth="1"/>
    <col min="10490" max="10490" width="9" style="4"/>
    <col min="10491" max="10491" width="12.375" style="4" customWidth="1"/>
    <col min="10492" max="10493" width="9" style="4"/>
    <col min="10494" max="10494" width="15.625" style="4" bestFit="1" customWidth="1"/>
    <col min="10495" max="10495" width="18.875" style="4" customWidth="1"/>
    <col min="10496" max="10738" width="9" style="4"/>
    <col min="10739" max="10739" width="9.625" style="4" customWidth="1"/>
    <col min="10740" max="10740" width="11.5" style="4" customWidth="1"/>
    <col min="10741" max="10741" width="9" style="4" customWidth="1"/>
    <col min="10742" max="10742" width="13.375" style="4" customWidth="1"/>
    <col min="10743" max="10743" width="10.5" style="4" customWidth="1"/>
    <col min="10744" max="10744" width="12.5" style="4" customWidth="1"/>
    <col min="10745" max="10745" width="13.75" style="4" customWidth="1"/>
    <col min="10746" max="10746" width="9" style="4"/>
    <col min="10747" max="10747" width="12.375" style="4" customWidth="1"/>
    <col min="10748" max="10749" width="9" style="4"/>
    <col min="10750" max="10750" width="15.625" style="4" bestFit="1" customWidth="1"/>
    <col min="10751" max="10751" width="18.875" style="4" customWidth="1"/>
    <col min="10752" max="10994" width="9" style="4"/>
    <col min="10995" max="10995" width="9.625" style="4" customWidth="1"/>
    <col min="10996" max="10996" width="11.5" style="4" customWidth="1"/>
    <col min="10997" max="10997" width="9" style="4" customWidth="1"/>
    <col min="10998" max="10998" width="13.375" style="4" customWidth="1"/>
    <col min="10999" max="10999" width="10.5" style="4" customWidth="1"/>
    <col min="11000" max="11000" width="12.5" style="4" customWidth="1"/>
    <col min="11001" max="11001" width="13.75" style="4" customWidth="1"/>
    <col min="11002" max="11002" width="9" style="4"/>
    <col min="11003" max="11003" width="12.375" style="4" customWidth="1"/>
    <col min="11004" max="11005" width="9" style="4"/>
    <col min="11006" max="11006" width="15.625" style="4" bestFit="1" customWidth="1"/>
    <col min="11007" max="11007" width="18.875" style="4" customWidth="1"/>
    <col min="11008" max="11250" width="9" style="4"/>
    <col min="11251" max="11251" width="9.625" style="4" customWidth="1"/>
    <col min="11252" max="11252" width="11.5" style="4" customWidth="1"/>
    <col min="11253" max="11253" width="9" style="4" customWidth="1"/>
    <col min="11254" max="11254" width="13.375" style="4" customWidth="1"/>
    <col min="11255" max="11255" width="10.5" style="4" customWidth="1"/>
    <col min="11256" max="11256" width="12.5" style="4" customWidth="1"/>
    <col min="11257" max="11257" width="13.75" style="4" customWidth="1"/>
    <col min="11258" max="11258" width="9" style="4"/>
    <col min="11259" max="11259" width="12.375" style="4" customWidth="1"/>
    <col min="11260" max="11261" width="9" style="4"/>
    <col min="11262" max="11262" width="15.625" style="4" bestFit="1" customWidth="1"/>
    <col min="11263" max="11263" width="18.875" style="4" customWidth="1"/>
    <col min="11264" max="11506" width="9" style="4"/>
    <col min="11507" max="11507" width="9.625" style="4" customWidth="1"/>
    <col min="11508" max="11508" width="11.5" style="4" customWidth="1"/>
    <col min="11509" max="11509" width="9" style="4" customWidth="1"/>
    <col min="11510" max="11510" width="13.375" style="4" customWidth="1"/>
    <col min="11511" max="11511" width="10.5" style="4" customWidth="1"/>
    <col min="11512" max="11512" width="12.5" style="4" customWidth="1"/>
    <col min="11513" max="11513" width="13.75" style="4" customWidth="1"/>
    <col min="11514" max="11514" width="9" style="4"/>
    <col min="11515" max="11515" width="12.375" style="4" customWidth="1"/>
    <col min="11516" max="11517" width="9" style="4"/>
    <col min="11518" max="11518" width="15.625" style="4" bestFit="1" customWidth="1"/>
    <col min="11519" max="11519" width="18.875" style="4" customWidth="1"/>
    <col min="11520" max="11762" width="9" style="4"/>
    <col min="11763" max="11763" width="9.625" style="4" customWidth="1"/>
    <col min="11764" max="11764" width="11.5" style="4" customWidth="1"/>
    <col min="11765" max="11765" width="9" style="4" customWidth="1"/>
    <col min="11766" max="11766" width="13.375" style="4" customWidth="1"/>
    <col min="11767" max="11767" width="10.5" style="4" customWidth="1"/>
    <col min="11768" max="11768" width="12.5" style="4" customWidth="1"/>
    <col min="11769" max="11769" width="13.75" style="4" customWidth="1"/>
    <col min="11770" max="11770" width="9" style="4"/>
    <col min="11771" max="11771" width="12.375" style="4" customWidth="1"/>
    <col min="11772" max="11773" width="9" style="4"/>
    <col min="11774" max="11774" width="15.625" style="4" bestFit="1" customWidth="1"/>
    <col min="11775" max="11775" width="18.875" style="4" customWidth="1"/>
    <col min="11776" max="12018" width="9" style="4"/>
    <col min="12019" max="12019" width="9.625" style="4" customWidth="1"/>
    <col min="12020" max="12020" width="11.5" style="4" customWidth="1"/>
    <col min="12021" max="12021" width="9" style="4" customWidth="1"/>
    <col min="12022" max="12022" width="13.375" style="4" customWidth="1"/>
    <col min="12023" max="12023" width="10.5" style="4" customWidth="1"/>
    <col min="12024" max="12024" width="12.5" style="4" customWidth="1"/>
    <col min="12025" max="12025" width="13.75" style="4" customWidth="1"/>
    <col min="12026" max="12026" width="9" style="4"/>
    <col min="12027" max="12027" width="12.375" style="4" customWidth="1"/>
    <col min="12028" max="12029" width="9" style="4"/>
    <col min="12030" max="12030" width="15.625" style="4" bestFit="1" customWidth="1"/>
    <col min="12031" max="12031" width="18.875" style="4" customWidth="1"/>
    <col min="12032" max="12274" width="9" style="4"/>
    <col min="12275" max="12275" width="9.625" style="4" customWidth="1"/>
    <col min="12276" max="12276" width="11.5" style="4" customWidth="1"/>
    <col min="12277" max="12277" width="9" style="4" customWidth="1"/>
    <col min="12278" max="12278" width="13.375" style="4" customWidth="1"/>
    <col min="12279" max="12279" width="10.5" style="4" customWidth="1"/>
    <col min="12280" max="12280" width="12.5" style="4" customWidth="1"/>
    <col min="12281" max="12281" width="13.75" style="4" customWidth="1"/>
    <col min="12282" max="12282" width="9" style="4"/>
    <col min="12283" max="12283" width="12.375" style="4" customWidth="1"/>
    <col min="12284" max="12285" width="9" style="4"/>
    <col min="12286" max="12286" width="15.625" style="4" bestFit="1" customWidth="1"/>
    <col min="12287" max="12287" width="18.875" style="4" customWidth="1"/>
    <col min="12288" max="12530" width="9" style="4"/>
    <col min="12531" max="12531" width="9.625" style="4" customWidth="1"/>
    <col min="12532" max="12532" width="11.5" style="4" customWidth="1"/>
    <col min="12533" max="12533" width="9" style="4" customWidth="1"/>
    <col min="12534" max="12534" width="13.375" style="4" customWidth="1"/>
    <col min="12535" max="12535" width="10.5" style="4" customWidth="1"/>
    <col min="12536" max="12536" width="12.5" style="4" customWidth="1"/>
    <col min="12537" max="12537" width="13.75" style="4" customWidth="1"/>
    <col min="12538" max="12538" width="9" style="4"/>
    <col min="12539" max="12539" width="12.375" style="4" customWidth="1"/>
    <col min="12540" max="12541" width="9" style="4"/>
    <col min="12542" max="12542" width="15.625" style="4" bestFit="1" customWidth="1"/>
    <col min="12543" max="12543" width="18.875" style="4" customWidth="1"/>
    <col min="12544" max="12786" width="9" style="4"/>
    <col min="12787" max="12787" width="9.625" style="4" customWidth="1"/>
    <col min="12788" max="12788" width="11.5" style="4" customWidth="1"/>
    <col min="12789" max="12789" width="9" style="4" customWidth="1"/>
    <col min="12790" max="12790" width="13.375" style="4" customWidth="1"/>
    <col min="12791" max="12791" width="10.5" style="4" customWidth="1"/>
    <col min="12792" max="12792" width="12.5" style="4" customWidth="1"/>
    <col min="12793" max="12793" width="13.75" style="4" customWidth="1"/>
    <col min="12794" max="12794" width="9" style="4"/>
    <col min="12795" max="12795" width="12.375" style="4" customWidth="1"/>
    <col min="12796" max="12797" width="9" style="4"/>
    <col min="12798" max="12798" width="15.625" style="4" bestFit="1" customWidth="1"/>
    <col min="12799" max="12799" width="18.875" style="4" customWidth="1"/>
    <col min="12800" max="13042" width="9" style="4"/>
    <col min="13043" max="13043" width="9.625" style="4" customWidth="1"/>
    <col min="13044" max="13044" width="11.5" style="4" customWidth="1"/>
    <col min="13045" max="13045" width="9" style="4" customWidth="1"/>
    <col min="13046" max="13046" width="13.375" style="4" customWidth="1"/>
    <col min="13047" max="13047" width="10.5" style="4" customWidth="1"/>
    <col min="13048" max="13048" width="12.5" style="4" customWidth="1"/>
    <col min="13049" max="13049" width="13.75" style="4" customWidth="1"/>
    <col min="13050" max="13050" width="9" style="4"/>
    <col min="13051" max="13051" width="12.375" style="4" customWidth="1"/>
    <col min="13052" max="13053" width="9" style="4"/>
    <col min="13054" max="13054" width="15.625" style="4" bestFit="1" customWidth="1"/>
    <col min="13055" max="13055" width="18.875" style="4" customWidth="1"/>
    <col min="13056" max="13298" width="9" style="4"/>
    <col min="13299" max="13299" width="9.625" style="4" customWidth="1"/>
    <col min="13300" max="13300" width="11.5" style="4" customWidth="1"/>
    <col min="13301" max="13301" width="9" style="4" customWidth="1"/>
    <col min="13302" max="13302" width="13.375" style="4" customWidth="1"/>
    <col min="13303" max="13303" width="10.5" style="4" customWidth="1"/>
    <col min="13304" max="13304" width="12.5" style="4" customWidth="1"/>
    <col min="13305" max="13305" width="13.75" style="4" customWidth="1"/>
    <col min="13306" max="13306" width="9" style="4"/>
    <col min="13307" max="13307" width="12.375" style="4" customWidth="1"/>
    <col min="13308" max="13309" width="9" style="4"/>
    <col min="13310" max="13310" width="15.625" style="4" bestFit="1" customWidth="1"/>
    <col min="13311" max="13311" width="18.875" style="4" customWidth="1"/>
    <col min="13312" max="13554" width="9" style="4"/>
    <col min="13555" max="13555" width="9.625" style="4" customWidth="1"/>
    <col min="13556" max="13556" width="11.5" style="4" customWidth="1"/>
    <col min="13557" max="13557" width="9" style="4" customWidth="1"/>
    <col min="13558" max="13558" width="13.375" style="4" customWidth="1"/>
    <col min="13559" max="13559" width="10.5" style="4" customWidth="1"/>
    <col min="13560" max="13560" width="12.5" style="4" customWidth="1"/>
    <col min="13561" max="13561" width="13.75" style="4" customWidth="1"/>
    <col min="13562" max="13562" width="9" style="4"/>
    <col min="13563" max="13563" width="12.375" style="4" customWidth="1"/>
    <col min="13564" max="13565" width="9" style="4"/>
    <col min="13566" max="13566" width="15.625" style="4" bestFit="1" customWidth="1"/>
    <col min="13567" max="13567" width="18.875" style="4" customWidth="1"/>
    <col min="13568" max="13810" width="9" style="4"/>
    <col min="13811" max="13811" width="9.625" style="4" customWidth="1"/>
    <col min="13812" max="13812" width="11.5" style="4" customWidth="1"/>
    <col min="13813" max="13813" width="9" style="4" customWidth="1"/>
    <col min="13814" max="13814" width="13.375" style="4" customWidth="1"/>
    <col min="13815" max="13815" width="10.5" style="4" customWidth="1"/>
    <col min="13816" max="13816" width="12.5" style="4" customWidth="1"/>
    <col min="13817" max="13817" width="13.75" style="4" customWidth="1"/>
    <col min="13818" max="13818" width="9" style="4"/>
    <col min="13819" max="13819" width="12.375" style="4" customWidth="1"/>
    <col min="13820" max="13821" width="9" style="4"/>
    <col min="13822" max="13822" width="15.625" style="4" bestFit="1" customWidth="1"/>
    <col min="13823" max="13823" width="18.875" style="4" customWidth="1"/>
    <col min="13824" max="14066" width="9" style="4"/>
    <col min="14067" max="14067" width="9.625" style="4" customWidth="1"/>
    <col min="14068" max="14068" width="11.5" style="4" customWidth="1"/>
    <col min="14069" max="14069" width="9" style="4" customWidth="1"/>
    <col min="14070" max="14070" width="13.375" style="4" customWidth="1"/>
    <col min="14071" max="14071" width="10.5" style="4" customWidth="1"/>
    <col min="14072" max="14072" width="12.5" style="4" customWidth="1"/>
    <col min="14073" max="14073" width="13.75" style="4" customWidth="1"/>
    <col min="14074" max="14074" width="9" style="4"/>
    <col min="14075" max="14075" width="12.375" style="4" customWidth="1"/>
    <col min="14076" max="14077" width="9" style="4"/>
    <col min="14078" max="14078" width="15.625" style="4" bestFit="1" customWidth="1"/>
    <col min="14079" max="14079" width="18.875" style="4" customWidth="1"/>
    <col min="14080" max="14322" width="9" style="4"/>
    <col min="14323" max="14323" width="9.625" style="4" customWidth="1"/>
    <col min="14324" max="14324" width="11.5" style="4" customWidth="1"/>
    <col min="14325" max="14325" width="9" style="4" customWidth="1"/>
    <col min="14326" max="14326" width="13.375" style="4" customWidth="1"/>
    <col min="14327" max="14327" width="10.5" style="4" customWidth="1"/>
    <col min="14328" max="14328" width="12.5" style="4" customWidth="1"/>
    <col min="14329" max="14329" width="13.75" style="4" customWidth="1"/>
    <col min="14330" max="14330" width="9" style="4"/>
    <col min="14331" max="14331" width="12.375" style="4" customWidth="1"/>
    <col min="14332" max="14333" width="9" style="4"/>
    <col min="14334" max="14334" width="15.625" style="4" bestFit="1" customWidth="1"/>
    <col min="14335" max="14335" width="18.875" style="4" customWidth="1"/>
    <col min="14336" max="14578" width="9" style="4"/>
    <col min="14579" max="14579" width="9.625" style="4" customWidth="1"/>
    <col min="14580" max="14580" width="11.5" style="4" customWidth="1"/>
    <col min="14581" max="14581" width="9" style="4" customWidth="1"/>
    <col min="14582" max="14582" width="13.375" style="4" customWidth="1"/>
    <col min="14583" max="14583" width="10.5" style="4" customWidth="1"/>
    <col min="14584" max="14584" width="12.5" style="4" customWidth="1"/>
    <col min="14585" max="14585" width="13.75" style="4" customWidth="1"/>
    <col min="14586" max="14586" width="9" style="4"/>
    <col min="14587" max="14587" width="12.375" style="4" customWidth="1"/>
    <col min="14588" max="14589" width="9" style="4"/>
    <col min="14590" max="14590" width="15.625" style="4" bestFit="1" customWidth="1"/>
    <col min="14591" max="14591" width="18.875" style="4" customWidth="1"/>
    <col min="14592" max="14834" width="9" style="4"/>
    <col min="14835" max="14835" width="9.625" style="4" customWidth="1"/>
    <col min="14836" max="14836" width="11.5" style="4" customWidth="1"/>
    <col min="14837" max="14837" width="9" style="4" customWidth="1"/>
    <col min="14838" max="14838" width="13.375" style="4" customWidth="1"/>
    <col min="14839" max="14839" width="10.5" style="4" customWidth="1"/>
    <col min="14840" max="14840" width="12.5" style="4" customWidth="1"/>
    <col min="14841" max="14841" width="13.75" style="4" customWidth="1"/>
    <col min="14842" max="14842" width="9" style="4"/>
    <col min="14843" max="14843" width="12.375" style="4" customWidth="1"/>
    <col min="14844" max="14845" width="9" style="4"/>
    <col min="14846" max="14846" width="15.625" style="4" bestFit="1" customWidth="1"/>
    <col min="14847" max="14847" width="18.875" style="4" customWidth="1"/>
    <col min="14848" max="15090" width="9" style="4"/>
    <col min="15091" max="15091" width="9.625" style="4" customWidth="1"/>
    <col min="15092" max="15092" width="11.5" style="4" customWidth="1"/>
    <col min="15093" max="15093" width="9" style="4" customWidth="1"/>
    <col min="15094" max="15094" width="13.375" style="4" customWidth="1"/>
    <col min="15095" max="15095" width="10.5" style="4" customWidth="1"/>
    <col min="15096" max="15096" width="12.5" style="4" customWidth="1"/>
    <col min="15097" max="15097" width="13.75" style="4" customWidth="1"/>
    <col min="15098" max="15098" width="9" style="4"/>
    <col min="15099" max="15099" width="12.375" style="4" customWidth="1"/>
    <col min="15100" max="15101" width="9" style="4"/>
    <col min="15102" max="15102" width="15.625" style="4" bestFit="1" customWidth="1"/>
    <col min="15103" max="15103" width="18.875" style="4" customWidth="1"/>
    <col min="15104" max="15346" width="9" style="4"/>
    <col min="15347" max="15347" width="9.625" style="4" customWidth="1"/>
    <col min="15348" max="15348" width="11.5" style="4" customWidth="1"/>
    <col min="15349" max="15349" width="9" style="4" customWidth="1"/>
    <col min="15350" max="15350" width="13.375" style="4" customWidth="1"/>
    <col min="15351" max="15351" width="10.5" style="4" customWidth="1"/>
    <col min="15352" max="15352" width="12.5" style="4" customWidth="1"/>
    <col min="15353" max="15353" width="13.75" style="4" customWidth="1"/>
    <col min="15354" max="15354" width="9" style="4"/>
    <col min="15355" max="15355" width="12.375" style="4" customWidth="1"/>
    <col min="15356" max="15357" width="9" style="4"/>
    <col min="15358" max="15358" width="15.625" style="4" bestFit="1" customWidth="1"/>
    <col min="15359" max="15359" width="18.875" style="4" customWidth="1"/>
    <col min="15360" max="15602" width="9" style="4"/>
    <col min="15603" max="15603" width="9.625" style="4" customWidth="1"/>
    <col min="15604" max="15604" width="11.5" style="4" customWidth="1"/>
    <col min="15605" max="15605" width="9" style="4" customWidth="1"/>
    <col min="15606" max="15606" width="13.375" style="4" customWidth="1"/>
    <col min="15607" max="15607" width="10.5" style="4" customWidth="1"/>
    <col min="15608" max="15608" width="12.5" style="4" customWidth="1"/>
    <col min="15609" max="15609" width="13.75" style="4" customWidth="1"/>
    <col min="15610" max="15610" width="9" style="4"/>
    <col min="15611" max="15611" width="12.375" style="4" customWidth="1"/>
    <col min="15612" max="15613" width="9" style="4"/>
    <col min="15614" max="15614" width="15.625" style="4" bestFit="1" customWidth="1"/>
    <col min="15615" max="15615" width="18.875" style="4" customWidth="1"/>
    <col min="15616" max="15858" width="9" style="4"/>
    <col min="15859" max="15859" width="9.625" style="4" customWidth="1"/>
    <col min="15860" max="15860" width="11.5" style="4" customWidth="1"/>
    <col min="15861" max="15861" width="9" style="4" customWidth="1"/>
    <col min="15862" max="15862" width="13.375" style="4" customWidth="1"/>
    <col min="15863" max="15863" width="10.5" style="4" customWidth="1"/>
    <col min="15864" max="15864" width="12.5" style="4" customWidth="1"/>
    <col min="15865" max="15865" width="13.75" style="4" customWidth="1"/>
    <col min="15866" max="15866" width="9" style="4"/>
    <col min="15867" max="15867" width="12.375" style="4" customWidth="1"/>
    <col min="15868" max="15869" width="9" style="4"/>
    <col min="15870" max="15870" width="15.625" style="4" bestFit="1" customWidth="1"/>
    <col min="15871" max="15871" width="18.875" style="4" customWidth="1"/>
    <col min="15872" max="16114" width="9" style="4"/>
    <col min="16115" max="16115" width="9.625" style="4" customWidth="1"/>
    <col min="16116" max="16116" width="11.5" style="4" customWidth="1"/>
    <col min="16117" max="16117" width="9" style="4" customWidth="1"/>
    <col min="16118" max="16118" width="13.375" style="4" customWidth="1"/>
    <col min="16119" max="16119" width="10.5" style="4" customWidth="1"/>
    <col min="16120" max="16120" width="12.5" style="4" customWidth="1"/>
    <col min="16121" max="16121" width="13.75" style="4" customWidth="1"/>
    <col min="16122" max="16122" width="9" style="4"/>
    <col min="16123" max="16123" width="12.375" style="4" customWidth="1"/>
    <col min="16124" max="16125" width="9" style="4"/>
    <col min="16126" max="16126" width="15.625" style="4" bestFit="1" customWidth="1"/>
    <col min="16127" max="16127" width="18.875" style="4" customWidth="1"/>
    <col min="16128" max="16384" width="9" style="4"/>
  </cols>
  <sheetData>
    <row r="1" spans="1:15" ht="16.5" x14ac:dyDescent="0.15">
      <c r="A1" s="5" t="s">
        <v>28</v>
      </c>
      <c r="B1" s="6" t="s">
        <v>29</v>
      </c>
    </row>
    <row r="2" spans="1:15" x14ac:dyDescent="0.15">
      <c r="A2" s="4" t="s">
        <v>0</v>
      </c>
      <c r="B2" s="4" t="s">
        <v>2643</v>
      </c>
    </row>
    <row r="3" spans="1:15" x14ac:dyDescent="0.15">
      <c r="A3" s="4" t="s">
        <v>11</v>
      </c>
      <c r="D3" s="4" t="s">
        <v>12</v>
      </c>
      <c r="E3" s="4" t="s">
        <v>2717</v>
      </c>
      <c r="F3" s="4" t="s">
        <v>2678</v>
      </c>
      <c r="G3" s="4" t="s">
        <v>2757</v>
      </c>
      <c r="H3" s="4" t="s">
        <v>2714</v>
      </c>
      <c r="I3" s="4" t="s">
        <v>3121</v>
      </c>
      <c r="J3" s="4" t="s">
        <v>2762</v>
      </c>
      <c r="K3" s="4" t="s">
        <v>9811</v>
      </c>
      <c r="L3" s="4" t="s">
        <v>3000</v>
      </c>
      <c r="M3" s="4" t="s">
        <v>3000</v>
      </c>
      <c r="N3" s="4" t="s">
        <v>12</v>
      </c>
      <c r="O3" s="4" t="s">
        <v>2765</v>
      </c>
    </row>
    <row r="4" spans="1:15" x14ac:dyDescent="0.15">
      <c r="A4" s="4" t="s">
        <v>9</v>
      </c>
      <c r="D4" s="4" t="s">
        <v>13</v>
      </c>
      <c r="E4" s="4" t="s">
        <v>2768</v>
      </c>
      <c r="F4" s="4" t="s">
        <v>2668</v>
      </c>
      <c r="G4" s="4" t="s">
        <v>2760</v>
      </c>
      <c r="H4" s="4" t="s">
        <v>2761</v>
      </c>
      <c r="I4" s="4" t="s">
        <v>3124</v>
      </c>
      <c r="J4" s="4" t="s">
        <v>2763</v>
      </c>
      <c r="K4" s="4" t="s">
        <v>9812</v>
      </c>
      <c r="L4" s="4" t="s">
        <v>3001</v>
      </c>
      <c r="M4" s="4" t="s">
        <v>3003</v>
      </c>
      <c r="N4" s="4" t="s">
        <v>2670</v>
      </c>
      <c r="O4" s="4" t="s">
        <v>2766</v>
      </c>
    </row>
    <row r="5" spans="1:15" x14ac:dyDescent="0.15">
      <c r="E5" s="4" t="s">
        <v>2769</v>
      </c>
      <c r="F5" s="4" t="s">
        <v>32</v>
      </c>
      <c r="G5" s="4" t="s">
        <v>2758</v>
      </c>
      <c r="H5" s="4" t="s">
        <v>2759</v>
      </c>
      <c r="I5" s="4" t="s">
        <v>3123</v>
      </c>
      <c r="J5" s="4" t="s">
        <v>2764</v>
      </c>
      <c r="K5" s="4" t="s">
        <v>9813</v>
      </c>
      <c r="L5" s="4" t="s">
        <v>3002</v>
      </c>
      <c r="M5" s="4" t="s">
        <v>3004</v>
      </c>
      <c r="N5" s="4" t="s">
        <v>2648</v>
      </c>
      <c r="O5" s="4" t="s">
        <v>2767</v>
      </c>
    </row>
    <row r="8" spans="1:15" x14ac:dyDescent="0.15">
      <c r="A8" s="4" t="s">
        <v>2794</v>
      </c>
      <c r="D8" s="4">
        <v>1</v>
      </c>
      <c r="E8" s="4" t="s">
        <v>3110</v>
      </c>
      <c r="F8" s="4">
        <v>401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1</v>
      </c>
      <c r="O8" s="4">
        <v>1</v>
      </c>
    </row>
    <row r="9" spans="1:15" x14ac:dyDescent="0.15">
      <c r="A9" s="4" t="s">
        <v>2795</v>
      </c>
      <c r="D9" s="4">
        <v>2</v>
      </c>
      <c r="E9" s="4" t="s">
        <v>3111</v>
      </c>
      <c r="F9" s="4">
        <v>401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1</v>
      </c>
      <c r="O9" s="4">
        <v>2</v>
      </c>
    </row>
    <row r="10" spans="1:15" x14ac:dyDescent="0.15">
      <c r="A10" s="4" t="s">
        <v>2795</v>
      </c>
      <c r="D10" s="4">
        <v>3</v>
      </c>
      <c r="E10" s="4" t="s">
        <v>3112</v>
      </c>
      <c r="F10" s="4">
        <v>401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1</v>
      </c>
      <c r="O10" s="4">
        <v>3</v>
      </c>
    </row>
    <row r="11" spans="1:15" x14ac:dyDescent="0.15">
      <c r="A11" s="4" t="s">
        <v>2663</v>
      </c>
      <c r="D11" s="4">
        <v>4</v>
      </c>
      <c r="E11" s="4" t="s">
        <v>3113</v>
      </c>
      <c r="F11" s="4">
        <v>401</v>
      </c>
      <c r="G11" s="4">
        <v>0</v>
      </c>
      <c r="H11" s="4">
        <v>1</v>
      </c>
      <c r="I11" s="4">
        <v>430</v>
      </c>
      <c r="J11" s="4">
        <v>0</v>
      </c>
      <c r="K11" s="4">
        <v>0</v>
      </c>
      <c r="L11" s="4">
        <v>0</v>
      </c>
      <c r="M11" s="4">
        <v>0</v>
      </c>
      <c r="N11" s="4">
        <v>1</v>
      </c>
      <c r="O11" s="4">
        <v>4</v>
      </c>
    </row>
    <row r="12" spans="1:15" x14ac:dyDescent="0.15">
      <c r="A12" s="4" t="s">
        <v>2663</v>
      </c>
      <c r="D12" s="4">
        <v>5</v>
      </c>
      <c r="E12" s="4" t="s">
        <v>3114</v>
      </c>
      <c r="F12" s="4">
        <v>401</v>
      </c>
      <c r="G12" s="4">
        <v>0</v>
      </c>
      <c r="H12" s="4">
        <v>0</v>
      </c>
      <c r="I12" s="4">
        <v>430</v>
      </c>
      <c r="J12" s="4">
        <v>0</v>
      </c>
      <c r="K12" s="4">
        <v>0</v>
      </c>
      <c r="L12" s="4">
        <v>0</v>
      </c>
      <c r="M12" s="4">
        <v>0</v>
      </c>
      <c r="N12" s="4">
        <v>1</v>
      </c>
      <c r="O12" s="4">
        <v>5</v>
      </c>
    </row>
    <row r="13" spans="1:15" x14ac:dyDescent="0.15">
      <c r="A13" s="4" t="s">
        <v>2663</v>
      </c>
      <c r="D13" s="4">
        <v>6</v>
      </c>
      <c r="E13" s="4" t="s">
        <v>3115</v>
      </c>
      <c r="F13" s="4">
        <v>401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1</v>
      </c>
      <c r="O13" s="4">
        <v>6</v>
      </c>
    </row>
    <row r="14" spans="1:15" x14ac:dyDescent="0.15">
      <c r="A14" s="4" t="s">
        <v>2663</v>
      </c>
      <c r="D14" s="4">
        <v>7</v>
      </c>
      <c r="E14" s="4" t="s">
        <v>3116</v>
      </c>
      <c r="F14" s="4">
        <v>401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1</v>
      </c>
      <c r="O14" s="4">
        <v>7</v>
      </c>
    </row>
    <row r="15" spans="1:15" x14ac:dyDescent="0.15">
      <c r="A15" s="4" t="s">
        <v>2663</v>
      </c>
      <c r="D15" s="4">
        <v>8</v>
      </c>
      <c r="E15" s="4" t="s">
        <v>3117</v>
      </c>
      <c r="F15" s="4">
        <v>401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1</v>
      </c>
      <c r="O15" s="4">
        <v>8</v>
      </c>
    </row>
    <row r="16" spans="1:15" x14ac:dyDescent="0.15">
      <c r="A16" s="4" t="s">
        <v>2663</v>
      </c>
      <c r="C16" s="4" t="s">
        <v>9819</v>
      </c>
      <c r="D16" s="4">
        <v>9</v>
      </c>
      <c r="E16" s="4" t="s">
        <v>9804</v>
      </c>
      <c r="F16" s="4">
        <v>401</v>
      </c>
      <c r="G16" s="4">
        <v>0</v>
      </c>
      <c r="H16" s="4">
        <v>0</v>
      </c>
      <c r="I16" s="4">
        <v>1070</v>
      </c>
      <c r="J16" s="4">
        <v>3</v>
      </c>
      <c r="K16" s="4">
        <v>0</v>
      </c>
      <c r="L16" s="4">
        <v>130</v>
      </c>
      <c r="M16" s="4">
        <v>5</v>
      </c>
      <c r="N16" s="4">
        <v>1</v>
      </c>
      <c r="O16" s="4">
        <v>9</v>
      </c>
    </row>
    <row r="17" spans="1:16" x14ac:dyDescent="0.15">
      <c r="A17" s="4" t="s">
        <v>2663</v>
      </c>
      <c r="D17" s="4">
        <v>10</v>
      </c>
      <c r="E17" s="4" t="s">
        <v>9805</v>
      </c>
      <c r="F17" s="4">
        <v>401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1</v>
      </c>
      <c r="O17" s="4">
        <v>10</v>
      </c>
    </row>
    <row r="18" spans="1:16" x14ac:dyDescent="0.15">
      <c r="B18" s="4" t="s">
        <v>9818</v>
      </c>
    </row>
    <row r="19" spans="1:16" x14ac:dyDescent="0.15">
      <c r="A19" s="4" t="s">
        <v>2663</v>
      </c>
      <c r="C19" s="4" t="s">
        <v>9820</v>
      </c>
      <c r="D19" s="4">
        <v>20</v>
      </c>
      <c r="E19" s="4" t="s">
        <v>9807</v>
      </c>
      <c r="F19" s="4">
        <v>401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1</v>
      </c>
      <c r="O19" s="4">
        <v>20</v>
      </c>
    </row>
    <row r="20" spans="1:16" x14ac:dyDescent="0.15">
      <c r="A20" s="4" t="s">
        <v>2663</v>
      </c>
      <c r="C20" s="4" t="s">
        <v>9821</v>
      </c>
      <c r="D20" s="4">
        <v>21</v>
      </c>
      <c r="E20" s="4" t="s">
        <v>9806</v>
      </c>
      <c r="F20" s="4">
        <v>401</v>
      </c>
      <c r="G20" s="4">
        <v>0</v>
      </c>
      <c r="H20" s="4">
        <v>0</v>
      </c>
      <c r="I20" s="4">
        <v>1060</v>
      </c>
      <c r="J20" s="4">
        <v>3</v>
      </c>
      <c r="K20" s="4">
        <v>0</v>
      </c>
      <c r="L20" s="4">
        <v>120</v>
      </c>
      <c r="M20" s="4">
        <v>2</v>
      </c>
      <c r="N20" s="4">
        <v>1</v>
      </c>
      <c r="O20" s="4">
        <v>21</v>
      </c>
    </row>
    <row r="21" spans="1:16" x14ac:dyDescent="0.15">
      <c r="A21" s="4" t="s">
        <v>2663</v>
      </c>
      <c r="C21" s="4" t="s">
        <v>9822</v>
      </c>
      <c r="D21" s="4">
        <v>22</v>
      </c>
      <c r="E21" s="4" t="s">
        <v>9814</v>
      </c>
      <c r="F21" s="4">
        <v>401</v>
      </c>
      <c r="G21" s="4">
        <v>0</v>
      </c>
      <c r="H21" s="4">
        <v>0</v>
      </c>
      <c r="I21" s="4">
        <v>0</v>
      </c>
      <c r="J21" s="4">
        <v>10</v>
      </c>
      <c r="K21" s="4">
        <v>23</v>
      </c>
      <c r="L21" s="4">
        <v>0</v>
      </c>
      <c r="M21" s="4">
        <v>0</v>
      </c>
      <c r="N21" s="4">
        <v>1</v>
      </c>
      <c r="O21" s="4">
        <v>1003</v>
      </c>
      <c r="P21" s="4" t="s">
        <v>9817</v>
      </c>
    </row>
    <row r="22" spans="1:16" x14ac:dyDescent="0.15">
      <c r="A22" s="4" t="s">
        <v>2663</v>
      </c>
      <c r="D22" s="4">
        <v>23</v>
      </c>
      <c r="E22" s="4" t="s">
        <v>9815</v>
      </c>
      <c r="F22" s="4">
        <v>401</v>
      </c>
      <c r="G22" s="4">
        <v>2</v>
      </c>
      <c r="H22" s="4">
        <v>0</v>
      </c>
      <c r="I22" s="4">
        <v>0</v>
      </c>
      <c r="J22" s="4">
        <v>2</v>
      </c>
      <c r="K22" s="4">
        <v>24</v>
      </c>
      <c r="L22" s="4">
        <v>0</v>
      </c>
      <c r="M22" s="4">
        <v>0</v>
      </c>
      <c r="N22" s="4">
        <v>1</v>
      </c>
      <c r="O22" s="4">
        <v>1003</v>
      </c>
      <c r="P22" s="4" t="s">
        <v>9817</v>
      </c>
    </row>
    <row r="23" spans="1:16" x14ac:dyDescent="0.15">
      <c r="A23" s="4" t="s">
        <v>2663</v>
      </c>
      <c r="D23" s="4">
        <v>24</v>
      </c>
      <c r="E23" s="4" t="s">
        <v>9816</v>
      </c>
      <c r="F23" s="4">
        <v>401</v>
      </c>
      <c r="G23" s="4">
        <v>5</v>
      </c>
      <c r="H23" s="4">
        <v>0</v>
      </c>
      <c r="I23" s="4">
        <v>0</v>
      </c>
      <c r="J23" s="4">
        <v>0.5</v>
      </c>
      <c r="K23" s="4">
        <v>0</v>
      </c>
      <c r="L23" s="4">
        <v>0</v>
      </c>
      <c r="M23" s="4">
        <v>0</v>
      </c>
      <c r="N23" s="4">
        <v>1</v>
      </c>
      <c r="O23" s="4">
        <v>22</v>
      </c>
    </row>
    <row r="25" spans="1:16" x14ac:dyDescent="0.15">
      <c r="B25" s="4" t="s">
        <v>9893</v>
      </c>
    </row>
    <row r="26" spans="1:16" x14ac:dyDescent="0.15">
      <c r="A26" s="4" t="s">
        <v>2794</v>
      </c>
      <c r="D26" s="4">
        <v>101</v>
      </c>
      <c r="E26" s="4" t="s">
        <v>3109</v>
      </c>
      <c r="F26" s="4">
        <v>401</v>
      </c>
      <c r="G26" s="4">
        <v>5</v>
      </c>
      <c r="H26" s="4">
        <v>0</v>
      </c>
      <c r="I26" s="4">
        <v>0</v>
      </c>
      <c r="J26" s="4">
        <v>1</v>
      </c>
      <c r="K26" s="4">
        <v>0</v>
      </c>
      <c r="L26" s="4">
        <v>0</v>
      </c>
      <c r="M26" s="4">
        <v>0</v>
      </c>
      <c r="N26" s="4">
        <v>0.5</v>
      </c>
      <c r="O26" s="4">
        <v>101</v>
      </c>
    </row>
    <row r="27" spans="1:16" x14ac:dyDescent="0.15">
      <c r="A27" s="4" t="s">
        <v>2663</v>
      </c>
      <c r="C27" s="4" t="s">
        <v>3539</v>
      </c>
      <c r="D27" s="4">
        <v>102</v>
      </c>
      <c r="E27" s="4" t="s">
        <v>2996</v>
      </c>
      <c r="F27" s="4">
        <v>401</v>
      </c>
      <c r="G27" s="4">
        <v>8</v>
      </c>
      <c r="H27" s="4">
        <v>0</v>
      </c>
      <c r="I27" s="4">
        <v>0</v>
      </c>
      <c r="J27" s="4">
        <v>1</v>
      </c>
      <c r="K27" s="4">
        <v>0</v>
      </c>
      <c r="L27" s="4">
        <v>30</v>
      </c>
      <c r="M27" s="4">
        <v>1</v>
      </c>
      <c r="N27" s="4">
        <v>1</v>
      </c>
      <c r="O27" s="4">
        <v>102</v>
      </c>
    </row>
    <row r="28" spans="1:16" x14ac:dyDescent="0.15">
      <c r="A28" s="4" t="s">
        <v>2662</v>
      </c>
      <c r="C28" s="4" t="s">
        <v>3495</v>
      </c>
      <c r="D28" s="4">
        <v>103</v>
      </c>
      <c r="E28" s="4" t="s">
        <v>3496</v>
      </c>
      <c r="F28" s="4">
        <v>401</v>
      </c>
      <c r="G28" s="4">
        <v>3</v>
      </c>
      <c r="H28" s="4">
        <v>0</v>
      </c>
      <c r="I28" s="4">
        <v>0</v>
      </c>
      <c r="J28" s="4">
        <v>1</v>
      </c>
      <c r="K28" s="4">
        <v>0</v>
      </c>
      <c r="L28" s="4">
        <v>0</v>
      </c>
      <c r="M28" s="4">
        <v>0</v>
      </c>
      <c r="N28" s="4">
        <v>1</v>
      </c>
      <c r="O28" s="4">
        <v>103</v>
      </c>
    </row>
    <row r="29" spans="1:16" x14ac:dyDescent="0.15">
      <c r="A29" s="4" t="s">
        <v>2662</v>
      </c>
      <c r="C29" s="4" t="s">
        <v>3538</v>
      </c>
      <c r="D29" s="4">
        <v>104</v>
      </c>
      <c r="E29" s="4" t="s">
        <v>3470</v>
      </c>
      <c r="F29" s="4">
        <v>401</v>
      </c>
      <c r="G29" s="4">
        <v>10</v>
      </c>
      <c r="H29" s="4">
        <v>0</v>
      </c>
      <c r="I29" s="4">
        <v>0</v>
      </c>
      <c r="J29" s="4">
        <v>1</v>
      </c>
      <c r="K29" s="4">
        <v>0</v>
      </c>
      <c r="L29" s="4">
        <v>30</v>
      </c>
      <c r="M29" s="4">
        <v>1</v>
      </c>
      <c r="N29" s="4">
        <v>1</v>
      </c>
      <c r="O29" s="4">
        <v>104</v>
      </c>
    </row>
    <row r="30" spans="1:16" x14ac:dyDescent="0.15">
      <c r="A30" s="4" t="s">
        <v>2662</v>
      </c>
      <c r="C30" s="4" t="s">
        <v>3704</v>
      </c>
      <c r="D30" s="4">
        <v>105</v>
      </c>
      <c r="E30" s="4" t="s">
        <v>3705</v>
      </c>
      <c r="F30" s="4">
        <v>401</v>
      </c>
      <c r="G30" s="4">
        <v>5</v>
      </c>
      <c r="H30" s="4">
        <v>0</v>
      </c>
      <c r="I30" s="4">
        <v>0</v>
      </c>
      <c r="J30" s="4">
        <v>1</v>
      </c>
      <c r="K30" s="4">
        <v>0</v>
      </c>
      <c r="L30" s="4">
        <v>0</v>
      </c>
      <c r="M30" s="4">
        <v>1</v>
      </c>
      <c r="N30" s="4">
        <v>1</v>
      </c>
      <c r="O30" s="4">
        <v>105</v>
      </c>
    </row>
    <row r="32" spans="1:16" x14ac:dyDescent="0.15">
      <c r="B32" s="4" t="s">
        <v>9892</v>
      </c>
    </row>
    <row r="33" spans="1:15" x14ac:dyDescent="0.15">
      <c r="A33" s="4" t="s">
        <v>2663</v>
      </c>
      <c r="C33" s="4" t="s">
        <v>9921</v>
      </c>
      <c r="D33" s="4">
        <v>201</v>
      </c>
      <c r="E33" s="4" t="s">
        <v>9894</v>
      </c>
      <c r="F33" s="4">
        <v>401</v>
      </c>
      <c r="G33" s="4">
        <v>2</v>
      </c>
      <c r="H33" s="4">
        <v>0</v>
      </c>
      <c r="I33" s="4">
        <v>0</v>
      </c>
      <c r="J33" s="4">
        <v>0.5</v>
      </c>
      <c r="K33" s="4">
        <v>0</v>
      </c>
      <c r="L33" s="4">
        <v>0</v>
      </c>
      <c r="M33" s="4">
        <v>0</v>
      </c>
      <c r="N33" s="4">
        <v>1</v>
      </c>
      <c r="O33" s="4">
        <v>101</v>
      </c>
    </row>
    <row r="34" spans="1:15" x14ac:dyDescent="0.15">
      <c r="A34" s="4" t="s">
        <v>2663</v>
      </c>
      <c r="C34" s="4" t="s">
        <v>9920</v>
      </c>
      <c r="D34" s="4">
        <v>202</v>
      </c>
      <c r="E34" s="4" t="s">
        <v>9898</v>
      </c>
      <c r="F34" s="4">
        <v>401</v>
      </c>
      <c r="G34" s="4">
        <v>10</v>
      </c>
      <c r="H34" s="4">
        <v>0</v>
      </c>
      <c r="I34" s="4">
        <v>0</v>
      </c>
      <c r="J34" s="4">
        <v>1</v>
      </c>
      <c r="K34" s="4">
        <v>0</v>
      </c>
      <c r="L34" s="4">
        <v>30</v>
      </c>
      <c r="M34" s="4">
        <v>1</v>
      </c>
      <c r="N34" s="4">
        <v>1</v>
      </c>
      <c r="O34" s="4">
        <v>104</v>
      </c>
    </row>
    <row r="35" spans="1:15" x14ac:dyDescent="0.15">
      <c r="A35" s="4" t="s">
        <v>2663</v>
      </c>
      <c r="C35" s="4" t="s">
        <v>9919</v>
      </c>
      <c r="D35" s="4">
        <v>203</v>
      </c>
      <c r="E35" s="4" t="s">
        <v>9903</v>
      </c>
      <c r="F35" s="4">
        <v>401</v>
      </c>
      <c r="G35" s="4">
        <v>10</v>
      </c>
      <c r="H35" s="4">
        <v>20</v>
      </c>
      <c r="I35" s="4">
        <v>0</v>
      </c>
      <c r="J35" s="4">
        <v>1</v>
      </c>
      <c r="K35" s="4">
        <v>0</v>
      </c>
      <c r="L35" s="4">
        <v>0</v>
      </c>
      <c r="M35" s="4">
        <v>0</v>
      </c>
      <c r="N35" s="4">
        <v>1</v>
      </c>
      <c r="O35" s="4">
        <v>1000</v>
      </c>
    </row>
    <row r="36" spans="1:15" x14ac:dyDescent="0.15">
      <c r="A36" s="4" t="s">
        <v>2662</v>
      </c>
      <c r="C36" s="4" t="s">
        <v>9918</v>
      </c>
      <c r="D36" s="4">
        <v>204</v>
      </c>
      <c r="E36" s="4" t="s">
        <v>9914</v>
      </c>
      <c r="F36" s="4">
        <v>401</v>
      </c>
      <c r="G36" s="4">
        <v>3</v>
      </c>
      <c r="H36" s="4">
        <v>0</v>
      </c>
      <c r="I36" s="4">
        <v>0</v>
      </c>
      <c r="J36" s="4">
        <v>1</v>
      </c>
      <c r="K36" s="4">
        <v>0</v>
      </c>
      <c r="L36" s="4">
        <v>0</v>
      </c>
      <c r="M36" s="4">
        <v>0</v>
      </c>
      <c r="N36" s="4">
        <v>1</v>
      </c>
      <c r="O36" s="4">
        <v>103</v>
      </c>
    </row>
    <row r="37" spans="1:15" x14ac:dyDescent="0.15">
      <c r="A37" s="4" t="s">
        <v>2663</v>
      </c>
      <c r="C37" s="4" t="s">
        <v>10037</v>
      </c>
      <c r="D37" s="4">
        <v>205</v>
      </c>
      <c r="E37" s="4" t="s">
        <v>10040</v>
      </c>
      <c r="F37" s="4">
        <v>401</v>
      </c>
      <c r="G37" s="4">
        <v>10</v>
      </c>
      <c r="H37" s="4">
        <v>20</v>
      </c>
      <c r="I37" s="4">
        <v>0</v>
      </c>
      <c r="J37" s="4">
        <v>0.5</v>
      </c>
      <c r="K37" s="4">
        <v>0</v>
      </c>
      <c r="L37" s="4">
        <v>0</v>
      </c>
      <c r="M37" s="4">
        <v>0</v>
      </c>
      <c r="N37" s="4">
        <v>1</v>
      </c>
      <c r="O37" s="4">
        <v>1000</v>
      </c>
    </row>
    <row r="38" spans="1:15" x14ac:dyDescent="0.15">
      <c r="A38" s="4" t="s">
        <v>2663</v>
      </c>
      <c r="C38" s="4" t="s">
        <v>10039</v>
      </c>
      <c r="D38" s="4">
        <v>206</v>
      </c>
      <c r="E38" s="4" t="s">
        <v>10041</v>
      </c>
      <c r="F38" s="4">
        <v>401</v>
      </c>
      <c r="G38" s="4">
        <v>10</v>
      </c>
      <c r="H38" s="4">
        <v>0</v>
      </c>
      <c r="I38" s="4">
        <v>0</v>
      </c>
      <c r="J38" s="4">
        <v>1</v>
      </c>
      <c r="K38" s="4">
        <v>0</v>
      </c>
      <c r="L38" s="4">
        <v>30</v>
      </c>
      <c r="M38" s="4">
        <v>1</v>
      </c>
      <c r="N38" s="4">
        <v>1</v>
      </c>
      <c r="O38" s="4">
        <v>102</v>
      </c>
    </row>
    <row r="39" spans="1:15" x14ac:dyDescent="0.15">
      <c r="A39" s="4" t="s">
        <v>2663</v>
      </c>
      <c r="C39" s="4" t="s">
        <v>10038</v>
      </c>
      <c r="D39" s="4">
        <v>207</v>
      </c>
      <c r="E39" s="4" t="s">
        <v>10042</v>
      </c>
      <c r="F39" s="4">
        <v>401</v>
      </c>
      <c r="G39" s="4">
        <v>25</v>
      </c>
      <c r="H39" s="4">
        <v>0</v>
      </c>
      <c r="I39" s="4">
        <v>0</v>
      </c>
      <c r="J39" s="4">
        <v>1</v>
      </c>
      <c r="K39" s="4">
        <v>0</v>
      </c>
      <c r="L39" s="4">
        <v>0</v>
      </c>
      <c r="M39" s="4">
        <v>0</v>
      </c>
      <c r="N39" s="4">
        <v>1</v>
      </c>
      <c r="O39" s="4">
        <v>207</v>
      </c>
    </row>
    <row r="55" spans="1:1" x14ac:dyDescent="0.15">
      <c r="A55" s="4" t="s">
        <v>1</v>
      </c>
    </row>
    <row r="56" spans="1:1" x14ac:dyDescent="0.15">
      <c r="A56" s="4" t="s">
        <v>10</v>
      </c>
    </row>
  </sheetData>
  <phoneticPr fontId="7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J32"/>
  <sheetViews>
    <sheetView workbookViewId="0">
      <selection activeCell="J24" sqref="J24"/>
    </sheetView>
  </sheetViews>
  <sheetFormatPr defaultRowHeight="12" x14ac:dyDescent="0.15"/>
  <cols>
    <col min="1" max="1" width="9.625" style="4" customWidth="1"/>
    <col min="2" max="2" width="11.625" style="4" bestFit="1" customWidth="1"/>
    <col min="3" max="3" width="13.125" style="4" bestFit="1" customWidth="1"/>
    <col min="4" max="4" width="4.125" style="4" bestFit="1" customWidth="1"/>
    <col min="5" max="5" width="9" style="4"/>
    <col min="6" max="6" width="13" style="4" customWidth="1"/>
    <col min="7" max="9" width="9" style="4"/>
    <col min="10" max="10" width="21" style="4" customWidth="1"/>
    <col min="11" max="236" width="9" style="4"/>
    <col min="237" max="237" width="9.625" style="4" customWidth="1"/>
    <col min="238" max="238" width="11.5" style="4" customWidth="1"/>
    <col min="239" max="239" width="9" style="4" customWidth="1"/>
    <col min="240" max="240" width="13.375" style="4" customWidth="1"/>
    <col min="241" max="241" width="10.5" style="4" customWidth="1"/>
    <col min="242" max="242" width="12.5" style="4" customWidth="1"/>
    <col min="243" max="243" width="13.75" style="4" customWidth="1"/>
    <col min="244" max="244" width="9" style="4"/>
    <col min="245" max="245" width="12.375" style="4" customWidth="1"/>
    <col min="246" max="247" width="9" style="4"/>
    <col min="248" max="248" width="15.625" style="4" bestFit="1" customWidth="1"/>
    <col min="249" max="249" width="18.875" style="4" customWidth="1"/>
    <col min="250" max="492" width="9" style="4"/>
    <col min="493" max="493" width="9.625" style="4" customWidth="1"/>
    <col min="494" max="494" width="11.5" style="4" customWidth="1"/>
    <col min="495" max="495" width="9" style="4" customWidth="1"/>
    <col min="496" max="496" width="13.375" style="4" customWidth="1"/>
    <col min="497" max="497" width="10.5" style="4" customWidth="1"/>
    <col min="498" max="498" width="12.5" style="4" customWidth="1"/>
    <col min="499" max="499" width="13.75" style="4" customWidth="1"/>
    <col min="500" max="500" width="9" style="4"/>
    <col min="501" max="501" width="12.375" style="4" customWidth="1"/>
    <col min="502" max="503" width="9" style="4"/>
    <col min="504" max="504" width="15.625" style="4" bestFit="1" customWidth="1"/>
    <col min="505" max="505" width="18.875" style="4" customWidth="1"/>
    <col min="506" max="748" width="9" style="4"/>
    <col min="749" max="749" width="9.625" style="4" customWidth="1"/>
    <col min="750" max="750" width="11.5" style="4" customWidth="1"/>
    <col min="751" max="751" width="9" style="4" customWidth="1"/>
    <col min="752" max="752" width="13.375" style="4" customWidth="1"/>
    <col min="753" max="753" width="10.5" style="4" customWidth="1"/>
    <col min="754" max="754" width="12.5" style="4" customWidth="1"/>
    <col min="755" max="755" width="13.75" style="4" customWidth="1"/>
    <col min="756" max="756" width="9" style="4"/>
    <col min="757" max="757" width="12.375" style="4" customWidth="1"/>
    <col min="758" max="759" width="9" style="4"/>
    <col min="760" max="760" width="15.625" style="4" bestFit="1" customWidth="1"/>
    <col min="761" max="761" width="18.875" style="4" customWidth="1"/>
    <col min="762" max="1004" width="9" style="4"/>
    <col min="1005" max="1005" width="9.625" style="4" customWidth="1"/>
    <col min="1006" max="1006" width="11.5" style="4" customWidth="1"/>
    <col min="1007" max="1007" width="9" style="4" customWidth="1"/>
    <col min="1008" max="1008" width="13.375" style="4" customWidth="1"/>
    <col min="1009" max="1009" width="10.5" style="4" customWidth="1"/>
    <col min="1010" max="1010" width="12.5" style="4" customWidth="1"/>
    <col min="1011" max="1011" width="13.75" style="4" customWidth="1"/>
    <col min="1012" max="1012" width="9" style="4"/>
    <col min="1013" max="1013" width="12.375" style="4" customWidth="1"/>
    <col min="1014" max="1015" width="9" style="4"/>
    <col min="1016" max="1016" width="15.625" style="4" bestFit="1" customWidth="1"/>
    <col min="1017" max="1017" width="18.875" style="4" customWidth="1"/>
    <col min="1018" max="1260" width="9" style="4"/>
    <col min="1261" max="1261" width="9.625" style="4" customWidth="1"/>
    <col min="1262" max="1262" width="11.5" style="4" customWidth="1"/>
    <col min="1263" max="1263" width="9" style="4" customWidth="1"/>
    <col min="1264" max="1264" width="13.375" style="4" customWidth="1"/>
    <col min="1265" max="1265" width="10.5" style="4" customWidth="1"/>
    <col min="1266" max="1266" width="12.5" style="4" customWidth="1"/>
    <col min="1267" max="1267" width="13.75" style="4" customWidth="1"/>
    <col min="1268" max="1268" width="9" style="4"/>
    <col min="1269" max="1269" width="12.375" style="4" customWidth="1"/>
    <col min="1270" max="1271" width="9" style="4"/>
    <col min="1272" max="1272" width="15.625" style="4" bestFit="1" customWidth="1"/>
    <col min="1273" max="1273" width="18.875" style="4" customWidth="1"/>
    <col min="1274" max="1516" width="9" style="4"/>
    <col min="1517" max="1517" width="9.625" style="4" customWidth="1"/>
    <col min="1518" max="1518" width="11.5" style="4" customWidth="1"/>
    <col min="1519" max="1519" width="9" style="4" customWidth="1"/>
    <col min="1520" max="1520" width="13.375" style="4" customWidth="1"/>
    <col min="1521" max="1521" width="10.5" style="4" customWidth="1"/>
    <col min="1522" max="1522" width="12.5" style="4" customWidth="1"/>
    <col min="1523" max="1523" width="13.75" style="4" customWidth="1"/>
    <col min="1524" max="1524" width="9" style="4"/>
    <col min="1525" max="1525" width="12.375" style="4" customWidth="1"/>
    <col min="1526" max="1527" width="9" style="4"/>
    <col min="1528" max="1528" width="15.625" style="4" bestFit="1" customWidth="1"/>
    <col min="1529" max="1529" width="18.875" style="4" customWidth="1"/>
    <col min="1530" max="1772" width="9" style="4"/>
    <col min="1773" max="1773" width="9.625" style="4" customWidth="1"/>
    <col min="1774" max="1774" width="11.5" style="4" customWidth="1"/>
    <col min="1775" max="1775" width="9" style="4" customWidth="1"/>
    <col min="1776" max="1776" width="13.375" style="4" customWidth="1"/>
    <col min="1777" max="1777" width="10.5" style="4" customWidth="1"/>
    <col min="1778" max="1778" width="12.5" style="4" customWidth="1"/>
    <col min="1779" max="1779" width="13.75" style="4" customWidth="1"/>
    <col min="1780" max="1780" width="9" style="4"/>
    <col min="1781" max="1781" width="12.375" style="4" customWidth="1"/>
    <col min="1782" max="1783" width="9" style="4"/>
    <col min="1784" max="1784" width="15.625" style="4" bestFit="1" customWidth="1"/>
    <col min="1785" max="1785" width="18.875" style="4" customWidth="1"/>
    <col min="1786" max="2028" width="9" style="4"/>
    <col min="2029" max="2029" width="9.625" style="4" customWidth="1"/>
    <col min="2030" max="2030" width="11.5" style="4" customWidth="1"/>
    <col min="2031" max="2031" width="9" style="4" customWidth="1"/>
    <col min="2032" max="2032" width="13.375" style="4" customWidth="1"/>
    <col min="2033" max="2033" width="10.5" style="4" customWidth="1"/>
    <col min="2034" max="2034" width="12.5" style="4" customWidth="1"/>
    <col min="2035" max="2035" width="13.75" style="4" customWidth="1"/>
    <col min="2036" max="2036" width="9" style="4"/>
    <col min="2037" max="2037" width="12.375" style="4" customWidth="1"/>
    <col min="2038" max="2039" width="9" style="4"/>
    <col min="2040" max="2040" width="15.625" style="4" bestFit="1" customWidth="1"/>
    <col min="2041" max="2041" width="18.875" style="4" customWidth="1"/>
    <col min="2042" max="2284" width="9" style="4"/>
    <col min="2285" max="2285" width="9.625" style="4" customWidth="1"/>
    <col min="2286" max="2286" width="11.5" style="4" customWidth="1"/>
    <col min="2287" max="2287" width="9" style="4" customWidth="1"/>
    <col min="2288" max="2288" width="13.375" style="4" customWidth="1"/>
    <col min="2289" max="2289" width="10.5" style="4" customWidth="1"/>
    <col min="2290" max="2290" width="12.5" style="4" customWidth="1"/>
    <col min="2291" max="2291" width="13.75" style="4" customWidth="1"/>
    <col min="2292" max="2292" width="9" style="4"/>
    <col min="2293" max="2293" width="12.375" style="4" customWidth="1"/>
    <col min="2294" max="2295" width="9" style="4"/>
    <col min="2296" max="2296" width="15.625" style="4" bestFit="1" customWidth="1"/>
    <col min="2297" max="2297" width="18.875" style="4" customWidth="1"/>
    <col min="2298" max="2540" width="9" style="4"/>
    <col min="2541" max="2541" width="9.625" style="4" customWidth="1"/>
    <col min="2542" max="2542" width="11.5" style="4" customWidth="1"/>
    <col min="2543" max="2543" width="9" style="4" customWidth="1"/>
    <col min="2544" max="2544" width="13.375" style="4" customWidth="1"/>
    <col min="2545" max="2545" width="10.5" style="4" customWidth="1"/>
    <col min="2546" max="2546" width="12.5" style="4" customWidth="1"/>
    <col min="2547" max="2547" width="13.75" style="4" customWidth="1"/>
    <col min="2548" max="2548" width="9" style="4"/>
    <col min="2549" max="2549" width="12.375" style="4" customWidth="1"/>
    <col min="2550" max="2551" width="9" style="4"/>
    <col min="2552" max="2552" width="15.625" style="4" bestFit="1" customWidth="1"/>
    <col min="2553" max="2553" width="18.875" style="4" customWidth="1"/>
    <col min="2554" max="2796" width="9" style="4"/>
    <col min="2797" max="2797" width="9.625" style="4" customWidth="1"/>
    <col min="2798" max="2798" width="11.5" style="4" customWidth="1"/>
    <col min="2799" max="2799" width="9" style="4" customWidth="1"/>
    <col min="2800" max="2800" width="13.375" style="4" customWidth="1"/>
    <col min="2801" max="2801" width="10.5" style="4" customWidth="1"/>
    <col min="2802" max="2802" width="12.5" style="4" customWidth="1"/>
    <col min="2803" max="2803" width="13.75" style="4" customWidth="1"/>
    <col min="2804" max="2804" width="9" style="4"/>
    <col min="2805" max="2805" width="12.375" style="4" customWidth="1"/>
    <col min="2806" max="2807" width="9" style="4"/>
    <col min="2808" max="2808" width="15.625" style="4" bestFit="1" customWidth="1"/>
    <col min="2809" max="2809" width="18.875" style="4" customWidth="1"/>
    <col min="2810" max="3052" width="9" style="4"/>
    <col min="3053" max="3053" width="9.625" style="4" customWidth="1"/>
    <col min="3054" max="3054" width="11.5" style="4" customWidth="1"/>
    <col min="3055" max="3055" width="9" style="4" customWidth="1"/>
    <col min="3056" max="3056" width="13.375" style="4" customWidth="1"/>
    <col min="3057" max="3057" width="10.5" style="4" customWidth="1"/>
    <col min="3058" max="3058" width="12.5" style="4" customWidth="1"/>
    <col min="3059" max="3059" width="13.75" style="4" customWidth="1"/>
    <col min="3060" max="3060" width="9" style="4"/>
    <col min="3061" max="3061" width="12.375" style="4" customWidth="1"/>
    <col min="3062" max="3063" width="9" style="4"/>
    <col min="3064" max="3064" width="15.625" style="4" bestFit="1" customWidth="1"/>
    <col min="3065" max="3065" width="18.875" style="4" customWidth="1"/>
    <col min="3066" max="3308" width="9" style="4"/>
    <col min="3309" max="3309" width="9.625" style="4" customWidth="1"/>
    <col min="3310" max="3310" width="11.5" style="4" customWidth="1"/>
    <col min="3311" max="3311" width="9" style="4" customWidth="1"/>
    <col min="3312" max="3312" width="13.375" style="4" customWidth="1"/>
    <col min="3313" max="3313" width="10.5" style="4" customWidth="1"/>
    <col min="3314" max="3314" width="12.5" style="4" customWidth="1"/>
    <col min="3315" max="3315" width="13.75" style="4" customWidth="1"/>
    <col min="3316" max="3316" width="9" style="4"/>
    <col min="3317" max="3317" width="12.375" style="4" customWidth="1"/>
    <col min="3318" max="3319" width="9" style="4"/>
    <col min="3320" max="3320" width="15.625" style="4" bestFit="1" customWidth="1"/>
    <col min="3321" max="3321" width="18.875" style="4" customWidth="1"/>
    <col min="3322" max="3564" width="9" style="4"/>
    <col min="3565" max="3565" width="9.625" style="4" customWidth="1"/>
    <col min="3566" max="3566" width="11.5" style="4" customWidth="1"/>
    <col min="3567" max="3567" width="9" style="4" customWidth="1"/>
    <col min="3568" max="3568" width="13.375" style="4" customWidth="1"/>
    <col min="3569" max="3569" width="10.5" style="4" customWidth="1"/>
    <col min="3570" max="3570" width="12.5" style="4" customWidth="1"/>
    <col min="3571" max="3571" width="13.75" style="4" customWidth="1"/>
    <col min="3572" max="3572" width="9" style="4"/>
    <col min="3573" max="3573" width="12.375" style="4" customWidth="1"/>
    <col min="3574" max="3575" width="9" style="4"/>
    <col min="3576" max="3576" width="15.625" style="4" bestFit="1" customWidth="1"/>
    <col min="3577" max="3577" width="18.875" style="4" customWidth="1"/>
    <col min="3578" max="3820" width="9" style="4"/>
    <col min="3821" max="3821" width="9.625" style="4" customWidth="1"/>
    <col min="3822" max="3822" width="11.5" style="4" customWidth="1"/>
    <col min="3823" max="3823" width="9" style="4" customWidth="1"/>
    <col min="3824" max="3824" width="13.375" style="4" customWidth="1"/>
    <col min="3825" max="3825" width="10.5" style="4" customWidth="1"/>
    <col min="3826" max="3826" width="12.5" style="4" customWidth="1"/>
    <col min="3827" max="3827" width="13.75" style="4" customWidth="1"/>
    <col min="3828" max="3828" width="9" style="4"/>
    <col min="3829" max="3829" width="12.375" style="4" customWidth="1"/>
    <col min="3830" max="3831" width="9" style="4"/>
    <col min="3832" max="3832" width="15.625" style="4" bestFit="1" customWidth="1"/>
    <col min="3833" max="3833" width="18.875" style="4" customWidth="1"/>
    <col min="3834" max="4076" width="9" style="4"/>
    <col min="4077" max="4077" width="9.625" style="4" customWidth="1"/>
    <col min="4078" max="4078" width="11.5" style="4" customWidth="1"/>
    <col min="4079" max="4079" width="9" style="4" customWidth="1"/>
    <col min="4080" max="4080" width="13.375" style="4" customWidth="1"/>
    <col min="4081" max="4081" width="10.5" style="4" customWidth="1"/>
    <col min="4082" max="4082" width="12.5" style="4" customWidth="1"/>
    <col min="4083" max="4083" width="13.75" style="4" customWidth="1"/>
    <col min="4084" max="4084" width="9" style="4"/>
    <col min="4085" max="4085" width="12.375" style="4" customWidth="1"/>
    <col min="4086" max="4087" width="9" style="4"/>
    <col min="4088" max="4088" width="15.625" style="4" bestFit="1" customWidth="1"/>
    <col min="4089" max="4089" width="18.875" style="4" customWidth="1"/>
    <col min="4090" max="4332" width="9" style="4"/>
    <col min="4333" max="4333" width="9.625" style="4" customWidth="1"/>
    <col min="4334" max="4334" width="11.5" style="4" customWidth="1"/>
    <col min="4335" max="4335" width="9" style="4" customWidth="1"/>
    <col min="4336" max="4336" width="13.375" style="4" customWidth="1"/>
    <col min="4337" max="4337" width="10.5" style="4" customWidth="1"/>
    <col min="4338" max="4338" width="12.5" style="4" customWidth="1"/>
    <col min="4339" max="4339" width="13.75" style="4" customWidth="1"/>
    <col min="4340" max="4340" width="9" style="4"/>
    <col min="4341" max="4341" width="12.375" style="4" customWidth="1"/>
    <col min="4342" max="4343" width="9" style="4"/>
    <col min="4344" max="4344" width="15.625" style="4" bestFit="1" customWidth="1"/>
    <col min="4345" max="4345" width="18.875" style="4" customWidth="1"/>
    <col min="4346" max="4588" width="9" style="4"/>
    <col min="4589" max="4589" width="9.625" style="4" customWidth="1"/>
    <col min="4590" max="4590" width="11.5" style="4" customWidth="1"/>
    <col min="4591" max="4591" width="9" style="4" customWidth="1"/>
    <col min="4592" max="4592" width="13.375" style="4" customWidth="1"/>
    <col min="4593" max="4593" width="10.5" style="4" customWidth="1"/>
    <col min="4594" max="4594" width="12.5" style="4" customWidth="1"/>
    <col min="4595" max="4595" width="13.75" style="4" customWidth="1"/>
    <col min="4596" max="4596" width="9" style="4"/>
    <col min="4597" max="4597" width="12.375" style="4" customWidth="1"/>
    <col min="4598" max="4599" width="9" style="4"/>
    <col min="4600" max="4600" width="15.625" style="4" bestFit="1" customWidth="1"/>
    <col min="4601" max="4601" width="18.875" style="4" customWidth="1"/>
    <col min="4602" max="4844" width="9" style="4"/>
    <col min="4845" max="4845" width="9.625" style="4" customWidth="1"/>
    <col min="4846" max="4846" width="11.5" style="4" customWidth="1"/>
    <col min="4847" max="4847" width="9" style="4" customWidth="1"/>
    <col min="4848" max="4848" width="13.375" style="4" customWidth="1"/>
    <col min="4849" max="4849" width="10.5" style="4" customWidth="1"/>
    <col min="4850" max="4850" width="12.5" style="4" customWidth="1"/>
    <col min="4851" max="4851" width="13.75" style="4" customWidth="1"/>
    <col min="4852" max="4852" width="9" style="4"/>
    <col min="4853" max="4853" width="12.375" style="4" customWidth="1"/>
    <col min="4854" max="4855" width="9" style="4"/>
    <col min="4856" max="4856" width="15.625" style="4" bestFit="1" customWidth="1"/>
    <col min="4857" max="4857" width="18.875" style="4" customWidth="1"/>
    <col min="4858" max="5100" width="9" style="4"/>
    <col min="5101" max="5101" width="9.625" style="4" customWidth="1"/>
    <col min="5102" max="5102" width="11.5" style="4" customWidth="1"/>
    <col min="5103" max="5103" width="9" style="4" customWidth="1"/>
    <col min="5104" max="5104" width="13.375" style="4" customWidth="1"/>
    <col min="5105" max="5105" width="10.5" style="4" customWidth="1"/>
    <col min="5106" max="5106" width="12.5" style="4" customWidth="1"/>
    <col min="5107" max="5107" width="13.75" style="4" customWidth="1"/>
    <col min="5108" max="5108" width="9" style="4"/>
    <col min="5109" max="5109" width="12.375" style="4" customWidth="1"/>
    <col min="5110" max="5111" width="9" style="4"/>
    <col min="5112" max="5112" width="15.625" style="4" bestFit="1" customWidth="1"/>
    <col min="5113" max="5113" width="18.875" style="4" customWidth="1"/>
    <col min="5114" max="5356" width="9" style="4"/>
    <col min="5357" max="5357" width="9.625" style="4" customWidth="1"/>
    <col min="5358" max="5358" width="11.5" style="4" customWidth="1"/>
    <col min="5359" max="5359" width="9" style="4" customWidth="1"/>
    <col min="5360" max="5360" width="13.375" style="4" customWidth="1"/>
    <col min="5361" max="5361" width="10.5" style="4" customWidth="1"/>
    <col min="5362" max="5362" width="12.5" style="4" customWidth="1"/>
    <col min="5363" max="5363" width="13.75" style="4" customWidth="1"/>
    <col min="5364" max="5364" width="9" style="4"/>
    <col min="5365" max="5365" width="12.375" style="4" customWidth="1"/>
    <col min="5366" max="5367" width="9" style="4"/>
    <col min="5368" max="5368" width="15.625" style="4" bestFit="1" customWidth="1"/>
    <col min="5369" max="5369" width="18.875" style="4" customWidth="1"/>
    <col min="5370" max="5612" width="9" style="4"/>
    <col min="5613" max="5613" width="9.625" style="4" customWidth="1"/>
    <col min="5614" max="5614" width="11.5" style="4" customWidth="1"/>
    <col min="5615" max="5615" width="9" style="4" customWidth="1"/>
    <col min="5616" max="5616" width="13.375" style="4" customWidth="1"/>
    <col min="5617" max="5617" width="10.5" style="4" customWidth="1"/>
    <col min="5618" max="5618" width="12.5" style="4" customWidth="1"/>
    <col min="5619" max="5619" width="13.75" style="4" customWidth="1"/>
    <col min="5620" max="5620" width="9" style="4"/>
    <col min="5621" max="5621" width="12.375" style="4" customWidth="1"/>
    <col min="5622" max="5623" width="9" style="4"/>
    <col min="5624" max="5624" width="15.625" style="4" bestFit="1" customWidth="1"/>
    <col min="5625" max="5625" width="18.875" style="4" customWidth="1"/>
    <col min="5626" max="5868" width="9" style="4"/>
    <col min="5869" max="5869" width="9.625" style="4" customWidth="1"/>
    <col min="5870" max="5870" width="11.5" style="4" customWidth="1"/>
    <col min="5871" max="5871" width="9" style="4" customWidth="1"/>
    <col min="5872" max="5872" width="13.375" style="4" customWidth="1"/>
    <col min="5873" max="5873" width="10.5" style="4" customWidth="1"/>
    <col min="5874" max="5874" width="12.5" style="4" customWidth="1"/>
    <col min="5875" max="5875" width="13.75" style="4" customWidth="1"/>
    <col min="5876" max="5876" width="9" style="4"/>
    <col min="5877" max="5877" width="12.375" style="4" customWidth="1"/>
    <col min="5878" max="5879" width="9" style="4"/>
    <col min="5880" max="5880" width="15.625" style="4" bestFit="1" customWidth="1"/>
    <col min="5881" max="5881" width="18.875" style="4" customWidth="1"/>
    <col min="5882" max="6124" width="9" style="4"/>
    <col min="6125" max="6125" width="9.625" style="4" customWidth="1"/>
    <col min="6126" max="6126" width="11.5" style="4" customWidth="1"/>
    <col min="6127" max="6127" width="9" style="4" customWidth="1"/>
    <col min="6128" max="6128" width="13.375" style="4" customWidth="1"/>
    <col min="6129" max="6129" width="10.5" style="4" customWidth="1"/>
    <col min="6130" max="6130" width="12.5" style="4" customWidth="1"/>
    <col min="6131" max="6131" width="13.75" style="4" customWidth="1"/>
    <col min="6132" max="6132" width="9" style="4"/>
    <col min="6133" max="6133" width="12.375" style="4" customWidth="1"/>
    <col min="6134" max="6135" width="9" style="4"/>
    <col min="6136" max="6136" width="15.625" style="4" bestFit="1" customWidth="1"/>
    <col min="6137" max="6137" width="18.875" style="4" customWidth="1"/>
    <col min="6138" max="6380" width="9" style="4"/>
    <col min="6381" max="6381" width="9.625" style="4" customWidth="1"/>
    <col min="6382" max="6382" width="11.5" style="4" customWidth="1"/>
    <col min="6383" max="6383" width="9" style="4" customWidth="1"/>
    <col min="6384" max="6384" width="13.375" style="4" customWidth="1"/>
    <col min="6385" max="6385" width="10.5" style="4" customWidth="1"/>
    <col min="6386" max="6386" width="12.5" style="4" customWidth="1"/>
    <col min="6387" max="6387" width="13.75" style="4" customWidth="1"/>
    <col min="6388" max="6388" width="9" style="4"/>
    <col min="6389" max="6389" width="12.375" style="4" customWidth="1"/>
    <col min="6390" max="6391" width="9" style="4"/>
    <col min="6392" max="6392" width="15.625" style="4" bestFit="1" customWidth="1"/>
    <col min="6393" max="6393" width="18.875" style="4" customWidth="1"/>
    <col min="6394" max="6636" width="9" style="4"/>
    <col min="6637" max="6637" width="9.625" style="4" customWidth="1"/>
    <col min="6638" max="6638" width="11.5" style="4" customWidth="1"/>
    <col min="6639" max="6639" width="9" style="4" customWidth="1"/>
    <col min="6640" max="6640" width="13.375" style="4" customWidth="1"/>
    <col min="6641" max="6641" width="10.5" style="4" customWidth="1"/>
    <col min="6642" max="6642" width="12.5" style="4" customWidth="1"/>
    <col min="6643" max="6643" width="13.75" style="4" customWidth="1"/>
    <col min="6644" max="6644" width="9" style="4"/>
    <col min="6645" max="6645" width="12.375" style="4" customWidth="1"/>
    <col min="6646" max="6647" width="9" style="4"/>
    <col min="6648" max="6648" width="15.625" style="4" bestFit="1" customWidth="1"/>
    <col min="6649" max="6649" width="18.875" style="4" customWidth="1"/>
    <col min="6650" max="6892" width="9" style="4"/>
    <col min="6893" max="6893" width="9.625" style="4" customWidth="1"/>
    <col min="6894" max="6894" width="11.5" style="4" customWidth="1"/>
    <col min="6895" max="6895" width="9" style="4" customWidth="1"/>
    <col min="6896" max="6896" width="13.375" style="4" customWidth="1"/>
    <col min="6897" max="6897" width="10.5" style="4" customWidth="1"/>
    <col min="6898" max="6898" width="12.5" style="4" customWidth="1"/>
    <col min="6899" max="6899" width="13.75" style="4" customWidth="1"/>
    <col min="6900" max="6900" width="9" style="4"/>
    <col min="6901" max="6901" width="12.375" style="4" customWidth="1"/>
    <col min="6902" max="6903" width="9" style="4"/>
    <col min="6904" max="6904" width="15.625" style="4" bestFit="1" customWidth="1"/>
    <col min="6905" max="6905" width="18.875" style="4" customWidth="1"/>
    <col min="6906" max="7148" width="9" style="4"/>
    <col min="7149" max="7149" width="9.625" style="4" customWidth="1"/>
    <col min="7150" max="7150" width="11.5" style="4" customWidth="1"/>
    <col min="7151" max="7151" width="9" style="4" customWidth="1"/>
    <col min="7152" max="7152" width="13.375" style="4" customWidth="1"/>
    <col min="7153" max="7153" width="10.5" style="4" customWidth="1"/>
    <col min="7154" max="7154" width="12.5" style="4" customWidth="1"/>
    <col min="7155" max="7155" width="13.75" style="4" customWidth="1"/>
    <col min="7156" max="7156" width="9" style="4"/>
    <col min="7157" max="7157" width="12.375" style="4" customWidth="1"/>
    <col min="7158" max="7159" width="9" style="4"/>
    <col min="7160" max="7160" width="15.625" style="4" bestFit="1" customWidth="1"/>
    <col min="7161" max="7161" width="18.875" style="4" customWidth="1"/>
    <col min="7162" max="7404" width="9" style="4"/>
    <col min="7405" max="7405" width="9.625" style="4" customWidth="1"/>
    <col min="7406" max="7406" width="11.5" style="4" customWidth="1"/>
    <col min="7407" max="7407" width="9" style="4" customWidth="1"/>
    <col min="7408" max="7408" width="13.375" style="4" customWidth="1"/>
    <col min="7409" max="7409" width="10.5" style="4" customWidth="1"/>
    <col min="7410" max="7410" width="12.5" style="4" customWidth="1"/>
    <col min="7411" max="7411" width="13.75" style="4" customWidth="1"/>
    <col min="7412" max="7412" width="9" style="4"/>
    <col min="7413" max="7413" width="12.375" style="4" customWidth="1"/>
    <col min="7414" max="7415" width="9" style="4"/>
    <col min="7416" max="7416" width="15.625" style="4" bestFit="1" customWidth="1"/>
    <col min="7417" max="7417" width="18.875" style="4" customWidth="1"/>
    <col min="7418" max="7660" width="9" style="4"/>
    <col min="7661" max="7661" width="9.625" style="4" customWidth="1"/>
    <col min="7662" max="7662" width="11.5" style="4" customWidth="1"/>
    <col min="7663" max="7663" width="9" style="4" customWidth="1"/>
    <col min="7664" max="7664" width="13.375" style="4" customWidth="1"/>
    <col min="7665" max="7665" width="10.5" style="4" customWidth="1"/>
    <col min="7666" max="7666" width="12.5" style="4" customWidth="1"/>
    <col min="7667" max="7667" width="13.75" style="4" customWidth="1"/>
    <col min="7668" max="7668" width="9" style="4"/>
    <col min="7669" max="7669" width="12.375" style="4" customWidth="1"/>
    <col min="7670" max="7671" width="9" style="4"/>
    <col min="7672" max="7672" width="15.625" style="4" bestFit="1" customWidth="1"/>
    <col min="7673" max="7673" width="18.875" style="4" customWidth="1"/>
    <col min="7674" max="7916" width="9" style="4"/>
    <col min="7917" max="7917" width="9.625" style="4" customWidth="1"/>
    <col min="7918" max="7918" width="11.5" style="4" customWidth="1"/>
    <col min="7919" max="7919" width="9" style="4" customWidth="1"/>
    <col min="7920" max="7920" width="13.375" style="4" customWidth="1"/>
    <col min="7921" max="7921" width="10.5" style="4" customWidth="1"/>
    <col min="7922" max="7922" width="12.5" style="4" customWidth="1"/>
    <col min="7923" max="7923" width="13.75" style="4" customWidth="1"/>
    <col min="7924" max="7924" width="9" style="4"/>
    <col min="7925" max="7925" width="12.375" style="4" customWidth="1"/>
    <col min="7926" max="7927" width="9" style="4"/>
    <col min="7928" max="7928" width="15.625" style="4" bestFit="1" customWidth="1"/>
    <col min="7929" max="7929" width="18.875" style="4" customWidth="1"/>
    <col min="7930" max="8172" width="9" style="4"/>
    <col min="8173" max="8173" width="9.625" style="4" customWidth="1"/>
    <col min="8174" max="8174" width="11.5" style="4" customWidth="1"/>
    <col min="8175" max="8175" width="9" style="4" customWidth="1"/>
    <col min="8176" max="8176" width="13.375" style="4" customWidth="1"/>
    <col min="8177" max="8177" width="10.5" style="4" customWidth="1"/>
    <col min="8178" max="8178" width="12.5" style="4" customWidth="1"/>
    <col min="8179" max="8179" width="13.75" style="4" customWidth="1"/>
    <col min="8180" max="8180" width="9" style="4"/>
    <col min="8181" max="8181" width="12.375" style="4" customWidth="1"/>
    <col min="8182" max="8183" width="9" style="4"/>
    <col min="8184" max="8184" width="15.625" style="4" bestFit="1" customWidth="1"/>
    <col min="8185" max="8185" width="18.875" style="4" customWidth="1"/>
    <col min="8186" max="8428" width="9" style="4"/>
    <col min="8429" max="8429" width="9.625" style="4" customWidth="1"/>
    <col min="8430" max="8430" width="11.5" style="4" customWidth="1"/>
    <col min="8431" max="8431" width="9" style="4" customWidth="1"/>
    <col min="8432" max="8432" width="13.375" style="4" customWidth="1"/>
    <col min="8433" max="8433" width="10.5" style="4" customWidth="1"/>
    <col min="8434" max="8434" width="12.5" style="4" customWidth="1"/>
    <col min="8435" max="8435" width="13.75" style="4" customWidth="1"/>
    <col min="8436" max="8436" width="9" style="4"/>
    <col min="8437" max="8437" width="12.375" style="4" customWidth="1"/>
    <col min="8438" max="8439" width="9" style="4"/>
    <col min="8440" max="8440" width="15.625" style="4" bestFit="1" customWidth="1"/>
    <col min="8441" max="8441" width="18.875" style="4" customWidth="1"/>
    <col min="8442" max="8684" width="9" style="4"/>
    <col min="8685" max="8685" width="9.625" style="4" customWidth="1"/>
    <col min="8686" max="8686" width="11.5" style="4" customWidth="1"/>
    <col min="8687" max="8687" width="9" style="4" customWidth="1"/>
    <col min="8688" max="8688" width="13.375" style="4" customWidth="1"/>
    <col min="8689" max="8689" width="10.5" style="4" customWidth="1"/>
    <col min="8690" max="8690" width="12.5" style="4" customWidth="1"/>
    <col min="8691" max="8691" width="13.75" style="4" customWidth="1"/>
    <col min="8692" max="8692" width="9" style="4"/>
    <col min="8693" max="8693" width="12.375" style="4" customWidth="1"/>
    <col min="8694" max="8695" width="9" style="4"/>
    <col min="8696" max="8696" width="15.625" style="4" bestFit="1" customWidth="1"/>
    <col min="8697" max="8697" width="18.875" style="4" customWidth="1"/>
    <col min="8698" max="8940" width="9" style="4"/>
    <col min="8941" max="8941" width="9.625" style="4" customWidth="1"/>
    <col min="8942" max="8942" width="11.5" style="4" customWidth="1"/>
    <col min="8943" max="8943" width="9" style="4" customWidth="1"/>
    <col min="8944" max="8944" width="13.375" style="4" customWidth="1"/>
    <col min="8945" max="8945" width="10.5" style="4" customWidth="1"/>
    <col min="8946" max="8946" width="12.5" style="4" customWidth="1"/>
    <col min="8947" max="8947" width="13.75" style="4" customWidth="1"/>
    <col min="8948" max="8948" width="9" style="4"/>
    <col min="8949" max="8949" width="12.375" style="4" customWidth="1"/>
    <col min="8950" max="8951" width="9" style="4"/>
    <col min="8952" max="8952" width="15.625" style="4" bestFit="1" customWidth="1"/>
    <col min="8953" max="8953" width="18.875" style="4" customWidth="1"/>
    <col min="8954" max="9196" width="9" style="4"/>
    <col min="9197" max="9197" width="9.625" style="4" customWidth="1"/>
    <col min="9198" max="9198" width="11.5" style="4" customWidth="1"/>
    <col min="9199" max="9199" width="9" style="4" customWidth="1"/>
    <col min="9200" max="9200" width="13.375" style="4" customWidth="1"/>
    <col min="9201" max="9201" width="10.5" style="4" customWidth="1"/>
    <col min="9202" max="9202" width="12.5" style="4" customWidth="1"/>
    <col min="9203" max="9203" width="13.75" style="4" customWidth="1"/>
    <col min="9204" max="9204" width="9" style="4"/>
    <col min="9205" max="9205" width="12.375" style="4" customWidth="1"/>
    <col min="9206" max="9207" width="9" style="4"/>
    <col min="9208" max="9208" width="15.625" style="4" bestFit="1" customWidth="1"/>
    <col min="9209" max="9209" width="18.875" style="4" customWidth="1"/>
    <col min="9210" max="9452" width="9" style="4"/>
    <col min="9453" max="9453" width="9.625" style="4" customWidth="1"/>
    <col min="9454" max="9454" width="11.5" style="4" customWidth="1"/>
    <col min="9455" max="9455" width="9" style="4" customWidth="1"/>
    <col min="9456" max="9456" width="13.375" style="4" customWidth="1"/>
    <col min="9457" max="9457" width="10.5" style="4" customWidth="1"/>
    <col min="9458" max="9458" width="12.5" style="4" customWidth="1"/>
    <col min="9459" max="9459" width="13.75" style="4" customWidth="1"/>
    <col min="9460" max="9460" width="9" style="4"/>
    <col min="9461" max="9461" width="12.375" style="4" customWidth="1"/>
    <col min="9462" max="9463" width="9" style="4"/>
    <col min="9464" max="9464" width="15.625" style="4" bestFit="1" customWidth="1"/>
    <col min="9465" max="9465" width="18.875" style="4" customWidth="1"/>
    <col min="9466" max="9708" width="9" style="4"/>
    <col min="9709" max="9709" width="9.625" style="4" customWidth="1"/>
    <col min="9710" max="9710" width="11.5" style="4" customWidth="1"/>
    <col min="9711" max="9711" width="9" style="4" customWidth="1"/>
    <col min="9712" max="9712" width="13.375" style="4" customWidth="1"/>
    <col min="9713" max="9713" width="10.5" style="4" customWidth="1"/>
    <col min="9714" max="9714" width="12.5" style="4" customWidth="1"/>
    <col min="9715" max="9715" width="13.75" style="4" customWidth="1"/>
    <col min="9716" max="9716" width="9" style="4"/>
    <col min="9717" max="9717" width="12.375" style="4" customWidth="1"/>
    <col min="9718" max="9719" width="9" style="4"/>
    <col min="9720" max="9720" width="15.625" style="4" bestFit="1" customWidth="1"/>
    <col min="9721" max="9721" width="18.875" style="4" customWidth="1"/>
    <col min="9722" max="9964" width="9" style="4"/>
    <col min="9965" max="9965" width="9.625" style="4" customWidth="1"/>
    <col min="9966" max="9966" width="11.5" style="4" customWidth="1"/>
    <col min="9967" max="9967" width="9" style="4" customWidth="1"/>
    <col min="9968" max="9968" width="13.375" style="4" customWidth="1"/>
    <col min="9969" max="9969" width="10.5" style="4" customWidth="1"/>
    <col min="9970" max="9970" width="12.5" style="4" customWidth="1"/>
    <col min="9971" max="9971" width="13.75" style="4" customWidth="1"/>
    <col min="9972" max="9972" width="9" style="4"/>
    <col min="9973" max="9973" width="12.375" style="4" customWidth="1"/>
    <col min="9974" max="9975" width="9" style="4"/>
    <col min="9976" max="9976" width="15.625" style="4" bestFit="1" customWidth="1"/>
    <col min="9977" max="9977" width="18.875" style="4" customWidth="1"/>
    <col min="9978" max="10220" width="9" style="4"/>
    <col min="10221" max="10221" width="9.625" style="4" customWidth="1"/>
    <col min="10222" max="10222" width="11.5" style="4" customWidth="1"/>
    <col min="10223" max="10223" width="9" style="4" customWidth="1"/>
    <col min="10224" max="10224" width="13.375" style="4" customWidth="1"/>
    <col min="10225" max="10225" width="10.5" style="4" customWidth="1"/>
    <col min="10226" max="10226" width="12.5" style="4" customWidth="1"/>
    <col min="10227" max="10227" width="13.75" style="4" customWidth="1"/>
    <col min="10228" max="10228" width="9" style="4"/>
    <col min="10229" max="10229" width="12.375" style="4" customWidth="1"/>
    <col min="10230" max="10231" width="9" style="4"/>
    <col min="10232" max="10232" width="15.625" style="4" bestFit="1" customWidth="1"/>
    <col min="10233" max="10233" width="18.875" style="4" customWidth="1"/>
    <col min="10234" max="10476" width="9" style="4"/>
    <col min="10477" max="10477" width="9.625" style="4" customWidth="1"/>
    <col min="10478" max="10478" width="11.5" style="4" customWidth="1"/>
    <col min="10479" max="10479" width="9" style="4" customWidth="1"/>
    <col min="10480" max="10480" width="13.375" style="4" customWidth="1"/>
    <col min="10481" max="10481" width="10.5" style="4" customWidth="1"/>
    <col min="10482" max="10482" width="12.5" style="4" customWidth="1"/>
    <col min="10483" max="10483" width="13.75" style="4" customWidth="1"/>
    <col min="10484" max="10484" width="9" style="4"/>
    <col min="10485" max="10485" width="12.375" style="4" customWidth="1"/>
    <col min="10486" max="10487" width="9" style="4"/>
    <col min="10488" max="10488" width="15.625" style="4" bestFit="1" customWidth="1"/>
    <col min="10489" max="10489" width="18.875" style="4" customWidth="1"/>
    <col min="10490" max="10732" width="9" style="4"/>
    <col min="10733" max="10733" width="9.625" style="4" customWidth="1"/>
    <col min="10734" max="10734" width="11.5" style="4" customWidth="1"/>
    <col min="10735" max="10735" width="9" style="4" customWidth="1"/>
    <col min="10736" max="10736" width="13.375" style="4" customWidth="1"/>
    <col min="10737" max="10737" width="10.5" style="4" customWidth="1"/>
    <col min="10738" max="10738" width="12.5" style="4" customWidth="1"/>
    <col min="10739" max="10739" width="13.75" style="4" customWidth="1"/>
    <col min="10740" max="10740" width="9" style="4"/>
    <col min="10741" max="10741" width="12.375" style="4" customWidth="1"/>
    <col min="10742" max="10743" width="9" style="4"/>
    <col min="10744" max="10744" width="15.625" style="4" bestFit="1" customWidth="1"/>
    <col min="10745" max="10745" width="18.875" style="4" customWidth="1"/>
    <col min="10746" max="10988" width="9" style="4"/>
    <col min="10989" max="10989" width="9.625" style="4" customWidth="1"/>
    <col min="10990" max="10990" width="11.5" style="4" customWidth="1"/>
    <col min="10991" max="10991" width="9" style="4" customWidth="1"/>
    <col min="10992" max="10992" width="13.375" style="4" customWidth="1"/>
    <col min="10993" max="10993" width="10.5" style="4" customWidth="1"/>
    <col min="10994" max="10994" width="12.5" style="4" customWidth="1"/>
    <col min="10995" max="10995" width="13.75" style="4" customWidth="1"/>
    <col min="10996" max="10996" width="9" style="4"/>
    <col min="10997" max="10997" width="12.375" style="4" customWidth="1"/>
    <col min="10998" max="10999" width="9" style="4"/>
    <col min="11000" max="11000" width="15.625" style="4" bestFit="1" customWidth="1"/>
    <col min="11001" max="11001" width="18.875" style="4" customWidth="1"/>
    <col min="11002" max="11244" width="9" style="4"/>
    <col min="11245" max="11245" width="9.625" style="4" customWidth="1"/>
    <col min="11246" max="11246" width="11.5" style="4" customWidth="1"/>
    <col min="11247" max="11247" width="9" style="4" customWidth="1"/>
    <col min="11248" max="11248" width="13.375" style="4" customWidth="1"/>
    <col min="11249" max="11249" width="10.5" style="4" customWidth="1"/>
    <col min="11250" max="11250" width="12.5" style="4" customWidth="1"/>
    <col min="11251" max="11251" width="13.75" style="4" customWidth="1"/>
    <col min="11252" max="11252" width="9" style="4"/>
    <col min="11253" max="11253" width="12.375" style="4" customWidth="1"/>
    <col min="11254" max="11255" width="9" style="4"/>
    <col min="11256" max="11256" width="15.625" style="4" bestFit="1" customWidth="1"/>
    <col min="11257" max="11257" width="18.875" style="4" customWidth="1"/>
    <col min="11258" max="11500" width="9" style="4"/>
    <col min="11501" max="11501" width="9.625" style="4" customWidth="1"/>
    <col min="11502" max="11502" width="11.5" style="4" customWidth="1"/>
    <col min="11503" max="11503" width="9" style="4" customWidth="1"/>
    <col min="11504" max="11504" width="13.375" style="4" customWidth="1"/>
    <col min="11505" max="11505" width="10.5" style="4" customWidth="1"/>
    <col min="11506" max="11506" width="12.5" style="4" customWidth="1"/>
    <col min="11507" max="11507" width="13.75" style="4" customWidth="1"/>
    <col min="11508" max="11508" width="9" style="4"/>
    <col min="11509" max="11509" width="12.375" style="4" customWidth="1"/>
    <col min="11510" max="11511" width="9" style="4"/>
    <col min="11512" max="11512" width="15.625" style="4" bestFit="1" customWidth="1"/>
    <col min="11513" max="11513" width="18.875" style="4" customWidth="1"/>
    <col min="11514" max="11756" width="9" style="4"/>
    <col min="11757" max="11757" width="9.625" style="4" customWidth="1"/>
    <col min="11758" max="11758" width="11.5" style="4" customWidth="1"/>
    <col min="11759" max="11759" width="9" style="4" customWidth="1"/>
    <col min="11760" max="11760" width="13.375" style="4" customWidth="1"/>
    <col min="11761" max="11761" width="10.5" style="4" customWidth="1"/>
    <col min="11762" max="11762" width="12.5" style="4" customWidth="1"/>
    <col min="11763" max="11763" width="13.75" style="4" customWidth="1"/>
    <col min="11764" max="11764" width="9" style="4"/>
    <col min="11765" max="11765" width="12.375" style="4" customWidth="1"/>
    <col min="11766" max="11767" width="9" style="4"/>
    <col min="11768" max="11768" width="15.625" style="4" bestFit="1" customWidth="1"/>
    <col min="11769" max="11769" width="18.875" style="4" customWidth="1"/>
    <col min="11770" max="12012" width="9" style="4"/>
    <col min="12013" max="12013" width="9.625" style="4" customWidth="1"/>
    <col min="12014" max="12014" width="11.5" style="4" customWidth="1"/>
    <col min="12015" max="12015" width="9" style="4" customWidth="1"/>
    <col min="12016" max="12016" width="13.375" style="4" customWidth="1"/>
    <col min="12017" max="12017" width="10.5" style="4" customWidth="1"/>
    <col min="12018" max="12018" width="12.5" style="4" customWidth="1"/>
    <col min="12019" max="12019" width="13.75" style="4" customWidth="1"/>
    <col min="12020" max="12020" width="9" style="4"/>
    <col min="12021" max="12021" width="12.375" style="4" customWidth="1"/>
    <col min="12022" max="12023" width="9" style="4"/>
    <col min="12024" max="12024" width="15.625" style="4" bestFit="1" customWidth="1"/>
    <col min="12025" max="12025" width="18.875" style="4" customWidth="1"/>
    <col min="12026" max="12268" width="9" style="4"/>
    <col min="12269" max="12269" width="9.625" style="4" customWidth="1"/>
    <col min="12270" max="12270" width="11.5" style="4" customWidth="1"/>
    <col min="12271" max="12271" width="9" style="4" customWidth="1"/>
    <col min="12272" max="12272" width="13.375" style="4" customWidth="1"/>
    <col min="12273" max="12273" width="10.5" style="4" customWidth="1"/>
    <col min="12274" max="12274" width="12.5" style="4" customWidth="1"/>
    <col min="12275" max="12275" width="13.75" style="4" customWidth="1"/>
    <col min="12276" max="12276" width="9" style="4"/>
    <col min="12277" max="12277" width="12.375" style="4" customWidth="1"/>
    <col min="12278" max="12279" width="9" style="4"/>
    <col min="12280" max="12280" width="15.625" style="4" bestFit="1" customWidth="1"/>
    <col min="12281" max="12281" width="18.875" style="4" customWidth="1"/>
    <col min="12282" max="12524" width="9" style="4"/>
    <col min="12525" max="12525" width="9.625" style="4" customWidth="1"/>
    <col min="12526" max="12526" width="11.5" style="4" customWidth="1"/>
    <col min="12527" max="12527" width="9" style="4" customWidth="1"/>
    <col min="12528" max="12528" width="13.375" style="4" customWidth="1"/>
    <col min="12529" max="12529" width="10.5" style="4" customWidth="1"/>
    <col min="12530" max="12530" width="12.5" style="4" customWidth="1"/>
    <col min="12531" max="12531" width="13.75" style="4" customWidth="1"/>
    <col min="12532" max="12532" width="9" style="4"/>
    <col min="12533" max="12533" width="12.375" style="4" customWidth="1"/>
    <col min="12534" max="12535" width="9" style="4"/>
    <col min="12536" max="12536" width="15.625" style="4" bestFit="1" customWidth="1"/>
    <col min="12537" max="12537" width="18.875" style="4" customWidth="1"/>
    <col min="12538" max="12780" width="9" style="4"/>
    <col min="12781" max="12781" width="9.625" style="4" customWidth="1"/>
    <col min="12782" max="12782" width="11.5" style="4" customWidth="1"/>
    <col min="12783" max="12783" width="9" style="4" customWidth="1"/>
    <col min="12784" max="12784" width="13.375" style="4" customWidth="1"/>
    <col min="12785" max="12785" width="10.5" style="4" customWidth="1"/>
    <col min="12786" max="12786" width="12.5" style="4" customWidth="1"/>
    <col min="12787" max="12787" width="13.75" style="4" customWidth="1"/>
    <col min="12788" max="12788" width="9" style="4"/>
    <col min="12789" max="12789" width="12.375" style="4" customWidth="1"/>
    <col min="12790" max="12791" width="9" style="4"/>
    <col min="12792" max="12792" width="15.625" style="4" bestFit="1" customWidth="1"/>
    <col min="12793" max="12793" width="18.875" style="4" customWidth="1"/>
    <col min="12794" max="13036" width="9" style="4"/>
    <col min="13037" max="13037" width="9.625" style="4" customWidth="1"/>
    <col min="13038" max="13038" width="11.5" style="4" customWidth="1"/>
    <col min="13039" max="13039" width="9" style="4" customWidth="1"/>
    <col min="13040" max="13040" width="13.375" style="4" customWidth="1"/>
    <col min="13041" max="13041" width="10.5" style="4" customWidth="1"/>
    <col min="13042" max="13042" width="12.5" style="4" customWidth="1"/>
    <col min="13043" max="13043" width="13.75" style="4" customWidth="1"/>
    <col min="13044" max="13044" width="9" style="4"/>
    <col min="13045" max="13045" width="12.375" style="4" customWidth="1"/>
    <col min="13046" max="13047" width="9" style="4"/>
    <col min="13048" max="13048" width="15.625" style="4" bestFit="1" customWidth="1"/>
    <col min="13049" max="13049" width="18.875" style="4" customWidth="1"/>
    <col min="13050" max="13292" width="9" style="4"/>
    <col min="13293" max="13293" width="9.625" style="4" customWidth="1"/>
    <col min="13294" max="13294" width="11.5" style="4" customWidth="1"/>
    <col min="13295" max="13295" width="9" style="4" customWidth="1"/>
    <col min="13296" max="13296" width="13.375" style="4" customWidth="1"/>
    <col min="13297" max="13297" width="10.5" style="4" customWidth="1"/>
    <col min="13298" max="13298" width="12.5" style="4" customWidth="1"/>
    <col min="13299" max="13299" width="13.75" style="4" customWidth="1"/>
    <col min="13300" max="13300" width="9" style="4"/>
    <col min="13301" max="13301" width="12.375" style="4" customWidth="1"/>
    <col min="13302" max="13303" width="9" style="4"/>
    <col min="13304" max="13304" width="15.625" style="4" bestFit="1" customWidth="1"/>
    <col min="13305" max="13305" width="18.875" style="4" customWidth="1"/>
    <col min="13306" max="13548" width="9" style="4"/>
    <col min="13549" max="13549" width="9.625" style="4" customWidth="1"/>
    <col min="13550" max="13550" width="11.5" style="4" customWidth="1"/>
    <col min="13551" max="13551" width="9" style="4" customWidth="1"/>
    <col min="13552" max="13552" width="13.375" style="4" customWidth="1"/>
    <col min="13553" max="13553" width="10.5" style="4" customWidth="1"/>
    <col min="13554" max="13554" width="12.5" style="4" customWidth="1"/>
    <col min="13555" max="13555" width="13.75" style="4" customWidth="1"/>
    <col min="13556" max="13556" width="9" style="4"/>
    <col min="13557" max="13557" width="12.375" style="4" customWidth="1"/>
    <col min="13558" max="13559" width="9" style="4"/>
    <col min="13560" max="13560" width="15.625" style="4" bestFit="1" customWidth="1"/>
    <col min="13561" max="13561" width="18.875" style="4" customWidth="1"/>
    <col min="13562" max="13804" width="9" style="4"/>
    <col min="13805" max="13805" width="9.625" style="4" customWidth="1"/>
    <col min="13806" max="13806" width="11.5" style="4" customWidth="1"/>
    <col min="13807" max="13807" width="9" style="4" customWidth="1"/>
    <col min="13808" max="13808" width="13.375" style="4" customWidth="1"/>
    <col min="13809" max="13809" width="10.5" style="4" customWidth="1"/>
    <col min="13810" max="13810" width="12.5" style="4" customWidth="1"/>
    <col min="13811" max="13811" width="13.75" style="4" customWidth="1"/>
    <col min="13812" max="13812" width="9" style="4"/>
    <col min="13813" max="13813" width="12.375" style="4" customWidth="1"/>
    <col min="13814" max="13815" width="9" style="4"/>
    <col min="13816" max="13816" width="15.625" style="4" bestFit="1" customWidth="1"/>
    <col min="13817" max="13817" width="18.875" style="4" customWidth="1"/>
    <col min="13818" max="14060" width="9" style="4"/>
    <col min="14061" max="14061" width="9.625" style="4" customWidth="1"/>
    <col min="14062" max="14062" width="11.5" style="4" customWidth="1"/>
    <col min="14063" max="14063" width="9" style="4" customWidth="1"/>
    <col min="14064" max="14064" width="13.375" style="4" customWidth="1"/>
    <col min="14065" max="14065" width="10.5" style="4" customWidth="1"/>
    <col min="14066" max="14066" width="12.5" style="4" customWidth="1"/>
    <col min="14067" max="14067" width="13.75" style="4" customWidth="1"/>
    <col min="14068" max="14068" width="9" style="4"/>
    <col min="14069" max="14069" width="12.375" style="4" customWidth="1"/>
    <col min="14070" max="14071" width="9" style="4"/>
    <col min="14072" max="14072" width="15.625" style="4" bestFit="1" customWidth="1"/>
    <col min="14073" max="14073" width="18.875" style="4" customWidth="1"/>
    <col min="14074" max="14316" width="9" style="4"/>
    <col min="14317" max="14317" width="9.625" style="4" customWidth="1"/>
    <col min="14318" max="14318" width="11.5" style="4" customWidth="1"/>
    <col min="14319" max="14319" width="9" style="4" customWidth="1"/>
    <col min="14320" max="14320" width="13.375" style="4" customWidth="1"/>
    <col min="14321" max="14321" width="10.5" style="4" customWidth="1"/>
    <col min="14322" max="14322" width="12.5" style="4" customWidth="1"/>
    <col min="14323" max="14323" width="13.75" style="4" customWidth="1"/>
    <col min="14324" max="14324" width="9" style="4"/>
    <col min="14325" max="14325" width="12.375" style="4" customWidth="1"/>
    <col min="14326" max="14327" width="9" style="4"/>
    <col min="14328" max="14328" width="15.625" style="4" bestFit="1" customWidth="1"/>
    <col min="14329" max="14329" width="18.875" style="4" customWidth="1"/>
    <col min="14330" max="14572" width="9" style="4"/>
    <col min="14573" max="14573" width="9.625" style="4" customWidth="1"/>
    <col min="14574" max="14574" width="11.5" style="4" customWidth="1"/>
    <col min="14575" max="14575" width="9" style="4" customWidth="1"/>
    <col min="14576" max="14576" width="13.375" style="4" customWidth="1"/>
    <col min="14577" max="14577" width="10.5" style="4" customWidth="1"/>
    <col min="14578" max="14578" width="12.5" style="4" customWidth="1"/>
    <col min="14579" max="14579" width="13.75" style="4" customWidth="1"/>
    <col min="14580" max="14580" width="9" style="4"/>
    <col min="14581" max="14581" width="12.375" style="4" customWidth="1"/>
    <col min="14582" max="14583" width="9" style="4"/>
    <col min="14584" max="14584" width="15.625" style="4" bestFit="1" customWidth="1"/>
    <col min="14585" max="14585" width="18.875" style="4" customWidth="1"/>
    <col min="14586" max="14828" width="9" style="4"/>
    <col min="14829" max="14829" width="9.625" style="4" customWidth="1"/>
    <col min="14830" max="14830" width="11.5" style="4" customWidth="1"/>
    <col min="14831" max="14831" width="9" style="4" customWidth="1"/>
    <col min="14832" max="14832" width="13.375" style="4" customWidth="1"/>
    <col min="14833" max="14833" width="10.5" style="4" customWidth="1"/>
    <col min="14834" max="14834" width="12.5" style="4" customWidth="1"/>
    <col min="14835" max="14835" width="13.75" style="4" customWidth="1"/>
    <col min="14836" max="14836" width="9" style="4"/>
    <col min="14837" max="14837" width="12.375" style="4" customWidth="1"/>
    <col min="14838" max="14839" width="9" style="4"/>
    <col min="14840" max="14840" width="15.625" style="4" bestFit="1" customWidth="1"/>
    <col min="14841" max="14841" width="18.875" style="4" customWidth="1"/>
    <col min="14842" max="15084" width="9" style="4"/>
    <col min="15085" max="15085" width="9.625" style="4" customWidth="1"/>
    <col min="15086" max="15086" width="11.5" style="4" customWidth="1"/>
    <col min="15087" max="15087" width="9" style="4" customWidth="1"/>
    <col min="15088" max="15088" width="13.375" style="4" customWidth="1"/>
    <col min="15089" max="15089" width="10.5" style="4" customWidth="1"/>
    <col min="15090" max="15090" width="12.5" style="4" customWidth="1"/>
    <col min="15091" max="15091" width="13.75" style="4" customWidth="1"/>
    <col min="15092" max="15092" width="9" style="4"/>
    <col min="15093" max="15093" width="12.375" style="4" customWidth="1"/>
    <col min="15094" max="15095" width="9" style="4"/>
    <col min="15096" max="15096" width="15.625" style="4" bestFit="1" customWidth="1"/>
    <col min="15097" max="15097" width="18.875" style="4" customWidth="1"/>
    <col min="15098" max="15340" width="9" style="4"/>
    <col min="15341" max="15341" width="9.625" style="4" customWidth="1"/>
    <col min="15342" max="15342" width="11.5" style="4" customWidth="1"/>
    <col min="15343" max="15343" width="9" style="4" customWidth="1"/>
    <col min="15344" max="15344" width="13.375" style="4" customWidth="1"/>
    <col min="15345" max="15345" width="10.5" style="4" customWidth="1"/>
    <col min="15346" max="15346" width="12.5" style="4" customWidth="1"/>
    <col min="15347" max="15347" width="13.75" style="4" customWidth="1"/>
    <col min="15348" max="15348" width="9" style="4"/>
    <col min="15349" max="15349" width="12.375" style="4" customWidth="1"/>
    <col min="15350" max="15351" width="9" style="4"/>
    <col min="15352" max="15352" width="15.625" style="4" bestFit="1" customWidth="1"/>
    <col min="15353" max="15353" width="18.875" style="4" customWidth="1"/>
    <col min="15354" max="15596" width="9" style="4"/>
    <col min="15597" max="15597" width="9.625" style="4" customWidth="1"/>
    <col min="15598" max="15598" width="11.5" style="4" customWidth="1"/>
    <col min="15599" max="15599" width="9" style="4" customWidth="1"/>
    <col min="15600" max="15600" width="13.375" style="4" customWidth="1"/>
    <col min="15601" max="15601" width="10.5" style="4" customWidth="1"/>
    <col min="15602" max="15602" width="12.5" style="4" customWidth="1"/>
    <col min="15603" max="15603" width="13.75" style="4" customWidth="1"/>
    <col min="15604" max="15604" width="9" style="4"/>
    <col min="15605" max="15605" width="12.375" style="4" customWidth="1"/>
    <col min="15606" max="15607" width="9" style="4"/>
    <col min="15608" max="15608" width="15.625" style="4" bestFit="1" customWidth="1"/>
    <col min="15609" max="15609" width="18.875" style="4" customWidth="1"/>
    <col min="15610" max="15852" width="9" style="4"/>
    <col min="15853" max="15853" width="9.625" style="4" customWidth="1"/>
    <col min="15854" max="15854" width="11.5" style="4" customWidth="1"/>
    <col min="15855" max="15855" width="9" style="4" customWidth="1"/>
    <col min="15856" max="15856" width="13.375" style="4" customWidth="1"/>
    <col min="15857" max="15857" width="10.5" style="4" customWidth="1"/>
    <col min="15858" max="15858" width="12.5" style="4" customWidth="1"/>
    <col min="15859" max="15859" width="13.75" style="4" customWidth="1"/>
    <col min="15860" max="15860" width="9" style="4"/>
    <col min="15861" max="15861" width="12.375" style="4" customWidth="1"/>
    <col min="15862" max="15863" width="9" style="4"/>
    <col min="15864" max="15864" width="15.625" style="4" bestFit="1" customWidth="1"/>
    <col min="15865" max="15865" width="18.875" style="4" customWidth="1"/>
    <col min="15866" max="16108" width="9" style="4"/>
    <col min="16109" max="16109" width="9.625" style="4" customWidth="1"/>
    <col min="16110" max="16110" width="11.5" style="4" customWidth="1"/>
    <col min="16111" max="16111" width="9" style="4" customWidth="1"/>
    <col min="16112" max="16112" width="13.375" style="4" customWidth="1"/>
    <col min="16113" max="16113" width="10.5" style="4" customWidth="1"/>
    <col min="16114" max="16114" width="12.5" style="4" customWidth="1"/>
    <col min="16115" max="16115" width="13.75" style="4" customWidth="1"/>
    <col min="16116" max="16116" width="9" style="4"/>
    <col min="16117" max="16117" width="12.375" style="4" customWidth="1"/>
    <col min="16118" max="16119" width="9" style="4"/>
    <col min="16120" max="16120" width="15.625" style="4" bestFit="1" customWidth="1"/>
    <col min="16121" max="16121" width="18.875" style="4" customWidth="1"/>
    <col min="16122" max="16384" width="9" style="4"/>
  </cols>
  <sheetData>
    <row r="1" spans="1:10" ht="16.5" x14ac:dyDescent="0.15">
      <c r="A1" s="5" t="s">
        <v>28</v>
      </c>
      <c r="B1" s="6" t="s">
        <v>29</v>
      </c>
    </row>
    <row r="2" spans="1:10" x14ac:dyDescent="0.15">
      <c r="A2" s="4" t="s">
        <v>0</v>
      </c>
      <c r="B2" s="4" t="s">
        <v>2777</v>
      </c>
    </row>
    <row r="3" spans="1:10" x14ac:dyDescent="0.15">
      <c r="A3" s="4" t="s">
        <v>11</v>
      </c>
      <c r="D3" s="4" t="s">
        <v>12</v>
      </c>
      <c r="E3" s="4" t="s">
        <v>12</v>
      </c>
      <c r="F3" s="4" t="s">
        <v>2862</v>
      </c>
      <c r="G3" s="4" t="s">
        <v>2772</v>
      </c>
      <c r="H3" s="4" t="s">
        <v>3419</v>
      </c>
      <c r="I3" s="4" t="s">
        <v>12</v>
      </c>
    </row>
    <row r="4" spans="1:10" x14ac:dyDescent="0.15">
      <c r="A4" s="4" t="s">
        <v>9</v>
      </c>
      <c r="D4" s="4" t="s">
        <v>13</v>
      </c>
      <c r="E4" s="4" t="s">
        <v>2763</v>
      </c>
      <c r="F4" s="4" t="s">
        <v>2863</v>
      </c>
      <c r="G4" s="4" t="s">
        <v>2773</v>
      </c>
      <c r="H4" s="4" t="s">
        <v>3420</v>
      </c>
      <c r="I4" s="4" t="s">
        <v>2693</v>
      </c>
    </row>
    <row r="5" spans="1:10" x14ac:dyDescent="0.15">
      <c r="E5" s="4" t="s">
        <v>2771</v>
      </c>
      <c r="F5" s="4" t="s">
        <v>2864</v>
      </c>
      <c r="G5" s="4" t="s">
        <v>2774</v>
      </c>
      <c r="H5" s="4" t="s">
        <v>3418</v>
      </c>
      <c r="I5" s="4" t="s">
        <v>2776</v>
      </c>
    </row>
    <row r="8" spans="1:10" x14ac:dyDescent="0.15">
      <c r="A8" s="4" t="s">
        <v>2663</v>
      </c>
      <c r="D8" s="4">
        <v>1</v>
      </c>
      <c r="E8" s="4">
        <v>1</v>
      </c>
      <c r="F8" s="4">
        <v>0</v>
      </c>
      <c r="G8" s="4">
        <v>0</v>
      </c>
      <c r="H8" s="4">
        <v>1</v>
      </c>
      <c r="I8" s="4">
        <v>1</v>
      </c>
      <c r="J8" s="4" t="s">
        <v>3443</v>
      </c>
    </row>
    <row r="9" spans="1:10" x14ac:dyDescent="0.15">
      <c r="A9" s="4" t="s">
        <v>2779</v>
      </c>
      <c r="D9" s="4">
        <v>10</v>
      </c>
      <c r="E9" s="4">
        <v>1</v>
      </c>
      <c r="F9" s="4">
        <v>100</v>
      </c>
      <c r="G9" s="4">
        <v>30</v>
      </c>
      <c r="H9" s="4">
        <v>1</v>
      </c>
      <c r="I9" s="4">
        <v>10</v>
      </c>
      <c r="J9" s="4" t="s">
        <v>3444</v>
      </c>
    </row>
    <row r="10" spans="1:10" x14ac:dyDescent="0.15">
      <c r="A10" s="4" t="s">
        <v>2742</v>
      </c>
      <c r="D10" s="4">
        <v>11</v>
      </c>
      <c r="E10" s="4">
        <v>1</v>
      </c>
      <c r="F10" s="4">
        <v>100</v>
      </c>
      <c r="G10" s="4">
        <v>1120</v>
      </c>
      <c r="H10" s="4">
        <v>1</v>
      </c>
      <c r="I10" s="4">
        <v>10</v>
      </c>
      <c r="J10" s="4" t="s">
        <v>3444</v>
      </c>
    </row>
    <row r="11" spans="1:10" x14ac:dyDescent="0.15">
      <c r="A11" s="4" t="s">
        <v>2779</v>
      </c>
      <c r="D11" s="4">
        <v>20</v>
      </c>
      <c r="E11" s="4">
        <v>1</v>
      </c>
      <c r="F11" s="4">
        <v>0</v>
      </c>
      <c r="G11" s="4">
        <v>330</v>
      </c>
      <c r="H11" s="4">
        <v>1</v>
      </c>
      <c r="I11" s="4">
        <v>20</v>
      </c>
      <c r="J11" s="4" t="s">
        <v>2985</v>
      </c>
    </row>
    <row r="12" spans="1:10" x14ac:dyDescent="0.15">
      <c r="A12" s="4" t="s">
        <v>2779</v>
      </c>
      <c r="D12" s="4">
        <v>30</v>
      </c>
      <c r="E12" s="4">
        <v>1</v>
      </c>
      <c r="F12" s="4">
        <v>0</v>
      </c>
      <c r="G12" s="4">
        <v>0</v>
      </c>
      <c r="H12" s="4">
        <v>1</v>
      </c>
      <c r="I12" s="4">
        <v>30</v>
      </c>
      <c r="J12" s="4" t="s">
        <v>2999</v>
      </c>
    </row>
    <row r="13" spans="1:10" x14ac:dyDescent="0.15">
      <c r="A13" s="4" t="s">
        <v>2779</v>
      </c>
      <c r="D13" s="4">
        <v>40</v>
      </c>
      <c r="E13" s="4">
        <v>1</v>
      </c>
      <c r="F13" s="4">
        <v>0</v>
      </c>
      <c r="G13" s="4">
        <v>0</v>
      </c>
      <c r="H13" s="4">
        <v>1</v>
      </c>
      <c r="I13" s="4">
        <v>40</v>
      </c>
      <c r="J13" s="4" t="s">
        <v>2986</v>
      </c>
    </row>
    <row r="14" spans="1:10" x14ac:dyDescent="0.15">
      <c r="A14" s="4" t="s">
        <v>2663</v>
      </c>
      <c r="D14" s="4">
        <v>50</v>
      </c>
      <c r="E14" s="4">
        <v>1</v>
      </c>
      <c r="F14" s="4">
        <v>0</v>
      </c>
      <c r="G14" s="4">
        <v>530</v>
      </c>
      <c r="H14" s="4">
        <v>1</v>
      </c>
      <c r="I14" s="4">
        <v>50</v>
      </c>
      <c r="J14" s="4" t="s">
        <v>3241</v>
      </c>
    </row>
    <row r="15" spans="1:10" x14ac:dyDescent="0.15">
      <c r="A15" s="4" t="s">
        <v>2663</v>
      </c>
      <c r="D15" s="4">
        <v>60</v>
      </c>
      <c r="E15" s="4">
        <v>1</v>
      </c>
      <c r="F15" s="4">
        <v>0</v>
      </c>
      <c r="G15" s="4">
        <v>610</v>
      </c>
      <c r="H15" s="4">
        <v>2</v>
      </c>
      <c r="I15" s="4">
        <v>60</v>
      </c>
      <c r="J15" s="4" t="s">
        <v>3407</v>
      </c>
    </row>
    <row r="16" spans="1:10" x14ac:dyDescent="0.15">
      <c r="A16" s="4" t="s">
        <v>2663</v>
      </c>
      <c r="D16" s="4">
        <v>70</v>
      </c>
      <c r="E16" s="4">
        <v>1</v>
      </c>
      <c r="F16" s="4">
        <v>0</v>
      </c>
      <c r="G16" s="4">
        <v>670</v>
      </c>
      <c r="H16" s="4">
        <v>1</v>
      </c>
      <c r="I16" s="4">
        <v>70</v>
      </c>
      <c r="J16" s="4" t="s">
        <v>3442</v>
      </c>
    </row>
    <row r="17" spans="1:10" x14ac:dyDescent="0.15">
      <c r="A17" s="4" t="s">
        <v>2663</v>
      </c>
      <c r="D17" s="4">
        <v>80</v>
      </c>
      <c r="E17" s="4">
        <v>0.1</v>
      </c>
      <c r="F17" s="4">
        <v>0</v>
      </c>
      <c r="G17" s="4">
        <v>0</v>
      </c>
      <c r="H17" s="4">
        <v>1</v>
      </c>
      <c r="I17" s="4">
        <v>80</v>
      </c>
      <c r="J17" s="4" t="s">
        <v>3450</v>
      </c>
    </row>
    <row r="18" spans="1:10" x14ac:dyDescent="0.15">
      <c r="A18" s="4" t="s">
        <v>2663</v>
      </c>
      <c r="D18" s="4">
        <v>90</v>
      </c>
      <c r="E18" s="4">
        <v>1</v>
      </c>
      <c r="F18" s="4">
        <v>0</v>
      </c>
      <c r="G18" s="4">
        <v>0</v>
      </c>
      <c r="H18" s="4">
        <v>1</v>
      </c>
      <c r="I18" s="4">
        <v>90</v>
      </c>
      <c r="J18" s="4" t="s">
        <v>3467</v>
      </c>
    </row>
    <row r="19" spans="1:10" x14ac:dyDescent="0.15">
      <c r="A19" s="4" t="s">
        <v>2663</v>
      </c>
      <c r="D19" s="4">
        <v>100</v>
      </c>
      <c r="E19" s="4">
        <v>1</v>
      </c>
      <c r="F19" s="4">
        <v>0</v>
      </c>
      <c r="G19" s="4">
        <v>0</v>
      </c>
      <c r="H19" s="4">
        <v>1</v>
      </c>
      <c r="I19" s="4">
        <v>100</v>
      </c>
      <c r="J19" s="4" t="s">
        <v>3528</v>
      </c>
    </row>
    <row r="20" spans="1:10" x14ac:dyDescent="0.15">
      <c r="A20" s="4" t="s">
        <v>2663</v>
      </c>
      <c r="D20" s="4">
        <v>110</v>
      </c>
      <c r="E20" s="4">
        <v>0.1</v>
      </c>
      <c r="F20" s="4">
        <v>0</v>
      </c>
      <c r="G20" s="4">
        <v>0</v>
      </c>
      <c r="H20" s="4">
        <v>1</v>
      </c>
      <c r="I20" s="4">
        <v>110</v>
      </c>
      <c r="J20" s="4" t="s">
        <v>3532</v>
      </c>
    </row>
    <row r="21" spans="1:10" x14ac:dyDescent="0.15">
      <c r="A21" s="4" t="s">
        <v>2663</v>
      </c>
      <c r="D21" s="4">
        <v>120</v>
      </c>
      <c r="E21" s="4">
        <v>1</v>
      </c>
      <c r="F21" s="4">
        <v>0</v>
      </c>
      <c r="G21" s="4">
        <v>0</v>
      </c>
      <c r="H21" s="4">
        <v>1</v>
      </c>
      <c r="I21" s="4">
        <v>120</v>
      </c>
      <c r="J21" s="4" t="s">
        <v>9791</v>
      </c>
    </row>
    <row r="22" spans="1:10" x14ac:dyDescent="0.15">
      <c r="A22" s="4" t="s">
        <v>2663</v>
      </c>
      <c r="D22" s="4">
        <v>130</v>
      </c>
      <c r="E22" s="4">
        <v>0.2</v>
      </c>
      <c r="F22" s="4">
        <v>0</v>
      </c>
      <c r="G22" s="4">
        <v>1340</v>
      </c>
      <c r="H22" s="4">
        <v>2</v>
      </c>
      <c r="I22" s="4">
        <v>130</v>
      </c>
      <c r="J22" s="4" t="s">
        <v>9810</v>
      </c>
    </row>
    <row r="23" spans="1:10" x14ac:dyDescent="0.15">
      <c r="A23" s="4" t="s">
        <v>2663</v>
      </c>
      <c r="D23" s="4">
        <v>140</v>
      </c>
      <c r="E23" s="4">
        <v>1</v>
      </c>
      <c r="F23" s="4">
        <v>0</v>
      </c>
      <c r="G23" s="4">
        <v>0</v>
      </c>
      <c r="H23" s="4">
        <v>1</v>
      </c>
      <c r="I23" s="4">
        <v>140</v>
      </c>
      <c r="J23" s="4" t="s">
        <v>9954</v>
      </c>
    </row>
    <row r="24" spans="1:10" x14ac:dyDescent="0.15">
      <c r="A24" s="4" t="s">
        <v>2663</v>
      </c>
      <c r="D24" s="4">
        <v>150</v>
      </c>
      <c r="E24" s="4">
        <v>1</v>
      </c>
      <c r="F24" s="4">
        <v>0</v>
      </c>
      <c r="G24" s="4">
        <v>0</v>
      </c>
      <c r="H24" s="4">
        <v>1</v>
      </c>
      <c r="I24" s="4">
        <v>150</v>
      </c>
      <c r="J24" s="4" t="s">
        <v>10064</v>
      </c>
    </row>
    <row r="31" spans="1:10" x14ac:dyDescent="0.15">
      <c r="A31" s="4" t="s">
        <v>1</v>
      </c>
    </row>
    <row r="32" spans="1:10" x14ac:dyDescent="0.15">
      <c r="A32" s="4" t="s">
        <v>10</v>
      </c>
    </row>
  </sheetData>
  <phoneticPr fontId="7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01"/>
  <sheetViews>
    <sheetView topLeftCell="A136" workbookViewId="0">
      <selection activeCell="K162" sqref="K162"/>
    </sheetView>
  </sheetViews>
  <sheetFormatPr defaultRowHeight="12" x14ac:dyDescent="0.15"/>
  <cols>
    <col min="1" max="1" width="9.625" style="4" customWidth="1"/>
    <col min="2" max="2" width="11.625" style="4" bestFit="1" customWidth="1"/>
    <col min="3" max="3" width="13.125" style="4" bestFit="1" customWidth="1"/>
    <col min="4" max="4" width="4.125" style="4" customWidth="1"/>
    <col min="5" max="5" width="19.25" style="4" customWidth="1"/>
    <col min="6" max="6" width="9" style="4"/>
    <col min="7" max="7" width="8.5" style="4" bestFit="1" customWidth="1"/>
    <col min="8" max="236" width="9" style="4"/>
    <col min="237" max="237" width="9.625" style="4" customWidth="1"/>
    <col min="238" max="238" width="11.5" style="4" customWidth="1"/>
    <col min="239" max="239" width="9" style="4" customWidth="1"/>
    <col min="240" max="240" width="13.375" style="4" customWidth="1"/>
    <col min="241" max="241" width="10.5" style="4" customWidth="1"/>
    <col min="242" max="242" width="12.5" style="4" customWidth="1"/>
    <col min="243" max="243" width="13.75" style="4" customWidth="1"/>
    <col min="244" max="244" width="9" style="4"/>
    <col min="245" max="245" width="12.375" style="4" customWidth="1"/>
    <col min="246" max="247" width="9" style="4"/>
    <col min="248" max="248" width="15.625" style="4" bestFit="1" customWidth="1"/>
    <col min="249" max="249" width="18.875" style="4" customWidth="1"/>
    <col min="250" max="492" width="9" style="4"/>
    <col min="493" max="493" width="9.625" style="4" customWidth="1"/>
    <col min="494" max="494" width="11.5" style="4" customWidth="1"/>
    <col min="495" max="495" width="9" style="4" customWidth="1"/>
    <col min="496" max="496" width="13.375" style="4" customWidth="1"/>
    <col min="497" max="497" width="10.5" style="4" customWidth="1"/>
    <col min="498" max="498" width="12.5" style="4" customWidth="1"/>
    <col min="499" max="499" width="13.75" style="4" customWidth="1"/>
    <col min="500" max="500" width="9" style="4"/>
    <col min="501" max="501" width="12.375" style="4" customWidth="1"/>
    <col min="502" max="503" width="9" style="4"/>
    <col min="504" max="504" width="15.625" style="4" bestFit="1" customWidth="1"/>
    <col min="505" max="505" width="18.875" style="4" customWidth="1"/>
    <col min="506" max="748" width="9" style="4"/>
    <col min="749" max="749" width="9.625" style="4" customWidth="1"/>
    <col min="750" max="750" width="11.5" style="4" customWidth="1"/>
    <col min="751" max="751" width="9" style="4" customWidth="1"/>
    <col min="752" max="752" width="13.375" style="4" customWidth="1"/>
    <col min="753" max="753" width="10.5" style="4" customWidth="1"/>
    <col min="754" max="754" width="12.5" style="4" customWidth="1"/>
    <col min="755" max="755" width="13.75" style="4" customWidth="1"/>
    <col min="756" max="756" width="9" style="4"/>
    <col min="757" max="757" width="12.375" style="4" customWidth="1"/>
    <col min="758" max="759" width="9" style="4"/>
    <col min="760" max="760" width="15.625" style="4" bestFit="1" customWidth="1"/>
    <col min="761" max="761" width="18.875" style="4" customWidth="1"/>
    <col min="762" max="1004" width="9" style="4"/>
    <col min="1005" max="1005" width="9.625" style="4" customWidth="1"/>
    <col min="1006" max="1006" width="11.5" style="4" customWidth="1"/>
    <col min="1007" max="1007" width="9" style="4" customWidth="1"/>
    <col min="1008" max="1008" width="13.375" style="4" customWidth="1"/>
    <col min="1009" max="1009" width="10.5" style="4" customWidth="1"/>
    <col min="1010" max="1010" width="12.5" style="4" customWidth="1"/>
    <col min="1011" max="1011" width="13.75" style="4" customWidth="1"/>
    <col min="1012" max="1012" width="9" style="4"/>
    <col min="1013" max="1013" width="12.375" style="4" customWidth="1"/>
    <col min="1014" max="1015" width="9" style="4"/>
    <col min="1016" max="1016" width="15.625" style="4" bestFit="1" customWidth="1"/>
    <col min="1017" max="1017" width="18.875" style="4" customWidth="1"/>
    <col min="1018" max="1260" width="9" style="4"/>
    <col min="1261" max="1261" width="9.625" style="4" customWidth="1"/>
    <col min="1262" max="1262" width="11.5" style="4" customWidth="1"/>
    <col min="1263" max="1263" width="9" style="4" customWidth="1"/>
    <col min="1264" max="1264" width="13.375" style="4" customWidth="1"/>
    <col min="1265" max="1265" width="10.5" style="4" customWidth="1"/>
    <col min="1266" max="1266" width="12.5" style="4" customWidth="1"/>
    <col min="1267" max="1267" width="13.75" style="4" customWidth="1"/>
    <col min="1268" max="1268" width="9" style="4"/>
    <col min="1269" max="1269" width="12.375" style="4" customWidth="1"/>
    <col min="1270" max="1271" width="9" style="4"/>
    <col min="1272" max="1272" width="15.625" style="4" bestFit="1" customWidth="1"/>
    <col min="1273" max="1273" width="18.875" style="4" customWidth="1"/>
    <col min="1274" max="1516" width="9" style="4"/>
    <col min="1517" max="1517" width="9.625" style="4" customWidth="1"/>
    <col min="1518" max="1518" width="11.5" style="4" customWidth="1"/>
    <col min="1519" max="1519" width="9" style="4" customWidth="1"/>
    <col min="1520" max="1520" width="13.375" style="4" customWidth="1"/>
    <col min="1521" max="1521" width="10.5" style="4" customWidth="1"/>
    <col min="1522" max="1522" width="12.5" style="4" customWidth="1"/>
    <col min="1523" max="1523" width="13.75" style="4" customWidth="1"/>
    <col min="1524" max="1524" width="9" style="4"/>
    <col min="1525" max="1525" width="12.375" style="4" customWidth="1"/>
    <col min="1526" max="1527" width="9" style="4"/>
    <col min="1528" max="1528" width="15.625" style="4" bestFit="1" customWidth="1"/>
    <col min="1529" max="1529" width="18.875" style="4" customWidth="1"/>
    <col min="1530" max="1772" width="9" style="4"/>
    <col min="1773" max="1773" width="9.625" style="4" customWidth="1"/>
    <col min="1774" max="1774" width="11.5" style="4" customWidth="1"/>
    <col min="1775" max="1775" width="9" style="4" customWidth="1"/>
    <col min="1776" max="1776" width="13.375" style="4" customWidth="1"/>
    <col min="1777" max="1777" width="10.5" style="4" customWidth="1"/>
    <col min="1778" max="1778" width="12.5" style="4" customWidth="1"/>
    <col min="1779" max="1779" width="13.75" style="4" customWidth="1"/>
    <col min="1780" max="1780" width="9" style="4"/>
    <col min="1781" max="1781" width="12.375" style="4" customWidth="1"/>
    <col min="1782" max="1783" width="9" style="4"/>
    <col min="1784" max="1784" width="15.625" style="4" bestFit="1" customWidth="1"/>
    <col min="1785" max="1785" width="18.875" style="4" customWidth="1"/>
    <col min="1786" max="2028" width="9" style="4"/>
    <col min="2029" max="2029" width="9.625" style="4" customWidth="1"/>
    <col min="2030" max="2030" width="11.5" style="4" customWidth="1"/>
    <col min="2031" max="2031" width="9" style="4" customWidth="1"/>
    <col min="2032" max="2032" width="13.375" style="4" customWidth="1"/>
    <col min="2033" max="2033" width="10.5" style="4" customWidth="1"/>
    <col min="2034" max="2034" width="12.5" style="4" customWidth="1"/>
    <col min="2035" max="2035" width="13.75" style="4" customWidth="1"/>
    <col min="2036" max="2036" width="9" style="4"/>
    <col min="2037" max="2037" width="12.375" style="4" customWidth="1"/>
    <col min="2038" max="2039" width="9" style="4"/>
    <col min="2040" max="2040" width="15.625" style="4" bestFit="1" customWidth="1"/>
    <col min="2041" max="2041" width="18.875" style="4" customWidth="1"/>
    <col min="2042" max="2284" width="9" style="4"/>
    <col min="2285" max="2285" width="9.625" style="4" customWidth="1"/>
    <col min="2286" max="2286" width="11.5" style="4" customWidth="1"/>
    <col min="2287" max="2287" width="9" style="4" customWidth="1"/>
    <col min="2288" max="2288" width="13.375" style="4" customWidth="1"/>
    <col min="2289" max="2289" width="10.5" style="4" customWidth="1"/>
    <col min="2290" max="2290" width="12.5" style="4" customWidth="1"/>
    <col min="2291" max="2291" width="13.75" style="4" customWidth="1"/>
    <col min="2292" max="2292" width="9" style="4"/>
    <col min="2293" max="2293" width="12.375" style="4" customWidth="1"/>
    <col min="2294" max="2295" width="9" style="4"/>
    <col min="2296" max="2296" width="15.625" style="4" bestFit="1" customWidth="1"/>
    <col min="2297" max="2297" width="18.875" style="4" customWidth="1"/>
    <col min="2298" max="2540" width="9" style="4"/>
    <col min="2541" max="2541" width="9.625" style="4" customWidth="1"/>
    <col min="2542" max="2542" width="11.5" style="4" customWidth="1"/>
    <col min="2543" max="2543" width="9" style="4" customWidth="1"/>
    <col min="2544" max="2544" width="13.375" style="4" customWidth="1"/>
    <col min="2545" max="2545" width="10.5" style="4" customWidth="1"/>
    <col min="2546" max="2546" width="12.5" style="4" customWidth="1"/>
    <col min="2547" max="2547" width="13.75" style="4" customWidth="1"/>
    <col min="2548" max="2548" width="9" style="4"/>
    <col min="2549" max="2549" width="12.375" style="4" customWidth="1"/>
    <col min="2550" max="2551" width="9" style="4"/>
    <col min="2552" max="2552" width="15.625" style="4" bestFit="1" customWidth="1"/>
    <col min="2553" max="2553" width="18.875" style="4" customWidth="1"/>
    <col min="2554" max="2796" width="9" style="4"/>
    <col min="2797" max="2797" width="9.625" style="4" customWidth="1"/>
    <col min="2798" max="2798" width="11.5" style="4" customWidth="1"/>
    <col min="2799" max="2799" width="9" style="4" customWidth="1"/>
    <col min="2800" max="2800" width="13.375" style="4" customWidth="1"/>
    <col min="2801" max="2801" width="10.5" style="4" customWidth="1"/>
    <col min="2802" max="2802" width="12.5" style="4" customWidth="1"/>
    <col min="2803" max="2803" width="13.75" style="4" customWidth="1"/>
    <col min="2804" max="2804" width="9" style="4"/>
    <col min="2805" max="2805" width="12.375" style="4" customWidth="1"/>
    <col min="2806" max="2807" width="9" style="4"/>
    <col min="2808" max="2808" width="15.625" style="4" bestFit="1" customWidth="1"/>
    <col min="2809" max="2809" width="18.875" style="4" customWidth="1"/>
    <col min="2810" max="3052" width="9" style="4"/>
    <col min="3053" max="3053" width="9.625" style="4" customWidth="1"/>
    <col min="3054" max="3054" width="11.5" style="4" customWidth="1"/>
    <col min="3055" max="3055" width="9" style="4" customWidth="1"/>
    <col min="3056" max="3056" width="13.375" style="4" customWidth="1"/>
    <col min="3057" max="3057" width="10.5" style="4" customWidth="1"/>
    <col min="3058" max="3058" width="12.5" style="4" customWidth="1"/>
    <col min="3059" max="3059" width="13.75" style="4" customWidth="1"/>
    <col min="3060" max="3060" width="9" style="4"/>
    <col min="3061" max="3061" width="12.375" style="4" customWidth="1"/>
    <col min="3062" max="3063" width="9" style="4"/>
    <col min="3064" max="3064" width="15.625" style="4" bestFit="1" customWidth="1"/>
    <col min="3065" max="3065" width="18.875" style="4" customWidth="1"/>
    <col min="3066" max="3308" width="9" style="4"/>
    <col min="3309" max="3309" width="9.625" style="4" customWidth="1"/>
    <col min="3310" max="3310" width="11.5" style="4" customWidth="1"/>
    <col min="3311" max="3311" width="9" style="4" customWidth="1"/>
    <col min="3312" max="3312" width="13.375" style="4" customWidth="1"/>
    <col min="3313" max="3313" width="10.5" style="4" customWidth="1"/>
    <col min="3314" max="3314" width="12.5" style="4" customWidth="1"/>
    <col min="3315" max="3315" width="13.75" style="4" customWidth="1"/>
    <col min="3316" max="3316" width="9" style="4"/>
    <col min="3317" max="3317" width="12.375" style="4" customWidth="1"/>
    <col min="3318" max="3319" width="9" style="4"/>
    <col min="3320" max="3320" width="15.625" style="4" bestFit="1" customWidth="1"/>
    <col min="3321" max="3321" width="18.875" style="4" customWidth="1"/>
    <col min="3322" max="3564" width="9" style="4"/>
    <col min="3565" max="3565" width="9.625" style="4" customWidth="1"/>
    <col min="3566" max="3566" width="11.5" style="4" customWidth="1"/>
    <col min="3567" max="3567" width="9" style="4" customWidth="1"/>
    <col min="3568" max="3568" width="13.375" style="4" customWidth="1"/>
    <col min="3569" max="3569" width="10.5" style="4" customWidth="1"/>
    <col min="3570" max="3570" width="12.5" style="4" customWidth="1"/>
    <col min="3571" max="3571" width="13.75" style="4" customWidth="1"/>
    <col min="3572" max="3572" width="9" style="4"/>
    <col min="3573" max="3573" width="12.375" style="4" customWidth="1"/>
    <col min="3574" max="3575" width="9" style="4"/>
    <col min="3576" max="3576" width="15.625" style="4" bestFit="1" customWidth="1"/>
    <col min="3577" max="3577" width="18.875" style="4" customWidth="1"/>
    <col min="3578" max="3820" width="9" style="4"/>
    <col min="3821" max="3821" width="9.625" style="4" customWidth="1"/>
    <col min="3822" max="3822" width="11.5" style="4" customWidth="1"/>
    <col min="3823" max="3823" width="9" style="4" customWidth="1"/>
    <col min="3824" max="3824" width="13.375" style="4" customWidth="1"/>
    <col min="3825" max="3825" width="10.5" style="4" customWidth="1"/>
    <col min="3826" max="3826" width="12.5" style="4" customWidth="1"/>
    <col min="3827" max="3827" width="13.75" style="4" customWidth="1"/>
    <col min="3828" max="3828" width="9" style="4"/>
    <col min="3829" max="3829" width="12.375" style="4" customWidth="1"/>
    <col min="3830" max="3831" width="9" style="4"/>
    <col min="3832" max="3832" width="15.625" style="4" bestFit="1" customWidth="1"/>
    <col min="3833" max="3833" width="18.875" style="4" customWidth="1"/>
    <col min="3834" max="4076" width="9" style="4"/>
    <col min="4077" max="4077" width="9.625" style="4" customWidth="1"/>
    <col min="4078" max="4078" width="11.5" style="4" customWidth="1"/>
    <col min="4079" max="4079" width="9" style="4" customWidth="1"/>
    <col min="4080" max="4080" width="13.375" style="4" customWidth="1"/>
    <col min="4081" max="4081" width="10.5" style="4" customWidth="1"/>
    <col min="4082" max="4082" width="12.5" style="4" customWidth="1"/>
    <col min="4083" max="4083" width="13.75" style="4" customWidth="1"/>
    <col min="4084" max="4084" width="9" style="4"/>
    <col min="4085" max="4085" width="12.375" style="4" customWidth="1"/>
    <col min="4086" max="4087" width="9" style="4"/>
    <col min="4088" max="4088" width="15.625" style="4" bestFit="1" customWidth="1"/>
    <col min="4089" max="4089" width="18.875" style="4" customWidth="1"/>
    <col min="4090" max="4332" width="9" style="4"/>
    <col min="4333" max="4333" width="9.625" style="4" customWidth="1"/>
    <col min="4334" max="4334" width="11.5" style="4" customWidth="1"/>
    <col min="4335" max="4335" width="9" style="4" customWidth="1"/>
    <col min="4336" max="4336" width="13.375" style="4" customWidth="1"/>
    <col min="4337" max="4337" width="10.5" style="4" customWidth="1"/>
    <col min="4338" max="4338" width="12.5" style="4" customWidth="1"/>
    <col min="4339" max="4339" width="13.75" style="4" customWidth="1"/>
    <col min="4340" max="4340" width="9" style="4"/>
    <col min="4341" max="4341" width="12.375" style="4" customWidth="1"/>
    <col min="4342" max="4343" width="9" style="4"/>
    <col min="4344" max="4344" width="15.625" style="4" bestFit="1" customWidth="1"/>
    <col min="4345" max="4345" width="18.875" style="4" customWidth="1"/>
    <col min="4346" max="4588" width="9" style="4"/>
    <col min="4589" max="4589" width="9.625" style="4" customWidth="1"/>
    <col min="4590" max="4590" width="11.5" style="4" customWidth="1"/>
    <col min="4591" max="4591" width="9" style="4" customWidth="1"/>
    <col min="4592" max="4592" width="13.375" style="4" customWidth="1"/>
    <col min="4593" max="4593" width="10.5" style="4" customWidth="1"/>
    <col min="4594" max="4594" width="12.5" style="4" customWidth="1"/>
    <col min="4595" max="4595" width="13.75" style="4" customWidth="1"/>
    <col min="4596" max="4596" width="9" style="4"/>
    <col min="4597" max="4597" width="12.375" style="4" customWidth="1"/>
    <col min="4598" max="4599" width="9" style="4"/>
    <col min="4600" max="4600" width="15.625" style="4" bestFit="1" customWidth="1"/>
    <col min="4601" max="4601" width="18.875" style="4" customWidth="1"/>
    <col min="4602" max="4844" width="9" style="4"/>
    <col min="4845" max="4845" width="9.625" style="4" customWidth="1"/>
    <col min="4846" max="4846" width="11.5" style="4" customWidth="1"/>
    <col min="4847" max="4847" width="9" style="4" customWidth="1"/>
    <col min="4848" max="4848" width="13.375" style="4" customWidth="1"/>
    <col min="4849" max="4849" width="10.5" style="4" customWidth="1"/>
    <col min="4850" max="4850" width="12.5" style="4" customWidth="1"/>
    <col min="4851" max="4851" width="13.75" style="4" customWidth="1"/>
    <col min="4852" max="4852" width="9" style="4"/>
    <col min="4853" max="4853" width="12.375" style="4" customWidth="1"/>
    <col min="4854" max="4855" width="9" style="4"/>
    <col min="4856" max="4856" width="15.625" style="4" bestFit="1" customWidth="1"/>
    <col min="4857" max="4857" width="18.875" style="4" customWidth="1"/>
    <col min="4858" max="5100" width="9" style="4"/>
    <col min="5101" max="5101" width="9.625" style="4" customWidth="1"/>
    <col min="5102" max="5102" width="11.5" style="4" customWidth="1"/>
    <col min="5103" max="5103" width="9" style="4" customWidth="1"/>
    <col min="5104" max="5104" width="13.375" style="4" customWidth="1"/>
    <col min="5105" max="5105" width="10.5" style="4" customWidth="1"/>
    <col min="5106" max="5106" width="12.5" style="4" customWidth="1"/>
    <col min="5107" max="5107" width="13.75" style="4" customWidth="1"/>
    <col min="5108" max="5108" width="9" style="4"/>
    <col min="5109" max="5109" width="12.375" style="4" customWidth="1"/>
    <col min="5110" max="5111" width="9" style="4"/>
    <col min="5112" max="5112" width="15.625" style="4" bestFit="1" customWidth="1"/>
    <col min="5113" max="5113" width="18.875" style="4" customWidth="1"/>
    <col min="5114" max="5356" width="9" style="4"/>
    <col min="5357" max="5357" width="9.625" style="4" customWidth="1"/>
    <col min="5358" max="5358" width="11.5" style="4" customWidth="1"/>
    <col min="5359" max="5359" width="9" style="4" customWidth="1"/>
    <col min="5360" max="5360" width="13.375" style="4" customWidth="1"/>
    <col min="5361" max="5361" width="10.5" style="4" customWidth="1"/>
    <col min="5362" max="5362" width="12.5" style="4" customWidth="1"/>
    <col min="5363" max="5363" width="13.75" style="4" customWidth="1"/>
    <col min="5364" max="5364" width="9" style="4"/>
    <col min="5365" max="5365" width="12.375" style="4" customWidth="1"/>
    <col min="5366" max="5367" width="9" style="4"/>
    <col min="5368" max="5368" width="15.625" style="4" bestFit="1" customWidth="1"/>
    <col min="5369" max="5369" width="18.875" style="4" customWidth="1"/>
    <col min="5370" max="5612" width="9" style="4"/>
    <col min="5613" max="5613" width="9.625" style="4" customWidth="1"/>
    <col min="5614" max="5614" width="11.5" style="4" customWidth="1"/>
    <col min="5615" max="5615" width="9" style="4" customWidth="1"/>
    <col min="5616" max="5616" width="13.375" style="4" customWidth="1"/>
    <col min="5617" max="5617" width="10.5" style="4" customWidth="1"/>
    <col min="5618" max="5618" width="12.5" style="4" customWidth="1"/>
    <col min="5619" max="5619" width="13.75" style="4" customWidth="1"/>
    <col min="5620" max="5620" width="9" style="4"/>
    <col min="5621" max="5621" width="12.375" style="4" customWidth="1"/>
    <col min="5622" max="5623" width="9" style="4"/>
    <col min="5624" max="5624" width="15.625" style="4" bestFit="1" customWidth="1"/>
    <col min="5625" max="5625" width="18.875" style="4" customWidth="1"/>
    <col min="5626" max="5868" width="9" style="4"/>
    <col min="5869" max="5869" width="9.625" style="4" customWidth="1"/>
    <col min="5870" max="5870" width="11.5" style="4" customWidth="1"/>
    <col min="5871" max="5871" width="9" style="4" customWidth="1"/>
    <col min="5872" max="5872" width="13.375" style="4" customWidth="1"/>
    <col min="5873" max="5873" width="10.5" style="4" customWidth="1"/>
    <col min="5874" max="5874" width="12.5" style="4" customWidth="1"/>
    <col min="5875" max="5875" width="13.75" style="4" customWidth="1"/>
    <col min="5876" max="5876" width="9" style="4"/>
    <col min="5877" max="5877" width="12.375" style="4" customWidth="1"/>
    <col min="5878" max="5879" width="9" style="4"/>
    <col min="5880" max="5880" width="15.625" style="4" bestFit="1" customWidth="1"/>
    <col min="5881" max="5881" width="18.875" style="4" customWidth="1"/>
    <col min="5882" max="6124" width="9" style="4"/>
    <col min="6125" max="6125" width="9.625" style="4" customWidth="1"/>
    <col min="6126" max="6126" width="11.5" style="4" customWidth="1"/>
    <col min="6127" max="6127" width="9" style="4" customWidth="1"/>
    <col min="6128" max="6128" width="13.375" style="4" customWidth="1"/>
    <col min="6129" max="6129" width="10.5" style="4" customWidth="1"/>
    <col min="6130" max="6130" width="12.5" style="4" customWidth="1"/>
    <col min="6131" max="6131" width="13.75" style="4" customWidth="1"/>
    <col min="6132" max="6132" width="9" style="4"/>
    <col min="6133" max="6133" width="12.375" style="4" customWidth="1"/>
    <col min="6134" max="6135" width="9" style="4"/>
    <col min="6136" max="6136" width="15.625" style="4" bestFit="1" customWidth="1"/>
    <col min="6137" max="6137" width="18.875" style="4" customWidth="1"/>
    <col min="6138" max="6380" width="9" style="4"/>
    <col min="6381" max="6381" width="9.625" style="4" customWidth="1"/>
    <col min="6382" max="6382" width="11.5" style="4" customWidth="1"/>
    <col min="6383" max="6383" width="9" style="4" customWidth="1"/>
    <col min="6384" max="6384" width="13.375" style="4" customWidth="1"/>
    <col min="6385" max="6385" width="10.5" style="4" customWidth="1"/>
    <col min="6386" max="6386" width="12.5" style="4" customWidth="1"/>
    <col min="6387" max="6387" width="13.75" style="4" customWidth="1"/>
    <col min="6388" max="6388" width="9" style="4"/>
    <col min="6389" max="6389" width="12.375" style="4" customWidth="1"/>
    <col min="6390" max="6391" width="9" style="4"/>
    <col min="6392" max="6392" width="15.625" style="4" bestFit="1" customWidth="1"/>
    <col min="6393" max="6393" width="18.875" style="4" customWidth="1"/>
    <col min="6394" max="6636" width="9" style="4"/>
    <col min="6637" max="6637" width="9.625" style="4" customWidth="1"/>
    <col min="6638" max="6638" width="11.5" style="4" customWidth="1"/>
    <col min="6639" max="6639" width="9" style="4" customWidth="1"/>
    <col min="6640" max="6640" width="13.375" style="4" customWidth="1"/>
    <col min="6641" max="6641" width="10.5" style="4" customWidth="1"/>
    <col min="6642" max="6642" width="12.5" style="4" customWidth="1"/>
    <col min="6643" max="6643" width="13.75" style="4" customWidth="1"/>
    <col min="6644" max="6644" width="9" style="4"/>
    <col min="6645" max="6645" width="12.375" style="4" customWidth="1"/>
    <col min="6646" max="6647" width="9" style="4"/>
    <col min="6648" max="6648" width="15.625" style="4" bestFit="1" customWidth="1"/>
    <col min="6649" max="6649" width="18.875" style="4" customWidth="1"/>
    <col min="6650" max="6892" width="9" style="4"/>
    <col min="6893" max="6893" width="9.625" style="4" customWidth="1"/>
    <col min="6894" max="6894" width="11.5" style="4" customWidth="1"/>
    <col min="6895" max="6895" width="9" style="4" customWidth="1"/>
    <col min="6896" max="6896" width="13.375" style="4" customWidth="1"/>
    <col min="6897" max="6897" width="10.5" style="4" customWidth="1"/>
    <col min="6898" max="6898" width="12.5" style="4" customWidth="1"/>
    <col min="6899" max="6899" width="13.75" style="4" customWidth="1"/>
    <col min="6900" max="6900" width="9" style="4"/>
    <col min="6901" max="6901" width="12.375" style="4" customWidth="1"/>
    <col min="6902" max="6903" width="9" style="4"/>
    <col min="6904" max="6904" width="15.625" style="4" bestFit="1" customWidth="1"/>
    <col min="6905" max="6905" width="18.875" style="4" customWidth="1"/>
    <col min="6906" max="7148" width="9" style="4"/>
    <col min="7149" max="7149" width="9.625" style="4" customWidth="1"/>
    <col min="7150" max="7150" width="11.5" style="4" customWidth="1"/>
    <col min="7151" max="7151" width="9" style="4" customWidth="1"/>
    <col min="7152" max="7152" width="13.375" style="4" customWidth="1"/>
    <col min="7153" max="7153" width="10.5" style="4" customWidth="1"/>
    <col min="7154" max="7154" width="12.5" style="4" customWidth="1"/>
    <col min="7155" max="7155" width="13.75" style="4" customWidth="1"/>
    <col min="7156" max="7156" width="9" style="4"/>
    <col min="7157" max="7157" width="12.375" style="4" customWidth="1"/>
    <col min="7158" max="7159" width="9" style="4"/>
    <col min="7160" max="7160" width="15.625" style="4" bestFit="1" customWidth="1"/>
    <col min="7161" max="7161" width="18.875" style="4" customWidth="1"/>
    <col min="7162" max="7404" width="9" style="4"/>
    <col min="7405" max="7405" width="9.625" style="4" customWidth="1"/>
    <col min="7406" max="7406" width="11.5" style="4" customWidth="1"/>
    <col min="7407" max="7407" width="9" style="4" customWidth="1"/>
    <col min="7408" max="7408" width="13.375" style="4" customWidth="1"/>
    <col min="7409" max="7409" width="10.5" style="4" customWidth="1"/>
    <col min="7410" max="7410" width="12.5" style="4" customWidth="1"/>
    <col min="7411" max="7411" width="13.75" style="4" customWidth="1"/>
    <col min="7412" max="7412" width="9" style="4"/>
    <col min="7413" max="7413" width="12.375" style="4" customWidth="1"/>
    <col min="7414" max="7415" width="9" style="4"/>
    <col min="7416" max="7416" width="15.625" style="4" bestFit="1" customWidth="1"/>
    <col min="7417" max="7417" width="18.875" style="4" customWidth="1"/>
    <col min="7418" max="7660" width="9" style="4"/>
    <col min="7661" max="7661" width="9.625" style="4" customWidth="1"/>
    <col min="7662" max="7662" width="11.5" style="4" customWidth="1"/>
    <col min="7663" max="7663" width="9" style="4" customWidth="1"/>
    <col min="7664" max="7664" width="13.375" style="4" customWidth="1"/>
    <col min="7665" max="7665" width="10.5" style="4" customWidth="1"/>
    <col min="7666" max="7666" width="12.5" style="4" customWidth="1"/>
    <col min="7667" max="7667" width="13.75" style="4" customWidth="1"/>
    <col min="7668" max="7668" width="9" style="4"/>
    <col min="7669" max="7669" width="12.375" style="4" customWidth="1"/>
    <col min="7670" max="7671" width="9" style="4"/>
    <col min="7672" max="7672" width="15.625" style="4" bestFit="1" customWidth="1"/>
    <col min="7673" max="7673" width="18.875" style="4" customWidth="1"/>
    <col min="7674" max="7916" width="9" style="4"/>
    <col min="7917" max="7917" width="9.625" style="4" customWidth="1"/>
    <col min="7918" max="7918" width="11.5" style="4" customWidth="1"/>
    <col min="7919" max="7919" width="9" style="4" customWidth="1"/>
    <col min="7920" max="7920" width="13.375" style="4" customWidth="1"/>
    <col min="7921" max="7921" width="10.5" style="4" customWidth="1"/>
    <col min="7922" max="7922" width="12.5" style="4" customWidth="1"/>
    <col min="7923" max="7923" width="13.75" style="4" customWidth="1"/>
    <col min="7924" max="7924" width="9" style="4"/>
    <col min="7925" max="7925" width="12.375" style="4" customWidth="1"/>
    <col min="7926" max="7927" width="9" style="4"/>
    <col min="7928" max="7928" width="15.625" style="4" bestFit="1" customWidth="1"/>
    <col min="7929" max="7929" width="18.875" style="4" customWidth="1"/>
    <col min="7930" max="8172" width="9" style="4"/>
    <col min="8173" max="8173" width="9.625" style="4" customWidth="1"/>
    <col min="8174" max="8174" width="11.5" style="4" customWidth="1"/>
    <col min="8175" max="8175" width="9" style="4" customWidth="1"/>
    <col min="8176" max="8176" width="13.375" style="4" customWidth="1"/>
    <col min="8177" max="8177" width="10.5" style="4" customWidth="1"/>
    <col min="8178" max="8178" width="12.5" style="4" customWidth="1"/>
    <col min="8179" max="8179" width="13.75" style="4" customWidth="1"/>
    <col min="8180" max="8180" width="9" style="4"/>
    <col min="8181" max="8181" width="12.375" style="4" customWidth="1"/>
    <col min="8182" max="8183" width="9" style="4"/>
    <col min="8184" max="8184" width="15.625" style="4" bestFit="1" customWidth="1"/>
    <col min="8185" max="8185" width="18.875" style="4" customWidth="1"/>
    <col min="8186" max="8428" width="9" style="4"/>
    <col min="8429" max="8429" width="9.625" style="4" customWidth="1"/>
    <col min="8430" max="8430" width="11.5" style="4" customWidth="1"/>
    <col min="8431" max="8431" width="9" style="4" customWidth="1"/>
    <col min="8432" max="8432" width="13.375" style="4" customWidth="1"/>
    <col min="8433" max="8433" width="10.5" style="4" customWidth="1"/>
    <col min="8434" max="8434" width="12.5" style="4" customWidth="1"/>
    <col min="8435" max="8435" width="13.75" style="4" customWidth="1"/>
    <col min="8436" max="8436" width="9" style="4"/>
    <col min="8437" max="8437" width="12.375" style="4" customWidth="1"/>
    <col min="8438" max="8439" width="9" style="4"/>
    <col min="8440" max="8440" width="15.625" style="4" bestFit="1" customWidth="1"/>
    <col min="8441" max="8441" width="18.875" style="4" customWidth="1"/>
    <col min="8442" max="8684" width="9" style="4"/>
    <col min="8685" max="8685" width="9.625" style="4" customWidth="1"/>
    <col min="8686" max="8686" width="11.5" style="4" customWidth="1"/>
    <col min="8687" max="8687" width="9" style="4" customWidth="1"/>
    <col min="8688" max="8688" width="13.375" style="4" customWidth="1"/>
    <col min="8689" max="8689" width="10.5" style="4" customWidth="1"/>
    <col min="8690" max="8690" width="12.5" style="4" customWidth="1"/>
    <col min="8691" max="8691" width="13.75" style="4" customWidth="1"/>
    <col min="8692" max="8692" width="9" style="4"/>
    <col min="8693" max="8693" width="12.375" style="4" customWidth="1"/>
    <col min="8694" max="8695" width="9" style="4"/>
    <col min="8696" max="8696" width="15.625" style="4" bestFit="1" customWidth="1"/>
    <col min="8697" max="8697" width="18.875" style="4" customWidth="1"/>
    <col min="8698" max="8940" width="9" style="4"/>
    <col min="8941" max="8941" width="9.625" style="4" customWidth="1"/>
    <col min="8942" max="8942" width="11.5" style="4" customWidth="1"/>
    <col min="8943" max="8943" width="9" style="4" customWidth="1"/>
    <col min="8944" max="8944" width="13.375" style="4" customWidth="1"/>
    <col min="8945" max="8945" width="10.5" style="4" customWidth="1"/>
    <col min="8946" max="8946" width="12.5" style="4" customWidth="1"/>
    <col min="8947" max="8947" width="13.75" style="4" customWidth="1"/>
    <col min="8948" max="8948" width="9" style="4"/>
    <col min="8949" max="8949" width="12.375" style="4" customWidth="1"/>
    <col min="8950" max="8951" width="9" style="4"/>
    <col min="8952" max="8952" width="15.625" style="4" bestFit="1" customWidth="1"/>
    <col min="8953" max="8953" width="18.875" style="4" customWidth="1"/>
    <col min="8954" max="9196" width="9" style="4"/>
    <col min="9197" max="9197" width="9.625" style="4" customWidth="1"/>
    <col min="9198" max="9198" width="11.5" style="4" customWidth="1"/>
    <col min="9199" max="9199" width="9" style="4" customWidth="1"/>
    <col min="9200" max="9200" width="13.375" style="4" customWidth="1"/>
    <col min="9201" max="9201" width="10.5" style="4" customWidth="1"/>
    <col min="9202" max="9202" width="12.5" style="4" customWidth="1"/>
    <col min="9203" max="9203" width="13.75" style="4" customWidth="1"/>
    <col min="9204" max="9204" width="9" style="4"/>
    <col min="9205" max="9205" width="12.375" style="4" customWidth="1"/>
    <col min="9206" max="9207" width="9" style="4"/>
    <col min="9208" max="9208" width="15.625" style="4" bestFit="1" customWidth="1"/>
    <col min="9209" max="9209" width="18.875" style="4" customWidth="1"/>
    <col min="9210" max="9452" width="9" style="4"/>
    <col min="9453" max="9453" width="9.625" style="4" customWidth="1"/>
    <col min="9454" max="9454" width="11.5" style="4" customWidth="1"/>
    <col min="9455" max="9455" width="9" style="4" customWidth="1"/>
    <col min="9456" max="9456" width="13.375" style="4" customWidth="1"/>
    <col min="9457" max="9457" width="10.5" style="4" customWidth="1"/>
    <col min="9458" max="9458" width="12.5" style="4" customWidth="1"/>
    <col min="9459" max="9459" width="13.75" style="4" customWidth="1"/>
    <col min="9460" max="9460" width="9" style="4"/>
    <col min="9461" max="9461" width="12.375" style="4" customWidth="1"/>
    <col min="9462" max="9463" width="9" style="4"/>
    <col min="9464" max="9464" width="15.625" style="4" bestFit="1" customWidth="1"/>
    <col min="9465" max="9465" width="18.875" style="4" customWidth="1"/>
    <col min="9466" max="9708" width="9" style="4"/>
    <col min="9709" max="9709" width="9.625" style="4" customWidth="1"/>
    <col min="9710" max="9710" width="11.5" style="4" customWidth="1"/>
    <col min="9711" max="9711" width="9" style="4" customWidth="1"/>
    <col min="9712" max="9712" width="13.375" style="4" customWidth="1"/>
    <col min="9713" max="9713" width="10.5" style="4" customWidth="1"/>
    <col min="9714" max="9714" width="12.5" style="4" customWidth="1"/>
    <col min="9715" max="9715" width="13.75" style="4" customWidth="1"/>
    <col min="9716" max="9716" width="9" style="4"/>
    <col min="9717" max="9717" width="12.375" style="4" customWidth="1"/>
    <col min="9718" max="9719" width="9" style="4"/>
    <col min="9720" max="9720" width="15.625" style="4" bestFit="1" customWidth="1"/>
    <col min="9721" max="9721" width="18.875" style="4" customWidth="1"/>
    <col min="9722" max="9964" width="9" style="4"/>
    <col min="9965" max="9965" width="9.625" style="4" customWidth="1"/>
    <col min="9966" max="9966" width="11.5" style="4" customWidth="1"/>
    <col min="9967" max="9967" width="9" style="4" customWidth="1"/>
    <col min="9968" max="9968" width="13.375" style="4" customWidth="1"/>
    <col min="9969" max="9969" width="10.5" style="4" customWidth="1"/>
    <col min="9970" max="9970" width="12.5" style="4" customWidth="1"/>
    <col min="9971" max="9971" width="13.75" style="4" customWidth="1"/>
    <col min="9972" max="9972" width="9" style="4"/>
    <col min="9973" max="9973" width="12.375" style="4" customWidth="1"/>
    <col min="9974" max="9975" width="9" style="4"/>
    <col min="9976" max="9976" width="15.625" style="4" bestFit="1" customWidth="1"/>
    <col min="9977" max="9977" width="18.875" style="4" customWidth="1"/>
    <col min="9978" max="10220" width="9" style="4"/>
    <col min="10221" max="10221" width="9.625" style="4" customWidth="1"/>
    <col min="10222" max="10222" width="11.5" style="4" customWidth="1"/>
    <col min="10223" max="10223" width="9" style="4" customWidth="1"/>
    <col min="10224" max="10224" width="13.375" style="4" customWidth="1"/>
    <col min="10225" max="10225" width="10.5" style="4" customWidth="1"/>
    <col min="10226" max="10226" width="12.5" style="4" customWidth="1"/>
    <col min="10227" max="10227" width="13.75" style="4" customWidth="1"/>
    <col min="10228" max="10228" width="9" style="4"/>
    <col min="10229" max="10229" width="12.375" style="4" customWidth="1"/>
    <col min="10230" max="10231" width="9" style="4"/>
    <col min="10232" max="10232" width="15.625" style="4" bestFit="1" customWidth="1"/>
    <col min="10233" max="10233" width="18.875" style="4" customWidth="1"/>
    <col min="10234" max="10476" width="9" style="4"/>
    <col min="10477" max="10477" width="9.625" style="4" customWidth="1"/>
    <col min="10478" max="10478" width="11.5" style="4" customWidth="1"/>
    <col min="10479" max="10479" width="9" style="4" customWidth="1"/>
    <col min="10480" max="10480" width="13.375" style="4" customWidth="1"/>
    <col min="10481" max="10481" width="10.5" style="4" customWidth="1"/>
    <col min="10482" max="10482" width="12.5" style="4" customWidth="1"/>
    <col min="10483" max="10483" width="13.75" style="4" customWidth="1"/>
    <col min="10484" max="10484" width="9" style="4"/>
    <col min="10485" max="10485" width="12.375" style="4" customWidth="1"/>
    <col min="10486" max="10487" width="9" style="4"/>
    <col min="10488" max="10488" width="15.625" style="4" bestFit="1" customWidth="1"/>
    <col min="10489" max="10489" width="18.875" style="4" customWidth="1"/>
    <col min="10490" max="10732" width="9" style="4"/>
    <col min="10733" max="10733" width="9.625" style="4" customWidth="1"/>
    <col min="10734" max="10734" width="11.5" style="4" customWidth="1"/>
    <col min="10735" max="10735" width="9" style="4" customWidth="1"/>
    <col min="10736" max="10736" width="13.375" style="4" customWidth="1"/>
    <col min="10737" max="10737" width="10.5" style="4" customWidth="1"/>
    <col min="10738" max="10738" width="12.5" style="4" customWidth="1"/>
    <col min="10739" max="10739" width="13.75" style="4" customWidth="1"/>
    <col min="10740" max="10740" width="9" style="4"/>
    <col min="10741" max="10741" width="12.375" style="4" customWidth="1"/>
    <col min="10742" max="10743" width="9" style="4"/>
    <col min="10744" max="10744" width="15.625" style="4" bestFit="1" customWidth="1"/>
    <col min="10745" max="10745" width="18.875" style="4" customWidth="1"/>
    <col min="10746" max="10988" width="9" style="4"/>
    <col min="10989" max="10989" width="9.625" style="4" customWidth="1"/>
    <col min="10990" max="10990" width="11.5" style="4" customWidth="1"/>
    <col min="10991" max="10991" width="9" style="4" customWidth="1"/>
    <col min="10992" max="10992" width="13.375" style="4" customWidth="1"/>
    <col min="10993" max="10993" width="10.5" style="4" customWidth="1"/>
    <col min="10994" max="10994" width="12.5" style="4" customWidth="1"/>
    <col min="10995" max="10995" width="13.75" style="4" customWidth="1"/>
    <col min="10996" max="10996" width="9" style="4"/>
    <col min="10997" max="10997" width="12.375" style="4" customWidth="1"/>
    <col min="10998" max="10999" width="9" style="4"/>
    <col min="11000" max="11000" width="15.625" style="4" bestFit="1" customWidth="1"/>
    <col min="11001" max="11001" width="18.875" style="4" customWidth="1"/>
    <col min="11002" max="11244" width="9" style="4"/>
    <col min="11245" max="11245" width="9.625" style="4" customWidth="1"/>
    <col min="11246" max="11246" width="11.5" style="4" customWidth="1"/>
    <col min="11247" max="11247" width="9" style="4" customWidth="1"/>
    <col min="11248" max="11248" width="13.375" style="4" customWidth="1"/>
    <col min="11249" max="11249" width="10.5" style="4" customWidth="1"/>
    <col min="11250" max="11250" width="12.5" style="4" customWidth="1"/>
    <col min="11251" max="11251" width="13.75" style="4" customWidth="1"/>
    <col min="11252" max="11252" width="9" style="4"/>
    <col min="11253" max="11253" width="12.375" style="4" customWidth="1"/>
    <col min="11254" max="11255" width="9" style="4"/>
    <col min="11256" max="11256" width="15.625" style="4" bestFit="1" customWidth="1"/>
    <col min="11257" max="11257" width="18.875" style="4" customWidth="1"/>
    <col min="11258" max="11500" width="9" style="4"/>
    <col min="11501" max="11501" width="9.625" style="4" customWidth="1"/>
    <col min="11502" max="11502" width="11.5" style="4" customWidth="1"/>
    <col min="11503" max="11503" width="9" style="4" customWidth="1"/>
    <col min="11504" max="11504" width="13.375" style="4" customWidth="1"/>
    <col min="11505" max="11505" width="10.5" style="4" customWidth="1"/>
    <col min="11506" max="11506" width="12.5" style="4" customWidth="1"/>
    <col min="11507" max="11507" width="13.75" style="4" customWidth="1"/>
    <col min="11508" max="11508" width="9" style="4"/>
    <col min="11509" max="11509" width="12.375" style="4" customWidth="1"/>
    <col min="11510" max="11511" width="9" style="4"/>
    <col min="11512" max="11512" width="15.625" style="4" bestFit="1" customWidth="1"/>
    <col min="11513" max="11513" width="18.875" style="4" customWidth="1"/>
    <col min="11514" max="11756" width="9" style="4"/>
    <col min="11757" max="11757" width="9.625" style="4" customWidth="1"/>
    <col min="11758" max="11758" width="11.5" style="4" customWidth="1"/>
    <col min="11759" max="11759" width="9" style="4" customWidth="1"/>
    <col min="11760" max="11760" width="13.375" style="4" customWidth="1"/>
    <col min="11761" max="11761" width="10.5" style="4" customWidth="1"/>
    <col min="11762" max="11762" width="12.5" style="4" customWidth="1"/>
    <col min="11763" max="11763" width="13.75" style="4" customWidth="1"/>
    <col min="11764" max="11764" width="9" style="4"/>
    <col min="11765" max="11765" width="12.375" style="4" customWidth="1"/>
    <col min="11766" max="11767" width="9" style="4"/>
    <col min="11768" max="11768" width="15.625" style="4" bestFit="1" customWidth="1"/>
    <col min="11769" max="11769" width="18.875" style="4" customWidth="1"/>
    <col min="11770" max="12012" width="9" style="4"/>
    <col min="12013" max="12013" width="9.625" style="4" customWidth="1"/>
    <col min="12014" max="12014" width="11.5" style="4" customWidth="1"/>
    <col min="12015" max="12015" width="9" style="4" customWidth="1"/>
    <col min="12016" max="12016" width="13.375" style="4" customWidth="1"/>
    <col min="12017" max="12017" width="10.5" style="4" customWidth="1"/>
    <col min="12018" max="12018" width="12.5" style="4" customWidth="1"/>
    <col min="12019" max="12019" width="13.75" style="4" customWidth="1"/>
    <col min="12020" max="12020" width="9" style="4"/>
    <col min="12021" max="12021" width="12.375" style="4" customWidth="1"/>
    <col min="12022" max="12023" width="9" style="4"/>
    <col min="12024" max="12024" width="15.625" style="4" bestFit="1" customWidth="1"/>
    <col min="12025" max="12025" width="18.875" style="4" customWidth="1"/>
    <col min="12026" max="12268" width="9" style="4"/>
    <col min="12269" max="12269" width="9.625" style="4" customWidth="1"/>
    <col min="12270" max="12270" width="11.5" style="4" customWidth="1"/>
    <col min="12271" max="12271" width="9" style="4" customWidth="1"/>
    <col min="12272" max="12272" width="13.375" style="4" customWidth="1"/>
    <col min="12273" max="12273" width="10.5" style="4" customWidth="1"/>
    <col min="12274" max="12274" width="12.5" style="4" customWidth="1"/>
    <col min="12275" max="12275" width="13.75" style="4" customWidth="1"/>
    <col min="12276" max="12276" width="9" style="4"/>
    <col min="12277" max="12277" width="12.375" style="4" customWidth="1"/>
    <col min="12278" max="12279" width="9" style="4"/>
    <col min="12280" max="12280" width="15.625" style="4" bestFit="1" customWidth="1"/>
    <col min="12281" max="12281" width="18.875" style="4" customWidth="1"/>
    <col min="12282" max="12524" width="9" style="4"/>
    <col min="12525" max="12525" width="9.625" style="4" customWidth="1"/>
    <col min="12526" max="12526" width="11.5" style="4" customWidth="1"/>
    <col min="12527" max="12527" width="9" style="4" customWidth="1"/>
    <col min="12528" max="12528" width="13.375" style="4" customWidth="1"/>
    <col min="12529" max="12529" width="10.5" style="4" customWidth="1"/>
    <col min="12530" max="12530" width="12.5" style="4" customWidth="1"/>
    <col min="12531" max="12531" width="13.75" style="4" customWidth="1"/>
    <col min="12532" max="12532" width="9" style="4"/>
    <col min="12533" max="12533" width="12.375" style="4" customWidth="1"/>
    <col min="12534" max="12535" width="9" style="4"/>
    <col min="12536" max="12536" width="15.625" style="4" bestFit="1" customWidth="1"/>
    <col min="12537" max="12537" width="18.875" style="4" customWidth="1"/>
    <col min="12538" max="12780" width="9" style="4"/>
    <col min="12781" max="12781" width="9.625" style="4" customWidth="1"/>
    <col min="12782" max="12782" width="11.5" style="4" customWidth="1"/>
    <col min="12783" max="12783" width="9" style="4" customWidth="1"/>
    <col min="12784" max="12784" width="13.375" style="4" customWidth="1"/>
    <col min="12785" max="12785" width="10.5" style="4" customWidth="1"/>
    <col min="12786" max="12786" width="12.5" style="4" customWidth="1"/>
    <col min="12787" max="12787" width="13.75" style="4" customWidth="1"/>
    <col min="12788" max="12788" width="9" style="4"/>
    <col min="12789" max="12789" width="12.375" style="4" customWidth="1"/>
    <col min="12790" max="12791" width="9" style="4"/>
    <col min="12792" max="12792" width="15.625" style="4" bestFit="1" customWidth="1"/>
    <col min="12793" max="12793" width="18.875" style="4" customWidth="1"/>
    <col min="12794" max="13036" width="9" style="4"/>
    <col min="13037" max="13037" width="9.625" style="4" customWidth="1"/>
    <col min="13038" max="13038" width="11.5" style="4" customWidth="1"/>
    <col min="13039" max="13039" width="9" style="4" customWidth="1"/>
    <col min="13040" max="13040" width="13.375" style="4" customWidth="1"/>
    <col min="13041" max="13041" width="10.5" style="4" customWidth="1"/>
    <col min="13042" max="13042" width="12.5" style="4" customWidth="1"/>
    <col min="13043" max="13043" width="13.75" style="4" customWidth="1"/>
    <col min="13044" max="13044" width="9" style="4"/>
    <col min="13045" max="13045" width="12.375" style="4" customWidth="1"/>
    <col min="13046" max="13047" width="9" style="4"/>
    <col min="13048" max="13048" width="15.625" style="4" bestFit="1" customWidth="1"/>
    <col min="13049" max="13049" width="18.875" style="4" customWidth="1"/>
    <col min="13050" max="13292" width="9" style="4"/>
    <col min="13293" max="13293" width="9.625" style="4" customWidth="1"/>
    <col min="13294" max="13294" width="11.5" style="4" customWidth="1"/>
    <col min="13295" max="13295" width="9" style="4" customWidth="1"/>
    <col min="13296" max="13296" width="13.375" style="4" customWidth="1"/>
    <col min="13297" max="13297" width="10.5" style="4" customWidth="1"/>
    <col min="13298" max="13298" width="12.5" style="4" customWidth="1"/>
    <col min="13299" max="13299" width="13.75" style="4" customWidth="1"/>
    <col min="13300" max="13300" width="9" style="4"/>
    <col min="13301" max="13301" width="12.375" style="4" customWidth="1"/>
    <col min="13302" max="13303" width="9" style="4"/>
    <col min="13304" max="13304" width="15.625" style="4" bestFit="1" customWidth="1"/>
    <col min="13305" max="13305" width="18.875" style="4" customWidth="1"/>
    <col min="13306" max="13548" width="9" style="4"/>
    <col min="13549" max="13549" width="9.625" style="4" customWidth="1"/>
    <col min="13550" max="13550" width="11.5" style="4" customWidth="1"/>
    <col min="13551" max="13551" width="9" style="4" customWidth="1"/>
    <col min="13552" max="13552" width="13.375" style="4" customWidth="1"/>
    <col min="13553" max="13553" width="10.5" style="4" customWidth="1"/>
    <col min="13554" max="13554" width="12.5" style="4" customWidth="1"/>
    <col min="13555" max="13555" width="13.75" style="4" customWidth="1"/>
    <col min="13556" max="13556" width="9" style="4"/>
    <col min="13557" max="13557" width="12.375" style="4" customWidth="1"/>
    <col min="13558" max="13559" width="9" style="4"/>
    <col min="13560" max="13560" width="15.625" style="4" bestFit="1" customWidth="1"/>
    <col min="13561" max="13561" width="18.875" style="4" customWidth="1"/>
    <col min="13562" max="13804" width="9" style="4"/>
    <col min="13805" max="13805" width="9.625" style="4" customWidth="1"/>
    <col min="13806" max="13806" width="11.5" style="4" customWidth="1"/>
    <col min="13807" max="13807" width="9" style="4" customWidth="1"/>
    <col min="13808" max="13808" width="13.375" style="4" customWidth="1"/>
    <col min="13809" max="13809" width="10.5" style="4" customWidth="1"/>
    <col min="13810" max="13810" width="12.5" style="4" customWidth="1"/>
    <col min="13811" max="13811" width="13.75" style="4" customWidth="1"/>
    <col min="13812" max="13812" width="9" style="4"/>
    <col min="13813" max="13813" width="12.375" style="4" customWidth="1"/>
    <col min="13814" max="13815" width="9" style="4"/>
    <col min="13816" max="13816" width="15.625" style="4" bestFit="1" customWidth="1"/>
    <col min="13817" max="13817" width="18.875" style="4" customWidth="1"/>
    <col min="13818" max="14060" width="9" style="4"/>
    <col min="14061" max="14061" width="9.625" style="4" customWidth="1"/>
    <col min="14062" max="14062" width="11.5" style="4" customWidth="1"/>
    <col min="14063" max="14063" width="9" style="4" customWidth="1"/>
    <col min="14064" max="14064" width="13.375" style="4" customWidth="1"/>
    <col min="14065" max="14065" width="10.5" style="4" customWidth="1"/>
    <col min="14066" max="14066" width="12.5" style="4" customWidth="1"/>
    <col min="14067" max="14067" width="13.75" style="4" customWidth="1"/>
    <col min="14068" max="14068" width="9" style="4"/>
    <col min="14069" max="14069" width="12.375" style="4" customWidth="1"/>
    <col min="14070" max="14071" width="9" style="4"/>
    <col min="14072" max="14072" width="15.625" style="4" bestFit="1" customWidth="1"/>
    <col min="14073" max="14073" width="18.875" style="4" customWidth="1"/>
    <col min="14074" max="14316" width="9" style="4"/>
    <col min="14317" max="14317" width="9.625" style="4" customWidth="1"/>
    <col min="14318" max="14318" width="11.5" style="4" customWidth="1"/>
    <col min="14319" max="14319" width="9" style="4" customWidth="1"/>
    <col min="14320" max="14320" width="13.375" style="4" customWidth="1"/>
    <col min="14321" max="14321" width="10.5" style="4" customWidth="1"/>
    <col min="14322" max="14322" width="12.5" style="4" customWidth="1"/>
    <col min="14323" max="14323" width="13.75" style="4" customWidth="1"/>
    <col min="14324" max="14324" width="9" style="4"/>
    <col min="14325" max="14325" width="12.375" style="4" customWidth="1"/>
    <col min="14326" max="14327" width="9" style="4"/>
    <col min="14328" max="14328" width="15.625" style="4" bestFit="1" customWidth="1"/>
    <col min="14329" max="14329" width="18.875" style="4" customWidth="1"/>
    <col min="14330" max="14572" width="9" style="4"/>
    <col min="14573" max="14573" width="9.625" style="4" customWidth="1"/>
    <col min="14574" max="14574" width="11.5" style="4" customWidth="1"/>
    <col min="14575" max="14575" width="9" style="4" customWidth="1"/>
    <col min="14576" max="14576" width="13.375" style="4" customWidth="1"/>
    <col min="14577" max="14577" width="10.5" style="4" customWidth="1"/>
    <col min="14578" max="14578" width="12.5" style="4" customWidth="1"/>
    <col min="14579" max="14579" width="13.75" style="4" customWidth="1"/>
    <col min="14580" max="14580" width="9" style="4"/>
    <col min="14581" max="14581" width="12.375" style="4" customWidth="1"/>
    <col min="14582" max="14583" width="9" style="4"/>
    <col min="14584" max="14584" width="15.625" style="4" bestFit="1" customWidth="1"/>
    <col min="14585" max="14585" width="18.875" style="4" customWidth="1"/>
    <col min="14586" max="14828" width="9" style="4"/>
    <col min="14829" max="14829" width="9.625" style="4" customWidth="1"/>
    <col min="14830" max="14830" width="11.5" style="4" customWidth="1"/>
    <col min="14831" max="14831" width="9" style="4" customWidth="1"/>
    <col min="14832" max="14832" width="13.375" style="4" customWidth="1"/>
    <col min="14833" max="14833" width="10.5" style="4" customWidth="1"/>
    <col min="14834" max="14834" width="12.5" style="4" customWidth="1"/>
    <col min="14835" max="14835" width="13.75" style="4" customWidth="1"/>
    <col min="14836" max="14836" width="9" style="4"/>
    <col min="14837" max="14837" width="12.375" style="4" customWidth="1"/>
    <col min="14838" max="14839" width="9" style="4"/>
    <col min="14840" max="14840" width="15.625" style="4" bestFit="1" customWidth="1"/>
    <col min="14841" max="14841" width="18.875" style="4" customWidth="1"/>
    <col min="14842" max="15084" width="9" style="4"/>
    <col min="15085" max="15085" width="9.625" style="4" customWidth="1"/>
    <col min="15086" max="15086" width="11.5" style="4" customWidth="1"/>
    <col min="15087" max="15087" width="9" style="4" customWidth="1"/>
    <col min="15088" max="15088" width="13.375" style="4" customWidth="1"/>
    <col min="15089" max="15089" width="10.5" style="4" customWidth="1"/>
    <col min="15090" max="15090" width="12.5" style="4" customWidth="1"/>
    <col min="15091" max="15091" width="13.75" style="4" customWidth="1"/>
    <col min="15092" max="15092" width="9" style="4"/>
    <col min="15093" max="15093" width="12.375" style="4" customWidth="1"/>
    <col min="15094" max="15095" width="9" style="4"/>
    <col min="15096" max="15096" width="15.625" style="4" bestFit="1" customWidth="1"/>
    <col min="15097" max="15097" width="18.875" style="4" customWidth="1"/>
    <col min="15098" max="15340" width="9" style="4"/>
    <col min="15341" max="15341" width="9.625" style="4" customWidth="1"/>
    <col min="15342" max="15342" width="11.5" style="4" customWidth="1"/>
    <col min="15343" max="15343" width="9" style="4" customWidth="1"/>
    <col min="15344" max="15344" width="13.375" style="4" customWidth="1"/>
    <col min="15345" max="15345" width="10.5" style="4" customWidth="1"/>
    <col min="15346" max="15346" width="12.5" style="4" customWidth="1"/>
    <col min="15347" max="15347" width="13.75" style="4" customWidth="1"/>
    <col min="15348" max="15348" width="9" style="4"/>
    <col min="15349" max="15349" width="12.375" style="4" customWidth="1"/>
    <col min="15350" max="15351" width="9" style="4"/>
    <col min="15352" max="15352" width="15.625" style="4" bestFit="1" customWidth="1"/>
    <col min="15353" max="15353" width="18.875" style="4" customWidth="1"/>
    <col min="15354" max="15596" width="9" style="4"/>
    <col min="15597" max="15597" width="9.625" style="4" customWidth="1"/>
    <col min="15598" max="15598" width="11.5" style="4" customWidth="1"/>
    <col min="15599" max="15599" width="9" style="4" customWidth="1"/>
    <col min="15600" max="15600" width="13.375" style="4" customWidth="1"/>
    <col min="15601" max="15601" width="10.5" style="4" customWidth="1"/>
    <col min="15602" max="15602" width="12.5" style="4" customWidth="1"/>
    <col min="15603" max="15603" width="13.75" style="4" customWidth="1"/>
    <col min="15604" max="15604" width="9" style="4"/>
    <col min="15605" max="15605" width="12.375" style="4" customWidth="1"/>
    <col min="15606" max="15607" width="9" style="4"/>
    <col min="15608" max="15608" width="15.625" style="4" bestFit="1" customWidth="1"/>
    <col min="15609" max="15609" width="18.875" style="4" customWidth="1"/>
    <col min="15610" max="15852" width="9" style="4"/>
    <col min="15853" max="15853" width="9.625" style="4" customWidth="1"/>
    <col min="15854" max="15854" width="11.5" style="4" customWidth="1"/>
    <col min="15855" max="15855" width="9" style="4" customWidth="1"/>
    <col min="15856" max="15856" width="13.375" style="4" customWidth="1"/>
    <col min="15857" max="15857" width="10.5" style="4" customWidth="1"/>
    <col min="15858" max="15858" width="12.5" style="4" customWidth="1"/>
    <col min="15859" max="15859" width="13.75" style="4" customWidth="1"/>
    <col min="15860" max="15860" width="9" style="4"/>
    <col min="15861" max="15861" width="12.375" style="4" customWidth="1"/>
    <col min="15862" max="15863" width="9" style="4"/>
    <col min="15864" max="15864" width="15.625" style="4" bestFit="1" customWidth="1"/>
    <col min="15865" max="15865" width="18.875" style="4" customWidth="1"/>
    <col min="15866" max="16108" width="9" style="4"/>
    <col min="16109" max="16109" width="9.625" style="4" customWidth="1"/>
    <col min="16110" max="16110" width="11.5" style="4" customWidth="1"/>
    <col min="16111" max="16111" width="9" style="4" customWidth="1"/>
    <col min="16112" max="16112" width="13.375" style="4" customWidth="1"/>
    <col min="16113" max="16113" width="10.5" style="4" customWidth="1"/>
    <col min="16114" max="16114" width="12.5" style="4" customWidth="1"/>
    <col min="16115" max="16115" width="13.75" style="4" customWidth="1"/>
    <col min="16116" max="16116" width="9" style="4"/>
    <col min="16117" max="16117" width="12.375" style="4" customWidth="1"/>
    <col min="16118" max="16119" width="9" style="4"/>
    <col min="16120" max="16120" width="15.625" style="4" bestFit="1" customWidth="1"/>
    <col min="16121" max="16121" width="18.875" style="4" customWidth="1"/>
    <col min="16122" max="16384" width="9" style="4"/>
  </cols>
  <sheetData>
    <row r="1" spans="1:7" ht="16.5" x14ac:dyDescent="0.15">
      <c r="A1" s="5" t="s">
        <v>28</v>
      </c>
      <c r="B1" s="6" t="s">
        <v>29</v>
      </c>
    </row>
    <row r="2" spans="1:7" x14ac:dyDescent="0.15">
      <c r="A2" s="4" t="s">
        <v>0</v>
      </c>
      <c r="B2" s="4" t="s">
        <v>2793</v>
      </c>
    </row>
    <row r="3" spans="1:7" x14ac:dyDescent="0.15">
      <c r="A3" s="4" t="s">
        <v>11</v>
      </c>
      <c r="D3" s="4" t="s">
        <v>12</v>
      </c>
      <c r="E3" s="4" t="s">
        <v>2780</v>
      </c>
      <c r="F3" s="4" t="s">
        <v>2775</v>
      </c>
      <c r="G3" s="4" t="s">
        <v>12</v>
      </c>
    </row>
    <row r="4" spans="1:7" x14ac:dyDescent="0.15">
      <c r="A4" s="4" t="s">
        <v>9</v>
      </c>
      <c r="D4" s="4" t="s">
        <v>13</v>
      </c>
      <c r="E4" s="4" t="s">
        <v>2781</v>
      </c>
      <c r="F4" s="4" t="s">
        <v>2782</v>
      </c>
      <c r="G4" s="4" t="s">
        <v>2670</v>
      </c>
    </row>
    <row r="5" spans="1:7" x14ac:dyDescent="0.15">
      <c r="E5" s="4" t="s">
        <v>2783</v>
      </c>
      <c r="F5" s="4" t="s">
        <v>2770</v>
      </c>
      <c r="G5" s="4" t="s">
        <v>2648</v>
      </c>
    </row>
    <row r="7" spans="1:7" x14ac:dyDescent="0.15">
      <c r="A7" s="4" t="s">
        <v>2790</v>
      </c>
      <c r="D7" s="4">
        <v>10</v>
      </c>
      <c r="E7" s="4" t="s">
        <v>2722</v>
      </c>
      <c r="F7" s="4">
        <v>1</v>
      </c>
      <c r="G7" s="4">
        <v>1</v>
      </c>
    </row>
    <row r="8" spans="1:7" x14ac:dyDescent="0.15">
      <c r="A8" s="4" t="s">
        <v>2790</v>
      </c>
      <c r="D8" s="4">
        <v>20</v>
      </c>
      <c r="E8" s="4" t="s">
        <v>2784</v>
      </c>
      <c r="F8" s="4">
        <v>1</v>
      </c>
      <c r="G8" s="4">
        <v>1</v>
      </c>
    </row>
    <row r="9" spans="1:7" x14ac:dyDescent="0.15">
      <c r="A9" s="4" t="s">
        <v>2790</v>
      </c>
      <c r="D9" s="4">
        <v>30</v>
      </c>
      <c r="E9" s="4" t="s">
        <v>2785</v>
      </c>
      <c r="F9" s="4">
        <v>0</v>
      </c>
      <c r="G9" s="4">
        <v>1</v>
      </c>
    </row>
    <row r="10" spans="1:7" x14ac:dyDescent="0.15">
      <c r="A10" s="4" t="s">
        <v>2790</v>
      </c>
      <c r="D10" s="4">
        <v>40</v>
      </c>
      <c r="E10" s="4" t="s">
        <v>2786</v>
      </c>
      <c r="F10" s="4">
        <v>1</v>
      </c>
      <c r="G10" s="4">
        <v>1</v>
      </c>
    </row>
    <row r="11" spans="1:7" x14ac:dyDescent="0.15">
      <c r="A11" s="4" t="s">
        <v>2790</v>
      </c>
      <c r="D11" s="4">
        <v>50</v>
      </c>
      <c r="E11" s="4" t="s">
        <v>2787</v>
      </c>
      <c r="F11" s="4">
        <v>1</v>
      </c>
      <c r="G11" s="4">
        <v>1</v>
      </c>
    </row>
    <row r="12" spans="1:7" x14ac:dyDescent="0.15">
      <c r="A12" s="4" t="s">
        <v>2790</v>
      </c>
      <c r="D12" s="4">
        <v>60</v>
      </c>
      <c r="E12" s="4" t="s">
        <v>2788</v>
      </c>
      <c r="F12" s="4">
        <v>2.5</v>
      </c>
      <c r="G12" s="4">
        <v>1</v>
      </c>
    </row>
    <row r="13" spans="1:7" x14ac:dyDescent="0.15">
      <c r="A13" s="4" t="s">
        <v>2790</v>
      </c>
      <c r="D13" s="4">
        <v>70</v>
      </c>
      <c r="E13" s="4" t="s">
        <v>2789</v>
      </c>
      <c r="F13" s="4">
        <v>1</v>
      </c>
      <c r="G13" s="4">
        <v>1</v>
      </c>
    </row>
    <row r="14" spans="1:7" x14ac:dyDescent="0.15">
      <c r="A14" s="4" t="s">
        <v>2790</v>
      </c>
      <c r="D14" s="4">
        <v>80</v>
      </c>
      <c r="E14" s="4" t="s">
        <v>2811</v>
      </c>
      <c r="F14" s="4">
        <v>1.8</v>
      </c>
      <c r="G14" s="4">
        <v>1</v>
      </c>
    </row>
    <row r="15" spans="1:7" x14ac:dyDescent="0.15">
      <c r="A15" s="4" t="s">
        <v>2847</v>
      </c>
      <c r="D15" s="4">
        <v>90</v>
      </c>
      <c r="E15" s="4" t="s">
        <v>2848</v>
      </c>
      <c r="F15" s="4">
        <v>1</v>
      </c>
      <c r="G15" s="4">
        <v>1</v>
      </c>
    </row>
    <row r="16" spans="1:7" x14ac:dyDescent="0.15">
      <c r="A16" s="4" t="s">
        <v>2849</v>
      </c>
      <c r="D16" s="4">
        <v>100</v>
      </c>
      <c r="E16" s="4" t="s">
        <v>2850</v>
      </c>
      <c r="F16" s="4">
        <v>1</v>
      </c>
      <c r="G16" s="4">
        <v>1</v>
      </c>
    </row>
    <row r="17" spans="1:7" x14ac:dyDescent="0.15">
      <c r="A17" s="4" t="s">
        <v>2849</v>
      </c>
      <c r="D17" s="4">
        <v>110</v>
      </c>
      <c r="E17" s="4" t="s">
        <v>2851</v>
      </c>
      <c r="F17" s="4">
        <v>1</v>
      </c>
      <c r="G17" s="4">
        <v>1</v>
      </c>
    </row>
    <row r="18" spans="1:7" x14ac:dyDescent="0.15">
      <c r="A18" s="4" t="s">
        <v>2849</v>
      </c>
      <c r="D18" s="4">
        <v>120</v>
      </c>
      <c r="E18" s="4" t="s">
        <v>2852</v>
      </c>
      <c r="F18" s="4">
        <v>1.5</v>
      </c>
      <c r="G18" s="4">
        <v>1</v>
      </c>
    </row>
    <row r="19" spans="1:7" x14ac:dyDescent="0.15">
      <c r="A19" s="4" t="s">
        <v>2849</v>
      </c>
      <c r="D19" s="4">
        <v>130</v>
      </c>
      <c r="E19" s="4" t="s">
        <v>2853</v>
      </c>
      <c r="F19" s="4">
        <v>1.5</v>
      </c>
      <c r="G19" s="4">
        <v>1</v>
      </c>
    </row>
    <row r="20" spans="1:7" x14ac:dyDescent="0.15">
      <c r="A20" s="4" t="s">
        <v>2849</v>
      </c>
      <c r="D20" s="4">
        <v>140</v>
      </c>
      <c r="E20" s="4" t="s">
        <v>2854</v>
      </c>
      <c r="F20" s="4">
        <v>2</v>
      </c>
      <c r="G20" s="4">
        <v>1</v>
      </c>
    </row>
    <row r="21" spans="1:7" x14ac:dyDescent="0.15">
      <c r="A21" s="4" t="s">
        <v>2849</v>
      </c>
      <c r="D21" s="4">
        <v>150</v>
      </c>
      <c r="E21" s="4" t="s">
        <v>2855</v>
      </c>
      <c r="F21" s="4">
        <v>3.5</v>
      </c>
      <c r="G21" s="4">
        <v>1</v>
      </c>
    </row>
    <row r="22" spans="1:7" x14ac:dyDescent="0.15">
      <c r="A22" s="4" t="s">
        <v>2849</v>
      </c>
      <c r="D22" s="4">
        <v>160</v>
      </c>
      <c r="E22" s="4" t="s">
        <v>2856</v>
      </c>
      <c r="F22" s="4">
        <v>3.5</v>
      </c>
      <c r="G22" s="4">
        <v>1</v>
      </c>
    </row>
    <row r="23" spans="1:7" x14ac:dyDescent="0.15">
      <c r="A23" s="4" t="s">
        <v>2663</v>
      </c>
      <c r="D23" s="4">
        <v>170</v>
      </c>
      <c r="E23" s="4" t="s">
        <v>2867</v>
      </c>
      <c r="F23" s="4">
        <v>0.4</v>
      </c>
      <c r="G23" s="4">
        <v>1</v>
      </c>
    </row>
    <row r="24" spans="1:7" x14ac:dyDescent="0.15">
      <c r="A24" s="4" t="s">
        <v>2663</v>
      </c>
      <c r="D24" s="4">
        <v>180</v>
      </c>
      <c r="E24" s="4" t="s">
        <v>2872</v>
      </c>
      <c r="F24" s="4">
        <v>2</v>
      </c>
      <c r="G24" s="4">
        <v>1</v>
      </c>
    </row>
    <row r="25" spans="1:7" x14ac:dyDescent="0.15">
      <c r="A25" s="4" t="s">
        <v>2892</v>
      </c>
      <c r="D25" s="4">
        <v>190</v>
      </c>
      <c r="E25" s="4" t="s">
        <v>2891</v>
      </c>
      <c r="F25" s="4">
        <v>0.5</v>
      </c>
      <c r="G25" s="4">
        <v>1</v>
      </c>
    </row>
    <row r="26" spans="1:7" x14ac:dyDescent="0.15">
      <c r="A26" s="4" t="s">
        <v>2663</v>
      </c>
      <c r="D26" s="4">
        <v>191</v>
      </c>
      <c r="E26" s="4" t="s">
        <v>2891</v>
      </c>
      <c r="F26" s="4">
        <v>1</v>
      </c>
      <c r="G26" s="4">
        <v>1</v>
      </c>
    </row>
    <row r="29" spans="1:7" x14ac:dyDescent="0.15">
      <c r="A29" s="4" t="s">
        <v>2904</v>
      </c>
      <c r="D29" s="4">
        <v>200</v>
      </c>
      <c r="E29" s="4" t="s">
        <v>2901</v>
      </c>
      <c r="F29" s="4">
        <v>0.6</v>
      </c>
      <c r="G29" s="4">
        <v>1</v>
      </c>
    </row>
    <row r="30" spans="1:7" x14ac:dyDescent="0.15">
      <c r="A30" s="4" t="s">
        <v>2904</v>
      </c>
      <c r="D30" s="4">
        <v>210</v>
      </c>
      <c r="E30" s="4" t="s">
        <v>2913</v>
      </c>
      <c r="F30" s="4">
        <v>0.8</v>
      </c>
      <c r="G30" s="4">
        <v>1</v>
      </c>
    </row>
    <row r="31" spans="1:7" x14ac:dyDescent="0.15">
      <c r="A31" s="4" t="s">
        <v>2904</v>
      </c>
      <c r="D31" s="4">
        <v>220</v>
      </c>
      <c r="E31" s="4" t="s">
        <v>2914</v>
      </c>
      <c r="F31" s="4">
        <v>1.6</v>
      </c>
      <c r="G31" s="4">
        <v>1</v>
      </c>
    </row>
    <row r="32" spans="1:7" x14ac:dyDescent="0.15">
      <c r="A32" s="4" t="s">
        <v>2904</v>
      </c>
      <c r="D32" s="4">
        <v>230</v>
      </c>
      <c r="E32" s="4" t="s">
        <v>2915</v>
      </c>
      <c r="F32" s="4">
        <v>0.6</v>
      </c>
      <c r="G32" s="4">
        <v>1</v>
      </c>
    </row>
    <row r="33" spans="1:7" x14ac:dyDescent="0.15">
      <c r="A33" s="4" t="s">
        <v>2904</v>
      </c>
      <c r="D33" s="4">
        <v>240</v>
      </c>
      <c r="E33" s="4" t="s">
        <v>2902</v>
      </c>
      <c r="F33" s="4">
        <v>0.8</v>
      </c>
      <c r="G33" s="4">
        <v>1</v>
      </c>
    </row>
    <row r="34" spans="1:7" x14ac:dyDescent="0.15">
      <c r="A34" s="4" t="s">
        <v>2904</v>
      </c>
      <c r="D34" s="4">
        <v>250</v>
      </c>
      <c r="E34" s="4" t="s">
        <v>2916</v>
      </c>
      <c r="F34" s="4">
        <v>1.6</v>
      </c>
      <c r="G34" s="4">
        <v>1</v>
      </c>
    </row>
    <row r="35" spans="1:7" x14ac:dyDescent="0.15">
      <c r="A35" s="4" t="s">
        <v>2904</v>
      </c>
      <c r="D35" s="4">
        <v>260</v>
      </c>
      <c r="E35" s="4" t="s">
        <v>2917</v>
      </c>
      <c r="F35" s="4">
        <v>0.6</v>
      </c>
      <c r="G35" s="4">
        <v>1</v>
      </c>
    </row>
    <row r="36" spans="1:7" x14ac:dyDescent="0.15">
      <c r="A36" s="4" t="s">
        <v>2904</v>
      </c>
      <c r="D36" s="4">
        <v>270</v>
      </c>
      <c r="E36" s="4" t="s">
        <v>2918</v>
      </c>
      <c r="F36" s="4">
        <v>0.8</v>
      </c>
      <c r="G36" s="4">
        <v>1</v>
      </c>
    </row>
    <row r="37" spans="1:7" x14ac:dyDescent="0.15">
      <c r="A37" s="4" t="s">
        <v>2904</v>
      </c>
      <c r="D37" s="4">
        <v>280</v>
      </c>
      <c r="E37" s="4" t="s">
        <v>2903</v>
      </c>
      <c r="F37" s="4">
        <v>1.6</v>
      </c>
      <c r="G37" s="4">
        <v>1</v>
      </c>
    </row>
    <row r="38" spans="1:7" x14ac:dyDescent="0.15">
      <c r="A38" s="4" t="s">
        <v>2904</v>
      </c>
      <c r="D38" s="4">
        <v>290</v>
      </c>
      <c r="E38" s="4" t="s">
        <v>2905</v>
      </c>
      <c r="F38" s="4">
        <v>0.8</v>
      </c>
      <c r="G38" s="4">
        <v>1</v>
      </c>
    </row>
    <row r="39" spans="1:7" x14ac:dyDescent="0.15">
      <c r="A39" s="4" t="s">
        <v>2904</v>
      </c>
      <c r="D39" s="4">
        <v>300</v>
      </c>
      <c r="E39" s="4" t="s">
        <v>2906</v>
      </c>
      <c r="F39" s="4">
        <v>0.8</v>
      </c>
      <c r="G39" s="4">
        <v>1</v>
      </c>
    </row>
    <row r="40" spans="1:7" x14ac:dyDescent="0.15">
      <c r="A40" s="4" t="s">
        <v>2663</v>
      </c>
      <c r="D40" s="4">
        <v>310</v>
      </c>
      <c r="E40" s="4" t="s">
        <v>2911</v>
      </c>
      <c r="F40" s="4">
        <v>0.8</v>
      </c>
      <c r="G40" s="4">
        <v>1</v>
      </c>
    </row>
    <row r="41" spans="1:7" x14ac:dyDescent="0.15">
      <c r="A41" s="4" t="s">
        <v>2958</v>
      </c>
      <c r="D41" s="4">
        <v>320</v>
      </c>
      <c r="E41" s="4" t="s">
        <v>2912</v>
      </c>
      <c r="F41" s="4">
        <v>1.6</v>
      </c>
      <c r="G41" s="4">
        <v>1</v>
      </c>
    </row>
    <row r="43" spans="1:7" x14ac:dyDescent="0.15">
      <c r="A43" s="4" t="s">
        <v>2958</v>
      </c>
      <c r="D43" s="4">
        <v>330</v>
      </c>
      <c r="E43" s="4" t="s">
        <v>2959</v>
      </c>
      <c r="F43" s="4">
        <v>0</v>
      </c>
      <c r="G43" s="4">
        <v>1</v>
      </c>
    </row>
    <row r="44" spans="1:7" x14ac:dyDescent="0.15">
      <c r="A44" s="4" t="s">
        <v>2958</v>
      </c>
      <c r="D44" s="4">
        <v>340</v>
      </c>
      <c r="E44" s="4" t="s">
        <v>2960</v>
      </c>
      <c r="F44" s="4">
        <v>0.4</v>
      </c>
      <c r="G44" s="4">
        <v>1</v>
      </c>
    </row>
    <row r="45" spans="1:7" x14ac:dyDescent="0.15">
      <c r="A45" s="4" t="s">
        <v>2958</v>
      </c>
      <c r="D45" s="4">
        <v>350</v>
      </c>
      <c r="E45" s="4" t="s">
        <v>2961</v>
      </c>
      <c r="F45" s="4">
        <v>1</v>
      </c>
      <c r="G45" s="4">
        <v>1</v>
      </c>
    </row>
    <row r="46" spans="1:7" x14ac:dyDescent="0.15">
      <c r="A46" s="4" t="s">
        <v>2958</v>
      </c>
      <c r="D46" s="4">
        <v>360</v>
      </c>
      <c r="E46" s="4" t="s">
        <v>2962</v>
      </c>
      <c r="F46" s="4">
        <v>1</v>
      </c>
      <c r="G46" s="4">
        <v>1</v>
      </c>
    </row>
    <row r="47" spans="1:7" x14ac:dyDescent="0.15">
      <c r="A47" s="4" t="s">
        <v>2958</v>
      </c>
      <c r="D47" s="4">
        <v>370</v>
      </c>
      <c r="E47" s="4" t="s">
        <v>2963</v>
      </c>
      <c r="F47" s="4">
        <v>0.4</v>
      </c>
      <c r="G47" s="4">
        <v>1</v>
      </c>
    </row>
    <row r="49" spans="1:7" x14ac:dyDescent="0.15">
      <c r="A49" s="4" t="s">
        <v>2663</v>
      </c>
      <c r="D49" s="4">
        <v>380</v>
      </c>
      <c r="E49" s="4" t="s">
        <v>2997</v>
      </c>
      <c r="F49" s="4">
        <v>1.8</v>
      </c>
      <c r="G49" s="4">
        <v>1</v>
      </c>
    </row>
    <row r="50" spans="1:7" x14ac:dyDescent="0.15">
      <c r="A50" s="4" t="s">
        <v>2663</v>
      </c>
      <c r="D50" s="4">
        <v>390</v>
      </c>
      <c r="E50" s="4" t="s">
        <v>2998</v>
      </c>
      <c r="F50" s="4">
        <v>1</v>
      </c>
      <c r="G50" s="4">
        <v>1</v>
      </c>
    </row>
    <row r="51" spans="1:7" x14ac:dyDescent="0.15">
      <c r="A51" s="4" t="s">
        <v>2663</v>
      </c>
      <c r="D51" s="4">
        <v>400</v>
      </c>
      <c r="E51" s="4" t="s">
        <v>3009</v>
      </c>
      <c r="F51" s="4">
        <v>1.5</v>
      </c>
      <c r="G51" s="4">
        <v>1</v>
      </c>
    </row>
    <row r="52" spans="1:7" x14ac:dyDescent="0.15">
      <c r="A52" s="4" t="s">
        <v>2663</v>
      </c>
      <c r="D52" s="4">
        <v>410</v>
      </c>
      <c r="E52" s="4" t="s">
        <v>3010</v>
      </c>
      <c r="F52" s="4">
        <v>0.8</v>
      </c>
      <c r="G52" s="4">
        <v>1</v>
      </c>
    </row>
    <row r="53" spans="1:7" x14ac:dyDescent="0.15">
      <c r="A53" s="4" t="s">
        <v>2663</v>
      </c>
      <c r="D53" s="4">
        <v>420</v>
      </c>
      <c r="E53" s="4" t="s">
        <v>3107</v>
      </c>
      <c r="F53" s="4">
        <v>1</v>
      </c>
      <c r="G53" s="4">
        <v>1</v>
      </c>
    </row>
    <row r="54" spans="1:7" x14ac:dyDescent="0.15">
      <c r="A54" s="4" t="s">
        <v>2663</v>
      </c>
      <c r="D54" s="4">
        <v>430</v>
      </c>
      <c r="E54" s="4" t="s">
        <v>3122</v>
      </c>
      <c r="F54" s="4">
        <v>1</v>
      </c>
      <c r="G54" s="4">
        <v>1</v>
      </c>
    </row>
    <row r="55" spans="1:7" x14ac:dyDescent="0.15">
      <c r="A55" s="4" t="s">
        <v>2663</v>
      </c>
      <c r="D55" s="4">
        <v>440</v>
      </c>
      <c r="E55" s="4" t="s">
        <v>3135</v>
      </c>
      <c r="F55" s="4">
        <v>2.6</v>
      </c>
      <c r="G55" s="4">
        <v>1</v>
      </c>
    </row>
    <row r="56" spans="1:7" x14ac:dyDescent="0.15">
      <c r="A56" s="4" t="s">
        <v>2663</v>
      </c>
      <c r="D56" s="4">
        <v>450</v>
      </c>
      <c r="E56" s="4" t="s">
        <v>3137</v>
      </c>
      <c r="F56" s="4">
        <v>2</v>
      </c>
      <c r="G56" s="4">
        <v>1</v>
      </c>
    </row>
    <row r="57" spans="1:7" x14ac:dyDescent="0.15">
      <c r="A57" s="4" t="s">
        <v>2663</v>
      </c>
      <c r="D57" s="4">
        <v>460</v>
      </c>
      <c r="E57" s="4" t="s">
        <v>3139</v>
      </c>
      <c r="F57" s="4">
        <v>2</v>
      </c>
      <c r="G57" s="4">
        <v>1</v>
      </c>
    </row>
    <row r="59" spans="1:7" x14ac:dyDescent="0.15">
      <c r="A59" s="4" t="s">
        <v>2663</v>
      </c>
      <c r="D59" s="4">
        <v>470</v>
      </c>
      <c r="E59" s="4" t="s">
        <v>3236</v>
      </c>
      <c r="F59" s="4">
        <v>1.5</v>
      </c>
      <c r="G59" s="4">
        <v>1</v>
      </c>
    </row>
    <row r="60" spans="1:7" x14ac:dyDescent="0.15">
      <c r="A60" s="4" t="s">
        <v>2663</v>
      </c>
      <c r="D60" s="4">
        <v>480</v>
      </c>
      <c r="E60" s="4" t="s">
        <v>3209</v>
      </c>
      <c r="F60" s="4">
        <v>3</v>
      </c>
      <c r="G60" s="4">
        <v>1</v>
      </c>
    </row>
    <row r="61" spans="1:7" x14ac:dyDescent="0.15">
      <c r="A61" s="4" t="s">
        <v>2663</v>
      </c>
      <c r="D61" s="4">
        <v>490</v>
      </c>
      <c r="E61" s="4" t="s">
        <v>3210</v>
      </c>
      <c r="F61" s="4">
        <v>1.5</v>
      </c>
      <c r="G61" s="4">
        <v>1</v>
      </c>
    </row>
    <row r="62" spans="1:7" x14ac:dyDescent="0.15">
      <c r="A62" s="4" t="s">
        <v>2663</v>
      </c>
      <c r="D62" s="4">
        <v>500</v>
      </c>
      <c r="E62" s="4" t="s">
        <v>3211</v>
      </c>
      <c r="F62" s="4">
        <v>0.4</v>
      </c>
      <c r="G62" s="4">
        <v>1</v>
      </c>
    </row>
    <row r="63" spans="1:7" x14ac:dyDescent="0.15">
      <c r="A63" s="4" t="s">
        <v>2663</v>
      </c>
      <c r="D63" s="4">
        <v>510</v>
      </c>
      <c r="E63" s="4" t="s">
        <v>3212</v>
      </c>
      <c r="F63" s="4">
        <v>3</v>
      </c>
      <c r="G63" s="4">
        <v>1</v>
      </c>
    </row>
    <row r="64" spans="1:7" x14ac:dyDescent="0.15">
      <c r="A64" s="4" t="s">
        <v>2663</v>
      </c>
      <c r="D64" s="4">
        <v>520</v>
      </c>
      <c r="E64" s="4" t="s">
        <v>3213</v>
      </c>
      <c r="F64" s="4">
        <v>1</v>
      </c>
      <c r="G64" s="4">
        <v>1</v>
      </c>
    </row>
    <row r="65" spans="1:7" x14ac:dyDescent="0.15">
      <c r="A65" s="4" t="s">
        <v>2663</v>
      </c>
      <c r="D65" s="4">
        <v>530</v>
      </c>
      <c r="E65" s="4" t="s">
        <v>3214</v>
      </c>
      <c r="F65" s="4">
        <v>0</v>
      </c>
      <c r="G65" s="4">
        <v>1</v>
      </c>
    </row>
    <row r="67" spans="1:7" x14ac:dyDescent="0.15">
      <c r="A67" s="4" t="s">
        <v>2662</v>
      </c>
      <c r="D67" s="4">
        <v>540</v>
      </c>
      <c r="E67" s="4" t="s">
        <v>3387</v>
      </c>
      <c r="F67" s="4">
        <v>1</v>
      </c>
      <c r="G67" s="4">
        <v>1</v>
      </c>
    </row>
    <row r="68" spans="1:7" x14ac:dyDescent="0.15">
      <c r="A68" s="4" t="s">
        <v>3388</v>
      </c>
      <c r="D68" s="4">
        <v>550</v>
      </c>
      <c r="E68" s="4" t="s">
        <v>3389</v>
      </c>
      <c r="F68" s="4">
        <v>1</v>
      </c>
      <c r="G68" s="4">
        <v>1</v>
      </c>
    </row>
    <row r="69" spans="1:7" x14ac:dyDescent="0.15">
      <c r="A69" s="4" t="s">
        <v>2662</v>
      </c>
      <c r="D69" s="4">
        <v>560</v>
      </c>
      <c r="E69" s="4" t="s">
        <v>3390</v>
      </c>
      <c r="F69" s="4">
        <v>1</v>
      </c>
      <c r="G69" s="4">
        <v>1</v>
      </c>
    </row>
    <row r="70" spans="1:7" x14ac:dyDescent="0.15">
      <c r="A70" s="4" t="s">
        <v>3391</v>
      </c>
      <c r="D70" s="4">
        <v>570</v>
      </c>
      <c r="E70" s="4" t="s">
        <v>3392</v>
      </c>
      <c r="F70" s="4">
        <v>0.8</v>
      </c>
      <c r="G70" s="4">
        <v>1</v>
      </c>
    </row>
    <row r="71" spans="1:7" x14ac:dyDescent="0.15">
      <c r="A71" s="4" t="s">
        <v>3393</v>
      </c>
      <c r="D71" s="4">
        <v>580</v>
      </c>
      <c r="E71" s="4" t="s">
        <v>3394</v>
      </c>
      <c r="F71" s="4">
        <v>2.2000000000000002</v>
      </c>
      <c r="G71" s="4">
        <v>1</v>
      </c>
    </row>
    <row r="72" spans="1:7" x14ac:dyDescent="0.15">
      <c r="A72" s="4" t="s">
        <v>3391</v>
      </c>
      <c r="D72" s="4">
        <v>590</v>
      </c>
      <c r="E72" s="4" t="s">
        <v>3395</v>
      </c>
      <c r="F72" s="4">
        <v>0.4</v>
      </c>
      <c r="G72" s="4">
        <v>1</v>
      </c>
    </row>
    <row r="74" spans="1:7" x14ac:dyDescent="0.15">
      <c r="A74" s="4" t="s">
        <v>2662</v>
      </c>
      <c r="D74" s="4">
        <v>600</v>
      </c>
      <c r="E74" s="4" t="s">
        <v>3401</v>
      </c>
      <c r="F74" s="4">
        <v>1.2</v>
      </c>
      <c r="G74" s="4">
        <v>1</v>
      </c>
    </row>
    <row r="75" spans="1:7" x14ac:dyDescent="0.15">
      <c r="A75" s="4" t="s">
        <v>2662</v>
      </c>
      <c r="D75" s="4">
        <v>610</v>
      </c>
      <c r="E75" s="4" t="s">
        <v>3401</v>
      </c>
      <c r="F75" s="4">
        <v>0</v>
      </c>
      <c r="G75" s="4">
        <v>1</v>
      </c>
    </row>
    <row r="76" spans="1:7" x14ac:dyDescent="0.15">
      <c r="A76" s="4" t="s">
        <v>2662</v>
      </c>
      <c r="D76" s="4">
        <v>620</v>
      </c>
      <c r="E76" s="4" t="s">
        <v>3402</v>
      </c>
      <c r="F76" s="4">
        <v>1.2</v>
      </c>
      <c r="G76" s="4">
        <v>1</v>
      </c>
    </row>
    <row r="77" spans="1:7" x14ac:dyDescent="0.15">
      <c r="A77" s="4" t="s">
        <v>2662</v>
      </c>
      <c r="D77" s="4">
        <v>630</v>
      </c>
      <c r="E77" s="4" t="s">
        <v>3403</v>
      </c>
      <c r="F77" s="4">
        <v>1</v>
      </c>
      <c r="G77" s="4">
        <v>1</v>
      </c>
    </row>
    <row r="78" spans="1:7" x14ac:dyDescent="0.15">
      <c r="A78" s="4" t="s">
        <v>3069</v>
      </c>
      <c r="D78" s="4">
        <v>640</v>
      </c>
      <c r="E78" s="4" t="s">
        <v>3404</v>
      </c>
      <c r="F78" s="4">
        <v>2</v>
      </c>
      <c r="G78" s="4">
        <v>1</v>
      </c>
    </row>
    <row r="79" spans="1:7" x14ac:dyDescent="0.15">
      <c r="A79" s="4" t="s">
        <v>2662</v>
      </c>
      <c r="D79" s="4">
        <v>650</v>
      </c>
      <c r="E79" s="4" t="s">
        <v>3405</v>
      </c>
      <c r="F79" s="4">
        <v>1.5</v>
      </c>
      <c r="G79" s="4">
        <v>1</v>
      </c>
    </row>
    <row r="80" spans="1:7" x14ac:dyDescent="0.15">
      <c r="A80" s="4" t="s">
        <v>3069</v>
      </c>
      <c r="D80" s="4">
        <v>660</v>
      </c>
      <c r="E80" s="4" t="s">
        <v>3406</v>
      </c>
      <c r="F80" s="4">
        <v>1</v>
      </c>
      <c r="G80" s="4">
        <v>1</v>
      </c>
    </row>
    <row r="82" spans="1:7" x14ac:dyDescent="0.15">
      <c r="A82" s="4" t="s">
        <v>2662</v>
      </c>
      <c r="D82" s="4">
        <v>670</v>
      </c>
      <c r="E82" s="4" t="s">
        <v>3438</v>
      </c>
      <c r="F82" s="4">
        <v>0</v>
      </c>
      <c r="G82" s="4">
        <v>1</v>
      </c>
    </row>
    <row r="83" spans="1:7" x14ac:dyDescent="0.15">
      <c r="A83" s="4" t="s">
        <v>2662</v>
      </c>
      <c r="D83" s="4">
        <v>680</v>
      </c>
      <c r="E83" s="4" t="s">
        <v>3439</v>
      </c>
      <c r="F83" s="4">
        <v>1</v>
      </c>
      <c r="G83" s="4">
        <v>1</v>
      </c>
    </row>
    <row r="84" spans="1:7" x14ac:dyDescent="0.15">
      <c r="A84" s="4" t="s">
        <v>2662</v>
      </c>
      <c r="D84" s="4">
        <v>690</v>
      </c>
      <c r="E84" s="4" t="s">
        <v>3440</v>
      </c>
      <c r="F84" s="4">
        <v>3</v>
      </c>
      <c r="G84" s="4">
        <v>1</v>
      </c>
    </row>
    <row r="85" spans="1:7" x14ac:dyDescent="0.15">
      <c r="A85" s="4" t="s">
        <v>2662</v>
      </c>
      <c r="D85" s="4">
        <v>700</v>
      </c>
      <c r="E85" s="4" t="s">
        <v>3441</v>
      </c>
      <c r="F85" s="4">
        <v>1</v>
      </c>
      <c r="G85" s="4">
        <v>1</v>
      </c>
    </row>
    <row r="86" spans="1:7" x14ac:dyDescent="0.15">
      <c r="A86" s="4" t="s">
        <v>2662</v>
      </c>
      <c r="D86" s="4">
        <v>710</v>
      </c>
      <c r="E86" s="4" t="s">
        <v>3449</v>
      </c>
      <c r="F86" s="4">
        <v>1</v>
      </c>
      <c r="G86" s="4">
        <v>1</v>
      </c>
    </row>
    <row r="88" spans="1:7" x14ac:dyDescent="0.15">
      <c r="A88" s="4" t="s">
        <v>2662</v>
      </c>
      <c r="D88" s="4">
        <v>720</v>
      </c>
      <c r="E88" s="4" t="s">
        <v>3460</v>
      </c>
      <c r="F88" s="4">
        <v>0.4</v>
      </c>
      <c r="G88" s="4">
        <v>1</v>
      </c>
    </row>
    <row r="89" spans="1:7" x14ac:dyDescent="0.15">
      <c r="A89" s="4" t="s">
        <v>2662</v>
      </c>
      <c r="D89" s="4">
        <v>730</v>
      </c>
      <c r="E89" s="4" t="s">
        <v>3461</v>
      </c>
      <c r="F89" s="4">
        <v>1.3</v>
      </c>
      <c r="G89" s="4">
        <v>1</v>
      </c>
    </row>
    <row r="90" spans="1:7" x14ac:dyDescent="0.15">
      <c r="A90" s="4" t="s">
        <v>2662</v>
      </c>
      <c r="D90" s="4">
        <v>740</v>
      </c>
      <c r="E90" s="4" t="s">
        <v>3462</v>
      </c>
      <c r="F90" s="4">
        <v>1.3</v>
      </c>
      <c r="G90" s="4">
        <v>1</v>
      </c>
    </row>
    <row r="91" spans="1:7" x14ac:dyDescent="0.15">
      <c r="A91" s="4" t="s">
        <v>2662</v>
      </c>
      <c r="D91" s="4">
        <v>750</v>
      </c>
      <c r="E91" s="4" t="s">
        <v>3463</v>
      </c>
      <c r="F91" s="4">
        <v>1.7</v>
      </c>
      <c r="G91" s="4">
        <v>1</v>
      </c>
    </row>
    <row r="93" spans="1:7" x14ac:dyDescent="0.15">
      <c r="A93" s="4" t="s">
        <v>2662</v>
      </c>
      <c r="D93" s="4">
        <v>760</v>
      </c>
      <c r="E93" s="4" t="s">
        <v>3516</v>
      </c>
      <c r="F93" s="4">
        <v>1.4</v>
      </c>
      <c r="G93" s="4">
        <v>1</v>
      </c>
    </row>
    <row r="94" spans="1:7" x14ac:dyDescent="0.15">
      <c r="A94" s="4" t="s">
        <v>2662</v>
      </c>
      <c r="D94" s="4">
        <v>770</v>
      </c>
      <c r="E94" s="4" t="s">
        <v>3517</v>
      </c>
      <c r="F94" s="4">
        <v>0.4</v>
      </c>
      <c r="G94" s="4">
        <v>1</v>
      </c>
    </row>
    <row r="95" spans="1:7" x14ac:dyDescent="0.15">
      <c r="A95" s="4" t="s">
        <v>2662</v>
      </c>
      <c r="D95" s="4">
        <v>780</v>
      </c>
      <c r="E95" s="4" t="s">
        <v>3518</v>
      </c>
      <c r="F95" s="4">
        <v>1.8</v>
      </c>
      <c r="G95" s="4">
        <v>1</v>
      </c>
    </row>
    <row r="96" spans="1:7" x14ac:dyDescent="0.15">
      <c r="A96" s="4" t="s">
        <v>2662</v>
      </c>
      <c r="D96" s="4">
        <v>790</v>
      </c>
      <c r="E96" s="4" t="s">
        <v>3519</v>
      </c>
      <c r="F96" s="4">
        <v>1.8</v>
      </c>
      <c r="G96" s="4">
        <v>1</v>
      </c>
    </row>
    <row r="97" spans="1:7" x14ac:dyDescent="0.15">
      <c r="A97" s="4" t="s">
        <v>2662</v>
      </c>
      <c r="D97" s="4">
        <v>800</v>
      </c>
      <c r="E97" s="4" t="s">
        <v>3520</v>
      </c>
      <c r="F97" s="4">
        <v>0.4</v>
      </c>
      <c r="G97" s="4">
        <v>1</v>
      </c>
    </row>
    <row r="98" spans="1:7" x14ac:dyDescent="0.15">
      <c r="A98" s="4" t="s">
        <v>2662</v>
      </c>
      <c r="D98" s="4">
        <v>810</v>
      </c>
      <c r="E98" s="4" t="s">
        <v>3521</v>
      </c>
      <c r="F98" s="4">
        <v>2.4</v>
      </c>
      <c r="G98" s="4">
        <v>1</v>
      </c>
    </row>
    <row r="99" spans="1:7" x14ac:dyDescent="0.15">
      <c r="A99" s="4" t="s">
        <v>2662</v>
      </c>
      <c r="D99" s="4">
        <v>820</v>
      </c>
      <c r="E99" s="4" t="s">
        <v>3522</v>
      </c>
      <c r="F99" s="4">
        <v>1.5</v>
      </c>
      <c r="G99" s="4">
        <v>1</v>
      </c>
    </row>
    <row r="101" spans="1:7" x14ac:dyDescent="0.15">
      <c r="A101" s="4" t="s">
        <v>2662</v>
      </c>
      <c r="D101" s="4">
        <v>830</v>
      </c>
      <c r="E101" s="4" t="s">
        <v>3649</v>
      </c>
      <c r="F101" s="4">
        <v>2</v>
      </c>
      <c r="G101" s="4">
        <v>1</v>
      </c>
    </row>
    <row r="102" spans="1:7" x14ac:dyDescent="0.15">
      <c r="A102" s="4" t="s">
        <v>2662</v>
      </c>
      <c r="D102" s="4">
        <v>840</v>
      </c>
      <c r="E102" s="4" t="s">
        <v>3650</v>
      </c>
      <c r="F102" s="4">
        <v>2</v>
      </c>
      <c r="G102" s="4">
        <v>1</v>
      </c>
    </row>
    <row r="103" spans="1:7" x14ac:dyDescent="0.15">
      <c r="A103" s="4" t="s">
        <v>2662</v>
      </c>
      <c r="D103" s="4">
        <v>850</v>
      </c>
      <c r="E103" s="4" t="s">
        <v>3651</v>
      </c>
      <c r="F103" s="4">
        <v>2</v>
      </c>
      <c r="G103" s="4">
        <v>1</v>
      </c>
    </row>
    <row r="104" spans="1:7" x14ac:dyDescent="0.15">
      <c r="A104" s="4" t="s">
        <v>2662</v>
      </c>
      <c r="D104" s="4">
        <v>860</v>
      </c>
      <c r="E104" s="4" t="s">
        <v>3648</v>
      </c>
      <c r="F104" s="4">
        <v>2</v>
      </c>
      <c r="G104" s="4">
        <v>1</v>
      </c>
    </row>
    <row r="105" spans="1:7" x14ac:dyDescent="0.15">
      <c r="A105" s="4" t="s">
        <v>2662</v>
      </c>
      <c r="D105" s="4">
        <v>870</v>
      </c>
      <c r="E105" s="4" t="s">
        <v>3652</v>
      </c>
      <c r="F105" s="4">
        <v>2</v>
      </c>
      <c r="G105" s="4">
        <v>1</v>
      </c>
    </row>
    <row r="107" spans="1:7" x14ac:dyDescent="0.15">
      <c r="A107" s="4" t="s">
        <v>2662</v>
      </c>
      <c r="D107" s="4">
        <v>880</v>
      </c>
      <c r="E107" s="4" t="s">
        <v>3653</v>
      </c>
      <c r="F107" s="4">
        <v>1.1000000000000001</v>
      </c>
      <c r="G107" s="4">
        <v>1</v>
      </c>
    </row>
    <row r="108" spans="1:7" x14ac:dyDescent="0.15">
      <c r="A108" s="4" t="s">
        <v>2662</v>
      </c>
      <c r="D108" s="4">
        <v>890</v>
      </c>
      <c r="E108" s="4" t="s">
        <v>3654</v>
      </c>
      <c r="F108" s="4">
        <v>1</v>
      </c>
      <c r="G108" s="4">
        <v>1</v>
      </c>
    </row>
    <row r="109" spans="1:7" x14ac:dyDescent="0.15">
      <c r="A109" s="4" t="s">
        <v>2662</v>
      </c>
      <c r="D109" s="4">
        <v>900</v>
      </c>
      <c r="E109" s="4" t="s">
        <v>3655</v>
      </c>
      <c r="F109" s="4">
        <v>1</v>
      </c>
      <c r="G109" s="4">
        <v>1</v>
      </c>
    </row>
    <row r="110" spans="1:7" x14ac:dyDescent="0.15">
      <c r="A110" s="4" t="s">
        <v>2662</v>
      </c>
      <c r="D110" s="4">
        <v>910</v>
      </c>
      <c r="E110" s="4" t="s">
        <v>3656</v>
      </c>
      <c r="F110" s="4">
        <v>0.8</v>
      </c>
      <c r="G110" s="4">
        <v>1</v>
      </c>
    </row>
    <row r="111" spans="1:7" x14ac:dyDescent="0.15">
      <c r="A111" s="4" t="s">
        <v>2662</v>
      </c>
      <c r="D111" s="4">
        <v>920</v>
      </c>
      <c r="E111" s="4" t="s">
        <v>3661</v>
      </c>
      <c r="F111" s="4">
        <v>3.2</v>
      </c>
      <c r="G111" s="4">
        <v>1</v>
      </c>
    </row>
    <row r="113" spans="1:7" x14ac:dyDescent="0.15">
      <c r="A113" s="4" t="s">
        <v>2662</v>
      </c>
      <c r="D113" s="4">
        <v>930</v>
      </c>
      <c r="E113" s="4" t="s">
        <v>3657</v>
      </c>
      <c r="F113" s="4">
        <v>1.3</v>
      </c>
      <c r="G113" s="4">
        <v>1</v>
      </c>
    </row>
    <row r="114" spans="1:7" x14ac:dyDescent="0.15">
      <c r="A114" s="4" t="s">
        <v>2662</v>
      </c>
      <c r="D114" s="4">
        <v>940</v>
      </c>
      <c r="E114" s="4" t="s">
        <v>3658</v>
      </c>
      <c r="F114" s="4">
        <v>1</v>
      </c>
      <c r="G114" s="4">
        <v>1</v>
      </c>
    </row>
    <row r="115" spans="1:7" x14ac:dyDescent="0.15">
      <c r="A115" s="4" t="s">
        <v>2662</v>
      </c>
      <c r="D115" s="4">
        <v>950</v>
      </c>
      <c r="E115" s="4" t="s">
        <v>3659</v>
      </c>
      <c r="F115" s="4">
        <v>1.2</v>
      </c>
      <c r="G115" s="4">
        <v>1</v>
      </c>
    </row>
    <row r="116" spans="1:7" x14ac:dyDescent="0.15">
      <c r="A116" s="4" t="s">
        <v>2662</v>
      </c>
      <c r="D116" s="4">
        <v>960</v>
      </c>
      <c r="E116" s="4" t="s">
        <v>3660</v>
      </c>
      <c r="F116" s="4">
        <v>0.8</v>
      </c>
      <c r="G116" s="4">
        <v>1</v>
      </c>
    </row>
    <row r="117" spans="1:7" x14ac:dyDescent="0.15">
      <c r="A117" s="4" t="s">
        <v>2662</v>
      </c>
      <c r="D117" s="4">
        <v>970</v>
      </c>
      <c r="E117" s="4" t="s">
        <v>3662</v>
      </c>
      <c r="F117" s="4">
        <v>3.5</v>
      </c>
      <c r="G117" s="4">
        <v>1</v>
      </c>
    </row>
    <row r="119" spans="1:7" x14ac:dyDescent="0.15">
      <c r="A119" s="4" t="s">
        <v>2662</v>
      </c>
      <c r="D119" s="4">
        <v>980</v>
      </c>
      <c r="E119" s="4" t="s">
        <v>3663</v>
      </c>
      <c r="F119" s="4">
        <v>1.8</v>
      </c>
      <c r="G119" s="4">
        <v>1</v>
      </c>
    </row>
    <row r="120" spans="1:7" x14ac:dyDescent="0.15">
      <c r="A120" s="4" t="s">
        <v>2662</v>
      </c>
      <c r="D120" s="4">
        <v>990</v>
      </c>
      <c r="E120" s="4" t="s">
        <v>3664</v>
      </c>
      <c r="F120" s="4">
        <v>1.5</v>
      </c>
      <c r="G120" s="4">
        <v>1</v>
      </c>
    </row>
    <row r="121" spans="1:7" x14ac:dyDescent="0.15">
      <c r="A121" s="4" t="s">
        <v>2662</v>
      </c>
      <c r="D121" s="4">
        <v>1000</v>
      </c>
      <c r="E121" s="4" t="s">
        <v>3665</v>
      </c>
      <c r="F121" s="4">
        <v>2</v>
      </c>
      <c r="G121" s="4">
        <v>1</v>
      </c>
    </row>
    <row r="122" spans="1:7" x14ac:dyDescent="0.15">
      <c r="A122" s="4" t="s">
        <v>2662</v>
      </c>
      <c r="D122" s="4">
        <v>1010</v>
      </c>
      <c r="E122" s="4" t="s">
        <v>3666</v>
      </c>
      <c r="F122" s="4">
        <v>3</v>
      </c>
      <c r="G122" s="4">
        <v>1</v>
      </c>
    </row>
    <row r="123" spans="1:7" x14ac:dyDescent="0.15">
      <c r="A123" s="4" t="s">
        <v>2662</v>
      </c>
      <c r="D123" s="4">
        <v>1020</v>
      </c>
      <c r="E123" s="4" t="s">
        <v>3667</v>
      </c>
      <c r="F123" s="4">
        <v>1</v>
      </c>
      <c r="G123" s="4">
        <v>1</v>
      </c>
    </row>
    <row r="124" spans="1:7" x14ac:dyDescent="0.15">
      <c r="A124" s="4" t="s">
        <v>2662</v>
      </c>
      <c r="D124" s="4">
        <v>1030</v>
      </c>
      <c r="E124" s="4" t="s">
        <v>3668</v>
      </c>
      <c r="F124" s="4">
        <v>1</v>
      </c>
      <c r="G124" s="4">
        <v>1</v>
      </c>
    </row>
    <row r="126" spans="1:7" x14ac:dyDescent="0.15">
      <c r="A126" s="4" t="s">
        <v>2662</v>
      </c>
      <c r="D126" s="4">
        <v>1040</v>
      </c>
      <c r="E126" s="4" t="s">
        <v>3695</v>
      </c>
      <c r="F126" s="4">
        <v>1</v>
      </c>
      <c r="G126" s="4">
        <v>1</v>
      </c>
    </row>
    <row r="127" spans="1:7" x14ac:dyDescent="0.15">
      <c r="A127" s="4" t="s">
        <v>2662</v>
      </c>
      <c r="D127" s="4">
        <v>1050</v>
      </c>
      <c r="E127" s="4" t="s">
        <v>3696</v>
      </c>
      <c r="F127" s="4">
        <v>0.4</v>
      </c>
      <c r="G127" s="4">
        <v>1</v>
      </c>
    </row>
    <row r="128" spans="1:7" x14ac:dyDescent="0.15">
      <c r="A128" s="4" t="s">
        <v>2662</v>
      </c>
      <c r="D128" s="4">
        <v>1060</v>
      </c>
      <c r="E128" s="4" t="s">
        <v>9808</v>
      </c>
      <c r="F128" s="4">
        <v>2.5</v>
      </c>
      <c r="G128" s="4">
        <v>1</v>
      </c>
    </row>
    <row r="129" spans="1:7" x14ac:dyDescent="0.15">
      <c r="A129" s="4" t="s">
        <v>2662</v>
      </c>
      <c r="D129" s="4">
        <v>1070</v>
      </c>
      <c r="E129" s="4" t="s">
        <v>9809</v>
      </c>
      <c r="F129" s="4">
        <v>2</v>
      </c>
      <c r="G129" s="4">
        <v>3</v>
      </c>
    </row>
    <row r="131" spans="1:7" x14ac:dyDescent="0.15">
      <c r="A131" s="4" t="s">
        <v>2662</v>
      </c>
      <c r="D131" s="4">
        <v>1080</v>
      </c>
      <c r="E131" s="4" t="s">
        <v>9823</v>
      </c>
      <c r="F131" s="4">
        <v>1</v>
      </c>
      <c r="G131" s="4">
        <v>1</v>
      </c>
    </row>
    <row r="132" spans="1:7" x14ac:dyDescent="0.15">
      <c r="A132" s="4" t="s">
        <v>2662</v>
      </c>
      <c r="D132" s="4">
        <v>1090</v>
      </c>
      <c r="E132" s="4" t="s">
        <v>9824</v>
      </c>
      <c r="F132" s="4">
        <v>3</v>
      </c>
      <c r="G132" s="4">
        <v>1</v>
      </c>
    </row>
    <row r="133" spans="1:7" x14ac:dyDescent="0.15">
      <c r="A133" s="4" t="s">
        <v>2662</v>
      </c>
      <c r="D133" s="4">
        <v>1100</v>
      </c>
      <c r="E133" s="4" t="s">
        <v>9825</v>
      </c>
      <c r="F133" s="4">
        <v>5</v>
      </c>
      <c r="G133" s="4">
        <v>1</v>
      </c>
    </row>
    <row r="134" spans="1:7" x14ac:dyDescent="0.15">
      <c r="A134" s="4" t="s">
        <v>2662</v>
      </c>
      <c r="D134" s="4">
        <v>1110</v>
      </c>
      <c r="E134" s="4" t="s">
        <v>9826</v>
      </c>
      <c r="F134" s="4">
        <v>1.2</v>
      </c>
      <c r="G134" s="4">
        <v>1</v>
      </c>
    </row>
    <row r="135" spans="1:7" x14ac:dyDescent="0.15">
      <c r="A135" s="4" t="s">
        <v>2662</v>
      </c>
      <c r="D135" s="4">
        <v>1120</v>
      </c>
      <c r="E135" s="4" t="s">
        <v>9933</v>
      </c>
      <c r="F135" s="4">
        <v>0</v>
      </c>
      <c r="G135" s="4">
        <v>2</v>
      </c>
    </row>
    <row r="136" spans="1:7" x14ac:dyDescent="0.15">
      <c r="A136" s="4" t="s">
        <v>2662</v>
      </c>
      <c r="D136" s="4">
        <v>1130</v>
      </c>
      <c r="E136" s="4" t="s">
        <v>9827</v>
      </c>
      <c r="F136" s="4">
        <v>5</v>
      </c>
      <c r="G136" s="4">
        <v>1</v>
      </c>
    </row>
    <row r="137" spans="1:7" x14ac:dyDescent="0.15">
      <c r="A137" s="4" t="s">
        <v>2662</v>
      </c>
      <c r="D137" s="4">
        <v>1140</v>
      </c>
      <c r="E137" s="4" t="s">
        <v>9828</v>
      </c>
      <c r="F137" s="4">
        <v>3</v>
      </c>
      <c r="G137" s="4">
        <v>1</v>
      </c>
    </row>
    <row r="138" spans="1:7" x14ac:dyDescent="0.15">
      <c r="A138" s="4" t="s">
        <v>2662</v>
      </c>
      <c r="D138" s="4">
        <v>1150</v>
      </c>
      <c r="E138" s="4" t="s">
        <v>9829</v>
      </c>
      <c r="F138" s="4">
        <v>0.5</v>
      </c>
      <c r="G138" s="4">
        <v>1</v>
      </c>
    </row>
    <row r="139" spans="1:7" x14ac:dyDescent="0.15">
      <c r="A139" s="4" t="s">
        <v>2662</v>
      </c>
      <c r="D139" s="4">
        <v>1160</v>
      </c>
      <c r="E139" s="4" t="s">
        <v>9830</v>
      </c>
      <c r="F139" s="4">
        <v>1</v>
      </c>
      <c r="G139" s="4">
        <v>1</v>
      </c>
    </row>
    <row r="141" spans="1:7" x14ac:dyDescent="0.15">
      <c r="A141" s="4" t="s">
        <v>2662</v>
      </c>
      <c r="D141" s="4">
        <v>1170</v>
      </c>
      <c r="E141" s="4" t="s">
        <v>9831</v>
      </c>
      <c r="F141" s="4">
        <v>3</v>
      </c>
      <c r="G141" s="4">
        <v>1</v>
      </c>
    </row>
    <row r="142" spans="1:7" x14ac:dyDescent="0.15">
      <c r="A142" s="4" t="s">
        <v>2662</v>
      </c>
      <c r="D142" s="4">
        <v>1180</v>
      </c>
      <c r="E142" s="4" t="s">
        <v>9832</v>
      </c>
      <c r="F142" s="4">
        <v>1</v>
      </c>
      <c r="G142" s="4">
        <v>1</v>
      </c>
    </row>
    <row r="143" spans="1:7" x14ac:dyDescent="0.15">
      <c r="A143" s="4" t="s">
        <v>2662</v>
      </c>
      <c r="D143" s="4">
        <v>1190</v>
      </c>
      <c r="E143" s="4" t="s">
        <v>9833</v>
      </c>
      <c r="F143" s="4">
        <v>1.5</v>
      </c>
      <c r="G143" s="4">
        <v>1</v>
      </c>
    </row>
    <row r="144" spans="1:7" x14ac:dyDescent="0.15">
      <c r="A144" s="4" t="s">
        <v>2662</v>
      </c>
      <c r="D144" s="4">
        <v>1200</v>
      </c>
      <c r="E144" s="4" t="s">
        <v>9834</v>
      </c>
      <c r="F144" s="4">
        <v>1</v>
      </c>
      <c r="G144" s="4">
        <v>1</v>
      </c>
    </row>
    <row r="145" spans="1:7" x14ac:dyDescent="0.15">
      <c r="A145" s="4" t="s">
        <v>2662</v>
      </c>
      <c r="D145" s="4">
        <v>1210</v>
      </c>
      <c r="E145" s="4" t="s">
        <v>9835</v>
      </c>
      <c r="F145" s="4">
        <v>0.5</v>
      </c>
      <c r="G145" s="4">
        <v>1</v>
      </c>
    </row>
    <row r="146" spans="1:7" x14ac:dyDescent="0.15">
      <c r="A146" s="4" t="s">
        <v>2662</v>
      </c>
      <c r="D146" s="4">
        <v>1220</v>
      </c>
      <c r="E146" s="4" t="s">
        <v>9836</v>
      </c>
      <c r="F146" s="4">
        <v>1</v>
      </c>
      <c r="G146" s="4">
        <v>1</v>
      </c>
    </row>
    <row r="148" spans="1:7" x14ac:dyDescent="0.15">
      <c r="A148" s="4" t="s">
        <v>2662</v>
      </c>
      <c r="D148" s="4">
        <v>1230</v>
      </c>
      <c r="E148" s="4" t="s">
        <v>9837</v>
      </c>
      <c r="F148" s="4">
        <v>1</v>
      </c>
      <c r="G148" s="4">
        <v>1</v>
      </c>
    </row>
    <row r="149" spans="1:7" x14ac:dyDescent="0.15">
      <c r="A149" s="4" t="s">
        <v>2662</v>
      </c>
      <c r="D149" s="4">
        <v>1240</v>
      </c>
      <c r="E149" s="4" t="s">
        <v>9838</v>
      </c>
      <c r="F149" s="4">
        <v>0.4</v>
      </c>
      <c r="G149" s="4">
        <v>1</v>
      </c>
    </row>
    <row r="150" spans="1:7" x14ac:dyDescent="0.15">
      <c r="A150" s="4" t="s">
        <v>2662</v>
      </c>
      <c r="D150" s="4">
        <v>1250</v>
      </c>
      <c r="E150" s="4" t="s">
        <v>9839</v>
      </c>
      <c r="F150" s="4">
        <v>0.4</v>
      </c>
      <c r="G150" s="4">
        <v>1</v>
      </c>
    </row>
    <row r="151" spans="1:7" x14ac:dyDescent="0.15">
      <c r="A151" s="4" t="s">
        <v>2662</v>
      </c>
      <c r="D151" s="4">
        <v>1260</v>
      </c>
      <c r="E151" s="4" t="s">
        <v>9840</v>
      </c>
      <c r="F151" s="4">
        <v>2.5</v>
      </c>
      <c r="G151" s="4">
        <v>1</v>
      </c>
    </row>
    <row r="152" spans="1:7" x14ac:dyDescent="0.15">
      <c r="A152" s="4" t="s">
        <v>2662</v>
      </c>
      <c r="D152" s="4">
        <v>1270</v>
      </c>
      <c r="E152" s="4" t="s">
        <v>9841</v>
      </c>
      <c r="F152" s="4">
        <v>1</v>
      </c>
      <c r="G152" s="4">
        <v>1</v>
      </c>
    </row>
    <row r="154" spans="1:7" x14ac:dyDescent="0.15">
      <c r="A154" s="4" t="s">
        <v>2662</v>
      </c>
      <c r="D154" s="4">
        <v>1280</v>
      </c>
      <c r="E154" s="4" t="s">
        <v>9842</v>
      </c>
      <c r="F154" s="4">
        <v>1</v>
      </c>
      <c r="G154" s="4">
        <v>1</v>
      </c>
    </row>
    <row r="155" spans="1:7" x14ac:dyDescent="0.15">
      <c r="A155" s="4" t="s">
        <v>2662</v>
      </c>
      <c r="D155" s="4">
        <v>1290</v>
      </c>
      <c r="E155" s="4" t="s">
        <v>9843</v>
      </c>
      <c r="F155" s="4">
        <v>1.5</v>
      </c>
      <c r="G155" s="4">
        <v>1</v>
      </c>
    </row>
    <row r="156" spans="1:7" x14ac:dyDescent="0.15">
      <c r="A156" s="4" t="s">
        <v>2662</v>
      </c>
      <c r="D156" s="4">
        <v>1300</v>
      </c>
      <c r="E156" s="4" t="s">
        <v>9844</v>
      </c>
      <c r="F156" s="4">
        <v>1</v>
      </c>
      <c r="G156" s="4">
        <v>1</v>
      </c>
    </row>
    <row r="157" spans="1:7" x14ac:dyDescent="0.15">
      <c r="A157" s="4" t="s">
        <v>2662</v>
      </c>
      <c r="D157" s="4">
        <v>1310</v>
      </c>
      <c r="E157" s="4" t="s">
        <v>9845</v>
      </c>
      <c r="F157" s="4">
        <v>0.5</v>
      </c>
      <c r="G157" s="4">
        <v>1</v>
      </c>
    </row>
    <row r="158" spans="1:7" x14ac:dyDescent="0.15">
      <c r="A158" s="4" t="s">
        <v>2662</v>
      </c>
      <c r="D158" s="4">
        <v>1320</v>
      </c>
      <c r="E158" s="4" t="s">
        <v>9846</v>
      </c>
      <c r="F158" s="4">
        <v>1</v>
      </c>
      <c r="G158" s="4">
        <v>1</v>
      </c>
    </row>
    <row r="160" spans="1:7" x14ac:dyDescent="0.15">
      <c r="A160" s="4" t="s">
        <v>2662</v>
      </c>
      <c r="D160" s="4">
        <v>1330</v>
      </c>
      <c r="E160" s="4" t="s">
        <v>9916</v>
      </c>
      <c r="F160" s="4">
        <v>0.5</v>
      </c>
      <c r="G160" s="4">
        <v>1</v>
      </c>
    </row>
    <row r="161" spans="1:7" x14ac:dyDescent="0.15">
      <c r="A161" s="4" t="s">
        <v>2662</v>
      </c>
      <c r="D161" s="4">
        <v>1340</v>
      </c>
      <c r="E161" s="4" t="s">
        <v>9937</v>
      </c>
      <c r="F161" s="4">
        <v>0</v>
      </c>
      <c r="G161" s="4">
        <v>1</v>
      </c>
    </row>
    <row r="162" spans="1:7" x14ac:dyDescent="0.15">
      <c r="A162" s="4" t="s">
        <v>2662</v>
      </c>
      <c r="D162" s="4">
        <v>1350</v>
      </c>
      <c r="E162" s="4" t="s">
        <v>9972</v>
      </c>
      <c r="F162" s="4">
        <v>1</v>
      </c>
      <c r="G162" s="4">
        <v>1</v>
      </c>
    </row>
    <row r="163" spans="1:7" x14ac:dyDescent="0.15">
      <c r="A163" s="4" t="s">
        <v>2662</v>
      </c>
      <c r="D163" s="4">
        <v>1360</v>
      </c>
      <c r="E163" s="4" t="s">
        <v>9973</v>
      </c>
      <c r="F163" s="4">
        <v>1</v>
      </c>
      <c r="G163" s="4">
        <v>1</v>
      </c>
    </row>
    <row r="164" spans="1:7" x14ac:dyDescent="0.15">
      <c r="A164" s="4" t="s">
        <v>2662</v>
      </c>
      <c r="D164" s="4">
        <v>1370</v>
      </c>
      <c r="E164" s="4" t="s">
        <v>3400</v>
      </c>
      <c r="F164" s="4">
        <v>1</v>
      </c>
      <c r="G164" s="4">
        <v>1</v>
      </c>
    </row>
    <row r="166" spans="1:7" x14ac:dyDescent="0.15">
      <c r="A166" s="4" t="s">
        <v>2662</v>
      </c>
      <c r="D166" s="4">
        <v>1380</v>
      </c>
      <c r="E166" s="4" t="s">
        <v>10016</v>
      </c>
      <c r="F166" s="4">
        <v>1</v>
      </c>
      <c r="G166" s="4">
        <v>1</v>
      </c>
    </row>
    <row r="167" spans="1:7" x14ac:dyDescent="0.15">
      <c r="A167" s="4" t="s">
        <v>2662</v>
      </c>
      <c r="D167" s="4">
        <v>1390</v>
      </c>
      <c r="E167" s="4" t="s">
        <v>10017</v>
      </c>
      <c r="F167" s="4">
        <v>3</v>
      </c>
      <c r="G167" s="4">
        <v>1</v>
      </c>
    </row>
    <row r="168" spans="1:7" x14ac:dyDescent="0.15">
      <c r="A168" s="4" t="s">
        <v>2662</v>
      </c>
      <c r="D168" s="4">
        <v>1400</v>
      </c>
      <c r="E168" s="4" t="s">
        <v>10018</v>
      </c>
      <c r="F168" s="4">
        <v>1</v>
      </c>
      <c r="G168" s="4">
        <v>1</v>
      </c>
    </row>
    <row r="169" spans="1:7" x14ac:dyDescent="0.15">
      <c r="A169" s="4" t="s">
        <v>2662</v>
      </c>
      <c r="D169" s="4">
        <v>1410</v>
      </c>
      <c r="E169" s="4" t="s">
        <v>10019</v>
      </c>
      <c r="F169" s="4">
        <v>2</v>
      </c>
      <c r="G169" s="4">
        <v>1</v>
      </c>
    </row>
    <row r="170" spans="1:7" x14ac:dyDescent="0.15">
      <c r="A170" s="4" t="s">
        <v>2662</v>
      </c>
      <c r="D170" s="4">
        <v>1420</v>
      </c>
      <c r="E170" s="4" t="s">
        <v>10020</v>
      </c>
      <c r="F170" s="4">
        <v>1</v>
      </c>
      <c r="G170" s="4">
        <v>1</v>
      </c>
    </row>
    <row r="172" spans="1:7" x14ac:dyDescent="0.15">
      <c r="A172" s="4" t="s">
        <v>2662</v>
      </c>
      <c r="D172" s="4">
        <v>1430</v>
      </c>
      <c r="E172" s="4" t="s">
        <v>10021</v>
      </c>
      <c r="F172" s="4">
        <v>1.4</v>
      </c>
      <c r="G172" s="4">
        <v>1</v>
      </c>
    </row>
    <row r="173" spans="1:7" x14ac:dyDescent="0.15">
      <c r="A173" s="4" t="s">
        <v>2662</v>
      </c>
      <c r="D173" s="4">
        <v>1440</v>
      </c>
      <c r="E173" s="4" t="s">
        <v>10022</v>
      </c>
      <c r="F173" s="4">
        <v>1</v>
      </c>
      <c r="G173" s="4">
        <v>1</v>
      </c>
    </row>
    <row r="174" spans="1:7" x14ac:dyDescent="0.15">
      <c r="A174" s="4" t="s">
        <v>2662</v>
      </c>
      <c r="D174" s="4">
        <v>1450</v>
      </c>
      <c r="E174" s="4" t="s">
        <v>10023</v>
      </c>
      <c r="F174" s="4">
        <v>1.3</v>
      </c>
      <c r="G174" s="4">
        <v>1</v>
      </c>
    </row>
    <row r="175" spans="1:7" x14ac:dyDescent="0.15">
      <c r="A175" s="4" t="s">
        <v>2662</v>
      </c>
      <c r="D175" s="4">
        <v>1460</v>
      </c>
      <c r="E175" s="4" t="s">
        <v>10024</v>
      </c>
      <c r="F175" s="4">
        <v>3.1</v>
      </c>
      <c r="G175" s="4">
        <v>1</v>
      </c>
    </row>
    <row r="176" spans="1:7" x14ac:dyDescent="0.15">
      <c r="A176" s="4" t="s">
        <v>2662</v>
      </c>
      <c r="D176" s="4">
        <v>1470</v>
      </c>
      <c r="E176" s="4" t="s">
        <v>10025</v>
      </c>
      <c r="F176" s="4">
        <v>1</v>
      </c>
      <c r="G176" s="4">
        <v>1</v>
      </c>
    </row>
    <row r="178" spans="1:7" x14ac:dyDescent="0.15">
      <c r="A178" s="4" t="s">
        <v>2662</v>
      </c>
      <c r="D178" s="4">
        <v>1480</v>
      </c>
      <c r="E178" s="4" t="s">
        <v>10072</v>
      </c>
      <c r="F178" s="4">
        <v>1</v>
      </c>
      <c r="G178" s="4">
        <v>1</v>
      </c>
    </row>
    <row r="179" spans="1:7" x14ac:dyDescent="0.15">
      <c r="D179" s="4">
        <v>1490</v>
      </c>
    </row>
    <row r="180" spans="1:7" x14ac:dyDescent="0.15">
      <c r="D180" s="4">
        <v>1500</v>
      </c>
    </row>
    <row r="181" spans="1:7" x14ac:dyDescent="0.15">
      <c r="D181" s="4">
        <v>1510</v>
      </c>
    </row>
    <row r="182" spans="1:7" x14ac:dyDescent="0.15">
      <c r="D182" s="4">
        <v>1520</v>
      </c>
    </row>
    <row r="183" spans="1:7" x14ac:dyDescent="0.15">
      <c r="D183" s="4">
        <v>1530</v>
      </c>
    </row>
    <row r="184" spans="1:7" x14ac:dyDescent="0.15">
      <c r="D184" s="4">
        <v>1540</v>
      </c>
    </row>
    <row r="185" spans="1:7" x14ac:dyDescent="0.15">
      <c r="D185" s="4">
        <v>1550</v>
      </c>
    </row>
    <row r="186" spans="1:7" x14ac:dyDescent="0.15">
      <c r="D186" s="4">
        <v>1560</v>
      </c>
    </row>
    <row r="187" spans="1:7" x14ac:dyDescent="0.15">
      <c r="D187" s="4">
        <v>1570</v>
      </c>
    </row>
    <row r="188" spans="1:7" x14ac:dyDescent="0.15">
      <c r="D188" s="4">
        <v>1580</v>
      </c>
    </row>
    <row r="189" spans="1:7" x14ac:dyDescent="0.15">
      <c r="D189" s="4">
        <v>1590</v>
      </c>
    </row>
    <row r="190" spans="1:7" x14ac:dyDescent="0.15">
      <c r="D190" s="4">
        <v>1600</v>
      </c>
    </row>
    <row r="191" spans="1:7" x14ac:dyDescent="0.15">
      <c r="D191" s="4">
        <v>1610</v>
      </c>
    </row>
    <row r="192" spans="1:7" x14ac:dyDescent="0.15">
      <c r="D192" s="4">
        <v>1620</v>
      </c>
    </row>
    <row r="193" spans="1:4" x14ac:dyDescent="0.15">
      <c r="D193" s="4">
        <v>1630</v>
      </c>
    </row>
    <row r="194" spans="1:4" x14ac:dyDescent="0.15">
      <c r="D194" s="4">
        <v>1640</v>
      </c>
    </row>
    <row r="195" spans="1:4" x14ac:dyDescent="0.15">
      <c r="D195" s="4">
        <v>1650</v>
      </c>
    </row>
    <row r="196" spans="1:4" x14ac:dyDescent="0.15">
      <c r="D196" s="4">
        <v>1660</v>
      </c>
    </row>
    <row r="197" spans="1:4" x14ac:dyDescent="0.15">
      <c r="D197" s="4">
        <v>1670</v>
      </c>
    </row>
    <row r="198" spans="1:4" x14ac:dyDescent="0.15">
      <c r="D198" s="4">
        <v>1680</v>
      </c>
    </row>
    <row r="200" spans="1:4" x14ac:dyDescent="0.15">
      <c r="A200" s="4" t="s">
        <v>1</v>
      </c>
    </row>
    <row r="201" spans="1:4" x14ac:dyDescent="0.15">
      <c r="A201" s="4" t="s">
        <v>10</v>
      </c>
    </row>
  </sheetData>
  <phoneticPr fontId="7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D8610"/>
  <sheetViews>
    <sheetView topLeftCell="A8543" workbookViewId="0">
      <selection activeCell="D8588" sqref="D8588"/>
    </sheetView>
  </sheetViews>
  <sheetFormatPr defaultRowHeight="12" x14ac:dyDescent="0.15"/>
  <cols>
    <col min="1" max="1" width="9" style="7"/>
    <col min="4" max="4" width="39.75" bestFit="1" customWidth="1"/>
    <col min="5" max="5" width="9.125" style="4" bestFit="1" customWidth="1"/>
    <col min="6" max="6" width="9" style="4"/>
    <col min="7" max="7" width="8.5" style="4" bestFit="1" customWidth="1"/>
    <col min="8" max="236" width="9" style="4"/>
    <col min="237" max="237" width="9.625" style="4" customWidth="1"/>
    <col min="238" max="238" width="11.5" style="4" customWidth="1"/>
    <col min="239" max="239" width="9" style="4" customWidth="1"/>
    <col min="240" max="240" width="13.375" style="4" customWidth="1"/>
    <col min="241" max="241" width="10.5" style="4" customWidth="1"/>
    <col min="242" max="242" width="12.5" style="4" customWidth="1"/>
    <col min="243" max="243" width="13.75" style="4" customWidth="1"/>
    <col min="244" max="244" width="9" style="4"/>
    <col min="245" max="245" width="12.375" style="4" customWidth="1"/>
    <col min="246" max="247" width="9" style="4"/>
    <col min="248" max="248" width="15.625" style="4" bestFit="1" customWidth="1"/>
    <col min="249" max="249" width="18.875" style="4" customWidth="1"/>
    <col min="250" max="492" width="9" style="4"/>
    <col min="493" max="493" width="9.625" style="4" customWidth="1"/>
    <col min="494" max="494" width="11.5" style="4" customWidth="1"/>
    <col min="495" max="495" width="9" style="4" customWidth="1"/>
    <col min="496" max="496" width="13.375" style="4" customWidth="1"/>
    <col min="497" max="497" width="10.5" style="4" customWidth="1"/>
    <col min="498" max="498" width="12.5" style="4" customWidth="1"/>
    <col min="499" max="499" width="13.75" style="4" customWidth="1"/>
    <col min="500" max="500" width="9" style="4"/>
    <col min="501" max="501" width="12.375" style="4" customWidth="1"/>
    <col min="502" max="503" width="9" style="4"/>
    <col min="504" max="504" width="15.625" style="4" bestFit="1" customWidth="1"/>
    <col min="505" max="505" width="18.875" style="4" customWidth="1"/>
    <col min="506" max="748" width="9" style="4"/>
    <col min="749" max="749" width="9.625" style="4" customWidth="1"/>
    <col min="750" max="750" width="11.5" style="4" customWidth="1"/>
    <col min="751" max="751" width="9" style="4" customWidth="1"/>
    <col min="752" max="752" width="13.375" style="4" customWidth="1"/>
    <col min="753" max="753" width="10.5" style="4" customWidth="1"/>
    <col min="754" max="754" width="12.5" style="4" customWidth="1"/>
    <col min="755" max="755" width="13.75" style="4" customWidth="1"/>
    <col min="756" max="756" width="9" style="4"/>
    <col min="757" max="757" width="12.375" style="4" customWidth="1"/>
    <col min="758" max="759" width="9" style="4"/>
    <col min="760" max="760" width="15.625" style="4" bestFit="1" customWidth="1"/>
    <col min="761" max="761" width="18.875" style="4" customWidth="1"/>
    <col min="762" max="1004" width="9" style="4"/>
    <col min="1005" max="1005" width="9.625" style="4" customWidth="1"/>
    <col min="1006" max="1006" width="11.5" style="4" customWidth="1"/>
    <col min="1007" max="1007" width="9" style="4" customWidth="1"/>
    <col min="1008" max="1008" width="13.375" style="4" customWidth="1"/>
    <col min="1009" max="1009" width="10.5" style="4" customWidth="1"/>
    <col min="1010" max="1010" width="12.5" style="4" customWidth="1"/>
    <col min="1011" max="1011" width="13.75" style="4" customWidth="1"/>
    <col min="1012" max="1012" width="9" style="4"/>
    <col min="1013" max="1013" width="12.375" style="4" customWidth="1"/>
    <col min="1014" max="1015" width="9" style="4"/>
    <col min="1016" max="1016" width="15.625" style="4" bestFit="1" customWidth="1"/>
    <col min="1017" max="1017" width="18.875" style="4" customWidth="1"/>
    <col min="1018" max="1260" width="9" style="4"/>
    <col min="1261" max="1261" width="9.625" style="4" customWidth="1"/>
    <col min="1262" max="1262" width="11.5" style="4" customWidth="1"/>
    <col min="1263" max="1263" width="9" style="4" customWidth="1"/>
    <col min="1264" max="1264" width="13.375" style="4" customWidth="1"/>
    <col min="1265" max="1265" width="10.5" style="4" customWidth="1"/>
    <col min="1266" max="1266" width="12.5" style="4" customWidth="1"/>
    <col min="1267" max="1267" width="13.75" style="4" customWidth="1"/>
    <col min="1268" max="1268" width="9" style="4"/>
    <col min="1269" max="1269" width="12.375" style="4" customWidth="1"/>
    <col min="1270" max="1271" width="9" style="4"/>
    <col min="1272" max="1272" width="15.625" style="4" bestFit="1" customWidth="1"/>
    <col min="1273" max="1273" width="18.875" style="4" customWidth="1"/>
    <col min="1274" max="1516" width="9" style="4"/>
    <col min="1517" max="1517" width="9.625" style="4" customWidth="1"/>
    <col min="1518" max="1518" width="11.5" style="4" customWidth="1"/>
    <col min="1519" max="1519" width="9" style="4" customWidth="1"/>
    <col min="1520" max="1520" width="13.375" style="4" customWidth="1"/>
    <col min="1521" max="1521" width="10.5" style="4" customWidth="1"/>
    <col min="1522" max="1522" width="12.5" style="4" customWidth="1"/>
    <col min="1523" max="1523" width="13.75" style="4" customWidth="1"/>
    <col min="1524" max="1524" width="9" style="4"/>
    <col min="1525" max="1525" width="12.375" style="4" customWidth="1"/>
    <col min="1526" max="1527" width="9" style="4"/>
    <col min="1528" max="1528" width="15.625" style="4" bestFit="1" customWidth="1"/>
    <col min="1529" max="1529" width="18.875" style="4" customWidth="1"/>
    <col min="1530" max="1772" width="9" style="4"/>
    <col min="1773" max="1773" width="9.625" style="4" customWidth="1"/>
    <col min="1774" max="1774" width="11.5" style="4" customWidth="1"/>
    <col min="1775" max="1775" width="9" style="4" customWidth="1"/>
    <col min="1776" max="1776" width="13.375" style="4" customWidth="1"/>
    <col min="1777" max="1777" width="10.5" style="4" customWidth="1"/>
    <col min="1778" max="1778" width="12.5" style="4" customWidth="1"/>
    <col min="1779" max="1779" width="13.75" style="4" customWidth="1"/>
    <col min="1780" max="1780" width="9" style="4"/>
    <col min="1781" max="1781" width="12.375" style="4" customWidth="1"/>
    <col min="1782" max="1783" width="9" style="4"/>
    <col min="1784" max="1784" width="15.625" style="4" bestFit="1" customWidth="1"/>
    <col min="1785" max="1785" width="18.875" style="4" customWidth="1"/>
    <col min="1786" max="2028" width="9" style="4"/>
    <col min="2029" max="2029" width="9.625" style="4" customWidth="1"/>
    <col min="2030" max="2030" width="11.5" style="4" customWidth="1"/>
    <col min="2031" max="2031" width="9" style="4" customWidth="1"/>
    <col min="2032" max="2032" width="13.375" style="4" customWidth="1"/>
    <col min="2033" max="2033" width="10.5" style="4" customWidth="1"/>
    <col min="2034" max="2034" width="12.5" style="4" customWidth="1"/>
    <col min="2035" max="2035" width="13.75" style="4" customWidth="1"/>
    <col min="2036" max="2036" width="9" style="4"/>
    <col min="2037" max="2037" width="12.375" style="4" customWidth="1"/>
    <col min="2038" max="2039" width="9" style="4"/>
    <col min="2040" max="2040" width="15.625" style="4" bestFit="1" customWidth="1"/>
    <col min="2041" max="2041" width="18.875" style="4" customWidth="1"/>
    <col min="2042" max="2284" width="9" style="4"/>
    <col min="2285" max="2285" width="9.625" style="4" customWidth="1"/>
    <col min="2286" max="2286" width="11.5" style="4" customWidth="1"/>
    <col min="2287" max="2287" width="9" style="4" customWidth="1"/>
    <col min="2288" max="2288" width="13.375" style="4" customWidth="1"/>
    <col min="2289" max="2289" width="10.5" style="4" customWidth="1"/>
    <col min="2290" max="2290" width="12.5" style="4" customWidth="1"/>
    <col min="2291" max="2291" width="13.75" style="4" customWidth="1"/>
    <col min="2292" max="2292" width="9" style="4"/>
    <col min="2293" max="2293" width="12.375" style="4" customWidth="1"/>
    <col min="2294" max="2295" width="9" style="4"/>
    <col min="2296" max="2296" width="15.625" style="4" bestFit="1" customWidth="1"/>
    <col min="2297" max="2297" width="18.875" style="4" customWidth="1"/>
    <col min="2298" max="2540" width="9" style="4"/>
    <col min="2541" max="2541" width="9.625" style="4" customWidth="1"/>
    <col min="2542" max="2542" width="11.5" style="4" customWidth="1"/>
    <col min="2543" max="2543" width="9" style="4" customWidth="1"/>
    <col min="2544" max="2544" width="13.375" style="4" customWidth="1"/>
    <col min="2545" max="2545" width="10.5" style="4" customWidth="1"/>
    <col min="2546" max="2546" width="12.5" style="4" customWidth="1"/>
    <col min="2547" max="2547" width="13.75" style="4" customWidth="1"/>
    <col min="2548" max="2548" width="9" style="4"/>
    <col min="2549" max="2549" width="12.375" style="4" customWidth="1"/>
    <col min="2550" max="2551" width="9" style="4"/>
    <col min="2552" max="2552" width="15.625" style="4" bestFit="1" customWidth="1"/>
    <col min="2553" max="2553" width="18.875" style="4" customWidth="1"/>
    <col min="2554" max="2796" width="9" style="4"/>
    <col min="2797" max="2797" width="9.625" style="4" customWidth="1"/>
    <col min="2798" max="2798" width="11.5" style="4" customWidth="1"/>
    <col min="2799" max="2799" width="9" style="4" customWidth="1"/>
    <col min="2800" max="2800" width="13.375" style="4" customWidth="1"/>
    <col min="2801" max="2801" width="10.5" style="4" customWidth="1"/>
    <col min="2802" max="2802" width="12.5" style="4" customWidth="1"/>
    <col min="2803" max="2803" width="13.75" style="4" customWidth="1"/>
    <col min="2804" max="2804" width="9" style="4"/>
    <col min="2805" max="2805" width="12.375" style="4" customWidth="1"/>
    <col min="2806" max="2807" width="9" style="4"/>
    <col min="2808" max="2808" width="15.625" style="4" bestFit="1" customWidth="1"/>
    <col min="2809" max="2809" width="18.875" style="4" customWidth="1"/>
    <col min="2810" max="3052" width="9" style="4"/>
    <col min="3053" max="3053" width="9.625" style="4" customWidth="1"/>
    <col min="3054" max="3054" width="11.5" style="4" customWidth="1"/>
    <col min="3055" max="3055" width="9" style="4" customWidth="1"/>
    <col min="3056" max="3056" width="13.375" style="4" customWidth="1"/>
    <col min="3057" max="3057" width="10.5" style="4" customWidth="1"/>
    <col min="3058" max="3058" width="12.5" style="4" customWidth="1"/>
    <col min="3059" max="3059" width="13.75" style="4" customWidth="1"/>
    <col min="3060" max="3060" width="9" style="4"/>
    <col min="3061" max="3061" width="12.375" style="4" customWidth="1"/>
    <col min="3062" max="3063" width="9" style="4"/>
    <col min="3064" max="3064" width="15.625" style="4" bestFit="1" customWidth="1"/>
    <col min="3065" max="3065" width="18.875" style="4" customWidth="1"/>
    <col min="3066" max="3308" width="9" style="4"/>
    <col min="3309" max="3309" width="9.625" style="4" customWidth="1"/>
    <col min="3310" max="3310" width="11.5" style="4" customWidth="1"/>
    <col min="3311" max="3311" width="9" style="4" customWidth="1"/>
    <col min="3312" max="3312" width="13.375" style="4" customWidth="1"/>
    <col min="3313" max="3313" width="10.5" style="4" customWidth="1"/>
    <col min="3314" max="3314" width="12.5" style="4" customWidth="1"/>
    <col min="3315" max="3315" width="13.75" style="4" customWidth="1"/>
    <col min="3316" max="3316" width="9" style="4"/>
    <col min="3317" max="3317" width="12.375" style="4" customWidth="1"/>
    <col min="3318" max="3319" width="9" style="4"/>
    <col min="3320" max="3320" width="15.625" style="4" bestFit="1" customWidth="1"/>
    <col min="3321" max="3321" width="18.875" style="4" customWidth="1"/>
    <col min="3322" max="3564" width="9" style="4"/>
    <col min="3565" max="3565" width="9.625" style="4" customWidth="1"/>
    <col min="3566" max="3566" width="11.5" style="4" customWidth="1"/>
    <col min="3567" max="3567" width="9" style="4" customWidth="1"/>
    <col min="3568" max="3568" width="13.375" style="4" customWidth="1"/>
    <col min="3569" max="3569" width="10.5" style="4" customWidth="1"/>
    <col min="3570" max="3570" width="12.5" style="4" customWidth="1"/>
    <col min="3571" max="3571" width="13.75" style="4" customWidth="1"/>
    <col min="3572" max="3572" width="9" style="4"/>
    <col min="3573" max="3573" width="12.375" style="4" customWidth="1"/>
    <col min="3574" max="3575" width="9" style="4"/>
    <col min="3576" max="3576" width="15.625" style="4" bestFit="1" customWidth="1"/>
    <col min="3577" max="3577" width="18.875" style="4" customWidth="1"/>
    <col min="3578" max="3820" width="9" style="4"/>
    <col min="3821" max="3821" width="9.625" style="4" customWidth="1"/>
    <col min="3822" max="3822" width="11.5" style="4" customWidth="1"/>
    <col min="3823" max="3823" width="9" style="4" customWidth="1"/>
    <col min="3824" max="3824" width="13.375" style="4" customWidth="1"/>
    <col min="3825" max="3825" width="10.5" style="4" customWidth="1"/>
    <col min="3826" max="3826" width="12.5" style="4" customWidth="1"/>
    <col min="3827" max="3827" width="13.75" style="4" customWidth="1"/>
    <col min="3828" max="3828" width="9" style="4"/>
    <col min="3829" max="3829" width="12.375" style="4" customWidth="1"/>
    <col min="3830" max="3831" width="9" style="4"/>
    <col min="3832" max="3832" width="15.625" style="4" bestFit="1" customWidth="1"/>
    <col min="3833" max="3833" width="18.875" style="4" customWidth="1"/>
    <col min="3834" max="4076" width="9" style="4"/>
    <col min="4077" max="4077" width="9.625" style="4" customWidth="1"/>
    <col min="4078" max="4078" width="11.5" style="4" customWidth="1"/>
    <col min="4079" max="4079" width="9" style="4" customWidth="1"/>
    <col min="4080" max="4080" width="13.375" style="4" customWidth="1"/>
    <col min="4081" max="4081" width="10.5" style="4" customWidth="1"/>
    <col min="4082" max="4082" width="12.5" style="4" customWidth="1"/>
    <col min="4083" max="4083" width="13.75" style="4" customWidth="1"/>
    <col min="4084" max="4084" width="9" style="4"/>
    <col min="4085" max="4085" width="12.375" style="4" customWidth="1"/>
    <col min="4086" max="4087" width="9" style="4"/>
    <col min="4088" max="4088" width="15.625" style="4" bestFit="1" customWidth="1"/>
    <col min="4089" max="4089" width="18.875" style="4" customWidth="1"/>
    <col min="4090" max="4332" width="9" style="4"/>
    <col min="4333" max="4333" width="9.625" style="4" customWidth="1"/>
    <col min="4334" max="4334" width="11.5" style="4" customWidth="1"/>
    <col min="4335" max="4335" width="9" style="4" customWidth="1"/>
    <col min="4336" max="4336" width="13.375" style="4" customWidth="1"/>
    <col min="4337" max="4337" width="10.5" style="4" customWidth="1"/>
    <col min="4338" max="4338" width="12.5" style="4" customWidth="1"/>
    <col min="4339" max="4339" width="13.75" style="4" customWidth="1"/>
    <col min="4340" max="4340" width="9" style="4"/>
    <col min="4341" max="4341" width="12.375" style="4" customWidth="1"/>
    <col min="4342" max="4343" width="9" style="4"/>
    <col min="4344" max="4344" width="15.625" style="4" bestFit="1" customWidth="1"/>
    <col min="4345" max="4345" width="18.875" style="4" customWidth="1"/>
    <col min="4346" max="4588" width="9" style="4"/>
    <col min="4589" max="4589" width="9.625" style="4" customWidth="1"/>
    <col min="4590" max="4590" width="11.5" style="4" customWidth="1"/>
    <col min="4591" max="4591" width="9" style="4" customWidth="1"/>
    <col min="4592" max="4592" width="13.375" style="4" customWidth="1"/>
    <col min="4593" max="4593" width="10.5" style="4" customWidth="1"/>
    <col min="4594" max="4594" width="12.5" style="4" customWidth="1"/>
    <col min="4595" max="4595" width="13.75" style="4" customWidth="1"/>
    <col min="4596" max="4596" width="9" style="4"/>
    <col min="4597" max="4597" width="12.375" style="4" customWidth="1"/>
    <col min="4598" max="4599" width="9" style="4"/>
    <col min="4600" max="4600" width="15.625" style="4" bestFit="1" customWidth="1"/>
    <col min="4601" max="4601" width="18.875" style="4" customWidth="1"/>
    <col min="4602" max="4844" width="9" style="4"/>
    <col min="4845" max="4845" width="9.625" style="4" customWidth="1"/>
    <col min="4846" max="4846" width="11.5" style="4" customWidth="1"/>
    <col min="4847" max="4847" width="9" style="4" customWidth="1"/>
    <col min="4848" max="4848" width="13.375" style="4" customWidth="1"/>
    <col min="4849" max="4849" width="10.5" style="4" customWidth="1"/>
    <col min="4850" max="4850" width="12.5" style="4" customWidth="1"/>
    <col min="4851" max="4851" width="13.75" style="4" customWidth="1"/>
    <col min="4852" max="4852" width="9" style="4"/>
    <col min="4853" max="4853" width="12.375" style="4" customWidth="1"/>
    <col min="4854" max="4855" width="9" style="4"/>
    <col min="4856" max="4856" width="15.625" style="4" bestFit="1" customWidth="1"/>
    <col min="4857" max="4857" width="18.875" style="4" customWidth="1"/>
    <col min="4858" max="5100" width="9" style="4"/>
    <col min="5101" max="5101" width="9.625" style="4" customWidth="1"/>
    <col min="5102" max="5102" width="11.5" style="4" customWidth="1"/>
    <col min="5103" max="5103" width="9" style="4" customWidth="1"/>
    <col min="5104" max="5104" width="13.375" style="4" customWidth="1"/>
    <col min="5105" max="5105" width="10.5" style="4" customWidth="1"/>
    <col min="5106" max="5106" width="12.5" style="4" customWidth="1"/>
    <col min="5107" max="5107" width="13.75" style="4" customWidth="1"/>
    <col min="5108" max="5108" width="9" style="4"/>
    <col min="5109" max="5109" width="12.375" style="4" customWidth="1"/>
    <col min="5110" max="5111" width="9" style="4"/>
    <col min="5112" max="5112" width="15.625" style="4" bestFit="1" customWidth="1"/>
    <col min="5113" max="5113" width="18.875" style="4" customWidth="1"/>
    <col min="5114" max="5356" width="9" style="4"/>
    <col min="5357" max="5357" width="9.625" style="4" customWidth="1"/>
    <col min="5358" max="5358" width="11.5" style="4" customWidth="1"/>
    <col min="5359" max="5359" width="9" style="4" customWidth="1"/>
    <col min="5360" max="5360" width="13.375" style="4" customWidth="1"/>
    <col min="5361" max="5361" width="10.5" style="4" customWidth="1"/>
    <col min="5362" max="5362" width="12.5" style="4" customWidth="1"/>
    <col min="5363" max="5363" width="13.75" style="4" customWidth="1"/>
    <col min="5364" max="5364" width="9" style="4"/>
    <col min="5365" max="5365" width="12.375" style="4" customWidth="1"/>
    <col min="5366" max="5367" width="9" style="4"/>
    <col min="5368" max="5368" width="15.625" style="4" bestFit="1" customWidth="1"/>
    <col min="5369" max="5369" width="18.875" style="4" customWidth="1"/>
    <col min="5370" max="5612" width="9" style="4"/>
    <col min="5613" max="5613" width="9.625" style="4" customWidth="1"/>
    <col min="5614" max="5614" width="11.5" style="4" customWidth="1"/>
    <col min="5615" max="5615" width="9" style="4" customWidth="1"/>
    <col min="5616" max="5616" width="13.375" style="4" customWidth="1"/>
    <col min="5617" max="5617" width="10.5" style="4" customWidth="1"/>
    <col min="5618" max="5618" width="12.5" style="4" customWidth="1"/>
    <col min="5619" max="5619" width="13.75" style="4" customWidth="1"/>
    <col min="5620" max="5620" width="9" style="4"/>
    <col min="5621" max="5621" width="12.375" style="4" customWidth="1"/>
    <col min="5622" max="5623" width="9" style="4"/>
    <col min="5624" max="5624" width="15.625" style="4" bestFit="1" customWidth="1"/>
    <col min="5625" max="5625" width="18.875" style="4" customWidth="1"/>
    <col min="5626" max="5868" width="9" style="4"/>
    <col min="5869" max="5869" width="9.625" style="4" customWidth="1"/>
    <col min="5870" max="5870" width="11.5" style="4" customWidth="1"/>
    <col min="5871" max="5871" width="9" style="4" customWidth="1"/>
    <col min="5872" max="5872" width="13.375" style="4" customWidth="1"/>
    <col min="5873" max="5873" width="10.5" style="4" customWidth="1"/>
    <col min="5874" max="5874" width="12.5" style="4" customWidth="1"/>
    <col min="5875" max="5875" width="13.75" style="4" customWidth="1"/>
    <col min="5876" max="5876" width="9" style="4"/>
    <col min="5877" max="5877" width="12.375" style="4" customWidth="1"/>
    <col min="5878" max="5879" width="9" style="4"/>
    <col min="5880" max="5880" width="15.625" style="4" bestFit="1" customWidth="1"/>
    <col min="5881" max="5881" width="18.875" style="4" customWidth="1"/>
    <col min="5882" max="6124" width="9" style="4"/>
    <col min="6125" max="6125" width="9.625" style="4" customWidth="1"/>
    <col min="6126" max="6126" width="11.5" style="4" customWidth="1"/>
    <col min="6127" max="6127" width="9" style="4" customWidth="1"/>
    <col min="6128" max="6128" width="13.375" style="4" customWidth="1"/>
    <col min="6129" max="6129" width="10.5" style="4" customWidth="1"/>
    <col min="6130" max="6130" width="12.5" style="4" customWidth="1"/>
    <col min="6131" max="6131" width="13.75" style="4" customWidth="1"/>
    <col min="6132" max="6132" width="9" style="4"/>
    <col min="6133" max="6133" width="12.375" style="4" customWidth="1"/>
    <col min="6134" max="6135" width="9" style="4"/>
    <col min="6136" max="6136" width="15.625" style="4" bestFit="1" customWidth="1"/>
    <col min="6137" max="6137" width="18.875" style="4" customWidth="1"/>
    <col min="6138" max="6380" width="9" style="4"/>
    <col min="6381" max="6381" width="9.625" style="4" customWidth="1"/>
    <col min="6382" max="6382" width="11.5" style="4" customWidth="1"/>
    <col min="6383" max="6383" width="9" style="4" customWidth="1"/>
    <col min="6384" max="6384" width="13.375" style="4" customWidth="1"/>
    <col min="6385" max="6385" width="10.5" style="4" customWidth="1"/>
    <col min="6386" max="6386" width="12.5" style="4" customWidth="1"/>
    <col min="6387" max="6387" width="13.75" style="4" customWidth="1"/>
    <col min="6388" max="6388" width="9" style="4"/>
    <col min="6389" max="6389" width="12.375" style="4" customWidth="1"/>
    <col min="6390" max="6391" width="9" style="4"/>
    <col min="6392" max="6392" width="15.625" style="4" bestFit="1" customWidth="1"/>
    <col min="6393" max="6393" width="18.875" style="4" customWidth="1"/>
    <col min="6394" max="6636" width="9" style="4"/>
    <col min="6637" max="6637" width="9.625" style="4" customWidth="1"/>
    <col min="6638" max="6638" width="11.5" style="4" customWidth="1"/>
    <col min="6639" max="6639" width="9" style="4" customWidth="1"/>
    <col min="6640" max="6640" width="13.375" style="4" customWidth="1"/>
    <col min="6641" max="6641" width="10.5" style="4" customWidth="1"/>
    <col min="6642" max="6642" width="12.5" style="4" customWidth="1"/>
    <col min="6643" max="6643" width="13.75" style="4" customWidth="1"/>
    <col min="6644" max="6644" width="9" style="4"/>
    <col min="6645" max="6645" width="12.375" style="4" customWidth="1"/>
    <col min="6646" max="6647" width="9" style="4"/>
    <col min="6648" max="6648" width="15.625" style="4" bestFit="1" customWidth="1"/>
    <col min="6649" max="6649" width="18.875" style="4" customWidth="1"/>
    <col min="6650" max="6892" width="9" style="4"/>
    <col min="6893" max="6893" width="9.625" style="4" customWidth="1"/>
    <col min="6894" max="6894" width="11.5" style="4" customWidth="1"/>
    <col min="6895" max="6895" width="9" style="4" customWidth="1"/>
    <col min="6896" max="6896" width="13.375" style="4" customWidth="1"/>
    <col min="6897" max="6897" width="10.5" style="4" customWidth="1"/>
    <col min="6898" max="6898" width="12.5" style="4" customWidth="1"/>
    <col min="6899" max="6899" width="13.75" style="4" customWidth="1"/>
    <col min="6900" max="6900" width="9" style="4"/>
    <col min="6901" max="6901" width="12.375" style="4" customWidth="1"/>
    <col min="6902" max="6903" width="9" style="4"/>
    <col min="6904" max="6904" width="15.625" style="4" bestFit="1" customWidth="1"/>
    <col min="6905" max="6905" width="18.875" style="4" customWidth="1"/>
    <col min="6906" max="7148" width="9" style="4"/>
    <col min="7149" max="7149" width="9.625" style="4" customWidth="1"/>
    <col min="7150" max="7150" width="11.5" style="4" customWidth="1"/>
    <col min="7151" max="7151" width="9" style="4" customWidth="1"/>
    <col min="7152" max="7152" width="13.375" style="4" customWidth="1"/>
    <col min="7153" max="7153" width="10.5" style="4" customWidth="1"/>
    <col min="7154" max="7154" width="12.5" style="4" customWidth="1"/>
    <col min="7155" max="7155" width="13.75" style="4" customWidth="1"/>
    <col min="7156" max="7156" width="9" style="4"/>
    <col min="7157" max="7157" width="12.375" style="4" customWidth="1"/>
    <col min="7158" max="7159" width="9" style="4"/>
    <col min="7160" max="7160" width="15.625" style="4" bestFit="1" customWidth="1"/>
    <col min="7161" max="7161" width="18.875" style="4" customWidth="1"/>
    <col min="7162" max="7404" width="9" style="4"/>
    <col min="7405" max="7405" width="9.625" style="4" customWidth="1"/>
    <col min="7406" max="7406" width="11.5" style="4" customWidth="1"/>
    <col min="7407" max="7407" width="9" style="4" customWidth="1"/>
    <col min="7408" max="7408" width="13.375" style="4" customWidth="1"/>
    <col min="7409" max="7409" width="10.5" style="4" customWidth="1"/>
    <col min="7410" max="7410" width="12.5" style="4" customWidth="1"/>
    <col min="7411" max="7411" width="13.75" style="4" customWidth="1"/>
    <col min="7412" max="7412" width="9" style="4"/>
    <col min="7413" max="7413" width="12.375" style="4" customWidth="1"/>
    <col min="7414" max="7415" width="9" style="4"/>
    <col min="7416" max="7416" width="15.625" style="4" bestFit="1" customWidth="1"/>
    <col min="7417" max="7417" width="18.875" style="4" customWidth="1"/>
    <col min="7418" max="7660" width="9" style="4"/>
    <col min="7661" max="7661" width="9.625" style="4" customWidth="1"/>
    <col min="7662" max="7662" width="11.5" style="4" customWidth="1"/>
    <col min="7663" max="7663" width="9" style="4" customWidth="1"/>
    <col min="7664" max="7664" width="13.375" style="4" customWidth="1"/>
    <col min="7665" max="7665" width="10.5" style="4" customWidth="1"/>
    <col min="7666" max="7666" width="12.5" style="4" customWidth="1"/>
    <col min="7667" max="7667" width="13.75" style="4" customWidth="1"/>
    <col min="7668" max="7668" width="9" style="4"/>
    <col min="7669" max="7669" width="12.375" style="4" customWidth="1"/>
    <col min="7670" max="7671" width="9" style="4"/>
    <col min="7672" max="7672" width="15.625" style="4" bestFit="1" customWidth="1"/>
    <col min="7673" max="7673" width="18.875" style="4" customWidth="1"/>
    <col min="7674" max="7916" width="9" style="4"/>
    <col min="7917" max="7917" width="9.625" style="4" customWidth="1"/>
    <col min="7918" max="7918" width="11.5" style="4" customWidth="1"/>
    <col min="7919" max="7919" width="9" style="4" customWidth="1"/>
    <col min="7920" max="7920" width="13.375" style="4" customWidth="1"/>
    <col min="7921" max="7921" width="10.5" style="4" customWidth="1"/>
    <col min="7922" max="7922" width="12.5" style="4" customWidth="1"/>
    <col min="7923" max="7923" width="13.75" style="4" customWidth="1"/>
    <col min="7924" max="7924" width="9" style="4"/>
    <col min="7925" max="7925" width="12.375" style="4" customWidth="1"/>
    <col min="7926" max="7927" width="9" style="4"/>
    <col min="7928" max="7928" width="15.625" style="4" bestFit="1" customWidth="1"/>
    <col min="7929" max="7929" width="18.875" style="4" customWidth="1"/>
    <col min="7930" max="8172" width="9" style="4"/>
    <col min="8173" max="8173" width="9.625" style="4" customWidth="1"/>
    <col min="8174" max="8174" width="11.5" style="4" customWidth="1"/>
    <col min="8175" max="8175" width="9" style="4" customWidth="1"/>
    <col min="8176" max="8176" width="13.375" style="4" customWidth="1"/>
    <col min="8177" max="8177" width="10.5" style="4" customWidth="1"/>
    <col min="8178" max="8178" width="12.5" style="4" customWidth="1"/>
    <col min="8179" max="8179" width="13.75" style="4" customWidth="1"/>
    <col min="8180" max="8180" width="9" style="4"/>
    <col min="8181" max="8181" width="12.375" style="4" customWidth="1"/>
    <col min="8182" max="8183" width="9" style="4"/>
    <col min="8184" max="8184" width="15.625" style="4" bestFit="1" customWidth="1"/>
    <col min="8185" max="8185" width="18.875" style="4" customWidth="1"/>
    <col min="8186" max="8428" width="9" style="4"/>
    <col min="8429" max="8429" width="9.625" style="4" customWidth="1"/>
    <col min="8430" max="8430" width="11.5" style="4" customWidth="1"/>
    <col min="8431" max="8431" width="9" style="4" customWidth="1"/>
    <col min="8432" max="8432" width="13.375" style="4" customWidth="1"/>
    <col min="8433" max="8433" width="10.5" style="4" customWidth="1"/>
    <col min="8434" max="8434" width="12.5" style="4" customWidth="1"/>
    <col min="8435" max="8435" width="13.75" style="4" customWidth="1"/>
    <col min="8436" max="8436" width="9" style="4"/>
    <col min="8437" max="8437" width="12.375" style="4" customWidth="1"/>
    <col min="8438" max="8439" width="9" style="4"/>
    <col min="8440" max="8440" width="15.625" style="4" bestFit="1" customWidth="1"/>
    <col min="8441" max="8441" width="18.875" style="4" customWidth="1"/>
    <col min="8442" max="8684" width="9" style="4"/>
    <col min="8685" max="8685" width="9.625" style="4" customWidth="1"/>
    <col min="8686" max="8686" width="11.5" style="4" customWidth="1"/>
    <col min="8687" max="8687" width="9" style="4" customWidth="1"/>
    <col min="8688" max="8688" width="13.375" style="4" customWidth="1"/>
    <col min="8689" max="8689" width="10.5" style="4" customWidth="1"/>
    <col min="8690" max="8690" width="12.5" style="4" customWidth="1"/>
    <col min="8691" max="8691" width="13.75" style="4" customWidth="1"/>
    <col min="8692" max="8692" width="9" style="4"/>
    <col min="8693" max="8693" width="12.375" style="4" customWidth="1"/>
    <col min="8694" max="8695" width="9" style="4"/>
    <col min="8696" max="8696" width="15.625" style="4" bestFit="1" customWidth="1"/>
    <col min="8697" max="8697" width="18.875" style="4" customWidth="1"/>
    <col min="8698" max="8940" width="9" style="4"/>
    <col min="8941" max="8941" width="9.625" style="4" customWidth="1"/>
    <col min="8942" max="8942" width="11.5" style="4" customWidth="1"/>
    <col min="8943" max="8943" width="9" style="4" customWidth="1"/>
    <col min="8944" max="8944" width="13.375" style="4" customWidth="1"/>
    <col min="8945" max="8945" width="10.5" style="4" customWidth="1"/>
    <col min="8946" max="8946" width="12.5" style="4" customWidth="1"/>
    <col min="8947" max="8947" width="13.75" style="4" customWidth="1"/>
    <col min="8948" max="8948" width="9" style="4"/>
    <col min="8949" max="8949" width="12.375" style="4" customWidth="1"/>
    <col min="8950" max="8951" width="9" style="4"/>
    <col min="8952" max="8952" width="15.625" style="4" bestFit="1" customWidth="1"/>
    <col min="8953" max="8953" width="18.875" style="4" customWidth="1"/>
    <col min="8954" max="9196" width="9" style="4"/>
    <col min="9197" max="9197" width="9.625" style="4" customWidth="1"/>
    <col min="9198" max="9198" width="11.5" style="4" customWidth="1"/>
    <col min="9199" max="9199" width="9" style="4" customWidth="1"/>
    <col min="9200" max="9200" width="13.375" style="4" customWidth="1"/>
    <col min="9201" max="9201" width="10.5" style="4" customWidth="1"/>
    <col min="9202" max="9202" width="12.5" style="4" customWidth="1"/>
    <col min="9203" max="9203" width="13.75" style="4" customWidth="1"/>
    <col min="9204" max="9204" width="9" style="4"/>
    <col min="9205" max="9205" width="12.375" style="4" customWidth="1"/>
    <col min="9206" max="9207" width="9" style="4"/>
    <col min="9208" max="9208" width="15.625" style="4" bestFit="1" customWidth="1"/>
    <col min="9209" max="9209" width="18.875" style="4" customWidth="1"/>
    <col min="9210" max="9452" width="9" style="4"/>
    <col min="9453" max="9453" width="9.625" style="4" customWidth="1"/>
    <col min="9454" max="9454" width="11.5" style="4" customWidth="1"/>
    <col min="9455" max="9455" width="9" style="4" customWidth="1"/>
    <col min="9456" max="9456" width="13.375" style="4" customWidth="1"/>
    <col min="9457" max="9457" width="10.5" style="4" customWidth="1"/>
    <col min="9458" max="9458" width="12.5" style="4" customWidth="1"/>
    <col min="9459" max="9459" width="13.75" style="4" customWidth="1"/>
    <col min="9460" max="9460" width="9" style="4"/>
    <col min="9461" max="9461" width="12.375" style="4" customWidth="1"/>
    <col min="9462" max="9463" width="9" style="4"/>
    <col min="9464" max="9464" width="15.625" style="4" bestFit="1" customWidth="1"/>
    <col min="9465" max="9465" width="18.875" style="4" customWidth="1"/>
    <col min="9466" max="9708" width="9" style="4"/>
    <col min="9709" max="9709" width="9.625" style="4" customWidth="1"/>
    <col min="9710" max="9710" width="11.5" style="4" customWidth="1"/>
    <col min="9711" max="9711" width="9" style="4" customWidth="1"/>
    <col min="9712" max="9712" width="13.375" style="4" customWidth="1"/>
    <col min="9713" max="9713" width="10.5" style="4" customWidth="1"/>
    <col min="9714" max="9714" width="12.5" style="4" customWidth="1"/>
    <col min="9715" max="9715" width="13.75" style="4" customWidth="1"/>
    <col min="9716" max="9716" width="9" style="4"/>
    <col min="9717" max="9717" width="12.375" style="4" customWidth="1"/>
    <col min="9718" max="9719" width="9" style="4"/>
    <col min="9720" max="9720" width="15.625" style="4" bestFit="1" customWidth="1"/>
    <col min="9721" max="9721" width="18.875" style="4" customWidth="1"/>
    <col min="9722" max="9964" width="9" style="4"/>
    <col min="9965" max="9965" width="9.625" style="4" customWidth="1"/>
    <col min="9966" max="9966" width="11.5" style="4" customWidth="1"/>
    <col min="9967" max="9967" width="9" style="4" customWidth="1"/>
    <col min="9968" max="9968" width="13.375" style="4" customWidth="1"/>
    <col min="9969" max="9969" width="10.5" style="4" customWidth="1"/>
    <col min="9970" max="9970" width="12.5" style="4" customWidth="1"/>
    <col min="9971" max="9971" width="13.75" style="4" customWidth="1"/>
    <col min="9972" max="9972" width="9" style="4"/>
    <col min="9973" max="9973" width="12.375" style="4" customWidth="1"/>
    <col min="9974" max="9975" width="9" style="4"/>
    <col min="9976" max="9976" width="15.625" style="4" bestFit="1" customWidth="1"/>
    <col min="9977" max="9977" width="18.875" style="4" customWidth="1"/>
    <col min="9978" max="10220" width="9" style="4"/>
    <col min="10221" max="10221" width="9.625" style="4" customWidth="1"/>
    <col min="10222" max="10222" width="11.5" style="4" customWidth="1"/>
    <col min="10223" max="10223" width="9" style="4" customWidth="1"/>
    <col min="10224" max="10224" width="13.375" style="4" customWidth="1"/>
    <col min="10225" max="10225" width="10.5" style="4" customWidth="1"/>
    <col min="10226" max="10226" width="12.5" style="4" customWidth="1"/>
    <col min="10227" max="10227" width="13.75" style="4" customWidth="1"/>
    <col min="10228" max="10228" width="9" style="4"/>
    <col min="10229" max="10229" width="12.375" style="4" customWidth="1"/>
    <col min="10230" max="10231" width="9" style="4"/>
    <col min="10232" max="10232" width="15.625" style="4" bestFit="1" customWidth="1"/>
    <col min="10233" max="10233" width="18.875" style="4" customWidth="1"/>
    <col min="10234" max="10476" width="9" style="4"/>
    <col min="10477" max="10477" width="9.625" style="4" customWidth="1"/>
    <col min="10478" max="10478" width="11.5" style="4" customWidth="1"/>
    <col min="10479" max="10479" width="9" style="4" customWidth="1"/>
    <col min="10480" max="10480" width="13.375" style="4" customWidth="1"/>
    <col min="10481" max="10481" width="10.5" style="4" customWidth="1"/>
    <col min="10482" max="10482" width="12.5" style="4" customWidth="1"/>
    <col min="10483" max="10483" width="13.75" style="4" customWidth="1"/>
    <col min="10484" max="10484" width="9" style="4"/>
    <col min="10485" max="10485" width="12.375" style="4" customWidth="1"/>
    <col min="10486" max="10487" width="9" style="4"/>
    <col min="10488" max="10488" width="15.625" style="4" bestFit="1" customWidth="1"/>
    <col min="10489" max="10489" width="18.875" style="4" customWidth="1"/>
    <col min="10490" max="10732" width="9" style="4"/>
    <col min="10733" max="10733" width="9.625" style="4" customWidth="1"/>
    <col min="10734" max="10734" width="11.5" style="4" customWidth="1"/>
    <col min="10735" max="10735" width="9" style="4" customWidth="1"/>
    <col min="10736" max="10736" width="13.375" style="4" customWidth="1"/>
    <col min="10737" max="10737" width="10.5" style="4" customWidth="1"/>
    <col min="10738" max="10738" width="12.5" style="4" customWidth="1"/>
    <col min="10739" max="10739" width="13.75" style="4" customWidth="1"/>
    <col min="10740" max="10740" width="9" style="4"/>
    <col min="10741" max="10741" width="12.375" style="4" customWidth="1"/>
    <col min="10742" max="10743" width="9" style="4"/>
    <col min="10744" max="10744" width="15.625" style="4" bestFit="1" customWidth="1"/>
    <col min="10745" max="10745" width="18.875" style="4" customWidth="1"/>
    <col min="10746" max="10988" width="9" style="4"/>
    <col min="10989" max="10989" width="9.625" style="4" customWidth="1"/>
    <col min="10990" max="10990" width="11.5" style="4" customWidth="1"/>
    <col min="10991" max="10991" width="9" style="4" customWidth="1"/>
    <col min="10992" max="10992" width="13.375" style="4" customWidth="1"/>
    <col min="10993" max="10993" width="10.5" style="4" customWidth="1"/>
    <col min="10994" max="10994" width="12.5" style="4" customWidth="1"/>
    <col min="10995" max="10995" width="13.75" style="4" customWidth="1"/>
    <col min="10996" max="10996" width="9" style="4"/>
    <col min="10997" max="10997" width="12.375" style="4" customWidth="1"/>
    <col min="10998" max="10999" width="9" style="4"/>
    <col min="11000" max="11000" width="15.625" style="4" bestFit="1" customWidth="1"/>
    <col min="11001" max="11001" width="18.875" style="4" customWidth="1"/>
    <col min="11002" max="11244" width="9" style="4"/>
    <col min="11245" max="11245" width="9.625" style="4" customWidth="1"/>
    <col min="11246" max="11246" width="11.5" style="4" customWidth="1"/>
    <col min="11247" max="11247" width="9" style="4" customWidth="1"/>
    <col min="11248" max="11248" width="13.375" style="4" customWidth="1"/>
    <col min="11249" max="11249" width="10.5" style="4" customWidth="1"/>
    <col min="11250" max="11250" width="12.5" style="4" customWidth="1"/>
    <col min="11251" max="11251" width="13.75" style="4" customWidth="1"/>
    <col min="11252" max="11252" width="9" style="4"/>
    <col min="11253" max="11253" width="12.375" style="4" customWidth="1"/>
    <col min="11254" max="11255" width="9" style="4"/>
    <col min="11256" max="11256" width="15.625" style="4" bestFit="1" customWidth="1"/>
    <col min="11257" max="11257" width="18.875" style="4" customWidth="1"/>
    <col min="11258" max="11500" width="9" style="4"/>
    <col min="11501" max="11501" width="9.625" style="4" customWidth="1"/>
    <col min="11502" max="11502" width="11.5" style="4" customWidth="1"/>
    <col min="11503" max="11503" width="9" style="4" customWidth="1"/>
    <col min="11504" max="11504" width="13.375" style="4" customWidth="1"/>
    <col min="11505" max="11505" width="10.5" style="4" customWidth="1"/>
    <col min="11506" max="11506" width="12.5" style="4" customWidth="1"/>
    <col min="11507" max="11507" width="13.75" style="4" customWidth="1"/>
    <col min="11508" max="11508" width="9" style="4"/>
    <col min="11509" max="11509" width="12.375" style="4" customWidth="1"/>
    <col min="11510" max="11511" width="9" style="4"/>
    <col min="11512" max="11512" width="15.625" style="4" bestFit="1" customWidth="1"/>
    <col min="11513" max="11513" width="18.875" style="4" customWidth="1"/>
    <col min="11514" max="11756" width="9" style="4"/>
    <col min="11757" max="11757" width="9.625" style="4" customWidth="1"/>
    <col min="11758" max="11758" width="11.5" style="4" customWidth="1"/>
    <col min="11759" max="11759" width="9" style="4" customWidth="1"/>
    <col min="11760" max="11760" width="13.375" style="4" customWidth="1"/>
    <col min="11761" max="11761" width="10.5" style="4" customWidth="1"/>
    <col min="11762" max="11762" width="12.5" style="4" customWidth="1"/>
    <col min="11763" max="11763" width="13.75" style="4" customWidth="1"/>
    <col min="11764" max="11764" width="9" style="4"/>
    <col min="11765" max="11765" width="12.375" style="4" customWidth="1"/>
    <col min="11766" max="11767" width="9" style="4"/>
    <col min="11768" max="11768" width="15.625" style="4" bestFit="1" customWidth="1"/>
    <col min="11769" max="11769" width="18.875" style="4" customWidth="1"/>
    <col min="11770" max="12012" width="9" style="4"/>
    <col min="12013" max="12013" width="9.625" style="4" customWidth="1"/>
    <col min="12014" max="12014" width="11.5" style="4" customWidth="1"/>
    <col min="12015" max="12015" width="9" style="4" customWidth="1"/>
    <col min="12016" max="12016" width="13.375" style="4" customWidth="1"/>
    <col min="12017" max="12017" width="10.5" style="4" customWidth="1"/>
    <col min="12018" max="12018" width="12.5" style="4" customWidth="1"/>
    <col min="12019" max="12019" width="13.75" style="4" customWidth="1"/>
    <col min="12020" max="12020" width="9" style="4"/>
    <col min="12021" max="12021" width="12.375" style="4" customWidth="1"/>
    <col min="12022" max="12023" width="9" style="4"/>
    <col min="12024" max="12024" width="15.625" style="4" bestFit="1" customWidth="1"/>
    <col min="12025" max="12025" width="18.875" style="4" customWidth="1"/>
    <col min="12026" max="12268" width="9" style="4"/>
    <col min="12269" max="12269" width="9.625" style="4" customWidth="1"/>
    <col min="12270" max="12270" width="11.5" style="4" customWidth="1"/>
    <col min="12271" max="12271" width="9" style="4" customWidth="1"/>
    <col min="12272" max="12272" width="13.375" style="4" customWidth="1"/>
    <col min="12273" max="12273" width="10.5" style="4" customWidth="1"/>
    <col min="12274" max="12274" width="12.5" style="4" customWidth="1"/>
    <col min="12275" max="12275" width="13.75" style="4" customWidth="1"/>
    <col min="12276" max="12276" width="9" style="4"/>
    <col min="12277" max="12277" width="12.375" style="4" customWidth="1"/>
    <col min="12278" max="12279" width="9" style="4"/>
    <col min="12280" max="12280" width="15.625" style="4" bestFit="1" customWidth="1"/>
    <col min="12281" max="12281" width="18.875" style="4" customWidth="1"/>
    <col min="12282" max="12524" width="9" style="4"/>
    <col min="12525" max="12525" width="9.625" style="4" customWidth="1"/>
    <col min="12526" max="12526" width="11.5" style="4" customWidth="1"/>
    <col min="12527" max="12527" width="9" style="4" customWidth="1"/>
    <col min="12528" max="12528" width="13.375" style="4" customWidth="1"/>
    <col min="12529" max="12529" width="10.5" style="4" customWidth="1"/>
    <col min="12530" max="12530" width="12.5" style="4" customWidth="1"/>
    <col min="12531" max="12531" width="13.75" style="4" customWidth="1"/>
    <col min="12532" max="12532" width="9" style="4"/>
    <col min="12533" max="12533" width="12.375" style="4" customWidth="1"/>
    <col min="12534" max="12535" width="9" style="4"/>
    <col min="12536" max="12536" width="15.625" style="4" bestFit="1" customWidth="1"/>
    <col min="12537" max="12537" width="18.875" style="4" customWidth="1"/>
    <col min="12538" max="12780" width="9" style="4"/>
    <col min="12781" max="12781" width="9.625" style="4" customWidth="1"/>
    <col min="12782" max="12782" width="11.5" style="4" customWidth="1"/>
    <col min="12783" max="12783" width="9" style="4" customWidth="1"/>
    <col min="12784" max="12784" width="13.375" style="4" customWidth="1"/>
    <col min="12785" max="12785" width="10.5" style="4" customWidth="1"/>
    <col min="12786" max="12786" width="12.5" style="4" customWidth="1"/>
    <col min="12787" max="12787" width="13.75" style="4" customWidth="1"/>
    <col min="12788" max="12788" width="9" style="4"/>
    <col min="12789" max="12789" width="12.375" style="4" customWidth="1"/>
    <col min="12790" max="12791" width="9" style="4"/>
    <col min="12792" max="12792" width="15.625" style="4" bestFit="1" customWidth="1"/>
    <col min="12793" max="12793" width="18.875" style="4" customWidth="1"/>
    <col min="12794" max="13036" width="9" style="4"/>
    <col min="13037" max="13037" width="9.625" style="4" customWidth="1"/>
    <col min="13038" max="13038" width="11.5" style="4" customWidth="1"/>
    <col min="13039" max="13039" width="9" style="4" customWidth="1"/>
    <col min="13040" max="13040" width="13.375" style="4" customWidth="1"/>
    <col min="13041" max="13041" width="10.5" style="4" customWidth="1"/>
    <col min="13042" max="13042" width="12.5" style="4" customWidth="1"/>
    <col min="13043" max="13043" width="13.75" style="4" customWidth="1"/>
    <col min="13044" max="13044" width="9" style="4"/>
    <col min="13045" max="13045" width="12.375" style="4" customWidth="1"/>
    <col min="13046" max="13047" width="9" style="4"/>
    <col min="13048" max="13048" width="15.625" style="4" bestFit="1" customWidth="1"/>
    <col min="13049" max="13049" width="18.875" style="4" customWidth="1"/>
    <col min="13050" max="13292" width="9" style="4"/>
    <col min="13293" max="13293" width="9.625" style="4" customWidth="1"/>
    <col min="13294" max="13294" width="11.5" style="4" customWidth="1"/>
    <col min="13295" max="13295" width="9" style="4" customWidth="1"/>
    <col min="13296" max="13296" width="13.375" style="4" customWidth="1"/>
    <col min="13297" max="13297" width="10.5" style="4" customWidth="1"/>
    <col min="13298" max="13298" width="12.5" style="4" customWidth="1"/>
    <col min="13299" max="13299" width="13.75" style="4" customWidth="1"/>
    <col min="13300" max="13300" width="9" style="4"/>
    <col min="13301" max="13301" width="12.375" style="4" customWidth="1"/>
    <col min="13302" max="13303" width="9" style="4"/>
    <col min="13304" max="13304" width="15.625" style="4" bestFit="1" customWidth="1"/>
    <col min="13305" max="13305" width="18.875" style="4" customWidth="1"/>
    <col min="13306" max="13548" width="9" style="4"/>
    <col min="13549" max="13549" width="9.625" style="4" customWidth="1"/>
    <col min="13550" max="13550" width="11.5" style="4" customWidth="1"/>
    <col min="13551" max="13551" width="9" style="4" customWidth="1"/>
    <col min="13552" max="13552" width="13.375" style="4" customWidth="1"/>
    <col min="13553" max="13553" width="10.5" style="4" customWidth="1"/>
    <col min="13554" max="13554" width="12.5" style="4" customWidth="1"/>
    <col min="13555" max="13555" width="13.75" style="4" customWidth="1"/>
    <col min="13556" max="13556" width="9" style="4"/>
    <col min="13557" max="13557" width="12.375" style="4" customWidth="1"/>
    <col min="13558" max="13559" width="9" style="4"/>
    <col min="13560" max="13560" width="15.625" style="4" bestFit="1" customWidth="1"/>
    <col min="13561" max="13561" width="18.875" style="4" customWidth="1"/>
    <col min="13562" max="13804" width="9" style="4"/>
    <col min="13805" max="13805" width="9.625" style="4" customWidth="1"/>
    <col min="13806" max="13806" width="11.5" style="4" customWidth="1"/>
    <col min="13807" max="13807" width="9" style="4" customWidth="1"/>
    <col min="13808" max="13808" width="13.375" style="4" customWidth="1"/>
    <col min="13809" max="13809" width="10.5" style="4" customWidth="1"/>
    <col min="13810" max="13810" width="12.5" style="4" customWidth="1"/>
    <col min="13811" max="13811" width="13.75" style="4" customWidth="1"/>
    <col min="13812" max="13812" width="9" style="4"/>
    <col min="13813" max="13813" width="12.375" style="4" customWidth="1"/>
    <col min="13814" max="13815" width="9" style="4"/>
    <col min="13816" max="13816" width="15.625" style="4" bestFit="1" customWidth="1"/>
    <col min="13817" max="13817" width="18.875" style="4" customWidth="1"/>
    <col min="13818" max="14060" width="9" style="4"/>
    <col min="14061" max="14061" width="9.625" style="4" customWidth="1"/>
    <col min="14062" max="14062" width="11.5" style="4" customWidth="1"/>
    <col min="14063" max="14063" width="9" style="4" customWidth="1"/>
    <col min="14064" max="14064" width="13.375" style="4" customWidth="1"/>
    <col min="14065" max="14065" width="10.5" style="4" customWidth="1"/>
    <col min="14066" max="14066" width="12.5" style="4" customWidth="1"/>
    <col min="14067" max="14067" width="13.75" style="4" customWidth="1"/>
    <col min="14068" max="14068" width="9" style="4"/>
    <col min="14069" max="14069" width="12.375" style="4" customWidth="1"/>
    <col min="14070" max="14071" width="9" style="4"/>
    <col min="14072" max="14072" width="15.625" style="4" bestFit="1" customWidth="1"/>
    <col min="14073" max="14073" width="18.875" style="4" customWidth="1"/>
    <col min="14074" max="14316" width="9" style="4"/>
    <col min="14317" max="14317" width="9.625" style="4" customWidth="1"/>
    <col min="14318" max="14318" width="11.5" style="4" customWidth="1"/>
    <col min="14319" max="14319" width="9" style="4" customWidth="1"/>
    <col min="14320" max="14320" width="13.375" style="4" customWidth="1"/>
    <col min="14321" max="14321" width="10.5" style="4" customWidth="1"/>
    <col min="14322" max="14322" width="12.5" style="4" customWidth="1"/>
    <col min="14323" max="14323" width="13.75" style="4" customWidth="1"/>
    <col min="14324" max="14324" width="9" style="4"/>
    <col min="14325" max="14325" width="12.375" style="4" customWidth="1"/>
    <col min="14326" max="14327" width="9" style="4"/>
    <col min="14328" max="14328" width="15.625" style="4" bestFit="1" customWidth="1"/>
    <col min="14329" max="14329" width="18.875" style="4" customWidth="1"/>
    <col min="14330" max="14572" width="9" style="4"/>
    <col min="14573" max="14573" width="9.625" style="4" customWidth="1"/>
    <col min="14574" max="14574" width="11.5" style="4" customWidth="1"/>
    <col min="14575" max="14575" width="9" style="4" customWidth="1"/>
    <col min="14576" max="14576" width="13.375" style="4" customWidth="1"/>
    <col min="14577" max="14577" width="10.5" style="4" customWidth="1"/>
    <col min="14578" max="14578" width="12.5" style="4" customWidth="1"/>
    <col min="14579" max="14579" width="13.75" style="4" customWidth="1"/>
    <col min="14580" max="14580" width="9" style="4"/>
    <col min="14581" max="14581" width="12.375" style="4" customWidth="1"/>
    <col min="14582" max="14583" width="9" style="4"/>
    <col min="14584" max="14584" width="15.625" style="4" bestFit="1" customWidth="1"/>
    <col min="14585" max="14585" width="18.875" style="4" customWidth="1"/>
    <col min="14586" max="14828" width="9" style="4"/>
    <col min="14829" max="14829" width="9.625" style="4" customWidth="1"/>
    <col min="14830" max="14830" width="11.5" style="4" customWidth="1"/>
    <col min="14831" max="14831" width="9" style="4" customWidth="1"/>
    <col min="14832" max="14832" width="13.375" style="4" customWidth="1"/>
    <col min="14833" max="14833" width="10.5" style="4" customWidth="1"/>
    <col min="14834" max="14834" width="12.5" style="4" customWidth="1"/>
    <col min="14835" max="14835" width="13.75" style="4" customWidth="1"/>
    <col min="14836" max="14836" width="9" style="4"/>
    <col min="14837" max="14837" width="12.375" style="4" customWidth="1"/>
    <col min="14838" max="14839" width="9" style="4"/>
    <col min="14840" max="14840" width="15.625" style="4" bestFit="1" customWidth="1"/>
    <col min="14841" max="14841" width="18.875" style="4" customWidth="1"/>
    <col min="14842" max="15084" width="9" style="4"/>
    <col min="15085" max="15085" width="9.625" style="4" customWidth="1"/>
    <col min="15086" max="15086" width="11.5" style="4" customWidth="1"/>
    <col min="15087" max="15087" width="9" style="4" customWidth="1"/>
    <col min="15088" max="15088" width="13.375" style="4" customWidth="1"/>
    <col min="15089" max="15089" width="10.5" style="4" customWidth="1"/>
    <col min="15090" max="15090" width="12.5" style="4" customWidth="1"/>
    <col min="15091" max="15091" width="13.75" style="4" customWidth="1"/>
    <col min="15092" max="15092" width="9" style="4"/>
    <col min="15093" max="15093" width="12.375" style="4" customWidth="1"/>
    <col min="15094" max="15095" width="9" style="4"/>
    <col min="15096" max="15096" width="15.625" style="4" bestFit="1" customWidth="1"/>
    <col min="15097" max="15097" width="18.875" style="4" customWidth="1"/>
    <col min="15098" max="15340" width="9" style="4"/>
    <col min="15341" max="15341" width="9.625" style="4" customWidth="1"/>
    <col min="15342" max="15342" width="11.5" style="4" customWidth="1"/>
    <col min="15343" max="15343" width="9" style="4" customWidth="1"/>
    <col min="15344" max="15344" width="13.375" style="4" customWidth="1"/>
    <col min="15345" max="15345" width="10.5" style="4" customWidth="1"/>
    <col min="15346" max="15346" width="12.5" style="4" customWidth="1"/>
    <col min="15347" max="15347" width="13.75" style="4" customWidth="1"/>
    <col min="15348" max="15348" width="9" style="4"/>
    <col min="15349" max="15349" width="12.375" style="4" customWidth="1"/>
    <col min="15350" max="15351" width="9" style="4"/>
    <col min="15352" max="15352" width="15.625" style="4" bestFit="1" customWidth="1"/>
    <col min="15353" max="15353" width="18.875" style="4" customWidth="1"/>
    <col min="15354" max="15596" width="9" style="4"/>
    <col min="15597" max="15597" width="9.625" style="4" customWidth="1"/>
    <col min="15598" max="15598" width="11.5" style="4" customWidth="1"/>
    <col min="15599" max="15599" width="9" style="4" customWidth="1"/>
    <col min="15600" max="15600" width="13.375" style="4" customWidth="1"/>
    <col min="15601" max="15601" width="10.5" style="4" customWidth="1"/>
    <col min="15602" max="15602" width="12.5" style="4" customWidth="1"/>
    <col min="15603" max="15603" width="13.75" style="4" customWidth="1"/>
    <col min="15604" max="15604" width="9" style="4"/>
    <col min="15605" max="15605" width="12.375" style="4" customWidth="1"/>
    <col min="15606" max="15607" width="9" style="4"/>
    <col min="15608" max="15608" width="15.625" style="4" bestFit="1" customWidth="1"/>
    <col min="15609" max="15609" width="18.875" style="4" customWidth="1"/>
    <col min="15610" max="15852" width="9" style="4"/>
    <col min="15853" max="15853" width="9.625" style="4" customWidth="1"/>
    <col min="15854" max="15854" width="11.5" style="4" customWidth="1"/>
    <col min="15855" max="15855" width="9" style="4" customWidth="1"/>
    <col min="15856" max="15856" width="13.375" style="4" customWidth="1"/>
    <col min="15857" max="15857" width="10.5" style="4" customWidth="1"/>
    <col min="15858" max="15858" width="12.5" style="4" customWidth="1"/>
    <col min="15859" max="15859" width="13.75" style="4" customWidth="1"/>
    <col min="15860" max="15860" width="9" style="4"/>
    <col min="15861" max="15861" width="12.375" style="4" customWidth="1"/>
    <col min="15862" max="15863" width="9" style="4"/>
    <col min="15864" max="15864" width="15.625" style="4" bestFit="1" customWidth="1"/>
    <col min="15865" max="15865" width="18.875" style="4" customWidth="1"/>
    <col min="15866" max="16108" width="9" style="4"/>
    <col min="16109" max="16109" width="9.625" style="4" customWidth="1"/>
    <col min="16110" max="16110" width="11.5" style="4" customWidth="1"/>
    <col min="16111" max="16111" width="9" style="4" customWidth="1"/>
    <col min="16112" max="16112" width="13.375" style="4" customWidth="1"/>
    <col min="16113" max="16113" width="10.5" style="4" customWidth="1"/>
    <col min="16114" max="16114" width="12.5" style="4" customWidth="1"/>
    <col min="16115" max="16115" width="13.75" style="4" customWidth="1"/>
    <col min="16116" max="16116" width="9" style="4"/>
    <col min="16117" max="16117" width="12.375" style="4" customWidth="1"/>
    <col min="16118" max="16119" width="9" style="4"/>
    <col min="16120" max="16120" width="15.625" style="4" bestFit="1" customWidth="1"/>
    <col min="16121" max="16121" width="18.875" style="4" customWidth="1"/>
    <col min="16122" max="16384" width="9" style="4"/>
  </cols>
  <sheetData>
    <row r="1" spans="1:4" ht="16.5" x14ac:dyDescent="0.15">
      <c r="A1" s="5" t="s">
        <v>28</v>
      </c>
      <c r="B1" s="6" t="s">
        <v>29</v>
      </c>
      <c r="C1" s="4"/>
      <c r="D1" s="4"/>
    </row>
    <row r="2" spans="1:4" x14ac:dyDescent="0.15">
      <c r="A2" s="7" t="s">
        <v>36</v>
      </c>
      <c r="B2" s="7" t="s">
        <v>2642</v>
      </c>
      <c r="C2" s="7"/>
      <c r="D2" s="7"/>
    </row>
    <row r="3" spans="1:4" x14ac:dyDescent="0.15">
      <c r="B3" s="7"/>
      <c r="C3" s="7"/>
      <c r="D3" s="7"/>
    </row>
    <row r="4" spans="1:4" x14ac:dyDescent="0.15">
      <c r="A4" s="7" t="s">
        <v>37</v>
      </c>
      <c r="B4" s="7"/>
      <c r="C4" s="7"/>
      <c r="D4" s="7" t="s">
        <v>30</v>
      </c>
    </row>
    <row r="5" spans="1:4" x14ac:dyDescent="0.15">
      <c r="A5" s="7" t="s">
        <v>38</v>
      </c>
      <c r="B5" s="7"/>
      <c r="C5" s="7"/>
      <c r="D5" s="7" t="s">
        <v>39</v>
      </c>
    </row>
    <row r="6" spans="1:4" x14ac:dyDescent="0.15">
      <c r="B6" s="7"/>
      <c r="C6" s="7"/>
      <c r="D6" s="7" t="s">
        <v>40</v>
      </c>
    </row>
    <row r="8" spans="1:4" s="45" customFormat="1" ht="13.5" x14ac:dyDescent="0.15">
      <c r="A8" s="45" t="s">
        <v>41</v>
      </c>
      <c r="D8" s="45">
        <v>89</v>
      </c>
    </row>
    <row r="9" spans="1:4" s="45" customFormat="1" ht="13.5" x14ac:dyDescent="0.15">
      <c r="A9" s="45" t="s">
        <v>41</v>
      </c>
      <c r="D9" s="45">
        <v>582536774</v>
      </c>
    </row>
    <row r="10" spans="1:4" s="45" customFormat="1" ht="13.5" x14ac:dyDescent="0.15">
      <c r="A10" s="45" t="s">
        <v>41</v>
      </c>
      <c r="D10" s="45">
        <v>2084319856</v>
      </c>
    </row>
    <row r="11" spans="1:4" s="45" customFormat="1" ht="13.5" x14ac:dyDescent="0.15">
      <c r="A11" s="45" t="s">
        <v>41</v>
      </c>
      <c r="D11" s="45" t="s">
        <v>3799</v>
      </c>
    </row>
    <row r="12" spans="1:4" s="45" customFormat="1" ht="13.5" x14ac:dyDescent="0.15">
      <c r="A12" s="45" t="s">
        <v>41</v>
      </c>
      <c r="D12" s="45" t="s">
        <v>3800</v>
      </c>
    </row>
    <row r="13" spans="1:4" s="45" customFormat="1" ht="13.5" x14ac:dyDescent="0.15">
      <c r="A13" s="45" t="s">
        <v>41</v>
      </c>
      <c r="D13" s="45" t="s">
        <v>3801</v>
      </c>
    </row>
    <row r="14" spans="1:4" s="45" customFormat="1" ht="13.5" x14ac:dyDescent="0.15">
      <c r="A14" s="45" t="s">
        <v>41</v>
      </c>
      <c r="D14" s="45" t="s">
        <v>3802</v>
      </c>
    </row>
    <row r="15" spans="1:4" s="45" customFormat="1" ht="13.5" x14ac:dyDescent="0.15">
      <c r="A15" s="45" t="s">
        <v>41</v>
      </c>
      <c r="D15" s="45" t="s">
        <v>3803</v>
      </c>
    </row>
    <row r="16" spans="1:4" s="45" customFormat="1" ht="13.5" x14ac:dyDescent="0.15">
      <c r="A16" s="45" t="s">
        <v>41</v>
      </c>
      <c r="D16" s="45" t="s">
        <v>3804</v>
      </c>
    </row>
    <row r="17" spans="1:4" s="45" customFormat="1" ht="13.5" x14ac:dyDescent="0.15">
      <c r="A17" s="45" t="s">
        <v>41</v>
      </c>
      <c r="D17" s="45" t="s">
        <v>3805</v>
      </c>
    </row>
    <row r="18" spans="1:4" s="45" customFormat="1" ht="13.5" x14ac:dyDescent="0.15">
      <c r="A18" s="45" t="s">
        <v>41</v>
      </c>
      <c r="D18" s="45" t="s">
        <v>3806</v>
      </c>
    </row>
    <row r="19" spans="1:4" s="45" customFormat="1" ht="13.5" x14ac:dyDescent="0.15">
      <c r="A19" s="45" t="s">
        <v>41</v>
      </c>
      <c r="D19" s="45" t="s">
        <v>3807</v>
      </c>
    </row>
    <row r="20" spans="1:4" s="45" customFormat="1" ht="13.5" x14ac:dyDescent="0.15">
      <c r="A20" s="45" t="s">
        <v>41</v>
      </c>
      <c r="D20" s="45" t="s">
        <v>3808</v>
      </c>
    </row>
    <row r="21" spans="1:4" s="45" customFormat="1" ht="13.5" x14ac:dyDescent="0.15">
      <c r="A21" s="45" t="s">
        <v>41</v>
      </c>
      <c r="D21" s="45" t="s">
        <v>3809</v>
      </c>
    </row>
    <row r="22" spans="1:4" s="45" customFormat="1" ht="13.5" x14ac:dyDescent="0.15">
      <c r="A22" s="45" t="s">
        <v>41</v>
      </c>
      <c r="D22" s="45" t="s">
        <v>3810</v>
      </c>
    </row>
    <row r="23" spans="1:4" s="45" customFormat="1" ht="13.5" x14ac:dyDescent="0.15">
      <c r="A23" s="45" t="s">
        <v>41</v>
      </c>
      <c r="D23" s="45" t="s">
        <v>3811</v>
      </c>
    </row>
    <row r="24" spans="1:4" s="45" customFormat="1" ht="13.5" x14ac:dyDescent="0.15">
      <c r="A24" s="45" t="s">
        <v>41</v>
      </c>
      <c r="D24" s="45" t="s">
        <v>3812</v>
      </c>
    </row>
    <row r="25" spans="1:4" s="45" customFormat="1" ht="13.5" x14ac:dyDescent="0.15">
      <c r="A25" s="45" t="s">
        <v>41</v>
      </c>
      <c r="D25" s="45" t="s">
        <v>3813</v>
      </c>
    </row>
    <row r="26" spans="1:4" s="45" customFormat="1" ht="13.5" x14ac:dyDescent="0.15">
      <c r="A26" s="45" t="s">
        <v>41</v>
      </c>
      <c r="D26" s="45" t="s">
        <v>3814</v>
      </c>
    </row>
    <row r="27" spans="1:4" s="45" customFormat="1" ht="13.5" x14ac:dyDescent="0.15">
      <c r="A27" s="45" t="s">
        <v>41</v>
      </c>
      <c r="D27" s="45" t="s">
        <v>3815</v>
      </c>
    </row>
    <row r="28" spans="1:4" s="45" customFormat="1" ht="13.5" x14ac:dyDescent="0.15">
      <c r="A28" s="45" t="s">
        <v>41</v>
      </c>
      <c r="D28" s="45" t="s">
        <v>3816</v>
      </c>
    </row>
    <row r="29" spans="1:4" s="45" customFormat="1" ht="13.5" x14ac:dyDescent="0.15">
      <c r="A29" s="45" t="s">
        <v>41</v>
      </c>
      <c r="D29" s="45" t="s">
        <v>3817</v>
      </c>
    </row>
    <row r="30" spans="1:4" s="45" customFormat="1" ht="13.5" x14ac:dyDescent="0.15">
      <c r="A30" s="45" t="s">
        <v>41</v>
      </c>
      <c r="D30" s="45" t="s">
        <v>3818</v>
      </c>
    </row>
    <row r="31" spans="1:4" s="45" customFormat="1" ht="13.5" x14ac:dyDescent="0.15">
      <c r="A31" s="45" t="s">
        <v>41</v>
      </c>
      <c r="D31" s="45" t="s">
        <v>3819</v>
      </c>
    </row>
    <row r="32" spans="1:4" s="45" customFormat="1" ht="13.5" x14ac:dyDescent="0.15">
      <c r="A32" s="45" t="s">
        <v>41</v>
      </c>
      <c r="D32" s="45" t="s">
        <v>3820</v>
      </c>
    </row>
    <row r="33" spans="1:4" s="45" customFormat="1" ht="13.5" x14ac:dyDescent="0.15">
      <c r="A33" s="45" t="s">
        <v>41</v>
      </c>
      <c r="D33" s="45" t="s">
        <v>3821</v>
      </c>
    </row>
    <row r="34" spans="1:4" s="45" customFormat="1" ht="13.5" x14ac:dyDescent="0.15">
      <c r="A34" s="45" t="s">
        <v>41</v>
      </c>
      <c r="D34" s="45" t="s">
        <v>3822</v>
      </c>
    </row>
    <row r="35" spans="1:4" s="45" customFormat="1" ht="13.5" x14ac:dyDescent="0.15">
      <c r="A35" s="45" t="s">
        <v>41</v>
      </c>
      <c r="D35" s="45" t="s">
        <v>3823</v>
      </c>
    </row>
    <row r="36" spans="1:4" s="45" customFormat="1" ht="13.5" x14ac:dyDescent="0.15">
      <c r="A36" s="45" t="s">
        <v>41</v>
      </c>
      <c r="D36" s="45" t="s">
        <v>3824</v>
      </c>
    </row>
    <row r="37" spans="1:4" s="45" customFormat="1" ht="13.5" x14ac:dyDescent="0.15">
      <c r="A37" s="45" t="s">
        <v>41</v>
      </c>
      <c r="D37" s="45" t="s">
        <v>3825</v>
      </c>
    </row>
    <row r="38" spans="1:4" s="45" customFormat="1" ht="13.5" x14ac:dyDescent="0.15">
      <c r="A38" s="45" t="s">
        <v>41</v>
      </c>
      <c r="D38" s="45" t="s">
        <v>3826</v>
      </c>
    </row>
    <row r="39" spans="1:4" s="45" customFormat="1" ht="13.5" x14ac:dyDescent="0.15">
      <c r="A39" s="45" t="s">
        <v>41</v>
      </c>
      <c r="D39" s="45" t="s">
        <v>3827</v>
      </c>
    </row>
    <row r="40" spans="1:4" s="45" customFormat="1" ht="13.5" x14ac:dyDescent="0.15">
      <c r="A40" s="45" t="s">
        <v>41</v>
      </c>
      <c r="D40" s="45" t="s">
        <v>3828</v>
      </c>
    </row>
    <row r="41" spans="1:4" s="45" customFormat="1" ht="13.5" x14ac:dyDescent="0.15">
      <c r="A41" s="45" t="s">
        <v>41</v>
      </c>
      <c r="D41" s="45" t="s">
        <v>3829</v>
      </c>
    </row>
    <row r="42" spans="1:4" s="45" customFormat="1" ht="13.5" x14ac:dyDescent="0.15">
      <c r="A42" s="45" t="s">
        <v>41</v>
      </c>
      <c r="D42" s="45" t="s">
        <v>3830</v>
      </c>
    </row>
    <row r="43" spans="1:4" s="45" customFormat="1" ht="13.5" x14ac:dyDescent="0.15">
      <c r="A43" s="45" t="s">
        <v>41</v>
      </c>
      <c r="D43" s="45" t="s">
        <v>3831</v>
      </c>
    </row>
    <row r="44" spans="1:4" s="45" customFormat="1" ht="13.5" x14ac:dyDescent="0.15">
      <c r="A44" s="45" t="s">
        <v>41</v>
      </c>
      <c r="D44" s="45" t="s">
        <v>3832</v>
      </c>
    </row>
    <row r="45" spans="1:4" s="45" customFormat="1" ht="13.5" x14ac:dyDescent="0.15">
      <c r="A45" s="45" t="s">
        <v>41</v>
      </c>
      <c r="D45" s="45" t="s">
        <v>3833</v>
      </c>
    </row>
    <row r="46" spans="1:4" s="45" customFormat="1" ht="13.5" x14ac:dyDescent="0.15">
      <c r="A46" s="45" t="s">
        <v>41</v>
      </c>
      <c r="D46" s="45" t="s">
        <v>3834</v>
      </c>
    </row>
    <row r="47" spans="1:4" s="45" customFormat="1" ht="13.5" x14ac:dyDescent="0.15">
      <c r="A47" s="45" t="s">
        <v>41</v>
      </c>
      <c r="D47" s="45" t="s">
        <v>3835</v>
      </c>
    </row>
    <row r="48" spans="1:4" s="45" customFormat="1" ht="13.5" x14ac:dyDescent="0.15">
      <c r="A48" s="45" t="s">
        <v>41</v>
      </c>
      <c r="D48" s="45" t="s">
        <v>3836</v>
      </c>
    </row>
    <row r="49" spans="1:4" s="45" customFormat="1" ht="13.5" x14ac:dyDescent="0.15">
      <c r="A49" s="45" t="s">
        <v>41</v>
      </c>
      <c r="D49" s="45" t="s">
        <v>3837</v>
      </c>
    </row>
    <row r="50" spans="1:4" s="45" customFormat="1" ht="13.5" x14ac:dyDescent="0.15">
      <c r="A50" s="45" t="s">
        <v>41</v>
      </c>
      <c r="D50" s="45" t="s">
        <v>3838</v>
      </c>
    </row>
    <row r="51" spans="1:4" s="45" customFormat="1" ht="13.5" x14ac:dyDescent="0.15">
      <c r="A51" s="45" t="s">
        <v>41</v>
      </c>
      <c r="D51" s="45" t="s">
        <v>3839</v>
      </c>
    </row>
    <row r="52" spans="1:4" s="45" customFormat="1" ht="13.5" x14ac:dyDescent="0.15">
      <c r="A52" s="45" t="s">
        <v>41</v>
      </c>
      <c r="D52" s="45" t="s">
        <v>3840</v>
      </c>
    </row>
    <row r="53" spans="1:4" s="45" customFormat="1" ht="13.5" x14ac:dyDescent="0.15">
      <c r="A53" s="45" t="s">
        <v>41</v>
      </c>
      <c r="D53" s="45" t="s">
        <v>3841</v>
      </c>
    </row>
    <row r="54" spans="1:4" s="45" customFormat="1" ht="13.5" x14ac:dyDescent="0.15">
      <c r="A54" s="45" t="s">
        <v>41</v>
      </c>
      <c r="D54" s="45" t="s">
        <v>3842</v>
      </c>
    </row>
    <row r="55" spans="1:4" s="45" customFormat="1" ht="13.5" x14ac:dyDescent="0.15">
      <c r="A55" s="45" t="s">
        <v>41</v>
      </c>
      <c r="D55" s="45" t="s">
        <v>3843</v>
      </c>
    </row>
    <row r="56" spans="1:4" s="45" customFormat="1" ht="13.5" x14ac:dyDescent="0.15">
      <c r="A56" s="45" t="s">
        <v>41</v>
      </c>
      <c r="D56" s="45" t="s">
        <v>3844</v>
      </c>
    </row>
    <row r="57" spans="1:4" s="45" customFormat="1" ht="13.5" x14ac:dyDescent="0.15">
      <c r="A57" s="45" t="s">
        <v>41</v>
      </c>
      <c r="D57" s="45" t="s">
        <v>3845</v>
      </c>
    </row>
    <row r="58" spans="1:4" s="45" customFormat="1" ht="13.5" x14ac:dyDescent="0.15">
      <c r="A58" s="45" t="s">
        <v>41</v>
      </c>
      <c r="D58" s="45" t="s">
        <v>3846</v>
      </c>
    </row>
    <row r="59" spans="1:4" s="45" customFormat="1" ht="13.5" x14ac:dyDescent="0.15">
      <c r="A59" s="45" t="s">
        <v>41</v>
      </c>
      <c r="D59" s="45" t="s">
        <v>3847</v>
      </c>
    </row>
    <row r="60" spans="1:4" s="45" customFormat="1" ht="13.5" x14ac:dyDescent="0.15">
      <c r="A60" s="45" t="s">
        <v>41</v>
      </c>
      <c r="D60" s="45" t="s">
        <v>3848</v>
      </c>
    </row>
    <row r="61" spans="1:4" s="45" customFormat="1" ht="13.5" x14ac:dyDescent="0.15">
      <c r="A61" s="45" t="s">
        <v>41</v>
      </c>
      <c r="D61" s="45" t="s">
        <v>3849</v>
      </c>
    </row>
    <row r="62" spans="1:4" s="45" customFormat="1" ht="13.5" x14ac:dyDescent="0.15">
      <c r="A62" s="45" t="s">
        <v>41</v>
      </c>
      <c r="D62" s="45" t="s">
        <v>3850</v>
      </c>
    </row>
    <row r="63" spans="1:4" s="45" customFormat="1" ht="13.5" x14ac:dyDescent="0.15">
      <c r="A63" s="45" t="s">
        <v>41</v>
      </c>
      <c r="D63" s="45" t="s">
        <v>3851</v>
      </c>
    </row>
    <row r="64" spans="1:4" s="45" customFormat="1" ht="13.5" x14ac:dyDescent="0.15">
      <c r="A64" s="45" t="s">
        <v>41</v>
      </c>
      <c r="D64" s="45" t="s">
        <v>3852</v>
      </c>
    </row>
    <row r="65" spans="1:4" s="45" customFormat="1" ht="13.5" x14ac:dyDescent="0.15">
      <c r="A65" s="45" t="s">
        <v>41</v>
      </c>
      <c r="D65" s="45" t="s">
        <v>3853</v>
      </c>
    </row>
    <row r="66" spans="1:4" s="45" customFormat="1" ht="13.5" x14ac:dyDescent="0.15">
      <c r="A66" s="45" t="s">
        <v>41</v>
      </c>
      <c r="D66" s="45" t="s">
        <v>3854</v>
      </c>
    </row>
    <row r="67" spans="1:4" s="45" customFormat="1" ht="13.5" x14ac:dyDescent="0.15">
      <c r="A67" s="45" t="s">
        <v>41</v>
      </c>
      <c r="D67" s="45" t="s">
        <v>3855</v>
      </c>
    </row>
    <row r="68" spans="1:4" s="45" customFormat="1" ht="13.5" x14ac:dyDescent="0.15">
      <c r="A68" s="45" t="s">
        <v>41</v>
      </c>
      <c r="D68" s="45" t="s">
        <v>42</v>
      </c>
    </row>
    <row r="69" spans="1:4" s="45" customFormat="1" ht="13.5" x14ac:dyDescent="0.15">
      <c r="A69" s="45" t="s">
        <v>41</v>
      </c>
      <c r="D69" s="45" t="s">
        <v>3856</v>
      </c>
    </row>
    <row r="70" spans="1:4" s="45" customFormat="1" ht="13.5" x14ac:dyDescent="0.15">
      <c r="A70" s="45" t="s">
        <v>41</v>
      </c>
      <c r="D70" s="45" t="s">
        <v>3857</v>
      </c>
    </row>
    <row r="71" spans="1:4" s="45" customFormat="1" ht="13.5" x14ac:dyDescent="0.15">
      <c r="A71" s="45" t="s">
        <v>41</v>
      </c>
      <c r="D71" s="45" t="s">
        <v>3858</v>
      </c>
    </row>
    <row r="72" spans="1:4" s="45" customFormat="1" ht="13.5" x14ac:dyDescent="0.15">
      <c r="A72" s="45" t="s">
        <v>41</v>
      </c>
      <c r="D72" s="45" t="s">
        <v>3859</v>
      </c>
    </row>
    <row r="73" spans="1:4" s="45" customFormat="1" ht="13.5" x14ac:dyDescent="0.15">
      <c r="A73" s="45" t="s">
        <v>41</v>
      </c>
      <c r="D73" s="45" t="s">
        <v>3860</v>
      </c>
    </row>
    <row r="74" spans="1:4" s="45" customFormat="1" ht="13.5" x14ac:dyDescent="0.15">
      <c r="A74" s="45" t="s">
        <v>41</v>
      </c>
      <c r="D74" s="45" t="s">
        <v>3861</v>
      </c>
    </row>
    <row r="75" spans="1:4" s="45" customFormat="1" ht="13.5" x14ac:dyDescent="0.15">
      <c r="A75" s="45" t="s">
        <v>41</v>
      </c>
      <c r="D75" s="45" t="s">
        <v>3862</v>
      </c>
    </row>
    <row r="76" spans="1:4" s="45" customFormat="1" ht="13.5" x14ac:dyDescent="0.15">
      <c r="A76" s="45" t="s">
        <v>41</v>
      </c>
      <c r="D76" s="45" t="s">
        <v>3863</v>
      </c>
    </row>
    <row r="77" spans="1:4" s="45" customFormat="1" ht="13.5" x14ac:dyDescent="0.15">
      <c r="A77" s="45" t="s">
        <v>41</v>
      </c>
      <c r="D77" s="45" t="s">
        <v>3864</v>
      </c>
    </row>
    <row r="78" spans="1:4" s="45" customFormat="1" ht="13.5" x14ac:dyDescent="0.15">
      <c r="A78" s="45" t="s">
        <v>41</v>
      </c>
      <c r="D78" s="45" t="s">
        <v>3865</v>
      </c>
    </row>
    <row r="79" spans="1:4" s="45" customFormat="1" ht="13.5" x14ac:dyDescent="0.15">
      <c r="A79" s="45" t="s">
        <v>41</v>
      </c>
      <c r="D79" s="45" t="s">
        <v>3866</v>
      </c>
    </row>
    <row r="80" spans="1:4" s="45" customFormat="1" ht="13.5" x14ac:dyDescent="0.15">
      <c r="A80" s="45" t="s">
        <v>41</v>
      </c>
      <c r="D80" s="45" t="s">
        <v>3867</v>
      </c>
    </row>
    <row r="81" spans="1:4" s="45" customFormat="1" ht="13.5" x14ac:dyDescent="0.15">
      <c r="A81" s="45" t="s">
        <v>41</v>
      </c>
      <c r="D81" s="45" t="s">
        <v>3868</v>
      </c>
    </row>
    <row r="82" spans="1:4" s="45" customFormat="1" ht="13.5" x14ac:dyDescent="0.15">
      <c r="A82" s="45" t="s">
        <v>41</v>
      </c>
      <c r="D82" s="45" t="s">
        <v>3869</v>
      </c>
    </row>
    <row r="83" spans="1:4" s="45" customFormat="1" ht="13.5" x14ac:dyDescent="0.15">
      <c r="A83" s="45" t="s">
        <v>41</v>
      </c>
      <c r="D83" s="45" t="s">
        <v>3870</v>
      </c>
    </row>
    <row r="84" spans="1:4" s="45" customFormat="1" ht="13.5" x14ac:dyDescent="0.15">
      <c r="A84" s="45" t="s">
        <v>41</v>
      </c>
      <c r="D84" s="45" t="s">
        <v>3871</v>
      </c>
    </row>
    <row r="85" spans="1:4" s="45" customFormat="1" ht="13.5" x14ac:dyDescent="0.15">
      <c r="A85" s="45" t="s">
        <v>41</v>
      </c>
      <c r="D85" s="45" t="s">
        <v>3872</v>
      </c>
    </row>
    <row r="86" spans="1:4" s="45" customFormat="1" ht="13.5" x14ac:dyDescent="0.15">
      <c r="A86" s="45" t="s">
        <v>41</v>
      </c>
      <c r="D86" s="45" t="s">
        <v>3873</v>
      </c>
    </row>
    <row r="87" spans="1:4" s="45" customFormat="1" ht="13.5" x14ac:dyDescent="0.15">
      <c r="A87" s="45" t="s">
        <v>41</v>
      </c>
      <c r="D87" s="45" t="s">
        <v>3874</v>
      </c>
    </row>
    <row r="88" spans="1:4" s="45" customFormat="1" ht="13.5" x14ac:dyDescent="0.15">
      <c r="A88" s="45" t="s">
        <v>41</v>
      </c>
      <c r="D88" s="45" t="s">
        <v>3875</v>
      </c>
    </row>
    <row r="89" spans="1:4" s="45" customFormat="1" ht="13.5" x14ac:dyDescent="0.15">
      <c r="A89" s="45" t="s">
        <v>41</v>
      </c>
      <c r="D89" s="45" t="s">
        <v>3876</v>
      </c>
    </row>
    <row r="90" spans="1:4" s="45" customFormat="1" ht="13.5" x14ac:dyDescent="0.15">
      <c r="A90" s="45" t="s">
        <v>41</v>
      </c>
      <c r="D90" s="45" t="s">
        <v>3877</v>
      </c>
    </row>
    <row r="91" spans="1:4" s="45" customFormat="1" ht="13.5" x14ac:dyDescent="0.15">
      <c r="A91" s="45" t="s">
        <v>41</v>
      </c>
      <c r="D91" s="45" t="s">
        <v>3878</v>
      </c>
    </row>
    <row r="92" spans="1:4" s="45" customFormat="1" ht="13.5" x14ac:dyDescent="0.15">
      <c r="A92" s="45" t="s">
        <v>41</v>
      </c>
      <c r="D92" s="45" t="s">
        <v>3879</v>
      </c>
    </row>
    <row r="93" spans="1:4" s="45" customFormat="1" ht="13.5" x14ac:dyDescent="0.15">
      <c r="A93" s="45" t="s">
        <v>41</v>
      </c>
      <c r="D93" s="45" t="s">
        <v>3880</v>
      </c>
    </row>
    <row r="94" spans="1:4" s="45" customFormat="1" ht="13.5" x14ac:dyDescent="0.15">
      <c r="A94" s="45" t="s">
        <v>41</v>
      </c>
      <c r="D94" s="45" t="s">
        <v>3881</v>
      </c>
    </row>
    <row r="95" spans="1:4" s="45" customFormat="1" ht="13.5" x14ac:dyDescent="0.15">
      <c r="A95" s="45" t="s">
        <v>41</v>
      </c>
      <c r="D95" s="45" t="s">
        <v>3882</v>
      </c>
    </row>
    <row r="96" spans="1:4" s="45" customFormat="1" ht="13.5" x14ac:dyDescent="0.15">
      <c r="A96" s="45" t="s">
        <v>41</v>
      </c>
      <c r="D96" s="45" t="s">
        <v>3883</v>
      </c>
    </row>
    <row r="97" spans="1:4" s="45" customFormat="1" ht="13.5" x14ac:dyDescent="0.15">
      <c r="A97" s="45" t="s">
        <v>41</v>
      </c>
      <c r="D97" s="45" t="s">
        <v>3884</v>
      </c>
    </row>
    <row r="98" spans="1:4" s="45" customFormat="1" ht="13.5" x14ac:dyDescent="0.15">
      <c r="A98" s="45" t="s">
        <v>41</v>
      </c>
      <c r="D98" s="45" t="s">
        <v>3885</v>
      </c>
    </row>
    <row r="99" spans="1:4" s="45" customFormat="1" ht="13.5" x14ac:dyDescent="0.15">
      <c r="A99" s="45" t="s">
        <v>41</v>
      </c>
      <c r="D99" s="45" t="s">
        <v>3886</v>
      </c>
    </row>
    <row r="100" spans="1:4" s="45" customFormat="1" ht="13.5" x14ac:dyDescent="0.15">
      <c r="A100" s="45" t="s">
        <v>41</v>
      </c>
      <c r="D100" s="45" t="s">
        <v>3887</v>
      </c>
    </row>
    <row r="101" spans="1:4" s="45" customFormat="1" ht="13.5" x14ac:dyDescent="0.15">
      <c r="A101" s="45" t="s">
        <v>41</v>
      </c>
      <c r="D101" s="45" t="s">
        <v>3888</v>
      </c>
    </row>
    <row r="102" spans="1:4" s="45" customFormat="1" ht="13.5" x14ac:dyDescent="0.15">
      <c r="A102" s="45" t="s">
        <v>41</v>
      </c>
      <c r="D102" s="45" t="s">
        <v>3889</v>
      </c>
    </row>
    <row r="103" spans="1:4" s="45" customFormat="1" ht="13.5" x14ac:dyDescent="0.15">
      <c r="A103" s="45" t="s">
        <v>41</v>
      </c>
      <c r="D103" s="45" t="s">
        <v>3890</v>
      </c>
    </row>
    <row r="104" spans="1:4" s="45" customFormat="1" ht="13.5" x14ac:dyDescent="0.15">
      <c r="A104" s="45" t="s">
        <v>41</v>
      </c>
      <c r="D104" s="45" t="s">
        <v>3891</v>
      </c>
    </row>
    <row r="105" spans="1:4" s="45" customFormat="1" ht="13.5" x14ac:dyDescent="0.15">
      <c r="A105" s="45" t="s">
        <v>41</v>
      </c>
      <c r="D105" s="45" t="s">
        <v>3892</v>
      </c>
    </row>
    <row r="106" spans="1:4" s="45" customFormat="1" ht="13.5" x14ac:dyDescent="0.15">
      <c r="A106" s="45" t="s">
        <v>41</v>
      </c>
      <c r="D106" s="45" t="s">
        <v>3893</v>
      </c>
    </row>
    <row r="107" spans="1:4" s="45" customFormat="1" ht="13.5" x14ac:dyDescent="0.15">
      <c r="A107" s="45" t="s">
        <v>41</v>
      </c>
      <c r="D107" s="45" t="s">
        <v>3894</v>
      </c>
    </row>
    <row r="108" spans="1:4" s="45" customFormat="1" ht="13.5" x14ac:dyDescent="0.15">
      <c r="A108" s="45" t="s">
        <v>41</v>
      </c>
      <c r="D108" s="45" t="s">
        <v>3895</v>
      </c>
    </row>
    <row r="109" spans="1:4" s="45" customFormat="1" ht="13.5" x14ac:dyDescent="0.15">
      <c r="A109" s="45" t="s">
        <v>41</v>
      </c>
      <c r="D109" s="45" t="s">
        <v>3896</v>
      </c>
    </row>
    <row r="110" spans="1:4" s="45" customFormat="1" ht="13.5" x14ac:dyDescent="0.15">
      <c r="A110" s="45" t="s">
        <v>41</v>
      </c>
      <c r="D110" s="45" t="s">
        <v>3897</v>
      </c>
    </row>
    <row r="111" spans="1:4" s="45" customFormat="1" ht="13.5" x14ac:dyDescent="0.15">
      <c r="A111" s="45" t="s">
        <v>41</v>
      </c>
      <c r="D111" s="45" t="s">
        <v>3898</v>
      </c>
    </row>
    <row r="112" spans="1:4" s="45" customFormat="1" ht="13.5" x14ac:dyDescent="0.15">
      <c r="A112" s="45" t="s">
        <v>41</v>
      </c>
      <c r="D112" s="45" t="s">
        <v>3899</v>
      </c>
    </row>
    <row r="113" spans="1:4" s="45" customFormat="1" ht="13.5" x14ac:dyDescent="0.15">
      <c r="A113" s="45" t="s">
        <v>41</v>
      </c>
      <c r="D113" s="45" t="s">
        <v>3900</v>
      </c>
    </row>
    <row r="114" spans="1:4" s="45" customFormat="1" ht="13.5" x14ac:dyDescent="0.15">
      <c r="A114" s="45" t="s">
        <v>41</v>
      </c>
      <c r="D114" s="45" t="s">
        <v>3901</v>
      </c>
    </row>
    <row r="115" spans="1:4" s="45" customFormat="1" ht="13.5" x14ac:dyDescent="0.15">
      <c r="A115" s="45" t="s">
        <v>41</v>
      </c>
      <c r="D115" s="45" t="s">
        <v>3902</v>
      </c>
    </row>
    <row r="116" spans="1:4" s="45" customFormat="1" ht="13.5" x14ac:dyDescent="0.15">
      <c r="A116" s="45" t="s">
        <v>41</v>
      </c>
      <c r="D116" s="45" t="s">
        <v>3903</v>
      </c>
    </row>
    <row r="117" spans="1:4" s="45" customFormat="1" ht="13.5" x14ac:dyDescent="0.15">
      <c r="A117" s="45" t="s">
        <v>41</v>
      </c>
      <c r="D117" s="45" t="s">
        <v>3904</v>
      </c>
    </row>
    <row r="118" spans="1:4" s="45" customFormat="1" ht="13.5" x14ac:dyDescent="0.15">
      <c r="A118" s="45" t="s">
        <v>41</v>
      </c>
      <c r="D118" s="45" t="s">
        <v>3905</v>
      </c>
    </row>
    <row r="119" spans="1:4" s="45" customFormat="1" ht="13.5" x14ac:dyDescent="0.15">
      <c r="A119" s="45" t="s">
        <v>41</v>
      </c>
      <c r="D119" s="45" t="s">
        <v>3906</v>
      </c>
    </row>
    <row r="120" spans="1:4" s="45" customFormat="1" ht="13.5" x14ac:dyDescent="0.15">
      <c r="A120" s="45" t="s">
        <v>41</v>
      </c>
      <c r="D120" s="45" t="s">
        <v>43</v>
      </c>
    </row>
    <row r="121" spans="1:4" s="45" customFormat="1" ht="13.5" x14ac:dyDescent="0.15">
      <c r="A121" s="45" t="s">
        <v>41</v>
      </c>
      <c r="D121" s="45" t="s">
        <v>3907</v>
      </c>
    </row>
    <row r="122" spans="1:4" s="45" customFormat="1" ht="13.5" x14ac:dyDescent="0.15">
      <c r="A122" s="45" t="s">
        <v>41</v>
      </c>
      <c r="D122" s="45" t="s">
        <v>3908</v>
      </c>
    </row>
    <row r="123" spans="1:4" s="45" customFormat="1" ht="13.5" x14ac:dyDescent="0.15">
      <c r="A123" s="45" t="s">
        <v>41</v>
      </c>
      <c r="D123" s="45" t="s">
        <v>3909</v>
      </c>
    </row>
    <row r="124" spans="1:4" s="45" customFormat="1" ht="13.5" x14ac:dyDescent="0.15">
      <c r="A124" s="45" t="s">
        <v>41</v>
      </c>
      <c r="D124" s="45" t="s">
        <v>3910</v>
      </c>
    </row>
    <row r="125" spans="1:4" s="45" customFormat="1" ht="13.5" x14ac:dyDescent="0.15">
      <c r="A125" s="45" t="s">
        <v>41</v>
      </c>
      <c r="D125" s="45" t="s">
        <v>3911</v>
      </c>
    </row>
    <row r="126" spans="1:4" s="45" customFormat="1" ht="13.5" x14ac:dyDescent="0.15">
      <c r="A126" s="45" t="s">
        <v>41</v>
      </c>
      <c r="D126" s="45" t="s">
        <v>3912</v>
      </c>
    </row>
    <row r="127" spans="1:4" s="45" customFormat="1" ht="13.5" x14ac:dyDescent="0.15">
      <c r="A127" s="45" t="s">
        <v>41</v>
      </c>
      <c r="D127" s="45" t="s">
        <v>3913</v>
      </c>
    </row>
    <row r="128" spans="1:4" s="45" customFormat="1" ht="13.5" x14ac:dyDescent="0.15">
      <c r="A128" s="45" t="s">
        <v>41</v>
      </c>
      <c r="D128" s="45" t="s">
        <v>3914</v>
      </c>
    </row>
    <row r="129" spans="1:4" s="45" customFormat="1" ht="13.5" x14ac:dyDescent="0.15">
      <c r="A129" s="45" t="s">
        <v>41</v>
      </c>
      <c r="D129" s="45" t="s">
        <v>3915</v>
      </c>
    </row>
    <row r="130" spans="1:4" s="45" customFormat="1" ht="13.5" x14ac:dyDescent="0.15">
      <c r="A130" s="45" t="s">
        <v>41</v>
      </c>
      <c r="D130" s="45" t="s">
        <v>3916</v>
      </c>
    </row>
    <row r="131" spans="1:4" s="45" customFormat="1" ht="13.5" x14ac:dyDescent="0.15">
      <c r="A131" s="45" t="s">
        <v>41</v>
      </c>
      <c r="D131" s="45" t="s">
        <v>3917</v>
      </c>
    </row>
    <row r="132" spans="1:4" s="45" customFormat="1" ht="13.5" x14ac:dyDescent="0.15">
      <c r="A132" s="45" t="s">
        <v>41</v>
      </c>
      <c r="D132" s="45" t="s">
        <v>3918</v>
      </c>
    </row>
    <row r="133" spans="1:4" s="45" customFormat="1" ht="13.5" x14ac:dyDescent="0.15">
      <c r="A133" s="45" t="s">
        <v>41</v>
      </c>
      <c r="D133" s="45" t="s">
        <v>3919</v>
      </c>
    </row>
    <row r="134" spans="1:4" s="45" customFormat="1" ht="13.5" x14ac:dyDescent="0.15">
      <c r="A134" s="45" t="s">
        <v>41</v>
      </c>
      <c r="D134" s="45" t="s">
        <v>3920</v>
      </c>
    </row>
    <row r="135" spans="1:4" s="45" customFormat="1" ht="13.5" x14ac:dyDescent="0.15">
      <c r="A135" s="45" t="s">
        <v>41</v>
      </c>
      <c r="D135" s="45" t="s">
        <v>3921</v>
      </c>
    </row>
    <row r="136" spans="1:4" s="45" customFormat="1" ht="13.5" x14ac:dyDescent="0.15">
      <c r="A136" s="45" t="s">
        <v>41</v>
      </c>
      <c r="D136" s="45" t="s">
        <v>3922</v>
      </c>
    </row>
    <row r="137" spans="1:4" s="45" customFormat="1" ht="13.5" x14ac:dyDescent="0.15">
      <c r="A137" s="45" t="s">
        <v>41</v>
      </c>
      <c r="D137" s="45" t="s">
        <v>3923</v>
      </c>
    </row>
    <row r="138" spans="1:4" s="45" customFormat="1" ht="13.5" x14ac:dyDescent="0.15">
      <c r="A138" s="45" t="s">
        <v>41</v>
      </c>
      <c r="D138" s="45" t="s">
        <v>3924</v>
      </c>
    </row>
    <row r="139" spans="1:4" s="45" customFormat="1" ht="13.5" x14ac:dyDescent="0.15">
      <c r="A139" s="45" t="s">
        <v>41</v>
      </c>
      <c r="D139" s="45" t="s">
        <v>3925</v>
      </c>
    </row>
    <row r="140" spans="1:4" s="45" customFormat="1" ht="13.5" x14ac:dyDescent="0.15">
      <c r="A140" s="45" t="s">
        <v>41</v>
      </c>
      <c r="D140" s="45" t="s">
        <v>44</v>
      </c>
    </row>
    <row r="141" spans="1:4" s="45" customFormat="1" ht="13.5" x14ac:dyDescent="0.15">
      <c r="A141" s="45" t="s">
        <v>41</v>
      </c>
      <c r="D141" s="45" t="s">
        <v>3926</v>
      </c>
    </row>
    <row r="142" spans="1:4" s="45" customFormat="1" ht="13.5" x14ac:dyDescent="0.15">
      <c r="A142" s="45" t="s">
        <v>41</v>
      </c>
      <c r="D142" s="45" t="s">
        <v>3927</v>
      </c>
    </row>
    <row r="143" spans="1:4" s="45" customFormat="1" ht="13.5" x14ac:dyDescent="0.15">
      <c r="A143" s="45" t="s">
        <v>41</v>
      </c>
      <c r="D143" s="45" t="s">
        <v>3928</v>
      </c>
    </row>
    <row r="144" spans="1:4" s="45" customFormat="1" ht="13.5" x14ac:dyDescent="0.15">
      <c r="A144" s="45" t="s">
        <v>41</v>
      </c>
      <c r="D144" s="45" t="s">
        <v>3929</v>
      </c>
    </row>
    <row r="145" spans="1:4" s="45" customFormat="1" ht="13.5" x14ac:dyDescent="0.15">
      <c r="A145" s="45" t="s">
        <v>41</v>
      </c>
      <c r="D145" s="45" t="s">
        <v>3930</v>
      </c>
    </row>
    <row r="146" spans="1:4" s="45" customFormat="1" ht="13.5" x14ac:dyDescent="0.15">
      <c r="A146" s="45" t="s">
        <v>41</v>
      </c>
      <c r="D146" s="45" t="s">
        <v>3931</v>
      </c>
    </row>
    <row r="147" spans="1:4" s="45" customFormat="1" ht="13.5" x14ac:dyDescent="0.15">
      <c r="A147" s="45" t="s">
        <v>41</v>
      </c>
      <c r="D147" s="45" t="s">
        <v>3932</v>
      </c>
    </row>
    <row r="148" spans="1:4" s="45" customFormat="1" ht="13.5" x14ac:dyDescent="0.15">
      <c r="A148" s="45" t="s">
        <v>41</v>
      </c>
      <c r="D148" s="45" t="s">
        <v>3933</v>
      </c>
    </row>
    <row r="149" spans="1:4" s="45" customFormat="1" ht="13.5" x14ac:dyDescent="0.15">
      <c r="A149" s="45" t="s">
        <v>41</v>
      </c>
      <c r="D149" s="45" t="s">
        <v>3934</v>
      </c>
    </row>
    <row r="150" spans="1:4" s="45" customFormat="1" ht="13.5" x14ac:dyDescent="0.15">
      <c r="A150" s="45" t="s">
        <v>41</v>
      </c>
      <c r="D150" s="45" t="s">
        <v>3935</v>
      </c>
    </row>
    <row r="151" spans="1:4" s="45" customFormat="1" ht="13.5" x14ac:dyDescent="0.15">
      <c r="A151" s="45" t="s">
        <v>41</v>
      </c>
      <c r="D151" s="45" t="s">
        <v>3936</v>
      </c>
    </row>
    <row r="152" spans="1:4" s="45" customFormat="1" ht="13.5" x14ac:dyDescent="0.15">
      <c r="A152" s="45" t="s">
        <v>41</v>
      </c>
      <c r="D152" s="45" t="s">
        <v>3937</v>
      </c>
    </row>
    <row r="153" spans="1:4" s="45" customFormat="1" ht="13.5" x14ac:dyDescent="0.15">
      <c r="A153" s="45" t="s">
        <v>41</v>
      </c>
      <c r="D153" s="45" t="s">
        <v>3938</v>
      </c>
    </row>
    <row r="154" spans="1:4" s="45" customFormat="1" ht="13.5" x14ac:dyDescent="0.15">
      <c r="A154" s="45" t="s">
        <v>41</v>
      </c>
      <c r="D154" s="45" t="s">
        <v>3939</v>
      </c>
    </row>
    <row r="155" spans="1:4" s="45" customFormat="1" ht="13.5" x14ac:dyDescent="0.15">
      <c r="A155" s="45" t="s">
        <v>41</v>
      </c>
      <c r="D155" s="45" t="s">
        <v>3940</v>
      </c>
    </row>
    <row r="156" spans="1:4" s="45" customFormat="1" ht="13.5" x14ac:dyDescent="0.15">
      <c r="A156" s="45" t="s">
        <v>41</v>
      </c>
      <c r="D156" s="45" t="s">
        <v>3941</v>
      </c>
    </row>
    <row r="157" spans="1:4" s="45" customFormat="1" ht="13.5" x14ac:dyDescent="0.15">
      <c r="A157" s="45" t="s">
        <v>41</v>
      </c>
      <c r="D157" s="45" t="s">
        <v>3942</v>
      </c>
    </row>
    <row r="158" spans="1:4" s="45" customFormat="1" ht="13.5" x14ac:dyDescent="0.15">
      <c r="A158" s="45" t="s">
        <v>41</v>
      </c>
      <c r="D158" s="45" t="s">
        <v>3943</v>
      </c>
    </row>
    <row r="159" spans="1:4" s="45" customFormat="1" ht="13.5" x14ac:dyDescent="0.15">
      <c r="A159" s="45" t="s">
        <v>41</v>
      </c>
      <c r="D159" s="45" t="s">
        <v>3944</v>
      </c>
    </row>
    <row r="160" spans="1:4" s="45" customFormat="1" ht="13.5" x14ac:dyDescent="0.15">
      <c r="A160" s="45" t="s">
        <v>41</v>
      </c>
      <c r="D160" s="45" t="s">
        <v>45</v>
      </c>
    </row>
    <row r="161" spans="1:4" s="45" customFormat="1" ht="13.5" x14ac:dyDescent="0.15">
      <c r="A161" s="45" t="s">
        <v>41</v>
      </c>
      <c r="D161" s="45" t="s">
        <v>3945</v>
      </c>
    </row>
    <row r="162" spans="1:4" s="45" customFormat="1" ht="13.5" x14ac:dyDescent="0.15">
      <c r="A162" s="45" t="s">
        <v>41</v>
      </c>
      <c r="D162" s="45" t="s">
        <v>3946</v>
      </c>
    </row>
    <row r="163" spans="1:4" s="45" customFormat="1" ht="13.5" x14ac:dyDescent="0.15">
      <c r="A163" s="45" t="s">
        <v>41</v>
      </c>
      <c r="D163" s="45" t="s">
        <v>3947</v>
      </c>
    </row>
    <row r="164" spans="1:4" s="45" customFormat="1" ht="13.5" x14ac:dyDescent="0.15">
      <c r="A164" s="45" t="s">
        <v>41</v>
      </c>
      <c r="D164" s="45" t="s">
        <v>3948</v>
      </c>
    </row>
    <row r="165" spans="1:4" s="45" customFormat="1" ht="13.5" x14ac:dyDescent="0.15">
      <c r="A165" s="45" t="s">
        <v>41</v>
      </c>
      <c r="D165" s="45" t="s">
        <v>3949</v>
      </c>
    </row>
    <row r="166" spans="1:4" s="45" customFormat="1" ht="13.5" x14ac:dyDescent="0.15">
      <c r="A166" s="45" t="s">
        <v>41</v>
      </c>
      <c r="D166" s="45" t="s">
        <v>3950</v>
      </c>
    </row>
    <row r="167" spans="1:4" s="45" customFormat="1" ht="13.5" x14ac:dyDescent="0.15">
      <c r="A167" s="45" t="s">
        <v>41</v>
      </c>
      <c r="D167" s="45" t="s">
        <v>3951</v>
      </c>
    </row>
    <row r="168" spans="1:4" s="45" customFormat="1" ht="13.5" x14ac:dyDescent="0.15">
      <c r="A168" s="45" t="s">
        <v>41</v>
      </c>
      <c r="D168" s="45" t="s">
        <v>3952</v>
      </c>
    </row>
    <row r="169" spans="1:4" s="45" customFormat="1" ht="13.5" x14ac:dyDescent="0.15">
      <c r="A169" s="45" t="s">
        <v>41</v>
      </c>
      <c r="D169" s="45" t="s">
        <v>3953</v>
      </c>
    </row>
    <row r="170" spans="1:4" s="45" customFormat="1" ht="13.5" x14ac:dyDescent="0.15">
      <c r="A170" s="45" t="s">
        <v>41</v>
      </c>
      <c r="D170" s="45" t="s">
        <v>3954</v>
      </c>
    </row>
    <row r="171" spans="1:4" s="45" customFormat="1" ht="13.5" x14ac:dyDescent="0.15">
      <c r="A171" s="45" t="s">
        <v>41</v>
      </c>
      <c r="D171" s="45" t="s">
        <v>3955</v>
      </c>
    </row>
    <row r="172" spans="1:4" s="45" customFormat="1" ht="13.5" x14ac:dyDescent="0.15">
      <c r="A172" s="45" t="s">
        <v>41</v>
      </c>
      <c r="D172" s="45" t="s">
        <v>3956</v>
      </c>
    </row>
    <row r="173" spans="1:4" s="45" customFormat="1" ht="13.5" x14ac:dyDescent="0.15">
      <c r="A173" s="45" t="s">
        <v>41</v>
      </c>
      <c r="D173" s="45" t="s">
        <v>3957</v>
      </c>
    </row>
    <row r="174" spans="1:4" s="45" customFormat="1" ht="13.5" x14ac:dyDescent="0.15">
      <c r="A174" s="45" t="s">
        <v>41</v>
      </c>
      <c r="D174" s="45" t="s">
        <v>3958</v>
      </c>
    </row>
    <row r="175" spans="1:4" s="45" customFormat="1" ht="13.5" x14ac:dyDescent="0.15">
      <c r="A175" s="45" t="s">
        <v>41</v>
      </c>
      <c r="D175" s="45" t="s">
        <v>3959</v>
      </c>
    </row>
    <row r="176" spans="1:4" s="45" customFormat="1" ht="13.5" x14ac:dyDescent="0.15">
      <c r="A176" s="45" t="s">
        <v>41</v>
      </c>
      <c r="D176" s="45" t="s">
        <v>3960</v>
      </c>
    </row>
    <row r="177" spans="1:4" s="45" customFormat="1" ht="13.5" x14ac:dyDescent="0.15">
      <c r="A177" s="45" t="s">
        <v>41</v>
      </c>
      <c r="D177" s="45" t="s">
        <v>3961</v>
      </c>
    </row>
    <row r="178" spans="1:4" s="45" customFormat="1" ht="13.5" x14ac:dyDescent="0.15">
      <c r="A178" s="45" t="s">
        <v>41</v>
      </c>
      <c r="D178" s="45" t="s">
        <v>3962</v>
      </c>
    </row>
    <row r="179" spans="1:4" s="45" customFormat="1" ht="13.5" x14ac:dyDescent="0.15">
      <c r="A179" s="45" t="s">
        <v>41</v>
      </c>
      <c r="D179" s="45" t="s">
        <v>3963</v>
      </c>
    </row>
    <row r="180" spans="1:4" s="45" customFormat="1" ht="13.5" x14ac:dyDescent="0.15">
      <c r="A180" s="45" t="s">
        <v>41</v>
      </c>
      <c r="D180" s="45" t="s">
        <v>3964</v>
      </c>
    </row>
    <row r="181" spans="1:4" s="45" customFormat="1" ht="13.5" x14ac:dyDescent="0.15">
      <c r="A181" s="45" t="s">
        <v>41</v>
      </c>
      <c r="D181" s="45" t="s">
        <v>3965</v>
      </c>
    </row>
    <row r="182" spans="1:4" s="45" customFormat="1" ht="13.5" x14ac:dyDescent="0.15">
      <c r="A182" s="45" t="s">
        <v>41</v>
      </c>
      <c r="D182" s="45" t="s">
        <v>3966</v>
      </c>
    </row>
    <row r="183" spans="1:4" s="45" customFormat="1" ht="13.5" x14ac:dyDescent="0.15">
      <c r="A183" s="45" t="s">
        <v>41</v>
      </c>
      <c r="D183" s="45" t="s">
        <v>3967</v>
      </c>
    </row>
    <row r="184" spans="1:4" s="45" customFormat="1" ht="13.5" x14ac:dyDescent="0.15">
      <c r="A184" s="45" t="s">
        <v>41</v>
      </c>
      <c r="D184" s="45" t="s">
        <v>3968</v>
      </c>
    </row>
    <row r="185" spans="1:4" s="45" customFormat="1" ht="13.5" x14ac:dyDescent="0.15">
      <c r="A185" s="45" t="s">
        <v>41</v>
      </c>
      <c r="D185" s="45" t="s">
        <v>3969</v>
      </c>
    </row>
    <row r="186" spans="1:4" s="45" customFormat="1" ht="13.5" x14ac:dyDescent="0.15">
      <c r="A186" s="45" t="s">
        <v>41</v>
      </c>
      <c r="D186" s="45" t="s">
        <v>3970</v>
      </c>
    </row>
    <row r="187" spans="1:4" s="45" customFormat="1" ht="13.5" x14ac:dyDescent="0.15">
      <c r="A187" s="45" t="s">
        <v>41</v>
      </c>
      <c r="D187" s="45" t="s">
        <v>3971</v>
      </c>
    </row>
    <row r="188" spans="1:4" s="45" customFormat="1" ht="13.5" x14ac:dyDescent="0.15">
      <c r="A188" s="45" t="s">
        <v>41</v>
      </c>
      <c r="D188" s="45" t="s">
        <v>3972</v>
      </c>
    </row>
    <row r="189" spans="1:4" s="45" customFormat="1" ht="13.5" x14ac:dyDescent="0.15">
      <c r="A189" s="45" t="s">
        <v>41</v>
      </c>
      <c r="D189" s="45" t="s">
        <v>3973</v>
      </c>
    </row>
    <row r="190" spans="1:4" s="45" customFormat="1" ht="13.5" x14ac:dyDescent="0.15">
      <c r="A190" s="45" t="s">
        <v>41</v>
      </c>
      <c r="D190" s="45" t="s">
        <v>3974</v>
      </c>
    </row>
    <row r="191" spans="1:4" s="45" customFormat="1" ht="13.5" x14ac:dyDescent="0.15">
      <c r="A191" s="45" t="s">
        <v>41</v>
      </c>
      <c r="D191" s="45" t="s">
        <v>3975</v>
      </c>
    </row>
    <row r="192" spans="1:4" s="45" customFormat="1" ht="13.5" x14ac:dyDescent="0.15">
      <c r="A192" s="45" t="s">
        <v>41</v>
      </c>
      <c r="D192" s="45" t="s">
        <v>3976</v>
      </c>
    </row>
    <row r="193" spans="1:4" s="45" customFormat="1" ht="13.5" x14ac:dyDescent="0.15">
      <c r="A193" s="45" t="s">
        <v>41</v>
      </c>
      <c r="D193" s="45" t="s">
        <v>3977</v>
      </c>
    </row>
    <row r="194" spans="1:4" s="45" customFormat="1" ht="13.5" x14ac:dyDescent="0.15">
      <c r="A194" s="45" t="s">
        <v>41</v>
      </c>
      <c r="D194" s="45" t="s">
        <v>3978</v>
      </c>
    </row>
    <row r="195" spans="1:4" s="45" customFormat="1" ht="13.5" x14ac:dyDescent="0.15">
      <c r="A195" s="45" t="s">
        <v>41</v>
      </c>
      <c r="D195" s="45" t="s">
        <v>3979</v>
      </c>
    </row>
    <row r="196" spans="1:4" s="45" customFormat="1" ht="13.5" x14ac:dyDescent="0.15">
      <c r="A196" s="45" t="s">
        <v>41</v>
      </c>
      <c r="D196" s="45" t="s">
        <v>3980</v>
      </c>
    </row>
    <row r="197" spans="1:4" s="45" customFormat="1" ht="13.5" x14ac:dyDescent="0.15">
      <c r="A197" s="45" t="s">
        <v>41</v>
      </c>
      <c r="D197" s="45" t="s">
        <v>3981</v>
      </c>
    </row>
    <row r="198" spans="1:4" s="45" customFormat="1" ht="13.5" x14ac:dyDescent="0.15">
      <c r="A198" s="45" t="s">
        <v>41</v>
      </c>
      <c r="D198" s="45" t="s">
        <v>3982</v>
      </c>
    </row>
    <row r="199" spans="1:4" s="45" customFormat="1" ht="13.5" x14ac:dyDescent="0.15">
      <c r="A199" s="45" t="s">
        <v>41</v>
      </c>
      <c r="D199" s="45" t="s">
        <v>63</v>
      </c>
    </row>
    <row r="200" spans="1:4" s="45" customFormat="1" ht="13.5" x14ac:dyDescent="0.15">
      <c r="A200" s="45" t="s">
        <v>41</v>
      </c>
      <c r="D200" s="45" t="s">
        <v>3983</v>
      </c>
    </row>
    <row r="201" spans="1:4" s="45" customFormat="1" ht="13.5" x14ac:dyDescent="0.15">
      <c r="A201" s="45" t="s">
        <v>41</v>
      </c>
      <c r="D201" s="45" t="s">
        <v>3984</v>
      </c>
    </row>
    <row r="202" spans="1:4" s="45" customFormat="1" ht="13.5" x14ac:dyDescent="0.15">
      <c r="A202" s="45" t="s">
        <v>41</v>
      </c>
      <c r="D202" s="45" t="s">
        <v>3985</v>
      </c>
    </row>
    <row r="203" spans="1:4" s="45" customFormat="1" ht="13.5" x14ac:dyDescent="0.15">
      <c r="A203" s="45" t="s">
        <v>41</v>
      </c>
      <c r="D203" s="45" t="s">
        <v>3986</v>
      </c>
    </row>
    <row r="204" spans="1:4" s="45" customFormat="1" ht="13.5" x14ac:dyDescent="0.15">
      <c r="A204" s="45" t="s">
        <v>41</v>
      </c>
      <c r="D204" s="45" t="s">
        <v>3987</v>
      </c>
    </row>
    <row r="205" spans="1:4" s="45" customFormat="1" ht="13.5" x14ac:dyDescent="0.15">
      <c r="A205" s="45" t="s">
        <v>41</v>
      </c>
      <c r="D205" s="45" t="s">
        <v>3988</v>
      </c>
    </row>
    <row r="206" spans="1:4" s="45" customFormat="1" ht="13.5" x14ac:dyDescent="0.15">
      <c r="A206" s="45" t="s">
        <v>41</v>
      </c>
      <c r="D206" s="45" t="s">
        <v>3989</v>
      </c>
    </row>
    <row r="207" spans="1:4" s="45" customFormat="1" ht="13.5" x14ac:dyDescent="0.15">
      <c r="A207" s="45" t="s">
        <v>41</v>
      </c>
      <c r="D207" s="45" t="s">
        <v>3990</v>
      </c>
    </row>
    <row r="208" spans="1:4" s="45" customFormat="1" ht="13.5" x14ac:dyDescent="0.15">
      <c r="A208" s="45" t="s">
        <v>41</v>
      </c>
      <c r="D208" s="45" t="s">
        <v>3991</v>
      </c>
    </row>
    <row r="209" spans="1:4" s="45" customFormat="1" ht="13.5" x14ac:dyDescent="0.15">
      <c r="A209" s="45" t="s">
        <v>41</v>
      </c>
      <c r="D209" s="45" t="s">
        <v>3992</v>
      </c>
    </row>
    <row r="210" spans="1:4" s="45" customFormat="1" ht="13.5" x14ac:dyDescent="0.15">
      <c r="A210" s="45" t="s">
        <v>41</v>
      </c>
      <c r="D210" s="45" t="s">
        <v>3993</v>
      </c>
    </row>
    <row r="211" spans="1:4" s="45" customFormat="1" ht="13.5" x14ac:dyDescent="0.15">
      <c r="A211" s="45" t="s">
        <v>41</v>
      </c>
      <c r="D211" s="45" t="s">
        <v>3994</v>
      </c>
    </row>
    <row r="212" spans="1:4" s="45" customFormat="1" ht="13.5" x14ac:dyDescent="0.15">
      <c r="A212" s="45" t="s">
        <v>41</v>
      </c>
      <c r="D212" s="45" t="s">
        <v>3995</v>
      </c>
    </row>
    <row r="213" spans="1:4" s="45" customFormat="1" ht="13.5" x14ac:dyDescent="0.15">
      <c r="A213" s="45" t="s">
        <v>41</v>
      </c>
      <c r="D213" s="45" t="s">
        <v>3996</v>
      </c>
    </row>
    <row r="214" spans="1:4" s="45" customFormat="1" ht="13.5" x14ac:dyDescent="0.15">
      <c r="A214" s="45" t="s">
        <v>41</v>
      </c>
      <c r="D214" s="45" t="s">
        <v>3997</v>
      </c>
    </row>
    <row r="215" spans="1:4" s="45" customFormat="1" ht="13.5" x14ac:dyDescent="0.15">
      <c r="A215" s="45" t="s">
        <v>41</v>
      </c>
      <c r="D215" s="45" t="s">
        <v>3998</v>
      </c>
    </row>
    <row r="216" spans="1:4" s="45" customFormat="1" ht="13.5" x14ac:dyDescent="0.15">
      <c r="A216" s="45" t="s">
        <v>41</v>
      </c>
      <c r="D216" s="45" t="s">
        <v>3999</v>
      </c>
    </row>
    <row r="217" spans="1:4" s="45" customFormat="1" ht="13.5" x14ac:dyDescent="0.15">
      <c r="A217" s="45" t="s">
        <v>41</v>
      </c>
      <c r="D217" s="45" t="s">
        <v>4000</v>
      </c>
    </row>
    <row r="218" spans="1:4" s="45" customFormat="1" ht="13.5" x14ac:dyDescent="0.15">
      <c r="A218" s="45" t="s">
        <v>41</v>
      </c>
      <c r="D218" s="45" t="s">
        <v>4001</v>
      </c>
    </row>
    <row r="219" spans="1:4" s="45" customFormat="1" ht="13.5" x14ac:dyDescent="0.15">
      <c r="A219" s="45" t="s">
        <v>41</v>
      </c>
      <c r="D219" s="45" t="s">
        <v>4002</v>
      </c>
    </row>
    <row r="220" spans="1:4" s="45" customFormat="1" ht="13.5" x14ac:dyDescent="0.15">
      <c r="A220" s="45" t="s">
        <v>41</v>
      </c>
      <c r="D220" s="45" t="s">
        <v>64</v>
      </c>
    </row>
    <row r="221" spans="1:4" s="45" customFormat="1" ht="13.5" x14ac:dyDescent="0.15">
      <c r="A221" s="45" t="s">
        <v>41</v>
      </c>
      <c r="D221" s="45" t="s">
        <v>4003</v>
      </c>
    </row>
    <row r="222" spans="1:4" s="45" customFormat="1" ht="13.5" x14ac:dyDescent="0.15">
      <c r="A222" s="45" t="s">
        <v>41</v>
      </c>
      <c r="D222" s="45" t="s">
        <v>4004</v>
      </c>
    </row>
    <row r="223" spans="1:4" s="45" customFormat="1" ht="13.5" x14ac:dyDescent="0.15">
      <c r="A223" s="45" t="s">
        <v>41</v>
      </c>
      <c r="D223" s="45" t="s">
        <v>4005</v>
      </c>
    </row>
    <row r="224" spans="1:4" s="45" customFormat="1" ht="13.5" x14ac:dyDescent="0.15">
      <c r="A224" s="45" t="s">
        <v>41</v>
      </c>
      <c r="D224" s="45" t="s">
        <v>4006</v>
      </c>
    </row>
    <row r="225" spans="1:4" s="45" customFormat="1" ht="13.5" x14ac:dyDescent="0.15">
      <c r="A225" s="45" t="s">
        <v>41</v>
      </c>
      <c r="D225" s="45" t="s">
        <v>4007</v>
      </c>
    </row>
    <row r="226" spans="1:4" s="45" customFormat="1" ht="13.5" x14ac:dyDescent="0.15">
      <c r="A226" s="45" t="s">
        <v>41</v>
      </c>
      <c r="D226" s="45" t="s">
        <v>4008</v>
      </c>
    </row>
    <row r="227" spans="1:4" s="45" customFormat="1" ht="13.5" x14ac:dyDescent="0.15">
      <c r="A227" s="45" t="s">
        <v>41</v>
      </c>
      <c r="D227" s="45" t="s">
        <v>4009</v>
      </c>
    </row>
    <row r="228" spans="1:4" s="45" customFormat="1" ht="13.5" x14ac:dyDescent="0.15">
      <c r="A228" s="45" t="s">
        <v>41</v>
      </c>
      <c r="D228" s="45" t="s">
        <v>4010</v>
      </c>
    </row>
    <row r="229" spans="1:4" s="45" customFormat="1" ht="13.5" x14ac:dyDescent="0.15">
      <c r="A229" s="45" t="s">
        <v>41</v>
      </c>
      <c r="D229" s="45" t="s">
        <v>4011</v>
      </c>
    </row>
    <row r="230" spans="1:4" s="45" customFormat="1" ht="13.5" x14ac:dyDescent="0.15">
      <c r="A230" s="45" t="s">
        <v>41</v>
      </c>
      <c r="D230" s="45" t="s">
        <v>4012</v>
      </c>
    </row>
    <row r="231" spans="1:4" s="45" customFormat="1" ht="13.5" x14ac:dyDescent="0.15">
      <c r="A231" s="45" t="s">
        <v>41</v>
      </c>
      <c r="D231" s="45" t="s">
        <v>4013</v>
      </c>
    </row>
    <row r="232" spans="1:4" s="45" customFormat="1" ht="13.5" x14ac:dyDescent="0.15">
      <c r="A232" s="45" t="s">
        <v>41</v>
      </c>
      <c r="D232" s="45" t="s">
        <v>4014</v>
      </c>
    </row>
    <row r="233" spans="1:4" s="45" customFormat="1" ht="13.5" x14ac:dyDescent="0.15">
      <c r="A233" s="45" t="s">
        <v>41</v>
      </c>
      <c r="D233" s="45" t="s">
        <v>4015</v>
      </c>
    </row>
    <row r="234" spans="1:4" s="45" customFormat="1" ht="13.5" x14ac:dyDescent="0.15">
      <c r="A234" s="45" t="s">
        <v>41</v>
      </c>
      <c r="D234" s="45" t="s">
        <v>4016</v>
      </c>
    </row>
    <row r="235" spans="1:4" s="45" customFormat="1" ht="13.5" x14ac:dyDescent="0.15">
      <c r="A235" s="45" t="s">
        <v>41</v>
      </c>
      <c r="D235" s="45" t="s">
        <v>4017</v>
      </c>
    </row>
    <row r="236" spans="1:4" s="45" customFormat="1" ht="13.5" x14ac:dyDescent="0.15">
      <c r="A236" s="45" t="s">
        <v>41</v>
      </c>
      <c r="D236" s="45" t="s">
        <v>4018</v>
      </c>
    </row>
    <row r="237" spans="1:4" s="45" customFormat="1" ht="13.5" x14ac:dyDescent="0.15">
      <c r="A237" s="45" t="s">
        <v>41</v>
      </c>
      <c r="D237" s="45" t="s">
        <v>4019</v>
      </c>
    </row>
    <row r="238" spans="1:4" s="45" customFormat="1" ht="13.5" x14ac:dyDescent="0.15">
      <c r="A238" s="45" t="s">
        <v>41</v>
      </c>
      <c r="D238" s="45" t="s">
        <v>4020</v>
      </c>
    </row>
    <row r="239" spans="1:4" s="45" customFormat="1" ht="13.5" x14ac:dyDescent="0.15">
      <c r="A239" s="45" t="s">
        <v>41</v>
      </c>
      <c r="D239" s="45" t="s">
        <v>4021</v>
      </c>
    </row>
    <row r="240" spans="1:4" s="45" customFormat="1" ht="13.5" x14ac:dyDescent="0.15">
      <c r="A240" s="45" t="s">
        <v>41</v>
      </c>
      <c r="D240" s="45" t="s">
        <v>4022</v>
      </c>
    </row>
    <row r="241" spans="1:4" s="45" customFormat="1" ht="13.5" x14ac:dyDescent="0.15">
      <c r="A241" s="45" t="s">
        <v>41</v>
      </c>
      <c r="D241" s="45" t="s">
        <v>4023</v>
      </c>
    </row>
    <row r="242" spans="1:4" s="45" customFormat="1" ht="13.5" x14ac:dyDescent="0.15">
      <c r="A242" s="45" t="s">
        <v>41</v>
      </c>
      <c r="D242" s="45" t="s">
        <v>4024</v>
      </c>
    </row>
    <row r="243" spans="1:4" s="45" customFormat="1" ht="13.5" x14ac:dyDescent="0.15">
      <c r="A243" s="45" t="s">
        <v>41</v>
      </c>
      <c r="D243" s="45" t="s">
        <v>4025</v>
      </c>
    </row>
    <row r="244" spans="1:4" s="45" customFormat="1" ht="13.5" x14ac:dyDescent="0.15">
      <c r="A244" s="45" t="s">
        <v>41</v>
      </c>
      <c r="D244" s="45" t="s">
        <v>4026</v>
      </c>
    </row>
    <row r="245" spans="1:4" s="45" customFormat="1" ht="13.5" x14ac:dyDescent="0.15">
      <c r="A245" s="45" t="s">
        <v>41</v>
      </c>
      <c r="D245" s="45" t="s">
        <v>4027</v>
      </c>
    </row>
    <row r="246" spans="1:4" s="45" customFormat="1" ht="13.5" x14ac:dyDescent="0.15">
      <c r="A246" s="45" t="s">
        <v>41</v>
      </c>
      <c r="D246" s="45" t="s">
        <v>4028</v>
      </c>
    </row>
    <row r="247" spans="1:4" s="45" customFormat="1" ht="13.5" x14ac:dyDescent="0.15">
      <c r="A247" s="45" t="s">
        <v>41</v>
      </c>
      <c r="D247" s="45" t="s">
        <v>4029</v>
      </c>
    </row>
    <row r="248" spans="1:4" s="45" customFormat="1" ht="13.5" x14ac:dyDescent="0.15">
      <c r="A248" s="45" t="s">
        <v>41</v>
      </c>
      <c r="D248" s="45" t="s">
        <v>4030</v>
      </c>
    </row>
    <row r="249" spans="1:4" s="45" customFormat="1" ht="13.5" x14ac:dyDescent="0.15">
      <c r="A249" s="45" t="s">
        <v>41</v>
      </c>
      <c r="D249" s="45" t="s">
        <v>4031</v>
      </c>
    </row>
    <row r="250" spans="1:4" s="45" customFormat="1" ht="13.5" x14ac:dyDescent="0.15">
      <c r="A250" s="45" t="s">
        <v>41</v>
      </c>
      <c r="D250" s="45" t="s">
        <v>4032</v>
      </c>
    </row>
    <row r="251" spans="1:4" s="45" customFormat="1" ht="13.5" x14ac:dyDescent="0.15">
      <c r="A251" s="45" t="s">
        <v>41</v>
      </c>
      <c r="D251" s="45" t="s">
        <v>4033</v>
      </c>
    </row>
    <row r="252" spans="1:4" s="45" customFormat="1" ht="13.5" x14ac:dyDescent="0.15">
      <c r="A252" s="45" t="s">
        <v>41</v>
      </c>
      <c r="D252" s="45" t="s">
        <v>4034</v>
      </c>
    </row>
    <row r="253" spans="1:4" s="45" customFormat="1" ht="13.5" x14ac:dyDescent="0.15">
      <c r="A253" s="45" t="s">
        <v>41</v>
      </c>
      <c r="D253" s="45" t="s">
        <v>4035</v>
      </c>
    </row>
    <row r="254" spans="1:4" s="45" customFormat="1" ht="13.5" x14ac:dyDescent="0.15">
      <c r="A254" s="45" t="s">
        <v>41</v>
      </c>
      <c r="D254" s="45" t="s">
        <v>4036</v>
      </c>
    </row>
    <row r="255" spans="1:4" s="45" customFormat="1" ht="13.5" x14ac:dyDescent="0.15">
      <c r="A255" s="45" t="s">
        <v>41</v>
      </c>
      <c r="D255" s="45" t="s">
        <v>4037</v>
      </c>
    </row>
    <row r="256" spans="1:4" s="45" customFormat="1" ht="13.5" x14ac:dyDescent="0.15">
      <c r="A256" s="45" t="s">
        <v>41</v>
      </c>
      <c r="D256" s="45" t="s">
        <v>4038</v>
      </c>
    </row>
    <row r="257" spans="1:4" s="45" customFormat="1" ht="13.5" x14ac:dyDescent="0.15">
      <c r="A257" s="45" t="s">
        <v>41</v>
      </c>
      <c r="D257" s="45" t="s">
        <v>4039</v>
      </c>
    </row>
    <row r="258" spans="1:4" s="45" customFormat="1" ht="13.5" x14ac:dyDescent="0.15">
      <c r="A258" s="45" t="s">
        <v>41</v>
      </c>
      <c r="D258" s="45" t="s">
        <v>4040</v>
      </c>
    </row>
    <row r="259" spans="1:4" s="45" customFormat="1" ht="13.5" x14ac:dyDescent="0.15">
      <c r="A259" s="45" t="s">
        <v>41</v>
      </c>
      <c r="D259" s="45" t="s">
        <v>4041</v>
      </c>
    </row>
    <row r="260" spans="1:4" s="45" customFormat="1" ht="13.5" x14ac:dyDescent="0.15">
      <c r="A260" s="45" t="s">
        <v>41</v>
      </c>
      <c r="D260" s="45" t="s">
        <v>4042</v>
      </c>
    </row>
    <row r="261" spans="1:4" s="45" customFormat="1" ht="13.5" x14ac:dyDescent="0.15">
      <c r="A261" s="45" t="s">
        <v>41</v>
      </c>
      <c r="D261" s="45" t="s">
        <v>4043</v>
      </c>
    </row>
    <row r="262" spans="1:4" s="45" customFormat="1" ht="13.5" x14ac:dyDescent="0.15">
      <c r="A262" s="45" t="s">
        <v>41</v>
      </c>
      <c r="D262" s="45" t="s">
        <v>4044</v>
      </c>
    </row>
    <row r="263" spans="1:4" s="45" customFormat="1" ht="13.5" x14ac:dyDescent="0.15">
      <c r="A263" s="45" t="s">
        <v>41</v>
      </c>
      <c r="D263" s="45" t="s">
        <v>4045</v>
      </c>
    </row>
    <row r="264" spans="1:4" s="45" customFormat="1" ht="13.5" x14ac:dyDescent="0.15">
      <c r="A264" s="45" t="s">
        <v>41</v>
      </c>
      <c r="D264" s="45" t="s">
        <v>4046</v>
      </c>
    </row>
    <row r="265" spans="1:4" s="45" customFormat="1" ht="13.5" x14ac:dyDescent="0.15">
      <c r="A265" s="45" t="s">
        <v>41</v>
      </c>
      <c r="D265" s="45" t="s">
        <v>4047</v>
      </c>
    </row>
    <row r="266" spans="1:4" s="45" customFormat="1" ht="13.5" x14ac:dyDescent="0.15">
      <c r="A266" s="45" t="s">
        <v>41</v>
      </c>
      <c r="D266" s="45" t="s">
        <v>4048</v>
      </c>
    </row>
    <row r="267" spans="1:4" s="45" customFormat="1" ht="13.5" x14ac:dyDescent="0.15">
      <c r="A267" s="45" t="s">
        <v>41</v>
      </c>
      <c r="D267" s="45" t="s">
        <v>4049</v>
      </c>
    </row>
    <row r="268" spans="1:4" s="45" customFormat="1" ht="13.5" x14ac:dyDescent="0.15">
      <c r="A268" s="45" t="s">
        <v>41</v>
      </c>
      <c r="D268" s="45" t="s">
        <v>4050</v>
      </c>
    </row>
    <row r="269" spans="1:4" s="45" customFormat="1" ht="13.5" x14ac:dyDescent="0.15">
      <c r="A269" s="45" t="s">
        <v>41</v>
      </c>
      <c r="D269" s="45" t="s">
        <v>4051</v>
      </c>
    </row>
    <row r="270" spans="1:4" s="45" customFormat="1" ht="13.5" x14ac:dyDescent="0.15">
      <c r="A270" s="45" t="s">
        <v>41</v>
      </c>
      <c r="D270" s="45" t="s">
        <v>4052</v>
      </c>
    </row>
    <row r="271" spans="1:4" s="45" customFormat="1" ht="13.5" x14ac:dyDescent="0.15">
      <c r="A271" s="45" t="s">
        <v>41</v>
      </c>
      <c r="D271" s="45" t="s">
        <v>4053</v>
      </c>
    </row>
    <row r="272" spans="1:4" s="45" customFormat="1" ht="13.5" x14ac:dyDescent="0.15">
      <c r="A272" s="45" t="s">
        <v>41</v>
      </c>
      <c r="D272" s="45" t="s">
        <v>4054</v>
      </c>
    </row>
    <row r="273" spans="1:4" s="45" customFormat="1" ht="13.5" x14ac:dyDescent="0.15">
      <c r="A273" s="45" t="s">
        <v>41</v>
      </c>
      <c r="D273" s="45" t="s">
        <v>46</v>
      </c>
    </row>
    <row r="274" spans="1:4" s="45" customFormat="1" ht="13.5" x14ac:dyDescent="0.15">
      <c r="A274" s="45" t="s">
        <v>41</v>
      </c>
      <c r="D274" s="45" t="s">
        <v>4055</v>
      </c>
    </row>
    <row r="275" spans="1:4" s="45" customFormat="1" ht="13.5" x14ac:dyDescent="0.15">
      <c r="A275" s="45" t="s">
        <v>41</v>
      </c>
      <c r="D275" s="45" t="s">
        <v>4056</v>
      </c>
    </row>
    <row r="276" spans="1:4" s="45" customFormat="1" ht="13.5" x14ac:dyDescent="0.15">
      <c r="A276" s="45" t="s">
        <v>41</v>
      </c>
      <c r="D276" s="45" t="s">
        <v>4057</v>
      </c>
    </row>
    <row r="277" spans="1:4" s="45" customFormat="1" ht="13.5" x14ac:dyDescent="0.15">
      <c r="A277" s="45" t="s">
        <v>41</v>
      </c>
      <c r="D277" s="45" t="s">
        <v>4058</v>
      </c>
    </row>
    <row r="278" spans="1:4" s="45" customFormat="1" ht="13.5" x14ac:dyDescent="0.15">
      <c r="A278" s="45" t="s">
        <v>41</v>
      </c>
      <c r="D278" s="45" t="s">
        <v>4059</v>
      </c>
    </row>
    <row r="279" spans="1:4" s="45" customFormat="1" ht="13.5" x14ac:dyDescent="0.15">
      <c r="A279" s="45" t="s">
        <v>41</v>
      </c>
      <c r="D279" s="45" t="s">
        <v>4060</v>
      </c>
    </row>
    <row r="280" spans="1:4" s="45" customFormat="1" ht="13.5" x14ac:dyDescent="0.15">
      <c r="A280" s="45" t="s">
        <v>41</v>
      </c>
      <c r="D280" s="45" t="s">
        <v>4061</v>
      </c>
    </row>
    <row r="281" spans="1:4" s="45" customFormat="1" ht="13.5" x14ac:dyDescent="0.15">
      <c r="A281" s="45" t="s">
        <v>41</v>
      </c>
      <c r="D281" s="45" t="s">
        <v>4062</v>
      </c>
    </row>
    <row r="282" spans="1:4" s="45" customFormat="1" ht="13.5" x14ac:dyDescent="0.15">
      <c r="A282" s="45" t="s">
        <v>41</v>
      </c>
      <c r="D282" s="45" t="s">
        <v>4063</v>
      </c>
    </row>
    <row r="283" spans="1:4" s="45" customFormat="1" ht="13.5" x14ac:dyDescent="0.15">
      <c r="A283" s="45" t="s">
        <v>41</v>
      </c>
      <c r="D283" s="45" t="s">
        <v>4064</v>
      </c>
    </row>
    <row r="284" spans="1:4" s="45" customFormat="1" ht="13.5" x14ac:dyDescent="0.15">
      <c r="A284" s="45" t="s">
        <v>41</v>
      </c>
      <c r="D284" s="45" t="s">
        <v>4065</v>
      </c>
    </row>
    <row r="285" spans="1:4" s="45" customFormat="1" ht="13.5" x14ac:dyDescent="0.15">
      <c r="A285" s="45" t="s">
        <v>41</v>
      </c>
      <c r="D285" s="45" t="s">
        <v>4066</v>
      </c>
    </row>
    <row r="286" spans="1:4" s="45" customFormat="1" ht="13.5" x14ac:dyDescent="0.15">
      <c r="A286" s="45" t="s">
        <v>41</v>
      </c>
      <c r="D286" s="45" t="s">
        <v>4067</v>
      </c>
    </row>
    <row r="287" spans="1:4" s="45" customFormat="1" ht="13.5" x14ac:dyDescent="0.15">
      <c r="A287" s="45" t="s">
        <v>41</v>
      </c>
      <c r="D287" s="45" t="s">
        <v>4068</v>
      </c>
    </row>
    <row r="288" spans="1:4" s="45" customFormat="1" ht="13.5" x14ac:dyDescent="0.15">
      <c r="A288" s="45" t="s">
        <v>41</v>
      </c>
      <c r="D288" s="45" t="s">
        <v>4069</v>
      </c>
    </row>
    <row r="289" spans="1:4" s="45" customFormat="1" ht="13.5" x14ac:dyDescent="0.15">
      <c r="A289" s="45" t="s">
        <v>41</v>
      </c>
      <c r="D289" s="45" t="s">
        <v>4070</v>
      </c>
    </row>
    <row r="290" spans="1:4" s="45" customFormat="1" ht="13.5" x14ac:dyDescent="0.15">
      <c r="A290" s="45" t="s">
        <v>41</v>
      </c>
      <c r="D290" s="45" t="s">
        <v>4071</v>
      </c>
    </row>
    <row r="291" spans="1:4" s="45" customFormat="1" ht="13.5" x14ac:dyDescent="0.15">
      <c r="A291" s="45" t="s">
        <v>41</v>
      </c>
      <c r="D291" s="45" t="s">
        <v>4072</v>
      </c>
    </row>
    <row r="292" spans="1:4" s="45" customFormat="1" ht="13.5" x14ac:dyDescent="0.15">
      <c r="A292" s="45" t="s">
        <v>41</v>
      </c>
      <c r="D292" s="45" t="s">
        <v>4073</v>
      </c>
    </row>
    <row r="293" spans="1:4" s="45" customFormat="1" ht="13.5" x14ac:dyDescent="0.15">
      <c r="A293" s="45" t="s">
        <v>41</v>
      </c>
      <c r="D293" s="45" t="s">
        <v>4074</v>
      </c>
    </row>
    <row r="294" spans="1:4" s="45" customFormat="1" ht="13.5" x14ac:dyDescent="0.15">
      <c r="A294" s="45" t="s">
        <v>41</v>
      </c>
      <c r="D294" s="45" t="s">
        <v>4075</v>
      </c>
    </row>
    <row r="295" spans="1:4" s="45" customFormat="1" ht="13.5" x14ac:dyDescent="0.15">
      <c r="A295" s="45" t="s">
        <v>41</v>
      </c>
      <c r="D295" s="45" t="s">
        <v>4076</v>
      </c>
    </row>
    <row r="296" spans="1:4" s="45" customFormat="1" ht="13.5" x14ac:dyDescent="0.15">
      <c r="A296" s="45" t="s">
        <v>41</v>
      </c>
      <c r="D296" s="45" t="s">
        <v>4077</v>
      </c>
    </row>
    <row r="297" spans="1:4" s="45" customFormat="1" ht="13.5" x14ac:dyDescent="0.15">
      <c r="A297" s="45" t="s">
        <v>41</v>
      </c>
      <c r="D297" s="45" t="s">
        <v>4078</v>
      </c>
    </row>
    <row r="298" spans="1:4" s="45" customFormat="1" ht="13.5" x14ac:dyDescent="0.15">
      <c r="A298" s="45" t="s">
        <v>41</v>
      </c>
      <c r="D298" s="45" t="s">
        <v>4079</v>
      </c>
    </row>
    <row r="299" spans="1:4" s="45" customFormat="1" ht="13.5" x14ac:dyDescent="0.15">
      <c r="A299" s="45" t="s">
        <v>41</v>
      </c>
      <c r="D299" s="45" t="s">
        <v>4080</v>
      </c>
    </row>
    <row r="300" spans="1:4" s="45" customFormat="1" ht="13.5" x14ac:dyDescent="0.15">
      <c r="A300" s="45" t="s">
        <v>41</v>
      </c>
      <c r="D300" s="45" t="s">
        <v>4081</v>
      </c>
    </row>
    <row r="301" spans="1:4" s="45" customFormat="1" ht="13.5" x14ac:dyDescent="0.15">
      <c r="A301" s="45" t="s">
        <v>41</v>
      </c>
      <c r="D301" s="45" t="s">
        <v>4082</v>
      </c>
    </row>
    <row r="302" spans="1:4" s="45" customFormat="1" ht="13.5" x14ac:dyDescent="0.15">
      <c r="A302" s="45" t="s">
        <v>41</v>
      </c>
      <c r="D302" s="45" t="s">
        <v>4083</v>
      </c>
    </row>
    <row r="303" spans="1:4" s="45" customFormat="1" ht="13.5" x14ac:dyDescent="0.15">
      <c r="A303" s="45" t="s">
        <v>41</v>
      </c>
      <c r="D303" s="45" t="s">
        <v>4084</v>
      </c>
    </row>
    <row r="304" spans="1:4" s="45" customFormat="1" ht="13.5" x14ac:dyDescent="0.15">
      <c r="A304" s="45" t="s">
        <v>41</v>
      </c>
      <c r="D304" s="45" t="s">
        <v>4085</v>
      </c>
    </row>
    <row r="305" spans="1:4" s="45" customFormat="1" ht="13.5" x14ac:dyDescent="0.15">
      <c r="A305" s="45" t="s">
        <v>41</v>
      </c>
      <c r="D305" s="45" t="s">
        <v>4086</v>
      </c>
    </row>
    <row r="306" spans="1:4" s="45" customFormat="1" ht="13.5" x14ac:dyDescent="0.15">
      <c r="A306" s="45" t="s">
        <v>41</v>
      </c>
      <c r="D306" s="45" t="s">
        <v>4087</v>
      </c>
    </row>
    <row r="307" spans="1:4" s="45" customFormat="1" ht="13.5" x14ac:dyDescent="0.15">
      <c r="A307" s="45" t="s">
        <v>41</v>
      </c>
      <c r="D307" s="45" t="s">
        <v>4088</v>
      </c>
    </row>
    <row r="308" spans="1:4" s="45" customFormat="1" ht="13.5" x14ac:dyDescent="0.15">
      <c r="A308" s="45" t="s">
        <v>41</v>
      </c>
      <c r="D308" s="45" t="s">
        <v>4089</v>
      </c>
    </row>
    <row r="309" spans="1:4" s="45" customFormat="1" ht="13.5" x14ac:dyDescent="0.15">
      <c r="A309" s="45" t="s">
        <v>41</v>
      </c>
      <c r="D309" s="45" t="s">
        <v>4090</v>
      </c>
    </row>
    <row r="310" spans="1:4" s="45" customFormat="1" ht="13.5" x14ac:dyDescent="0.15">
      <c r="A310" s="45" t="s">
        <v>41</v>
      </c>
      <c r="D310" s="45" t="s">
        <v>4091</v>
      </c>
    </row>
    <row r="311" spans="1:4" s="45" customFormat="1" ht="13.5" x14ac:dyDescent="0.15">
      <c r="A311" s="45" t="s">
        <v>41</v>
      </c>
      <c r="D311" s="45" t="s">
        <v>4092</v>
      </c>
    </row>
    <row r="312" spans="1:4" s="45" customFormat="1" ht="13.5" x14ac:dyDescent="0.15">
      <c r="A312" s="45" t="s">
        <v>41</v>
      </c>
      <c r="D312" s="45" t="s">
        <v>4093</v>
      </c>
    </row>
    <row r="313" spans="1:4" s="45" customFormat="1" ht="13.5" x14ac:dyDescent="0.15">
      <c r="A313" s="45" t="s">
        <v>41</v>
      </c>
      <c r="D313" s="45" t="s">
        <v>4094</v>
      </c>
    </row>
    <row r="314" spans="1:4" s="45" customFormat="1" ht="13.5" x14ac:dyDescent="0.15">
      <c r="A314" s="45" t="s">
        <v>41</v>
      </c>
      <c r="D314" s="45" t="s">
        <v>4095</v>
      </c>
    </row>
    <row r="315" spans="1:4" s="45" customFormat="1" ht="13.5" x14ac:dyDescent="0.15">
      <c r="A315" s="45" t="s">
        <v>41</v>
      </c>
      <c r="D315" s="45" t="s">
        <v>4096</v>
      </c>
    </row>
    <row r="316" spans="1:4" s="45" customFormat="1" ht="13.5" x14ac:dyDescent="0.15">
      <c r="A316" s="45" t="s">
        <v>41</v>
      </c>
      <c r="D316" s="45" t="s">
        <v>4097</v>
      </c>
    </row>
    <row r="317" spans="1:4" s="45" customFormat="1" ht="13.5" x14ac:dyDescent="0.15">
      <c r="A317" s="45" t="s">
        <v>41</v>
      </c>
      <c r="D317" s="45" t="s">
        <v>4098</v>
      </c>
    </row>
    <row r="318" spans="1:4" s="45" customFormat="1" ht="13.5" x14ac:dyDescent="0.15">
      <c r="A318" s="45" t="s">
        <v>41</v>
      </c>
      <c r="D318" s="45" t="s">
        <v>65</v>
      </c>
    </row>
    <row r="319" spans="1:4" s="45" customFormat="1" ht="13.5" x14ac:dyDescent="0.15">
      <c r="A319" s="45" t="s">
        <v>41</v>
      </c>
      <c r="D319" s="45" t="s">
        <v>4099</v>
      </c>
    </row>
    <row r="320" spans="1:4" s="45" customFormat="1" ht="13.5" x14ac:dyDescent="0.15">
      <c r="A320" s="45" t="s">
        <v>41</v>
      </c>
      <c r="D320" s="45" t="s">
        <v>4100</v>
      </c>
    </row>
    <row r="321" spans="1:4" s="45" customFormat="1" ht="13.5" x14ac:dyDescent="0.15">
      <c r="A321" s="45" t="s">
        <v>41</v>
      </c>
      <c r="D321" s="45" t="s">
        <v>4101</v>
      </c>
    </row>
    <row r="322" spans="1:4" s="45" customFormat="1" ht="13.5" x14ac:dyDescent="0.15">
      <c r="A322" s="45" t="s">
        <v>41</v>
      </c>
      <c r="D322" s="45" t="s">
        <v>4102</v>
      </c>
    </row>
    <row r="323" spans="1:4" s="45" customFormat="1" ht="13.5" x14ac:dyDescent="0.15">
      <c r="A323" s="45" t="s">
        <v>41</v>
      </c>
      <c r="D323" s="45" t="s">
        <v>4103</v>
      </c>
    </row>
    <row r="324" spans="1:4" s="45" customFormat="1" ht="13.5" x14ac:dyDescent="0.15">
      <c r="A324" s="45" t="s">
        <v>41</v>
      </c>
      <c r="D324" s="45" t="s">
        <v>4104</v>
      </c>
    </row>
    <row r="325" spans="1:4" s="45" customFormat="1" ht="13.5" x14ac:dyDescent="0.15">
      <c r="A325" s="45" t="s">
        <v>41</v>
      </c>
      <c r="D325" s="45" t="s">
        <v>4105</v>
      </c>
    </row>
    <row r="326" spans="1:4" s="45" customFormat="1" ht="13.5" x14ac:dyDescent="0.15">
      <c r="A326" s="45" t="s">
        <v>41</v>
      </c>
      <c r="D326" s="45" t="s">
        <v>4106</v>
      </c>
    </row>
    <row r="327" spans="1:4" s="45" customFormat="1" ht="13.5" x14ac:dyDescent="0.15">
      <c r="A327" s="45" t="s">
        <v>41</v>
      </c>
      <c r="D327" s="45" t="s">
        <v>4107</v>
      </c>
    </row>
    <row r="328" spans="1:4" s="45" customFormat="1" ht="13.5" x14ac:dyDescent="0.15">
      <c r="A328" s="45" t="s">
        <v>41</v>
      </c>
      <c r="D328" s="45" t="s">
        <v>4108</v>
      </c>
    </row>
    <row r="329" spans="1:4" s="45" customFormat="1" ht="13.5" x14ac:dyDescent="0.15">
      <c r="A329" s="45" t="s">
        <v>41</v>
      </c>
      <c r="D329" s="45" t="s">
        <v>4109</v>
      </c>
    </row>
    <row r="330" spans="1:4" s="45" customFormat="1" ht="13.5" x14ac:dyDescent="0.15">
      <c r="A330" s="45" t="s">
        <v>41</v>
      </c>
      <c r="D330" s="45" t="s">
        <v>4110</v>
      </c>
    </row>
    <row r="331" spans="1:4" s="45" customFormat="1" ht="13.5" x14ac:dyDescent="0.15">
      <c r="A331" s="45" t="s">
        <v>41</v>
      </c>
      <c r="D331" s="45" t="s">
        <v>4111</v>
      </c>
    </row>
    <row r="332" spans="1:4" s="45" customFormat="1" ht="13.5" x14ac:dyDescent="0.15">
      <c r="A332" s="45" t="s">
        <v>41</v>
      </c>
      <c r="D332" s="45" t="s">
        <v>4112</v>
      </c>
    </row>
    <row r="333" spans="1:4" s="45" customFormat="1" ht="13.5" x14ac:dyDescent="0.15">
      <c r="A333" s="45" t="s">
        <v>41</v>
      </c>
      <c r="D333" s="45" t="s">
        <v>4113</v>
      </c>
    </row>
    <row r="334" spans="1:4" s="45" customFormat="1" ht="13.5" x14ac:dyDescent="0.15">
      <c r="A334" s="45" t="s">
        <v>41</v>
      </c>
      <c r="D334" s="45" t="s">
        <v>4114</v>
      </c>
    </row>
    <row r="335" spans="1:4" s="45" customFormat="1" ht="13.5" x14ac:dyDescent="0.15">
      <c r="A335" s="45" t="s">
        <v>41</v>
      </c>
      <c r="D335" s="45" t="s">
        <v>4115</v>
      </c>
    </row>
    <row r="336" spans="1:4" s="45" customFormat="1" ht="13.5" x14ac:dyDescent="0.15">
      <c r="A336" s="45" t="s">
        <v>41</v>
      </c>
      <c r="D336" s="45" t="s">
        <v>4116</v>
      </c>
    </row>
    <row r="337" spans="1:4" s="45" customFormat="1" ht="13.5" x14ac:dyDescent="0.15">
      <c r="A337" s="45" t="s">
        <v>41</v>
      </c>
      <c r="D337" s="45" t="s">
        <v>4117</v>
      </c>
    </row>
    <row r="338" spans="1:4" s="45" customFormat="1" ht="13.5" x14ac:dyDescent="0.15">
      <c r="A338" s="45" t="s">
        <v>41</v>
      </c>
      <c r="D338" s="45" t="s">
        <v>4118</v>
      </c>
    </row>
    <row r="339" spans="1:4" s="45" customFormat="1" ht="13.5" x14ac:dyDescent="0.15">
      <c r="A339" s="45" t="s">
        <v>41</v>
      </c>
      <c r="D339" s="45" t="s">
        <v>4119</v>
      </c>
    </row>
    <row r="340" spans="1:4" s="45" customFormat="1" ht="13.5" x14ac:dyDescent="0.15">
      <c r="A340" s="45" t="s">
        <v>41</v>
      </c>
      <c r="D340" s="45" t="s">
        <v>4120</v>
      </c>
    </row>
    <row r="341" spans="1:4" s="45" customFormat="1" ht="13.5" x14ac:dyDescent="0.15">
      <c r="A341" s="45" t="s">
        <v>41</v>
      </c>
      <c r="D341" s="45" t="s">
        <v>4121</v>
      </c>
    </row>
    <row r="342" spans="1:4" s="45" customFormat="1" ht="13.5" x14ac:dyDescent="0.15">
      <c r="A342" s="45" t="s">
        <v>41</v>
      </c>
      <c r="D342" s="45" t="s">
        <v>4122</v>
      </c>
    </row>
    <row r="343" spans="1:4" s="45" customFormat="1" ht="13.5" x14ac:dyDescent="0.15">
      <c r="A343" s="45" t="s">
        <v>41</v>
      </c>
      <c r="D343" s="45" t="s">
        <v>4123</v>
      </c>
    </row>
    <row r="344" spans="1:4" s="45" customFormat="1" ht="13.5" x14ac:dyDescent="0.15">
      <c r="A344" s="45" t="s">
        <v>41</v>
      </c>
      <c r="D344" s="45" t="s">
        <v>4124</v>
      </c>
    </row>
    <row r="345" spans="1:4" s="45" customFormat="1" ht="13.5" x14ac:dyDescent="0.15">
      <c r="A345" s="45" t="s">
        <v>41</v>
      </c>
      <c r="D345" s="45" t="s">
        <v>66</v>
      </c>
    </row>
    <row r="346" spans="1:4" s="45" customFormat="1" ht="13.5" x14ac:dyDescent="0.15">
      <c r="A346" s="45" t="s">
        <v>41</v>
      </c>
      <c r="D346" s="45" t="s">
        <v>4125</v>
      </c>
    </row>
    <row r="347" spans="1:4" s="45" customFormat="1" ht="13.5" x14ac:dyDescent="0.15">
      <c r="A347" s="45" t="s">
        <v>41</v>
      </c>
      <c r="D347" s="45" t="s">
        <v>4126</v>
      </c>
    </row>
    <row r="348" spans="1:4" s="45" customFormat="1" ht="13.5" x14ac:dyDescent="0.15">
      <c r="A348" s="45" t="s">
        <v>41</v>
      </c>
      <c r="D348" s="45" t="s">
        <v>4127</v>
      </c>
    </row>
    <row r="349" spans="1:4" s="45" customFormat="1" ht="13.5" x14ac:dyDescent="0.15">
      <c r="A349" s="45" t="s">
        <v>41</v>
      </c>
      <c r="D349" s="45" t="s">
        <v>4128</v>
      </c>
    </row>
    <row r="350" spans="1:4" s="45" customFormat="1" ht="13.5" x14ac:dyDescent="0.15">
      <c r="A350" s="45" t="s">
        <v>41</v>
      </c>
      <c r="D350" s="45" t="s">
        <v>4129</v>
      </c>
    </row>
    <row r="351" spans="1:4" s="45" customFormat="1" ht="13.5" x14ac:dyDescent="0.15">
      <c r="A351" s="45" t="s">
        <v>41</v>
      </c>
      <c r="D351" s="45" t="s">
        <v>4130</v>
      </c>
    </row>
    <row r="352" spans="1:4" s="45" customFormat="1" ht="13.5" x14ac:dyDescent="0.15">
      <c r="A352" s="45" t="s">
        <v>41</v>
      </c>
      <c r="D352" s="45" t="s">
        <v>4131</v>
      </c>
    </row>
    <row r="353" spans="1:4" s="45" customFormat="1" ht="13.5" x14ac:dyDescent="0.15">
      <c r="A353" s="45" t="s">
        <v>41</v>
      </c>
      <c r="D353" s="45" t="s">
        <v>4132</v>
      </c>
    </row>
    <row r="354" spans="1:4" s="45" customFormat="1" ht="13.5" x14ac:dyDescent="0.15">
      <c r="A354" s="45" t="s">
        <v>41</v>
      </c>
      <c r="D354" s="45" t="s">
        <v>4133</v>
      </c>
    </row>
    <row r="355" spans="1:4" s="45" customFormat="1" ht="13.5" x14ac:dyDescent="0.15">
      <c r="A355" s="45" t="s">
        <v>41</v>
      </c>
      <c r="D355" s="45" t="s">
        <v>4134</v>
      </c>
    </row>
    <row r="356" spans="1:4" s="45" customFormat="1" ht="13.5" x14ac:dyDescent="0.15">
      <c r="A356" s="45" t="s">
        <v>41</v>
      </c>
      <c r="D356" s="45" t="s">
        <v>4135</v>
      </c>
    </row>
    <row r="357" spans="1:4" s="45" customFormat="1" ht="13.5" x14ac:dyDescent="0.15">
      <c r="A357" s="45" t="s">
        <v>41</v>
      </c>
      <c r="D357" s="45" t="s">
        <v>4136</v>
      </c>
    </row>
    <row r="358" spans="1:4" s="45" customFormat="1" ht="13.5" x14ac:dyDescent="0.15">
      <c r="A358" s="45" t="s">
        <v>41</v>
      </c>
      <c r="D358" s="45" t="s">
        <v>4137</v>
      </c>
    </row>
    <row r="359" spans="1:4" s="45" customFormat="1" ht="13.5" x14ac:dyDescent="0.15">
      <c r="A359" s="45" t="s">
        <v>41</v>
      </c>
      <c r="D359" s="45" t="s">
        <v>4138</v>
      </c>
    </row>
    <row r="360" spans="1:4" s="45" customFormat="1" ht="13.5" x14ac:dyDescent="0.15">
      <c r="A360" s="45" t="s">
        <v>41</v>
      </c>
      <c r="D360" s="45" t="s">
        <v>4139</v>
      </c>
    </row>
    <row r="361" spans="1:4" s="45" customFormat="1" ht="13.5" x14ac:dyDescent="0.15">
      <c r="A361" s="45" t="s">
        <v>41</v>
      </c>
      <c r="D361" s="45" t="s">
        <v>4140</v>
      </c>
    </row>
    <row r="362" spans="1:4" s="45" customFormat="1" ht="13.5" x14ac:dyDescent="0.15">
      <c r="A362" s="45" t="s">
        <v>41</v>
      </c>
      <c r="D362" s="45" t="s">
        <v>4141</v>
      </c>
    </row>
    <row r="363" spans="1:4" s="45" customFormat="1" ht="13.5" x14ac:dyDescent="0.15">
      <c r="A363" s="45" t="s">
        <v>41</v>
      </c>
      <c r="D363" s="45" t="s">
        <v>4142</v>
      </c>
    </row>
    <row r="364" spans="1:4" s="45" customFormat="1" ht="13.5" x14ac:dyDescent="0.15">
      <c r="A364" s="45" t="s">
        <v>41</v>
      </c>
      <c r="D364" s="45" t="s">
        <v>4143</v>
      </c>
    </row>
    <row r="365" spans="1:4" s="45" customFormat="1" ht="13.5" x14ac:dyDescent="0.15">
      <c r="A365" s="45" t="s">
        <v>41</v>
      </c>
      <c r="D365" s="45" t="s">
        <v>4144</v>
      </c>
    </row>
    <row r="366" spans="1:4" s="45" customFormat="1" ht="13.5" x14ac:dyDescent="0.15">
      <c r="A366" s="45" t="s">
        <v>41</v>
      </c>
      <c r="D366" s="45" t="s">
        <v>4145</v>
      </c>
    </row>
    <row r="367" spans="1:4" s="45" customFormat="1" ht="13.5" x14ac:dyDescent="0.15">
      <c r="A367" s="45" t="s">
        <v>41</v>
      </c>
      <c r="D367" s="45" t="s">
        <v>4146</v>
      </c>
    </row>
    <row r="368" spans="1:4" s="45" customFormat="1" ht="13.5" x14ac:dyDescent="0.15">
      <c r="A368" s="45" t="s">
        <v>41</v>
      </c>
      <c r="D368" s="45" t="s">
        <v>4147</v>
      </c>
    </row>
    <row r="369" spans="1:4" s="45" customFormat="1" ht="13.5" x14ac:dyDescent="0.15">
      <c r="A369" s="45" t="s">
        <v>41</v>
      </c>
      <c r="D369" s="45" t="s">
        <v>4148</v>
      </c>
    </row>
    <row r="370" spans="1:4" s="45" customFormat="1" ht="13.5" x14ac:dyDescent="0.15">
      <c r="A370" s="45" t="s">
        <v>41</v>
      </c>
      <c r="D370" s="45" t="s">
        <v>4149</v>
      </c>
    </row>
    <row r="371" spans="1:4" s="45" customFormat="1" ht="13.5" x14ac:dyDescent="0.15">
      <c r="A371" s="45" t="s">
        <v>41</v>
      </c>
      <c r="D371" s="45" t="s">
        <v>4150</v>
      </c>
    </row>
    <row r="372" spans="1:4" s="45" customFormat="1" ht="13.5" x14ac:dyDescent="0.15">
      <c r="A372" s="45" t="s">
        <v>41</v>
      </c>
      <c r="D372" s="45" t="s">
        <v>4151</v>
      </c>
    </row>
    <row r="373" spans="1:4" s="45" customFormat="1" ht="13.5" x14ac:dyDescent="0.15">
      <c r="A373" s="45" t="s">
        <v>41</v>
      </c>
      <c r="D373" s="45" t="s">
        <v>4152</v>
      </c>
    </row>
    <row r="374" spans="1:4" s="45" customFormat="1" ht="13.5" x14ac:dyDescent="0.15">
      <c r="A374" s="45" t="s">
        <v>41</v>
      </c>
      <c r="D374" s="45" t="s">
        <v>4153</v>
      </c>
    </row>
    <row r="375" spans="1:4" s="45" customFormat="1" ht="13.5" x14ac:dyDescent="0.15">
      <c r="A375" s="45" t="s">
        <v>41</v>
      </c>
      <c r="D375" s="45" t="s">
        <v>4154</v>
      </c>
    </row>
    <row r="376" spans="1:4" s="45" customFormat="1" ht="13.5" x14ac:dyDescent="0.15">
      <c r="A376" s="45" t="s">
        <v>41</v>
      </c>
      <c r="D376" s="45" t="s">
        <v>4155</v>
      </c>
    </row>
    <row r="377" spans="1:4" s="45" customFormat="1" ht="13.5" x14ac:dyDescent="0.15">
      <c r="A377" s="45" t="s">
        <v>41</v>
      </c>
      <c r="D377" s="45" t="s">
        <v>4156</v>
      </c>
    </row>
    <row r="378" spans="1:4" s="45" customFormat="1" ht="13.5" x14ac:dyDescent="0.15">
      <c r="A378" s="45" t="s">
        <v>41</v>
      </c>
      <c r="D378" s="45" t="s">
        <v>4157</v>
      </c>
    </row>
    <row r="379" spans="1:4" s="45" customFormat="1" ht="13.5" x14ac:dyDescent="0.15">
      <c r="A379" s="45" t="s">
        <v>41</v>
      </c>
      <c r="D379" s="45" t="s">
        <v>4158</v>
      </c>
    </row>
    <row r="380" spans="1:4" s="45" customFormat="1" ht="13.5" x14ac:dyDescent="0.15">
      <c r="A380" s="45" t="s">
        <v>41</v>
      </c>
      <c r="D380" s="45" t="s">
        <v>4159</v>
      </c>
    </row>
    <row r="381" spans="1:4" s="45" customFormat="1" ht="13.5" x14ac:dyDescent="0.15">
      <c r="A381" s="45" t="s">
        <v>41</v>
      </c>
      <c r="D381" s="45" t="s">
        <v>4160</v>
      </c>
    </row>
    <row r="382" spans="1:4" s="45" customFormat="1" ht="13.5" x14ac:dyDescent="0.15">
      <c r="A382" s="45" t="s">
        <v>41</v>
      </c>
      <c r="D382" s="45" t="s">
        <v>4161</v>
      </c>
    </row>
    <row r="383" spans="1:4" s="45" customFormat="1" ht="13.5" x14ac:dyDescent="0.15">
      <c r="A383" s="45" t="s">
        <v>41</v>
      </c>
      <c r="D383" s="45" t="s">
        <v>4162</v>
      </c>
    </row>
    <row r="384" spans="1:4" s="45" customFormat="1" ht="13.5" x14ac:dyDescent="0.15">
      <c r="A384" s="45" t="s">
        <v>41</v>
      </c>
      <c r="D384" s="45" t="s">
        <v>4163</v>
      </c>
    </row>
    <row r="385" spans="1:4" s="45" customFormat="1" ht="13.5" x14ac:dyDescent="0.15">
      <c r="A385" s="45" t="s">
        <v>41</v>
      </c>
      <c r="D385" s="45" t="s">
        <v>4164</v>
      </c>
    </row>
    <row r="386" spans="1:4" s="45" customFormat="1" ht="13.5" x14ac:dyDescent="0.15">
      <c r="A386" s="45" t="s">
        <v>41</v>
      </c>
      <c r="D386" s="45" t="s">
        <v>4165</v>
      </c>
    </row>
    <row r="387" spans="1:4" s="45" customFormat="1" ht="13.5" x14ac:dyDescent="0.15">
      <c r="A387" s="45" t="s">
        <v>41</v>
      </c>
      <c r="D387" s="45" t="s">
        <v>4166</v>
      </c>
    </row>
    <row r="388" spans="1:4" s="45" customFormat="1" ht="13.5" x14ac:dyDescent="0.15">
      <c r="A388" s="45" t="s">
        <v>41</v>
      </c>
      <c r="D388" s="45" t="s">
        <v>4167</v>
      </c>
    </row>
    <row r="389" spans="1:4" s="45" customFormat="1" ht="13.5" x14ac:dyDescent="0.15">
      <c r="A389" s="45" t="s">
        <v>41</v>
      </c>
      <c r="D389" s="45" t="s">
        <v>4168</v>
      </c>
    </row>
    <row r="390" spans="1:4" s="45" customFormat="1" ht="13.5" x14ac:dyDescent="0.15">
      <c r="A390" s="45" t="s">
        <v>41</v>
      </c>
      <c r="D390" s="45" t="s">
        <v>4169</v>
      </c>
    </row>
    <row r="391" spans="1:4" s="45" customFormat="1" ht="13.5" x14ac:dyDescent="0.15">
      <c r="A391" s="45" t="s">
        <v>41</v>
      </c>
      <c r="D391" s="45" t="s">
        <v>4170</v>
      </c>
    </row>
    <row r="392" spans="1:4" s="45" customFormat="1" ht="13.5" x14ac:dyDescent="0.15">
      <c r="A392" s="45" t="s">
        <v>41</v>
      </c>
      <c r="D392" s="45" t="s">
        <v>4171</v>
      </c>
    </row>
    <row r="393" spans="1:4" s="45" customFormat="1" ht="13.5" x14ac:dyDescent="0.15">
      <c r="A393" s="45" t="s">
        <v>41</v>
      </c>
      <c r="D393" s="45" t="s">
        <v>4172</v>
      </c>
    </row>
    <row r="394" spans="1:4" s="45" customFormat="1" ht="13.5" x14ac:dyDescent="0.15">
      <c r="A394" s="45" t="s">
        <v>41</v>
      </c>
      <c r="D394" s="45" t="s">
        <v>4173</v>
      </c>
    </row>
    <row r="395" spans="1:4" s="45" customFormat="1" ht="13.5" x14ac:dyDescent="0.15">
      <c r="A395" s="45" t="s">
        <v>41</v>
      </c>
      <c r="D395" s="45" t="s">
        <v>4174</v>
      </c>
    </row>
    <row r="396" spans="1:4" s="45" customFormat="1" ht="13.5" x14ac:dyDescent="0.15">
      <c r="A396" s="45" t="s">
        <v>41</v>
      </c>
      <c r="D396" s="45" t="s">
        <v>4175</v>
      </c>
    </row>
    <row r="397" spans="1:4" s="45" customFormat="1" ht="13.5" x14ac:dyDescent="0.15">
      <c r="A397" s="45" t="s">
        <v>41</v>
      </c>
      <c r="D397" s="45" t="s">
        <v>4176</v>
      </c>
    </row>
    <row r="398" spans="1:4" s="45" customFormat="1" ht="13.5" x14ac:dyDescent="0.15">
      <c r="A398" s="45" t="s">
        <v>41</v>
      </c>
      <c r="D398" s="45" t="s">
        <v>4177</v>
      </c>
    </row>
    <row r="399" spans="1:4" s="45" customFormat="1" ht="13.5" x14ac:dyDescent="0.15">
      <c r="A399" s="45" t="s">
        <v>41</v>
      </c>
      <c r="D399" s="45" t="s">
        <v>67</v>
      </c>
    </row>
    <row r="400" spans="1:4" s="45" customFormat="1" ht="13.5" x14ac:dyDescent="0.15">
      <c r="A400" s="45" t="s">
        <v>41</v>
      </c>
      <c r="D400" s="45" t="s">
        <v>4178</v>
      </c>
    </row>
    <row r="401" spans="1:4" s="45" customFormat="1" ht="13.5" x14ac:dyDescent="0.15">
      <c r="A401" s="45" t="s">
        <v>41</v>
      </c>
      <c r="D401" s="45" t="s">
        <v>4179</v>
      </c>
    </row>
    <row r="402" spans="1:4" s="45" customFormat="1" ht="13.5" x14ac:dyDescent="0.15">
      <c r="A402" s="45" t="s">
        <v>41</v>
      </c>
      <c r="D402" s="45" t="s">
        <v>4180</v>
      </c>
    </row>
    <row r="403" spans="1:4" s="45" customFormat="1" ht="13.5" x14ac:dyDescent="0.15">
      <c r="A403" s="45" t="s">
        <v>41</v>
      </c>
      <c r="D403" s="45" t="s">
        <v>4181</v>
      </c>
    </row>
    <row r="404" spans="1:4" s="45" customFormat="1" ht="13.5" x14ac:dyDescent="0.15">
      <c r="A404" s="45" t="s">
        <v>41</v>
      </c>
      <c r="D404" s="45" t="s">
        <v>4182</v>
      </c>
    </row>
    <row r="405" spans="1:4" s="45" customFormat="1" ht="13.5" x14ac:dyDescent="0.15">
      <c r="A405" s="45" t="s">
        <v>41</v>
      </c>
      <c r="D405" s="45" t="s">
        <v>4183</v>
      </c>
    </row>
    <row r="406" spans="1:4" s="45" customFormat="1" ht="13.5" x14ac:dyDescent="0.15">
      <c r="A406" s="45" t="s">
        <v>41</v>
      </c>
      <c r="D406" s="45" t="s">
        <v>47</v>
      </c>
    </row>
    <row r="407" spans="1:4" s="45" customFormat="1" ht="13.5" x14ac:dyDescent="0.15">
      <c r="A407" s="45" t="s">
        <v>41</v>
      </c>
      <c r="D407" s="45" t="s">
        <v>4184</v>
      </c>
    </row>
    <row r="408" spans="1:4" s="45" customFormat="1" ht="13.5" x14ac:dyDescent="0.15">
      <c r="A408" s="45" t="s">
        <v>41</v>
      </c>
      <c r="D408" s="45" t="s">
        <v>48</v>
      </c>
    </row>
    <row r="409" spans="1:4" s="45" customFormat="1" ht="13.5" x14ac:dyDescent="0.15">
      <c r="A409" s="45" t="s">
        <v>41</v>
      </c>
      <c r="D409" s="45" t="s">
        <v>4185</v>
      </c>
    </row>
    <row r="410" spans="1:4" s="45" customFormat="1" ht="13.5" x14ac:dyDescent="0.15">
      <c r="A410" s="45" t="s">
        <v>41</v>
      </c>
      <c r="D410" s="45" t="s">
        <v>4186</v>
      </c>
    </row>
    <row r="411" spans="1:4" s="45" customFormat="1" ht="13.5" x14ac:dyDescent="0.15">
      <c r="A411" s="45" t="s">
        <v>41</v>
      </c>
      <c r="D411" s="45" t="s">
        <v>49</v>
      </c>
    </row>
    <row r="412" spans="1:4" s="45" customFormat="1" ht="13.5" x14ac:dyDescent="0.15">
      <c r="A412" s="45" t="s">
        <v>41</v>
      </c>
      <c r="D412" s="45" t="s">
        <v>50</v>
      </c>
    </row>
    <row r="413" spans="1:4" s="45" customFormat="1" ht="13.5" x14ac:dyDescent="0.15">
      <c r="A413" s="45" t="s">
        <v>41</v>
      </c>
      <c r="D413" s="45" t="s">
        <v>4187</v>
      </c>
    </row>
    <row r="414" spans="1:4" s="45" customFormat="1" ht="13.5" x14ac:dyDescent="0.15">
      <c r="A414" s="45" t="s">
        <v>41</v>
      </c>
      <c r="D414" s="45" t="s">
        <v>4188</v>
      </c>
    </row>
    <row r="415" spans="1:4" s="45" customFormat="1" ht="13.5" x14ac:dyDescent="0.15">
      <c r="A415" s="45" t="s">
        <v>41</v>
      </c>
      <c r="D415" s="45" t="s">
        <v>4189</v>
      </c>
    </row>
    <row r="416" spans="1:4" s="45" customFormat="1" ht="13.5" x14ac:dyDescent="0.15">
      <c r="A416" s="45" t="s">
        <v>41</v>
      </c>
      <c r="D416" s="45" t="s">
        <v>4190</v>
      </c>
    </row>
    <row r="417" spans="1:4" s="45" customFormat="1" ht="13.5" x14ac:dyDescent="0.15">
      <c r="A417" s="45" t="s">
        <v>41</v>
      </c>
      <c r="D417" s="45" t="s">
        <v>4191</v>
      </c>
    </row>
    <row r="418" spans="1:4" s="45" customFormat="1" ht="13.5" x14ac:dyDescent="0.15">
      <c r="A418" s="45" t="s">
        <v>41</v>
      </c>
      <c r="D418" s="45" t="s">
        <v>4192</v>
      </c>
    </row>
    <row r="419" spans="1:4" s="45" customFormat="1" ht="13.5" x14ac:dyDescent="0.15">
      <c r="A419" s="45" t="s">
        <v>41</v>
      </c>
      <c r="D419" s="45" t="s">
        <v>4193</v>
      </c>
    </row>
    <row r="420" spans="1:4" s="45" customFormat="1" ht="13.5" x14ac:dyDescent="0.15">
      <c r="A420" s="45" t="s">
        <v>41</v>
      </c>
      <c r="D420" s="45" t="s">
        <v>4194</v>
      </c>
    </row>
    <row r="421" spans="1:4" s="45" customFormat="1" ht="13.5" x14ac:dyDescent="0.15">
      <c r="A421" s="45" t="s">
        <v>41</v>
      </c>
      <c r="D421" s="45" t="s">
        <v>4195</v>
      </c>
    </row>
    <row r="422" spans="1:4" s="45" customFormat="1" ht="13.5" x14ac:dyDescent="0.15">
      <c r="A422" s="45" t="s">
        <v>41</v>
      </c>
      <c r="D422" s="45" t="s">
        <v>4196</v>
      </c>
    </row>
    <row r="423" spans="1:4" s="45" customFormat="1" ht="13.5" x14ac:dyDescent="0.15">
      <c r="A423" s="45" t="s">
        <v>41</v>
      </c>
      <c r="D423" s="45" t="s">
        <v>4197</v>
      </c>
    </row>
    <row r="424" spans="1:4" s="45" customFormat="1" ht="13.5" x14ac:dyDescent="0.15">
      <c r="A424" s="45" t="s">
        <v>41</v>
      </c>
      <c r="D424" s="45" t="s">
        <v>4198</v>
      </c>
    </row>
    <row r="425" spans="1:4" s="45" customFormat="1" ht="13.5" x14ac:dyDescent="0.15">
      <c r="A425" s="45" t="s">
        <v>41</v>
      </c>
      <c r="D425" s="45" t="s">
        <v>4199</v>
      </c>
    </row>
    <row r="426" spans="1:4" s="45" customFormat="1" ht="13.5" x14ac:dyDescent="0.15">
      <c r="A426" s="45" t="s">
        <v>41</v>
      </c>
      <c r="D426" s="45" t="s">
        <v>4200</v>
      </c>
    </row>
    <row r="427" spans="1:4" s="45" customFormat="1" ht="13.5" x14ac:dyDescent="0.15">
      <c r="A427" s="45" t="s">
        <v>41</v>
      </c>
      <c r="D427" s="45" t="s">
        <v>4201</v>
      </c>
    </row>
    <row r="428" spans="1:4" s="45" customFormat="1" ht="13.5" x14ac:dyDescent="0.15">
      <c r="A428" s="45" t="s">
        <v>41</v>
      </c>
      <c r="D428" s="45" t="s">
        <v>4202</v>
      </c>
    </row>
    <row r="429" spans="1:4" s="45" customFormat="1" ht="13.5" x14ac:dyDescent="0.15">
      <c r="A429" s="45" t="s">
        <v>41</v>
      </c>
      <c r="D429" s="45" t="s">
        <v>4203</v>
      </c>
    </row>
    <row r="430" spans="1:4" s="45" customFormat="1" ht="13.5" x14ac:dyDescent="0.15">
      <c r="A430" s="45" t="s">
        <v>41</v>
      </c>
      <c r="D430" s="45" t="s">
        <v>4204</v>
      </c>
    </row>
    <row r="431" spans="1:4" s="45" customFormat="1" ht="13.5" x14ac:dyDescent="0.15">
      <c r="A431" s="45" t="s">
        <v>41</v>
      </c>
      <c r="D431" s="45" t="s">
        <v>4205</v>
      </c>
    </row>
    <row r="432" spans="1:4" s="45" customFormat="1" ht="13.5" x14ac:dyDescent="0.15">
      <c r="A432" s="45" t="s">
        <v>41</v>
      </c>
      <c r="D432" s="45" t="s">
        <v>4206</v>
      </c>
    </row>
    <row r="433" spans="1:4" s="45" customFormat="1" ht="13.5" x14ac:dyDescent="0.15">
      <c r="A433" s="45" t="s">
        <v>41</v>
      </c>
      <c r="D433" s="45" t="s">
        <v>4207</v>
      </c>
    </row>
    <row r="434" spans="1:4" s="45" customFormat="1" ht="13.5" x14ac:dyDescent="0.15">
      <c r="A434" s="45" t="s">
        <v>41</v>
      </c>
      <c r="D434" s="45" t="s">
        <v>4208</v>
      </c>
    </row>
    <row r="435" spans="1:4" s="45" customFormat="1" ht="13.5" x14ac:dyDescent="0.15">
      <c r="A435" s="45" t="s">
        <v>41</v>
      </c>
      <c r="D435" s="45" t="s">
        <v>4209</v>
      </c>
    </row>
    <row r="436" spans="1:4" s="45" customFormat="1" ht="13.5" x14ac:dyDescent="0.15">
      <c r="A436" s="45" t="s">
        <v>41</v>
      </c>
      <c r="D436" s="45" t="s">
        <v>4210</v>
      </c>
    </row>
    <row r="437" spans="1:4" s="45" customFormat="1" ht="13.5" x14ac:dyDescent="0.15">
      <c r="A437" s="45" t="s">
        <v>41</v>
      </c>
      <c r="D437" s="45" t="s">
        <v>4211</v>
      </c>
    </row>
    <row r="438" spans="1:4" s="45" customFormat="1" ht="13.5" x14ac:dyDescent="0.15">
      <c r="A438" s="45" t="s">
        <v>41</v>
      </c>
      <c r="D438" s="45" t="s">
        <v>4212</v>
      </c>
    </row>
    <row r="439" spans="1:4" s="45" customFormat="1" ht="13.5" x14ac:dyDescent="0.15">
      <c r="A439" s="45" t="s">
        <v>41</v>
      </c>
      <c r="D439" s="45" t="s">
        <v>4213</v>
      </c>
    </row>
    <row r="440" spans="1:4" s="45" customFormat="1" ht="13.5" x14ac:dyDescent="0.15">
      <c r="A440" s="45" t="s">
        <v>41</v>
      </c>
      <c r="D440" s="45" t="s">
        <v>4214</v>
      </c>
    </row>
    <row r="441" spans="1:4" s="45" customFormat="1" ht="13.5" x14ac:dyDescent="0.15">
      <c r="A441" s="45" t="s">
        <v>41</v>
      </c>
      <c r="D441" s="45" t="s">
        <v>4215</v>
      </c>
    </row>
    <row r="442" spans="1:4" s="45" customFormat="1" ht="13.5" x14ac:dyDescent="0.15">
      <c r="A442" s="45" t="s">
        <v>41</v>
      </c>
      <c r="D442" s="45" t="s">
        <v>4216</v>
      </c>
    </row>
    <row r="443" spans="1:4" s="45" customFormat="1" ht="13.5" x14ac:dyDescent="0.15">
      <c r="A443" s="45" t="s">
        <v>41</v>
      </c>
      <c r="D443" s="45" t="s">
        <v>4217</v>
      </c>
    </row>
    <row r="444" spans="1:4" s="45" customFormat="1" ht="13.5" x14ac:dyDescent="0.15">
      <c r="A444" s="45" t="s">
        <v>41</v>
      </c>
      <c r="D444" s="45" t="s">
        <v>4218</v>
      </c>
    </row>
    <row r="445" spans="1:4" s="45" customFormat="1" ht="13.5" x14ac:dyDescent="0.15">
      <c r="A445" s="45" t="s">
        <v>41</v>
      </c>
      <c r="D445" s="45" t="s">
        <v>4219</v>
      </c>
    </row>
    <row r="446" spans="1:4" s="45" customFormat="1" ht="13.5" x14ac:dyDescent="0.15">
      <c r="A446" s="45" t="s">
        <v>41</v>
      </c>
      <c r="D446" s="45" t="s">
        <v>4220</v>
      </c>
    </row>
    <row r="447" spans="1:4" s="45" customFormat="1" ht="13.5" x14ac:dyDescent="0.15">
      <c r="A447" s="45" t="s">
        <v>41</v>
      </c>
      <c r="D447" s="45" t="s">
        <v>4221</v>
      </c>
    </row>
    <row r="448" spans="1:4" s="45" customFormat="1" ht="13.5" x14ac:dyDescent="0.15">
      <c r="A448" s="45" t="s">
        <v>41</v>
      </c>
      <c r="D448" s="45" t="s">
        <v>4222</v>
      </c>
    </row>
    <row r="449" spans="1:4" s="45" customFormat="1" ht="13.5" x14ac:dyDescent="0.15">
      <c r="A449" s="45" t="s">
        <v>41</v>
      </c>
      <c r="D449" s="45" t="s">
        <v>52</v>
      </c>
    </row>
    <row r="450" spans="1:4" s="45" customFormat="1" ht="13.5" x14ac:dyDescent="0.15">
      <c r="A450" s="45" t="s">
        <v>41</v>
      </c>
      <c r="D450" s="45" t="s">
        <v>51</v>
      </c>
    </row>
    <row r="451" spans="1:4" s="45" customFormat="1" ht="13.5" x14ac:dyDescent="0.15">
      <c r="A451" s="45" t="s">
        <v>41</v>
      </c>
      <c r="D451" s="45" t="s">
        <v>4223</v>
      </c>
    </row>
    <row r="452" spans="1:4" s="45" customFormat="1" ht="13.5" x14ac:dyDescent="0.15">
      <c r="A452" s="45" t="s">
        <v>41</v>
      </c>
      <c r="D452" s="45" t="s">
        <v>4224</v>
      </c>
    </row>
    <row r="453" spans="1:4" s="45" customFormat="1" ht="13.5" x14ac:dyDescent="0.15">
      <c r="A453" s="45" t="s">
        <v>41</v>
      </c>
      <c r="D453" s="45" t="s">
        <v>4225</v>
      </c>
    </row>
    <row r="454" spans="1:4" s="45" customFormat="1" ht="13.5" x14ac:dyDescent="0.15">
      <c r="A454" s="45" t="s">
        <v>41</v>
      </c>
      <c r="D454" s="45" t="s">
        <v>4226</v>
      </c>
    </row>
    <row r="455" spans="1:4" s="45" customFormat="1" ht="13.5" x14ac:dyDescent="0.15">
      <c r="A455" s="45" t="s">
        <v>41</v>
      </c>
      <c r="D455" s="45" t="s">
        <v>4227</v>
      </c>
    </row>
    <row r="456" spans="1:4" s="45" customFormat="1" ht="13.5" x14ac:dyDescent="0.15">
      <c r="A456" s="45" t="s">
        <v>41</v>
      </c>
      <c r="D456" s="45" t="s">
        <v>4228</v>
      </c>
    </row>
    <row r="457" spans="1:4" s="45" customFormat="1" ht="13.5" x14ac:dyDescent="0.15">
      <c r="A457" s="45" t="s">
        <v>41</v>
      </c>
      <c r="D457" s="45" t="s">
        <v>4229</v>
      </c>
    </row>
    <row r="458" spans="1:4" s="45" customFormat="1" ht="13.5" x14ac:dyDescent="0.15">
      <c r="A458" s="45" t="s">
        <v>41</v>
      </c>
      <c r="D458" s="45" t="s">
        <v>4230</v>
      </c>
    </row>
    <row r="459" spans="1:4" s="45" customFormat="1" ht="13.5" x14ac:dyDescent="0.15">
      <c r="A459" s="45" t="s">
        <v>41</v>
      </c>
      <c r="D459" s="45" t="s">
        <v>4231</v>
      </c>
    </row>
    <row r="460" spans="1:4" s="45" customFormat="1" ht="13.5" x14ac:dyDescent="0.15">
      <c r="A460" s="45" t="s">
        <v>41</v>
      </c>
      <c r="D460" s="45" t="s">
        <v>4232</v>
      </c>
    </row>
    <row r="461" spans="1:4" s="45" customFormat="1" ht="13.5" x14ac:dyDescent="0.15">
      <c r="A461" s="45" t="s">
        <v>41</v>
      </c>
      <c r="D461" s="45" t="s">
        <v>4233</v>
      </c>
    </row>
    <row r="462" spans="1:4" s="45" customFormat="1" ht="13.5" x14ac:dyDescent="0.15">
      <c r="A462" s="45" t="s">
        <v>41</v>
      </c>
      <c r="D462" s="45" t="s">
        <v>4234</v>
      </c>
    </row>
    <row r="463" spans="1:4" s="45" customFormat="1" ht="13.5" x14ac:dyDescent="0.15">
      <c r="A463" s="45" t="s">
        <v>41</v>
      </c>
      <c r="D463" s="45" t="s">
        <v>4235</v>
      </c>
    </row>
    <row r="464" spans="1:4" s="45" customFormat="1" ht="13.5" x14ac:dyDescent="0.15">
      <c r="A464" s="45" t="s">
        <v>41</v>
      </c>
      <c r="D464" s="45" t="s">
        <v>4236</v>
      </c>
    </row>
    <row r="465" spans="1:4" s="45" customFormat="1" ht="13.5" x14ac:dyDescent="0.15">
      <c r="A465" s="45" t="s">
        <v>41</v>
      </c>
      <c r="D465" s="45" t="s">
        <v>4237</v>
      </c>
    </row>
    <row r="466" spans="1:4" s="45" customFormat="1" ht="13.5" x14ac:dyDescent="0.15">
      <c r="A466" s="45" t="s">
        <v>41</v>
      </c>
      <c r="D466" s="45" t="s">
        <v>4238</v>
      </c>
    </row>
    <row r="467" spans="1:4" s="45" customFormat="1" ht="13.5" x14ac:dyDescent="0.15">
      <c r="A467" s="45" t="s">
        <v>41</v>
      </c>
      <c r="D467" s="45" t="s">
        <v>4239</v>
      </c>
    </row>
    <row r="468" spans="1:4" s="45" customFormat="1" ht="13.5" x14ac:dyDescent="0.15">
      <c r="A468" s="45" t="s">
        <v>41</v>
      </c>
      <c r="D468" s="45" t="s">
        <v>4240</v>
      </c>
    </row>
    <row r="469" spans="1:4" s="45" customFormat="1" ht="13.5" x14ac:dyDescent="0.15">
      <c r="A469" s="45" t="s">
        <v>41</v>
      </c>
      <c r="D469" s="45" t="s">
        <v>4241</v>
      </c>
    </row>
    <row r="470" spans="1:4" s="45" customFormat="1" ht="13.5" x14ac:dyDescent="0.15">
      <c r="A470" s="45" t="s">
        <v>41</v>
      </c>
      <c r="D470" s="45" t="s">
        <v>4242</v>
      </c>
    </row>
    <row r="471" spans="1:4" s="45" customFormat="1" ht="13.5" x14ac:dyDescent="0.15">
      <c r="A471" s="45" t="s">
        <v>41</v>
      </c>
      <c r="D471" s="45" t="s">
        <v>4243</v>
      </c>
    </row>
    <row r="472" spans="1:4" s="45" customFormat="1" ht="13.5" x14ac:dyDescent="0.15">
      <c r="A472" s="45" t="s">
        <v>41</v>
      </c>
      <c r="D472" s="45" t="s">
        <v>4244</v>
      </c>
    </row>
    <row r="473" spans="1:4" s="45" customFormat="1" ht="13.5" x14ac:dyDescent="0.15">
      <c r="A473" s="45" t="s">
        <v>41</v>
      </c>
      <c r="D473" s="45" t="s">
        <v>4245</v>
      </c>
    </row>
    <row r="474" spans="1:4" s="45" customFormat="1" ht="13.5" x14ac:dyDescent="0.15">
      <c r="A474" s="45" t="s">
        <v>41</v>
      </c>
      <c r="D474" s="45" t="s">
        <v>4246</v>
      </c>
    </row>
    <row r="475" spans="1:4" s="45" customFormat="1" ht="13.5" x14ac:dyDescent="0.15">
      <c r="A475" s="45" t="s">
        <v>41</v>
      </c>
      <c r="D475" s="45" t="s">
        <v>4247</v>
      </c>
    </row>
    <row r="476" spans="1:4" s="45" customFormat="1" ht="13.5" x14ac:dyDescent="0.15">
      <c r="A476" s="45" t="s">
        <v>41</v>
      </c>
      <c r="D476" s="45" t="s">
        <v>4248</v>
      </c>
    </row>
    <row r="477" spans="1:4" s="45" customFormat="1" ht="13.5" x14ac:dyDescent="0.15">
      <c r="A477" s="45" t="s">
        <v>41</v>
      </c>
      <c r="D477" s="45" t="s">
        <v>4249</v>
      </c>
    </row>
    <row r="478" spans="1:4" s="45" customFormat="1" ht="13.5" x14ac:dyDescent="0.15">
      <c r="A478" s="45" t="s">
        <v>41</v>
      </c>
      <c r="D478" s="45" t="s">
        <v>4250</v>
      </c>
    </row>
    <row r="479" spans="1:4" s="45" customFormat="1" ht="13.5" x14ac:dyDescent="0.15">
      <c r="A479" s="45" t="s">
        <v>41</v>
      </c>
      <c r="D479" s="45" t="s">
        <v>4251</v>
      </c>
    </row>
    <row r="480" spans="1:4" s="45" customFormat="1" ht="13.5" x14ac:dyDescent="0.15">
      <c r="A480" s="45" t="s">
        <v>41</v>
      </c>
      <c r="D480" s="45" t="s">
        <v>4252</v>
      </c>
    </row>
    <row r="481" spans="1:4" s="45" customFormat="1" ht="13.5" x14ac:dyDescent="0.15">
      <c r="A481" s="45" t="s">
        <v>41</v>
      </c>
      <c r="D481" s="45" t="s">
        <v>4253</v>
      </c>
    </row>
    <row r="482" spans="1:4" s="45" customFormat="1" ht="13.5" x14ac:dyDescent="0.15">
      <c r="A482" s="45" t="s">
        <v>41</v>
      </c>
      <c r="D482" s="45" t="s">
        <v>4254</v>
      </c>
    </row>
    <row r="483" spans="1:4" s="45" customFormat="1" ht="13.5" x14ac:dyDescent="0.15">
      <c r="A483" s="45" t="s">
        <v>41</v>
      </c>
      <c r="D483" s="45" t="s">
        <v>4255</v>
      </c>
    </row>
    <row r="484" spans="1:4" s="45" customFormat="1" ht="13.5" x14ac:dyDescent="0.15">
      <c r="A484" s="45" t="s">
        <v>41</v>
      </c>
      <c r="D484" s="45" t="s">
        <v>4256</v>
      </c>
    </row>
    <row r="485" spans="1:4" s="45" customFormat="1" ht="13.5" x14ac:dyDescent="0.15">
      <c r="A485" s="45" t="s">
        <v>41</v>
      </c>
      <c r="D485" s="45" t="s">
        <v>4257</v>
      </c>
    </row>
    <row r="486" spans="1:4" s="45" customFormat="1" ht="13.5" x14ac:dyDescent="0.15">
      <c r="A486" s="45" t="s">
        <v>41</v>
      </c>
      <c r="D486" s="45" t="s">
        <v>4258</v>
      </c>
    </row>
    <row r="487" spans="1:4" s="45" customFormat="1" ht="13.5" x14ac:dyDescent="0.15">
      <c r="A487" s="45" t="s">
        <v>41</v>
      </c>
      <c r="D487" s="45" t="s">
        <v>4259</v>
      </c>
    </row>
    <row r="488" spans="1:4" s="45" customFormat="1" ht="13.5" x14ac:dyDescent="0.15">
      <c r="A488" s="45" t="s">
        <v>41</v>
      </c>
      <c r="D488" s="45" t="s">
        <v>4260</v>
      </c>
    </row>
    <row r="489" spans="1:4" s="45" customFormat="1" ht="13.5" x14ac:dyDescent="0.15">
      <c r="A489" s="45" t="s">
        <v>41</v>
      </c>
      <c r="D489" s="45" t="s">
        <v>4261</v>
      </c>
    </row>
    <row r="490" spans="1:4" s="45" customFormat="1" ht="13.5" x14ac:dyDescent="0.15">
      <c r="A490" s="45" t="s">
        <v>41</v>
      </c>
      <c r="D490" s="45" t="s">
        <v>4262</v>
      </c>
    </row>
    <row r="491" spans="1:4" s="45" customFormat="1" ht="13.5" x14ac:dyDescent="0.15">
      <c r="A491" s="45" t="s">
        <v>41</v>
      </c>
      <c r="D491" s="45" t="s">
        <v>4263</v>
      </c>
    </row>
    <row r="492" spans="1:4" s="45" customFormat="1" ht="13.5" x14ac:dyDescent="0.15">
      <c r="A492" s="45" t="s">
        <v>41</v>
      </c>
      <c r="D492" s="45" t="s">
        <v>4264</v>
      </c>
    </row>
    <row r="493" spans="1:4" s="45" customFormat="1" ht="13.5" x14ac:dyDescent="0.15">
      <c r="A493" s="45" t="s">
        <v>41</v>
      </c>
      <c r="D493" s="45" t="s">
        <v>4265</v>
      </c>
    </row>
    <row r="494" spans="1:4" s="45" customFormat="1" ht="13.5" x14ac:dyDescent="0.15">
      <c r="A494" s="45" t="s">
        <v>41</v>
      </c>
      <c r="D494" s="45" t="s">
        <v>4266</v>
      </c>
    </row>
    <row r="495" spans="1:4" s="45" customFormat="1" ht="13.5" x14ac:dyDescent="0.15">
      <c r="A495" s="45" t="s">
        <v>41</v>
      </c>
      <c r="D495" s="45" t="s">
        <v>4267</v>
      </c>
    </row>
    <row r="496" spans="1:4" s="45" customFormat="1" ht="13.5" x14ac:dyDescent="0.15">
      <c r="A496" s="45" t="s">
        <v>41</v>
      </c>
      <c r="D496" s="45" t="s">
        <v>4268</v>
      </c>
    </row>
    <row r="497" spans="1:4" s="45" customFormat="1" ht="13.5" x14ac:dyDescent="0.15">
      <c r="A497" s="45" t="s">
        <v>41</v>
      </c>
      <c r="D497" s="45" t="s">
        <v>4269</v>
      </c>
    </row>
    <row r="498" spans="1:4" s="45" customFormat="1" ht="13.5" x14ac:dyDescent="0.15">
      <c r="A498" s="45" t="s">
        <v>41</v>
      </c>
      <c r="D498" s="45" t="s">
        <v>4270</v>
      </c>
    </row>
    <row r="499" spans="1:4" s="45" customFormat="1" ht="13.5" x14ac:dyDescent="0.15">
      <c r="A499" s="45" t="s">
        <v>41</v>
      </c>
      <c r="D499" s="45" t="s">
        <v>4271</v>
      </c>
    </row>
    <row r="500" spans="1:4" s="45" customFormat="1" ht="13.5" x14ac:dyDescent="0.15">
      <c r="A500" s="45" t="s">
        <v>41</v>
      </c>
      <c r="D500" s="45" t="s">
        <v>4272</v>
      </c>
    </row>
    <row r="501" spans="1:4" s="45" customFormat="1" ht="13.5" x14ac:dyDescent="0.15">
      <c r="A501" s="45" t="s">
        <v>41</v>
      </c>
      <c r="D501" s="45" t="s">
        <v>4273</v>
      </c>
    </row>
    <row r="502" spans="1:4" s="45" customFormat="1" ht="13.5" x14ac:dyDescent="0.15">
      <c r="A502" s="45" t="s">
        <v>41</v>
      </c>
      <c r="D502" s="45" t="s">
        <v>4274</v>
      </c>
    </row>
    <row r="503" spans="1:4" s="45" customFormat="1" ht="13.5" x14ac:dyDescent="0.15">
      <c r="A503" s="45" t="s">
        <v>41</v>
      </c>
      <c r="D503" s="45" t="s">
        <v>4275</v>
      </c>
    </row>
    <row r="504" spans="1:4" s="45" customFormat="1" ht="13.5" x14ac:dyDescent="0.15">
      <c r="A504" s="45" t="s">
        <v>41</v>
      </c>
      <c r="D504" s="45" t="s">
        <v>4276</v>
      </c>
    </row>
    <row r="505" spans="1:4" s="45" customFormat="1" ht="13.5" x14ac:dyDescent="0.15">
      <c r="A505" s="45" t="s">
        <v>41</v>
      </c>
      <c r="D505" s="45" t="s">
        <v>4277</v>
      </c>
    </row>
    <row r="506" spans="1:4" s="45" customFormat="1" ht="13.5" x14ac:dyDescent="0.15">
      <c r="A506" s="45" t="s">
        <v>41</v>
      </c>
      <c r="D506" s="45" t="s">
        <v>4278</v>
      </c>
    </row>
    <row r="507" spans="1:4" s="45" customFormat="1" ht="13.5" x14ac:dyDescent="0.15">
      <c r="A507" s="45" t="s">
        <v>41</v>
      </c>
      <c r="D507" s="45" t="s">
        <v>4279</v>
      </c>
    </row>
    <row r="508" spans="1:4" s="45" customFormat="1" ht="13.5" x14ac:dyDescent="0.15">
      <c r="A508" s="45" t="s">
        <v>41</v>
      </c>
      <c r="D508" s="45" t="s">
        <v>4280</v>
      </c>
    </row>
    <row r="509" spans="1:4" s="45" customFormat="1" ht="13.5" x14ac:dyDescent="0.15">
      <c r="A509" s="45" t="s">
        <v>41</v>
      </c>
      <c r="D509" s="45" t="s">
        <v>4281</v>
      </c>
    </row>
    <row r="510" spans="1:4" s="45" customFormat="1" ht="13.5" x14ac:dyDescent="0.15">
      <c r="A510" s="45" t="s">
        <v>41</v>
      </c>
      <c r="D510" s="45" t="s">
        <v>53</v>
      </c>
    </row>
    <row r="511" spans="1:4" s="45" customFormat="1" ht="13.5" x14ac:dyDescent="0.15">
      <c r="A511" s="45" t="s">
        <v>41</v>
      </c>
      <c r="D511" s="45" t="s">
        <v>4282</v>
      </c>
    </row>
    <row r="512" spans="1:4" s="45" customFormat="1" ht="13.5" x14ac:dyDescent="0.15">
      <c r="A512" s="45" t="s">
        <v>41</v>
      </c>
      <c r="D512" s="45" t="s">
        <v>4283</v>
      </c>
    </row>
    <row r="513" spans="1:4" s="45" customFormat="1" ht="13.5" x14ac:dyDescent="0.15">
      <c r="A513" s="45" t="s">
        <v>41</v>
      </c>
      <c r="D513" s="45" t="s">
        <v>4284</v>
      </c>
    </row>
    <row r="514" spans="1:4" s="45" customFormat="1" ht="13.5" x14ac:dyDescent="0.15">
      <c r="A514" s="45" t="s">
        <v>41</v>
      </c>
      <c r="D514" s="45" t="s">
        <v>4285</v>
      </c>
    </row>
    <row r="515" spans="1:4" s="45" customFormat="1" ht="13.5" x14ac:dyDescent="0.15">
      <c r="A515" s="45" t="s">
        <v>41</v>
      </c>
      <c r="D515" s="45" t="s">
        <v>4286</v>
      </c>
    </row>
    <row r="516" spans="1:4" s="45" customFormat="1" ht="13.5" x14ac:dyDescent="0.15">
      <c r="A516" s="45" t="s">
        <v>41</v>
      </c>
      <c r="D516" s="45" t="s">
        <v>4287</v>
      </c>
    </row>
    <row r="517" spans="1:4" s="45" customFormat="1" ht="13.5" x14ac:dyDescent="0.15">
      <c r="A517" s="45" t="s">
        <v>41</v>
      </c>
      <c r="D517" s="45" t="s">
        <v>4288</v>
      </c>
    </row>
    <row r="518" spans="1:4" s="45" customFormat="1" ht="13.5" x14ac:dyDescent="0.15">
      <c r="A518" s="45" t="s">
        <v>41</v>
      </c>
      <c r="D518" s="45" t="s">
        <v>4289</v>
      </c>
    </row>
    <row r="519" spans="1:4" s="45" customFormat="1" ht="13.5" x14ac:dyDescent="0.15">
      <c r="A519" s="45" t="s">
        <v>41</v>
      </c>
      <c r="D519" s="45" t="s">
        <v>4290</v>
      </c>
    </row>
    <row r="520" spans="1:4" s="45" customFormat="1" ht="13.5" x14ac:dyDescent="0.15">
      <c r="A520" s="45" t="s">
        <v>41</v>
      </c>
      <c r="D520" s="45" t="s">
        <v>4291</v>
      </c>
    </row>
    <row r="521" spans="1:4" s="45" customFormat="1" ht="13.5" x14ac:dyDescent="0.15">
      <c r="A521" s="45" t="s">
        <v>41</v>
      </c>
      <c r="D521" s="45" t="s">
        <v>4292</v>
      </c>
    </row>
    <row r="522" spans="1:4" s="45" customFormat="1" ht="13.5" x14ac:dyDescent="0.15">
      <c r="A522" s="45" t="s">
        <v>41</v>
      </c>
      <c r="D522" s="45" t="s">
        <v>4293</v>
      </c>
    </row>
    <row r="523" spans="1:4" s="45" customFormat="1" ht="13.5" x14ac:dyDescent="0.15">
      <c r="A523" s="45" t="s">
        <v>41</v>
      </c>
      <c r="D523" s="45" t="s">
        <v>4294</v>
      </c>
    </row>
    <row r="524" spans="1:4" s="45" customFormat="1" ht="13.5" x14ac:dyDescent="0.15">
      <c r="A524" s="45" t="s">
        <v>41</v>
      </c>
      <c r="D524" s="45" t="s">
        <v>4295</v>
      </c>
    </row>
    <row r="525" spans="1:4" s="45" customFormat="1" ht="13.5" x14ac:dyDescent="0.15">
      <c r="A525" s="45" t="s">
        <v>41</v>
      </c>
      <c r="D525" s="45" t="s">
        <v>4296</v>
      </c>
    </row>
    <row r="526" spans="1:4" s="45" customFormat="1" ht="13.5" x14ac:dyDescent="0.15">
      <c r="A526" s="45" t="s">
        <v>41</v>
      </c>
      <c r="D526" s="45" t="s">
        <v>4297</v>
      </c>
    </row>
    <row r="527" spans="1:4" s="45" customFormat="1" ht="13.5" x14ac:dyDescent="0.15">
      <c r="A527" s="45" t="s">
        <v>41</v>
      </c>
      <c r="D527" s="45" t="s">
        <v>4298</v>
      </c>
    </row>
    <row r="528" spans="1:4" s="45" customFormat="1" ht="13.5" x14ac:dyDescent="0.15">
      <c r="A528" s="45" t="s">
        <v>41</v>
      </c>
      <c r="D528" s="45" t="s">
        <v>4299</v>
      </c>
    </row>
    <row r="529" spans="1:4" s="45" customFormat="1" ht="13.5" x14ac:dyDescent="0.15">
      <c r="A529" s="45" t="s">
        <v>41</v>
      </c>
      <c r="D529" s="45" t="s">
        <v>4300</v>
      </c>
    </row>
    <row r="530" spans="1:4" s="45" customFormat="1" ht="13.5" x14ac:dyDescent="0.15">
      <c r="A530" s="45" t="s">
        <v>41</v>
      </c>
      <c r="D530" s="45" t="s">
        <v>4301</v>
      </c>
    </row>
    <row r="531" spans="1:4" s="45" customFormat="1" ht="13.5" x14ac:dyDescent="0.15">
      <c r="A531" s="45" t="s">
        <v>41</v>
      </c>
      <c r="D531" s="45" t="s">
        <v>4302</v>
      </c>
    </row>
    <row r="532" spans="1:4" s="45" customFormat="1" ht="13.5" x14ac:dyDescent="0.15">
      <c r="A532" s="45" t="s">
        <v>41</v>
      </c>
      <c r="D532" s="45" t="s">
        <v>4303</v>
      </c>
    </row>
    <row r="533" spans="1:4" s="45" customFormat="1" ht="13.5" x14ac:dyDescent="0.15">
      <c r="A533" s="45" t="s">
        <v>41</v>
      </c>
      <c r="D533" s="45" t="s">
        <v>54</v>
      </c>
    </row>
    <row r="534" spans="1:4" s="45" customFormat="1" ht="13.5" x14ac:dyDescent="0.15">
      <c r="A534" s="45" t="s">
        <v>41</v>
      </c>
      <c r="D534" s="45" t="s">
        <v>4304</v>
      </c>
    </row>
    <row r="535" spans="1:4" s="45" customFormat="1" ht="13.5" x14ac:dyDescent="0.15">
      <c r="A535" s="45" t="s">
        <v>41</v>
      </c>
      <c r="D535" s="45" t="s">
        <v>55</v>
      </c>
    </row>
    <row r="536" spans="1:4" s="45" customFormat="1" ht="13.5" x14ac:dyDescent="0.15">
      <c r="A536" s="45" t="s">
        <v>41</v>
      </c>
      <c r="D536" s="45" t="s">
        <v>56</v>
      </c>
    </row>
    <row r="537" spans="1:4" s="45" customFormat="1" ht="13.5" x14ac:dyDescent="0.15">
      <c r="A537" s="45" t="s">
        <v>41</v>
      </c>
      <c r="D537" s="45" t="s">
        <v>4305</v>
      </c>
    </row>
    <row r="538" spans="1:4" s="45" customFormat="1" ht="13.5" x14ac:dyDescent="0.15">
      <c r="A538" s="45" t="s">
        <v>41</v>
      </c>
      <c r="D538" s="45" t="s">
        <v>4306</v>
      </c>
    </row>
    <row r="539" spans="1:4" s="45" customFormat="1" ht="13.5" x14ac:dyDescent="0.15">
      <c r="A539" s="45" t="s">
        <v>41</v>
      </c>
      <c r="D539" s="45" t="s">
        <v>4307</v>
      </c>
    </row>
    <row r="540" spans="1:4" s="45" customFormat="1" ht="13.5" x14ac:dyDescent="0.15">
      <c r="A540" s="45" t="s">
        <v>41</v>
      </c>
      <c r="D540" s="45" t="s">
        <v>4308</v>
      </c>
    </row>
    <row r="541" spans="1:4" s="45" customFormat="1" ht="13.5" x14ac:dyDescent="0.15">
      <c r="A541" s="45" t="s">
        <v>41</v>
      </c>
      <c r="D541" s="45" t="s">
        <v>4309</v>
      </c>
    </row>
    <row r="542" spans="1:4" s="45" customFormat="1" ht="13.5" x14ac:dyDescent="0.15">
      <c r="A542" s="45" t="s">
        <v>41</v>
      </c>
      <c r="D542" s="45" t="s">
        <v>4310</v>
      </c>
    </row>
    <row r="543" spans="1:4" s="45" customFormat="1" ht="13.5" x14ac:dyDescent="0.15">
      <c r="A543" s="45" t="s">
        <v>41</v>
      </c>
      <c r="D543" s="45" t="s">
        <v>4311</v>
      </c>
    </row>
    <row r="544" spans="1:4" s="45" customFormat="1" ht="13.5" x14ac:dyDescent="0.15">
      <c r="A544" s="45" t="s">
        <v>41</v>
      </c>
      <c r="D544" s="45" t="s">
        <v>4312</v>
      </c>
    </row>
    <row r="545" spans="1:4" s="45" customFormat="1" ht="13.5" x14ac:dyDescent="0.15">
      <c r="A545" s="45" t="s">
        <v>41</v>
      </c>
      <c r="D545" s="45" t="s">
        <v>4313</v>
      </c>
    </row>
    <row r="546" spans="1:4" s="45" customFormat="1" ht="13.5" x14ac:dyDescent="0.15">
      <c r="A546" s="45" t="s">
        <v>41</v>
      </c>
      <c r="D546" s="45" t="s">
        <v>4314</v>
      </c>
    </row>
    <row r="547" spans="1:4" s="45" customFormat="1" ht="13.5" x14ac:dyDescent="0.15">
      <c r="A547" s="45" t="s">
        <v>41</v>
      </c>
      <c r="D547" s="45" t="s">
        <v>4315</v>
      </c>
    </row>
    <row r="548" spans="1:4" s="45" customFormat="1" ht="13.5" x14ac:dyDescent="0.15">
      <c r="A548" s="45" t="s">
        <v>41</v>
      </c>
      <c r="D548" s="45" t="s">
        <v>4316</v>
      </c>
    </row>
    <row r="549" spans="1:4" s="45" customFormat="1" ht="13.5" x14ac:dyDescent="0.15">
      <c r="A549" s="45" t="s">
        <v>41</v>
      </c>
      <c r="D549" s="45" t="s">
        <v>4317</v>
      </c>
    </row>
    <row r="550" spans="1:4" s="45" customFormat="1" ht="13.5" x14ac:dyDescent="0.15">
      <c r="A550" s="45" t="s">
        <v>41</v>
      </c>
      <c r="D550" s="45" t="s">
        <v>4318</v>
      </c>
    </row>
    <row r="551" spans="1:4" s="45" customFormat="1" ht="13.5" x14ac:dyDescent="0.15">
      <c r="A551" s="45" t="s">
        <v>41</v>
      </c>
      <c r="D551" s="45" t="s">
        <v>4319</v>
      </c>
    </row>
    <row r="552" spans="1:4" s="45" customFormat="1" ht="13.5" x14ac:dyDescent="0.15">
      <c r="A552" s="45" t="s">
        <v>41</v>
      </c>
      <c r="D552" s="45" t="s">
        <v>4320</v>
      </c>
    </row>
    <row r="553" spans="1:4" s="45" customFormat="1" ht="13.5" x14ac:dyDescent="0.15">
      <c r="A553" s="45" t="s">
        <v>41</v>
      </c>
      <c r="D553" s="45" t="s">
        <v>4321</v>
      </c>
    </row>
    <row r="554" spans="1:4" s="45" customFormat="1" ht="13.5" x14ac:dyDescent="0.15">
      <c r="A554" s="45" t="s">
        <v>41</v>
      </c>
      <c r="D554" s="45" t="s">
        <v>4322</v>
      </c>
    </row>
    <row r="555" spans="1:4" s="45" customFormat="1" ht="13.5" x14ac:dyDescent="0.15">
      <c r="A555" s="45" t="s">
        <v>41</v>
      </c>
      <c r="D555" s="45" t="s">
        <v>4323</v>
      </c>
    </row>
    <row r="556" spans="1:4" s="45" customFormat="1" ht="13.5" x14ac:dyDescent="0.15">
      <c r="A556" s="45" t="s">
        <v>41</v>
      </c>
      <c r="D556" s="45" t="s">
        <v>4324</v>
      </c>
    </row>
    <row r="557" spans="1:4" s="45" customFormat="1" ht="13.5" x14ac:dyDescent="0.15">
      <c r="A557" s="45" t="s">
        <v>41</v>
      </c>
      <c r="D557" s="45" t="s">
        <v>4325</v>
      </c>
    </row>
    <row r="558" spans="1:4" s="45" customFormat="1" ht="13.5" x14ac:dyDescent="0.15">
      <c r="A558" s="45" t="s">
        <v>41</v>
      </c>
      <c r="D558" s="45" t="s">
        <v>4326</v>
      </c>
    </row>
    <row r="559" spans="1:4" s="45" customFormat="1" ht="13.5" x14ac:dyDescent="0.15">
      <c r="A559" s="45" t="s">
        <v>41</v>
      </c>
      <c r="D559" s="45" t="s">
        <v>4327</v>
      </c>
    </row>
    <row r="560" spans="1:4" s="45" customFormat="1" ht="13.5" x14ac:dyDescent="0.15">
      <c r="A560" s="45" t="s">
        <v>41</v>
      </c>
      <c r="D560" s="45" t="s">
        <v>4328</v>
      </c>
    </row>
    <row r="561" spans="1:4" s="45" customFormat="1" ht="13.5" x14ac:dyDescent="0.15">
      <c r="A561" s="45" t="s">
        <v>41</v>
      </c>
      <c r="D561" s="45" t="s">
        <v>4329</v>
      </c>
    </row>
    <row r="562" spans="1:4" s="45" customFormat="1" ht="13.5" x14ac:dyDescent="0.15">
      <c r="A562" s="45" t="s">
        <v>41</v>
      </c>
      <c r="D562" s="45" t="s">
        <v>4330</v>
      </c>
    </row>
    <row r="563" spans="1:4" s="45" customFormat="1" ht="13.5" x14ac:dyDescent="0.15">
      <c r="A563" s="45" t="s">
        <v>41</v>
      </c>
      <c r="D563" s="45" t="s">
        <v>4331</v>
      </c>
    </row>
    <row r="564" spans="1:4" s="45" customFormat="1" ht="13.5" x14ac:dyDescent="0.15">
      <c r="A564" s="45" t="s">
        <v>41</v>
      </c>
      <c r="D564" s="45" t="s">
        <v>4332</v>
      </c>
    </row>
    <row r="565" spans="1:4" s="45" customFormat="1" ht="13.5" x14ac:dyDescent="0.15">
      <c r="A565" s="45" t="s">
        <v>41</v>
      </c>
      <c r="D565" s="45" t="s">
        <v>4333</v>
      </c>
    </row>
    <row r="566" spans="1:4" s="45" customFormat="1" ht="13.5" x14ac:dyDescent="0.15">
      <c r="A566" s="45" t="s">
        <v>41</v>
      </c>
      <c r="D566" s="45" t="s">
        <v>4334</v>
      </c>
    </row>
    <row r="567" spans="1:4" s="45" customFormat="1" ht="13.5" x14ac:dyDescent="0.15">
      <c r="A567" s="45" t="s">
        <v>41</v>
      </c>
      <c r="D567" s="45" t="s">
        <v>4335</v>
      </c>
    </row>
    <row r="568" spans="1:4" s="45" customFormat="1" ht="13.5" x14ac:dyDescent="0.15">
      <c r="A568" s="45" t="s">
        <v>41</v>
      </c>
      <c r="D568" s="45" t="s">
        <v>4336</v>
      </c>
    </row>
    <row r="569" spans="1:4" s="45" customFormat="1" ht="13.5" x14ac:dyDescent="0.15">
      <c r="A569" s="45" t="s">
        <v>41</v>
      </c>
      <c r="D569" s="45" t="s">
        <v>4337</v>
      </c>
    </row>
    <row r="570" spans="1:4" s="45" customFormat="1" ht="13.5" x14ac:dyDescent="0.15">
      <c r="A570" s="45" t="s">
        <v>41</v>
      </c>
      <c r="D570" s="45" t="s">
        <v>4338</v>
      </c>
    </row>
    <row r="571" spans="1:4" s="45" customFormat="1" ht="13.5" x14ac:dyDescent="0.15">
      <c r="A571" s="45" t="s">
        <v>41</v>
      </c>
      <c r="D571" s="45" t="s">
        <v>4339</v>
      </c>
    </row>
    <row r="572" spans="1:4" s="45" customFormat="1" ht="13.5" x14ac:dyDescent="0.15">
      <c r="A572" s="45" t="s">
        <v>41</v>
      </c>
      <c r="D572" s="45" t="s">
        <v>4340</v>
      </c>
    </row>
    <row r="573" spans="1:4" s="45" customFormat="1" ht="13.5" x14ac:dyDescent="0.15">
      <c r="A573" s="45" t="s">
        <v>41</v>
      </c>
      <c r="D573" s="45" t="s">
        <v>4341</v>
      </c>
    </row>
    <row r="574" spans="1:4" s="45" customFormat="1" ht="13.5" x14ac:dyDescent="0.15">
      <c r="A574" s="45" t="s">
        <v>41</v>
      </c>
      <c r="D574" s="45" t="s">
        <v>4342</v>
      </c>
    </row>
    <row r="575" spans="1:4" s="45" customFormat="1" ht="13.5" x14ac:dyDescent="0.15">
      <c r="A575" s="45" t="s">
        <v>41</v>
      </c>
      <c r="D575" s="45" t="s">
        <v>4343</v>
      </c>
    </row>
    <row r="576" spans="1:4" s="45" customFormat="1" ht="13.5" x14ac:dyDescent="0.15">
      <c r="A576" s="45" t="s">
        <v>41</v>
      </c>
      <c r="D576" s="45" t="s">
        <v>4344</v>
      </c>
    </row>
    <row r="577" spans="1:4" s="45" customFormat="1" ht="13.5" x14ac:dyDescent="0.15">
      <c r="A577" s="45" t="s">
        <v>41</v>
      </c>
      <c r="D577" s="45" t="s">
        <v>4345</v>
      </c>
    </row>
    <row r="578" spans="1:4" s="45" customFormat="1" ht="13.5" x14ac:dyDescent="0.15">
      <c r="A578" s="45" t="s">
        <v>41</v>
      </c>
      <c r="D578" s="45" t="s">
        <v>4346</v>
      </c>
    </row>
    <row r="579" spans="1:4" s="45" customFormat="1" ht="13.5" x14ac:dyDescent="0.15">
      <c r="A579" s="45" t="s">
        <v>41</v>
      </c>
      <c r="D579" s="45" t="s">
        <v>4347</v>
      </c>
    </row>
    <row r="580" spans="1:4" s="45" customFormat="1" ht="13.5" x14ac:dyDescent="0.15">
      <c r="A580" s="45" t="s">
        <v>41</v>
      </c>
      <c r="D580" s="45" t="s">
        <v>4348</v>
      </c>
    </row>
    <row r="581" spans="1:4" s="45" customFormat="1" ht="13.5" x14ac:dyDescent="0.15">
      <c r="A581" s="45" t="s">
        <v>41</v>
      </c>
      <c r="D581" s="45" t="s">
        <v>4349</v>
      </c>
    </row>
    <row r="582" spans="1:4" s="45" customFormat="1" ht="13.5" x14ac:dyDescent="0.15">
      <c r="A582" s="45" t="s">
        <v>41</v>
      </c>
      <c r="D582" s="45" t="s">
        <v>4350</v>
      </c>
    </row>
    <row r="583" spans="1:4" s="45" customFormat="1" ht="13.5" x14ac:dyDescent="0.15">
      <c r="A583" s="45" t="s">
        <v>41</v>
      </c>
      <c r="D583" s="45" t="s">
        <v>68</v>
      </c>
    </row>
    <row r="584" spans="1:4" s="45" customFormat="1" ht="13.5" x14ac:dyDescent="0.15">
      <c r="A584" s="45" t="s">
        <v>41</v>
      </c>
      <c r="D584" s="45" t="s">
        <v>4351</v>
      </c>
    </row>
    <row r="585" spans="1:4" s="45" customFormat="1" ht="13.5" x14ac:dyDescent="0.15">
      <c r="A585" s="45" t="s">
        <v>41</v>
      </c>
      <c r="D585" s="45" t="s">
        <v>4352</v>
      </c>
    </row>
    <row r="586" spans="1:4" s="45" customFormat="1" ht="13.5" x14ac:dyDescent="0.15">
      <c r="A586" s="45" t="s">
        <v>41</v>
      </c>
      <c r="D586" s="45" t="s">
        <v>4353</v>
      </c>
    </row>
    <row r="587" spans="1:4" s="45" customFormat="1" ht="13.5" x14ac:dyDescent="0.15">
      <c r="A587" s="45" t="s">
        <v>41</v>
      </c>
      <c r="D587" s="45" t="s">
        <v>4354</v>
      </c>
    </row>
    <row r="588" spans="1:4" s="45" customFormat="1" ht="13.5" x14ac:dyDescent="0.15">
      <c r="A588" s="45" t="s">
        <v>41</v>
      </c>
      <c r="D588" s="45" t="s">
        <v>4355</v>
      </c>
    </row>
    <row r="589" spans="1:4" s="45" customFormat="1" ht="13.5" x14ac:dyDescent="0.15">
      <c r="A589" s="45" t="s">
        <v>41</v>
      </c>
      <c r="D589" s="45" t="s">
        <v>4356</v>
      </c>
    </row>
    <row r="590" spans="1:4" s="45" customFormat="1" ht="13.5" x14ac:dyDescent="0.15">
      <c r="A590" s="45" t="s">
        <v>41</v>
      </c>
      <c r="D590" s="45" t="s">
        <v>69</v>
      </c>
    </row>
    <row r="591" spans="1:4" s="45" customFormat="1" ht="13.5" x14ac:dyDescent="0.15">
      <c r="A591" s="45" t="s">
        <v>41</v>
      </c>
      <c r="D591" s="45" t="s">
        <v>9752</v>
      </c>
    </row>
    <row r="592" spans="1:4" s="45" customFormat="1" ht="13.5" x14ac:dyDescent="0.15">
      <c r="A592" s="45" t="s">
        <v>41</v>
      </c>
      <c r="D592" s="45" t="s">
        <v>4357</v>
      </c>
    </row>
    <row r="593" spans="1:4" s="45" customFormat="1" ht="13.5" x14ac:dyDescent="0.15">
      <c r="A593" s="45" t="s">
        <v>41</v>
      </c>
      <c r="D593" s="45" t="s">
        <v>4358</v>
      </c>
    </row>
    <row r="594" spans="1:4" s="45" customFormat="1" ht="13.5" x14ac:dyDescent="0.15">
      <c r="A594" s="45" t="s">
        <v>41</v>
      </c>
      <c r="D594" s="45" t="s">
        <v>4359</v>
      </c>
    </row>
    <row r="595" spans="1:4" s="45" customFormat="1" ht="13.5" x14ac:dyDescent="0.15">
      <c r="A595" s="45" t="s">
        <v>41</v>
      </c>
      <c r="D595" s="45" t="s">
        <v>4360</v>
      </c>
    </row>
    <row r="596" spans="1:4" s="45" customFormat="1" ht="13.5" x14ac:dyDescent="0.15">
      <c r="A596" s="45" t="s">
        <v>41</v>
      </c>
      <c r="D596" s="45" t="s">
        <v>4361</v>
      </c>
    </row>
    <row r="597" spans="1:4" s="45" customFormat="1" ht="13.5" x14ac:dyDescent="0.15">
      <c r="A597" s="45" t="s">
        <v>41</v>
      </c>
      <c r="D597" s="45" t="s">
        <v>4362</v>
      </c>
    </row>
    <row r="598" spans="1:4" s="45" customFormat="1" ht="13.5" x14ac:dyDescent="0.15">
      <c r="A598" s="45" t="s">
        <v>41</v>
      </c>
      <c r="D598" s="45" t="s">
        <v>70</v>
      </c>
    </row>
    <row r="599" spans="1:4" s="45" customFormat="1" ht="13.5" x14ac:dyDescent="0.15">
      <c r="A599" s="45" t="s">
        <v>41</v>
      </c>
      <c r="D599" s="45" t="s">
        <v>4363</v>
      </c>
    </row>
    <row r="600" spans="1:4" s="45" customFormat="1" ht="13.5" x14ac:dyDescent="0.15">
      <c r="A600" s="45" t="s">
        <v>41</v>
      </c>
      <c r="D600" s="45" t="s">
        <v>4364</v>
      </c>
    </row>
    <row r="601" spans="1:4" s="45" customFormat="1" ht="13.5" x14ac:dyDescent="0.15">
      <c r="A601" s="45" t="s">
        <v>41</v>
      </c>
      <c r="D601" s="45" t="s">
        <v>4365</v>
      </c>
    </row>
    <row r="602" spans="1:4" s="45" customFormat="1" ht="13.5" x14ac:dyDescent="0.15">
      <c r="A602" s="45" t="s">
        <v>41</v>
      </c>
      <c r="D602" s="45" t="s">
        <v>4366</v>
      </c>
    </row>
    <row r="603" spans="1:4" s="45" customFormat="1" ht="13.5" x14ac:dyDescent="0.15">
      <c r="A603" s="45" t="s">
        <v>41</v>
      </c>
      <c r="D603" s="45" t="s">
        <v>4367</v>
      </c>
    </row>
    <row r="604" spans="1:4" s="45" customFormat="1" ht="13.5" x14ac:dyDescent="0.15">
      <c r="A604" s="45" t="s">
        <v>41</v>
      </c>
      <c r="D604" s="45" t="s">
        <v>4368</v>
      </c>
    </row>
    <row r="605" spans="1:4" s="45" customFormat="1" ht="13.5" x14ac:dyDescent="0.15">
      <c r="A605" s="45" t="s">
        <v>41</v>
      </c>
      <c r="D605" s="45" t="s">
        <v>57</v>
      </c>
    </row>
    <row r="606" spans="1:4" s="45" customFormat="1" ht="13.5" x14ac:dyDescent="0.15">
      <c r="A606" s="45" t="s">
        <v>41</v>
      </c>
      <c r="D606" s="45" t="s">
        <v>4369</v>
      </c>
    </row>
    <row r="607" spans="1:4" s="45" customFormat="1" ht="13.5" x14ac:dyDescent="0.15">
      <c r="A607" s="45" t="s">
        <v>41</v>
      </c>
      <c r="D607" s="45" t="s">
        <v>4370</v>
      </c>
    </row>
    <row r="608" spans="1:4" s="45" customFormat="1" ht="13.5" x14ac:dyDescent="0.15">
      <c r="A608" s="45" t="s">
        <v>41</v>
      </c>
      <c r="D608" s="45" t="s">
        <v>4371</v>
      </c>
    </row>
    <row r="609" spans="1:4" s="45" customFormat="1" ht="13.5" x14ac:dyDescent="0.15">
      <c r="A609" s="45" t="s">
        <v>41</v>
      </c>
      <c r="D609" s="45" t="s">
        <v>4372</v>
      </c>
    </row>
    <row r="610" spans="1:4" s="45" customFormat="1" ht="13.5" x14ac:dyDescent="0.15">
      <c r="A610" s="45" t="s">
        <v>41</v>
      </c>
      <c r="D610" s="45" t="s">
        <v>4373</v>
      </c>
    </row>
    <row r="611" spans="1:4" s="45" customFormat="1" ht="13.5" x14ac:dyDescent="0.15">
      <c r="A611" s="45" t="s">
        <v>41</v>
      </c>
      <c r="D611" s="45" t="s">
        <v>4374</v>
      </c>
    </row>
    <row r="612" spans="1:4" s="45" customFormat="1" ht="13.5" x14ac:dyDescent="0.15">
      <c r="A612" s="45" t="s">
        <v>41</v>
      </c>
      <c r="D612" s="45" t="s">
        <v>4375</v>
      </c>
    </row>
    <row r="613" spans="1:4" s="45" customFormat="1" ht="13.5" x14ac:dyDescent="0.15">
      <c r="A613" s="45" t="s">
        <v>41</v>
      </c>
      <c r="D613" s="45" t="s">
        <v>4376</v>
      </c>
    </row>
    <row r="614" spans="1:4" s="45" customFormat="1" ht="13.5" x14ac:dyDescent="0.15">
      <c r="A614" s="45" t="s">
        <v>41</v>
      </c>
      <c r="D614" s="45" t="s">
        <v>4377</v>
      </c>
    </row>
    <row r="615" spans="1:4" s="45" customFormat="1" ht="13.5" x14ac:dyDescent="0.15">
      <c r="A615" s="45" t="s">
        <v>41</v>
      </c>
      <c r="D615" s="45" t="s">
        <v>4378</v>
      </c>
    </row>
    <row r="616" spans="1:4" s="45" customFormat="1" ht="13.5" x14ac:dyDescent="0.15">
      <c r="A616" s="45" t="s">
        <v>41</v>
      </c>
      <c r="D616" s="45" t="s">
        <v>4379</v>
      </c>
    </row>
    <row r="617" spans="1:4" s="45" customFormat="1" ht="13.5" x14ac:dyDescent="0.15">
      <c r="A617" s="45" t="s">
        <v>41</v>
      </c>
      <c r="D617" s="45" t="s">
        <v>4380</v>
      </c>
    </row>
    <row r="618" spans="1:4" s="45" customFormat="1" ht="13.5" x14ac:dyDescent="0.15">
      <c r="A618" s="45" t="s">
        <v>41</v>
      </c>
      <c r="D618" s="45" t="s">
        <v>4381</v>
      </c>
    </row>
    <row r="619" spans="1:4" s="45" customFormat="1" ht="13.5" x14ac:dyDescent="0.15">
      <c r="A619" s="45" t="s">
        <v>41</v>
      </c>
      <c r="D619" s="45" t="s">
        <v>4382</v>
      </c>
    </row>
    <row r="620" spans="1:4" s="45" customFormat="1" ht="13.5" x14ac:dyDescent="0.15">
      <c r="A620" s="45" t="s">
        <v>41</v>
      </c>
      <c r="D620" s="45" t="s">
        <v>4383</v>
      </c>
    </row>
    <row r="621" spans="1:4" s="45" customFormat="1" ht="13.5" x14ac:dyDescent="0.15">
      <c r="A621" s="45" t="s">
        <v>41</v>
      </c>
      <c r="D621" s="45" t="s">
        <v>4384</v>
      </c>
    </row>
    <row r="622" spans="1:4" s="45" customFormat="1" ht="13.5" x14ac:dyDescent="0.15">
      <c r="A622" s="45" t="s">
        <v>41</v>
      </c>
      <c r="D622" s="45" t="s">
        <v>4385</v>
      </c>
    </row>
    <row r="623" spans="1:4" s="45" customFormat="1" ht="13.5" x14ac:dyDescent="0.15">
      <c r="A623" s="45" t="s">
        <v>41</v>
      </c>
      <c r="D623" s="45" t="s">
        <v>4386</v>
      </c>
    </row>
    <row r="624" spans="1:4" s="45" customFormat="1" ht="13.5" x14ac:dyDescent="0.15">
      <c r="A624" s="45" t="s">
        <v>41</v>
      </c>
      <c r="D624" s="45" t="s">
        <v>4387</v>
      </c>
    </row>
    <row r="625" spans="1:4" s="45" customFormat="1" ht="13.5" x14ac:dyDescent="0.15">
      <c r="A625" s="45" t="s">
        <v>41</v>
      </c>
      <c r="D625" s="45" t="s">
        <v>4388</v>
      </c>
    </row>
    <row r="626" spans="1:4" s="45" customFormat="1" ht="13.5" x14ac:dyDescent="0.15">
      <c r="A626" s="45" t="s">
        <v>41</v>
      </c>
      <c r="D626" s="45" t="s">
        <v>4389</v>
      </c>
    </row>
    <row r="627" spans="1:4" s="45" customFormat="1" ht="13.5" x14ac:dyDescent="0.15">
      <c r="A627" s="45" t="s">
        <v>41</v>
      </c>
      <c r="D627" s="45" t="s">
        <v>58</v>
      </c>
    </row>
    <row r="628" spans="1:4" s="45" customFormat="1" ht="13.5" x14ac:dyDescent="0.15">
      <c r="A628" s="45" t="s">
        <v>41</v>
      </c>
      <c r="D628" s="45" t="s">
        <v>4390</v>
      </c>
    </row>
    <row r="629" spans="1:4" s="45" customFormat="1" ht="13.5" x14ac:dyDescent="0.15">
      <c r="A629" s="45" t="s">
        <v>41</v>
      </c>
      <c r="D629" s="45" t="s">
        <v>4391</v>
      </c>
    </row>
    <row r="630" spans="1:4" s="45" customFormat="1" ht="13.5" x14ac:dyDescent="0.15">
      <c r="A630" s="45" t="s">
        <v>41</v>
      </c>
      <c r="D630" s="45" t="s">
        <v>4392</v>
      </c>
    </row>
    <row r="631" spans="1:4" s="45" customFormat="1" ht="13.5" x14ac:dyDescent="0.15">
      <c r="A631" s="45" t="s">
        <v>41</v>
      </c>
      <c r="D631" s="45" t="s">
        <v>4393</v>
      </c>
    </row>
    <row r="632" spans="1:4" s="45" customFormat="1" ht="13.5" x14ac:dyDescent="0.15">
      <c r="A632" s="45" t="s">
        <v>41</v>
      </c>
      <c r="D632" s="45" t="s">
        <v>4394</v>
      </c>
    </row>
    <row r="633" spans="1:4" s="45" customFormat="1" ht="13.5" x14ac:dyDescent="0.15">
      <c r="A633" s="45" t="s">
        <v>41</v>
      </c>
      <c r="D633" s="45" t="s">
        <v>4395</v>
      </c>
    </row>
    <row r="634" spans="1:4" s="45" customFormat="1" ht="13.5" x14ac:dyDescent="0.15">
      <c r="A634" s="45" t="s">
        <v>41</v>
      </c>
      <c r="D634" s="45" t="s">
        <v>4396</v>
      </c>
    </row>
    <row r="635" spans="1:4" s="45" customFormat="1" ht="13.5" x14ac:dyDescent="0.15">
      <c r="A635" s="45" t="s">
        <v>41</v>
      </c>
      <c r="D635" s="45" t="s">
        <v>4397</v>
      </c>
    </row>
    <row r="636" spans="1:4" s="45" customFormat="1" ht="13.5" x14ac:dyDescent="0.15">
      <c r="A636" s="45" t="s">
        <v>41</v>
      </c>
      <c r="D636" s="45" t="s">
        <v>4398</v>
      </c>
    </row>
    <row r="637" spans="1:4" s="45" customFormat="1" ht="13.5" x14ac:dyDescent="0.15">
      <c r="A637" s="45" t="s">
        <v>41</v>
      </c>
      <c r="D637" s="45" t="s">
        <v>4399</v>
      </c>
    </row>
    <row r="638" spans="1:4" s="45" customFormat="1" ht="13.5" x14ac:dyDescent="0.15">
      <c r="A638" s="45" t="s">
        <v>41</v>
      </c>
      <c r="D638" s="45" t="s">
        <v>4400</v>
      </c>
    </row>
    <row r="639" spans="1:4" s="45" customFormat="1" ht="13.5" x14ac:dyDescent="0.15">
      <c r="A639" s="45" t="s">
        <v>41</v>
      </c>
      <c r="D639" s="45" t="s">
        <v>4401</v>
      </c>
    </row>
    <row r="640" spans="1:4" s="45" customFormat="1" ht="13.5" x14ac:dyDescent="0.15">
      <c r="A640" s="45" t="s">
        <v>41</v>
      </c>
      <c r="D640" s="45" t="s">
        <v>71</v>
      </c>
    </row>
    <row r="641" spans="1:4" s="45" customFormat="1" ht="13.5" x14ac:dyDescent="0.15">
      <c r="A641" s="45" t="s">
        <v>41</v>
      </c>
      <c r="D641" s="45" t="s">
        <v>4402</v>
      </c>
    </row>
    <row r="642" spans="1:4" s="45" customFormat="1" ht="13.5" x14ac:dyDescent="0.15">
      <c r="A642" s="45" t="s">
        <v>41</v>
      </c>
      <c r="D642" s="45" t="s">
        <v>4403</v>
      </c>
    </row>
    <row r="643" spans="1:4" s="45" customFormat="1" ht="13.5" x14ac:dyDescent="0.15">
      <c r="A643" s="45" t="s">
        <v>41</v>
      </c>
      <c r="D643" s="45" t="s">
        <v>4404</v>
      </c>
    </row>
    <row r="644" spans="1:4" s="45" customFormat="1" ht="13.5" x14ac:dyDescent="0.15">
      <c r="A644" s="45" t="s">
        <v>41</v>
      </c>
      <c r="D644" s="45" t="s">
        <v>4405</v>
      </c>
    </row>
    <row r="645" spans="1:4" s="45" customFormat="1" ht="13.5" x14ac:dyDescent="0.15">
      <c r="A645" s="45" t="s">
        <v>41</v>
      </c>
      <c r="D645" s="45" t="s">
        <v>4406</v>
      </c>
    </row>
    <row r="646" spans="1:4" s="45" customFormat="1" ht="13.5" x14ac:dyDescent="0.15">
      <c r="A646" s="45" t="s">
        <v>41</v>
      </c>
      <c r="D646" s="45" t="s">
        <v>4407</v>
      </c>
    </row>
    <row r="647" spans="1:4" s="45" customFormat="1" ht="13.5" x14ac:dyDescent="0.15">
      <c r="A647" s="45" t="s">
        <v>41</v>
      </c>
      <c r="D647" s="45" t="s">
        <v>4408</v>
      </c>
    </row>
    <row r="648" spans="1:4" s="45" customFormat="1" ht="13.5" x14ac:dyDescent="0.15">
      <c r="A648" s="45" t="s">
        <v>41</v>
      </c>
      <c r="D648" s="45" t="s">
        <v>4409</v>
      </c>
    </row>
    <row r="649" spans="1:4" s="45" customFormat="1" ht="13.5" x14ac:dyDescent="0.15">
      <c r="A649" s="45" t="s">
        <v>41</v>
      </c>
      <c r="D649" s="45" t="s">
        <v>4410</v>
      </c>
    </row>
    <row r="650" spans="1:4" s="45" customFormat="1" ht="13.5" x14ac:dyDescent="0.15">
      <c r="A650" s="45" t="s">
        <v>41</v>
      </c>
      <c r="D650" s="45" t="s">
        <v>4411</v>
      </c>
    </row>
    <row r="651" spans="1:4" s="45" customFormat="1" ht="13.5" x14ac:dyDescent="0.15">
      <c r="A651" s="45" t="s">
        <v>41</v>
      </c>
      <c r="D651" s="45" t="s">
        <v>4412</v>
      </c>
    </row>
    <row r="652" spans="1:4" s="45" customFormat="1" ht="13.5" x14ac:dyDescent="0.15">
      <c r="A652" s="45" t="s">
        <v>41</v>
      </c>
      <c r="D652" s="45" t="s">
        <v>59</v>
      </c>
    </row>
    <row r="653" spans="1:4" s="45" customFormat="1" ht="13.5" x14ac:dyDescent="0.15">
      <c r="A653" s="45" t="s">
        <v>41</v>
      </c>
      <c r="D653" s="45" t="s">
        <v>4413</v>
      </c>
    </row>
    <row r="654" spans="1:4" s="45" customFormat="1" ht="13.5" x14ac:dyDescent="0.15">
      <c r="A654" s="45" t="s">
        <v>41</v>
      </c>
      <c r="D654" s="45" t="s">
        <v>4414</v>
      </c>
    </row>
    <row r="655" spans="1:4" s="45" customFormat="1" ht="13.5" x14ac:dyDescent="0.15">
      <c r="A655" s="45" t="s">
        <v>41</v>
      </c>
      <c r="D655" s="45" t="s">
        <v>4415</v>
      </c>
    </row>
    <row r="656" spans="1:4" s="45" customFormat="1" ht="13.5" x14ac:dyDescent="0.15">
      <c r="A656" s="45" t="s">
        <v>41</v>
      </c>
      <c r="D656" s="45" t="s">
        <v>4416</v>
      </c>
    </row>
    <row r="657" spans="1:4" s="45" customFormat="1" ht="13.5" x14ac:dyDescent="0.15">
      <c r="A657" s="45" t="s">
        <v>41</v>
      </c>
      <c r="D657" s="45" t="s">
        <v>4417</v>
      </c>
    </row>
    <row r="658" spans="1:4" s="45" customFormat="1" ht="13.5" x14ac:dyDescent="0.15">
      <c r="A658" s="45" t="s">
        <v>41</v>
      </c>
      <c r="D658" s="45" t="s">
        <v>4418</v>
      </c>
    </row>
    <row r="659" spans="1:4" s="45" customFormat="1" ht="13.5" x14ac:dyDescent="0.15">
      <c r="A659" s="45" t="s">
        <v>41</v>
      </c>
      <c r="D659" s="45" t="s">
        <v>4419</v>
      </c>
    </row>
    <row r="660" spans="1:4" s="45" customFormat="1" ht="13.5" x14ac:dyDescent="0.15">
      <c r="A660" s="45" t="s">
        <v>41</v>
      </c>
      <c r="D660" s="45" t="s">
        <v>4420</v>
      </c>
    </row>
    <row r="661" spans="1:4" s="45" customFormat="1" ht="13.5" x14ac:dyDescent="0.15">
      <c r="A661" s="45" t="s">
        <v>41</v>
      </c>
      <c r="D661" s="45" t="s">
        <v>4421</v>
      </c>
    </row>
    <row r="662" spans="1:4" s="45" customFormat="1" ht="13.5" x14ac:dyDescent="0.15">
      <c r="A662" s="45" t="s">
        <v>41</v>
      </c>
      <c r="D662" s="45" t="s">
        <v>4422</v>
      </c>
    </row>
    <row r="663" spans="1:4" s="45" customFormat="1" ht="13.5" x14ac:dyDescent="0.15">
      <c r="A663" s="45" t="s">
        <v>41</v>
      </c>
      <c r="D663" s="45" t="s">
        <v>4423</v>
      </c>
    </row>
    <row r="664" spans="1:4" s="45" customFormat="1" ht="13.5" x14ac:dyDescent="0.15">
      <c r="A664" s="45" t="s">
        <v>41</v>
      </c>
      <c r="D664" s="45" t="s">
        <v>4424</v>
      </c>
    </row>
    <row r="665" spans="1:4" s="45" customFormat="1" ht="13.5" x14ac:dyDescent="0.15">
      <c r="A665" s="45" t="s">
        <v>41</v>
      </c>
      <c r="D665" s="45" t="s">
        <v>4425</v>
      </c>
    </row>
    <row r="666" spans="1:4" s="45" customFormat="1" ht="13.5" x14ac:dyDescent="0.15">
      <c r="A666" s="45" t="s">
        <v>41</v>
      </c>
      <c r="D666" s="45" t="s">
        <v>4426</v>
      </c>
    </row>
    <row r="667" spans="1:4" s="45" customFormat="1" ht="13.5" x14ac:dyDescent="0.15">
      <c r="A667" s="45" t="s">
        <v>41</v>
      </c>
      <c r="D667" s="45" t="s">
        <v>60</v>
      </c>
    </row>
    <row r="668" spans="1:4" s="45" customFormat="1" ht="13.5" x14ac:dyDescent="0.15">
      <c r="A668" s="45" t="s">
        <v>41</v>
      </c>
      <c r="D668" s="45" t="s">
        <v>2640</v>
      </c>
    </row>
    <row r="669" spans="1:4" s="45" customFormat="1" ht="13.5" x14ac:dyDescent="0.15">
      <c r="A669" s="45" t="s">
        <v>41</v>
      </c>
      <c r="D669" s="45" t="s">
        <v>72</v>
      </c>
    </row>
    <row r="670" spans="1:4" s="45" customFormat="1" ht="13.5" x14ac:dyDescent="0.15">
      <c r="A670" s="45" t="s">
        <v>41</v>
      </c>
      <c r="D670" s="45" t="s">
        <v>4427</v>
      </c>
    </row>
    <row r="671" spans="1:4" s="45" customFormat="1" ht="13.5" x14ac:dyDescent="0.15">
      <c r="A671" s="45" t="s">
        <v>41</v>
      </c>
      <c r="D671" s="45" t="s">
        <v>4428</v>
      </c>
    </row>
    <row r="672" spans="1:4" s="45" customFormat="1" ht="13.5" x14ac:dyDescent="0.15">
      <c r="A672" s="45" t="s">
        <v>41</v>
      </c>
      <c r="D672" s="45" t="s">
        <v>4429</v>
      </c>
    </row>
    <row r="673" spans="1:4" s="45" customFormat="1" ht="13.5" x14ac:dyDescent="0.15">
      <c r="A673" s="45" t="s">
        <v>41</v>
      </c>
      <c r="D673" s="45" t="s">
        <v>4430</v>
      </c>
    </row>
    <row r="674" spans="1:4" s="45" customFormat="1" ht="13.5" x14ac:dyDescent="0.15">
      <c r="A674" s="45" t="s">
        <v>41</v>
      </c>
      <c r="D674" s="45" t="s">
        <v>4431</v>
      </c>
    </row>
    <row r="675" spans="1:4" s="45" customFormat="1" ht="13.5" x14ac:dyDescent="0.15">
      <c r="A675" s="45" t="s">
        <v>41</v>
      </c>
      <c r="D675" s="45" t="s">
        <v>4432</v>
      </c>
    </row>
    <row r="676" spans="1:4" s="45" customFormat="1" ht="13.5" x14ac:dyDescent="0.15">
      <c r="A676" s="45" t="s">
        <v>41</v>
      </c>
      <c r="D676" s="45" t="s">
        <v>4433</v>
      </c>
    </row>
    <row r="677" spans="1:4" s="45" customFormat="1" ht="13.5" x14ac:dyDescent="0.15">
      <c r="A677" s="45" t="s">
        <v>41</v>
      </c>
      <c r="D677" s="45" t="s">
        <v>4434</v>
      </c>
    </row>
    <row r="678" spans="1:4" s="45" customFormat="1" ht="13.5" x14ac:dyDescent="0.15">
      <c r="A678" s="45" t="s">
        <v>41</v>
      </c>
      <c r="D678" s="45" t="s">
        <v>4435</v>
      </c>
    </row>
    <row r="679" spans="1:4" s="45" customFormat="1" ht="13.5" x14ac:dyDescent="0.15">
      <c r="A679" s="45" t="s">
        <v>41</v>
      </c>
      <c r="D679" s="45" t="s">
        <v>4436</v>
      </c>
    </row>
    <row r="680" spans="1:4" s="45" customFormat="1" ht="13.5" x14ac:dyDescent="0.15">
      <c r="A680" s="45" t="s">
        <v>41</v>
      </c>
      <c r="D680" s="45" t="s">
        <v>4437</v>
      </c>
    </row>
    <row r="681" spans="1:4" s="45" customFormat="1" ht="13.5" x14ac:dyDescent="0.15">
      <c r="A681" s="45" t="s">
        <v>41</v>
      </c>
      <c r="D681" s="45" t="s">
        <v>4438</v>
      </c>
    </row>
    <row r="682" spans="1:4" s="45" customFormat="1" ht="13.5" x14ac:dyDescent="0.15">
      <c r="A682" s="45" t="s">
        <v>41</v>
      </c>
      <c r="D682" s="45" t="s">
        <v>4439</v>
      </c>
    </row>
    <row r="683" spans="1:4" s="45" customFormat="1" ht="13.5" x14ac:dyDescent="0.15">
      <c r="A683" s="45" t="s">
        <v>41</v>
      </c>
      <c r="D683" s="45" t="s">
        <v>4440</v>
      </c>
    </row>
    <row r="684" spans="1:4" s="45" customFormat="1" ht="13.5" x14ac:dyDescent="0.15">
      <c r="A684" s="45" t="s">
        <v>41</v>
      </c>
      <c r="D684" s="45" t="s">
        <v>4441</v>
      </c>
    </row>
    <row r="685" spans="1:4" s="45" customFormat="1" ht="13.5" x14ac:dyDescent="0.15">
      <c r="A685" s="45" t="s">
        <v>41</v>
      </c>
      <c r="D685" s="45" t="s">
        <v>4442</v>
      </c>
    </row>
    <row r="686" spans="1:4" s="45" customFormat="1" ht="13.5" x14ac:dyDescent="0.15">
      <c r="A686" s="45" t="s">
        <v>41</v>
      </c>
      <c r="D686" s="45" t="s">
        <v>4443</v>
      </c>
    </row>
    <row r="687" spans="1:4" s="45" customFormat="1" ht="13.5" x14ac:dyDescent="0.15">
      <c r="A687" s="45" t="s">
        <v>41</v>
      </c>
      <c r="D687" s="45" t="s">
        <v>4444</v>
      </c>
    </row>
    <row r="688" spans="1:4" s="45" customFormat="1" ht="13.5" x14ac:dyDescent="0.15">
      <c r="A688" s="45" t="s">
        <v>41</v>
      </c>
      <c r="D688" s="45" t="s">
        <v>4445</v>
      </c>
    </row>
    <row r="689" spans="1:4" s="45" customFormat="1" ht="13.5" x14ac:dyDescent="0.15">
      <c r="A689" s="45" t="s">
        <v>41</v>
      </c>
      <c r="D689" s="45" t="s">
        <v>62</v>
      </c>
    </row>
    <row r="690" spans="1:4" s="45" customFormat="1" ht="13.5" x14ac:dyDescent="0.15">
      <c r="A690" s="45" t="s">
        <v>41</v>
      </c>
      <c r="D690" s="45" t="s">
        <v>61</v>
      </c>
    </row>
    <row r="691" spans="1:4" s="45" customFormat="1" ht="13.5" x14ac:dyDescent="0.15">
      <c r="A691" s="45" t="s">
        <v>41</v>
      </c>
      <c r="D691" s="45" t="s">
        <v>73</v>
      </c>
    </row>
    <row r="692" spans="1:4" s="45" customFormat="1" ht="13.5" x14ac:dyDescent="0.15">
      <c r="A692" s="45" t="s">
        <v>41</v>
      </c>
      <c r="D692" s="45" t="s">
        <v>4446</v>
      </c>
    </row>
    <row r="693" spans="1:4" s="45" customFormat="1" ht="13.5" x14ac:dyDescent="0.15">
      <c r="A693" s="45" t="s">
        <v>41</v>
      </c>
      <c r="D693" s="45" t="s">
        <v>4447</v>
      </c>
    </row>
    <row r="694" spans="1:4" s="45" customFormat="1" ht="13.5" x14ac:dyDescent="0.15">
      <c r="A694" s="45" t="s">
        <v>41</v>
      </c>
      <c r="D694" s="45" t="s">
        <v>4448</v>
      </c>
    </row>
    <row r="695" spans="1:4" s="45" customFormat="1" ht="13.5" x14ac:dyDescent="0.15">
      <c r="A695" s="45" t="s">
        <v>41</v>
      </c>
      <c r="D695" s="45" t="s">
        <v>4449</v>
      </c>
    </row>
    <row r="696" spans="1:4" s="45" customFormat="1" ht="13.5" x14ac:dyDescent="0.15">
      <c r="A696" s="45" t="s">
        <v>41</v>
      </c>
      <c r="D696" s="45" t="s">
        <v>4450</v>
      </c>
    </row>
    <row r="697" spans="1:4" s="45" customFormat="1" ht="13.5" x14ac:dyDescent="0.15">
      <c r="A697" s="45" t="s">
        <v>41</v>
      </c>
      <c r="D697" s="45" t="s">
        <v>4451</v>
      </c>
    </row>
    <row r="698" spans="1:4" s="45" customFormat="1" ht="13.5" x14ac:dyDescent="0.15">
      <c r="A698" s="45" t="s">
        <v>41</v>
      </c>
      <c r="D698" s="45" t="s">
        <v>4452</v>
      </c>
    </row>
    <row r="699" spans="1:4" s="45" customFormat="1" ht="13.5" x14ac:dyDescent="0.15">
      <c r="A699" s="45" t="s">
        <v>41</v>
      </c>
      <c r="D699" s="45" t="s">
        <v>4453</v>
      </c>
    </row>
    <row r="700" spans="1:4" s="45" customFormat="1" ht="13.5" x14ac:dyDescent="0.15">
      <c r="A700" s="45" t="s">
        <v>41</v>
      </c>
      <c r="D700" s="45" t="s">
        <v>4454</v>
      </c>
    </row>
    <row r="701" spans="1:4" s="45" customFormat="1" ht="13.5" x14ac:dyDescent="0.15">
      <c r="A701" s="45" t="s">
        <v>41</v>
      </c>
      <c r="D701" s="45" t="s">
        <v>4455</v>
      </c>
    </row>
    <row r="702" spans="1:4" s="45" customFormat="1" ht="13.5" x14ac:dyDescent="0.15">
      <c r="A702" s="45" t="s">
        <v>41</v>
      </c>
      <c r="D702" s="45" t="s">
        <v>4456</v>
      </c>
    </row>
    <row r="703" spans="1:4" s="45" customFormat="1" ht="13.5" x14ac:dyDescent="0.15">
      <c r="A703" s="45" t="s">
        <v>41</v>
      </c>
      <c r="D703" s="45" t="s">
        <v>4457</v>
      </c>
    </row>
    <row r="704" spans="1:4" s="45" customFormat="1" ht="13.5" x14ac:dyDescent="0.15">
      <c r="A704" s="45" t="s">
        <v>41</v>
      </c>
      <c r="D704" s="45" t="s">
        <v>4458</v>
      </c>
    </row>
    <row r="705" spans="1:4" s="45" customFormat="1" ht="13.5" x14ac:dyDescent="0.15">
      <c r="A705" s="45" t="s">
        <v>41</v>
      </c>
      <c r="D705" s="45" t="s">
        <v>4459</v>
      </c>
    </row>
    <row r="706" spans="1:4" s="45" customFormat="1" ht="13.5" x14ac:dyDescent="0.15">
      <c r="A706" s="45" t="s">
        <v>41</v>
      </c>
      <c r="D706" s="45" t="s">
        <v>4460</v>
      </c>
    </row>
    <row r="707" spans="1:4" s="45" customFormat="1" ht="13.5" x14ac:dyDescent="0.15">
      <c r="A707" s="45" t="s">
        <v>41</v>
      </c>
      <c r="D707" s="45" t="s">
        <v>4461</v>
      </c>
    </row>
    <row r="708" spans="1:4" s="45" customFormat="1" ht="13.5" x14ac:dyDescent="0.15">
      <c r="A708" s="45" t="s">
        <v>41</v>
      </c>
      <c r="D708" s="45" t="s">
        <v>4462</v>
      </c>
    </row>
    <row r="709" spans="1:4" s="45" customFormat="1" ht="13.5" x14ac:dyDescent="0.15">
      <c r="A709" s="45" t="s">
        <v>41</v>
      </c>
      <c r="D709" s="45" t="s">
        <v>4463</v>
      </c>
    </row>
    <row r="710" spans="1:4" s="45" customFormat="1" ht="13.5" x14ac:dyDescent="0.15">
      <c r="A710" s="45" t="s">
        <v>41</v>
      </c>
      <c r="D710" s="45" t="s">
        <v>4464</v>
      </c>
    </row>
    <row r="711" spans="1:4" s="45" customFormat="1" ht="13.5" x14ac:dyDescent="0.15">
      <c r="A711" s="45" t="s">
        <v>41</v>
      </c>
      <c r="D711" s="45" t="s">
        <v>4465</v>
      </c>
    </row>
    <row r="712" spans="1:4" s="45" customFormat="1" ht="13.5" x14ac:dyDescent="0.15">
      <c r="A712" s="45" t="s">
        <v>41</v>
      </c>
      <c r="D712" s="45" t="s">
        <v>4466</v>
      </c>
    </row>
    <row r="713" spans="1:4" s="45" customFormat="1" ht="13.5" x14ac:dyDescent="0.15">
      <c r="A713" s="45" t="s">
        <v>41</v>
      </c>
      <c r="D713" s="45" t="s">
        <v>4467</v>
      </c>
    </row>
    <row r="714" spans="1:4" s="45" customFormat="1" ht="13.5" x14ac:dyDescent="0.15">
      <c r="A714" s="45" t="s">
        <v>41</v>
      </c>
      <c r="D714" s="45" t="s">
        <v>4468</v>
      </c>
    </row>
    <row r="715" spans="1:4" s="45" customFormat="1" ht="13.5" x14ac:dyDescent="0.15">
      <c r="A715" s="45" t="s">
        <v>41</v>
      </c>
      <c r="D715" s="45" t="s">
        <v>4469</v>
      </c>
    </row>
    <row r="716" spans="1:4" s="45" customFormat="1" ht="13.5" x14ac:dyDescent="0.15">
      <c r="A716" s="45" t="s">
        <v>41</v>
      </c>
      <c r="D716" s="45" t="s">
        <v>4470</v>
      </c>
    </row>
    <row r="717" spans="1:4" s="45" customFormat="1" ht="13.5" x14ac:dyDescent="0.15">
      <c r="A717" s="45" t="s">
        <v>41</v>
      </c>
      <c r="D717" s="45" t="s">
        <v>4471</v>
      </c>
    </row>
    <row r="718" spans="1:4" s="45" customFormat="1" ht="13.5" x14ac:dyDescent="0.15">
      <c r="A718" s="45" t="s">
        <v>41</v>
      </c>
      <c r="D718" s="45" t="s">
        <v>4472</v>
      </c>
    </row>
    <row r="719" spans="1:4" s="45" customFormat="1" ht="13.5" x14ac:dyDescent="0.15">
      <c r="A719" s="45" t="s">
        <v>41</v>
      </c>
      <c r="D719" s="45" t="s">
        <v>4473</v>
      </c>
    </row>
    <row r="720" spans="1:4" s="45" customFormat="1" ht="13.5" x14ac:dyDescent="0.15">
      <c r="A720" s="45" t="s">
        <v>41</v>
      </c>
      <c r="D720" s="45" t="s">
        <v>4474</v>
      </c>
    </row>
    <row r="721" spans="1:4" s="45" customFormat="1" ht="13.5" x14ac:dyDescent="0.15">
      <c r="A721" s="45" t="s">
        <v>41</v>
      </c>
      <c r="D721" s="45" t="s">
        <v>4475</v>
      </c>
    </row>
    <row r="722" spans="1:4" s="45" customFormat="1" ht="13.5" x14ac:dyDescent="0.15">
      <c r="A722" s="45" t="s">
        <v>41</v>
      </c>
      <c r="D722" s="45" t="s">
        <v>4476</v>
      </c>
    </row>
    <row r="723" spans="1:4" s="45" customFormat="1" ht="13.5" x14ac:dyDescent="0.15">
      <c r="A723" s="45" t="s">
        <v>41</v>
      </c>
      <c r="D723" s="45" t="s">
        <v>4477</v>
      </c>
    </row>
    <row r="724" spans="1:4" s="45" customFormat="1" ht="13.5" x14ac:dyDescent="0.15">
      <c r="A724" s="45" t="s">
        <v>41</v>
      </c>
      <c r="D724" s="45" t="s">
        <v>4478</v>
      </c>
    </row>
    <row r="725" spans="1:4" s="45" customFormat="1" ht="13.5" x14ac:dyDescent="0.15">
      <c r="A725" s="45" t="s">
        <v>41</v>
      </c>
      <c r="D725" s="45" t="s">
        <v>4479</v>
      </c>
    </row>
    <row r="726" spans="1:4" s="45" customFormat="1" ht="13.5" x14ac:dyDescent="0.15">
      <c r="A726" s="45" t="s">
        <v>41</v>
      </c>
      <c r="D726" s="45" t="s">
        <v>4480</v>
      </c>
    </row>
    <row r="727" spans="1:4" s="45" customFormat="1" ht="13.5" x14ac:dyDescent="0.15">
      <c r="A727" s="45" t="s">
        <v>41</v>
      </c>
      <c r="D727" s="45" t="s">
        <v>4481</v>
      </c>
    </row>
    <row r="728" spans="1:4" s="45" customFormat="1" ht="13.5" x14ac:dyDescent="0.15">
      <c r="A728" s="45" t="s">
        <v>41</v>
      </c>
      <c r="D728" s="45" t="s">
        <v>4482</v>
      </c>
    </row>
    <row r="729" spans="1:4" s="45" customFormat="1" ht="13.5" x14ac:dyDescent="0.15">
      <c r="A729" s="45" t="s">
        <v>41</v>
      </c>
      <c r="D729" s="45" t="s">
        <v>4483</v>
      </c>
    </row>
    <row r="730" spans="1:4" s="45" customFormat="1" ht="13.5" x14ac:dyDescent="0.15">
      <c r="A730" s="45" t="s">
        <v>41</v>
      </c>
      <c r="D730" s="45" t="s">
        <v>4484</v>
      </c>
    </row>
    <row r="731" spans="1:4" s="45" customFormat="1" ht="13.5" x14ac:dyDescent="0.15">
      <c r="A731" s="45" t="s">
        <v>41</v>
      </c>
      <c r="D731" s="45" t="s">
        <v>4485</v>
      </c>
    </row>
    <row r="732" spans="1:4" s="45" customFormat="1" ht="13.5" x14ac:dyDescent="0.15">
      <c r="A732" s="45" t="s">
        <v>41</v>
      </c>
      <c r="D732" s="45" t="s">
        <v>4486</v>
      </c>
    </row>
    <row r="733" spans="1:4" s="45" customFormat="1" ht="13.5" x14ac:dyDescent="0.15">
      <c r="A733" s="45" t="s">
        <v>41</v>
      </c>
      <c r="D733" s="45" t="s">
        <v>4487</v>
      </c>
    </row>
    <row r="734" spans="1:4" s="45" customFormat="1" ht="13.5" x14ac:dyDescent="0.15">
      <c r="A734" s="45" t="s">
        <v>41</v>
      </c>
      <c r="D734" s="45" t="s">
        <v>4488</v>
      </c>
    </row>
    <row r="735" spans="1:4" s="45" customFormat="1" ht="13.5" x14ac:dyDescent="0.15">
      <c r="A735" s="45" t="s">
        <v>41</v>
      </c>
      <c r="D735" s="45" t="s">
        <v>4489</v>
      </c>
    </row>
    <row r="736" spans="1:4" s="45" customFormat="1" ht="13.5" x14ac:dyDescent="0.15">
      <c r="A736" s="45" t="s">
        <v>41</v>
      </c>
      <c r="D736" s="45" t="s">
        <v>4490</v>
      </c>
    </row>
    <row r="737" spans="1:4" s="45" customFormat="1" ht="13.5" x14ac:dyDescent="0.15">
      <c r="A737" s="45" t="s">
        <v>41</v>
      </c>
      <c r="D737" s="45" t="s">
        <v>4491</v>
      </c>
    </row>
    <row r="738" spans="1:4" s="45" customFormat="1" ht="13.5" x14ac:dyDescent="0.15">
      <c r="A738" s="45" t="s">
        <v>41</v>
      </c>
      <c r="D738" s="45" t="s">
        <v>4492</v>
      </c>
    </row>
    <row r="739" spans="1:4" s="45" customFormat="1" ht="13.5" x14ac:dyDescent="0.15">
      <c r="A739" s="45" t="s">
        <v>41</v>
      </c>
      <c r="D739" s="45" t="s">
        <v>4493</v>
      </c>
    </row>
    <row r="740" spans="1:4" s="45" customFormat="1" ht="13.5" x14ac:dyDescent="0.15">
      <c r="A740" s="45" t="s">
        <v>41</v>
      </c>
      <c r="D740" s="45" t="s">
        <v>4494</v>
      </c>
    </row>
    <row r="741" spans="1:4" s="45" customFormat="1" ht="13.5" x14ac:dyDescent="0.15">
      <c r="A741" s="45" t="s">
        <v>41</v>
      </c>
      <c r="D741" s="45" t="s">
        <v>4495</v>
      </c>
    </row>
    <row r="742" spans="1:4" s="45" customFormat="1" ht="13.5" x14ac:dyDescent="0.15">
      <c r="A742" s="45" t="s">
        <v>41</v>
      </c>
      <c r="D742" s="45" t="s">
        <v>4496</v>
      </c>
    </row>
    <row r="743" spans="1:4" s="45" customFormat="1" ht="13.5" x14ac:dyDescent="0.15">
      <c r="A743" s="45" t="s">
        <v>41</v>
      </c>
      <c r="D743" s="45" t="s">
        <v>4497</v>
      </c>
    </row>
    <row r="744" spans="1:4" s="45" customFormat="1" ht="13.5" x14ac:dyDescent="0.15">
      <c r="A744" s="45" t="s">
        <v>41</v>
      </c>
      <c r="D744" s="45" t="s">
        <v>4498</v>
      </c>
    </row>
    <row r="745" spans="1:4" s="45" customFormat="1" ht="13.5" x14ac:dyDescent="0.15">
      <c r="A745" s="45" t="s">
        <v>41</v>
      </c>
      <c r="D745" s="45" t="s">
        <v>4499</v>
      </c>
    </row>
    <row r="746" spans="1:4" s="45" customFormat="1" ht="13.5" x14ac:dyDescent="0.15">
      <c r="A746" s="45" t="s">
        <v>41</v>
      </c>
      <c r="D746" s="45" t="s">
        <v>4500</v>
      </c>
    </row>
    <row r="747" spans="1:4" s="45" customFormat="1" ht="13.5" x14ac:dyDescent="0.15">
      <c r="A747" s="45" t="s">
        <v>41</v>
      </c>
      <c r="D747" s="45" t="s">
        <v>4501</v>
      </c>
    </row>
    <row r="748" spans="1:4" s="45" customFormat="1" ht="13.5" x14ac:dyDescent="0.15">
      <c r="A748" s="45" t="s">
        <v>41</v>
      </c>
      <c r="D748" s="45" t="s">
        <v>4502</v>
      </c>
    </row>
    <row r="749" spans="1:4" s="45" customFormat="1" ht="13.5" x14ac:dyDescent="0.15">
      <c r="A749" s="45" t="s">
        <v>41</v>
      </c>
      <c r="D749" s="45" t="s">
        <v>4503</v>
      </c>
    </row>
    <row r="750" spans="1:4" s="45" customFormat="1" ht="13.5" x14ac:dyDescent="0.15">
      <c r="A750" s="45" t="s">
        <v>41</v>
      </c>
      <c r="D750" s="45" t="s">
        <v>4504</v>
      </c>
    </row>
    <row r="751" spans="1:4" s="45" customFormat="1" ht="13.5" x14ac:dyDescent="0.15">
      <c r="A751" s="45" t="s">
        <v>41</v>
      </c>
      <c r="D751" s="45" t="s">
        <v>4505</v>
      </c>
    </row>
    <row r="752" spans="1:4" s="45" customFormat="1" ht="13.5" x14ac:dyDescent="0.15">
      <c r="A752" s="45" t="s">
        <v>41</v>
      </c>
      <c r="D752" s="45" t="s">
        <v>4506</v>
      </c>
    </row>
    <row r="753" spans="1:4" s="45" customFormat="1" ht="13.5" x14ac:dyDescent="0.15">
      <c r="A753" s="45" t="s">
        <v>41</v>
      </c>
      <c r="D753" s="45" t="s">
        <v>4507</v>
      </c>
    </row>
    <row r="754" spans="1:4" s="45" customFormat="1" ht="13.5" x14ac:dyDescent="0.15">
      <c r="A754" s="45" t="s">
        <v>41</v>
      </c>
      <c r="D754" s="45" t="s">
        <v>4508</v>
      </c>
    </row>
    <row r="755" spans="1:4" s="45" customFormat="1" ht="13.5" x14ac:dyDescent="0.15">
      <c r="A755" s="45" t="s">
        <v>41</v>
      </c>
      <c r="D755" s="45" t="s">
        <v>4509</v>
      </c>
    </row>
    <row r="756" spans="1:4" s="45" customFormat="1" ht="13.5" x14ac:dyDescent="0.15">
      <c r="A756" s="45" t="s">
        <v>41</v>
      </c>
      <c r="D756" s="45" t="s">
        <v>4510</v>
      </c>
    </row>
    <row r="757" spans="1:4" s="45" customFormat="1" ht="13.5" x14ac:dyDescent="0.15">
      <c r="A757" s="45" t="s">
        <v>41</v>
      </c>
      <c r="D757" s="45" t="s">
        <v>4511</v>
      </c>
    </row>
    <row r="758" spans="1:4" s="45" customFormat="1" ht="13.5" x14ac:dyDescent="0.15">
      <c r="A758" s="45" t="s">
        <v>41</v>
      </c>
      <c r="D758" s="45" t="s">
        <v>4512</v>
      </c>
    </row>
    <row r="759" spans="1:4" s="45" customFormat="1" ht="13.5" x14ac:dyDescent="0.15">
      <c r="A759" s="45" t="s">
        <v>41</v>
      </c>
      <c r="D759" s="45" t="s">
        <v>4513</v>
      </c>
    </row>
    <row r="760" spans="1:4" s="45" customFormat="1" ht="13.5" x14ac:dyDescent="0.15">
      <c r="A760" s="45" t="s">
        <v>41</v>
      </c>
      <c r="D760" s="45" t="s">
        <v>4514</v>
      </c>
    </row>
    <row r="761" spans="1:4" s="45" customFormat="1" ht="13.5" x14ac:dyDescent="0.15">
      <c r="A761" s="45" t="s">
        <v>41</v>
      </c>
      <c r="D761" s="45" t="s">
        <v>4515</v>
      </c>
    </row>
    <row r="762" spans="1:4" s="45" customFormat="1" ht="13.5" x14ac:dyDescent="0.15">
      <c r="A762" s="45" t="s">
        <v>41</v>
      </c>
      <c r="D762" s="45" t="s">
        <v>4516</v>
      </c>
    </row>
    <row r="763" spans="1:4" s="45" customFormat="1" ht="13.5" x14ac:dyDescent="0.15">
      <c r="A763" s="45" t="s">
        <v>41</v>
      </c>
      <c r="D763" s="45" t="s">
        <v>4517</v>
      </c>
    </row>
    <row r="764" spans="1:4" s="45" customFormat="1" ht="13.5" x14ac:dyDescent="0.15">
      <c r="A764" s="45" t="s">
        <v>41</v>
      </c>
      <c r="D764" s="45" t="s">
        <v>4518</v>
      </c>
    </row>
    <row r="765" spans="1:4" s="45" customFormat="1" ht="13.5" x14ac:dyDescent="0.15">
      <c r="A765" s="45" t="s">
        <v>41</v>
      </c>
      <c r="D765" s="45" t="s">
        <v>4519</v>
      </c>
    </row>
    <row r="766" spans="1:4" s="45" customFormat="1" ht="13.5" x14ac:dyDescent="0.15">
      <c r="A766" s="45" t="s">
        <v>41</v>
      </c>
      <c r="D766" s="45" t="s">
        <v>4520</v>
      </c>
    </row>
    <row r="767" spans="1:4" s="45" customFormat="1" ht="13.5" x14ac:dyDescent="0.15">
      <c r="A767" s="45" t="s">
        <v>41</v>
      </c>
      <c r="D767" s="45" t="s">
        <v>4521</v>
      </c>
    </row>
    <row r="768" spans="1:4" s="45" customFormat="1" ht="13.5" x14ac:dyDescent="0.15">
      <c r="A768" s="45" t="s">
        <v>41</v>
      </c>
      <c r="D768" s="45" t="s">
        <v>4522</v>
      </c>
    </row>
    <row r="769" spans="1:4" s="45" customFormat="1" ht="13.5" x14ac:dyDescent="0.15">
      <c r="A769" s="45" t="s">
        <v>41</v>
      </c>
      <c r="D769" s="45" t="s">
        <v>4523</v>
      </c>
    </row>
    <row r="770" spans="1:4" s="45" customFormat="1" ht="13.5" x14ac:dyDescent="0.15">
      <c r="A770" s="45" t="s">
        <v>41</v>
      </c>
      <c r="D770" s="45" t="s">
        <v>4524</v>
      </c>
    </row>
    <row r="771" spans="1:4" s="45" customFormat="1" ht="13.5" x14ac:dyDescent="0.15">
      <c r="A771" s="45" t="s">
        <v>41</v>
      </c>
      <c r="D771" s="45" t="s">
        <v>4525</v>
      </c>
    </row>
    <row r="772" spans="1:4" s="45" customFormat="1" ht="13.5" x14ac:dyDescent="0.15">
      <c r="A772" s="45" t="s">
        <v>41</v>
      </c>
      <c r="D772" s="45" t="s">
        <v>4526</v>
      </c>
    </row>
    <row r="773" spans="1:4" s="45" customFormat="1" ht="13.5" x14ac:dyDescent="0.15">
      <c r="A773" s="45" t="s">
        <v>41</v>
      </c>
      <c r="D773" s="45" t="s">
        <v>4527</v>
      </c>
    </row>
    <row r="774" spans="1:4" s="45" customFormat="1" ht="13.5" x14ac:dyDescent="0.15">
      <c r="A774" s="45" t="s">
        <v>41</v>
      </c>
      <c r="D774" s="45" t="s">
        <v>4528</v>
      </c>
    </row>
    <row r="775" spans="1:4" s="45" customFormat="1" ht="13.5" x14ac:dyDescent="0.15">
      <c r="A775" s="45" t="s">
        <v>41</v>
      </c>
      <c r="D775" s="45" t="s">
        <v>4529</v>
      </c>
    </row>
    <row r="776" spans="1:4" s="45" customFormat="1" ht="13.5" x14ac:dyDescent="0.15">
      <c r="A776" s="45" t="s">
        <v>41</v>
      </c>
      <c r="D776" s="45" t="s">
        <v>4530</v>
      </c>
    </row>
    <row r="777" spans="1:4" s="45" customFormat="1" ht="13.5" x14ac:dyDescent="0.15">
      <c r="A777" s="45" t="s">
        <v>41</v>
      </c>
      <c r="D777" s="45" t="s">
        <v>4531</v>
      </c>
    </row>
    <row r="778" spans="1:4" s="45" customFormat="1" ht="13.5" x14ac:dyDescent="0.15">
      <c r="A778" s="45" t="s">
        <v>41</v>
      </c>
      <c r="D778" s="45" t="s">
        <v>4532</v>
      </c>
    </row>
    <row r="779" spans="1:4" s="45" customFormat="1" ht="13.5" x14ac:dyDescent="0.15">
      <c r="A779" s="45" t="s">
        <v>41</v>
      </c>
      <c r="D779" s="45" t="s">
        <v>4533</v>
      </c>
    </row>
    <row r="780" spans="1:4" s="45" customFormat="1" ht="13.5" x14ac:dyDescent="0.15">
      <c r="A780" s="45" t="s">
        <v>41</v>
      </c>
      <c r="D780" s="45" t="s">
        <v>4534</v>
      </c>
    </row>
    <row r="781" spans="1:4" s="45" customFormat="1" ht="13.5" x14ac:dyDescent="0.15">
      <c r="A781" s="45" t="s">
        <v>41</v>
      </c>
      <c r="D781" s="45" t="s">
        <v>4535</v>
      </c>
    </row>
    <row r="782" spans="1:4" s="45" customFormat="1" ht="13.5" x14ac:dyDescent="0.15">
      <c r="A782" s="45" t="s">
        <v>41</v>
      </c>
      <c r="D782" s="45" t="s">
        <v>4536</v>
      </c>
    </row>
    <row r="783" spans="1:4" s="45" customFormat="1" ht="13.5" x14ac:dyDescent="0.15">
      <c r="A783" s="45" t="s">
        <v>41</v>
      </c>
      <c r="D783" s="45" t="s">
        <v>4537</v>
      </c>
    </row>
    <row r="784" spans="1:4" s="45" customFormat="1" ht="13.5" x14ac:dyDescent="0.15">
      <c r="A784" s="45" t="s">
        <v>41</v>
      </c>
      <c r="D784" s="45" t="s">
        <v>4538</v>
      </c>
    </row>
    <row r="785" spans="1:4" s="45" customFormat="1" ht="13.5" x14ac:dyDescent="0.15">
      <c r="A785" s="45" t="s">
        <v>41</v>
      </c>
      <c r="D785" s="45" t="s">
        <v>4539</v>
      </c>
    </row>
    <row r="786" spans="1:4" s="45" customFormat="1" ht="13.5" x14ac:dyDescent="0.15">
      <c r="A786" s="45" t="s">
        <v>41</v>
      </c>
      <c r="D786" s="45" t="s">
        <v>4540</v>
      </c>
    </row>
    <row r="787" spans="1:4" s="45" customFormat="1" ht="13.5" x14ac:dyDescent="0.15">
      <c r="A787" s="45" t="s">
        <v>41</v>
      </c>
      <c r="D787" s="45" t="s">
        <v>4541</v>
      </c>
    </row>
    <row r="788" spans="1:4" s="45" customFormat="1" ht="13.5" x14ac:dyDescent="0.15">
      <c r="A788" s="45" t="s">
        <v>41</v>
      </c>
      <c r="D788" s="45" t="s">
        <v>4542</v>
      </c>
    </row>
    <row r="789" spans="1:4" s="45" customFormat="1" ht="13.5" x14ac:dyDescent="0.15">
      <c r="A789" s="45" t="s">
        <v>41</v>
      </c>
      <c r="D789" s="45" t="s">
        <v>4543</v>
      </c>
    </row>
    <row r="790" spans="1:4" s="45" customFormat="1" ht="13.5" x14ac:dyDescent="0.15">
      <c r="A790" s="45" t="s">
        <v>41</v>
      </c>
      <c r="D790" s="45" t="s">
        <v>4544</v>
      </c>
    </row>
    <row r="791" spans="1:4" s="45" customFormat="1" ht="13.5" x14ac:dyDescent="0.15">
      <c r="A791" s="45" t="s">
        <v>41</v>
      </c>
      <c r="D791" s="45" t="s">
        <v>4545</v>
      </c>
    </row>
    <row r="792" spans="1:4" s="45" customFormat="1" ht="13.5" x14ac:dyDescent="0.15">
      <c r="A792" s="45" t="s">
        <v>41</v>
      </c>
      <c r="D792" s="45" t="s">
        <v>4546</v>
      </c>
    </row>
    <row r="793" spans="1:4" s="45" customFormat="1" ht="13.5" x14ac:dyDescent="0.15">
      <c r="A793" s="45" t="s">
        <v>41</v>
      </c>
      <c r="D793" s="45" t="s">
        <v>4547</v>
      </c>
    </row>
    <row r="794" spans="1:4" s="45" customFormat="1" ht="13.5" x14ac:dyDescent="0.15">
      <c r="A794" s="45" t="s">
        <v>41</v>
      </c>
      <c r="D794" s="45" t="s">
        <v>4548</v>
      </c>
    </row>
    <row r="795" spans="1:4" s="45" customFormat="1" ht="13.5" x14ac:dyDescent="0.15">
      <c r="A795" s="45" t="s">
        <v>41</v>
      </c>
      <c r="D795" s="45" t="s">
        <v>4549</v>
      </c>
    </row>
    <row r="796" spans="1:4" s="45" customFormat="1" ht="13.5" x14ac:dyDescent="0.15">
      <c r="A796" s="45" t="s">
        <v>41</v>
      </c>
      <c r="D796" s="45" t="s">
        <v>4550</v>
      </c>
    </row>
    <row r="797" spans="1:4" s="45" customFormat="1" ht="13.5" x14ac:dyDescent="0.15">
      <c r="A797" s="45" t="s">
        <v>41</v>
      </c>
      <c r="D797" s="45" t="s">
        <v>4551</v>
      </c>
    </row>
    <row r="798" spans="1:4" s="45" customFormat="1" ht="13.5" x14ac:dyDescent="0.15">
      <c r="A798" s="45" t="s">
        <v>41</v>
      </c>
      <c r="D798" s="45" t="s">
        <v>4552</v>
      </c>
    </row>
    <row r="799" spans="1:4" s="45" customFormat="1" ht="13.5" x14ac:dyDescent="0.15">
      <c r="A799" s="45" t="s">
        <v>41</v>
      </c>
      <c r="D799" s="45" t="s">
        <v>4553</v>
      </c>
    </row>
    <row r="800" spans="1:4" s="45" customFormat="1" ht="13.5" x14ac:dyDescent="0.15">
      <c r="A800" s="45" t="s">
        <v>41</v>
      </c>
      <c r="D800" s="45" t="s">
        <v>4554</v>
      </c>
    </row>
    <row r="801" spans="1:4" s="45" customFormat="1" ht="13.5" x14ac:dyDescent="0.15">
      <c r="A801" s="45" t="s">
        <v>41</v>
      </c>
      <c r="D801" s="45" t="s">
        <v>4555</v>
      </c>
    </row>
    <row r="802" spans="1:4" s="45" customFormat="1" ht="13.5" x14ac:dyDescent="0.15">
      <c r="A802" s="45" t="s">
        <v>41</v>
      </c>
      <c r="D802" s="45" t="s">
        <v>4556</v>
      </c>
    </row>
    <row r="803" spans="1:4" s="45" customFormat="1" ht="13.5" x14ac:dyDescent="0.15">
      <c r="A803" s="45" t="s">
        <v>41</v>
      </c>
      <c r="D803" s="45" t="s">
        <v>4557</v>
      </c>
    </row>
    <row r="804" spans="1:4" s="45" customFormat="1" ht="13.5" x14ac:dyDescent="0.15">
      <c r="A804" s="45" t="s">
        <v>41</v>
      </c>
      <c r="D804" s="45" t="s">
        <v>4558</v>
      </c>
    </row>
    <row r="805" spans="1:4" s="45" customFormat="1" ht="13.5" x14ac:dyDescent="0.15">
      <c r="A805" s="45" t="s">
        <v>41</v>
      </c>
      <c r="D805" s="45" t="s">
        <v>4559</v>
      </c>
    </row>
    <row r="806" spans="1:4" s="45" customFormat="1" ht="13.5" x14ac:dyDescent="0.15">
      <c r="A806" s="45" t="s">
        <v>41</v>
      </c>
      <c r="D806" s="45" t="s">
        <v>4560</v>
      </c>
    </row>
    <row r="807" spans="1:4" s="45" customFormat="1" ht="13.5" x14ac:dyDescent="0.15">
      <c r="A807" s="45" t="s">
        <v>41</v>
      </c>
      <c r="D807" s="45" t="s">
        <v>4561</v>
      </c>
    </row>
    <row r="808" spans="1:4" s="45" customFormat="1" ht="13.5" x14ac:dyDescent="0.15">
      <c r="A808" s="45" t="s">
        <v>41</v>
      </c>
      <c r="D808" s="45" t="s">
        <v>4562</v>
      </c>
    </row>
    <row r="809" spans="1:4" s="45" customFormat="1" ht="13.5" x14ac:dyDescent="0.15">
      <c r="A809" s="45" t="s">
        <v>41</v>
      </c>
      <c r="D809" s="45" t="s">
        <v>4563</v>
      </c>
    </row>
    <row r="810" spans="1:4" s="45" customFormat="1" ht="13.5" x14ac:dyDescent="0.15">
      <c r="A810" s="45" t="s">
        <v>41</v>
      </c>
      <c r="D810" s="45" t="s">
        <v>4564</v>
      </c>
    </row>
    <row r="811" spans="1:4" s="45" customFormat="1" ht="13.5" x14ac:dyDescent="0.15">
      <c r="A811" s="45" t="s">
        <v>41</v>
      </c>
      <c r="D811" s="45" t="s">
        <v>4565</v>
      </c>
    </row>
    <row r="812" spans="1:4" s="45" customFormat="1" ht="13.5" x14ac:dyDescent="0.15">
      <c r="A812" s="45" t="s">
        <v>41</v>
      </c>
      <c r="D812" s="45" t="s">
        <v>4566</v>
      </c>
    </row>
    <row r="813" spans="1:4" s="45" customFormat="1" ht="13.5" x14ac:dyDescent="0.15">
      <c r="A813" s="45" t="s">
        <v>41</v>
      </c>
      <c r="D813" s="45" t="s">
        <v>4567</v>
      </c>
    </row>
    <row r="814" spans="1:4" s="45" customFormat="1" ht="13.5" x14ac:dyDescent="0.15">
      <c r="A814" s="45" t="s">
        <v>41</v>
      </c>
      <c r="D814" s="45" t="s">
        <v>4568</v>
      </c>
    </row>
    <row r="815" spans="1:4" s="45" customFormat="1" ht="13.5" x14ac:dyDescent="0.15">
      <c r="A815" s="45" t="s">
        <v>41</v>
      </c>
      <c r="D815" s="45" t="s">
        <v>4569</v>
      </c>
    </row>
    <row r="816" spans="1:4" s="45" customFormat="1" ht="13.5" x14ac:dyDescent="0.15">
      <c r="A816" s="45" t="s">
        <v>41</v>
      </c>
      <c r="D816" s="45" t="s">
        <v>4570</v>
      </c>
    </row>
    <row r="817" spans="1:4" s="45" customFormat="1" ht="13.5" x14ac:dyDescent="0.15">
      <c r="A817" s="45" t="s">
        <v>41</v>
      </c>
      <c r="D817" s="45" t="s">
        <v>4571</v>
      </c>
    </row>
    <row r="818" spans="1:4" s="45" customFormat="1" ht="13.5" x14ac:dyDescent="0.15">
      <c r="A818" s="45" t="s">
        <v>41</v>
      </c>
      <c r="D818" s="45" t="s">
        <v>4572</v>
      </c>
    </row>
    <row r="819" spans="1:4" s="45" customFormat="1" ht="13.5" x14ac:dyDescent="0.15">
      <c r="A819" s="45" t="s">
        <v>41</v>
      </c>
      <c r="D819" s="45" t="s">
        <v>4573</v>
      </c>
    </row>
    <row r="820" spans="1:4" s="45" customFormat="1" ht="13.5" x14ac:dyDescent="0.15">
      <c r="A820" s="45" t="s">
        <v>41</v>
      </c>
      <c r="D820" s="45" t="s">
        <v>4574</v>
      </c>
    </row>
    <row r="821" spans="1:4" s="45" customFormat="1" ht="13.5" x14ac:dyDescent="0.15">
      <c r="A821" s="45" t="s">
        <v>41</v>
      </c>
      <c r="D821" s="45" t="s">
        <v>4575</v>
      </c>
    </row>
    <row r="822" spans="1:4" s="45" customFormat="1" ht="13.5" x14ac:dyDescent="0.15">
      <c r="A822" s="45" t="s">
        <v>41</v>
      </c>
      <c r="D822" s="45" t="s">
        <v>4576</v>
      </c>
    </row>
    <row r="823" spans="1:4" s="45" customFormat="1" ht="13.5" x14ac:dyDescent="0.15">
      <c r="A823" s="45" t="s">
        <v>41</v>
      </c>
      <c r="D823" s="45" t="s">
        <v>4577</v>
      </c>
    </row>
    <row r="824" spans="1:4" s="45" customFormat="1" ht="13.5" x14ac:dyDescent="0.15">
      <c r="A824" s="45" t="s">
        <v>41</v>
      </c>
      <c r="D824" s="45" t="s">
        <v>4578</v>
      </c>
    </row>
    <row r="825" spans="1:4" s="45" customFormat="1" ht="13.5" x14ac:dyDescent="0.15">
      <c r="A825" s="45" t="s">
        <v>41</v>
      </c>
      <c r="D825" s="45" t="s">
        <v>4579</v>
      </c>
    </row>
    <row r="826" spans="1:4" s="45" customFormat="1" ht="13.5" x14ac:dyDescent="0.15">
      <c r="A826" s="45" t="s">
        <v>41</v>
      </c>
      <c r="D826" s="45" t="s">
        <v>4580</v>
      </c>
    </row>
    <row r="827" spans="1:4" s="45" customFormat="1" ht="13.5" x14ac:dyDescent="0.15">
      <c r="A827" s="45" t="s">
        <v>41</v>
      </c>
      <c r="D827" s="45" t="s">
        <v>4581</v>
      </c>
    </row>
    <row r="828" spans="1:4" s="45" customFormat="1" ht="13.5" x14ac:dyDescent="0.15">
      <c r="A828" s="45" t="s">
        <v>41</v>
      </c>
      <c r="D828" s="45" t="s">
        <v>4582</v>
      </c>
    </row>
    <row r="829" spans="1:4" s="45" customFormat="1" ht="13.5" x14ac:dyDescent="0.15">
      <c r="A829" s="45" t="s">
        <v>41</v>
      </c>
      <c r="D829" s="45" t="s">
        <v>4583</v>
      </c>
    </row>
    <row r="830" spans="1:4" s="45" customFormat="1" ht="13.5" x14ac:dyDescent="0.15">
      <c r="A830" s="45" t="s">
        <v>41</v>
      </c>
      <c r="D830" s="45" t="s">
        <v>4584</v>
      </c>
    </row>
    <row r="831" spans="1:4" s="45" customFormat="1" ht="13.5" x14ac:dyDescent="0.15">
      <c r="A831" s="45" t="s">
        <v>41</v>
      </c>
      <c r="D831" s="45" t="s">
        <v>4585</v>
      </c>
    </row>
    <row r="832" spans="1:4" s="45" customFormat="1" ht="13.5" x14ac:dyDescent="0.15">
      <c r="A832" s="45" t="s">
        <v>41</v>
      </c>
      <c r="D832" s="45" t="s">
        <v>4586</v>
      </c>
    </row>
    <row r="833" spans="1:4" s="45" customFormat="1" ht="13.5" x14ac:dyDescent="0.15">
      <c r="A833" s="45" t="s">
        <v>41</v>
      </c>
      <c r="D833" s="45" t="s">
        <v>4587</v>
      </c>
    </row>
    <row r="834" spans="1:4" s="45" customFormat="1" ht="13.5" x14ac:dyDescent="0.15">
      <c r="A834" s="45" t="s">
        <v>41</v>
      </c>
      <c r="D834" s="45" t="s">
        <v>4588</v>
      </c>
    </row>
    <row r="835" spans="1:4" s="45" customFormat="1" ht="13.5" x14ac:dyDescent="0.15">
      <c r="A835" s="45" t="s">
        <v>41</v>
      </c>
      <c r="D835" s="45" t="s">
        <v>4589</v>
      </c>
    </row>
    <row r="836" spans="1:4" s="45" customFormat="1" ht="13.5" x14ac:dyDescent="0.15">
      <c r="A836" s="45" t="s">
        <v>41</v>
      </c>
      <c r="D836" s="45" t="s">
        <v>4590</v>
      </c>
    </row>
    <row r="837" spans="1:4" s="45" customFormat="1" ht="13.5" x14ac:dyDescent="0.15">
      <c r="A837" s="45" t="s">
        <v>41</v>
      </c>
      <c r="D837" s="45" t="s">
        <v>4591</v>
      </c>
    </row>
    <row r="838" spans="1:4" s="45" customFormat="1" ht="13.5" x14ac:dyDescent="0.15">
      <c r="A838" s="45" t="s">
        <v>41</v>
      </c>
      <c r="D838" s="45" t="s">
        <v>4592</v>
      </c>
    </row>
    <row r="839" spans="1:4" s="45" customFormat="1" ht="13.5" x14ac:dyDescent="0.15">
      <c r="A839" s="45" t="s">
        <v>41</v>
      </c>
      <c r="D839" s="45" t="s">
        <v>4593</v>
      </c>
    </row>
    <row r="840" spans="1:4" s="45" customFormat="1" ht="13.5" x14ac:dyDescent="0.15">
      <c r="A840" s="45" t="s">
        <v>41</v>
      </c>
      <c r="D840" s="45" t="s">
        <v>4594</v>
      </c>
    </row>
    <row r="841" spans="1:4" s="45" customFormat="1" ht="13.5" x14ac:dyDescent="0.15">
      <c r="A841" s="45" t="s">
        <v>41</v>
      </c>
      <c r="D841" s="45" t="s">
        <v>4595</v>
      </c>
    </row>
    <row r="842" spans="1:4" s="45" customFormat="1" ht="13.5" x14ac:dyDescent="0.15">
      <c r="A842" s="45" t="s">
        <v>41</v>
      </c>
      <c r="D842" s="45" t="s">
        <v>4596</v>
      </c>
    </row>
    <row r="843" spans="1:4" s="45" customFormat="1" ht="13.5" x14ac:dyDescent="0.15">
      <c r="A843" s="45" t="s">
        <v>41</v>
      </c>
      <c r="D843" s="45" t="s">
        <v>4597</v>
      </c>
    </row>
    <row r="844" spans="1:4" s="45" customFormat="1" ht="13.5" x14ac:dyDescent="0.15">
      <c r="A844" s="45" t="s">
        <v>41</v>
      </c>
      <c r="D844" s="45" t="s">
        <v>4598</v>
      </c>
    </row>
    <row r="845" spans="1:4" s="45" customFormat="1" ht="13.5" x14ac:dyDescent="0.15">
      <c r="A845" s="45" t="s">
        <v>41</v>
      </c>
      <c r="D845" s="45" t="s">
        <v>4599</v>
      </c>
    </row>
    <row r="846" spans="1:4" s="45" customFormat="1" ht="13.5" x14ac:dyDescent="0.15">
      <c r="A846" s="45" t="s">
        <v>41</v>
      </c>
      <c r="D846" s="45" t="s">
        <v>4600</v>
      </c>
    </row>
    <row r="847" spans="1:4" s="45" customFormat="1" ht="13.5" x14ac:dyDescent="0.15">
      <c r="A847" s="45" t="s">
        <v>41</v>
      </c>
      <c r="D847" s="45" t="s">
        <v>4601</v>
      </c>
    </row>
    <row r="848" spans="1:4" s="45" customFormat="1" ht="13.5" x14ac:dyDescent="0.15">
      <c r="A848" s="45" t="s">
        <v>41</v>
      </c>
      <c r="D848" s="45" t="s">
        <v>4602</v>
      </c>
    </row>
    <row r="849" spans="1:4" s="45" customFormat="1" ht="13.5" x14ac:dyDescent="0.15">
      <c r="A849" s="45" t="s">
        <v>41</v>
      </c>
      <c r="D849" s="45" t="s">
        <v>4603</v>
      </c>
    </row>
    <row r="850" spans="1:4" s="45" customFormat="1" ht="13.5" x14ac:dyDescent="0.15">
      <c r="A850" s="45" t="s">
        <v>41</v>
      </c>
      <c r="D850" s="45" t="s">
        <v>4604</v>
      </c>
    </row>
    <row r="851" spans="1:4" s="45" customFormat="1" ht="13.5" x14ac:dyDescent="0.15">
      <c r="A851" s="45" t="s">
        <v>41</v>
      </c>
      <c r="D851" s="45" t="s">
        <v>4605</v>
      </c>
    </row>
    <row r="852" spans="1:4" s="45" customFormat="1" ht="13.5" x14ac:dyDescent="0.15">
      <c r="A852" s="45" t="s">
        <v>41</v>
      </c>
      <c r="D852" s="45" t="s">
        <v>4606</v>
      </c>
    </row>
    <row r="853" spans="1:4" s="45" customFormat="1" ht="13.5" x14ac:dyDescent="0.15">
      <c r="A853" s="45" t="s">
        <v>41</v>
      </c>
      <c r="D853" s="45" t="s">
        <v>4607</v>
      </c>
    </row>
    <row r="854" spans="1:4" s="45" customFormat="1" ht="13.5" x14ac:dyDescent="0.15">
      <c r="A854" s="45" t="s">
        <v>41</v>
      </c>
      <c r="D854" s="45" t="s">
        <v>4608</v>
      </c>
    </row>
    <row r="855" spans="1:4" s="45" customFormat="1" ht="13.5" x14ac:dyDescent="0.15">
      <c r="A855" s="45" t="s">
        <v>41</v>
      </c>
      <c r="D855" s="45" t="s">
        <v>4609</v>
      </c>
    </row>
    <row r="856" spans="1:4" s="45" customFormat="1" ht="13.5" x14ac:dyDescent="0.15">
      <c r="A856" s="45" t="s">
        <v>41</v>
      </c>
      <c r="D856" s="45" t="s">
        <v>4610</v>
      </c>
    </row>
    <row r="857" spans="1:4" s="45" customFormat="1" ht="13.5" x14ac:dyDescent="0.15">
      <c r="A857" s="45" t="s">
        <v>41</v>
      </c>
      <c r="D857" s="45" t="s">
        <v>4611</v>
      </c>
    </row>
    <row r="858" spans="1:4" s="45" customFormat="1" ht="13.5" x14ac:dyDescent="0.15">
      <c r="A858" s="45" t="s">
        <v>41</v>
      </c>
      <c r="D858" s="45" t="s">
        <v>4612</v>
      </c>
    </row>
    <row r="859" spans="1:4" s="45" customFormat="1" ht="13.5" x14ac:dyDescent="0.15">
      <c r="A859" s="45" t="s">
        <v>41</v>
      </c>
      <c r="D859" s="45" t="s">
        <v>4613</v>
      </c>
    </row>
    <row r="860" spans="1:4" s="45" customFormat="1" ht="13.5" x14ac:dyDescent="0.15">
      <c r="A860" s="45" t="s">
        <v>41</v>
      </c>
      <c r="D860" s="45" t="s">
        <v>4614</v>
      </c>
    </row>
    <row r="861" spans="1:4" s="45" customFormat="1" ht="13.5" x14ac:dyDescent="0.15">
      <c r="A861" s="45" t="s">
        <v>41</v>
      </c>
      <c r="D861" s="45" t="s">
        <v>4615</v>
      </c>
    </row>
    <row r="862" spans="1:4" s="45" customFormat="1" ht="13.5" x14ac:dyDescent="0.15">
      <c r="A862" s="45" t="s">
        <v>41</v>
      </c>
      <c r="D862" s="45" t="s">
        <v>4616</v>
      </c>
    </row>
    <row r="863" spans="1:4" s="45" customFormat="1" ht="13.5" x14ac:dyDescent="0.15">
      <c r="A863" s="45" t="s">
        <v>41</v>
      </c>
      <c r="D863" s="45" t="s">
        <v>4617</v>
      </c>
    </row>
    <row r="864" spans="1:4" s="45" customFormat="1" ht="13.5" x14ac:dyDescent="0.15">
      <c r="A864" s="45" t="s">
        <v>41</v>
      </c>
      <c r="D864" s="45" t="s">
        <v>2364</v>
      </c>
    </row>
    <row r="865" spans="1:4" s="45" customFormat="1" ht="13.5" x14ac:dyDescent="0.15">
      <c r="A865" s="45" t="s">
        <v>41</v>
      </c>
      <c r="D865" s="45" t="s">
        <v>2365</v>
      </c>
    </row>
    <row r="866" spans="1:4" s="45" customFormat="1" ht="13.5" x14ac:dyDescent="0.15">
      <c r="A866" s="45" t="s">
        <v>41</v>
      </c>
      <c r="D866" s="45" t="s">
        <v>2366</v>
      </c>
    </row>
    <row r="867" spans="1:4" s="45" customFormat="1" ht="13.5" x14ac:dyDescent="0.15">
      <c r="A867" s="45" t="s">
        <v>41</v>
      </c>
      <c r="D867" s="45" t="s">
        <v>4618</v>
      </c>
    </row>
    <row r="868" spans="1:4" s="45" customFormat="1" ht="13.5" x14ac:dyDescent="0.15">
      <c r="A868" s="45" t="s">
        <v>41</v>
      </c>
      <c r="D868" s="45" t="s">
        <v>2367</v>
      </c>
    </row>
    <row r="869" spans="1:4" s="45" customFormat="1" ht="13.5" x14ac:dyDescent="0.15">
      <c r="A869" s="45" t="s">
        <v>41</v>
      </c>
      <c r="D869" s="45" t="s">
        <v>2368</v>
      </c>
    </row>
    <row r="870" spans="1:4" s="45" customFormat="1" ht="13.5" x14ac:dyDescent="0.15">
      <c r="A870" s="45" t="s">
        <v>41</v>
      </c>
      <c r="D870" s="45" t="s">
        <v>2370</v>
      </c>
    </row>
    <row r="871" spans="1:4" s="45" customFormat="1" ht="13.5" x14ac:dyDescent="0.15">
      <c r="A871" s="45" t="s">
        <v>41</v>
      </c>
      <c r="D871" s="45" t="s">
        <v>4619</v>
      </c>
    </row>
    <row r="872" spans="1:4" s="45" customFormat="1" ht="13.5" x14ac:dyDescent="0.15">
      <c r="A872" s="45" t="s">
        <v>41</v>
      </c>
      <c r="D872" s="45" t="s">
        <v>2369</v>
      </c>
    </row>
    <row r="873" spans="1:4" s="45" customFormat="1" ht="13.5" x14ac:dyDescent="0.15">
      <c r="A873" s="45" t="s">
        <v>41</v>
      </c>
      <c r="D873" s="45" t="s">
        <v>4620</v>
      </c>
    </row>
    <row r="874" spans="1:4" s="45" customFormat="1" ht="13.5" x14ac:dyDescent="0.15">
      <c r="A874" s="45" t="s">
        <v>41</v>
      </c>
      <c r="D874" s="45" t="s">
        <v>2363</v>
      </c>
    </row>
    <row r="875" spans="1:4" s="45" customFormat="1" ht="13.5" x14ac:dyDescent="0.15">
      <c r="A875" s="45" t="s">
        <v>41</v>
      </c>
      <c r="D875" s="45" t="s">
        <v>4621</v>
      </c>
    </row>
    <row r="876" spans="1:4" s="45" customFormat="1" ht="13.5" x14ac:dyDescent="0.15">
      <c r="A876" s="45" t="s">
        <v>41</v>
      </c>
      <c r="D876" s="45" t="s">
        <v>616</v>
      </c>
    </row>
    <row r="877" spans="1:4" s="45" customFormat="1" ht="13.5" x14ac:dyDescent="0.15">
      <c r="A877" s="45" t="s">
        <v>41</v>
      </c>
      <c r="D877" s="45" t="s">
        <v>679</v>
      </c>
    </row>
    <row r="878" spans="1:4" s="45" customFormat="1" ht="13.5" x14ac:dyDescent="0.15">
      <c r="A878" s="45" t="s">
        <v>41</v>
      </c>
      <c r="D878" s="45" t="s">
        <v>678</v>
      </c>
    </row>
    <row r="879" spans="1:4" s="45" customFormat="1" ht="13.5" x14ac:dyDescent="0.15">
      <c r="A879" s="45" t="s">
        <v>41</v>
      </c>
      <c r="D879" s="45" t="s">
        <v>1111</v>
      </c>
    </row>
    <row r="880" spans="1:4" s="45" customFormat="1" ht="13.5" x14ac:dyDescent="0.15">
      <c r="A880" s="45" t="s">
        <v>41</v>
      </c>
      <c r="D880" s="45" t="s">
        <v>1971</v>
      </c>
    </row>
    <row r="881" spans="1:4" s="45" customFormat="1" ht="13.5" x14ac:dyDescent="0.15">
      <c r="A881" s="45" t="s">
        <v>41</v>
      </c>
      <c r="D881" s="45" t="s">
        <v>4622</v>
      </c>
    </row>
    <row r="882" spans="1:4" s="45" customFormat="1" ht="13.5" x14ac:dyDescent="0.15">
      <c r="A882" s="45" t="s">
        <v>41</v>
      </c>
      <c r="D882" s="45" t="s">
        <v>1969</v>
      </c>
    </row>
    <row r="883" spans="1:4" s="45" customFormat="1" ht="13.5" x14ac:dyDescent="0.15">
      <c r="A883" s="45" t="s">
        <v>41</v>
      </c>
      <c r="D883" s="45" t="s">
        <v>4623</v>
      </c>
    </row>
    <row r="884" spans="1:4" s="45" customFormat="1" ht="13.5" x14ac:dyDescent="0.15">
      <c r="A884" s="45" t="s">
        <v>41</v>
      </c>
      <c r="D884" s="45" t="s">
        <v>4624</v>
      </c>
    </row>
    <row r="885" spans="1:4" s="45" customFormat="1" ht="13.5" x14ac:dyDescent="0.15">
      <c r="A885" s="45" t="s">
        <v>41</v>
      </c>
      <c r="D885" s="45" t="s">
        <v>4625</v>
      </c>
    </row>
    <row r="886" spans="1:4" s="45" customFormat="1" ht="13.5" x14ac:dyDescent="0.15">
      <c r="A886" s="45" t="s">
        <v>41</v>
      </c>
      <c r="D886" s="45" t="s">
        <v>1970</v>
      </c>
    </row>
    <row r="887" spans="1:4" s="45" customFormat="1" ht="13.5" x14ac:dyDescent="0.15">
      <c r="A887" s="45" t="s">
        <v>41</v>
      </c>
      <c r="D887" s="45" t="s">
        <v>9753</v>
      </c>
    </row>
    <row r="888" spans="1:4" s="45" customFormat="1" ht="13.5" x14ac:dyDescent="0.15">
      <c r="A888" s="45" t="s">
        <v>41</v>
      </c>
      <c r="D888" s="45" t="s">
        <v>4626</v>
      </c>
    </row>
    <row r="889" spans="1:4" s="45" customFormat="1" ht="13.5" x14ac:dyDescent="0.15">
      <c r="A889" s="45" t="s">
        <v>41</v>
      </c>
      <c r="D889" s="45" t="s">
        <v>4627</v>
      </c>
    </row>
    <row r="890" spans="1:4" s="45" customFormat="1" ht="13.5" x14ac:dyDescent="0.15">
      <c r="A890" s="45" t="s">
        <v>41</v>
      </c>
      <c r="D890" s="45" t="s">
        <v>4628</v>
      </c>
    </row>
    <row r="891" spans="1:4" s="45" customFormat="1" ht="13.5" x14ac:dyDescent="0.15">
      <c r="A891" s="45" t="s">
        <v>41</v>
      </c>
      <c r="D891" s="45" t="s">
        <v>4629</v>
      </c>
    </row>
    <row r="892" spans="1:4" s="45" customFormat="1" ht="13.5" x14ac:dyDescent="0.15">
      <c r="A892" s="45" t="s">
        <v>41</v>
      </c>
      <c r="D892" s="45" t="s">
        <v>4630</v>
      </c>
    </row>
    <row r="893" spans="1:4" s="45" customFormat="1" ht="13.5" x14ac:dyDescent="0.15">
      <c r="A893" s="45" t="s">
        <v>41</v>
      </c>
      <c r="D893" s="45" t="s">
        <v>4631</v>
      </c>
    </row>
    <row r="894" spans="1:4" s="45" customFormat="1" ht="13.5" x14ac:dyDescent="0.15">
      <c r="A894" s="45" t="s">
        <v>41</v>
      </c>
      <c r="D894" s="45" t="s">
        <v>4632</v>
      </c>
    </row>
    <row r="895" spans="1:4" s="45" customFormat="1" ht="13.5" x14ac:dyDescent="0.15">
      <c r="A895" s="45" t="s">
        <v>41</v>
      </c>
      <c r="D895" s="45" t="s">
        <v>4633</v>
      </c>
    </row>
    <row r="896" spans="1:4" s="45" customFormat="1" ht="13.5" x14ac:dyDescent="0.15">
      <c r="A896" s="45" t="s">
        <v>41</v>
      </c>
      <c r="D896" s="45" t="s">
        <v>4634</v>
      </c>
    </row>
    <row r="897" spans="1:4" s="45" customFormat="1" ht="13.5" x14ac:dyDescent="0.15">
      <c r="A897" s="45" t="s">
        <v>41</v>
      </c>
      <c r="D897" s="45" t="s">
        <v>1614</v>
      </c>
    </row>
    <row r="898" spans="1:4" s="45" customFormat="1" ht="13.5" x14ac:dyDescent="0.15">
      <c r="A898" s="45" t="s">
        <v>41</v>
      </c>
      <c r="D898" s="45" t="s">
        <v>4635</v>
      </c>
    </row>
    <row r="899" spans="1:4" s="45" customFormat="1" ht="13.5" x14ac:dyDescent="0.15">
      <c r="A899" s="45" t="s">
        <v>41</v>
      </c>
      <c r="D899" s="45" t="s">
        <v>4636</v>
      </c>
    </row>
    <row r="900" spans="1:4" s="45" customFormat="1" ht="13.5" x14ac:dyDescent="0.15">
      <c r="A900" s="45" t="s">
        <v>41</v>
      </c>
      <c r="D900" s="45" t="s">
        <v>1615</v>
      </c>
    </row>
    <row r="901" spans="1:4" s="45" customFormat="1" ht="13.5" x14ac:dyDescent="0.15">
      <c r="A901" s="45" t="s">
        <v>41</v>
      </c>
      <c r="D901" s="45" t="s">
        <v>4637</v>
      </c>
    </row>
    <row r="902" spans="1:4" s="45" customFormat="1" ht="13.5" x14ac:dyDescent="0.15">
      <c r="A902" s="45" t="s">
        <v>41</v>
      </c>
      <c r="D902" s="45" t="s">
        <v>4638</v>
      </c>
    </row>
    <row r="903" spans="1:4" s="45" customFormat="1" ht="13.5" x14ac:dyDescent="0.15">
      <c r="A903" s="45" t="s">
        <v>41</v>
      </c>
      <c r="D903" s="45" t="s">
        <v>4639</v>
      </c>
    </row>
    <row r="904" spans="1:4" s="45" customFormat="1" ht="13.5" x14ac:dyDescent="0.15">
      <c r="A904" s="45" t="s">
        <v>41</v>
      </c>
      <c r="D904" s="45" t="s">
        <v>4640</v>
      </c>
    </row>
    <row r="905" spans="1:4" s="45" customFormat="1" ht="13.5" x14ac:dyDescent="0.15">
      <c r="A905" s="45" t="s">
        <v>41</v>
      </c>
      <c r="D905" s="45" t="s">
        <v>4641</v>
      </c>
    </row>
    <row r="906" spans="1:4" s="45" customFormat="1" ht="13.5" x14ac:dyDescent="0.15">
      <c r="A906" s="45" t="s">
        <v>41</v>
      </c>
      <c r="D906" s="45" t="s">
        <v>4642</v>
      </c>
    </row>
    <row r="907" spans="1:4" s="45" customFormat="1" ht="13.5" x14ac:dyDescent="0.15">
      <c r="A907" s="45" t="s">
        <v>41</v>
      </c>
      <c r="D907" s="45" t="s">
        <v>4643</v>
      </c>
    </row>
    <row r="908" spans="1:4" s="45" customFormat="1" ht="13.5" x14ac:dyDescent="0.15">
      <c r="A908" s="45" t="s">
        <v>41</v>
      </c>
      <c r="D908" s="45" t="s">
        <v>4644</v>
      </c>
    </row>
    <row r="909" spans="1:4" s="45" customFormat="1" ht="13.5" x14ac:dyDescent="0.15">
      <c r="A909" s="45" t="s">
        <v>41</v>
      </c>
      <c r="D909" s="45" t="s">
        <v>4645</v>
      </c>
    </row>
    <row r="910" spans="1:4" s="45" customFormat="1" ht="13.5" x14ac:dyDescent="0.15">
      <c r="A910" s="45" t="s">
        <v>41</v>
      </c>
      <c r="D910" s="45" t="s">
        <v>4646</v>
      </c>
    </row>
    <row r="911" spans="1:4" s="45" customFormat="1" ht="13.5" x14ac:dyDescent="0.15">
      <c r="A911" s="45" t="s">
        <v>41</v>
      </c>
      <c r="D911" s="45" t="s">
        <v>1052</v>
      </c>
    </row>
    <row r="912" spans="1:4" s="45" customFormat="1" ht="13.5" x14ac:dyDescent="0.15">
      <c r="A912" s="45" t="s">
        <v>41</v>
      </c>
      <c r="D912" s="45" t="s">
        <v>1053</v>
      </c>
    </row>
    <row r="913" spans="1:4" s="45" customFormat="1" ht="13.5" x14ac:dyDescent="0.15">
      <c r="A913" s="45" t="s">
        <v>41</v>
      </c>
      <c r="D913" s="45" t="s">
        <v>829</v>
      </c>
    </row>
    <row r="914" spans="1:4" s="45" customFormat="1" ht="13.5" x14ac:dyDescent="0.15">
      <c r="A914" s="45" t="s">
        <v>41</v>
      </c>
      <c r="D914" s="45" t="s">
        <v>4647</v>
      </c>
    </row>
    <row r="915" spans="1:4" s="45" customFormat="1" ht="13.5" x14ac:dyDescent="0.15">
      <c r="A915" s="45" t="s">
        <v>41</v>
      </c>
      <c r="D915" s="45" t="s">
        <v>4648</v>
      </c>
    </row>
    <row r="916" spans="1:4" s="45" customFormat="1" ht="13.5" x14ac:dyDescent="0.15">
      <c r="A916" s="45" t="s">
        <v>41</v>
      </c>
      <c r="D916" s="45" t="s">
        <v>832</v>
      </c>
    </row>
    <row r="917" spans="1:4" s="45" customFormat="1" ht="13.5" x14ac:dyDescent="0.15">
      <c r="A917" s="45" t="s">
        <v>41</v>
      </c>
      <c r="D917" s="45" t="s">
        <v>4649</v>
      </c>
    </row>
    <row r="918" spans="1:4" s="45" customFormat="1" ht="13.5" x14ac:dyDescent="0.15">
      <c r="A918" s="45" t="s">
        <v>41</v>
      </c>
      <c r="D918" s="45" t="s">
        <v>4650</v>
      </c>
    </row>
    <row r="919" spans="1:4" s="45" customFormat="1" ht="13.5" x14ac:dyDescent="0.15">
      <c r="A919" s="45" t="s">
        <v>41</v>
      </c>
      <c r="D919" s="45" t="s">
        <v>831</v>
      </c>
    </row>
    <row r="920" spans="1:4" s="45" customFormat="1" ht="13.5" x14ac:dyDescent="0.15">
      <c r="A920" s="45" t="s">
        <v>41</v>
      </c>
      <c r="D920" s="45" t="s">
        <v>830</v>
      </c>
    </row>
    <row r="921" spans="1:4" s="45" customFormat="1" ht="13.5" x14ac:dyDescent="0.15">
      <c r="A921" s="45" t="s">
        <v>41</v>
      </c>
      <c r="D921" s="45" t="s">
        <v>677</v>
      </c>
    </row>
    <row r="922" spans="1:4" s="45" customFormat="1" ht="13.5" x14ac:dyDescent="0.15">
      <c r="A922" s="45" t="s">
        <v>41</v>
      </c>
      <c r="D922" s="45" t="s">
        <v>4651</v>
      </c>
    </row>
    <row r="923" spans="1:4" s="45" customFormat="1" ht="13.5" x14ac:dyDescent="0.15">
      <c r="A923" s="45" t="s">
        <v>41</v>
      </c>
      <c r="D923" s="45" t="s">
        <v>1249</v>
      </c>
    </row>
    <row r="924" spans="1:4" s="45" customFormat="1" ht="13.5" x14ac:dyDescent="0.15">
      <c r="A924" s="45" t="s">
        <v>41</v>
      </c>
      <c r="D924" s="45" t="s">
        <v>4652</v>
      </c>
    </row>
    <row r="925" spans="1:4" s="45" customFormat="1" ht="13.5" x14ac:dyDescent="0.15">
      <c r="A925" s="45" t="s">
        <v>41</v>
      </c>
      <c r="D925" s="45" t="s">
        <v>4653</v>
      </c>
    </row>
    <row r="926" spans="1:4" s="45" customFormat="1" ht="13.5" x14ac:dyDescent="0.15">
      <c r="A926" s="45" t="s">
        <v>41</v>
      </c>
      <c r="D926" s="45" t="s">
        <v>4654</v>
      </c>
    </row>
    <row r="927" spans="1:4" s="45" customFormat="1" ht="13.5" x14ac:dyDescent="0.15">
      <c r="A927" s="45" t="s">
        <v>41</v>
      </c>
      <c r="D927" s="45" t="s">
        <v>755</v>
      </c>
    </row>
    <row r="928" spans="1:4" s="45" customFormat="1" ht="13.5" x14ac:dyDescent="0.15">
      <c r="A928" s="45" t="s">
        <v>41</v>
      </c>
      <c r="D928" s="45" t="s">
        <v>756</v>
      </c>
    </row>
    <row r="929" spans="1:4" s="45" customFormat="1" ht="13.5" x14ac:dyDescent="0.15">
      <c r="A929" s="45" t="s">
        <v>41</v>
      </c>
      <c r="D929" s="45" t="s">
        <v>4655</v>
      </c>
    </row>
    <row r="930" spans="1:4" s="45" customFormat="1" ht="13.5" x14ac:dyDescent="0.15">
      <c r="A930" s="45" t="s">
        <v>41</v>
      </c>
      <c r="D930" s="45" t="s">
        <v>758</v>
      </c>
    </row>
    <row r="931" spans="1:4" s="45" customFormat="1" ht="13.5" x14ac:dyDescent="0.15">
      <c r="A931" s="45" t="s">
        <v>41</v>
      </c>
      <c r="D931" s="45" t="s">
        <v>760</v>
      </c>
    </row>
    <row r="932" spans="1:4" s="45" customFormat="1" ht="13.5" x14ac:dyDescent="0.15">
      <c r="A932" s="45" t="s">
        <v>41</v>
      </c>
      <c r="D932" s="45" t="s">
        <v>759</v>
      </c>
    </row>
    <row r="933" spans="1:4" s="45" customFormat="1" ht="13.5" x14ac:dyDescent="0.15">
      <c r="A933" s="45" t="s">
        <v>41</v>
      </c>
      <c r="D933" s="45" t="s">
        <v>762</v>
      </c>
    </row>
    <row r="934" spans="1:4" s="45" customFormat="1" ht="13.5" x14ac:dyDescent="0.15">
      <c r="A934" s="45" t="s">
        <v>41</v>
      </c>
      <c r="D934" s="45" t="s">
        <v>757</v>
      </c>
    </row>
    <row r="935" spans="1:4" s="45" customFormat="1" ht="13.5" x14ac:dyDescent="0.15">
      <c r="A935" s="45" t="s">
        <v>41</v>
      </c>
      <c r="D935" s="45" t="s">
        <v>4656</v>
      </c>
    </row>
    <row r="936" spans="1:4" s="45" customFormat="1" ht="13.5" x14ac:dyDescent="0.15">
      <c r="A936" s="45" t="s">
        <v>41</v>
      </c>
      <c r="D936" s="45" t="s">
        <v>761</v>
      </c>
    </row>
    <row r="937" spans="1:4" s="45" customFormat="1" ht="13.5" x14ac:dyDescent="0.15">
      <c r="A937" s="45" t="s">
        <v>41</v>
      </c>
      <c r="D937" s="45" t="s">
        <v>905</v>
      </c>
    </row>
    <row r="938" spans="1:4" s="45" customFormat="1" ht="13.5" x14ac:dyDescent="0.15">
      <c r="A938" s="45" t="s">
        <v>41</v>
      </c>
      <c r="D938" s="45" t="s">
        <v>1572</v>
      </c>
    </row>
    <row r="939" spans="1:4" s="45" customFormat="1" ht="13.5" x14ac:dyDescent="0.15">
      <c r="A939" s="45" t="s">
        <v>41</v>
      </c>
      <c r="D939" s="45" t="s">
        <v>354</v>
      </c>
    </row>
    <row r="940" spans="1:4" s="45" customFormat="1" ht="13.5" x14ac:dyDescent="0.15">
      <c r="A940" s="45" t="s">
        <v>41</v>
      </c>
      <c r="D940" s="45" t="s">
        <v>355</v>
      </c>
    </row>
    <row r="941" spans="1:4" s="45" customFormat="1" ht="13.5" x14ac:dyDescent="0.15">
      <c r="A941" s="45" t="s">
        <v>41</v>
      </c>
      <c r="D941" s="45" t="s">
        <v>4657</v>
      </c>
    </row>
    <row r="942" spans="1:4" s="45" customFormat="1" ht="13.5" x14ac:dyDescent="0.15">
      <c r="A942" s="45" t="s">
        <v>41</v>
      </c>
      <c r="D942" s="45" t="s">
        <v>4658</v>
      </c>
    </row>
    <row r="943" spans="1:4" s="45" customFormat="1" ht="13.5" x14ac:dyDescent="0.15">
      <c r="A943" s="45" t="s">
        <v>41</v>
      </c>
      <c r="D943" s="45" t="s">
        <v>4659</v>
      </c>
    </row>
    <row r="944" spans="1:4" s="45" customFormat="1" ht="13.5" x14ac:dyDescent="0.15">
      <c r="A944" s="45" t="s">
        <v>41</v>
      </c>
      <c r="D944" s="45" t="s">
        <v>4660</v>
      </c>
    </row>
    <row r="945" spans="1:4" s="45" customFormat="1" ht="13.5" x14ac:dyDescent="0.15">
      <c r="A945" s="45" t="s">
        <v>41</v>
      </c>
      <c r="D945" s="45" t="s">
        <v>4661</v>
      </c>
    </row>
    <row r="946" spans="1:4" s="45" customFormat="1" ht="13.5" x14ac:dyDescent="0.15">
      <c r="A946" s="45" t="s">
        <v>41</v>
      </c>
      <c r="D946" s="45" t="s">
        <v>4662</v>
      </c>
    </row>
    <row r="947" spans="1:4" s="45" customFormat="1" ht="13.5" x14ac:dyDescent="0.15">
      <c r="A947" s="45" t="s">
        <v>41</v>
      </c>
      <c r="D947" s="45" t="s">
        <v>4663</v>
      </c>
    </row>
    <row r="948" spans="1:4" s="45" customFormat="1" ht="13.5" x14ac:dyDescent="0.15">
      <c r="A948" s="45" t="s">
        <v>41</v>
      </c>
      <c r="D948" s="45" t="s">
        <v>909</v>
      </c>
    </row>
    <row r="949" spans="1:4" s="45" customFormat="1" ht="13.5" x14ac:dyDescent="0.15">
      <c r="A949" s="45" t="s">
        <v>41</v>
      </c>
      <c r="D949" s="45" t="s">
        <v>910</v>
      </c>
    </row>
    <row r="950" spans="1:4" s="45" customFormat="1" ht="13.5" x14ac:dyDescent="0.15">
      <c r="A950" s="45" t="s">
        <v>41</v>
      </c>
      <c r="D950" s="45" t="s">
        <v>4664</v>
      </c>
    </row>
    <row r="951" spans="1:4" s="45" customFormat="1" ht="13.5" x14ac:dyDescent="0.15">
      <c r="A951" s="45" t="s">
        <v>41</v>
      </c>
      <c r="D951" s="45" t="s">
        <v>4665</v>
      </c>
    </row>
    <row r="952" spans="1:4" s="45" customFormat="1" ht="13.5" x14ac:dyDescent="0.15">
      <c r="A952" s="45" t="s">
        <v>41</v>
      </c>
      <c r="D952" s="45" t="s">
        <v>4666</v>
      </c>
    </row>
    <row r="953" spans="1:4" s="45" customFormat="1" ht="13.5" x14ac:dyDescent="0.15">
      <c r="A953" s="45" t="s">
        <v>41</v>
      </c>
      <c r="D953" s="45" t="s">
        <v>4667</v>
      </c>
    </row>
    <row r="954" spans="1:4" s="45" customFormat="1" ht="13.5" x14ac:dyDescent="0.15">
      <c r="A954" s="45" t="s">
        <v>41</v>
      </c>
      <c r="D954" s="45" t="s">
        <v>4668</v>
      </c>
    </row>
    <row r="955" spans="1:4" s="45" customFormat="1" ht="13.5" x14ac:dyDescent="0.15">
      <c r="A955" s="45" t="s">
        <v>41</v>
      </c>
      <c r="D955" s="45" t="s">
        <v>4669</v>
      </c>
    </row>
    <row r="956" spans="1:4" s="45" customFormat="1" ht="13.5" x14ac:dyDescent="0.15">
      <c r="A956" s="45" t="s">
        <v>41</v>
      </c>
      <c r="D956" s="45" t="s">
        <v>4670</v>
      </c>
    </row>
    <row r="957" spans="1:4" s="45" customFormat="1" ht="13.5" x14ac:dyDescent="0.15">
      <c r="A957" s="45" t="s">
        <v>41</v>
      </c>
      <c r="D957" s="45" t="s">
        <v>4671</v>
      </c>
    </row>
    <row r="958" spans="1:4" s="45" customFormat="1" ht="13.5" x14ac:dyDescent="0.15">
      <c r="A958" s="45" t="s">
        <v>41</v>
      </c>
      <c r="D958" s="45" t="s">
        <v>4672</v>
      </c>
    </row>
    <row r="959" spans="1:4" s="45" customFormat="1" ht="13.5" x14ac:dyDescent="0.15">
      <c r="A959" s="45" t="s">
        <v>41</v>
      </c>
      <c r="D959" s="45" t="s">
        <v>4673</v>
      </c>
    </row>
    <row r="960" spans="1:4" s="45" customFormat="1" ht="13.5" x14ac:dyDescent="0.15">
      <c r="A960" s="45" t="s">
        <v>41</v>
      </c>
      <c r="D960" s="45" t="s">
        <v>4674</v>
      </c>
    </row>
    <row r="961" spans="1:4" s="45" customFormat="1" ht="13.5" x14ac:dyDescent="0.15">
      <c r="A961" s="45" t="s">
        <v>41</v>
      </c>
      <c r="D961" s="45" t="s">
        <v>4675</v>
      </c>
    </row>
    <row r="962" spans="1:4" s="45" customFormat="1" ht="13.5" x14ac:dyDescent="0.15">
      <c r="A962" s="45" t="s">
        <v>41</v>
      </c>
      <c r="D962" s="45" t="s">
        <v>4676</v>
      </c>
    </row>
    <row r="963" spans="1:4" s="45" customFormat="1" ht="13.5" x14ac:dyDescent="0.15">
      <c r="A963" s="45" t="s">
        <v>41</v>
      </c>
      <c r="D963" s="45" t="s">
        <v>4677</v>
      </c>
    </row>
    <row r="964" spans="1:4" s="45" customFormat="1" ht="13.5" x14ac:dyDescent="0.15">
      <c r="A964" s="45" t="s">
        <v>41</v>
      </c>
      <c r="D964" s="45" t="s">
        <v>4678</v>
      </c>
    </row>
    <row r="965" spans="1:4" s="45" customFormat="1" ht="13.5" x14ac:dyDescent="0.15">
      <c r="A965" s="45" t="s">
        <v>41</v>
      </c>
      <c r="D965" s="45" t="s">
        <v>4679</v>
      </c>
    </row>
    <row r="966" spans="1:4" s="45" customFormat="1" ht="13.5" x14ac:dyDescent="0.15">
      <c r="A966" s="45" t="s">
        <v>41</v>
      </c>
      <c r="D966" s="45" t="s">
        <v>4680</v>
      </c>
    </row>
    <row r="967" spans="1:4" s="45" customFormat="1" ht="13.5" x14ac:dyDescent="0.15">
      <c r="A967" s="45" t="s">
        <v>41</v>
      </c>
      <c r="D967" s="45" t="s">
        <v>1721</v>
      </c>
    </row>
    <row r="968" spans="1:4" s="45" customFormat="1" ht="13.5" x14ac:dyDescent="0.15">
      <c r="A968" s="45" t="s">
        <v>41</v>
      </c>
      <c r="D968" s="45" t="s">
        <v>4681</v>
      </c>
    </row>
    <row r="969" spans="1:4" s="45" customFormat="1" ht="13.5" x14ac:dyDescent="0.15">
      <c r="A969" s="45" t="s">
        <v>41</v>
      </c>
      <c r="D969" s="45" t="s">
        <v>1724</v>
      </c>
    </row>
    <row r="970" spans="1:4" s="45" customFormat="1" ht="13.5" x14ac:dyDescent="0.15">
      <c r="A970" s="45" t="s">
        <v>41</v>
      </c>
      <c r="D970" s="45" t="s">
        <v>4682</v>
      </c>
    </row>
    <row r="971" spans="1:4" s="45" customFormat="1" ht="13.5" x14ac:dyDescent="0.15">
      <c r="A971" s="45" t="s">
        <v>41</v>
      </c>
      <c r="D971" s="45" t="s">
        <v>4683</v>
      </c>
    </row>
    <row r="972" spans="1:4" s="45" customFormat="1" ht="13.5" x14ac:dyDescent="0.15">
      <c r="A972" s="45" t="s">
        <v>41</v>
      </c>
      <c r="D972" s="45" t="s">
        <v>4684</v>
      </c>
    </row>
    <row r="973" spans="1:4" s="45" customFormat="1" ht="13.5" x14ac:dyDescent="0.15">
      <c r="A973" s="45" t="s">
        <v>41</v>
      </c>
      <c r="D973" s="45" t="s">
        <v>4685</v>
      </c>
    </row>
    <row r="974" spans="1:4" s="45" customFormat="1" ht="13.5" x14ac:dyDescent="0.15">
      <c r="A974" s="45" t="s">
        <v>41</v>
      </c>
      <c r="D974" s="45" t="s">
        <v>4686</v>
      </c>
    </row>
    <row r="975" spans="1:4" s="45" customFormat="1" ht="13.5" x14ac:dyDescent="0.15">
      <c r="A975" s="45" t="s">
        <v>41</v>
      </c>
      <c r="D975" s="45" t="s">
        <v>4687</v>
      </c>
    </row>
    <row r="976" spans="1:4" s="45" customFormat="1" ht="13.5" x14ac:dyDescent="0.15">
      <c r="A976" s="45" t="s">
        <v>41</v>
      </c>
      <c r="D976" s="45" t="s">
        <v>4688</v>
      </c>
    </row>
    <row r="977" spans="1:4" s="45" customFormat="1" ht="13.5" x14ac:dyDescent="0.15">
      <c r="A977" s="45" t="s">
        <v>41</v>
      </c>
      <c r="D977" s="45" t="s">
        <v>4689</v>
      </c>
    </row>
    <row r="978" spans="1:4" s="45" customFormat="1" ht="13.5" x14ac:dyDescent="0.15">
      <c r="A978" s="45" t="s">
        <v>41</v>
      </c>
      <c r="D978" s="45" t="s">
        <v>4690</v>
      </c>
    </row>
    <row r="979" spans="1:4" s="45" customFormat="1" ht="13.5" x14ac:dyDescent="0.15">
      <c r="A979" s="45" t="s">
        <v>41</v>
      </c>
      <c r="D979" s="45" t="s">
        <v>4691</v>
      </c>
    </row>
    <row r="980" spans="1:4" s="45" customFormat="1" ht="13.5" x14ac:dyDescent="0.15">
      <c r="A980" s="45" t="s">
        <v>41</v>
      </c>
      <c r="D980" s="45" t="s">
        <v>4692</v>
      </c>
    </row>
    <row r="981" spans="1:4" s="45" customFormat="1" ht="13.5" x14ac:dyDescent="0.15">
      <c r="A981" s="45" t="s">
        <v>41</v>
      </c>
      <c r="D981" s="45" t="s">
        <v>1723</v>
      </c>
    </row>
    <row r="982" spans="1:4" s="45" customFormat="1" ht="13.5" x14ac:dyDescent="0.15">
      <c r="A982" s="45" t="s">
        <v>41</v>
      </c>
      <c r="D982" s="45" t="s">
        <v>1725</v>
      </c>
    </row>
    <row r="983" spans="1:4" s="45" customFormat="1" ht="13.5" x14ac:dyDescent="0.15">
      <c r="A983" s="45" t="s">
        <v>41</v>
      </c>
      <c r="D983" s="45" t="s">
        <v>4693</v>
      </c>
    </row>
    <row r="984" spans="1:4" s="45" customFormat="1" ht="13.5" x14ac:dyDescent="0.15">
      <c r="A984" s="45" t="s">
        <v>41</v>
      </c>
      <c r="D984" s="45" t="s">
        <v>4694</v>
      </c>
    </row>
    <row r="985" spans="1:4" s="45" customFormat="1" ht="13.5" x14ac:dyDescent="0.15">
      <c r="A985" s="45" t="s">
        <v>41</v>
      </c>
      <c r="D985" s="45" t="s">
        <v>4695</v>
      </c>
    </row>
    <row r="986" spans="1:4" s="45" customFormat="1" ht="13.5" x14ac:dyDescent="0.15">
      <c r="A986" s="45" t="s">
        <v>41</v>
      </c>
      <c r="D986" s="45" t="s">
        <v>1720</v>
      </c>
    </row>
    <row r="987" spans="1:4" s="45" customFormat="1" ht="13.5" x14ac:dyDescent="0.15">
      <c r="A987" s="45" t="s">
        <v>41</v>
      </c>
      <c r="D987" s="45" t="s">
        <v>4696</v>
      </c>
    </row>
    <row r="988" spans="1:4" s="45" customFormat="1" ht="13.5" x14ac:dyDescent="0.15">
      <c r="A988" s="45" t="s">
        <v>41</v>
      </c>
      <c r="D988" s="45" t="s">
        <v>4697</v>
      </c>
    </row>
    <row r="989" spans="1:4" s="45" customFormat="1" ht="13.5" x14ac:dyDescent="0.15">
      <c r="A989" s="45" t="s">
        <v>41</v>
      </c>
      <c r="D989" s="45" t="s">
        <v>4698</v>
      </c>
    </row>
    <row r="990" spans="1:4" s="45" customFormat="1" ht="13.5" x14ac:dyDescent="0.15">
      <c r="A990" s="45" t="s">
        <v>41</v>
      </c>
      <c r="D990" s="45" t="s">
        <v>1722</v>
      </c>
    </row>
    <row r="991" spans="1:4" s="45" customFormat="1" ht="13.5" x14ac:dyDescent="0.15">
      <c r="A991" s="45" t="s">
        <v>41</v>
      </c>
      <c r="D991" s="45" t="s">
        <v>4699</v>
      </c>
    </row>
    <row r="992" spans="1:4" s="45" customFormat="1" ht="13.5" x14ac:dyDescent="0.15">
      <c r="A992" s="45" t="s">
        <v>41</v>
      </c>
      <c r="D992" s="45" t="s">
        <v>4700</v>
      </c>
    </row>
    <row r="993" spans="1:4" s="45" customFormat="1" ht="13.5" x14ac:dyDescent="0.15">
      <c r="A993" s="45" t="s">
        <v>41</v>
      </c>
      <c r="D993" s="45" t="s">
        <v>4701</v>
      </c>
    </row>
    <row r="994" spans="1:4" s="45" customFormat="1" ht="13.5" x14ac:dyDescent="0.15">
      <c r="A994" s="45" t="s">
        <v>41</v>
      </c>
      <c r="D994" s="45" t="s">
        <v>1684</v>
      </c>
    </row>
    <row r="995" spans="1:4" s="45" customFormat="1" ht="13.5" x14ac:dyDescent="0.15">
      <c r="A995" s="45" t="s">
        <v>41</v>
      </c>
      <c r="D995" s="45" t="s">
        <v>1685</v>
      </c>
    </row>
    <row r="996" spans="1:4" s="45" customFormat="1" ht="13.5" x14ac:dyDescent="0.15">
      <c r="A996" s="45" t="s">
        <v>41</v>
      </c>
      <c r="D996" s="45" t="s">
        <v>4702</v>
      </c>
    </row>
    <row r="997" spans="1:4" s="45" customFormat="1" ht="13.5" x14ac:dyDescent="0.15">
      <c r="A997" s="45" t="s">
        <v>41</v>
      </c>
      <c r="D997" s="45" t="s">
        <v>4703</v>
      </c>
    </row>
    <row r="998" spans="1:4" s="45" customFormat="1" ht="13.5" x14ac:dyDescent="0.15">
      <c r="A998" s="45" t="s">
        <v>41</v>
      </c>
      <c r="D998" s="45" t="s">
        <v>431</v>
      </c>
    </row>
    <row r="999" spans="1:4" s="45" customFormat="1" ht="13.5" x14ac:dyDescent="0.15">
      <c r="A999" s="45" t="s">
        <v>41</v>
      </c>
      <c r="D999" s="45" t="s">
        <v>432</v>
      </c>
    </row>
    <row r="1000" spans="1:4" s="45" customFormat="1" ht="13.5" x14ac:dyDescent="0.15">
      <c r="A1000" s="45" t="s">
        <v>41</v>
      </c>
      <c r="D1000" s="45" t="s">
        <v>4704</v>
      </c>
    </row>
    <row r="1001" spans="1:4" s="45" customFormat="1" ht="13.5" x14ac:dyDescent="0.15">
      <c r="A1001" s="45" t="s">
        <v>41</v>
      </c>
      <c r="D1001" s="45" t="s">
        <v>4705</v>
      </c>
    </row>
    <row r="1002" spans="1:4" s="45" customFormat="1" ht="13.5" x14ac:dyDescent="0.15">
      <c r="A1002" s="45" t="s">
        <v>41</v>
      </c>
      <c r="D1002" s="45" t="s">
        <v>4706</v>
      </c>
    </row>
    <row r="1003" spans="1:4" s="45" customFormat="1" ht="13.5" x14ac:dyDescent="0.15">
      <c r="A1003" s="45" t="s">
        <v>41</v>
      </c>
      <c r="D1003" s="45" t="s">
        <v>4707</v>
      </c>
    </row>
    <row r="1004" spans="1:4" s="45" customFormat="1" ht="13.5" x14ac:dyDescent="0.15">
      <c r="A1004" s="45" t="s">
        <v>41</v>
      </c>
      <c r="D1004" s="45" t="s">
        <v>4708</v>
      </c>
    </row>
    <row r="1005" spans="1:4" s="45" customFormat="1" ht="13.5" x14ac:dyDescent="0.15">
      <c r="A1005" s="45" t="s">
        <v>41</v>
      </c>
      <c r="D1005" s="45" t="s">
        <v>441</v>
      </c>
    </row>
    <row r="1006" spans="1:4" s="45" customFormat="1" ht="13.5" x14ac:dyDescent="0.15">
      <c r="A1006" s="45" t="s">
        <v>41</v>
      </c>
      <c r="D1006" s="45" t="s">
        <v>4709</v>
      </c>
    </row>
    <row r="1007" spans="1:4" s="45" customFormat="1" ht="13.5" x14ac:dyDescent="0.15">
      <c r="A1007" s="45" t="s">
        <v>41</v>
      </c>
      <c r="D1007" s="45" t="s">
        <v>4710</v>
      </c>
    </row>
    <row r="1008" spans="1:4" s="45" customFormat="1" ht="13.5" x14ac:dyDescent="0.15">
      <c r="A1008" s="45" t="s">
        <v>41</v>
      </c>
      <c r="D1008" s="45" t="s">
        <v>4711</v>
      </c>
    </row>
    <row r="1009" spans="1:4" s="45" customFormat="1" ht="13.5" x14ac:dyDescent="0.15">
      <c r="A1009" s="45" t="s">
        <v>41</v>
      </c>
      <c r="D1009" s="45" t="s">
        <v>4712</v>
      </c>
    </row>
    <row r="1010" spans="1:4" s="45" customFormat="1" ht="13.5" x14ac:dyDescent="0.15">
      <c r="A1010" s="45" t="s">
        <v>41</v>
      </c>
      <c r="D1010" s="45" t="s">
        <v>4713</v>
      </c>
    </row>
    <row r="1011" spans="1:4" s="45" customFormat="1" ht="13.5" x14ac:dyDescent="0.15">
      <c r="A1011" s="45" t="s">
        <v>41</v>
      </c>
      <c r="D1011" s="45" t="s">
        <v>2030</v>
      </c>
    </row>
    <row r="1012" spans="1:4" s="45" customFormat="1" ht="13.5" x14ac:dyDescent="0.15">
      <c r="A1012" s="45" t="s">
        <v>41</v>
      </c>
      <c r="D1012" s="45" t="s">
        <v>4714</v>
      </c>
    </row>
    <row r="1013" spans="1:4" s="45" customFormat="1" ht="13.5" x14ac:dyDescent="0.15">
      <c r="A1013" s="45" t="s">
        <v>41</v>
      </c>
      <c r="D1013" s="45" t="s">
        <v>2029</v>
      </c>
    </row>
    <row r="1014" spans="1:4" s="45" customFormat="1" ht="13.5" x14ac:dyDescent="0.15">
      <c r="A1014" s="45" t="s">
        <v>41</v>
      </c>
      <c r="D1014" s="45" t="s">
        <v>295</v>
      </c>
    </row>
    <row r="1015" spans="1:4" s="45" customFormat="1" ht="13.5" x14ac:dyDescent="0.15">
      <c r="A1015" s="45" t="s">
        <v>41</v>
      </c>
      <c r="D1015" s="45" t="s">
        <v>294</v>
      </c>
    </row>
    <row r="1016" spans="1:4" s="45" customFormat="1" ht="13.5" x14ac:dyDescent="0.15">
      <c r="A1016" s="45" t="s">
        <v>41</v>
      </c>
      <c r="D1016" s="45" t="s">
        <v>293</v>
      </c>
    </row>
    <row r="1017" spans="1:4" s="45" customFormat="1" ht="13.5" x14ac:dyDescent="0.15">
      <c r="A1017" s="45" t="s">
        <v>41</v>
      </c>
      <c r="D1017" s="45" t="s">
        <v>292</v>
      </c>
    </row>
    <row r="1018" spans="1:4" s="45" customFormat="1" ht="13.5" x14ac:dyDescent="0.15">
      <c r="A1018" s="45" t="s">
        <v>41</v>
      </c>
      <c r="D1018" s="45" t="s">
        <v>4715</v>
      </c>
    </row>
    <row r="1019" spans="1:4" s="45" customFormat="1" ht="13.5" x14ac:dyDescent="0.15">
      <c r="A1019" s="45" t="s">
        <v>41</v>
      </c>
      <c r="D1019" s="45" t="s">
        <v>4716</v>
      </c>
    </row>
    <row r="1020" spans="1:4" s="45" customFormat="1" ht="13.5" x14ac:dyDescent="0.15">
      <c r="A1020" s="45" t="s">
        <v>41</v>
      </c>
      <c r="D1020" s="45" t="s">
        <v>2582</v>
      </c>
    </row>
    <row r="1021" spans="1:4" s="45" customFormat="1" ht="13.5" x14ac:dyDescent="0.15">
      <c r="A1021" s="45" t="s">
        <v>41</v>
      </c>
      <c r="D1021" s="45" t="s">
        <v>846</v>
      </c>
    </row>
    <row r="1022" spans="1:4" s="45" customFormat="1" ht="13.5" x14ac:dyDescent="0.15">
      <c r="A1022" s="45" t="s">
        <v>41</v>
      </c>
      <c r="D1022" s="45" t="s">
        <v>4717</v>
      </c>
    </row>
    <row r="1023" spans="1:4" s="45" customFormat="1" ht="13.5" x14ac:dyDescent="0.15">
      <c r="A1023" s="45" t="s">
        <v>41</v>
      </c>
      <c r="D1023" s="45" t="s">
        <v>4718</v>
      </c>
    </row>
    <row r="1024" spans="1:4" s="45" customFormat="1" ht="13.5" x14ac:dyDescent="0.15">
      <c r="A1024" s="45" t="s">
        <v>41</v>
      </c>
      <c r="D1024" s="45" t="s">
        <v>4719</v>
      </c>
    </row>
    <row r="1025" spans="1:4" s="45" customFormat="1" ht="13.5" x14ac:dyDescent="0.15">
      <c r="A1025" s="45" t="s">
        <v>41</v>
      </c>
      <c r="D1025" s="45" t="s">
        <v>4720</v>
      </c>
    </row>
    <row r="1026" spans="1:4" s="45" customFormat="1" ht="13.5" x14ac:dyDescent="0.15">
      <c r="A1026" s="45" t="s">
        <v>41</v>
      </c>
      <c r="D1026" s="45" t="s">
        <v>4721</v>
      </c>
    </row>
    <row r="1027" spans="1:4" s="45" customFormat="1" ht="13.5" x14ac:dyDescent="0.15">
      <c r="A1027" s="45" t="s">
        <v>41</v>
      </c>
      <c r="D1027" s="45" t="s">
        <v>4722</v>
      </c>
    </row>
    <row r="1028" spans="1:4" s="45" customFormat="1" ht="13.5" x14ac:dyDescent="0.15">
      <c r="A1028" s="45" t="s">
        <v>41</v>
      </c>
      <c r="D1028" s="45" t="s">
        <v>2545</v>
      </c>
    </row>
    <row r="1029" spans="1:4" s="45" customFormat="1" ht="13.5" x14ac:dyDescent="0.15">
      <c r="A1029" s="45" t="s">
        <v>41</v>
      </c>
      <c r="D1029" s="45" t="s">
        <v>2546</v>
      </c>
    </row>
    <row r="1030" spans="1:4" s="45" customFormat="1" ht="13.5" x14ac:dyDescent="0.15">
      <c r="A1030" s="45" t="s">
        <v>41</v>
      </c>
      <c r="D1030" s="45" t="s">
        <v>1252</v>
      </c>
    </row>
    <row r="1031" spans="1:4" s="45" customFormat="1" ht="13.5" x14ac:dyDescent="0.15">
      <c r="A1031" s="45" t="s">
        <v>41</v>
      </c>
      <c r="D1031" s="45" t="s">
        <v>4723</v>
      </c>
    </row>
    <row r="1032" spans="1:4" s="45" customFormat="1" ht="13.5" x14ac:dyDescent="0.15">
      <c r="A1032" s="45" t="s">
        <v>41</v>
      </c>
      <c r="D1032" s="45" t="s">
        <v>1258</v>
      </c>
    </row>
    <row r="1033" spans="1:4" s="45" customFormat="1" ht="13.5" x14ac:dyDescent="0.15">
      <c r="A1033" s="45" t="s">
        <v>41</v>
      </c>
      <c r="D1033" s="45" t="s">
        <v>4724</v>
      </c>
    </row>
    <row r="1034" spans="1:4" s="45" customFormat="1" ht="13.5" x14ac:dyDescent="0.15">
      <c r="A1034" s="45" t="s">
        <v>41</v>
      </c>
      <c r="D1034" s="45" t="s">
        <v>4725</v>
      </c>
    </row>
    <row r="1035" spans="1:4" s="45" customFormat="1" ht="13.5" x14ac:dyDescent="0.15">
      <c r="A1035" s="45" t="s">
        <v>41</v>
      </c>
      <c r="D1035" s="45" t="s">
        <v>4726</v>
      </c>
    </row>
    <row r="1036" spans="1:4" s="45" customFormat="1" ht="13.5" x14ac:dyDescent="0.15">
      <c r="A1036" s="45" t="s">
        <v>41</v>
      </c>
      <c r="D1036" s="45" t="s">
        <v>4727</v>
      </c>
    </row>
    <row r="1037" spans="1:4" s="45" customFormat="1" ht="13.5" x14ac:dyDescent="0.15">
      <c r="A1037" s="45" t="s">
        <v>41</v>
      </c>
      <c r="D1037" s="45" t="s">
        <v>4728</v>
      </c>
    </row>
    <row r="1038" spans="1:4" s="45" customFormat="1" ht="13.5" x14ac:dyDescent="0.15">
      <c r="A1038" s="45" t="s">
        <v>41</v>
      </c>
      <c r="D1038" s="45" t="s">
        <v>4729</v>
      </c>
    </row>
    <row r="1039" spans="1:4" s="45" customFormat="1" ht="13.5" x14ac:dyDescent="0.15">
      <c r="A1039" s="45" t="s">
        <v>41</v>
      </c>
      <c r="D1039" s="45" t="s">
        <v>4730</v>
      </c>
    </row>
    <row r="1040" spans="1:4" s="45" customFormat="1" ht="13.5" x14ac:dyDescent="0.15">
      <c r="A1040" s="45" t="s">
        <v>41</v>
      </c>
      <c r="D1040" s="45" t="s">
        <v>4731</v>
      </c>
    </row>
    <row r="1041" spans="1:4" s="45" customFormat="1" ht="13.5" x14ac:dyDescent="0.15">
      <c r="A1041" s="45" t="s">
        <v>41</v>
      </c>
      <c r="D1041" s="45" t="s">
        <v>4732</v>
      </c>
    </row>
    <row r="1042" spans="1:4" s="45" customFormat="1" ht="13.5" x14ac:dyDescent="0.15">
      <c r="A1042" s="45" t="s">
        <v>41</v>
      </c>
      <c r="D1042" s="45" t="s">
        <v>1250</v>
      </c>
    </row>
    <row r="1043" spans="1:4" s="45" customFormat="1" ht="13.5" x14ac:dyDescent="0.15">
      <c r="A1043" s="45" t="s">
        <v>41</v>
      </c>
      <c r="D1043" s="45" t="s">
        <v>1251</v>
      </c>
    </row>
    <row r="1044" spans="1:4" s="45" customFormat="1" ht="13.5" x14ac:dyDescent="0.15">
      <c r="A1044" s="45" t="s">
        <v>41</v>
      </c>
      <c r="D1044" s="45" t="s">
        <v>1254</v>
      </c>
    </row>
    <row r="1045" spans="1:4" s="45" customFormat="1" ht="13.5" x14ac:dyDescent="0.15">
      <c r="A1045" s="45" t="s">
        <v>41</v>
      </c>
      <c r="D1045" s="45" t="s">
        <v>4733</v>
      </c>
    </row>
    <row r="1046" spans="1:4" s="45" customFormat="1" ht="13.5" x14ac:dyDescent="0.15">
      <c r="A1046" s="45" t="s">
        <v>41</v>
      </c>
      <c r="D1046" s="45" t="s">
        <v>1253</v>
      </c>
    </row>
    <row r="1047" spans="1:4" s="45" customFormat="1" ht="13.5" x14ac:dyDescent="0.15">
      <c r="A1047" s="45" t="s">
        <v>41</v>
      </c>
      <c r="D1047" s="45" t="s">
        <v>4734</v>
      </c>
    </row>
    <row r="1048" spans="1:4" s="45" customFormat="1" ht="13.5" x14ac:dyDescent="0.15">
      <c r="A1048" s="45" t="s">
        <v>41</v>
      </c>
      <c r="D1048" s="45" t="s">
        <v>1255</v>
      </c>
    </row>
    <row r="1049" spans="1:4" s="45" customFormat="1" ht="13.5" x14ac:dyDescent="0.15">
      <c r="A1049" s="45" t="s">
        <v>41</v>
      </c>
      <c r="D1049" s="45" t="s">
        <v>1256</v>
      </c>
    </row>
    <row r="1050" spans="1:4" s="45" customFormat="1" ht="13.5" x14ac:dyDescent="0.15">
      <c r="A1050" s="45" t="s">
        <v>41</v>
      </c>
      <c r="D1050" s="45" t="s">
        <v>1257</v>
      </c>
    </row>
    <row r="1051" spans="1:4" s="45" customFormat="1" ht="13.5" x14ac:dyDescent="0.15">
      <c r="A1051" s="45" t="s">
        <v>41</v>
      </c>
      <c r="D1051" s="45" t="s">
        <v>4735</v>
      </c>
    </row>
    <row r="1052" spans="1:4" s="45" customFormat="1" ht="13.5" x14ac:dyDescent="0.15">
      <c r="A1052" s="45" t="s">
        <v>41</v>
      </c>
      <c r="D1052" s="45" t="s">
        <v>2524</v>
      </c>
    </row>
    <row r="1053" spans="1:4" s="45" customFormat="1" ht="13.5" x14ac:dyDescent="0.15">
      <c r="A1053" s="45" t="s">
        <v>41</v>
      </c>
      <c r="D1053" s="45" t="s">
        <v>2523</v>
      </c>
    </row>
    <row r="1054" spans="1:4" s="45" customFormat="1" ht="13.5" x14ac:dyDescent="0.15">
      <c r="A1054" s="45" t="s">
        <v>41</v>
      </c>
      <c r="D1054" s="45" t="s">
        <v>4736</v>
      </c>
    </row>
    <row r="1055" spans="1:4" s="45" customFormat="1" ht="13.5" x14ac:dyDescent="0.15">
      <c r="A1055" s="45" t="s">
        <v>41</v>
      </c>
      <c r="D1055" s="45" t="s">
        <v>2522</v>
      </c>
    </row>
    <row r="1056" spans="1:4" s="45" customFormat="1" ht="13.5" x14ac:dyDescent="0.15">
      <c r="A1056" s="45" t="s">
        <v>41</v>
      </c>
      <c r="D1056" s="45" t="s">
        <v>4737</v>
      </c>
    </row>
    <row r="1057" spans="1:4" s="45" customFormat="1" ht="13.5" x14ac:dyDescent="0.15">
      <c r="A1057" s="45" t="s">
        <v>41</v>
      </c>
      <c r="D1057" s="45" t="s">
        <v>4738</v>
      </c>
    </row>
    <row r="1058" spans="1:4" s="45" customFormat="1" ht="13.5" x14ac:dyDescent="0.15">
      <c r="A1058" s="45" t="s">
        <v>41</v>
      </c>
      <c r="D1058" s="45" t="s">
        <v>4739</v>
      </c>
    </row>
    <row r="1059" spans="1:4" s="45" customFormat="1" ht="13.5" x14ac:dyDescent="0.15">
      <c r="A1059" s="45" t="s">
        <v>41</v>
      </c>
      <c r="D1059" s="45" t="s">
        <v>4740</v>
      </c>
    </row>
    <row r="1060" spans="1:4" s="45" customFormat="1" ht="13.5" x14ac:dyDescent="0.15">
      <c r="A1060" s="45" t="s">
        <v>41</v>
      </c>
      <c r="D1060" s="45" t="s">
        <v>4741</v>
      </c>
    </row>
    <row r="1061" spans="1:4" s="45" customFormat="1" ht="13.5" x14ac:dyDescent="0.15">
      <c r="A1061" s="45" t="s">
        <v>41</v>
      </c>
      <c r="D1061" s="45" t="s">
        <v>4742</v>
      </c>
    </row>
    <row r="1062" spans="1:4" s="45" customFormat="1" ht="13.5" x14ac:dyDescent="0.15">
      <c r="A1062" s="45" t="s">
        <v>41</v>
      </c>
      <c r="D1062" s="45" t="s">
        <v>4743</v>
      </c>
    </row>
    <row r="1063" spans="1:4" s="45" customFormat="1" ht="13.5" x14ac:dyDescent="0.15">
      <c r="A1063" s="45" t="s">
        <v>41</v>
      </c>
      <c r="D1063" s="45" t="s">
        <v>444</v>
      </c>
    </row>
    <row r="1064" spans="1:4" s="45" customFormat="1" ht="13.5" x14ac:dyDescent="0.15">
      <c r="A1064" s="45" t="s">
        <v>41</v>
      </c>
      <c r="D1064" s="45" t="s">
        <v>447</v>
      </c>
    </row>
    <row r="1065" spans="1:4" s="45" customFormat="1" ht="13.5" x14ac:dyDescent="0.15">
      <c r="A1065" s="45" t="s">
        <v>41</v>
      </c>
      <c r="D1065" s="45" t="s">
        <v>445</v>
      </c>
    </row>
    <row r="1066" spans="1:4" s="45" customFormat="1" ht="13.5" x14ac:dyDescent="0.15">
      <c r="A1066" s="45" t="s">
        <v>41</v>
      </c>
      <c r="D1066" s="45" t="s">
        <v>4744</v>
      </c>
    </row>
    <row r="1067" spans="1:4" s="45" customFormat="1" ht="13.5" x14ac:dyDescent="0.15">
      <c r="A1067" s="45" t="s">
        <v>41</v>
      </c>
      <c r="D1067" s="45" t="s">
        <v>4745</v>
      </c>
    </row>
    <row r="1068" spans="1:4" s="45" customFormat="1" ht="13.5" x14ac:dyDescent="0.15">
      <c r="A1068" s="45" t="s">
        <v>41</v>
      </c>
      <c r="D1068" s="45" t="s">
        <v>443</v>
      </c>
    </row>
    <row r="1069" spans="1:4" s="45" customFormat="1" ht="13.5" x14ac:dyDescent="0.15">
      <c r="A1069" s="45" t="s">
        <v>41</v>
      </c>
      <c r="D1069" s="45" t="s">
        <v>4746</v>
      </c>
    </row>
    <row r="1070" spans="1:4" s="45" customFormat="1" ht="13.5" x14ac:dyDescent="0.15">
      <c r="A1070" s="45" t="s">
        <v>41</v>
      </c>
      <c r="D1070" s="45" t="s">
        <v>4747</v>
      </c>
    </row>
    <row r="1071" spans="1:4" s="45" customFormat="1" ht="13.5" x14ac:dyDescent="0.15">
      <c r="A1071" s="45" t="s">
        <v>41</v>
      </c>
      <c r="D1071" s="45" t="s">
        <v>4748</v>
      </c>
    </row>
    <row r="1072" spans="1:4" s="45" customFormat="1" ht="13.5" x14ac:dyDescent="0.15">
      <c r="A1072" s="45" t="s">
        <v>41</v>
      </c>
      <c r="D1072" s="45" t="s">
        <v>4749</v>
      </c>
    </row>
    <row r="1073" spans="1:4" s="45" customFormat="1" ht="13.5" x14ac:dyDescent="0.15">
      <c r="A1073" s="45" t="s">
        <v>41</v>
      </c>
      <c r="D1073" s="45" t="s">
        <v>4750</v>
      </c>
    </row>
    <row r="1074" spans="1:4" s="45" customFormat="1" ht="13.5" x14ac:dyDescent="0.15">
      <c r="A1074" s="45" t="s">
        <v>41</v>
      </c>
      <c r="D1074" s="45" t="s">
        <v>4751</v>
      </c>
    </row>
    <row r="1075" spans="1:4" s="45" customFormat="1" ht="13.5" x14ac:dyDescent="0.15">
      <c r="A1075" s="45" t="s">
        <v>41</v>
      </c>
      <c r="D1075" s="45" t="s">
        <v>4752</v>
      </c>
    </row>
    <row r="1076" spans="1:4" s="45" customFormat="1" ht="13.5" x14ac:dyDescent="0.15">
      <c r="A1076" s="45" t="s">
        <v>41</v>
      </c>
      <c r="D1076" s="45" t="s">
        <v>4753</v>
      </c>
    </row>
    <row r="1077" spans="1:4" s="45" customFormat="1" ht="13.5" x14ac:dyDescent="0.15">
      <c r="A1077" s="45" t="s">
        <v>41</v>
      </c>
      <c r="D1077" s="45" t="s">
        <v>4754</v>
      </c>
    </row>
    <row r="1078" spans="1:4" s="45" customFormat="1" ht="13.5" x14ac:dyDescent="0.15">
      <c r="A1078" s="45" t="s">
        <v>41</v>
      </c>
      <c r="D1078" s="45" t="s">
        <v>442</v>
      </c>
    </row>
    <row r="1079" spans="1:4" s="45" customFormat="1" ht="13.5" x14ac:dyDescent="0.15">
      <c r="A1079" s="45" t="s">
        <v>41</v>
      </c>
      <c r="D1079" s="45" t="s">
        <v>446</v>
      </c>
    </row>
    <row r="1080" spans="1:4" s="45" customFormat="1" ht="13.5" x14ac:dyDescent="0.15">
      <c r="A1080" s="45" t="s">
        <v>41</v>
      </c>
      <c r="D1080" s="45" t="s">
        <v>2160</v>
      </c>
    </row>
    <row r="1081" spans="1:4" s="45" customFormat="1" ht="13.5" x14ac:dyDescent="0.15">
      <c r="A1081" s="45" t="s">
        <v>41</v>
      </c>
      <c r="D1081" s="45" t="s">
        <v>2130</v>
      </c>
    </row>
    <row r="1082" spans="1:4" s="45" customFormat="1" ht="13.5" x14ac:dyDescent="0.15">
      <c r="A1082" s="45" t="s">
        <v>41</v>
      </c>
      <c r="D1082" s="45" t="s">
        <v>4755</v>
      </c>
    </row>
    <row r="1083" spans="1:4" s="45" customFormat="1" ht="13.5" x14ac:dyDescent="0.15">
      <c r="A1083" s="45" t="s">
        <v>41</v>
      </c>
      <c r="D1083" s="45" t="s">
        <v>4756</v>
      </c>
    </row>
    <row r="1084" spans="1:4" s="45" customFormat="1" ht="13.5" x14ac:dyDescent="0.15">
      <c r="A1084" s="45" t="s">
        <v>41</v>
      </c>
      <c r="D1084" s="45" t="s">
        <v>4757</v>
      </c>
    </row>
    <row r="1085" spans="1:4" s="45" customFormat="1" ht="13.5" x14ac:dyDescent="0.15">
      <c r="A1085" s="45" t="s">
        <v>41</v>
      </c>
      <c r="D1085" s="45" t="s">
        <v>4758</v>
      </c>
    </row>
    <row r="1086" spans="1:4" s="45" customFormat="1" ht="13.5" x14ac:dyDescent="0.15">
      <c r="A1086" s="45" t="s">
        <v>41</v>
      </c>
      <c r="D1086" s="45" t="s">
        <v>2063</v>
      </c>
    </row>
    <row r="1087" spans="1:4" s="45" customFormat="1" ht="13.5" x14ac:dyDescent="0.15">
      <c r="A1087" s="45" t="s">
        <v>41</v>
      </c>
      <c r="D1087" s="45" t="s">
        <v>4759</v>
      </c>
    </row>
    <row r="1088" spans="1:4" s="45" customFormat="1" ht="13.5" x14ac:dyDescent="0.15">
      <c r="A1088" s="45" t="s">
        <v>41</v>
      </c>
      <c r="D1088" s="45" t="s">
        <v>4760</v>
      </c>
    </row>
    <row r="1089" spans="1:4" s="45" customFormat="1" ht="13.5" x14ac:dyDescent="0.15">
      <c r="A1089" s="45" t="s">
        <v>41</v>
      </c>
      <c r="D1089" s="45" t="s">
        <v>4761</v>
      </c>
    </row>
    <row r="1090" spans="1:4" s="45" customFormat="1" ht="13.5" x14ac:dyDescent="0.15">
      <c r="A1090" s="45" t="s">
        <v>41</v>
      </c>
      <c r="D1090" s="45" t="s">
        <v>4762</v>
      </c>
    </row>
    <row r="1091" spans="1:4" s="45" customFormat="1" ht="13.5" x14ac:dyDescent="0.15">
      <c r="A1091" s="45" t="s">
        <v>41</v>
      </c>
      <c r="D1091" s="45" t="s">
        <v>1273</v>
      </c>
    </row>
    <row r="1092" spans="1:4" s="45" customFormat="1" ht="13.5" x14ac:dyDescent="0.15">
      <c r="A1092" s="45" t="s">
        <v>41</v>
      </c>
      <c r="D1092" s="45" t="s">
        <v>4763</v>
      </c>
    </row>
    <row r="1093" spans="1:4" s="45" customFormat="1" ht="13.5" x14ac:dyDescent="0.15">
      <c r="A1093" s="45" t="s">
        <v>41</v>
      </c>
      <c r="D1093" s="45" t="s">
        <v>4764</v>
      </c>
    </row>
    <row r="1094" spans="1:4" s="45" customFormat="1" ht="13.5" x14ac:dyDescent="0.15">
      <c r="A1094" s="45" t="s">
        <v>41</v>
      </c>
      <c r="D1094" s="45" t="s">
        <v>4765</v>
      </c>
    </row>
    <row r="1095" spans="1:4" s="45" customFormat="1" ht="13.5" x14ac:dyDescent="0.15">
      <c r="A1095" s="45" t="s">
        <v>41</v>
      </c>
      <c r="D1095" s="45" t="s">
        <v>1974</v>
      </c>
    </row>
    <row r="1096" spans="1:4" s="45" customFormat="1" ht="13.5" x14ac:dyDescent="0.15">
      <c r="A1096" s="45" t="s">
        <v>41</v>
      </c>
      <c r="D1096" s="45" t="s">
        <v>4766</v>
      </c>
    </row>
    <row r="1097" spans="1:4" s="45" customFormat="1" ht="13.5" x14ac:dyDescent="0.15">
      <c r="A1097" s="45" t="s">
        <v>41</v>
      </c>
      <c r="D1097" s="45" t="s">
        <v>1791</v>
      </c>
    </row>
    <row r="1098" spans="1:4" s="45" customFormat="1" ht="13.5" x14ac:dyDescent="0.15">
      <c r="A1098" s="45" t="s">
        <v>41</v>
      </c>
      <c r="D1098" s="45" t="s">
        <v>1793</v>
      </c>
    </row>
    <row r="1099" spans="1:4" s="45" customFormat="1" ht="13.5" x14ac:dyDescent="0.15">
      <c r="A1099" s="45" t="s">
        <v>41</v>
      </c>
      <c r="D1099" s="45" t="s">
        <v>1792</v>
      </c>
    </row>
    <row r="1100" spans="1:4" s="45" customFormat="1" ht="13.5" x14ac:dyDescent="0.15">
      <c r="A1100" s="45" t="s">
        <v>41</v>
      </c>
      <c r="D1100" s="45" t="s">
        <v>882</v>
      </c>
    </row>
    <row r="1101" spans="1:4" s="45" customFormat="1" ht="13.5" x14ac:dyDescent="0.15">
      <c r="A1101" s="45" t="s">
        <v>41</v>
      </c>
      <c r="D1101" s="45" t="s">
        <v>4767</v>
      </c>
    </row>
    <row r="1102" spans="1:4" s="45" customFormat="1" ht="13.5" x14ac:dyDescent="0.15">
      <c r="A1102" s="45" t="s">
        <v>41</v>
      </c>
      <c r="D1102" s="45" t="s">
        <v>4768</v>
      </c>
    </row>
    <row r="1103" spans="1:4" s="45" customFormat="1" ht="13.5" x14ac:dyDescent="0.15">
      <c r="A1103" s="45" t="s">
        <v>41</v>
      </c>
      <c r="D1103" s="45" t="s">
        <v>4769</v>
      </c>
    </row>
    <row r="1104" spans="1:4" s="45" customFormat="1" ht="13.5" x14ac:dyDescent="0.15">
      <c r="A1104" s="45" t="s">
        <v>41</v>
      </c>
      <c r="D1104" s="45" t="s">
        <v>4770</v>
      </c>
    </row>
    <row r="1105" spans="1:4" s="45" customFormat="1" ht="13.5" x14ac:dyDescent="0.15">
      <c r="A1105" s="45" t="s">
        <v>41</v>
      </c>
      <c r="D1105" s="45" t="s">
        <v>4771</v>
      </c>
    </row>
    <row r="1106" spans="1:4" s="45" customFormat="1" ht="13.5" x14ac:dyDescent="0.15">
      <c r="A1106" s="45" t="s">
        <v>41</v>
      </c>
      <c r="D1106" s="45" t="s">
        <v>883</v>
      </c>
    </row>
    <row r="1107" spans="1:4" s="45" customFormat="1" ht="13.5" x14ac:dyDescent="0.15">
      <c r="A1107" s="45" t="s">
        <v>41</v>
      </c>
      <c r="D1107" s="45" t="s">
        <v>4772</v>
      </c>
    </row>
    <row r="1108" spans="1:4" s="45" customFormat="1" ht="13.5" x14ac:dyDescent="0.15">
      <c r="A1108" s="45" t="s">
        <v>41</v>
      </c>
      <c r="D1108" s="45" t="s">
        <v>2254</v>
      </c>
    </row>
    <row r="1109" spans="1:4" s="45" customFormat="1" ht="13.5" x14ac:dyDescent="0.15">
      <c r="A1109" s="45" t="s">
        <v>41</v>
      </c>
      <c r="D1109" s="45" t="s">
        <v>4773</v>
      </c>
    </row>
    <row r="1110" spans="1:4" s="45" customFormat="1" ht="13.5" x14ac:dyDescent="0.15">
      <c r="A1110" s="45" t="s">
        <v>41</v>
      </c>
      <c r="D1110" s="45" t="s">
        <v>4774</v>
      </c>
    </row>
    <row r="1111" spans="1:4" s="45" customFormat="1" ht="13.5" x14ac:dyDescent="0.15">
      <c r="A1111" s="45" t="s">
        <v>41</v>
      </c>
      <c r="D1111" s="45" t="s">
        <v>2258</v>
      </c>
    </row>
    <row r="1112" spans="1:4" s="45" customFormat="1" ht="13.5" x14ac:dyDescent="0.15">
      <c r="A1112" s="45" t="s">
        <v>41</v>
      </c>
      <c r="D1112" s="45" t="s">
        <v>2255</v>
      </c>
    </row>
    <row r="1113" spans="1:4" s="45" customFormat="1" ht="13.5" x14ac:dyDescent="0.15">
      <c r="A1113" s="45" t="s">
        <v>41</v>
      </c>
      <c r="D1113" s="45" t="s">
        <v>4775</v>
      </c>
    </row>
    <row r="1114" spans="1:4" s="45" customFormat="1" ht="13.5" x14ac:dyDescent="0.15">
      <c r="A1114" s="45" t="s">
        <v>41</v>
      </c>
      <c r="D1114" s="45" t="s">
        <v>4776</v>
      </c>
    </row>
    <row r="1115" spans="1:4" s="45" customFormat="1" ht="13.5" x14ac:dyDescent="0.15">
      <c r="A1115" s="45" t="s">
        <v>41</v>
      </c>
      <c r="D1115" s="45" t="s">
        <v>4777</v>
      </c>
    </row>
    <row r="1116" spans="1:4" s="45" customFormat="1" ht="13.5" x14ac:dyDescent="0.15">
      <c r="A1116" s="45" t="s">
        <v>41</v>
      </c>
      <c r="D1116" s="45" t="s">
        <v>4778</v>
      </c>
    </row>
    <row r="1117" spans="1:4" s="45" customFormat="1" ht="13.5" x14ac:dyDescent="0.15">
      <c r="A1117" s="45" t="s">
        <v>41</v>
      </c>
      <c r="D1117" s="45" t="s">
        <v>2256</v>
      </c>
    </row>
    <row r="1118" spans="1:4" s="45" customFormat="1" ht="13.5" x14ac:dyDescent="0.15">
      <c r="A1118" s="45" t="s">
        <v>41</v>
      </c>
      <c r="D1118" s="45" t="s">
        <v>2257</v>
      </c>
    </row>
    <row r="1119" spans="1:4" s="45" customFormat="1" ht="13.5" x14ac:dyDescent="0.15">
      <c r="A1119" s="45" t="s">
        <v>41</v>
      </c>
      <c r="D1119" s="45" t="s">
        <v>1398</v>
      </c>
    </row>
    <row r="1120" spans="1:4" s="45" customFormat="1" ht="13.5" x14ac:dyDescent="0.15">
      <c r="A1120" s="45" t="s">
        <v>41</v>
      </c>
      <c r="D1120" s="45" t="s">
        <v>1397</v>
      </c>
    </row>
    <row r="1121" spans="1:4" s="45" customFormat="1" ht="13.5" x14ac:dyDescent="0.15">
      <c r="A1121" s="45" t="s">
        <v>41</v>
      </c>
      <c r="D1121" s="45" t="s">
        <v>4779</v>
      </c>
    </row>
    <row r="1122" spans="1:4" s="45" customFormat="1" ht="13.5" x14ac:dyDescent="0.15">
      <c r="A1122" s="45" t="s">
        <v>41</v>
      </c>
      <c r="D1122" s="45" t="s">
        <v>4780</v>
      </c>
    </row>
    <row r="1123" spans="1:4" s="45" customFormat="1" ht="13.5" x14ac:dyDescent="0.15">
      <c r="A1123" s="45" t="s">
        <v>41</v>
      </c>
      <c r="D1123" s="45" t="s">
        <v>2196</v>
      </c>
    </row>
    <row r="1124" spans="1:4" s="45" customFormat="1" ht="13.5" x14ac:dyDescent="0.15">
      <c r="A1124" s="45" t="s">
        <v>41</v>
      </c>
      <c r="D1124" s="45" t="s">
        <v>4781</v>
      </c>
    </row>
    <row r="1125" spans="1:4" s="45" customFormat="1" ht="13.5" x14ac:dyDescent="0.15">
      <c r="A1125" s="45" t="s">
        <v>41</v>
      </c>
      <c r="D1125" s="45" t="s">
        <v>4782</v>
      </c>
    </row>
    <row r="1126" spans="1:4" s="45" customFormat="1" ht="13.5" x14ac:dyDescent="0.15">
      <c r="A1126" s="45" t="s">
        <v>41</v>
      </c>
      <c r="D1126" s="45" t="s">
        <v>4783</v>
      </c>
    </row>
    <row r="1127" spans="1:4" s="45" customFormat="1" ht="13.5" x14ac:dyDescent="0.15">
      <c r="A1127" s="45" t="s">
        <v>41</v>
      </c>
      <c r="D1127" s="45" t="s">
        <v>527</v>
      </c>
    </row>
    <row r="1128" spans="1:4" s="45" customFormat="1" ht="13.5" x14ac:dyDescent="0.15">
      <c r="A1128" s="45" t="s">
        <v>41</v>
      </c>
      <c r="D1128" s="45" t="s">
        <v>4784</v>
      </c>
    </row>
    <row r="1129" spans="1:4" s="45" customFormat="1" ht="13.5" x14ac:dyDescent="0.15">
      <c r="A1129" s="45" t="s">
        <v>41</v>
      </c>
      <c r="D1129" s="45" t="s">
        <v>4785</v>
      </c>
    </row>
    <row r="1130" spans="1:4" s="45" customFormat="1" ht="13.5" x14ac:dyDescent="0.15">
      <c r="A1130" s="45" t="s">
        <v>41</v>
      </c>
      <c r="D1130" s="45" t="s">
        <v>2456</v>
      </c>
    </row>
    <row r="1131" spans="1:4" s="45" customFormat="1" ht="13.5" x14ac:dyDescent="0.15">
      <c r="A1131" s="45" t="s">
        <v>41</v>
      </c>
      <c r="D1131" s="45" t="s">
        <v>4786</v>
      </c>
    </row>
    <row r="1132" spans="1:4" s="45" customFormat="1" ht="13.5" x14ac:dyDescent="0.15">
      <c r="A1132" s="45" t="s">
        <v>41</v>
      </c>
      <c r="D1132" s="45" t="s">
        <v>4787</v>
      </c>
    </row>
    <row r="1133" spans="1:4" s="45" customFormat="1" ht="13.5" x14ac:dyDescent="0.15">
      <c r="A1133" s="45" t="s">
        <v>41</v>
      </c>
      <c r="D1133" s="45" t="s">
        <v>2326</v>
      </c>
    </row>
    <row r="1134" spans="1:4" s="45" customFormat="1" ht="13.5" x14ac:dyDescent="0.15">
      <c r="A1134" s="45" t="s">
        <v>41</v>
      </c>
      <c r="D1134" s="45" t="s">
        <v>804</v>
      </c>
    </row>
    <row r="1135" spans="1:4" s="45" customFormat="1" ht="13.5" x14ac:dyDescent="0.15">
      <c r="A1135" s="45" t="s">
        <v>41</v>
      </c>
      <c r="D1135" s="45" t="s">
        <v>805</v>
      </c>
    </row>
    <row r="1136" spans="1:4" s="45" customFormat="1" ht="13.5" x14ac:dyDescent="0.15">
      <c r="A1136" s="45" t="s">
        <v>41</v>
      </c>
      <c r="D1136" s="45" t="s">
        <v>4788</v>
      </c>
    </row>
    <row r="1137" spans="1:4" s="45" customFormat="1" ht="13.5" x14ac:dyDescent="0.15">
      <c r="A1137" s="45" t="s">
        <v>41</v>
      </c>
      <c r="D1137" s="45" t="s">
        <v>4789</v>
      </c>
    </row>
    <row r="1138" spans="1:4" s="45" customFormat="1" ht="13.5" x14ac:dyDescent="0.15">
      <c r="A1138" s="45" t="s">
        <v>41</v>
      </c>
      <c r="D1138" s="45" t="s">
        <v>4790</v>
      </c>
    </row>
    <row r="1139" spans="1:4" s="45" customFormat="1" ht="13.5" x14ac:dyDescent="0.15">
      <c r="A1139" s="45" t="s">
        <v>41</v>
      </c>
      <c r="D1139" s="45" t="s">
        <v>4791</v>
      </c>
    </row>
    <row r="1140" spans="1:4" s="45" customFormat="1" ht="13.5" x14ac:dyDescent="0.15">
      <c r="A1140" s="45" t="s">
        <v>41</v>
      </c>
      <c r="D1140" s="45" t="s">
        <v>841</v>
      </c>
    </row>
    <row r="1141" spans="1:4" s="45" customFormat="1" ht="13.5" x14ac:dyDescent="0.15">
      <c r="A1141" s="45" t="s">
        <v>41</v>
      </c>
      <c r="D1141" s="45" t="s">
        <v>4792</v>
      </c>
    </row>
    <row r="1142" spans="1:4" s="45" customFormat="1" ht="13.5" x14ac:dyDescent="0.15">
      <c r="A1142" s="45" t="s">
        <v>41</v>
      </c>
      <c r="D1142" s="45" t="s">
        <v>2143</v>
      </c>
    </row>
    <row r="1143" spans="1:4" s="45" customFormat="1" ht="13.5" x14ac:dyDescent="0.15">
      <c r="A1143" s="45" t="s">
        <v>41</v>
      </c>
      <c r="D1143" s="45" t="s">
        <v>387</v>
      </c>
    </row>
    <row r="1144" spans="1:4" s="45" customFormat="1" ht="13.5" x14ac:dyDescent="0.15">
      <c r="A1144" s="45" t="s">
        <v>41</v>
      </c>
      <c r="D1144" s="45" t="s">
        <v>388</v>
      </c>
    </row>
    <row r="1145" spans="1:4" s="45" customFormat="1" ht="13.5" x14ac:dyDescent="0.15">
      <c r="A1145" s="45" t="s">
        <v>41</v>
      </c>
      <c r="D1145" s="45" t="s">
        <v>386</v>
      </c>
    </row>
    <row r="1146" spans="1:4" s="45" customFormat="1" ht="13.5" x14ac:dyDescent="0.15">
      <c r="A1146" s="45" t="s">
        <v>41</v>
      </c>
      <c r="D1146" s="45" t="s">
        <v>4793</v>
      </c>
    </row>
    <row r="1147" spans="1:4" s="45" customFormat="1" ht="13.5" x14ac:dyDescent="0.15">
      <c r="A1147" s="45" t="s">
        <v>41</v>
      </c>
      <c r="D1147" s="45" t="s">
        <v>4794</v>
      </c>
    </row>
    <row r="1148" spans="1:4" s="45" customFormat="1" ht="13.5" x14ac:dyDescent="0.15">
      <c r="A1148" s="45" t="s">
        <v>41</v>
      </c>
      <c r="D1148" s="45" t="s">
        <v>4795</v>
      </c>
    </row>
    <row r="1149" spans="1:4" s="45" customFormat="1" ht="13.5" x14ac:dyDescent="0.15">
      <c r="A1149" s="45" t="s">
        <v>41</v>
      </c>
      <c r="D1149" s="45" t="s">
        <v>4796</v>
      </c>
    </row>
    <row r="1150" spans="1:4" s="45" customFormat="1" ht="13.5" x14ac:dyDescent="0.15">
      <c r="A1150" s="45" t="s">
        <v>41</v>
      </c>
      <c r="D1150" s="45" t="s">
        <v>1484</v>
      </c>
    </row>
    <row r="1151" spans="1:4" s="45" customFormat="1" ht="13.5" x14ac:dyDescent="0.15">
      <c r="A1151" s="45" t="s">
        <v>41</v>
      </c>
      <c r="D1151" s="45" t="s">
        <v>4797</v>
      </c>
    </row>
    <row r="1152" spans="1:4" s="45" customFormat="1" ht="13.5" x14ac:dyDescent="0.15">
      <c r="A1152" s="45" t="s">
        <v>41</v>
      </c>
      <c r="D1152" s="45" t="s">
        <v>4798</v>
      </c>
    </row>
    <row r="1153" spans="1:4" s="45" customFormat="1" ht="13.5" x14ac:dyDescent="0.15">
      <c r="A1153" s="45" t="s">
        <v>41</v>
      </c>
      <c r="D1153" s="45" t="s">
        <v>4799</v>
      </c>
    </row>
    <row r="1154" spans="1:4" s="45" customFormat="1" ht="13.5" x14ac:dyDescent="0.15">
      <c r="A1154" s="45" t="s">
        <v>41</v>
      </c>
      <c r="D1154" s="45" t="s">
        <v>4800</v>
      </c>
    </row>
    <row r="1155" spans="1:4" s="45" customFormat="1" ht="13.5" x14ac:dyDescent="0.15">
      <c r="A1155" s="45" t="s">
        <v>41</v>
      </c>
      <c r="D1155" s="45" t="s">
        <v>4801</v>
      </c>
    </row>
    <row r="1156" spans="1:4" s="45" customFormat="1" ht="13.5" x14ac:dyDescent="0.15">
      <c r="A1156" s="45" t="s">
        <v>41</v>
      </c>
      <c r="D1156" s="45" t="s">
        <v>478</v>
      </c>
    </row>
    <row r="1157" spans="1:4" s="45" customFormat="1" ht="13.5" x14ac:dyDescent="0.15">
      <c r="A1157" s="45" t="s">
        <v>41</v>
      </c>
      <c r="D1157" s="45" t="s">
        <v>477</v>
      </c>
    </row>
    <row r="1158" spans="1:4" s="45" customFormat="1" ht="13.5" x14ac:dyDescent="0.15">
      <c r="A1158" s="45" t="s">
        <v>41</v>
      </c>
      <c r="D1158" s="45" t="s">
        <v>4802</v>
      </c>
    </row>
    <row r="1159" spans="1:4" s="45" customFormat="1" ht="13.5" x14ac:dyDescent="0.15">
      <c r="A1159" s="45" t="s">
        <v>41</v>
      </c>
      <c r="D1159" s="45" t="s">
        <v>4803</v>
      </c>
    </row>
    <row r="1160" spans="1:4" s="45" customFormat="1" ht="13.5" x14ac:dyDescent="0.15">
      <c r="A1160" s="45" t="s">
        <v>41</v>
      </c>
      <c r="D1160" s="45" t="s">
        <v>117</v>
      </c>
    </row>
    <row r="1161" spans="1:4" s="45" customFormat="1" ht="13.5" x14ac:dyDescent="0.15">
      <c r="A1161" s="45" t="s">
        <v>41</v>
      </c>
      <c r="D1161" s="45" t="s">
        <v>4804</v>
      </c>
    </row>
    <row r="1162" spans="1:4" s="45" customFormat="1" ht="13.5" x14ac:dyDescent="0.15">
      <c r="A1162" s="45" t="s">
        <v>41</v>
      </c>
      <c r="D1162" s="45" t="s">
        <v>118</v>
      </c>
    </row>
    <row r="1163" spans="1:4" s="45" customFormat="1" ht="13.5" x14ac:dyDescent="0.15">
      <c r="A1163" s="45" t="s">
        <v>41</v>
      </c>
      <c r="D1163" s="45" t="s">
        <v>119</v>
      </c>
    </row>
    <row r="1164" spans="1:4" s="45" customFormat="1" ht="13.5" x14ac:dyDescent="0.15">
      <c r="A1164" s="45" t="s">
        <v>41</v>
      </c>
      <c r="D1164" s="45" t="s">
        <v>913</v>
      </c>
    </row>
    <row r="1165" spans="1:4" s="45" customFormat="1" ht="13.5" x14ac:dyDescent="0.15">
      <c r="A1165" s="45" t="s">
        <v>41</v>
      </c>
      <c r="D1165" s="45" t="s">
        <v>914</v>
      </c>
    </row>
    <row r="1166" spans="1:4" s="45" customFormat="1" ht="13.5" x14ac:dyDescent="0.15">
      <c r="A1166" s="45" t="s">
        <v>41</v>
      </c>
      <c r="D1166" s="45" t="s">
        <v>915</v>
      </c>
    </row>
    <row r="1167" spans="1:4" s="45" customFormat="1" ht="13.5" x14ac:dyDescent="0.15">
      <c r="A1167" s="45" t="s">
        <v>41</v>
      </c>
      <c r="D1167" s="45" t="s">
        <v>916</v>
      </c>
    </row>
    <row r="1168" spans="1:4" s="45" customFormat="1" ht="13.5" x14ac:dyDescent="0.15">
      <c r="A1168" s="45" t="s">
        <v>41</v>
      </c>
      <c r="D1168" s="45" t="s">
        <v>912</v>
      </c>
    </row>
    <row r="1169" spans="1:4" s="45" customFormat="1" ht="13.5" x14ac:dyDescent="0.15">
      <c r="A1169" s="45" t="s">
        <v>41</v>
      </c>
      <c r="D1169" s="45" t="s">
        <v>4805</v>
      </c>
    </row>
    <row r="1170" spans="1:4" s="45" customFormat="1" ht="13.5" x14ac:dyDescent="0.15">
      <c r="A1170" s="45" t="s">
        <v>41</v>
      </c>
      <c r="D1170" s="45" t="s">
        <v>4806</v>
      </c>
    </row>
    <row r="1171" spans="1:4" s="45" customFormat="1" ht="13.5" x14ac:dyDescent="0.15">
      <c r="A1171" s="45" t="s">
        <v>41</v>
      </c>
      <c r="D1171" s="45" t="s">
        <v>2161</v>
      </c>
    </row>
    <row r="1172" spans="1:4" s="45" customFormat="1" ht="13.5" x14ac:dyDescent="0.15">
      <c r="A1172" s="45" t="s">
        <v>41</v>
      </c>
      <c r="D1172" s="45" t="s">
        <v>4807</v>
      </c>
    </row>
    <row r="1173" spans="1:4" s="45" customFormat="1" ht="13.5" x14ac:dyDescent="0.15">
      <c r="A1173" s="45" t="s">
        <v>41</v>
      </c>
      <c r="D1173" s="45" t="s">
        <v>4808</v>
      </c>
    </row>
    <row r="1174" spans="1:4" s="45" customFormat="1" ht="13.5" x14ac:dyDescent="0.15">
      <c r="A1174" s="45" t="s">
        <v>41</v>
      </c>
      <c r="D1174" s="45" t="s">
        <v>4809</v>
      </c>
    </row>
    <row r="1175" spans="1:4" s="45" customFormat="1" ht="13.5" x14ac:dyDescent="0.15">
      <c r="A1175" s="45" t="s">
        <v>41</v>
      </c>
      <c r="D1175" s="45" t="s">
        <v>4810</v>
      </c>
    </row>
    <row r="1176" spans="1:4" s="45" customFormat="1" ht="13.5" x14ac:dyDescent="0.15">
      <c r="A1176" s="45" t="s">
        <v>41</v>
      </c>
      <c r="D1176" s="45" t="s">
        <v>4811</v>
      </c>
    </row>
    <row r="1177" spans="1:4" s="45" customFormat="1" ht="13.5" x14ac:dyDescent="0.15">
      <c r="A1177" s="45" t="s">
        <v>41</v>
      </c>
      <c r="D1177" s="45" t="s">
        <v>4812</v>
      </c>
    </row>
    <row r="1178" spans="1:4" s="45" customFormat="1" ht="13.5" x14ac:dyDescent="0.15">
      <c r="A1178" s="45" t="s">
        <v>41</v>
      </c>
      <c r="D1178" s="45" t="s">
        <v>4813</v>
      </c>
    </row>
    <row r="1179" spans="1:4" s="45" customFormat="1" ht="13.5" x14ac:dyDescent="0.15">
      <c r="A1179" s="45" t="s">
        <v>41</v>
      </c>
      <c r="D1179" s="45" t="s">
        <v>4814</v>
      </c>
    </row>
    <row r="1180" spans="1:4" s="45" customFormat="1" ht="13.5" x14ac:dyDescent="0.15">
      <c r="A1180" s="45" t="s">
        <v>41</v>
      </c>
      <c r="D1180" s="45" t="s">
        <v>2024</v>
      </c>
    </row>
    <row r="1181" spans="1:4" s="45" customFormat="1" ht="13.5" x14ac:dyDescent="0.15">
      <c r="A1181" s="45" t="s">
        <v>41</v>
      </c>
      <c r="D1181" s="45" t="s">
        <v>4815</v>
      </c>
    </row>
    <row r="1182" spans="1:4" s="45" customFormat="1" ht="13.5" x14ac:dyDescent="0.15">
      <c r="A1182" s="45" t="s">
        <v>41</v>
      </c>
      <c r="D1182" s="45" t="s">
        <v>4816</v>
      </c>
    </row>
    <row r="1183" spans="1:4" s="45" customFormat="1" ht="13.5" x14ac:dyDescent="0.15">
      <c r="A1183" s="45" t="s">
        <v>41</v>
      </c>
      <c r="D1183" s="45" t="s">
        <v>2023</v>
      </c>
    </row>
    <row r="1184" spans="1:4" s="45" customFormat="1" ht="13.5" x14ac:dyDescent="0.15">
      <c r="A1184" s="45" t="s">
        <v>41</v>
      </c>
      <c r="D1184" s="45" t="s">
        <v>4817</v>
      </c>
    </row>
    <row r="1185" spans="1:4" s="45" customFormat="1" ht="13.5" x14ac:dyDescent="0.15">
      <c r="A1185" s="45" t="s">
        <v>41</v>
      </c>
      <c r="D1185" s="45" t="s">
        <v>4818</v>
      </c>
    </row>
    <row r="1186" spans="1:4" s="45" customFormat="1" ht="13.5" x14ac:dyDescent="0.15">
      <c r="A1186" s="45" t="s">
        <v>41</v>
      </c>
      <c r="D1186" s="45" t="s">
        <v>4819</v>
      </c>
    </row>
    <row r="1187" spans="1:4" s="45" customFormat="1" ht="13.5" x14ac:dyDescent="0.15">
      <c r="A1187" s="45" t="s">
        <v>41</v>
      </c>
      <c r="D1187" s="45" t="s">
        <v>4820</v>
      </c>
    </row>
    <row r="1188" spans="1:4" s="45" customFormat="1" ht="13.5" x14ac:dyDescent="0.15">
      <c r="A1188" s="45" t="s">
        <v>41</v>
      </c>
      <c r="D1188" s="45" t="s">
        <v>3790</v>
      </c>
    </row>
    <row r="1189" spans="1:4" s="45" customFormat="1" ht="13.5" x14ac:dyDescent="0.15">
      <c r="A1189" s="45" t="s">
        <v>41</v>
      </c>
      <c r="D1189" s="45" t="s">
        <v>4821</v>
      </c>
    </row>
    <row r="1190" spans="1:4" s="45" customFormat="1" ht="13.5" x14ac:dyDescent="0.15">
      <c r="A1190" s="45" t="s">
        <v>41</v>
      </c>
      <c r="D1190" s="45" t="s">
        <v>497</v>
      </c>
    </row>
    <row r="1191" spans="1:4" s="45" customFormat="1" ht="13.5" x14ac:dyDescent="0.15">
      <c r="A1191" s="45" t="s">
        <v>41</v>
      </c>
      <c r="D1191" s="45" t="s">
        <v>4822</v>
      </c>
    </row>
    <row r="1192" spans="1:4" s="45" customFormat="1" ht="13.5" x14ac:dyDescent="0.15">
      <c r="A1192" s="45" t="s">
        <v>41</v>
      </c>
      <c r="D1192" s="45" t="s">
        <v>2616</v>
      </c>
    </row>
    <row r="1193" spans="1:4" s="45" customFormat="1" ht="13.5" x14ac:dyDescent="0.15">
      <c r="A1193" s="45" t="s">
        <v>41</v>
      </c>
      <c r="D1193" s="45" t="s">
        <v>4823</v>
      </c>
    </row>
    <row r="1194" spans="1:4" s="45" customFormat="1" ht="13.5" x14ac:dyDescent="0.15">
      <c r="A1194" s="45" t="s">
        <v>41</v>
      </c>
      <c r="D1194" s="45" t="s">
        <v>4824</v>
      </c>
    </row>
    <row r="1195" spans="1:4" s="45" customFormat="1" ht="13.5" x14ac:dyDescent="0.15">
      <c r="A1195" s="45" t="s">
        <v>41</v>
      </c>
      <c r="D1195" s="45" t="s">
        <v>4825</v>
      </c>
    </row>
    <row r="1196" spans="1:4" s="45" customFormat="1" ht="13.5" x14ac:dyDescent="0.15">
      <c r="A1196" s="45" t="s">
        <v>41</v>
      </c>
      <c r="D1196" s="45" t="s">
        <v>2036</v>
      </c>
    </row>
    <row r="1197" spans="1:4" s="45" customFormat="1" ht="13.5" x14ac:dyDescent="0.15">
      <c r="A1197" s="45" t="s">
        <v>41</v>
      </c>
      <c r="D1197" s="45" t="s">
        <v>4826</v>
      </c>
    </row>
    <row r="1198" spans="1:4" s="45" customFormat="1" ht="13.5" x14ac:dyDescent="0.15">
      <c r="A1198" s="45" t="s">
        <v>41</v>
      </c>
      <c r="D1198" s="45" t="s">
        <v>2035</v>
      </c>
    </row>
    <row r="1199" spans="1:4" s="45" customFormat="1" ht="13.5" x14ac:dyDescent="0.15">
      <c r="A1199" s="45" t="s">
        <v>41</v>
      </c>
      <c r="D1199" s="45" t="s">
        <v>4827</v>
      </c>
    </row>
    <row r="1200" spans="1:4" s="45" customFormat="1" ht="13.5" x14ac:dyDescent="0.15">
      <c r="A1200" s="45" t="s">
        <v>41</v>
      </c>
      <c r="D1200" s="45" t="s">
        <v>2037</v>
      </c>
    </row>
    <row r="1201" spans="1:4" s="45" customFormat="1" ht="13.5" x14ac:dyDescent="0.15">
      <c r="A1201" s="45" t="s">
        <v>41</v>
      </c>
      <c r="D1201" s="45" t="s">
        <v>4828</v>
      </c>
    </row>
    <row r="1202" spans="1:4" s="45" customFormat="1" ht="13.5" x14ac:dyDescent="0.15">
      <c r="A1202" s="45" t="s">
        <v>41</v>
      </c>
      <c r="D1202" s="45" t="s">
        <v>1148</v>
      </c>
    </row>
    <row r="1203" spans="1:4" s="45" customFormat="1" ht="13.5" x14ac:dyDescent="0.15">
      <c r="A1203" s="45" t="s">
        <v>41</v>
      </c>
      <c r="D1203" s="45" t="s">
        <v>4829</v>
      </c>
    </row>
    <row r="1204" spans="1:4" s="45" customFormat="1" ht="13.5" x14ac:dyDescent="0.15">
      <c r="A1204" s="45" t="s">
        <v>41</v>
      </c>
      <c r="D1204" s="45" t="s">
        <v>4830</v>
      </c>
    </row>
    <row r="1205" spans="1:4" s="45" customFormat="1" ht="13.5" x14ac:dyDescent="0.15">
      <c r="A1205" s="45" t="s">
        <v>41</v>
      </c>
      <c r="D1205" s="45" t="s">
        <v>4831</v>
      </c>
    </row>
    <row r="1206" spans="1:4" s="45" customFormat="1" ht="13.5" x14ac:dyDescent="0.15">
      <c r="A1206" s="45" t="s">
        <v>41</v>
      </c>
      <c r="D1206" s="45" t="s">
        <v>4832</v>
      </c>
    </row>
    <row r="1207" spans="1:4" s="45" customFormat="1" ht="13.5" x14ac:dyDescent="0.15">
      <c r="A1207" s="45" t="s">
        <v>41</v>
      </c>
      <c r="D1207" s="45" t="s">
        <v>1149</v>
      </c>
    </row>
    <row r="1208" spans="1:4" s="45" customFormat="1" ht="13.5" x14ac:dyDescent="0.15">
      <c r="A1208" s="45" t="s">
        <v>41</v>
      </c>
      <c r="D1208" s="45" t="s">
        <v>4833</v>
      </c>
    </row>
    <row r="1209" spans="1:4" s="45" customFormat="1" ht="13.5" x14ac:dyDescent="0.15">
      <c r="A1209" s="45" t="s">
        <v>41</v>
      </c>
      <c r="D1209" s="45" t="s">
        <v>4834</v>
      </c>
    </row>
    <row r="1210" spans="1:4" s="45" customFormat="1" ht="13.5" x14ac:dyDescent="0.15">
      <c r="A1210" s="45" t="s">
        <v>41</v>
      </c>
      <c r="D1210" s="45" t="s">
        <v>1150</v>
      </c>
    </row>
    <row r="1211" spans="1:4" s="45" customFormat="1" ht="13.5" x14ac:dyDescent="0.15">
      <c r="A1211" s="45" t="s">
        <v>41</v>
      </c>
      <c r="D1211" s="45" t="s">
        <v>4835</v>
      </c>
    </row>
    <row r="1212" spans="1:4" s="45" customFormat="1" ht="13.5" x14ac:dyDescent="0.15">
      <c r="A1212" s="45" t="s">
        <v>41</v>
      </c>
      <c r="D1212" s="45" t="s">
        <v>1166</v>
      </c>
    </row>
    <row r="1213" spans="1:4" s="45" customFormat="1" ht="13.5" x14ac:dyDescent="0.15">
      <c r="A1213" s="45" t="s">
        <v>41</v>
      </c>
      <c r="D1213" s="45" t="s">
        <v>1167</v>
      </c>
    </row>
    <row r="1214" spans="1:4" s="45" customFormat="1" ht="13.5" x14ac:dyDescent="0.15">
      <c r="A1214" s="45" t="s">
        <v>41</v>
      </c>
      <c r="D1214" s="45" t="s">
        <v>1164</v>
      </c>
    </row>
    <row r="1215" spans="1:4" s="45" customFormat="1" ht="13.5" x14ac:dyDescent="0.15">
      <c r="A1215" s="45" t="s">
        <v>41</v>
      </c>
      <c r="D1215" s="45" t="s">
        <v>1165</v>
      </c>
    </row>
    <row r="1216" spans="1:4" s="45" customFormat="1" ht="13.5" x14ac:dyDescent="0.15">
      <c r="A1216" s="45" t="s">
        <v>41</v>
      </c>
      <c r="D1216" s="45" t="s">
        <v>4836</v>
      </c>
    </row>
    <row r="1217" spans="1:4" s="45" customFormat="1" ht="13.5" x14ac:dyDescent="0.15">
      <c r="A1217" s="45" t="s">
        <v>41</v>
      </c>
      <c r="D1217" s="45" t="s">
        <v>4837</v>
      </c>
    </row>
    <row r="1218" spans="1:4" s="45" customFormat="1" ht="13.5" x14ac:dyDescent="0.15">
      <c r="A1218" s="45" t="s">
        <v>41</v>
      </c>
      <c r="D1218" s="45" t="s">
        <v>1171</v>
      </c>
    </row>
    <row r="1219" spans="1:4" s="45" customFormat="1" ht="13.5" x14ac:dyDescent="0.15">
      <c r="A1219" s="45" t="s">
        <v>41</v>
      </c>
      <c r="D1219" s="45" t="s">
        <v>4838</v>
      </c>
    </row>
    <row r="1220" spans="1:4" s="45" customFormat="1" ht="13.5" x14ac:dyDescent="0.15">
      <c r="A1220" s="45" t="s">
        <v>41</v>
      </c>
      <c r="D1220" s="45" t="s">
        <v>4839</v>
      </c>
    </row>
    <row r="1221" spans="1:4" s="45" customFormat="1" ht="13.5" x14ac:dyDescent="0.15">
      <c r="A1221" s="45" t="s">
        <v>41</v>
      </c>
      <c r="D1221" s="45" t="s">
        <v>1163</v>
      </c>
    </row>
    <row r="1222" spans="1:4" s="45" customFormat="1" ht="13.5" x14ac:dyDescent="0.15">
      <c r="A1222" s="45" t="s">
        <v>41</v>
      </c>
      <c r="D1222" s="45" t="s">
        <v>4840</v>
      </c>
    </row>
    <row r="1223" spans="1:4" s="45" customFormat="1" ht="13.5" x14ac:dyDescent="0.15">
      <c r="A1223" s="45" t="s">
        <v>41</v>
      </c>
      <c r="D1223" s="45" t="s">
        <v>4841</v>
      </c>
    </row>
    <row r="1224" spans="1:4" s="45" customFormat="1" ht="13.5" x14ac:dyDescent="0.15">
      <c r="A1224" s="45" t="s">
        <v>41</v>
      </c>
      <c r="D1224" s="45" t="s">
        <v>1168</v>
      </c>
    </row>
    <row r="1225" spans="1:4" s="45" customFormat="1" ht="13.5" x14ac:dyDescent="0.15">
      <c r="A1225" s="45" t="s">
        <v>41</v>
      </c>
      <c r="D1225" s="45" t="s">
        <v>1170</v>
      </c>
    </row>
    <row r="1226" spans="1:4" s="45" customFormat="1" ht="13.5" x14ac:dyDescent="0.15">
      <c r="A1226" s="45" t="s">
        <v>41</v>
      </c>
      <c r="D1226" s="45" t="s">
        <v>1169</v>
      </c>
    </row>
    <row r="1227" spans="1:4" s="45" customFormat="1" ht="13.5" x14ac:dyDescent="0.15">
      <c r="A1227" s="45" t="s">
        <v>41</v>
      </c>
      <c r="D1227" s="45" t="s">
        <v>1162</v>
      </c>
    </row>
    <row r="1228" spans="1:4" s="45" customFormat="1" ht="13.5" x14ac:dyDescent="0.15">
      <c r="A1228" s="45" t="s">
        <v>41</v>
      </c>
      <c r="D1228" s="45" t="s">
        <v>4842</v>
      </c>
    </row>
    <row r="1229" spans="1:4" s="45" customFormat="1" ht="13.5" x14ac:dyDescent="0.15">
      <c r="A1229" s="45" t="s">
        <v>41</v>
      </c>
      <c r="D1229" s="45" t="s">
        <v>1153</v>
      </c>
    </row>
    <row r="1230" spans="1:4" s="45" customFormat="1" ht="13.5" x14ac:dyDescent="0.15">
      <c r="A1230" s="45" t="s">
        <v>41</v>
      </c>
      <c r="D1230" s="45" t="s">
        <v>1154</v>
      </c>
    </row>
    <row r="1231" spans="1:4" s="45" customFormat="1" ht="13.5" x14ac:dyDescent="0.15">
      <c r="A1231" s="45" t="s">
        <v>41</v>
      </c>
      <c r="D1231" s="45" t="s">
        <v>4843</v>
      </c>
    </row>
    <row r="1232" spans="1:4" s="45" customFormat="1" ht="13.5" x14ac:dyDescent="0.15">
      <c r="A1232" s="45" t="s">
        <v>41</v>
      </c>
      <c r="D1232" s="45" t="s">
        <v>4844</v>
      </c>
    </row>
    <row r="1233" spans="1:4" s="45" customFormat="1" ht="13.5" x14ac:dyDescent="0.15">
      <c r="A1233" s="45" t="s">
        <v>41</v>
      </c>
      <c r="D1233" s="45" t="s">
        <v>1155</v>
      </c>
    </row>
    <row r="1234" spans="1:4" s="45" customFormat="1" ht="13.5" x14ac:dyDescent="0.15">
      <c r="A1234" s="45" t="s">
        <v>41</v>
      </c>
      <c r="D1234" s="45" t="s">
        <v>1156</v>
      </c>
    </row>
    <row r="1235" spans="1:4" s="45" customFormat="1" ht="13.5" x14ac:dyDescent="0.15">
      <c r="A1235" s="45" t="s">
        <v>41</v>
      </c>
      <c r="D1235" s="45" t="s">
        <v>1157</v>
      </c>
    </row>
    <row r="1236" spans="1:4" s="45" customFormat="1" ht="13.5" x14ac:dyDescent="0.15">
      <c r="A1236" s="45" t="s">
        <v>41</v>
      </c>
      <c r="D1236" s="45" t="s">
        <v>4845</v>
      </c>
    </row>
    <row r="1237" spans="1:4" s="45" customFormat="1" ht="13.5" x14ac:dyDescent="0.15">
      <c r="A1237" s="45" t="s">
        <v>41</v>
      </c>
      <c r="D1237" s="45" t="s">
        <v>4846</v>
      </c>
    </row>
    <row r="1238" spans="1:4" s="45" customFormat="1" ht="13.5" x14ac:dyDescent="0.15">
      <c r="A1238" s="45" t="s">
        <v>41</v>
      </c>
      <c r="D1238" s="45" t="s">
        <v>4847</v>
      </c>
    </row>
    <row r="1239" spans="1:4" s="45" customFormat="1" ht="13.5" x14ac:dyDescent="0.15">
      <c r="A1239" s="45" t="s">
        <v>41</v>
      </c>
      <c r="D1239" s="45" t="s">
        <v>1158</v>
      </c>
    </row>
    <row r="1240" spans="1:4" s="45" customFormat="1" ht="13.5" x14ac:dyDescent="0.15">
      <c r="A1240" s="45" t="s">
        <v>41</v>
      </c>
      <c r="D1240" s="45" t="s">
        <v>4848</v>
      </c>
    </row>
    <row r="1241" spans="1:4" s="45" customFormat="1" ht="13.5" x14ac:dyDescent="0.15">
      <c r="A1241" s="45" t="s">
        <v>41</v>
      </c>
      <c r="D1241" s="45" t="s">
        <v>4849</v>
      </c>
    </row>
    <row r="1242" spans="1:4" s="45" customFormat="1" ht="13.5" x14ac:dyDescent="0.15">
      <c r="A1242" s="45" t="s">
        <v>41</v>
      </c>
      <c r="D1242" s="45" t="s">
        <v>1161</v>
      </c>
    </row>
    <row r="1243" spans="1:4" s="45" customFormat="1" ht="13.5" x14ac:dyDescent="0.15">
      <c r="A1243" s="45" t="s">
        <v>41</v>
      </c>
      <c r="D1243" s="45" t="s">
        <v>4850</v>
      </c>
    </row>
    <row r="1244" spans="1:4" s="45" customFormat="1" ht="13.5" x14ac:dyDescent="0.15">
      <c r="A1244" s="45" t="s">
        <v>41</v>
      </c>
      <c r="D1244" s="45" t="s">
        <v>4851</v>
      </c>
    </row>
    <row r="1245" spans="1:4" s="45" customFormat="1" ht="13.5" x14ac:dyDescent="0.15">
      <c r="A1245" s="45" t="s">
        <v>41</v>
      </c>
      <c r="D1245" s="45" t="s">
        <v>4852</v>
      </c>
    </row>
    <row r="1246" spans="1:4" s="45" customFormat="1" ht="13.5" x14ac:dyDescent="0.15">
      <c r="A1246" s="45" t="s">
        <v>41</v>
      </c>
      <c r="D1246" s="45" t="s">
        <v>4853</v>
      </c>
    </row>
    <row r="1247" spans="1:4" s="45" customFormat="1" ht="13.5" x14ac:dyDescent="0.15">
      <c r="A1247" s="45" t="s">
        <v>41</v>
      </c>
      <c r="D1247" s="45" t="s">
        <v>4854</v>
      </c>
    </row>
    <row r="1248" spans="1:4" s="45" customFormat="1" ht="13.5" x14ac:dyDescent="0.15">
      <c r="A1248" s="45" t="s">
        <v>41</v>
      </c>
      <c r="D1248" s="45" t="s">
        <v>4855</v>
      </c>
    </row>
    <row r="1249" spans="1:4" s="45" customFormat="1" ht="13.5" x14ac:dyDescent="0.15">
      <c r="A1249" s="45" t="s">
        <v>41</v>
      </c>
      <c r="D1249" s="45" t="s">
        <v>4856</v>
      </c>
    </row>
    <row r="1250" spans="1:4" s="45" customFormat="1" ht="13.5" x14ac:dyDescent="0.15">
      <c r="A1250" s="45" t="s">
        <v>41</v>
      </c>
      <c r="D1250" s="45" t="s">
        <v>4857</v>
      </c>
    </row>
    <row r="1251" spans="1:4" s="45" customFormat="1" ht="13.5" x14ac:dyDescent="0.15">
      <c r="A1251" s="45" t="s">
        <v>41</v>
      </c>
      <c r="D1251" s="45" t="s">
        <v>4858</v>
      </c>
    </row>
    <row r="1252" spans="1:4" s="45" customFormat="1" ht="13.5" x14ac:dyDescent="0.15">
      <c r="A1252" s="45" t="s">
        <v>41</v>
      </c>
      <c r="D1252" s="45" t="s">
        <v>1151</v>
      </c>
    </row>
    <row r="1253" spans="1:4" s="45" customFormat="1" ht="13.5" x14ac:dyDescent="0.15">
      <c r="A1253" s="45" t="s">
        <v>41</v>
      </c>
      <c r="D1253" s="45" t="s">
        <v>1152</v>
      </c>
    </row>
    <row r="1254" spans="1:4" s="45" customFormat="1" ht="13.5" x14ac:dyDescent="0.15">
      <c r="A1254" s="45" t="s">
        <v>41</v>
      </c>
      <c r="D1254" s="45" t="s">
        <v>1159</v>
      </c>
    </row>
    <row r="1255" spans="1:4" s="45" customFormat="1" ht="13.5" x14ac:dyDescent="0.15">
      <c r="A1255" s="45" t="s">
        <v>41</v>
      </c>
      <c r="D1255" s="45" t="s">
        <v>1160</v>
      </c>
    </row>
    <row r="1256" spans="1:4" s="45" customFormat="1" ht="13.5" x14ac:dyDescent="0.15">
      <c r="A1256" s="45" t="s">
        <v>41</v>
      </c>
      <c r="D1256" s="45" t="s">
        <v>4859</v>
      </c>
    </row>
    <row r="1257" spans="1:4" s="45" customFormat="1" ht="13.5" x14ac:dyDescent="0.15">
      <c r="A1257" s="45" t="s">
        <v>41</v>
      </c>
      <c r="D1257" s="45" t="s">
        <v>4860</v>
      </c>
    </row>
    <row r="1258" spans="1:4" s="45" customFormat="1" ht="13.5" x14ac:dyDescent="0.15">
      <c r="A1258" s="45" t="s">
        <v>41</v>
      </c>
      <c r="D1258" s="45" t="s">
        <v>4861</v>
      </c>
    </row>
    <row r="1259" spans="1:4" s="45" customFormat="1" ht="13.5" x14ac:dyDescent="0.15">
      <c r="A1259" s="45" t="s">
        <v>41</v>
      </c>
      <c r="D1259" s="45" t="s">
        <v>4862</v>
      </c>
    </row>
    <row r="1260" spans="1:4" s="45" customFormat="1" ht="13.5" x14ac:dyDescent="0.15">
      <c r="A1260" s="45" t="s">
        <v>41</v>
      </c>
      <c r="D1260" s="45" t="s">
        <v>4863</v>
      </c>
    </row>
    <row r="1261" spans="1:4" s="45" customFormat="1" ht="13.5" x14ac:dyDescent="0.15">
      <c r="A1261" s="45" t="s">
        <v>41</v>
      </c>
      <c r="D1261" s="45" t="s">
        <v>4864</v>
      </c>
    </row>
    <row r="1262" spans="1:4" s="45" customFormat="1" ht="13.5" x14ac:dyDescent="0.15">
      <c r="A1262" s="45" t="s">
        <v>41</v>
      </c>
      <c r="D1262" s="45" t="s">
        <v>4865</v>
      </c>
    </row>
    <row r="1263" spans="1:4" s="45" customFormat="1" ht="13.5" x14ac:dyDescent="0.15">
      <c r="A1263" s="45" t="s">
        <v>41</v>
      </c>
      <c r="D1263" s="45" t="s">
        <v>4866</v>
      </c>
    </row>
    <row r="1264" spans="1:4" s="45" customFormat="1" ht="13.5" x14ac:dyDescent="0.15">
      <c r="A1264" s="45" t="s">
        <v>41</v>
      </c>
      <c r="D1264" s="45" t="s">
        <v>1263</v>
      </c>
    </row>
    <row r="1265" spans="1:4" s="45" customFormat="1" ht="13.5" x14ac:dyDescent="0.15">
      <c r="A1265" s="45" t="s">
        <v>41</v>
      </c>
      <c r="D1265" s="45" t="s">
        <v>1261</v>
      </c>
    </row>
    <row r="1266" spans="1:4" s="45" customFormat="1" ht="13.5" x14ac:dyDescent="0.15">
      <c r="A1266" s="45" t="s">
        <v>41</v>
      </c>
      <c r="D1266" s="45" t="s">
        <v>1262</v>
      </c>
    </row>
    <row r="1267" spans="1:4" s="45" customFormat="1" ht="13.5" x14ac:dyDescent="0.15">
      <c r="A1267" s="45" t="s">
        <v>41</v>
      </c>
      <c r="D1267" s="45" t="s">
        <v>4867</v>
      </c>
    </row>
    <row r="1268" spans="1:4" s="45" customFormat="1" ht="13.5" x14ac:dyDescent="0.15">
      <c r="A1268" s="45" t="s">
        <v>41</v>
      </c>
      <c r="D1268" s="45" t="s">
        <v>4868</v>
      </c>
    </row>
    <row r="1269" spans="1:4" s="45" customFormat="1" ht="13.5" x14ac:dyDescent="0.15">
      <c r="A1269" s="45" t="s">
        <v>41</v>
      </c>
      <c r="D1269" s="45" t="s">
        <v>4869</v>
      </c>
    </row>
    <row r="1270" spans="1:4" s="45" customFormat="1" ht="13.5" x14ac:dyDescent="0.15">
      <c r="A1270" s="45" t="s">
        <v>41</v>
      </c>
      <c r="D1270" s="45" t="s">
        <v>4870</v>
      </c>
    </row>
    <row r="1271" spans="1:4" s="45" customFormat="1" ht="13.5" x14ac:dyDescent="0.15">
      <c r="A1271" s="45" t="s">
        <v>41</v>
      </c>
      <c r="D1271" s="45" t="s">
        <v>1980</v>
      </c>
    </row>
    <row r="1272" spans="1:4" s="45" customFormat="1" ht="13.5" x14ac:dyDescent="0.15">
      <c r="A1272" s="45" t="s">
        <v>41</v>
      </c>
      <c r="D1272" s="45" t="s">
        <v>4871</v>
      </c>
    </row>
    <row r="1273" spans="1:4" s="45" customFormat="1" ht="13.5" x14ac:dyDescent="0.15">
      <c r="A1273" s="45" t="s">
        <v>41</v>
      </c>
      <c r="D1273" s="45" t="s">
        <v>1988</v>
      </c>
    </row>
    <row r="1274" spans="1:4" s="45" customFormat="1" ht="13.5" x14ac:dyDescent="0.15">
      <c r="A1274" s="45" t="s">
        <v>41</v>
      </c>
      <c r="D1274" s="45" t="s">
        <v>1984</v>
      </c>
    </row>
    <row r="1275" spans="1:4" s="45" customFormat="1" ht="13.5" x14ac:dyDescent="0.15">
      <c r="A1275" s="45" t="s">
        <v>41</v>
      </c>
      <c r="D1275" s="45" t="s">
        <v>4872</v>
      </c>
    </row>
    <row r="1276" spans="1:4" s="45" customFormat="1" ht="13.5" x14ac:dyDescent="0.15">
      <c r="A1276" s="45" t="s">
        <v>41</v>
      </c>
      <c r="D1276" s="45" t="s">
        <v>1987</v>
      </c>
    </row>
    <row r="1277" spans="1:4" s="45" customFormat="1" ht="13.5" x14ac:dyDescent="0.15">
      <c r="A1277" s="45" t="s">
        <v>41</v>
      </c>
      <c r="D1277" s="45" t="s">
        <v>1985</v>
      </c>
    </row>
    <row r="1278" spans="1:4" s="45" customFormat="1" ht="13.5" x14ac:dyDescent="0.15">
      <c r="A1278" s="45" t="s">
        <v>41</v>
      </c>
      <c r="D1278" s="45" t="s">
        <v>1981</v>
      </c>
    </row>
    <row r="1279" spans="1:4" s="45" customFormat="1" ht="13.5" x14ac:dyDescent="0.15">
      <c r="A1279" s="45" t="s">
        <v>41</v>
      </c>
      <c r="D1279" s="45" t="s">
        <v>1982</v>
      </c>
    </row>
    <row r="1280" spans="1:4" s="45" customFormat="1" ht="13.5" x14ac:dyDescent="0.15">
      <c r="A1280" s="45" t="s">
        <v>41</v>
      </c>
      <c r="D1280" s="45" t="s">
        <v>1983</v>
      </c>
    </row>
    <row r="1281" spans="1:4" s="45" customFormat="1" ht="13.5" x14ac:dyDescent="0.15">
      <c r="A1281" s="45" t="s">
        <v>41</v>
      </c>
      <c r="D1281" s="45" t="s">
        <v>4873</v>
      </c>
    </row>
    <row r="1282" spans="1:4" s="45" customFormat="1" ht="13.5" x14ac:dyDescent="0.15">
      <c r="A1282" s="45" t="s">
        <v>41</v>
      </c>
      <c r="D1282" s="45" t="s">
        <v>1986</v>
      </c>
    </row>
    <row r="1283" spans="1:4" s="45" customFormat="1" ht="13.5" x14ac:dyDescent="0.15">
      <c r="A1283" s="45" t="s">
        <v>41</v>
      </c>
      <c r="D1283" s="45" t="s">
        <v>4874</v>
      </c>
    </row>
    <row r="1284" spans="1:4" s="45" customFormat="1" ht="13.5" x14ac:dyDescent="0.15">
      <c r="A1284" s="45" t="s">
        <v>41</v>
      </c>
      <c r="D1284" s="45" t="s">
        <v>4875</v>
      </c>
    </row>
    <row r="1285" spans="1:4" s="45" customFormat="1" ht="13.5" x14ac:dyDescent="0.15">
      <c r="A1285" s="45" t="s">
        <v>41</v>
      </c>
      <c r="D1285" s="45" t="s">
        <v>4876</v>
      </c>
    </row>
    <row r="1286" spans="1:4" s="45" customFormat="1" ht="13.5" x14ac:dyDescent="0.15">
      <c r="A1286" s="45" t="s">
        <v>41</v>
      </c>
      <c r="D1286" s="45" t="s">
        <v>1902</v>
      </c>
    </row>
    <row r="1287" spans="1:4" s="45" customFormat="1" ht="13.5" x14ac:dyDescent="0.15">
      <c r="A1287" s="45" t="s">
        <v>41</v>
      </c>
      <c r="D1287" s="45" t="s">
        <v>4877</v>
      </c>
    </row>
    <row r="1288" spans="1:4" s="45" customFormat="1" ht="13.5" x14ac:dyDescent="0.15">
      <c r="A1288" s="45" t="s">
        <v>41</v>
      </c>
      <c r="D1288" s="45" t="s">
        <v>4878</v>
      </c>
    </row>
    <row r="1289" spans="1:4" s="45" customFormat="1" ht="13.5" x14ac:dyDescent="0.15">
      <c r="A1289" s="45" t="s">
        <v>41</v>
      </c>
      <c r="D1289" s="45" t="s">
        <v>4879</v>
      </c>
    </row>
    <row r="1290" spans="1:4" s="45" customFormat="1" ht="13.5" x14ac:dyDescent="0.15">
      <c r="A1290" s="45" t="s">
        <v>41</v>
      </c>
      <c r="D1290" s="45" t="s">
        <v>4880</v>
      </c>
    </row>
    <row r="1291" spans="1:4" s="45" customFormat="1" ht="13.5" x14ac:dyDescent="0.15">
      <c r="A1291" s="45" t="s">
        <v>41</v>
      </c>
      <c r="D1291" s="45" t="s">
        <v>4881</v>
      </c>
    </row>
    <row r="1292" spans="1:4" s="45" customFormat="1" ht="13.5" x14ac:dyDescent="0.15">
      <c r="A1292" s="45" t="s">
        <v>41</v>
      </c>
      <c r="D1292" s="45" t="s">
        <v>4882</v>
      </c>
    </row>
    <row r="1293" spans="1:4" s="45" customFormat="1" ht="13.5" x14ac:dyDescent="0.15">
      <c r="A1293" s="45" t="s">
        <v>41</v>
      </c>
      <c r="D1293" s="45" t="s">
        <v>4883</v>
      </c>
    </row>
    <row r="1294" spans="1:4" s="45" customFormat="1" ht="13.5" x14ac:dyDescent="0.15">
      <c r="A1294" s="45" t="s">
        <v>41</v>
      </c>
      <c r="D1294" s="45" t="s">
        <v>4884</v>
      </c>
    </row>
    <row r="1295" spans="1:4" s="45" customFormat="1" ht="13.5" x14ac:dyDescent="0.15">
      <c r="A1295" s="45" t="s">
        <v>41</v>
      </c>
      <c r="D1295" s="45" t="s">
        <v>4885</v>
      </c>
    </row>
    <row r="1296" spans="1:4" s="45" customFormat="1" ht="13.5" x14ac:dyDescent="0.15">
      <c r="A1296" s="45" t="s">
        <v>41</v>
      </c>
      <c r="D1296" s="45" t="s">
        <v>4886</v>
      </c>
    </row>
    <row r="1297" spans="1:4" s="45" customFormat="1" ht="13.5" x14ac:dyDescent="0.15">
      <c r="A1297" s="45" t="s">
        <v>41</v>
      </c>
      <c r="D1297" s="45" t="s">
        <v>4887</v>
      </c>
    </row>
    <row r="1298" spans="1:4" s="45" customFormat="1" ht="13.5" x14ac:dyDescent="0.15">
      <c r="A1298" s="45" t="s">
        <v>41</v>
      </c>
      <c r="D1298" s="45" t="s">
        <v>4888</v>
      </c>
    </row>
    <row r="1299" spans="1:4" s="45" customFormat="1" ht="13.5" x14ac:dyDescent="0.15">
      <c r="A1299" s="45" t="s">
        <v>41</v>
      </c>
      <c r="D1299" s="45" t="s">
        <v>379</v>
      </c>
    </row>
    <row r="1300" spans="1:4" s="45" customFormat="1" ht="13.5" x14ac:dyDescent="0.15">
      <c r="A1300" s="45" t="s">
        <v>41</v>
      </c>
      <c r="D1300" s="45" t="s">
        <v>380</v>
      </c>
    </row>
    <row r="1301" spans="1:4" s="45" customFormat="1" ht="13.5" x14ac:dyDescent="0.15">
      <c r="A1301" s="45" t="s">
        <v>41</v>
      </c>
      <c r="D1301" s="45" t="s">
        <v>4889</v>
      </c>
    </row>
    <row r="1302" spans="1:4" s="45" customFormat="1" ht="13.5" x14ac:dyDescent="0.15">
      <c r="A1302" s="45" t="s">
        <v>41</v>
      </c>
      <c r="D1302" s="45" t="s">
        <v>4890</v>
      </c>
    </row>
    <row r="1303" spans="1:4" s="45" customFormat="1" ht="13.5" x14ac:dyDescent="0.15">
      <c r="A1303" s="45" t="s">
        <v>41</v>
      </c>
      <c r="D1303" s="45" t="s">
        <v>4891</v>
      </c>
    </row>
    <row r="1304" spans="1:4" s="45" customFormat="1" ht="13.5" x14ac:dyDescent="0.15">
      <c r="A1304" s="45" t="s">
        <v>41</v>
      </c>
      <c r="D1304" s="45" t="s">
        <v>290</v>
      </c>
    </row>
    <row r="1305" spans="1:4" s="45" customFormat="1" ht="13.5" x14ac:dyDescent="0.15">
      <c r="A1305" s="45" t="s">
        <v>41</v>
      </c>
      <c r="D1305" s="45" t="s">
        <v>1498</v>
      </c>
    </row>
    <row r="1306" spans="1:4" s="45" customFormat="1" ht="13.5" x14ac:dyDescent="0.15">
      <c r="A1306" s="45" t="s">
        <v>41</v>
      </c>
      <c r="D1306" s="45" t="s">
        <v>1497</v>
      </c>
    </row>
    <row r="1307" spans="1:4" s="45" customFormat="1" ht="13.5" x14ac:dyDescent="0.15">
      <c r="A1307" s="45" t="s">
        <v>41</v>
      </c>
      <c r="D1307" s="45" t="s">
        <v>4892</v>
      </c>
    </row>
    <row r="1308" spans="1:4" s="45" customFormat="1" ht="13.5" x14ac:dyDescent="0.15">
      <c r="A1308" s="45" t="s">
        <v>41</v>
      </c>
      <c r="D1308" s="45" t="s">
        <v>4893</v>
      </c>
    </row>
    <row r="1309" spans="1:4" s="45" customFormat="1" ht="13.5" x14ac:dyDescent="0.15">
      <c r="A1309" s="45" t="s">
        <v>41</v>
      </c>
      <c r="D1309" s="45" t="s">
        <v>4894</v>
      </c>
    </row>
    <row r="1310" spans="1:4" s="45" customFormat="1" ht="13.5" x14ac:dyDescent="0.15">
      <c r="A1310" s="45" t="s">
        <v>41</v>
      </c>
      <c r="D1310" s="45" t="s">
        <v>4895</v>
      </c>
    </row>
    <row r="1311" spans="1:4" s="45" customFormat="1" ht="13.5" x14ac:dyDescent="0.15">
      <c r="A1311" s="45" t="s">
        <v>41</v>
      </c>
      <c r="D1311" s="45" t="s">
        <v>4896</v>
      </c>
    </row>
    <row r="1312" spans="1:4" s="45" customFormat="1" ht="13.5" x14ac:dyDescent="0.15">
      <c r="A1312" s="45" t="s">
        <v>41</v>
      </c>
      <c r="D1312" s="45" t="s">
        <v>4897</v>
      </c>
    </row>
    <row r="1313" spans="1:4" s="45" customFormat="1" ht="13.5" x14ac:dyDescent="0.15">
      <c r="A1313" s="45" t="s">
        <v>41</v>
      </c>
      <c r="D1313" s="45" t="s">
        <v>4898</v>
      </c>
    </row>
    <row r="1314" spans="1:4" s="45" customFormat="1" ht="13.5" x14ac:dyDescent="0.15">
      <c r="A1314" s="45" t="s">
        <v>41</v>
      </c>
      <c r="D1314" s="45" t="s">
        <v>1265</v>
      </c>
    </row>
    <row r="1315" spans="1:4" s="45" customFormat="1" ht="13.5" x14ac:dyDescent="0.15">
      <c r="A1315" s="45" t="s">
        <v>41</v>
      </c>
      <c r="D1315" s="45" t="s">
        <v>1266</v>
      </c>
    </row>
    <row r="1316" spans="1:4" s="45" customFormat="1" ht="13.5" x14ac:dyDescent="0.15">
      <c r="A1316" s="45" t="s">
        <v>41</v>
      </c>
      <c r="D1316" s="45" t="s">
        <v>4899</v>
      </c>
    </row>
    <row r="1317" spans="1:4" s="45" customFormat="1" ht="13.5" x14ac:dyDescent="0.15">
      <c r="A1317" s="45" t="s">
        <v>41</v>
      </c>
      <c r="D1317" s="45" t="s">
        <v>1118</v>
      </c>
    </row>
    <row r="1318" spans="1:4" s="45" customFormat="1" ht="13.5" x14ac:dyDescent="0.15">
      <c r="A1318" s="45" t="s">
        <v>41</v>
      </c>
      <c r="D1318" s="45" t="s">
        <v>4900</v>
      </c>
    </row>
    <row r="1319" spans="1:4" s="45" customFormat="1" ht="13.5" x14ac:dyDescent="0.15">
      <c r="A1319" s="45" t="s">
        <v>41</v>
      </c>
      <c r="D1319" s="45" t="s">
        <v>1119</v>
      </c>
    </row>
    <row r="1320" spans="1:4" s="45" customFormat="1" ht="13.5" x14ac:dyDescent="0.15">
      <c r="A1320" s="45" t="s">
        <v>41</v>
      </c>
      <c r="D1320" s="45" t="s">
        <v>4901</v>
      </c>
    </row>
    <row r="1321" spans="1:4" s="45" customFormat="1" ht="13.5" x14ac:dyDescent="0.15">
      <c r="A1321" s="45" t="s">
        <v>41</v>
      </c>
      <c r="D1321" s="45" t="s">
        <v>4902</v>
      </c>
    </row>
    <row r="1322" spans="1:4" s="45" customFormat="1" ht="13.5" x14ac:dyDescent="0.15">
      <c r="A1322" s="45" t="s">
        <v>41</v>
      </c>
      <c r="D1322" s="45" t="s">
        <v>4903</v>
      </c>
    </row>
    <row r="1323" spans="1:4" s="45" customFormat="1" ht="13.5" x14ac:dyDescent="0.15">
      <c r="A1323" s="45" t="s">
        <v>41</v>
      </c>
      <c r="D1323" s="45" t="s">
        <v>4904</v>
      </c>
    </row>
    <row r="1324" spans="1:4" s="45" customFormat="1" ht="13.5" x14ac:dyDescent="0.15">
      <c r="A1324" s="45" t="s">
        <v>41</v>
      </c>
      <c r="D1324" s="45" t="s">
        <v>4905</v>
      </c>
    </row>
    <row r="1325" spans="1:4" s="45" customFormat="1" ht="13.5" x14ac:dyDescent="0.15">
      <c r="A1325" s="45" t="s">
        <v>41</v>
      </c>
      <c r="D1325" s="45" t="s">
        <v>4906</v>
      </c>
    </row>
    <row r="1326" spans="1:4" s="45" customFormat="1" ht="13.5" x14ac:dyDescent="0.15">
      <c r="A1326" s="45" t="s">
        <v>41</v>
      </c>
      <c r="D1326" s="45" t="s">
        <v>4907</v>
      </c>
    </row>
    <row r="1327" spans="1:4" s="45" customFormat="1" ht="13.5" x14ac:dyDescent="0.15">
      <c r="A1327" s="45" t="s">
        <v>41</v>
      </c>
      <c r="D1327" s="45" t="s">
        <v>4908</v>
      </c>
    </row>
    <row r="1328" spans="1:4" s="45" customFormat="1" ht="13.5" x14ac:dyDescent="0.15">
      <c r="A1328" s="45" t="s">
        <v>41</v>
      </c>
      <c r="D1328" s="45" t="s">
        <v>4909</v>
      </c>
    </row>
    <row r="1329" spans="1:4" s="45" customFormat="1" ht="13.5" x14ac:dyDescent="0.15">
      <c r="A1329" s="45" t="s">
        <v>41</v>
      </c>
      <c r="D1329" s="45" t="s">
        <v>4910</v>
      </c>
    </row>
    <row r="1330" spans="1:4" s="45" customFormat="1" ht="13.5" x14ac:dyDescent="0.15">
      <c r="A1330" s="45" t="s">
        <v>41</v>
      </c>
      <c r="D1330" s="45" t="s">
        <v>4911</v>
      </c>
    </row>
    <row r="1331" spans="1:4" s="45" customFormat="1" ht="13.5" x14ac:dyDescent="0.15">
      <c r="A1331" s="45" t="s">
        <v>41</v>
      </c>
      <c r="D1331" s="45" t="s">
        <v>4912</v>
      </c>
    </row>
    <row r="1332" spans="1:4" s="45" customFormat="1" ht="13.5" x14ac:dyDescent="0.15">
      <c r="A1332" s="45" t="s">
        <v>41</v>
      </c>
      <c r="D1332" s="45" t="s">
        <v>4913</v>
      </c>
    </row>
    <row r="1333" spans="1:4" s="45" customFormat="1" ht="13.5" x14ac:dyDescent="0.15">
      <c r="A1333" s="45" t="s">
        <v>41</v>
      </c>
      <c r="D1333" s="45" t="s">
        <v>4914</v>
      </c>
    </row>
    <row r="1334" spans="1:4" s="45" customFormat="1" ht="13.5" x14ac:dyDescent="0.15">
      <c r="A1334" s="45" t="s">
        <v>41</v>
      </c>
      <c r="D1334" s="45" t="s">
        <v>4915</v>
      </c>
    </row>
    <row r="1335" spans="1:4" s="45" customFormat="1" ht="13.5" x14ac:dyDescent="0.15">
      <c r="A1335" s="45" t="s">
        <v>41</v>
      </c>
      <c r="D1335" s="45" t="s">
        <v>1126</v>
      </c>
    </row>
    <row r="1336" spans="1:4" s="45" customFormat="1" ht="13.5" x14ac:dyDescent="0.15">
      <c r="A1336" s="45" t="s">
        <v>41</v>
      </c>
      <c r="D1336" s="45" t="s">
        <v>1128</v>
      </c>
    </row>
    <row r="1337" spans="1:4" s="45" customFormat="1" ht="13.5" x14ac:dyDescent="0.15">
      <c r="A1337" s="45" t="s">
        <v>41</v>
      </c>
      <c r="D1337" s="45" t="s">
        <v>1127</v>
      </c>
    </row>
    <row r="1338" spans="1:4" s="45" customFormat="1" ht="13.5" x14ac:dyDescent="0.15">
      <c r="A1338" s="45" t="s">
        <v>41</v>
      </c>
      <c r="D1338" s="45" t="s">
        <v>1120</v>
      </c>
    </row>
    <row r="1339" spans="1:4" s="45" customFormat="1" ht="13.5" x14ac:dyDescent="0.15">
      <c r="A1339" s="45" t="s">
        <v>41</v>
      </c>
      <c r="D1339" s="45" t="s">
        <v>1121</v>
      </c>
    </row>
    <row r="1340" spans="1:4" s="45" customFormat="1" ht="13.5" x14ac:dyDescent="0.15">
      <c r="A1340" s="45" t="s">
        <v>41</v>
      </c>
      <c r="D1340" s="45" t="s">
        <v>1122</v>
      </c>
    </row>
    <row r="1341" spans="1:4" s="45" customFormat="1" ht="13.5" x14ac:dyDescent="0.15">
      <c r="A1341" s="45" t="s">
        <v>41</v>
      </c>
      <c r="D1341" s="45" t="s">
        <v>1123</v>
      </c>
    </row>
    <row r="1342" spans="1:4" s="45" customFormat="1" ht="13.5" x14ac:dyDescent="0.15">
      <c r="A1342" s="45" t="s">
        <v>41</v>
      </c>
      <c r="D1342" s="45" t="s">
        <v>1124</v>
      </c>
    </row>
    <row r="1343" spans="1:4" s="45" customFormat="1" ht="13.5" x14ac:dyDescent="0.15">
      <c r="A1343" s="45" t="s">
        <v>41</v>
      </c>
      <c r="D1343" s="45" t="s">
        <v>4916</v>
      </c>
    </row>
    <row r="1344" spans="1:4" s="45" customFormat="1" ht="13.5" x14ac:dyDescent="0.15">
      <c r="A1344" s="45" t="s">
        <v>41</v>
      </c>
      <c r="D1344" s="45" t="s">
        <v>4917</v>
      </c>
    </row>
    <row r="1345" spans="1:4" s="45" customFormat="1" ht="13.5" x14ac:dyDescent="0.15">
      <c r="A1345" s="45" t="s">
        <v>41</v>
      </c>
      <c r="D1345" s="45" t="s">
        <v>4918</v>
      </c>
    </row>
    <row r="1346" spans="1:4" s="45" customFormat="1" ht="13.5" x14ac:dyDescent="0.15">
      <c r="A1346" s="45" t="s">
        <v>41</v>
      </c>
      <c r="D1346" s="45" t="s">
        <v>4919</v>
      </c>
    </row>
    <row r="1347" spans="1:4" s="45" customFormat="1" ht="13.5" x14ac:dyDescent="0.15">
      <c r="A1347" s="45" t="s">
        <v>41</v>
      </c>
      <c r="D1347" s="45" t="s">
        <v>4920</v>
      </c>
    </row>
    <row r="1348" spans="1:4" s="45" customFormat="1" ht="13.5" x14ac:dyDescent="0.15">
      <c r="A1348" s="45" t="s">
        <v>41</v>
      </c>
      <c r="D1348" s="45" t="s">
        <v>4921</v>
      </c>
    </row>
    <row r="1349" spans="1:4" s="45" customFormat="1" ht="13.5" x14ac:dyDescent="0.15">
      <c r="A1349" s="45" t="s">
        <v>41</v>
      </c>
      <c r="D1349" s="45" t="s">
        <v>1125</v>
      </c>
    </row>
    <row r="1350" spans="1:4" s="45" customFormat="1" ht="13.5" x14ac:dyDescent="0.15">
      <c r="A1350" s="45" t="s">
        <v>41</v>
      </c>
      <c r="D1350" s="45" t="s">
        <v>4922</v>
      </c>
    </row>
    <row r="1351" spans="1:4" s="45" customFormat="1" ht="13.5" x14ac:dyDescent="0.15">
      <c r="A1351" s="45" t="s">
        <v>41</v>
      </c>
      <c r="D1351" s="45" t="s">
        <v>4923</v>
      </c>
    </row>
    <row r="1352" spans="1:4" s="45" customFormat="1" ht="13.5" x14ac:dyDescent="0.15">
      <c r="A1352" s="45" t="s">
        <v>41</v>
      </c>
      <c r="D1352" s="45" t="s">
        <v>4924</v>
      </c>
    </row>
    <row r="1353" spans="1:4" s="45" customFormat="1" ht="13.5" x14ac:dyDescent="0.15">
      <c r="A1353" s="45" t="s">
        <v>41</v>
      </c>
      <c r="D1353" s="45" t="s">
        <v>4925</v>
      </c>
    </row>
    <row r="1354" spans="1:4" s="45" customFormat="1" ht="13.5" x14ac:dyDescent="0.15">
      <c r="A1354" s="45" t="s">
        <v>41</v>
      </c>
      <c r="D1354" s="45" t="s">
        <v>4926</v>
      </c>
    </row>
    <row r="1355" spans="1:4" s="45" customFormat="1" ht="13.5" x14ac:dyDescent="0.15">
      <c r="A1355" s="45" t="s">
        <v>41</v>
      </c>
      <c r="D1355" s="45" t="s">
        <v>4927</v>
      </c>
    </row>
    <row r="1356" spans="1:4" s="45" customFormat="1" ht="13.5" x14ac:dyDescent="0.15">
      <c r="A1356" s="45" t="s">
        <v>41</v>
      </c>
      <c r="D1356" s="45" t="s">
        <v>4928</v>
      </c>
    </row>
    <row r="1357" spans="1:4" s="45" customFormat="1" ht="13.5" x14ac:dyDescent="0.15">
      <c r="A1357" s="45" t="s">
        <v>41</v>
      </c>
      <c r="D1357" s="45" t="s">
        <v>4929</v>
      </c>
    </row>
    <row r="1358" spans="1:4" s="45" customFormat="1" ht="13.5" x14ac:dyDescent="0.15">
      <c r="A1358" s="45" t="s">
        <v>41</v>
      </c>
      <c r="D1358" s="45" t="s">
        <v>4930</v>
      </c>
    </row>
    <row r="1359" spans="1:4" s="45" customFormat="1" ht="13.5" x14ac:dyDescent="0.15">
      <c r="A1359" s="45" t="s">
        <v>41</v>
      </c>
      <c r="D1359" s="45" t="s">
        <v>4931</v>
      </c>
    </row>
    <row r="1360" spans="1:4" s="45" customFormat="1" ht="13.5" x14ac:dyDescent="0.15">
      <c r="A1360" s="45" t="s">
        <v>41</v>
      </c>
      <c r="D1360" s="45" t="s">
        <v>4932</v>
      </c>
    </row>
    <row r="1361" spans="1:4" s="45" customFormat="1" ht="13.5" x14ac:dyDescent="0.15">
      <c r="A1361" s="45" t="s">
        <v>41</v>
      </c>
      <c r="D1361" s="45" t="s">
        <v>4933</v>
      </c>
    </row>
    <row r="1362" spans="1:4" s="45" customFormat="1" ht="13.5" x14ac:dyDescent="0.15">
      <c r="A1362" s="45" t="s">
        <v>41</v>
      </c>
      <c r="D1362" s="45" t="s">
        <v>1361</v>
      </c>
    </row>
    <row r="1363" spans="1:4" s="45" customFormat="1" ht="13.5" x14ac:dyDescent="0.15">
      <c r="A1363" s="45" t="s">
        <v>41</v>
      </c>
      <c r="D1363" s="45" t="s">
        <v>4934</v>
      </c>
    </row>
    <row r="1364" spans="1:4" s="45" customFormat="1" ht="13.5" x14ac:dyDescent="0.15">
      <c r="A1364" s="45" t="s">
        <v>41</v>
      </c>
      <c r="D1364" s="45" t="s">
        <v>4935</v>
      </c>
    </row>
    <row r="1365" spans="1:4" s="45" customFormat="1" ht="13.5" x14ac:dyDescent="0.15">
      <c r="A1365" s="45" t="s">
        <v>41</v>
      </c>
      <c r="D1365" s="45" t="s">
        <v>4936</v>
      </c>
    </row>
    <row r="1366" spans="1:4" s="45" customFormat="1" ht="13.5" x14ac:dyDescent="0.15">
      <c r="A1366" s="45" t="s">
        <v>41</v>
      </c>
      <c r="D1366" s="45" t="s">
        <v>4937</v>
      </c>
    </row>
    <row r="1367" spans="1:4" s="45" customFormat="1" ht="13.5" x14ac:dyDescent="0.15">
      <c r="A1367" s="45" t="s">
        <v>41</v>
      </c>
      <c r="D1367" s="45" t="s">
        <v>2078</v>
      </c>
    </row>
    <row r="1368" spans="1:4" s="45" customFormat="1" ht="13.5" x14ac:dyDescent="0.15">
      <c r="A1368" s="45" t="s">
        <v>41</v>
      </c>
      <c r="D1368" s="45" t="s">
        <v>4938</v>
      </c>
    </row>
    <row r="1369" spans="1:4" s="45" customFormat="1" ht="13.5" x14ac:dyDescent="0.15">
      <c r="A1369" s="45" t="s">
        <v>41</v>
      </c>
      <c r="D1369" s="45" t="s">
        <v>4939</v>
      </c>
    </row>
    <row r="1370" spans="1:4" s="45" customFormat="1" ht="13.5" x14ac:dyDescent="0.15">
      <c r="A1370" s="45" t="s">
        <v>41</v>
      </c>
      <c r="D1370" s="45" t="s">
        <v>4940</v>
      </c>
    </row>
    <row r="1371" spans="1:4" s="45" customFormat="1" ht="13.5" x14ac:dyDescent="0.15">
      <c r="A1371" s="45" t="s">
        <v>41</v>
      </c>
      <c r="D1371" s="45" t="s">
        <v>216</v>
      </c>
    </row>
    <row r="1372" spans="1:4" s="45" customFormat="1" ht="13.5" x14ac:dyDescent="0.15">
      <c r="A1372" s="45" t="s">
        <v>41</v>
      </c>
      <c r="D1372" s="45" t="s">
        <v>4941</v>
      </c>
    </row>
    <row r="1373" spans="1:4" s="45" customFormat="1" ht="13.5" x14ac:dyDescent="0.15">
      <c r="A1373" s="45" t="s">
        <v>41</v>
      </c>
      <c r="D1373" s="45" t="s">
        <v>2027</v>
      </c>
    </row>
    <row r="1374" spans="1:4" s="45" customFormat="1" ht="13.5" x14ac:dyDescent="0.15">
      <c r="A1374" s="45" t="s">
        <v>41</v>
      </c>
      <c r="D1374" s="45" t="s">
        <v>4942</v>
      </c>
    </row>
    <row r="1375" spans="1:4" s="45" customFormat="1" ht="13.5" x14ac:dyDescent="0.15">
      <c r="A1375" s="45" t="s">
        <v>41</v>
      </c>
      <c r="D1375" s="45" t="s">
        <v>630</v>
      </c>
    </row>
    <row r="1376" spans="1:4" s="45" customFormat="1" ht="13.5" x14ac:dyDescent="0.15">
      <c r="A1376" s="45" t="s">
        <v>41</v>
      </c>
      <c r="D1376" s="45" t="s">
        <v>4943</v>
      </c>
    </row>
    <row r="1377" spans="1:4" s="45" customFormat="1" ht="13.5" x14ac:dyDescent="0.15">
      <c r="A1377" s="45" t="s">
        <v>41</v>
      </c>
      <c r="D1377" s="45" t="s">
        <v>4944</v>
      </c>
    </row>
    <row r="1378" spans="1:4" s="45" customFormat="1" ht="13.5" x14ac:dyDescent="0.15">
      <c r="A1378" s="45" t="s">
        <v>41</v>
      </c>
      <c r="D1378" s="45" t="s">
        <v>4945</v>
      </c>
    </row>
    <row r="1379" spans="1:4" s="45" customFormat="1" ht="13.5" x14ac:dyDescent="0.15">
      <c r="A1379" s="45" t="s">
        <v>41</v>
      </c>
      <c r="D1379" s="45" t="s">
        <v>2336</v>
      </c>
    </row>
    <row r="1380" spans="1:4" s="45" customFormat="1" ht="13.5" x14ac:dyDescent="0.15">
      <c r="A1380" s="45" t="s">
        <v>41</v>
      </c>
      <c r="D1380" s="45" t="s">
        <v>2333</v>
      </c>
    </row>
    <row r="1381" spans="1:4" s="45" customFormat="1" ht="13.5" x14ac:dyDescent="0.15">
      <c r="A1381" s="45" t="s">
        <v>41</v>
      </c>
      <c r="D1381" s="45" t="s">
        <v>4946</v>
      </c>
    </row>
    <row r="1382" spans="1:4" s="45" customFormat="1" ht="13.5" x14ac:dyDescent="0.15">
      <c r="A1382" s="45" t="s">
        <v>41</v>
      </c>
      <c r="D1382" s="45" t="s">
        <v>4947</v>
      </c>
    </row>
    <row r="1383" spans="1:4" s="45" customFormat="1" ht="13.5" x14ac:dyDescent="0.15">
      <c r="A1383" s="45" t="s">
        <v>41</v>
      </c>
      <c r="D1383" s="45" t="s">
        <v>924</v>
      </c>
    </row>
    <row r="1384" spans="1:4" s="45" customFormat="1" ht="13.5" x14ac:dyDescent="0.15">
      <c r="A1384" s="45" t="s">
        <v>41</v>
      </c>
      <c r="D1384" s="45" t="s">
        <v>925</v>
      </c>
    </row>
    <row r="1385" spans="1:4" s="45" customFormat="1" ht="13.5" x14ac:dyDescent="0.15">
      <c r="A1385" s="45" t="s">
        <v>41</v>
      </c>
      <c r="D1385" s="45" t="s">
        <v>4948</v>
      </c>
    </row>
    <row r="1386" spans="1:4" s="45" customFormat="1" ht="13.5" x14ac:dyDescent="0.15">
      <c r="A1386" s="45" t="s">
        <v>41</v>
      </c>
      <c r="D1386" s="45" t="s">
        <v>4949</v>
      </c>
    </row>
    <row r="1387" spans="1:4" s="45" customFormat="1" ht="13.5" x14ac:dyDescent="0.15">
      <c r="A1387" s="45" t="s">
        <v>41</v>
      </c>
      <c r="D1387" s="45" t="s">
        <v>4950</v>
      </c>
    </row>
    <row r="1388" spans="1:4" s="45" customFormat="1" ht="13.5" x14ac:dyDescent="0.15">
      <c r="A1388" s="45" t="s">
        <v>41</v>
      </c>
      <c r="D1388" s="45" t="s">
        <v>4951</v>
      </c>
    </row>
    <row r="1389" spans="1:4" s="45" customFormat="1" ht="13.5" x14ac:dyDescent="0.15">
      <c r="A1389" s="45" t="s">
        <v>41</v>
      </c>
      <c r="D1389" s="45" t="s">
        <v>4952</v>
      </c>
    </row>
    <row r="1390" spans="1:4" s="45" customFormat="1" ht="13.5" x14ac:dyDescent="0.15">
      <c r="A1390" s="45" t="s">
        <v>41</v>
      </c>
      <c r="D1390" s="45" t="s">
        <v>4953</v>
      </c>
    </row>
    <row r="1391" spans="1:4" s="45" customFormat="1" ht="13.5" x14ac:dyDescent="0.15">
      <c r="A1391" s="45" t="s">
        <v>41</v>
      </c>
      <c r="D1391" s="45" t="s">
        <v>4954</v>
      </c>
    </row>
    <row r="1392" spans="1:4" s="45" customFormat="1" ht="13.5" x14ac:dyDescent="0.15">
      <c r="A1392" s="45" t="s">
        <v>41</v>
      </c>
      <c r="D1392" s="45" t="s">
        <v>4955</v>
      </c>
    </row>
    <row r="1393" spans="1:4" s="45" customFormat="1" ht="13.5" x14ac:dyDescent="0.15">
      <c r="A1393" s="45" t="s">
        <v>41</v>
      </c>
      <c r="D1393" s="45" t="s">
        <v>4956</v>
      </c>
    </row>
    <row r="1394" spans="1:4" s="45" customFormat="1" ht="13.5" x14ac:dyDescent="0.15">
      <c r="A1394" s="45" t="s">
        <v>41</v>
      </c>
      <c r="D1394" s="45" t="s">
        <v>4957</v>
      </c>
    </row>
    <row r="1395" spans="1:4" s="45" customFormat="1" ht="13.5" x14ac:dyDescent="0.15">
      <c r="A1395" s="45" t="s">
        <v>41</v>
      </c>
      <c r="D1395" s="45" t="s">
        <v>4958</v>
      </c>
    </row>
    <row r="1396" spans="1:4" s="45" customFormat="1" ht="13.5" x14ac:dyDescent="0.15">
      <c r="A1396" s="45" t="s">
        <v>41</v>
      </c>
      <c r="D1396" s="45" t="s">
        <v>4959</v>
      </c>
    </row>
    <row r="1397" spans="1:4" s="45" customFormat="1" ht="13.5" x14ac:dyDescent="0.15">
      <c r="A1397" s="45" t="s">
        <v>41</v>
      </c>
      <c r="D1397" s="45" t="s">
        <v>4960</v>
      </c>
    </row>
    <row r="1398" spans="1:4" s="45" customFormat="1" ht="13.5" x14ac:dyDescent="0.15">
      <c r="A1398" s="45" t="s">
        <v>41</v>
      </c>
      <c r="D1398" s="45" t="s">
        <v>4961</v>
      </c>
    </row>
    <row r="1399" spans="1:4" s="45" customFormat="1" ht="13.5" x14ac:dyDescent="0.15">
      <c r="A1399" s="45" t="s">
        <v>41</v>
      </c>
      <c r="D1399" s="45" t="s">
        <v>4962</v>
      </c>
    </row>
    <row r="1400" spans="1:4" s="45" customFormat="1" ht="13.5" x14ac:dyDescent="0.15">
      <c r="A1400" s="45" t="s">
        <v>41</v>
      </c>
      <c r="D1400" s="45" t="s">
        <v>4963</v>
      </c>
    </row>
    <row r="1401" spans="1:4" s="45" customFormat="1" ht="13.5" x14ac:dyDescent="0.15">
      <c r="A1401" s="45" t="s">
        <v>41</v>
      </c>
      <c r="D1401" s="45" t="s">
        <v>4964</v>
      </c>
    </row>
    <row r="1402" spans="1:4" s="45" customFormat="1" ht="13.5" x14ac:dyDescent="0.15">
      <c r="A1402" s="45" t="s">
        <v>41</v>
      </c>
      <c r="D1402" s="45" t="s">
        <v>4965</v>
      </c>
    </row>
    <row r="1403" spans="1:4" s="45" customFormat="1" ht="13.5" x14ac:dyDescent="0.15">
      <c r="A1403" s="45" t="s">
        <v>41</v>
      </c>
      <c r="D1403" s="45" t="s">
        <v>4966</v>
      </c>
    </row>
    <row r="1404" spans="1:4" s="45" customFormat="1" ht="13.5" x14ac:dyDescent="0.15">
      <c r="A1404" s="45" t="s">
        <v>41</v>
      </c>
      <c r="D1404" s="45" t="s">
        <v>4967</v>
      </c>
    </row>
    <row r="1405" spans="1:4" s="45" customFormat="1" ht="13.5" x14ac:dyDescent="0.15">
      <c r="A1405" s="45" t="s">
        <v>41</v>
      </c>
      <c r="D1405" s="45" t="s">
        <v>4968</v>
      </c>
    </row>
    <row r="1406" spans="1:4" s="45" customFormat="1" ht="13.5" x14ac:dyDescent="0.15">
      <c r="A1406" s="45" t="s">
        <v>41</v>
      </c>
      <c r="D1406" s="45" t="s">
        <v>1271</v>
      </c>
    </row>
    <row r="1407" spans="1:4" s="45" customFormat="1" ht="13.5" x14ac:dyDescent="0.15">
      <c r="A1407" s="45" t="s">
        <v>41</v>
      </c>
      <c r="D1407" s="45" t="s">
        <v>1270</v>
      </c>
    </row>
    <row r="1408" spans="1:4" s="45" customFormat="1" ht="13.5" x14ac:dyDescent="0.15">
      <c r="A1408" s="45" t="s">
        <v>41</v>
      </c>
      <c r="D1408" s="45" t="s">
        <v>4969</v>
      </c>
    </row>
    <row r="1409" spans="1:4" s="45" customFormat="1" ht="13.5" x14ac:dyDescent="0.15">
      <c r="A1409" s="45" t="s">
        <v>41</v>
      </c>
      <c r="D1409" s="45" t="s">
        <v>4970</v>
      </c>
    </row>
    <row r="1410" spans="1:4" s="45" customFormat="1" ht="13.5" x14ac:dyDescent="0.15">
      <c r="A1410" s="45" t="s">
        <v>41</v>
      </c>
      <c r="D1410" s="45" t="s">
        <v>4971</v>
      </c>
    </row>
    <row r="1411" spans="1:4" s="45" customFormat="1" ht="13.5" x14ac:dyDescent="0.15">
      <c r="A1411" s="45" t="s">
        <v>41</v>
      </c>
      <c r="D1411" s="45" t="s">
        <v>4972</v>
      </c>
    </row>
    <row r="1412" spans="1:4" s="45" customFormat="1" ht="13.5" x14ac:dyDescent="0.15">
      <c r="A1412" s="45" t="s">
        <v>41</v>
      </c>
      <c r="D1412" s="45" t="s">
        <v>4973</v>
      </c>
    </row>
    <row r="1413" spans="1:4" s="45" customFormat="1" ht="13.5" x14ac:dyDescent="0.15">
      <c r="A1413" s="45" t="s">
        <v>41</v>
      </c>
      <c r="D1413" s="45" t="s">
        <v>2223</v>
      </c>
    </row>
    <row r="1414" spans="1:4" s="45" customFormat="1" ht="13.5" x14ac:dyDescent="0.15">
      <c r="A1414" s="45" t="s">
        <v>41</v>
      </c>
      <c r="D1414" s="45" t="s">
        <v>4974</v>
      </c>
    </row>
    <row r="1415" spans="1:4" s="45" customFormat="1" ht="13.5" x14ac:dyDescent="0.15">
      <c r="A1415" s="45" t="s">
        <v>41</v>
      </c>
      <c r="D1415" s="45" t="s">
        <v>2222</v>
      </c>
    </row>
    <row r="1416" spans="1:4" s="45" customFormat="1" ht="13.5" x14ac:dyDescent="0.15">
      <c r="A1416" s="45" t="s">
        <v>41</v>
      </c>
      <c r="D1416" s="45" t="s">
        <v>4975</v>
      </c>
    </row>
    <row r="1417" spans="1:4" s="45" customFormat="1" ht="13.5" x14ac:dyDescent="0.15">
      <c r="A1417" s="45" t="s">
        <v>41</v>
      </c>
      <c r="D1417" s="45" t="s">
        <v>2206</v>
      </c>
    </row>
    <row r="1418" spans="1:4" s="45" customFormat="1" ht="13.5" x14ac:dyDescent="0.15">
      <c r="A1418" s="45" t="s">
        <v>41</v>
      </c>
      <c r="D1418" s="45" t="s">
        <v>2207</v>
      </c>
    </row>
    <row r="1419" spans="1:4" s="45" customFormat="1" ht="13.5" x14ac:dyDescent="0.15">
      <c r="A1419" s="45" t="s">
        <v>41</v>
      </c>
      <c r="D1419" s="45" t="s">
        <v>1455</v>
      </c>
    </row>
    <row r="1420" spans="1:4" s="45" customFormat="1" ht="13.5" x14ac:dyDescent="0.15">
      <c r="A1420" s="45" t="s">
        <v>41</v>
      </c>
      <c r="D1420" s="45" t="s">
        <v>4976</v>
      </c>
    </row>
    <row r="1421" spans="1:4" s="45" customFormat="1" ht="13.5" x14ac:dyDescent="0.15">
      <c r="A1421" s="45" t="s">
        <v>41</v>
      </c>
      <c r="D1421" s="45" t="s">
        <v>4977</v>
      </c>
    </row>
    <row r="1422" spans="1:4" s="45" customFormat="1" ht="13.5" x14ac:dyDescent="0.15">
      <c r="A1422" s="45" t="s">
        <v>41</v>
      </c>
      <c r="D1422" s="45" t="s">
        <v>4978</v>
      </c>
    </row>
    <row r="1423" spans="1:4" s="45" customFormat="1" ht="13.5" x14ac:dyDescent="0.15">
      <c r="A1423" s="45" t="s">
        <v>41</v>
      </c>
      <c r="D1423" s="45" t="s">
        <v>2377</v>
      </c>
    </row>
    <row r="1424" spans="1:4" s="45" customFormat="1" ht="13.5" x14ac:dyDescent="0.15">
      <c r="A1424" s="45" t="s">
        <v>41</v>
      </c>
      <c r="D1424" s="45" t="s">
        <v>2372</v>
      </c>
    </row>
    <row r="1425" spans="1:4" s="45" customFormat="1" ht="13.5" x14ac:dyDescent="0.15">
      <c r="A1425" s="45" t="s">
        <v>41</v>
      </c>
      <c r="D1425" s="45" t="s">
        <v>4979</v>
      </c>
    </row>
    <row r="1426" spans="1:4" s="45" customFormat="1" ht="13.5" x14ac:dyDescent="0.15">
      <c r="A1426" s="45" t="s">
        <v>41</v>
      </c>
      <c r="D1426" s="45" t="s">
        <v>4980</v>
      </c>
    </row>
    <row r="1427" spans="1:4" s="45" customFormat="1" ht="13.5" x14ac:dyDescent="0.15">
      <c r="A1427" s="45" t="s">
        <v>41</v>
      </c>
      <c r="D1427" s="45" t="s">
        <v>4981</v>
      </c>
    </row>
    <row r="1428" spans="1:4" s="45" customFormat="1" ht="13.5" x14ac:dyDescent="0.15">
      <c r="A1428" s="45" t="s">
        <v>41</v>
      </c>
      <c r="D1428" s="45" t="s">
        <v>2379</v>
      </c>
    </row>
    <row r="1429" spans="1:4" s="45" customFormat="1" ht="13.5" x14ac:dyDescent="0.15">
      <c r="A1429" s="45" t="s">
        <v>41</v>
      </c>
      <c r="D1429" s="45" t="s">
        <v>4982</v>
      </c>
    </row>
    <row r="1430" spans="1:4" s="45" customFormat="1" ht="13.5" x14ac:dyDescent="0.15">
      <c r="A1430" s="45" t="s">
        <v>41</v>
      </c>
      <c r="D1430" s="45" t="s">
        <v>4983</v>
      </c>
    </row>
    <row r="1431" spans="1:4" s="45" customFormat="1" ht="13.5" x14ac:dyDescent="0.15">
      <c r="A1431" s="45" t="s">
        <v>41</v>
      </c>
      <c r="D1431" s="45" t="s">
        <v>4984</v>
      </c>
    </row>
    <row r="1432" spans="1:4" s="45" customFormat="1" ht="13.5" x14ac:dyDescent="0.15">
      <c r="A1432" s="45" t="s">
        <v>41</v>
      </c>
      <c r="D1432" s="45" t="s">
        <v>4985</v>
      </c>
    </row>
    <row r="1433" spans="1:4" s="45" customFormat="1" ht="13.5" x14ac:dyDescent="0.15">
      <c r="A1433" s="45" t="s">
        <v>41</v>
      </c>
      <c r="D1433" s="45" t="s">
        <v>4986</v>
      </c>
    </row>
    <row r="1434" spans="1:4" s="45" customFormat="1" ht="13.5" x14ac:dyDescent="0.15">
      <c r="A1434" s="45" t="s">
        <v>41</v>
      </c>
      <c r="D1434" s="45" t="s">
        <v>4987</v>
      </c>
    </row>
    <row r="1435" spans="1:4" s="45" customFormat="1" ht="13.5" x14ac:dyDescent="0.15">
      <c r="A1435" s="45" t="s">
        <v>41</v>
      </c>
      <c r="D1435" s="45" t="s">
        <v>4988</v>
      </c>
    </row>
    <row r="1436" spans="1:4" s="45" customFormat="1" ht="13.5" x14ac:dyDescent="0.15">
      <c r="A1436" s="45" t="s">
        <v>41</v>
      </c>
      <c r="D1436" s="45" t="s">
        <v>2376</v>
      </c>
    </row>
    <row r="1437" spans="1:4" s="45" customFormat="1" ht="13.5" x14ac:dyDescent="0.15">
      <c r="A1437" s="45" t="s">
        <v>41</v>
      </c>
      <c r="D1437" s="45" t="s">
        <v>4989</v>
      </c>
    </row>
    <row r="1438" spans="1:4" s="45" customFormat="1" ht="13.5" x14ac:dyDescent="0.15">
      <c r="A1438" s="45" t="s">
        <v>41</v>
      </c>
      <c r="D1438" s="45" t="s">
        <v>4990</v>
      </c>
    </row>
    <row r="1439" spans="1:4" s="45" customFormat="1" ht="13.5" x14ac:dyDescent="0.15">
      <c r="A1439" s="45" t="s">
        <v>41</v>
      </c>
      <c r="D1439" s="45" t="s">
        <v>4991</v>
      </c>
    </row>
    <row r="1440" spans="1:4" s="45" customFormat="1" ht="13.5" x14ac:dyDescent="0.15">
      <c r="A1440" s="45" t="s">
        <v>41</v>
      </c>
      <c r="D1440" s="45" t="s">
        <v>2373</v>
      </c>
    </row>
    <row r="1441" spans="1:4" s="45" customFormat="1" ht="13.5" x14ac:dyDescent="0.15">
      <c r="A1441" s="45" t="s">
        <v>41</v>
      </c>
      <c r="D1441" s="45" t="s">
        <v>4992</v>
      </c>
    </row>
    <row r="1442" spans="1:4" s="45" customFormat="1" ht="13.5" x14ac:dyDescent="0.15">
      <c r="A1442" s="45" t="s">
        <v>41</v>
      </c>
      <c r="D1442" s="45" t="s">
        <v>2374</v>
      </c>
    </row>
    <row r="1443" spans="1:4" s="45" customFormat="1" ht="13.5" x14ac:dyDescent="0.15">
      <c r="A1443" s="45" t="s">
        <v>41</v>
      </c>
      <c r="D1443" s="45" t="s">
        <v>4993</v>
      </c>
    </row>
    <row r="1444" spans="1:4" s="45" customFormat="1" ht="13.5" x14ac:dyDescent="0.15">
      <c r="A1444" s="45" t="s">
        <v>41</v>
      </c>
      <c r="D1444" s="45" t="s">
        <v>4994</v>
      </c>
    </row>
    <row r="1445" spans="1:4" s="45" customFormat="1" ht="13.5" x14ac:dyDescent="0.15">
      <c r="A1445" s="45" t="s">
        <v>41</v>
      </c>
      <c r="D1445" s="45" t="s">
        <v>4995</v>
      </c>
    </row>
    <row r="1446" spans="1:4" s="45" customFormat="1" ht="13.5" x14ac:dyDescent="0.15">
      <c r="A1446" s="45" t="s">
        <v>41</v>
      </c>
      <c r="D1446" s="45" t="s">
        <v>4996</v>
      </c>
    </row>
    <row r="1447" spans="1:4" s="45" customFormat="1" ht="13.5" x14ac:dyDescent="0.15">
      <c r="A1447" s="45" t="s">
        <v>41</v>
      </c>
      <c r="D1447" s="45" t="s">
        <v>4997</v>
      </c>
    </row>
    <row r="1448" spans="1:4" s="45" customFormat="1" ht="13.5" x14ac:dyDescent="0.15">
      <c r="A1448" s="45" t="s">
        <v>41</v>
      </c>
      <c r="D1448" s="45" t="s">
        <v>2375</v>
      </c>
    </row>
    <row r="1449" spans="1:4" s="45" customFormat="1" ht="13.5" x14ac:dyDescent="0.15">
      <c r="A1449" s="45" t="s">
        <v>41</v>
      </c>
      <c r="D1449" s="45" t="s">
        <v>2371</v>
      </c>
    </row>
    <row r="1450" spans="1:4" s="45" customFormat="1" ht="13.5" x14ac:dyDescent="0.15">
      <c r="A1450" s="45" t="s">
        <v>41</v>
      </c>
      <c r="D1450" s="45" t="s">
        <v>4998</v>
      </c>
    </row>
    <row r="1451" spans="1:4" s="45" customFormat="1" ht="13.5" x14ac:dyDescent="0.15">
      <c r="A1451" s="45" t="s">
        <v>41</v>
      </c>
      <c r="D1451" s="45" t="s">
        <v>2378</v>
      </c>
    </row>
    <row r="1452" spans="1:4" s="45" customFormat="1" ht="13.5" x14ac:dyDescent="0.15">
      <c r="A1452" s="45" t="s">
        <v>41</v>
      </c>
      <c r="D1452" s="45" t="s">
        <v>4999</v>
      </c>
    </row>
    <row r="1453" spans="1:4" s="45" customFormat="1" ht="13.5" x14ac:dyDescent="0.15">
      <c r="A1453" s="45" t="s">
        <v>41</v>
      </c>
      <c r="D1453" s="45" t="s">
        <v>2404</v>
      </c>
    </row>
    <row r="1454" spans="1:4" s="45" customFormat="1" ht="13.5" x14ac:dyDescent="0.15">
      <c r="A1454" s="45" t="s">
        <v>41</v>
      </c>
      <c r="D1454" s="45" t="s">
        <v>2394</v>
      </c>
    </row>
    <row r="1455" spans="1:4" s="45" customFormat="1" ht="13.5" x14ac:dyDescent="0.15">
      <c r="A1455" s="45" t="s">
        <v>41</v>
      </c>
      <c r="D1455" s="45" t="s">
        <v>2397</v>
      </c>
    </row>
    <row r="1456" spans="1:4" s="45" customFormat="1" ht="13.5" x14ac:dyDescent="0.15">
      <c r="A1456" s="45" t="s">
        <v>41</v>
      </c>
      <c r="D1456" s="45" t="s">
        <v>5000</v>
      </c>
    </row>
    <row r="1457" spans="1:4" s="45" customFormat="1" ht="13.5" x14ac:dyDescent="0.15">
      <c r="A1457" s="45" t="s">
        <v>41</v>
      </c>
      <c r="D1457" s="45" t="s">
        <v>5001</v>
      </c>
    </row>
    <row r="1458" spans="1:4" s="45" customFormat="1" ht="13.5" x14ac:dyDescent="0.15">
      <c r="A1458" s="45" t="s">
        <v>41</v>
      </c>
      <c r="D1458" s="45" t="s">
        <v>2401</v>
      </c>
    </row>
    <row r="1459" spans="1:4" s="45" customFormat="1" ht="13.5" x14ac:dyDescent="0.15">
      <c r="A1459" s="45" t="s">
        <v>41</v>
      </c>
      <c r="D1459" s="45" t="s">
        <v>2402</v>
      </c>
    </row>
    <row r="1460" spans="1:4" s="45" customFormat="1" ht="13.5" x14ac:dyDescent="0.15">
      <c r="A1460" s="45" t="s">
        <v>41</v>
      </c>
      <c r="D1460" s="45" t="s">
        <v>2408</v>
      </c>
    </row>
    <row r="1461" spans="1:4" s="45" customFormat="1" ht="13.5" x14ac:dyDescent="0.15">
      <c r="A1461" s="45" t="s">
        <v>41</v>
      </c>
      <c r="D1461" s="45" t="s">
        <v>2410</v>
      </c>
    </row>
    <row r="1462" spans="1:4" s="45" customFormat="1" ht="13.5" x14ac:dyDescent="0.15">
      <c r="A1462" s="45" t="s">
        <v>41</v>
      </c>
      <c r="D1462" s="45" t="s">
        <v>2407</v>
      </c>
    </row>
    <row r="1463" spans="1:4" s="45" customFormat="1" ht="13.5" x14ac:dyDescent="0.15">
      <c r="A1463" s="45" t="s">
        <v>41</v>
      </c>
      <c r="D1463" s="45" t="s">
        <v>2409</v>
      </c>
    </row>
    <row r="1464" spans="1:4" s="45" customFormat="1" ht="13.5" x14ac:dyDescent="0.15">
      <c r="A1464" s="45" t="s">
        <v>41</v>
      </c>
      <c r="D1464" s="45" t="s">
        <v>2405</v>
      </c>
    </row>
    <row r="1465" spans="1:4" s="45" customFormat="1" ht="13.5" x14ac:dyDescent="0.15">
      <c r="A1465" s="45" t="s">
        <v>41</v>
      </c>
      <c r="D1465" s="45" t="s">
        <v>2403</v>
      </c>
    </row>
    <row r="1466" spans="1:4" s="45" customFormat="1" ht="13.5" x14ac:dyDescent="0.15">
      <c r="A1466" s="45" t="s">
        <v>41</v>
      </c>
      <c r="D1466" s="45" t="s">
        <v>2395</v>
      </c>
    </row>
    <row r="1467" spans="1:4" s="45" customFormat="1" ht="13.5" x14ac:dyDescent="0.15">
      <c r="A1467" s="45" t="s">
        <v>41</v>
      </c>
      <c r="D1467" s="45" t="s">
        <v>2400</v>
      </c>
    </row>
    <row r="1468" spans="1:4" s="45" customFormat="1" ht="13.5" x14ac:dyDescent="0.15">
      <c r="A1468" s="45" t="s">
        <v>41</v>
      </c>
      <c r="D1468" s="45" t="s">
        <v>2399</v>
      </c>
    </row>
    <row r="1469" spans="1:4" s="45" customFormat="1" ht="13.5" x14ac:dyDescent="0.15">
      <c r="A1469" s="45" t="s">
        <v>41</v>
      </c>
      <c r="D1469" s="45" t="s">
        <v>2398</v>
      </c>
    </row>
    <row r="1470" spans="1:4" s="45" customFormat="1" ht="13.5" x14ac:dyDescent="0.15">
      <c r="A1470" s="45" t="s">
        <v>41</v>
      </c>
      <c r="D1470" s="45" t="s">
        <v>2396</v>
      </c>
    </row>
    <row r="1471" spans="1:4" s="45" customFormat="1" ht="13.5" x14ac:dyDescent="0.15">
      <c r="A1471" s="45" t="s">
        <v>41</v>
      </c>
      <c r="D1471" s="45" t="s">
        <v>2393</v>
      </c>
    </row>
    <row r="1472" spans="1:4" s="45" customFormat="1" ht="13.5" x14ac:dyDescent="0.15">
      <c r="A1472" s="45" t="s">
        <v>41</v>
      </c>
      <c r="D1472" s="45" t="s">
        <v>5002</v>
      </c>
    </row>
    <row r="1473" spans="1:4" s="45" customFormat="1" ht="13.5" x14ac:dyDescent="0.15">
      <c r="A1473" s="45" t="s">
        <v>41</v>
      </c>
      <c r="D1473" s="45" t="s">
        <v>5003</v>
      </c>
    </row>
    <row r="1474" spans="1:4" s="45" customFormat="1" ht="13.5" x14ac:dyDescent="0.15">
      <c r="A1474" s="45" t="s">
        <v>41</v>
      </c>
      <c r="D1474" s="45" t="s">
        <v>5004</v>
      </c>
    </row>
    <row r="1475" spans="1:4" s="45" customFormat="1" ht="13.5" x14ac:dyDescent="0.15">
      <c r="A1475" s="45" t="s">
        <v>41</v>
      </c>
      <c r="D1475" s="45" t="s">
        <v>2406</v>
      </c>
    </row>
    <row r="1476" spans="1:4" s="45" customFormat="1" ht="13.5" x14ac:dyDescent="0.15">
      <c r="A1476" s="45" t="s">
        <v>41</v>
      </c>
      <c r="D1476" s="45" t="s">
        <v>2105</v>
      </c>
    </row>
    <row r="1477" spans="1:4" s="45" customFormat="1" ht="13.5" x14ac:dyDescent="0.15">
      <c r="A1477" s="45" t="s">
        <v>41</v>
      </c>
      <c r="D1477" s="45" t="s">
        <v>2621</v>
      </c>
    </row>
    <row r="1478" spans="1:4" s="45" customFormat="1" ht="13.5" x14ac:dyDescent="0.15">
      <c r="A1478" s="45" t="s">
        <v>41</v>
      </c>
      <c r="D1478" s="45" t="s">
        <v>1379</v>
      </c>
    </row>
    <row r="1479" spans="1:4" s="45" customFormat="1" ht="13.5" x14ac:dyDescent="0.15">
      <c r="A1479" s="45" t="s">
        <v>41</v>
      </c>
      <c r="D1479" s="45" t="s">
        <v>2122</v>
      </c>
    </row>
    <row r="1480" spans="1:4" s="45" customFormat="1" ht="13.5" x14ac:dyDescent="0.15">
      <c r="A1480" s="45" t="s">
        <v>41</v>
      </c>
      <c r="D1480" s="45" t="s">
        <v>5005</v>
      </c>
    </row>
    <row r="1481" spans="1:4" s="45" customFormat="1" ht="13.5" x14ac:dyDescent="0.15">
      <c r="A1481" s="45" t="s">
        <v>41</v>
      </c>
      <c r="D1481" s="45" t="s">
        <v>5006</v>
      </c>
    </row>
    <row r="1482" spans="1:4" s="45" customFormat="1" ht="13.5" x14ac:dyDescent="0.15">
      <c r="A1482" s="45" t="s">
        <v>41</v>
      </c>
      <c r="D1482" s="45" t="s">
        <v>5007</v>
      </c>
    </row>
    <row r="1483" spans="1:4" s="45" customFormat="1" ht="13.5" x14ac:dyDescent="0.15">
      <c r="A1483" s="45" t="s">
        <v>41</v>
      </c>
      <c r="D1483" s="45" t="s">
        <v>5008</v>
      </c>
    </row>
    <row r="1484" spans="1:4" s="45" customFormat="1" ht="13.5" x14ac:dyDescent="0.15">
      <c r="A1484" s="45" t="s">
        <v>41</v>
      </c>
      <c r="D1484" s="45" t="s">
        <v>5009</v>
      </c>
    </row>
    <row r="1485" spans="1:4" s="45" customFormat="1" ht="13.5" x14ac:dyDescent="0.15">
      <c r="A1485" s="45" t="s">
        <v>41</v>
      </c>
      <c r="D1485" s="45" t="s">
        <v>5010</v>
      </c>
    </row>
    <row r="1486" spans="1:4" s="45" customFormat="1" ht="13.5" x14ac:dyDescent="0.15">
      <c r="A1486" s="45" t="s">
        <v>41</v>
      </c>
      <c r="D1486" s="45" t="s">
        <v>5011</v>
      </c>
    </row>
    <row r="1487" spans="1:4" s="45" customFormat="1" ht="13.5" x14ac:dyDescent="0.15">
      <c r="A1487" s="45" t="s">
        <v>41</v>
      </c>
      <c r="D1487" s="45" t="s">
        <v>5012</v>
      </c>
    </row>
    <row r="1488" spans="1:4" s="45" customFormat="1" ht="13.5" x14ac:dyDescent="0.15">
      <c r="A1488" s="45" t="s">
        <v>41</v>
      </c>
      <c r="D1488" s="45" t="s">
        <v>5013</v>
      </c>
    </row>
    <row r="1489" spans="1:4" s="45" customFormat="1" ht="13.5" x14ac:dyDescent="0.15">
      <c r="A1489" s="45" t="s">
        <v>41</v>
      </c>
      <c r="D1489" s="45" t="s">
        <v>5014</v>
      </c>
    </row>
    <row r="1490" spans="1:4" s="45" customFormat="1" ht="13.5" x14ac:dyDescent="0.15">
      <c r="A1490" s="45" t="s">
        <v>41</v>
      </c>
      <c r="D1490" s="45" t="s">
        <v>1064</v>
      </c>
    </row>
    <row r="1491" spans="1:4" s="45" customFormat="1" ht="13.5" x14ac:dyDescent="0.15">
      <c r="A1491" s="45" t="s">
        <v>41</v>
      </c>
      <c r="D1491" s="45" t="s">
        <v>5015</v>
      </c>
    </row>
    <row r="1492" spans="1:4" s="45" customFormat="1" ht="13.5" x14ac:dyDescent="0.15">
      <c r="A1492" s="45" t="s">
        <v>41</v>
      </c>
      <c r="D1492" s="45" t="s">
        <v>5016</v>
      </c>
    </row>
    <row r="1493" spans="1:4" s="45" customFormat="1" ht="13.5" x14ac:dyDescent="0.15">
      <c r="A1493" s="45" t="s">
        <v>41</v>
      </c>
      <c r="D1493" s="45" t="s">
        <v>5017</v>
      </c>
    </row>
    <row r="1494" spans="1:4" s="45" customFormat="1" ht="13.5" x14ac:dyDescent="0.15">
      <c r="A1494" s="45" t="s">
        <v>41</v>
      </c>
      <c r="D1494" s="45" t="s">
        <v>5018</v>
      </c>
    </row>
    <row r="1495" spans="1:4" s="45" customFormat="1" ht="13.5" x14ac:dyDescent="0.15">
      <c r="A1495" s="45" t="s">
        <v>41</v>
      </c>
      <c r="D1495" s="45" t="s">
        <v>5019</v>
      </c>
    </row>
    <row r="1496" spans="1:4" s="45" customFormat="1" ht="13.5" x14ac:dyDescent="0.15">
      <c r="A1496" s="45" t="s">
        <v>41</v>
      </c>
      <c r="D1496" s="45" t="s">
        <v>5020</v>
      </c>
    </row>
    <row r="1497" spans="1:4" s="45" customFormat="1" ht="13.5" x14ac:dyDescent="0.15">
      <c r="A1497" s="45" t="s">
        <v>41</v>
      </c>
      <c r="D1497" s="45" t="s">
        <v>5021</v>
      </c>
    </row>
    <row r="1498" spans="1:4" s="45" customFormat="1" ht="13.5" x14ac:dyDescent="0.15">
      <c r="A1498" s="45" t="s">
        <v>41</v>
      </c>
      <c r="D1498" s="45" t="s">
        <v>5022</v>
      </c>
    </row>
    <row r="1499" spans="1:4" s="45" customFormat="1" ht="13.5" x14ac:dyDescent="0.15">
      <c r="A1499" s="45" t="s">
        <v>41</v>
      </c>
      <c r="D1499" s="45" t="s">
        <v>5023</v>
      </c>
    </row>
    <row r="1500" spans="1:4" s="45" customFormat="1" ht="13.5" x14ac:dyDescent="0.15">
      <c r="A1500" s="45" t="s">
        <v>41</v>
      </c>
      <c r="D1500" s="45" t="s">
        <v>1063</v>
      </c>
    </row>
    <row r="1501" spans="1:4" s="45" customFormat="1" ht="13.5" x14ac:dyDescent="0.15">
      <c r="A1501" s="45" t="s">
        <v>41</v>
      </c>
      <c r="D1501" s="45" t="s">
        <v>5024</v>
      </c>
    </row>
    <row r="1502" spans="1:4" s="45" customFormat="1" ht="13.5" x14ac:dyDescent="0.15">
      <c r="A1502" s="45" t="s">
        <v>41</v>
      </c>
      <c r="D1502" s="45" t="s">
        <v>5025</v>
      </c>
    </row>
    <row r="1503" spans="1:4" s="45" customFormat="1" ht="13.5" x14ac:dyDescent="0.15">
      <c r="A1503" s="45" t="s">
        <v>41</v>
      </c>
      <c r="D1503" s="45" t="s">
        <v>5026</v>
      </c>
    </row>
    <row r="1504" spans="1:4" s="45" customFormat="1" ht="13.5" x14ac:dyDescent="0.15">
      <c r="A1504" s="45" t="s">
        <v>41</v>
      </c>
      <c r="D1504" s="45" t="s">
        <v>5027</v>
      </c>
    </row>
    <row r="1505" spans="1:4" s="45" customFormat="1" ht="13.5" x14ac:dyDescent="0.15">
      <c r="A1505" s="45" t="s">
        <v>41</v>
      </c>
      <c r="D1505" s="45" t="s">
        <v>5028</v>
      </c>
    </row>
    <row r="1506" spans="1:4" s="45" customFormat="1" ht="13.5" x14ac:dyDescent="0.15">
      <c r="A1506" s="45" t="s">
        <v>41</v>
      </c>
      <c r="D1506" s="45" t="s">
        <v>5029</v>
      </c>
    </row>
    <row r="1507" spans="1:4" s="45" customFormat="1" ht="13.5" x14ac:dyDescent="0.15">
      <c r="A1507" s="45" t="s">
        <v>41</v>
      </c>
      <c r="D1507" s="45" t="s">
        <v>5030</v>
      </c>
    </row>
    <row r="1508" spans="1:4" s="45" customFormat="1" ht="13.5" x14ac:dyDescent="0.15">
      <c r="A1508" s="45" t="s">
        <v>41</v>
      </c>
      <c r="D1508" s="45" t="s">
        <v>5031</v>
      </c>
    </row>
    <row r="1509" spans="1:4" s="45" customFormat="1" ht="13.5" x14ac:dyDescent="0.15">
      <c r="A1509" s="45" t="s">
        <v>41</v>
      </c>
      <c r="D1509" s="45" t="s">
        <v>5032</v>
      </c>
    </row>
    <row r="1510" spans="1:4" s="45" customFormat="1" ht="13.5" x14ac:dyDescent="0.15">
      <c r="A1510" s="45" t="s">
        <v>41</v>
      </c>
      <c r="D1510" s="45" t="s">
        <v>5033</v>
      </c>
    </row>
    <row r="1511" spans="1:4" s="45" customFormat="1" ht="13.5" x14ac:dyDescent="0.15">
      <c r="A1511" s="45" t="s">
        <v>41</v>
      </c>
      <c r="D1511" s="45" t="s">
        <v>5034</v>
      </c>
    </row>
    <row r="1512" spans="1:4" s="45" customFormat="1" ht="13.5" x14ac:dyDescent="0.15">
      <c r="A1512" s="45" t="s">
        <v>41</v>
      </c>
      <c r="D1512" s="45" t="s">
        <v>5035</v>
      </c>
    </row>
    <row r="1513" spans="1:4" s="45" customFormat="1" ht="13.5" x14ac:dyDescent="0.15">
      <c r="A1513" s="45" t="s">
        <v>41</v>
      </c>
      <c r="D1513" s="45" t="s">
        <v>5036</v>
      </c>
    </row>
    <row r="1514" spans="1:4" s="45" customFormat="1" ht="13.5" x14ac:dyDescent="0.15">
      <c r="A1514" s="45" t="s">
        <v>41</v>
      </c>
      <c r="D1514" s="45" t="s">
        <v>5037</v>
      </c>
    </row>
    <row r="1515" spans="1:4" s="45" customFormat="1" ht="13.5" x14ac:dyDescent="0.15">
      <c r="A1515" s="45" t="s">
        <v>41</v>
      </c>
      <c r="D1515" s="45" t="s">
        <v>5038</v>
      </c>
    </row>
    <row r="1516" spans="1:4" s="45" customFormat="1" ht="13.5" x14ac:dyDescent="0.15">
      <c r="A1516" s="45" t="s">
        <v>41</v>
      </c>
      <c r="D1516" s="45" t="s">
        <v>5039</v>
      </c>
    </row>
    <row r="1517" spans="1:4" s="45" customFormat="1" ht="13.5" x14ac:dyDescent="0.15">
      <c r="A1517" s="45" t="s">
        <v>41</v>
      </c>
      <c r="D1517" s="45" t="s">
        <v>5040</v>
      </c>
    </row>
    <row r="1518" spans="1:4" s="45" customFormat="1" ht="13.5" x14ac:dyDescent="0.15">
      <c r="A1518" s="45" t="s">
        <v>41</v>
      </c>
      <c r="D1518" s="45" t="s">
        <v>5041</v>
      </c>
    </row>
    <row r="1519" spans="1:4" s="45" customFormat="1" ht="13.5" x14ac:dyDescent="0.15">
      <c r="A1519" s="45" t="s">
        <v>41</v>
      </c>
      <c r="D1519" s="45" t="s">
        <v>1062</v>
      </c>
    </row>
    <row r="1520" spans="1:4" s="45" customFormat="1" ht="13.5" x14ac:dyDescent="0.15">
      <c r="A1520" s="45" t="s">
        <v>41</v>
      </c>
      <c r="D1520" s="45" t="s">
        <v>5042</v>
      </c>
    </row>
    <row r="1521" spans="1:4" s="45" customFormat="1" ht="13.5" x14ac:dyDescent="0.15">
      <c r="A1521" s="45" t="s">
        <v>41</v>
      </c>
      <c r="D1521" s="45" t="s">
        <v>5043</v>
      </c>
    </row>
    <row r="1522" spans="1:4" s="45" customFormat="1" ht="13.5" x14ac:dyDescent="0.15">
      <c r="A1522" s="45" t="s">
        <v>41</v>
      </c>
      <c r="D1522" s="45" t="s">
        <v>5044</v>
      </c>
    </row>
    <row r="1523" spans="1:4" s="45" customFormat="1" ht="13.5" x14ac:dyDescent="0.15">
      <c r="A1523" s="45" t="s">
        <v>41</v>
      </c>
      <c r="D1523" s="45" t="s">
        <v>5045</v>
      </c>
    </row>
    <row r="1524" spans="1:4" s="45" customFormat="1" ht="13.5" x14ac:dyDescent="0.15">
      <c r="A1524" s="45" t="s">
        <v>41</v>
      </c>
      <c r="D1524" s="45" t="s">
        <v>5046</v>
      </c>
    </row>
    <row r="1525" spans="1:4" s="45" customFormat="1" ht="13.5" x14ac:dyDescent="0.15">
      <c r="A1525" s="45" t="s">
        <v>41</v>
      </c>
      <c r="D1525" s="45" t="s">
        <v>5047</v>
      </c>
    </row>
    <row r="1526" spans="1:4" s="45" customFormat="1" ht="13.5" x14ac:dyDescent="0.15">
      <c r="A1526" s="45" t="s">
        <v>41</v>
      </c>
      <c r="D1526" s="45" t="s">
        <v>1776</v>
      </c>
    </row>
    <row r="1527" spans="1:4" s="45" customFormat="1" ht="13.5" x14ac:dyDescent="0.15">
      <c r="A1527" s="45" t="s">
        <v>41</v>
      </c>
      <c r="D1527" s="45" t="s">
        <v>5048</v>
      </c>
    </row>
    <row r="1528" spans="1:4" s="45" customFormat="1" ht="13.5" x14ac:dyDescent="0.15">
      <c r="A1528" s="45" t="s">
        <v>41</v>
      </c>
      <c r="D1528" s="45" t="s">
        <v>1777</v>
      </c>
    </row>
    <row r="1529" spans="1:4" s="45" customFormat="1" ht="13.5" x14ac:dyDescent="0.15">
      <c r="A1529" s="45" t="s">
        <v>41</v>
      </c>
      <c r="D1529" s="45" t="s">
        <v>5049</v>
      </c>
    </row>
    <row r="1530" spans="1:4" s="45" customFormat="1" ht="13.5" x14ac:dyDescent="0.15">
      <c r="A1530" s="45" t="s">
        <v>41</v>
      </c>
      <c r="D1530" s="45" t="s">
        <v>5050</v>
      </c>
    </row>
    <row r="1531" spans="1:4" s="45" customFormat="1" ht="13.5" x14ac:dyDescent="0.15">
      <c r="A1531" s="45" t="s">
        <v>41</v>
      </c>
      <c r="D1531" s="45" t="s">
        <v>562</v>
      </c>
    </row>
    <row r="1532" spans="1:4" s="45" customFormat="1" ht="13.5" x14ac:dyDescent="0.15">
      <c r="A1532" s="45" t="s">
        <v>41</v>
      </c>
      <c r="D1532" s="45" t="s">
        <v>5051</v>
      </c>
    </row>
    <row r="1533" spans="1:4" s="45" customFormat="1" ht="13.5" x14ac:dyDescent="0.15">
      <c r="A1533" s="45" t="s">
        <v>41</v>
      </c>
      <c r="D1533" s="45" t="s">
        <v>5052</v>
      </c>
    </row>
    <row r="1534" spans="1:4" s="45" customFormat="1" ht="13.5" x14ac:dyDescent="0.15">
      <c r="A1534" s="45" t="s">
        <v>41</v>
      </c>
      <c r="D1534" s="45" t="s">
        <v>5053</v>
      </c>
    </row>
    <row r="1535" spans="1:4" s="45" customFormat="1" ht="13.5" x14ac:dyDescent="0.15">
      <c r="A1535" s="45" t="s">
        <v>41</v>
      </c>
      <c r="D1535" s="45" t="s">
        <v>563</v>
      </c>
    </row>
    <row r="1536" spans="1:4" s="45" customFormat="1" ht="13.5" x14ac:dyDescent="0.15">
      <c r="A1536" s="45" t="s">
        <v>41</v>
      </c>
      <c r="D1536" s="45" t="s">
        <v>5054</v>
      </c>
    </row>
    <row r="1537" spans="1:4" s="45" customFormat="1" ht="13.5" x14ac:dyDescent="0.15">
      <c r="A1537" s="45" t="s">
        <v>41</v>
      </c>
      <c r="D1537" s="45" t="s">
        <v>1701</v>
      </c>
    </row>
    <row r="1538" spans="1:4" s="45" customFormat="1" ht="13.5" x14ac:dyDescent="0.15">
      <c r="A1538" s="45" t="s">
        <v>41</v>
      </c>
      <c r="D1538" s="45" t="s">
        <v>1700</v>
      </c>
    </row>
    <row r="1539" spans="1:4" s="45" customFormat="1" ht="13.5" x14ac:dyDescent="0.15">
      <c r="A1539" s="45" t="s">
        <v>41</v>
      </c>
      <c r="D1539" s="45" t="s">
        <v>5055</v>
      </c>
    </row>
    <row r="1540" spans="1:4" s="45" customFormat="1" ht="13.5" x14ac:dyDescent="0.15">
      <c r="A1540" s="45" t="s">
        <v>41</v>
      </c>
      <c r="D1540" s="45" t="s">
        <v>5056</v>
      </c>
    </row>
    <row r="1541" spans="1:4" s="45" customFormat="1" ht="13.5" x14ac:dyDescent="0.15">
      <c r="A1541" s="45" t="s">
        <v>41</v>
      </c>
      <c r="D1541" s="45" t="s">
        <v>2550</v>
      </c>
    </row>
    <row r="1542" spans="1:4" s="45" customFormat="1" ht="13.5" x14ac:dyDescent="0.15">
      <c r="A1542" s="45" t="s">
        <v>41</v>
      </c>
      <c r="D1542" s="45" t="s">
        <v>5057</v>
      </c>
    </row>
    <row r="1543" spans="1:4" s="45" customFormat="1" ht="13.5" x14ac:dyDescent="0.15">
      <c r="A1543" s="45" t="s">
        <v>41</v>
      </c>
      <c r="D1543" s="45" t="s">
        <v>5058</v>
      </c>
    </row>
    <row r="1544" spans="1:4" s="45" customFormat="1" ht="13.5" x14ac:dyDescent="0.15">
      <c r="A1544" s="45" t="s">
        <v>41</v>
      </c>
      <c r="D1544" s="45" t="s">
        <v>2238</v>
      </c>
    </row>
    <row r="1545" spans="1:4" s="45" customFormat="1" ht="13.5" x14ac:dyDescent="0.15">
      <c r="A1545" s="45" t="s">
        <v>41</v>
      </c>
      <c r="D1545" s="45" t="s">
        <v>5059</v>
      </c>
    </row>
    <row r="1546" spans="1:4" s="45" customFormat="1" ht="13.5" x14ac:dyDescent="0.15">
      <c r="A1546" s="45" t="s">
        <v>41</v>
      </c>
      <c r="D1546" s="45" t="s">
        <v>5060</v>
      </c>
    </row>
    <row r="1547" spans="1:4" s="45" customFormat="1" ht="13.5" x14ac:dyDescent="0.15">
      <c r="A1547" s="45" t="s">
        <v>41</v>
      </c>
      <c r="D1547" s="45" t="s">
        <v>5061</v>
      </c>
    </row>
    <row r="1548" spans="1:4" s="45" customFormat="1" ht="13.5" x14ac:dyDescent="0.15">
      <c r="A1548" s="45" t="s">
        <v>41</v>
      </c>
      <c r="D1548" s="45" t="s">
        <v>2265</v>
      </c>
    </row>
    <row r="1549" spans="1:4" s="45" customFormat="1" ht="13.5" x14ac:dyDescent="0.15">
      <c r="A1549" s="45" t="s">
        <v>41</v>
      </c>
      <c r="D1549" s="45" t="s">
        <v>5062</v>
      </c>
    </row>
    <row r="1550" spans="1:4" s="45" customFormat="1" ht="13.5" x14ac:dyDescent="0.15">
      <c r="A1550" s="45" t="s">
        <v>41</v>
      </c>
      <c r="D1550" s="45" t="s">
        <v>5063</v>
      </c>
    </row>
    <row r="1551" spans="1:4" s="45" customFormat="1" ht="13.5" x14ac:dyDescent="0.15">
      <c r="A1551" s="45" t="s">
        <v>41</v>
      </c>
      <c r="D1551" s="45" t="s">
        <v>5064</v>
      </c>
    </row>
    <row r="1552" spans="1:4" s="45" customFormat="1" ht="13.5" x14ac:dyDescent="0.15">
      <c r="A1552" s="45" t="s">
        <v>41</v>
      </c>
      <c r="D1552" s="45" t="s">
        <v>2179</v>
      </c>
    </row>
    <row r="1553" spans="1:4" s="45" customFormat="1" ht="13.5" x14ac:dyDescent="0.15">
      <c r="A1553" s="45" t="s">
        <v>41</v>
      </c>
      <c r="D1553" s="45" t="s">
        <v>5065</v>
      </c>
    </row>
    <row r="1554" spans="1:4" s="45" customFormat="1" ht="13.5" x14ac:dyDescent="0.15">
      <c r="A1554" s="45" t="s">
        <v>41</v>
      </c>
      <c r="D1554" s="45" t="s">
        <v>5066</v>
      </c>
    </row>
    <row r="1555" spans="1:4" s="45" customFormat="1" ht="13.5" x14ac:dyDescent="0.15">
      <c r="A1555" s="45" t="s">
        <v>41</v>
      </c>
      <c r="D1555" s="45" t="s">
        <v>5067</v>
      </c>
    </row>
    <row r="1556" spans="1:4" s="45" customFormat="1" ht="13.5" x14ac:dyDescent="0.15">
      <c r="A1556" s="45" t="s">
        <v>41</v>
      </c>
      <c r="D1556" s="45" t="s">
        <v>2181</v>
      </c>
    </row>
    <row r="1557" spans="1:4" s="45" customFormat="1" ht="13.5" x14ac:dyDescent="0.15">
      <c r="A1557" s="45" t="s">
        <v>41</v>
      </c>
      <c r="D1557" s="45" t="s">
        <v>2180</v>
      </c>
    </row>
    <row r="1558" spans="1:4" s="45" customFormat="1" ht="13.5" x14ac:dyDescent="0.15">
      <c r="A1558" s="45" t="s">
        <v>41</v>
      </c>
      <c r="D1558" s="45" t="s">
        <v>5068</v>
      </c>
    </row>
    <row r="1559" spans="1:4" s="45" customFormat="1" ht="13.5" x14ac:dyDescent="0.15">
      <c r="A1559" s="45" t="s">
        <v>41</v>
      </c>
      <c r="D1559" s="45" t="s">
        <v>5069</v>
      </c>
    </row>
    <row r="1560" spans="1:4" s="45" customFormat="1" ht="13.5" x14ac:dyDescent="0.15">
      <c r="A1560" s="45" t="s">
        <v>41</v>
      </c>
      <c r="D1560" s="45" t="s">
        <v>5070</v>
      </c>
    </row>
    <row r="1561" spans="1:4" s="45" customFormat="1" ht="13.5" x14ac:dyDescent="0.15">
      <c r="A1561" s="45" t="s">
        <v>41</v>
      </c>
      <c r="D1561" s="45" t="s">
        <v>5071</v>
      </c>
    </row>
    <row r="1562" spans="1:4" s="45" customFormat="1" ht="13.5" x14ac:dyDescent="0.15">
      <c r="A1562" s="45" t="s">
        <v>41</v>
      </c>
      <c r="D1562" s="45" t="s">
        <v>1101</v>
      </c>
    </row>
    <row r="1563" spans="1:4" s="45" customFormat="1" ht="13.5" x14ac:dyDescent="0.15">
      <c r="A1563" s="45" t="s">
        <v>41</v>
      </c>
      <c r="D1563" s="45" t="s">
        <v>1099</v>
      </c>
    </row>
    <row r="1564" spans="1:4" s="45" customFormat="1" ht="13.5" x14ac:dyDescent="0.15">
      <c r="A1564" s="45" t="s">
        <v>41</v>
      </c>
      <c r="D1564" s="45" t="s">
        <v>1100</v>
      </c>
    </row>
    <row r="1565" spans="1:4" s="45" customFormat="1" ht="13.5" x14ac:dyDescent="0.15">
      <c r="A1565" s="45" t="s">
        <v>41</v>
      </c>
      <c r="D1565" s="45" t="s">
        <v>5072</v>
      </c>
    </row>
    <row r="1566" spans="1:4" s="45" customFormat="1" ht="13.5" x14ac:dyDescent="0.15">
      <c r="A1566" s="45" t="s">
        <v>41</v>
      </c>
      <c r="D1566" s="45" t="s">
        <v>5073</v>
      </c>
    </row>
    <row r="1567" spans="1:4" s="45" customFormat="1" ht="13.5" x14ac:dyDescent="0.15">
      <c r="A1567" s="45" t="s">
        <v>41</v>
      </c>
      <c r="D1567" s="45" t="s">
        <v>1794</v>
      </c>
    </row>
    <row r="1568" spans="1:4" s="45" customFormat="1" ht="13.5" x14ac:dyDescent="0.15">
      <c r="A1568" s="45" t="s">
        <v>41</v>
      </c>
      <c r="D1568" s="45" t="s">
        <v>5074</v>
      </c>
    </row>
    <row r="1569" spans="1:4" s="45" customFormat="1" ht="13.5" x14ac:dyDescent="0.15">
      <c r="A1569" s="45" t="s">
        <v>41</v>
      </c>
      <c r="D1569" s="45" t="s">
        <v>5075</v>
      </c>
    </row>
    <row r="1570" spans="1:4" s="45" customFormat="1" ht="13.5" x14ac:dyDescent="0.15">
      <c r="A1570" s="45" t="s">
        <v>41</v>
      </c>
      <c r="D1570" s="45" t="s">
        <v>5076</v>
      </c>
    </row>
    <row r="1571" spans="1:4" s="45" customFormat="1" ht="13.5" x14ac:dyDescent="0.15">
      <c r="A1571" s="45" t="s">
        <v>41</v>
      </c>
      <c r="D1571" s="45" t="s">
        <v>5077</v>
      </c>
    </row>
    <row r="1572" spans="1:4" s="45" customFormat="1" ht="13.5" x14ac:dyDescent="0.15">
      <c r="A1572" s="45" t="s">
        <v>41</v>
      </c>
      <c r="D1572" s="45" t="s">
        <v>5078</v>
      </c>
    </row>
    <row r="1573" spans="1:4" s="45" customFormat="1" ht="13.5" x14ac:dyDescent="0.15">
      <c r="A1573" s="45" t="s">
        <v>41</v>
      </c>
      <c r="D1573" s="45" t="s">
        <v>5079</v>
      </c>
    </row>
    <row r="1574" spans="1:4" s="45" customFormat="1" ht="13.5" x14ac:dyDescent="0.15">
      <c r="A1574" s="45" t="s">
        <v>41</v>
      </c>
      <c r="D1574" s="45" t="s">
        <v>5080</v>
      </c>
    </row>
    <row r="1575" spans="1:4" s="45" customFormat="1" ht="13.5" x14ac:dyDescent="0.15">
      <c r="A1575" s="45" t="s">
        <v>41</v>
      </c>
      <c r="D1575" s="45" t="s">
        <v>1944</v>
      </c>
    </row>
    <row r="1576" spans="1:4" s="45" customFormat="1" ht="13.5" x14ac:dyDescent="0.15">
      <c r="A1576" s="45" t="s">
        <v>41</v>
      </c>
      <c r="D1576" s="45" t="s">
        <v>1945</v>
      </c>
    </row>
    <row r="1577" spans="1:4" s="45" customFormat="1" ht="13.5" x14ac:dyDescent="0.15">
      <c r="A1577" s="45" t="s">
        <v>41</v>
      </c>
      <c r="D1577" s="45" t="s">
        <v>1946</v>
      </c>
    </row>
    <row r="1578" spans="1:4" s="45" customFormat="1" ht="13.5" x14ac:dyDescent="0.15">
      <c r="A1578" s="45" t="s">
        <v>41</v>
      </c>
      <c r="D1578" s="45" t="s">
        <v>1948</v>
      </c>
    </row>
    <row r="1579" spans="1:4" s="45" customFormat="1" ht="13.5" x14ac:dyDescent="0.15">
      <c r="A1579" s="45" t="s">
        <v>41</v>
      </c>
      <c r="D1579" s="45" t="s">
        <v>1949</v>
      </c>
    </row>
    <row r="1580" spans="1:4" s="45" customFormat="1" ht="13.5" x14ac:dyDescent="0.15">
      <c r="A1580" s="45" t="s">
        <v>41</v>
      </c>
      <c r="D1580" s="45" t="s">
        <v>5081</v>
      </c>
    </row>
    <row r="1581" spans="1:4" s="45" customFormat="1" ht="13.5" x14ac:dyDescent="0.15">
      <c r="A1581" s="45" t="s">
        <v>41</v>
      </c>
      <c r="D1581" s="45" t="s">
        <v>5082</v>
      </c>
    </row>
    <row r="1582" spans="1:4" s="45" customFormat="1" ht="13.5" x14ac:dyDescent="0.15">
      <c r="A1582" s="45" t="s">
        <v>41</v>
      </c>
      <c r="D1582" s="45" t="s">
        <v>5083</v>
      </c>
    </row>
    <row r="1583" spans="1:4" s="45" customFormat="1" ht="13.5" x14ac:dyDescent="0.15">
      <c r="A1583" s="45" t="s">
        <v>41</v>
      </c>
      <c r="D1583" s="45" t="s">
        <v>5084</v>
      </c>
    </row>
    <row r="1584" spans="1:4" s="45" customFormat="1" ht="13.5" x14ac:dyDescent="0.15">
      <c r="A1584" s="45" t="s">
        <v>41</v>
      </c>
      <c r="D1584" s="45" t="s">
        <v>5085</v>
      </c>
    </row>
    <row r="1585" spans="1:4" s="45" customFormat="1" ht="13.5" x14ac:dyDescent="0.15">
      <c r="A1585" s="45" t="s">
        <v>41</v>
      </c>
      <c r="D1585" s="45" t="s">
        <v>5086</v>
      </c>
    </row>
    <row r="1586" spans="1:4" s="45" customFormat="1" ht="13.5" x14ac:dyDescent="0.15">
      <c r="A1586" s="45" t="s">
        <v>41</v>
      </c>
      <c r="D1586" s="45" t="s">
        <v>5087</v>
      </c>
    </row>
    <row r="1587" spans="1:4" s="45" customFormat="1" ht="13.5" x14ac:dyDescent="0.15">
      <c r="A1587" s="45" t="s">
        <v>41</v>
      </c>
      <c r="D1587" s="45" t="s">
        <v>1947</v>
      </c>
    </row>
    <row r="1588" spans="1:4" s="45" customFormat="1" ht="13.5" x14ac:dyDescent="0.15">
      <c r="A1588" s="45" t="s">
        <v>41</v>
      </c>
      <c r="D1588" s="45" t="s">
        <v>5088</v>
      </c>
    </row>
    <row r="1589" spans="1:4" s="45" customFormat="1" ht="13.5" x14ac:dyDescent="0.15">
      <c r="A1589" s="45" t="s">
        <v>41</v>
      </c>
      <c r="D1589" s="45" t="s">
        <v>5089</v>
      </c>
    </row>
    <row r="1590" spans="1:4" s="45" customFormat="1" ht="13.5" x14ac:dyDescent="0.15">
      <c r="A1590" s="45" t="s">
        <v>41</v>
      </c>
      <c r="D1590" s="45" t="s">
        <v>5090</v>
      </c>
    </row>
    <row r="1591" spans="1:4" s="45" customFormat="1" ht="13.5" x14ac:dyDescent="0.15">
      <c r="A1591" s="45" t="s">
        <v>41</v>
      </c>
      <c r="D1591" s="45" t="s">
        <v>5091</v>
      </c>
    </row>
    <row r="1592" spans="1:4" s="45" customFormat="1" ht="13.5" x14ac:dyDescent="0.15">
      <c r="A1592" s="45" t="s">
        <v>41</v>
      </c>
      <c r="D1592" s="45" t="s">
        <v>5092</v>
      </c>
    </row>
    <row r="1593" spans="1:4" s="45" customFormat="1" ht="13.5" x14ac:dyDescent="0.15">
      <c r="A1593" s="45" t="s">
        <v>41</v>
      </c>
      <c r="D1593" s="45" t="s">
        <v>5093</v>
      </c>
    </row>
    <row r="1594" spans="1:4" s="45" customFormat="1" ht="13.5" x14ac:dyDescent="0.15">
      <c r="A1594" s="45" t="s">
        <v>41</v>
      </c>
      <c r="D1594" s="45" t="s">
        <v>396</v>
      </c>
    </row>
    <row r="1595" spans="1:4" s="45" customFormat="1" ht="13.5" x14ac:dyDescent="0.15">
      <c r="A1595" s="45" t="s">
        <v>41</v>
      </c>
      <c r="D1595" s="45" t="s">
        <v>5094</v>
      </c>
    </row>
    <row r="1596" spans="1:4" s="45" customFormat="1" ht="13.5" x14ac:dyDescent="0.15">
      <c r="A1596" s="45" t="s">
        <v>41</v>
      </c>
      <c r="D1596" s="45" t="s">
        <v>5095</v>
      </c>
    </row>
    <row r="1597" spans="1:4" s="45" customFormat="1" ht="13.5" x14ac:dyDescent="0.15">
      <c r="A1597" s="45" t="s">
        <v>41</v>
      </c>
      <c r="D1597" s="45" t="s">
        <v>5096</v>
      </c>
    </row>
    <row r="1598" spans="1:4" s="45" customFormat="1" ht="13.5" x14ac:dyDescent="0.15">
      <c r="A1598" s="45" t="s">
        <v>41</v>
      </c>
      <c r="D1598" s="45" t="s">
        <v>5097</v>
      </c>
    </row>
    <row r="1599" spans="1:4" s="45" customFormat="1" ht="13.5" x14ac:dyDescent="0.15">
      <c r="A1599" s="45" t="s">
        <v>41</v>
      </c>
      <c r="D1599" s="45" t="s">
        <v>5098</v>
      </c>
    </row>
    <row r="1600" spans="1:4" s="45" customFormat="1" ht="13.5" x14ac:dyDescent="0.15">
      <c r="A1600" s="45" t="s">
        <v>41</v>
      </c>
      <c r="D1600" s="45" t="s">
        <v>393</v>
      </c>
    </row>
    <row r="1601" spans="1:4" s="45" customFormat="1" ht="13.5" x14ac:dyDescent="0.15">
      <c r="A1601" s="45" t="s">
        <v>41</v>
      </c>
      <c r="D1601" s="45" t="s">
        <v>5099</v>
      </c>
    </row>
    <row r="1602" spans="1:4" s="45" customFormat="1" ht="13.5" x14ac:dyDescent="0.15">
      <c r="A1602" s="45" t="s">
        <v>41</v>
      </c>
      <c r="D1602" s="45" t="s">
        <v>5100</v>
      </c>
    </row>
    <row r="1603" spans="1:4" s="45" customFormat="1" ht="13.5" x14ac:dyDescent="0.15">
      <c r="A1603" s="45" t="s">
        <v>41</v>
      </c>
      <c r="D1603" s="45" t="s">
        <v>5101</v>
      </c>
    </row>
    <row r="1604" spans="1:4" s="45" customFormat="1" ht="13.5" x14ac:dyDescent="0.15">
      <c r="A1604" s="45" t="s">
        <v>41</v>
      </c>
      <c r="D1604" s="45" t="s">
        <v>5102</v>
      </c>
    </row>
    <row r="1605" spans="1:4" s="45" customFormat="1" ht="13.5" x14ac:dyDescent="0.15">
      <c r="A1605" s="45" t="s">
        <v>41</v>
      </c>
      <c r="D1605" s="45" t="s">
        <v>5103</v>
      </c>
    </row>
    <row r="1606" spans="1:4" s="45" customFormat="1" ht="13.5" x14ac:dyDescent="0.15">
      <c r="A1606" s="45" t="s">
        <v>41</v>
      </c>
      <c r="D1606" s="45" t="s">
        <v>395</v>
      </c>
    </row>
    <row r="1607" spans="1:4" s="45" customFormat="1" ht="13.5" x14ac:dyDescent="0.15">
      <c r="A1607" s="45" t="s">
        <v>41</v>
      </c>
      <c r="D1607" s="45" t="s">
        <v>5104</v>
      </c>
    </row>
    <row r="1608" spans="1:4" s="45" customFormat="1" ht="13.5" x14ac:dyDescent="0.15">
      <c r="A1608" s="45" t="s">
        <v>41</v>
      </c>
      <c r="D1608" s="45" t="s">
        <v>397</v>
      </c>
    </row>
    <row r="1609" spans="1:4" s="45" customFormat="1" ht="13.5" x14ac:dyDescent="0.15">
      <c r="A1609" s="45" t="s">
        <v>41</v>
      </c>
      <c r="D1609" s="45" t="s">
        <v>394</v>
      </c>
    </row>
    <row r="1610" spans="1:4" s="45" customFormat="1" ht="13.5" x14ac:dyDescent="0.15">
      <c r="A1610" s="45" t="s">
        <v>41</v>
      </c>
      <c r="D1610" s="45" t="s">
        <v>5105</v>
      </c>
    </row>
    <row r="1611" spans="1:4" s="45" customFormat="1" ht="13.5" x14ac:dyDescent="0.15">
      <c r="A1611" s="45" t="s">
        <v>41</v>
      </c>
      <c r="D1611" s="45" t="s">
        <v>5106</v>
      </c>
    </row>
    <row r="1612" spans="1:4" s="45" customFormat="1" ht="13.5" x14ac:dyDescent="0.15">
      <c r="A1612" s="45" t="s">
        <v>41</v>
      </c>
      <c r="D1612" s="45" t="s">
        <v>5107</v>
      </c>
    </row>
    <row r="1613" spans="1:4" s="45" customFormat="1" ht="13.5" x14ac:dyDescent="0.15">
      <c r="A1613" s="45" t="s">
        <v>41</v>
      </c>
      <c r="D1613" s="45" t="s">
        <v>398</v>
      </c>
    </row>
    <row r="1614" spans="1:4" s="45" customFormat="1" ht="13.5" x14ac:dyDescent="0.15">
      <c r="A1614" s="45" t="s">
        <v>41</v>
      </c>
      <c r="D1614" s="45" t="s">
        <v>5108</v>
      </c>
    </row>
    <row r="1615" spans="1:4" s="45" customFormat="1" ht="13.5" x14ac:dyDescent="0.15">
      <c r="A1615" s="45" t="s">
        <v>41</v>
      </c>
      <c r="D1615" s="45" t="s">
        <v>5109</v>
      </c>
    </row>
    <row r="1616" spans="1:4" s="45" customFormat="1" ht="13.5" x14ac:dyDescent="0.15">
      <c r="A1616" s="45" t="s">
        <v>41</v>
      </c>
      <c r="D1616" s="45" t="s">
        <v>5110</v>
      </c>
    </row>
    <row r="1617" spans="1:4" s="45" customFormat="1" ht="13.5" x14ac:dyDescent="0.15">
      <c r="A1617" s="45" t="s">
        <v>41</v>
      </c>
      <c r="D1617" s="45" t="s">
        <v>696</v>
      </c>
    </row>
    <row r="1618" spans="1:4" s="45" customFormat="1" ht="13.5" x14ac:dyDescent="0.15">
      <c r="A1618" s="45" t="s">
        <v>41</v>
      </c>
      <c r="D1618" s="45" t="s">
        <v>5111</v>
      </c>
    </row>
    <row r="1619" spans="1:4" s="45" customFormat="1" ht="13.5" x14ac:dyDescent="0.15">
      <c r="A1619" s="45" t="s">
        <v>41</v>
      </c>
      <c r="D1619" s="45" t="s">
        <v>695</v>
      </c>
    </row>
    <row r="1620" spans="1:4" s="45" customFormat="1" ht="13.5" x14ac:dyDescent="0.15">
      <c r="A1620" s="45" t="s">
        <v>41</v>
      </c>
      <c r="D1620" s="45" t="s">
        <v>5112</v>
      </c>
    </row>
    <row r="1621" spans="1:4" s="45" customFormat="1" ht="13.5" x14ac:dyDescent="0.15">
      <c r="A1621" s="45" t="s">
        <v>41</v>
      </c>
      <c r="D1621" s="45" t="s">
        <v>5113</v>
      </c>
    </row>
    <row r="1622" spans="1:4" s="45" customFormat="1" ht="13.5" x14ac:dyDescent="0.15">
      <c r="A1622" s="45" t="s">
        <v>41</v>
      </c>
      <c r="D1622" s="45" t="s">
        <v>5114</v>
      </c>
    </row>
    <row r="1623" spans="1:4" s="45" customFormat="1" ht="13.5" x14ac:dyDescent="0.15">
      <c r="A1623" s="45" t="s">
        <v>41</v>
      </c>
      <c r="D1623" s="45" t="s">
        <v>5115</v>
      </c>
    </row>
    <row r="1624" spans="1:4" s="45" customFormat="1" ht="13.5" x14ac:dyDescent="0.15">
      <c r="A1624" s="45" t="s">
        <v>41</v>
      </c>
      <c r="D1624" s="45" t="s">
        <v>5116</v>
      </c>
    </row>
    <row r="1625" spans="1:4" s="45" customFormat="1" ht="13.5" x14ac:dyDescent="0.15">
      <c r="A1625" s="45" t="s">
        <v>41</v>
      </c>
      <c r="D1625" s="45" t="s">
        <v>5117</v>
      </c>
    </row>
    <row r="1626" spans="1:4" s="45" customFormat="1" ht="13.5" x14ac:dyDescent="0.15">
      <c r="A1626" s="45" t="s">
        <v>41</v>
      </c>
      <c r="D1626" s="45" t="s">
        <v>5118</v>
      </c>
    </row>
    <row r="1627" spans="1:4" s="45" customFormat="1" ht="13.5" x14ac:dyDescent="0.15">
      <c r="A1627" s="45" t="s">
        <v>41</v>
      </c>
      <c r="D1627" s="45" t="s">
        <v>5119</v>
      </c>
    </row>
    <row r="1628" spans="1:4" s="45" customFormat="1" ht="13.5" x14ac:dyDescent="0.15">
      <c r="A1628" s="45" t="s">
        <v>41</v>
      </c>
      <c r="D1628" s="45" t="s">
        <v>2055</v>
      </c>
    </row>
    <row r="1629" spans="1:4" s="45" customFormat="1" ht="13.5" x14ac:dyDescent="0.15">
      <c r="A1629" s="45" t="s">
        <v>41</v>
      </c>
      <c r="D1629" s="45" t="s">
        <v>5120</v>
      </c>
    </row>
    <row r="1630" spans="1:4" s="45" customFormat="1" ht="13.5" x14ac:dyDescent="0.15">
      <c r="A1630" s="45" t="s">
        <v>41</v>
      </c>
      <c r="D1630" s="45" t="s">
        <v>5121</v>
      </c>
    </row>
    <row r="1631" spans="1:4" s="45" customFormat="1" ht="13.5" x14ac:dyDescent="0.15">
      <c r="A1631" s="45" t="s">
        <v>41</v>
      </c>
      <c r="D1631" s="45" t="s">
        <v>5122</v>
      </c>
    </row>
    <row r="1632" spans="1:4" s="45" customFormat="1" ht="13.5" x14ac:dyDescent="0.15">
      <c r="A1632" s="45" t="s">
        <v>41</v>
      </c>
      <c r="D1632" s="45" t="s">
        <v>5123</v>
      </c>
    </row>
    <row r="1633" spans="1:4" s="45" customFormat="1" ht="13.5" x14ac:dyDescent="0.15">
      <c r="A1633" s="45" t="s">
        <v>41</v>
      </c>
      <c r="D1633" s="45" t="s">
        <v>5124</v>
      </c>
    </row>
    <row r="1634" spans="1:4" s="45" customFormat="1" ht="13.5" x14ac:dyDescent="0.15">
      <c r="A1634" s="45" t="s">
        <v>41</v>
      </c>
      <c r="D1634" s="45" t="s">
        <v>5125</v>
      </c>
    </row>
    <row r="1635" spans="1:4" s="45" customFormat="1" ht="13.5" x14ac:dyDescent="0.15">
      <c r="A1635" s="45" t="s">
        <v>41</v>
      </c>
      <c r="D1635" s="45" t="s">
        <v>317</v>
      </c>
    </row>
    <row r="1636" spans="1:4" s="45" customFormat="1" ht="13.5" x14ac:dyDescent="0.15">
      <c r="A1636" s="45" t="s">
        <v>41</v>
      </c>
      <c r="D1636" s="45" t="s">
        <v>5126</v>
      </c>
    </row>
    <row r="1637" spans="1:4" s="45" customFormat="1" ht="13.5" x14ac:dyDescent="0.15">
      <c r="A1637" s="45" t="s">
        <v>41</v>
      </c>
      <c r="D1637" s="45" t="s">
        <v>5127</v>
      </c>
    </row>
    <row r="1638" spans="1:4" s="45" customFormat="1" ht="13.5" x14ac:dyDescent="0.15">
      <c r="A1638" s="45" t="s">
        <v>41</v>
      </c>
      <c r="D1638" s="45" t="s">
        <v>592</v>
      </c>
    </row>
    <row r="1639" spans="1:4" s="45" customFormat="1" ht="13.5" x14ac:dyDescent="0.15">
      <c r="A1639" s="45" t="s">
        <v>41</v>
      </c>
      <c r="D1639" s="45" t="s">
        <v>5128</v>
      </c>
    </row>
    <row r="1640" spans="1:4" s="45" customFormat="1" ht="13.5" x14ac:dyDescent="0.15">
      <c r="A1640" s="45" t="s">
        <v>41</v>
      </c>
      <c r="D1640" s="45" t="s">
        <v>5129</v>
      </c>
    </row>
    <row r="1641" spans="1:4" s="45" customFormat="1" ht="13.5" x14ac:dyDescent="0.15">
      <c r="A1641" s="45" t="s">
        <v>41</v>
      </c>
      <c r="D1641" s="45" t="s">
        <v>593</v>
      </c>
    </row>
    <row r="1642" spans="1:4" s="45" customFormat="1" ht="13.5" x14ac:dyDescent="0.15">
      <c r="A1642" s="45" t="s">
        <v>41</v>
      </c>
      <c r="D1642" s="45" t="s">
        <v>594</v>
      </c>
    </row>
    <row r="1643" spans="1:4" s="45" customFormat="1" ht="13.5" x14ac:dyDescent="0.15">
      <c r="A1643" s="45" t="s">
        <v>41</v>
      </c>
      <c r="D1643" s="45" t="s">
        <v>5130</v>
      </c>
    </row>
    <row r="1644" spans="1:4" s="45" customFormat="1" ht="13.5" x14ac:dyDescent="0.15">
      <c r="A1644" s="45" t="s">
        <v>41</v>
      </c>
      <c r="D1644" s="45" t="s">
        <v>5131</v>
      </c>
    </row>
    <row r="1645" spans="1:4" s="45" customFormat="1" ht="13.5" x14ac:dyDescent="0.15">
      <c r="A1645" s="45" t="s">
        <v>41</v>
      </c>
      <c r="D1645" s="45" t="s">
        <v>5132</v>
      </c>
    </row>
    <row r="1646" spans="1:4" s="45" customFormat="1" ht="13.5" x14ac:dyDescent="0.15">
      <c r="A1646" s="45" t="s">
        <v>41</v>
      </c>
      <c r="D1646" s="45" t="s">
        <v>5133</v>
      </c>
    </row>
    <row r="1647" spans="1:4" s="45" customFormat="1" ht="13.5" x14ac:dyDescent="0.15">
      <c r="A1647" s="45" t="s">
        <v>41</v>
      </c>
      <c r="D1647" s="45" t="s">
        <v>5134</v>
      </c>
    </row>
    <row r="1648" spans="1:4" s="45" customFormat="1" ht="13.5" x14ac:dyDescent="0.15">
      <c r="A1648" s="45" t="s">
        <v>41</v>
      </c>
      <c r="D1648" s="45" t="s">
        <v>1241</v>
      </c>
    </row>
    <row r="1649" spans="1:4" s="45" customFormat="1" ht="13.5" x14ac:dyDescent="0.15">
      <c r="A1649" s="45" t="s">
        <v>41</v>
      </c>
      <c r="D1649" s="45" t="s">
        <v>5135</v>
      </c>
    </row>
    <row r="1650" spans="1:4" s="45" customFormat="1" ht="13.5" x14ac:dyDescent="0.15">
      <c r="A1650" s="45" t="s">
        <v>41</v>
      </c>
      <c r="D1650" s="45" t="s">
        <v>1242</v>
      </c>
    </row>
    <row r="1651" spans="1:4" s="45" customFormat="1" ht="13.5" x14ac:dyDescent="0.15">
      <c r="A1651" s="45" t="s">
        <v>41</v>
      </c>
      <c r="D1651" s="45" t="s">
        <v>5136</v>
      </c>
    </row>
    <row r="1652" spans="1:4" s="45" customFormat="1" ht="13.5" x14ac:dyDescent="0.15">
      <c r="A1652" s="45" t="s">
        <v>41</v>
      </c>
      <c r="D1652" s="45" t="s">
        <v>1845</v>
      </c>
    </row>
    <row r="1653" spans="1:4" s="45" customFormat="1" ht="13.5" x14ac:dyDescent="0.15">
      <c r="A1653" s="45" t="s">
        <v>41</v>
      </c>
      <c r="D1653" s="45" t="s">
        <v>5137</v>
      </c>
    </row>
    <row r="1654" spans="1:4" s="45" customFormat="1" ht="13.5" x14ac:dyDescent="0.15">
      <c r="A1654" s="45" t="s">
        <v>41</v>
      </c>
      <c r="D1654" s="45" t="s">
        <v>2059</v>
      </c>
    </row>
    <row r="1655" spans="1:4" s="45" customFormat="1" ht="13.5" x14ac:dyDescent="0.15">
      <c r="A1655" s="45" t="s">
        <v>41</v>
      </c>
      <c r="D1655" s="45" t="s">
        <v>1076</v>
      </c>
    </row>
    <row r="1656" spans="1:4" s="45" customFormat="1" ht="13.5" x14ac:dyDescent="0.15">
      <c r="A1656" s="45" t="s">
        <v>41</v>
      </c>
      <c r="D1656" s="45" t="s">
        <v>1078</v>
      </c>
    </row>
    <row r="1657" spans="1:4" s="45" customFormat="1" ht="13.5" x14ac:dyDescent="0.15">
      <c r="A1657" s="45" t="s">
        <v>41</v>
      </c>
      <c r="D1657" s="45" t="s">
        <v>1077</v>
      </c>
    </row>
    <row r="1658" spans="1:4" s="45" customFormat="1" ht="13.5" x14ac:dyDescent="0.15">
      <c r="A1658" s="45" t="s">
        <v>41</v>
      </c>
      <c r="D1658" s="45" t="s">
        <v>1075</v>
      </c>
    </row>
    <row r="1659" spans="1:4" s="45" customFormat="1" ht="13.5" x14ac:dyDescent="0.15">
      <c r="A1659" s="45" t="s">
        <v>41</v>
      </c>
      <c r="D1659" s="45" t="s">
        <v>5138</v>
      </c>
    </row>
    <row r="1660" spans="1:4" s="45" customFormat="1" ht="13.5" x14ac:dyDescent="0.15">
      <c r="A1660" s="45" t="s">
        <v>41</v>
      </c>
      <c r="D1660" s="45" t="s">
        <v>5139</v>
      </c>
    </row>
    <row r="1661" spans="1:4" s="45" customFormat="1" ht="13.5" x14ac:dyDescent="0.15">
      <c r="A1661" s="45" t="s">
        <v>41</v>
      </c>
      <c r="D1661" s="45" t="s">
        <v>5140</v>
      </c>
    </row>
    <row r="1662" spans="1:4" s="45" customFormat="1" ht="13.5" x14ac:dyDescent="0.15">
      <c r="A1662" s="45" t="s">
        <v>41</v>
      </c>
      <c r="D1662" s="45" t="s">
        <v>2215</v>
      </c>
    </row>
    <row r="1663" spans="1:4" s="45" customFormat="1" ht="13.5" x14ac:dyDescent="0.15">
      <c r="A1663" s="45" t="s">
        <v>41</v>
      </c>
      <c r="D1663" s="45" t="s">
        <v>5141</v>
      </c>
    </row>
    <row r="1664" spans="1:4" s="45" customFormat="1" ht="13.5" x14ac:dyDescent="0.15">
      <c r="A1664" s="45" t="s">
        <v>41</v>
      </c>
      <c r="D1664" s="45" t="s">
        <v>1800</v>
      </c>
    </row>
    <row r="1665" spans="1:4" s="45" customFormat="1" ht="13.5" x14ac:dyDescent="0.15">
      <c r="A1665" s="45" t="s">
        <v>41</v>
      </c>
      <c r="D1665" s="45" t="s">
        <v>5142</v>
      </c>
    </row>
    <row r="1666" spans="1:4" s="45" customFormat="1" ht="13.5" x14ac:dyDescent="0.15">
      <c r="A1666" s="45" t="s">
        <v>41</v>
      </c>
      <c r="D1666" s="45" t="s">
        <v>5143</v>
      </c>
    </row>
    <row r="1667" spans="1:4" s="45" customFormat="1" ht="13.5" x14ac:dyDescent="0.15">
      <c r="A1667" s="45" t="s">
        <v>41</v>
      </c>
      <c r="D1667" s="45" t="s">
        <v>5144</v>
      </c>
    </row>
    <row r="1668" spans="1:4" s="45" customFormat="1" ht="13.5" x14ac:dyDescent="0.15">
      <c r="A1668" s="45" t="s">
        <v>41</v>
      </c>
      <c r="D1668" s="45" t="s">
        <v>5145</v>
      </c>
    </row>
    <row r="1669" spans="1:4" s="45" customFormat="1" ht="13.5" x14ac:dyDescent="0.15">
      <c r="A1669" s="45" t="s">
        <v>41</v>
      </c>
      <c r="D1669" s="45" t="s">
        <v>5146</v>
      </c>
    </row>
    <row r="1670" spans="1:4" s="45" customFormat="1" ht="13.5" x14ac:dyDescent="0.15">
      <c r="A1670" s="45" t="s">
        <v>41</v>
      </c>
      <c r="D1670" s="45" t="s">
        <v>5147</v>
      </c>
    </row>
    <row r="1671" spans="1:4" s="45" customFormat="1" ht="13.5" x14ac:dyDescent="0.15">
      <c r="A1671" s="45" t="s">
        <v>41</v>
      </c>
      <c r="D1671" s="45" t="s">
        <v>5148</v>
      </c>
    </row>
    <row r="1672" spans="1:4" s="45" customFormat="1" ht="13.5" x14ac:dyDescent="0.15">
      <c r="A1672" s="45" t="s">
        <v>41</v>
      </c>
      <c r="D1672" s="45" t="s">
        <v>5149</v>
      </c>
    </row>
    <row r="1673" spans="1:4" s="45" customFormat="1" ht="13.5" x14ac:dyDescent="0.15">
      <c r="A1673" s="45" t="s">
        <v>41</v>
      </c>
      <c r="D1673" s="45" t="s">
        <v>315</v>
      </c>
    </row>
    <row r="1674" spans="1:4" s="45" customFormat="1" ht="13.5" x14ac:dyDescent="0.15">
      <c r="A1674" s="45" t="s">
        <v>41</v>
      </c>
      <c r="D1674" s="45" t="s">
        <v>5150</v>
      </c>
    </row>
    <row r="1675" spans="1:4" s="45" customFormat="1" ht="13.5" x14ac:dyDescent="0.15">
      <c r="A1675" s="45" t="s">
        <v>41</v>
      </c>
      <c r="D1675" s="45" t="s">
        <v>5151</v>
      </c>
    </row>
    <row r="1676" spans="1:4" s="45" customFormat="1" ht="13.5" x14ac:dyDescent="0.15">
      <c r="A1676" s="45" t="s">
        <v>41</v>
      </c>
      <c r="D1676" s="45" t="s">
        <v>5152</v>
      </c>
    </row>
    <row r="1677" spans="1:4" s="45" customFormat="1" ht="13.5" x14ac:dyDescent="0.15">
      <c r="A1677" s="45" t="s">
        <v>41</v>
      </c>
      <c r="D1677" s="45" t="s">
        <v>316</v>
      </c>
    </row>
    <row r="1678" spans="1:4" s="45" customFormat="1" ht="13.5" x14ac:dyDescent="0.15">
      <c r="A1678" s="45" t="s">
        <v>41</v>
      </c>
      <c r="D1678" s="45" t="s">
        <v>5153</v>
      </c>
    </row>
    <row r="1679" spans="1:4" s="45" customFormat="1" ht="13.5" x14ac:dyDescent="0.15">
      <c r="A1679" s="45" t="s">
        <v>41</v>
      </c>
      <c r="D1679" s="45" t="s">
        <v>5154</v>
      </c>
    </row>
    <row r="1680" spans="1:4" s="45" customFormat="1" ht="13.5" x14ac:dyDescent="0.15">
      <c r="A1680" s="45" t="s">
        <v>41</v>
      </c>
      <c r="D1680" s="45" t="s">
        <v>5155</v>
      </c>
    </row>
    <row r="1681" spans="1:4" s="45" customFormat="1" ht="13.5" x14ac:dyDescent="0.15">
      <c r="A1681" s="45" t="s">
        <v>41</v>
      </c>
      <c r="D1681" s="45" t="s">
        <v>5156</v>
      </c>
    </row>
    <row r="1682" spans="1:4" s="45" customFormat="1" ht="13.5" x14ac:dyDescent="0.15">
      <c r="A1682" s="45" t="s">
        <v>41</v>
      </c>
      <c r="D1682" s="45" t="s">
        <v>5157</v>
      </c>
    </row>
    <row r="1683" spans="1:4" s="45" customFormat="1" ht="13.5" x14ac:dyDescent="0.15">
      <c r="A1683" s="45" t="s">
        <v>41</v>
      </c>
      <c r="D1683" s="45" t="s">
        <v>5158</v>
      </c>
    </row>
    <row r="1684" spans="1:4" s="45" customFormat="1" ht="13.5" x14ac:dyDescent="0.15">
      <c r="A1684" s="45" t="s">
        <v>41</v>
      </c>
      <c r="D1684" s="45" t="s">
        <v>5159</v>
      </c>
    </row>
    <row r="1685" spans="1:4" s="45" customFormat="1" ht="13.5" x14ac:dyDescent="0.15">
      <c r="A1685" s="45" t="s">
        <v>41</v>
      </c>
      <c r="D1685" s="45" t="s">
        <v>2583</v>
      </c>
    </row>
    <row r="1686" spans="1:4" s="45" customFormat="1" ht="13.5" x14ac:dyDescent="0.15">
      <c r="A1686" s="45" t="s">
        <v>41</v>
      </c>
      <c r="D1686" s="45" t="s">
        <v>2315</v>
      </c>
    </row>
    <row r="1687" spans="1:4" s="45" customFormat="1" ht="13.5" x14ac:dyDescent="0.15">
      <c r="A1687" s="45" t="s">
        <v>41</v>
      </c>
      <c r="D1687" s="45" t="s">
        <v>2317</v>
      </c>
    </row>
    <row r="1688" spans="1:4" s="45" customFormat="1" ht="13.5" x14ac:dyDescent="0.15">
      <c r="A1688" s="45" t="s">
        <v>41</v>
      </c>
      <c r="D1688" s="45" t="s">
        <v>2316</v>
      </c>
    </row>
    <row r="1689" spans="1:4" s="45" customFormat="1" ht="13.5" x14ac:dyDescent="0.15">
      <c r="A1689" s="45" t="s">
        <v>41</v>
      </c>
      <c r="D1689" s="45" t="s">
        <v>2318</v>
      </c>
    </row>
    <row r="1690" spans="1:4" s="45" customFormat="1" ht="13.5" x14ac:dyDescent="0.15">
      <c r="A1690" s="45" t="s">
        <v>41</v>
      </c>
      <c r="D1690" s="45" t="s">
        <v>2320</v>
      </c>
    </row>
    <row r="1691" spans="1:4" s="45" customFormat="1" ht="13.5" x14ac:dyDescent="0.15">
      <c r="A1691" s="45" t="s">
        <v>41</v>
      </c>
      <c r="D1691" s="45" t="s">
        <v>2319</v>
      </c>
    </row>
    <row r="1692" spans="1:4" s="45" customFormat="1" ht="13.5" x14ac:dyDescent="0.15">
      <c r="A1692" s="45" t="s">
        <v>41</v>
      </c>
      <c r="D1692" s="45" t="s">
        <v>2233</v>
      </c>
    </row>
    <row r="1693" spans="1:4" s="45" customFormat="1" ht="13.5" x14ac:dyDescent="0.15">
      <c r="A1693" s="45" t="s">
        <v>41</v>
      </c>
      <c r="D1693" s="45" t="s">
        <v>2234</v>
      </c>
    </row>
    <row r="1694" spans="1:4" s="45" customFormat="1" ht="13.5" x14ac:dyDescent="0.15">
      <c r="A1694" s="45" t="s">
        <v>41</v>
      </c>
      <c r="D1694" s="45" t="s">
        <v>2235</v>
      </c>
    </row>
    <row r="1695" spans="1:4" s="45" customFormat="1" ht="13.5" x14ac:dyDescent="0.15">
      <c r="A1695" s="45" t="s">
        <v>41</v>
      </c>
      <c r="D1695" s="45" t="s">
        <v>5160</v>
      </c>
    </row>
    <row r="1696" spans="1:4" s="45" customFormat="1" ht="13.5" x14ac:dyDescent="0.15">
      <c r="A1696" s="45" t="s">
        <v>41</v>
      </c>
      <c r="D1696" s="45" t="s">
        <v>2232</v>
      </c>
    </row>
    <row r="1697" spans="1:4" s="45" customFormat="1" ht="13.5" x14ac:dyDescent="0.15">
      <c r="A1697" s="45" t="s">
        <v>41</v>
      </c>
      <c r="D1697" s="45" t="s">
        <v>2261</v>
      </c>
    </row>
    <row r="1698" spans="1:4" s="45" customFormat="1" ht="13.5" x14ac:dyDescent="0.15">
      <c r="A1698" s="45" t="s">
        <v>41</v>
      </c>
      <c r="D1698" s="45" t="s">
        <v>2260</v>
      </c>
    </row>
    <row r="1699" spans="1:4" s="45" customFormat="1" ht="13.5" x14ac:dyDescent="0.15">
      <c r="A1699" s="45" t="s">
        <v>41</v>
      </c>
      <c r="D1699" s="45" t="s">
        <v>5161</v>
      </c>
    </row>
    <row r="1700" spans="1:4" s="45" customFormat="1" ht="13.5" x14ac:dyDescent="0.15">
      <c r="A1700" s="45" t="s">
        <v>41</v>
      </c>
      <c r="D1700" s="45" t="s">
        <v>5162</v>
      </c>
    </row>
    <row r="1701" spans="1:4" s="45" customFormat="1" ht="13.5" x14ac:dyDescent="0.15">
      <c r="A1701" s="45" t="s">
        <v>41</v>
      </c>
      <c r="D1701" s="45" t="s">
        <v>2262</v>
      </c>
    </row>
    <row r="1702" spans="1:4" s="45" customFormat="1" ht="13.5" x14ac:dyDescent="0.15">
      <c r="A1702" s="45" t="s">
        <v>41</v>
      </c>
      <c r="D1702" s="45" t="s">
        <v>5163</v>
      </c>
    </row>
    <row r="1703" spans="1:4" s="45" customFormat="1" ht="13.5" x14ac:dyDescent="0.15">
      <c r="A1703" s="45" t="s">
        <v>41</v>
      </c>
      <c r="D1703" s="45" t="s">
        <v>5164</v>
      </c>
    </row>
    <row r="1704" spans="1:4" s="45" customFormat="1" ht="13.5" x14ac:dyDescent="0.15">
      <c r="A1704" s="45" t="s">
        <v>41</v>
      </c>
      <c r="D1704" s="45" t="s">
        <v>5165</v>
      </c>
    </row>
    <row r="1705" spans="1:4" s="45" customFormat="1" ht="13.5" x14ac:dyDescent="0.15">
      <c r="A1705" s="45" t="s">
        <v>41</v>
      </c>
      <c r="D1705" s="45" t="s">
        <v>1090</v>
      </c>
    </row>
    <row r="1706" spans="1:4" s="45" customFormat="1" ht="13.5" x14ac:dyDescent="0.15">
      <c r="A1706" s="45" t="s">
        <v>41</v>
      </c>
      <c r="D1706" s="45" t="s">
        <v>5166</v>
      </c>
    </row>
    <row r="1707" spans="1:4" s="45" customFormat="1" ht="13.5" x14ac:dyDescent="0.15">
      <c r="A1707" s="45" t="s">
        <v>41</v>
      </c>
      <c r="D1707" s="45" t="s">
        <v>5167</v>
      </c>
    </row>
    <row r="1708" spans="1:4" s="45" customFormat="1" ht="13.5" x14ac:dyDescent="0.15">
      <c r="A1708" s="45" t="s">
        <v>41</v>
      </c>
      <c r="D1708" s="45" t="s">
        <v>1092</v>
      </c>
    </row>
    <row r="1709" spans="1:4" s="45" customFormat="1" ht="13.5" x14ac:dyDescent="0.15">
      <c r="A1709" s="45" t="s">
        <v>41</v>
      </c>
      <c r="D1709" s="45" t="s">
        <v>1091</v>
      </c>
    </row>
    <row r="1710" spans="1:4" s="45" customFormat="1" ht="13.5" x14ac:dyDescent="0.15">
      <c r="A1710" s="45" t="s">
        <v>41</v>
      </c>
      <c r="D1710" s="45" t="s">
        <v>5168</v>
      </c>
    </row>
    <row r="1711" spans="1:4" s="45" customFormat="1" ht="13.5" x14ac:dyDescent="0.15">
      <c r="A1711" s="45" t="s">
        <v>41</v>
      </c>
      <c r="D1711" s="45" t="s">
        <v>5169</v>
      </c>
    </row>
    <row r="1712" spans="1:4" s="45" customFormat="1" ht="13.5" x14ac:dyDescent="0.15">
      <c r="A1712" s="45" t="s">
        <v>41</v>
      </c>
      <c r="D1712" s="45" t="s">
        <v>5170</v>
      </c>
    </row>
    <row r="1713" spans="1:4" s="45" customFormat="1" ht="13.5" x14ac:dyDescent="0.15">
      <c r="A1713" s="45" t="s">
        <v>41</v>
      </c>
      <c r="D1713" s="45" t="s">
        <v>5171</v>
      </c>
    </row>
    <row r="1714" spans="1:4" s="45" customFormat="1" ht="13.5" x14ac:dyDescent="0.15">
      <c r="A1714" s="45" t="s">
        <v>41</v>
      </c>
      <c r="D1714" s="45" t="s">
        <v>5172</v>
      </c>
    </row>
    <row r="1715" spans="1:4" s="45" customFormat="1" ht="13.5" x14ac:dyDescent="0.15">
      <c r="A1715" s="45" t="s">
        <v>41</v>
      </c>
      <c r="D1715" s="45" t="s">
        <v>734</v>
      </c>
    </row>
    <row r="1716" spans="1:4" s="45" customFormat="1" ht="13.5" x14ac:dyDescent="0.15">
      <c r="A1716" s="45" t="s">
        <v>41</v>
      </c>
      <c r="D1716" s="45" t="s">
        <v>5173</v>
      </c>
    </row>
    <row r="1717" spans="1:4" s="45" customFormat="1" ht="13.5" x14ac:dyDescent="0.15">
      <c r="A1717" s="45" t="s">
        <v>41</v>
      </c>
      <c r="D1717" s="45" t="s">
        <v>711</v>
      </c>
    </row>
    <row r="1718" spans="1:4" s="45" customFormat="1" ht="13.5" x14ac:dyDescent="0.15">
      <c r="A1718" s="45" t="s">
        <v>41</v>
      </c>
      <c r="D1718" s="45" t="s">
        <v>5174</v>
      </c>
    </row>
    <row r="1719" spans="1:4" s="45" customFormat="1" ht="13.5" x14ac:dyDescent="0.15">
      <c r="A1719" s="45" t="s">
        <v>41</v>
      </c>
      <c r="D1719" s="45" t="s">
        <v>724</v>
      </c>
    </row>
    <row r="1720" spans="1:4" s="45" customFormat="1" ht="13.5" x14ac:dyDescent="0.15">
      <c r="A1720" s="45" t="s">
        <v>41</v>
      </c>
      <c r="D1720" s="45" t="s">
        <v>5175</v>
      </c>
    </row>
    <row r="1721" spans="1:4" s="45" customFormat="1" ht="13.5" x14ac:dyDescent="0.15">
      <c r="A1721" s="45" t="s">
        <v>41</v>
      </c>
      <c r="D1721" s="45" t="s">
        <v>5176</v>
      </c>
    </row>
    <row r="1722" spans="1:4" s="45" customFormat="1" ht="13.5" x14ac:dyDescent="0.15">
      <c r="A1722" s="45" t="s">
        <v>41</v>
      </c>
      <c r="D1722" s="45" t="s">
        <v>5177</v>
      </c>
    </row>
    <row r="1723" spans="1:4" s="45" customFormat="1" ht="13.5" x14ac:dyDescent="0.15">
      <c r="A1723" s="45" t="s">
        <v>41</v>
      </c>
      <c r="D1723" s="45" t="s">
        <v>713</v>
      </c>
    </row>
    <row r="1724" spans="1:4" s="45" customFormat="1" ht="13.5" x14ac:dyDescent="0.15">
      <c r="A1724" s="45" t="s">
        <v>41</v>
      </c>
      <c r="D1724" s="45" t="s">
        <v>714</v>
      </c>
    </row>
    <row r="1725" spans="1:4" s="45" customFormat="1" ht="13.5" x14ac:dyDescent="0.15">
      <c r="A1725" s="45" t="s">
        <v>41</v>
      </c>
      <c r="D1725" s="45" t="s">
        <v>5178</v>
      </c>
    </row>
    <row r="1726" spans="1:4" s="45" customFormat="1" ht="13.5" x14ac:dyDescent="0.15">
      <c r="A1726" s="45" t="s">
        <v>41</v>
      </c>
      <c r="D1726" s="45" t="s">
        <v>5179</v>
      </c>
    </row>
    <row r="1727" spans="1:4" s="45" customFormat="1" ht="13.5" x14ac:dyDescent="0.15">
      <c r="A1727" s="45" t="s">
        <v>41</v>
      </c>
      <c r="D1727" s="45" t="s">
        <v>5180</v>
      </c>
    </row>
    <row r="1728" spans="1:4" s="45" customFormat="1" ht="13.5" x14ac:dyDescent="0.15">
      <c r="A1728" s="45" t="s">
        <v>41</v>
      </c>
      <c r="D1728" s="45" t="s">
        <v>5181</v>
      </c>
    </row>
    <row r="1729" spans="1:4" s="45" customFormat="1" ht="13.5" x14ac:dyDescent="0.15">
      <c r="A1729" s="45" t="s">
        <v>41</v>
      </c>
      <c r="D1729" s="45" t="s">
        <v>5182</v>
      </c>
    </row>
    <row r="1730" spans="1:4" s="45" customFormat="1" ht="13.5" x14ac:dyDescent="0.15">
      <c r="A1730" s="45" t="s">
        <v>41</v>
      </c>
      <c r="D1730" s="45" t="s">
        <v>721</v>
      </c>
    </row>
    <row r="1731" spans="1:4" s="45" customFormat="1" ht="13.5" x14ac:dyDescent="0.15">
      <c r="A1731" s="45" t="s">
        <v>41</v>
      </c>
      <c r="D1731" s="45" t="s">
        <v>722</v>
      </c>
    </row>
    <row r="1732" spans="1:4" s="45" customFormat="1" ht="13.5" x14ac:dyDescent="0.15">
      <c r="A1732" s="45" t="s">
        <v>41</v>
      </c>
      <c r="D1732" s="45" t="s">
        <v>723</v>
      </c>
    </row>
    <row r="1733" spans="1:4" s="45" customFormat="1" ht="13.5" x14ac:dyDescent="0.15">
      <c r="A1733" s="45" t="s">
        <v>41</v>
      </c>
      <c r="D1733" s="45" t="s">
        <v>5183</v>
      </c>
    </row>
    <row r="1734" spans="1:4" s="45" customFormat="1" ht="13.5" x14ac:dyDescent="0.15">
      <c r="A1734" s="45" t="s">
        <v>41</v>
      </c>
      <c r="D1734" s="45" t="s">
        <v>5184</v>
      </c>
    </row>
    <row r="1735" spans="1:4" s="45" customFormat="1" ht="13.5" x14ac:dyDescent="0.15">
      <c r="A1735" s="45" t="s">
        <v>41</v>
      </c>
      <c r="D1735" s="45" t="s">
        <v>5185</v>
      </c>
    </row>
    <row r="1736" spans="1:4" s="45" customFormat="1" ht="13.5" x14ac:dyDescent="0.15">
      <c r="A1736" s="45" t="s">
        <v>41</v>
      </c>
      <c r="D1736" s="45" t="s">
        <v>5186</v>
      </c>
    </row>
    <row r="1737" spans="1:4" s="45" customFormat="1" ht="13.5" x14ac:dyDescent="0.15">
      <c r="A1737" s="45" t="s">
        <v>41</v>
      </c>
      <c r="D1737" s="45" t="s">
        <v>5187</v>
      </c>
    </row>
    <row r="1738" spans="1:4" s="45" customFormat="1" ht="13.5" x14ac:dyDescent="0.15">
      <c r="A1738" s="45" t="s">
        <v>41</v>
      </c>
      <c r="D1738" s="45" t="s">
        <v>5188</v>
      </c>
    </row>
    <row r="1739" spans="1:4" s="45" customFormat="1" ht="13.5" x14ac:dyDescent="0.15">
      <c r="A1739" s="45" t="s">
        <v>41</v>
      </c>
      <c r="D1739" s="45" t="s">
        <v>5189</v>
      </c>
    </row>
    <row r="1740" spans="1:4" s="45" customFormat="1" ht="13.5" x14ac:dyDescent="0.15">
      <c r="A1740" s="45" t="s">
        <v>41</v>
      </c>
      <c r="D1740" s="45" t="s">
        <v>5190</v>
      </c>
    </row>
    <row r="1741" spans="1:4" s="45" customFormat="1" ht="13.5" x14ac:dyDescent="0.15">
      <c r="A1741" s="45" t="s">
        <v>41</v>
      </c>
      <c r="D1741" s="45" t="s">
        <v>5191</v>
      </c>
    </row>
    <row r="1742" spans="1:4" s="45" customFormat="1" ht="13.5" x14ac:dyDescent="0.15">
      <c r="A1742" s="45" t="s">
        <v>41</v>
      </c>
      <c r="D1742" s="45" t="s">
        <v>5192</v>
      </c>
    </row>
    <row r="1743" spans="1:4" s="45" customFormat="1" ht="13.5" x14ac:dyDescent="0.15">
      <c r="A1743" s="45" t="s">
        <v>41</v>
      </c>
      <c r="D1743" s="45" t="s">
        <v>5193</v>
      </c>
    </row>
    <row r="1744" spans="1:4" s="45" customFormat="1" ht="13.5" x14ac:dyDescent="0.15">
      <c r="A1744" s="45" t="s">
        <v>41</v>
      </c>
      <c r="D1744" s="45" t="s">
        <v>5194</v>
      </c>
    </row>
    <row r="1745" spans="1:4" s="45" customFormat="1" ht="13.5" x14ac:dyDescent="0.15">
      <c r="A1745" s="45" t="s">
        <v>41</v>
      </c>
      <c r="D1745" s="45" t="s">
        <v>5195</v>
      </c>
    </row>
    <row r="1746" spans="1:4" s="45" customFormat="1" ht="13.5" x14ac:dyDescent="0.15">
      <c r="A1746" s="45" t="s">
        <v>41</v>
      </c>
      <c r="D1746" s="45" t="s">
        <v>735</v>
      </c>
    </row>
    <row r="1747" spans="1:4" s="45" customFormat="1" ht="13.5" x14ac:dyDescent="0.15">
      <c r="A1747" s="45" t="s">
        <v>41</v>
      </c>
      <c r="D1747" s="45" t="s">
        <v>5196</v>
      </c>
    </row>
    <row r="1748" spans="1:4" s="45" customFormat="1" ht="13.5" x14ac:dyDescent="0.15">
      <c r="A1748" s="45" t="s">
        <v>41</v>
      </c>
      <c r="D1748" s="45" t="s">
        <v>5197</v>
      </c>
    </row>
    <row r="1749" spans="1:4" s="45" customFormat="1" ht="13.5" x14ac:dyDescent="0.15">
      <c r="A1749" s="45" t="s">
        <v>41</v>
      </c>
      <c r="D1749" s="45" t="s">
        <v>728</v>
      </c>
    </row>
    <row r="1750" spans="1:4" s="45" customFormat="1" ht="13.5" x14ac:dyDescent="0.15">
      <c r="A1750" s="45" t="s">
        <v>41</v>
      </c>
      <c r="D1750" s="45" t="s">
        <v>5198</v>
      </c>
    </row>
    <row r="1751" spans="1:4" s="45" customFormat="1" ht="13.5" x14ac:dyDescent="0.15">
      <c r="A1751" s="45" t="s">
        <v>41</v>
      </c>
      <c r="D1751" s="45" t="s">
        <v>729</v>
      </c>
    </row>
    <row r="1752" spans="1:4" s="45" customFormat="1" ht="13.5" x14ac:dyDescent="0.15">
      <c r="A1752" s="45" t="s">
        <v>41</v>
      </c>
      <c r="D1752" s="45" t="s">
        <v>5199</v>
      </c>
    </row>
    <row r="1753" spans="1:4" s="45" customFormat="1" ht="13.5" x14ac:dyDescent="0.15">
      <c r="A1753" s="45" t="s">
        <v>41</v>
      </c>
      <c r="D1753" s="45" t="s">
        <v>5200</v>
      </c>
    </row>
    <row r="1754" spans="1:4" s="45" customFormat="1" ht="13.5" x14ac:dyDescent="0.15">
      <c r="A1754" s="45" t="s">
        <v>41</v>
      </c>
      <c r="D1754" s="45" t="s">
        <v>725</v>
      </c>
    </row>
    <row r="1755" spans="1:4" s="45" customFormat="1" ht="13.5" x14ac:dyDescent="0.15">
      <c r="A1755" s="45" t="s">
        <v>41</v>
      </c>
      <c r="D1755" s="45" t="s">
        <v>726</v>
      </c>
    </row>
    <row r="1756" spans="1:4" s="45" customFormat="1" ht="13.5" x14ac:dyDescent="0.15">
      <c r="A1756" s="45" t="s">
        <v>41</v>
      </c>
      <c r="D1756" s="45" t="s">
        <v>727</v>
      </c>
    </row>
    <row r="1757" spans="1:4" s="45" customFormat="1" ht="13.5" x14ac:dyDescent="0.15">
      <c r="A1757" s="45" t="s">
        <v>41</v>
      </c>
      <c r="D1757" s="45" t="s">
        <v>719</v>
      </c>
    </row>
    <row r="1758" spans="1:4" s="45" customFormat="1" ht="13.5" x14ac:dyDescent="0.15">
      <c r="A1758" s="45" t="s">
        <v>41</v>
      </c>
      <c r="D1758" s="45" t="s">
        <v>5201</v>
      </c>
    </row>
    <row r="1759" spans="1:4" s="45" customFormat="1" ht="13.5" x14ac:dyDescent="0.15">
      <c r="A1759" s="45" t="s">
        <v>41</v>
      </c>
      <c r="D1759" s="45" t="s">
        <v>5202</v>
      </c>
    </row>
    <row r="1760" spans="1:4" s="45" customFormat="1" ht="13.5" x14ac:dyDescent="0.15">
      <c r="A1760" s="45" t="s">
        <v>41</v>
      </c>
      <c r="D1760" s="45" t="s">
        <v>5203</v>
      </c>
    </row>
    <row r="1761" spans="1:4" s="45" customFormat="1" ht="13.5" x14ac:dyDescent="0.15">
      <c r="A1761" s="45" t="s">
        <v>41</v>
      </c>
      <c r="D1761" s="45" t="s">
        <v>5204</v>
      </c>
    </row>
    <row r="1762" spans="1:4" s="45" customFormat="1" ht="13.5" x14ac:dyDescent="0.15">
      <c r="A1762" s="45" t="s">
        <v>41</v>
      </c>
      <c r="D1762" s="45" t="s">
        <v>736</v>
      </c>
    </row>
    <row r="1763" spans="1:4" s="45" customFormat="1" ht="13.5" x14ac:dyDescent="0.15">
      <c r="A1763" s="45" t="s">
        <v>41</v>
      </c>
      <c r="D1763" s="45" t="s">
        <v>737</v>
      </c>
    </row>
    <row r="1764" spans="1:4" s="45" customFormat="1" ht="13.5" x14ac:dyDescent="0.15">
      <c r="A1764" s="45" t="s">
        <v>41</v>
      </c>
      <c r="D1764" s="45" t="s">
        <v>738</v>
      </c>
    </row>
    <row r="1765" spans="1:4" s="45" customFormat="1" ht="13.5" x14ac:dyDescent="0.15">
      <c r="A1765" s="45" t="s">
        <v>41</v>
      </c>
      <c r="D1765" s="45" t="s">
        <v>717</v>
      </c>
    </row>
    <row r="1766" spans="1:4" s="45" customFormat="1" ht="13.5" x14ac:dyDescent="0.15">
      <c r="A1766" s="45" t="s">
        <v>41</v>
      </c>
      <c r="D1766" s="45" t="s">
        <v>5205</v>
      </c>
    </row>
    <row r="1767" spans="1:4" s="45" customFormat="1" ht="13.5" x14ac:dyDescent="0.15">
      <c r="A1767" s="45" t="s">
        <v>41</v>
      </c>
      <c r="D1767" s="45" t="s">
        <v>5206</v>
      </c>
    </row>
    <row r="1768" spans="1:4" s="45" customFormat="1" ht="13.5" x14ac:dyDescent="0.15">
      <c r="A1768" s="45" t="s">
        <v>41</v>
      </c>
      <c r="D1768" s="45" t="s">
        <v>5207</v>
      </c>
    </row>
    <row r="1769" spans="1:4" s="45" customFormat="1" ht="13.5" x14ac:dyDescent="0.15">
      <c r="A1769" s="45" t="s">
        <v>41</v>
      </c>
      <c r="D1769" s="45" t="s">
        <v>5208</v>
      </c>
    </row>
    <row r="1770" spans="1:4" s="45" customFormat="1" ht="13.5" x14ac:dyDescent="0.15">
      <c r="A1770" s="45" t="s">
        <v>41</v>
      </c>
      <c r="D1770" s="45" t="s">
        <v>5209</v>
      </c>
    </row>
    <row r="1771" spans="1:4" s="45" customFormat="1" ht="13.5" x14ac:dyDescent="0.15">
      <c r="A1771" s="45" t="s">
        <v>41</v>
      </c>
      <c r="D1771" s="45" t="s">
        <v>5210</v>
      </c>
    </row>
    <row r="1772" spans="1:4" s="45" customFormat="1" ht="13.5" x14ac:dyDescent="0.15">
      <c r="A1772" s="45" t="s">
        <v>41</v>
      </c>
      <c r="D1772" s="45" t="s">
        <v>5211</v>
      </c>
    </row>
    <row r="1773" spans="1:4" s="45" customFormat="1" ht="13.5" x14ac:dyDescent="0.15">
      <c r="A1773" s="45" t="s">
        <v>41</v>
      </c>
      <c r="D1773" s="45" t="s">
        <v>720</v>
      </c>
    </row>
    <row r="1774" spans="1:4" s="45" customFormat="1" ht="13.5" x14ac:dyDescent="0.15">
      <c r="A1774" s="45" t="s">
        <v>41</v>
      </c>
      <c r="D1774" s="45" t="s">
        <v>715</v>
      </c>
    </row>
    <row r="1775" spans="1:4" s="45" customFormat="1" ht="13.5" x14ac:dyDescent="0.15">
      <c r="A1775" s="45" t="s">
        <v>41</v>
      </c>
      <c r="D1775" s="45" t="s">
        <v>716</v>
      </c>
    </row>
    <row r="1776" spans="1:4" s="45" customFormat="1" ht="13.5" x14ac:dyDescent="0.15">
      <c r="A1776" s="45" t="s">
        <v>41</v>
      </c>
      <c r="D1776" s="45" t="s">
        <v>712</v>
      </c>
    </row>
    <row r="1777" spans="1:4" s="45" customFormat="1" ht="13.5" x14ac:dyDescent="0.15">
      <c r="A1777" s="45" t="s">
        <v>41</v>
      </c>
      <c r="D1777" s="45" t="s">
        <v>733</v>
      </c>
    </row>
    <row r="1778" spans="1:4" s="45" customFormat="1" ht="13.5" x14ac:dyDescent="0.15">
      <c r="A1778" s="45" t="s">
        <v>41</v>
      </c>
      <c r="D1778" s="45" t="s">
        <v>5212</v>
      </c>
    </row>
    <row r="1779" spans="1:4" s="45" customFormat="1" ht="13.5" x14ac:dyDescent="0.15">
      <c r="A1779" s="45" t="s">
        <v>41</v>
      </c>
      <c r="D1779" s="45" t="s">
        <v>718</v>
      </c>
    </row>
    <row r="1780" spans="1:4" s="45" customFormat="1" ht="13.5" x14ac:dyDescent="0.15">
      <c r="A1780" s="45" t="s">
        <v>41</v>
      </c>
      <c r="D1780" s="45" t="s">
        <v>5213</v>
      </c>
    </row>
    <row r="1781" spans="1:4" s="45" customFormat="1" ht="13.5" x14ac:dyDescent="0.15">
      <c r="A1781" s="45" t="s">
        <v>41</v>
      </c>
      <c r="D1781" s="45" t="s">
        <v>730</v>
      </c>
    </row>
    <row r="1782" spans="1:4" s="45" customFormat="1" ht="13.5" x14ac:dyDescent="0.15">
      <c r="A1782" s="45" t="s">
        <v>41</v>
      </c>
      <c r="D1782" s="45" t="s">
        <v>5214</v>
      </c>
    </row>
    <row r="1783" spans="1:4" s="45" customFormat="1" ht="13.5" x14ac:dyDescent="0.15">
      <c r="A1783" s="45" t="s">
        <v>41</v>
      </c>
      <c r="D1783" s="45" t="s">
        <v>731</v>
      </c>
    </row>
    <row r="1784" spans="1:4" s="45" customFormat="1" ht="13.5" x14ac:dyDescent="0.15">
      <c r="A1784" s="45" t="s">
        <v>41</v>
      </c>
      <c r="D1784" s="45" t="s">
        <v>5215</v>
      </c>
    </row>
    <row r="1785" spans="1:4" s="45" customFormat="1" ht="13.5" x14ac:dyDescent="0.15">
      <c r="A1785" s="45" t="s">
        <v>41</v>
      </c>
      <c r="D1785" s="45" t="s">
        <v>709</v>
      </c>
    </row>
    <row r="1786" spans="1:4" s="45" customFormat="1" ht="13.5" x14ac:dyDescent="0.15">
      <c r="A1786" s="45" t="s">
        <v>41</v>
      </c>
      <c r="D1786" s="45" t="s">
        <v>710</v>
      </c>
    </row>
    <row r="1787" spans="1:4" s="45" customFormat="1" ht="13.5" x14ac:dyDescent="0.15">
      <c r="A1787" s="45" t="s">
        <v>41</v>
      </c>
      <c r="D1787" s="45" t="s">
        <v>5216</v>
      </c>
    </row>
    <row r="1788" spans="1:4" s="45" customFormat="1" ht="13.5" x14ac:dyDescent="0.15">
      <c r="A1788" s="45" t="s">
        <v>41</v>
      </c>
      <c r="D1788" s="45" t="s">
        <v>5217</v>
      </c>
    </row>
    <row r="1789" spans="1:4" s="45" customFormat="1" ht="13.5" x14ac:dyDescent="0.15">
      <c r="A1789" s="45" t="s">
        <v>41</v>
      </c>
      <c r="D1789" s="45" t="s">
        <v>732</v>
      </c>
    </row>
    <row r="1790" spans="1:4" s="45" customFormat="1" ht="13.5" x14ac:dyDescent="0.15">
      <c r="A1790" s="45" t="s">
        <v>41</v>
      </c>
      <c r="D1790" s="45" t="s">
        <v>5218</v>
      </c>
    </row>
    <row r="1791" spans="1:4" s="45" customFormat="1" ht="13.5" x14ac:dyDescent="0.15">
      <c r="A1791" s="45" t="s">
        <v>41</v>
      </c>
      <c r="D1791" s="45" t="s">
        <v>597</v>
      </c>
    </row>
    <row r="1792" spans="1:4" s="45" customFormat="1" ht="13.5" x14ac:dyDescent="0.15">
      <c r="A1792" s="45" t="s">
        <v>41</v>
      </c>
      <c r="D1792" s="45" t="s">
        <v>5219</v>
      </c>
    </row>
    <row r="1793" spans="1:4" s="45" customFormat="1" ht="13.5" x14ac:dyDescent="0.15">
      <c r="A1793" s="45" t="s">
        <v>41</v>
      </c>
      <c r="D1793" s="45" t="s">
        <v>5220</v>
      </c>
    </row>
    <row r="1794" spans="1:4" s="45" customFormat="1" ht="13.5" x14ac:dyDescent="0.15">
      <c r="A1794" s="45" t="s">
        <v>41</v>
      </c>
      <c r="D1794" s="45" t="s">
        <v>5221</v>
      </c>
    </row>
    <row r="1795" spans="1:4" s="45" customFormat="1" ht="13.5" x14ac:dyDescent="0.15">
      <c r="A1795" s="45" t="s">
        <v>41</v>
      </c>
      <c r="D1795" s="45" t="s">
        <v>5222</v>
      </c>
    </row>
    <row r="1796" spans="1:4" s="45" customFormat="1" ht="13.5" x14ac:dyDescent="0.15">
      <c r="A1796" s="45" t="s">
        <v>41</v>
      </c>
      <c r="D1796" s="45" t="s">
        <v>5223</v>
      </c>
    </row>
    <row r="1797" spans="1:4" s="45" customFormat="1" ht="13.5" x14ac:dyDescent="0.15">
      <c r="A1797" s="45" t="s">
        <v>41</v>
      </c>
      <c r="D1797" s="45" t="s">
        <v>5224</v>
      </c>
    </row>
    <row r="1798" spans="1:4" s="45" customFormat="1" ht="13.5" x14ac:dyDescent="0.15">
      <c r="A1798" s="45" t="s">
        <v>41</v>
      </c>
      <c r="D1798" s="45" t="s">
        <v>5225</v>
      </c>
    </row>
    <row r="1799" spans="1:4" s="45" customFormat="1" ht="13.5" x14ac:dyDescent="0.15">
      <c r="A1799" s="45" t="s">
        <v>41</v>
      </c>
      <c r="D1799" s="45" t="s">
        <v>5226</v>
      </c>
    </row>
    <row r="1800" spans="1:4" s="45" customFormat="1" ht="13.5" x14ac:dyDescent="0.15">
      <c r="A1800" s="45" t="s">
        <v>41</v>
      </c>
      <c r="D1800" s="45" t="s">
        <v>5227</v>
      </c>
    </row>
    <row r="1801" spans="1:4" s="45" customFormat="1" ht="13.5" x14ac:dyDescent="0.15">
      <c r="A1801" s="45" t="s">
        <v>41</v>
      </c>
      <c r="D1801" s="45" t="s">
        <v>5228</v>
      </c>
    </row>
    <row r="1802" spans="1:4" s="45" customFormat="1" ht="13.5" x14ac:dyDescent="0.15">
      <c r="A1802" s="45" t="s">
        <v>41</v>
      </c>
      <c r="D1802" s="45" t="s">
        <v>5229</v>
      </c>
    </row>
    <row r="1803" spans="1:4" s="45" customFormat="1" ht="13.5" x14ac:dyDescent="0.15">
      <c r="A1803" s="45" t="s">
        <v>41</v>
      </c>
      <c r="D1803" s="45" t="s">
        <v>5230</v>
      </c>
    </row>
    <row r="1804" spans="1:4" s="45" customFormat="1" ht="13.5" x14ac:dyDescent="0.15">
      <c r="A1804" s="45" t="s">
        <v>41</v>
      </c>
      <c r="D1804" s="45" t="s">
        <v>5231</v>
      </c>
    </row>
    <row r="1805" spans="1:4" s="45" customFormat="1" ht="13.5" x14ac:dyDescent="0.15">
      <c r="A1805" s="45" t="s">
        <v>41</v>
      </c>
      <c r="D1805" s="45" t="s">
        <v>5232</v>
      </c>
    </row>
    <row r="1806" spans="1:4" s="45" customFormat="1" ht="13.5" x14ac:dyDescent="0.15">
      <c r="A1806" s="45" t="s">
        <v>41</v>
      </c>
      <c r="D1806" s="45" t="s">
        <v>5233</v>
      </c>
    </row>
    <row r="1807" spans="1:4" s="45" customFormat="1" ht="13.5" x14ac:dyDescent="0.15">
      <c r="A1807" s="45" t="s">
        <v>41</v>
      </c>
      <c r="D1807" s="45" t="s">
        <v>5234</v>
      </c>
    </row>
    <row r="1808" spans="1:4" s="45" customFormat="1" ht="13.5" x14ac:dyDescent="0.15">
      <c r="A1808" s="45" t="s">
        <v>41</v>
      </c>
      <c r="D1808" s="45" t="s">
        <v>5235</v>
      </c>
    </row>
    <row r="1809" spans="1:4" s="45" customFormat="1" ht="13.5" x14ac:dyDescent="0.15">
      <c r="A1809" s="45" t="s">
        <v>41</v>
      </c>
      <c r="D1809" s="45" t="s">
        <v>5236</v>
      </c>
    </row>
    <row r="1810" spans="1:4" s="45" customFormat="1" ht="13.5" x14ac:dyDescent="0.15">
      <c r="A1810" s="45" t="s">
        <v>41</v>
      </c>
      <c r="D1810" s="45" t="s">
        <v>5237</v>
      </c>
    </row>
    <row r="1811" spans="1:4" s="45" customFormat="1" ht="13.5" x14ac:dyDescent="0.15">
      <c r="A1811" s="45" t="s">
        <v>41</v>
      </c>
      <c r="D1811" s="45" t="s">
        <v>5238</v>
      </c>
    </row>
    <row r="1812" spans="1:4" s="45" customFormat="1" ht="13.5" x14ac:dyDescent="0.15">
      <c r="A1812" s="45" t="s">
        <v>41</v>
      </c>
      <c r="D1812" s="45" t="s">
        <v>1820</v>
      </c>
    </row>
    <row r="1813" spans="1:4" s="45" customFormat="1" ht="13.5" x14ac:dyDescent="0.15">
      <c r="A1813" s="45" t="s">
        <v>41</v>
      </c>
      <c r="D1813" s="45" t="s">
        <v>1080</v>
      </c>
    </row>
    <row r="1814" spans="1:4" s="45" customFormat="1" ht="13.5" x14ac:dyDescent="0.15">
      <c r="A1814" s="45" t="s">
        <v>41</v>
      </c>
      <c r="D1814" s="45" t="s">
        <v>5239</v>
      </c>
    </row>
    <row r="1815" spans="1:4" s="45" customFormat="1" ht="13.5" x14ac:dyDescent="0.15">
      <c r="A1815" s="45" t="s">
        <v>41</v>
      </c>
      <c r="D1815" s="45" t="s">
        <v>1083</v>
      </c>
    </row>
    <row r="1816" spans="1:4" s="45" customFormat="1" ht="13.5" x14ac:dyDescent="0.15">
      <c r="A1816" s="45" t="s">
        <v>41</v>
      </c>
      <c r="D1816" s="45" t="s">
        <v>1079</v>
      </c>
    </row>
    <row r="1817" spans="1:4" s="45" customFormat="1" ht="13.5" x14ac:dyDescent="0.15">
      <c r="A1817" s="45" t="s">
        <v>41</v>
      </c>
      <c r="D1817" s="45" t="s">
        <v>1084</v>
      </c>
    </row>
    <row r="1818" spans="1:4" s="45" customFormat="1" ht="13.5" x14ac:dyDescent="0.15">
      <c r="A1818" s="45" t="s">
        <v>41</v>
      </c>
      <c r="D1818" s="45" t="s">
        <v>1082</v>
      </c>
    </row>
    <row r="1819" spans="1:4" s="45" customFormat="1" ht="13.5" x14ac:dyDescent="0.15">
      <c r="A1819" s="45" t="s">
        <v>41</v>
      </c>
      <c r="D1819" s="45" t="s">
        <v>5240</v>
      </c>
    </row>
    <row r="1820" spans="1:4" s="45" customFormat="1" ht="13.5" x14ac:dyDescent="0.15">
      <c r="A1820" s="45" t="s">
        <v>41</v>
      </c>
      <c r="D1820" s="45" t="s">
        <v>1081</v>
      </c>
    </row>
    <row r="1821" spans="1:4" s="45" customFormat="1" ht="13.5" x14ac:dyDescent="0.15">
      <c r="A1821" s="45" t="s">
        <v>41</v>
      </c>
      <c r="D1821" s="45" t="s">
        <v>5241</v>
      </c>
    </row>
    <row r="1822" spans="1:4" s="45" customFormat="1" ht="13.5" x14ac:dyDescent="0.15">
      <c r="A1822" s="45" t="s">
        <v>41</v>
      </c>
      <c r="D1822" s="45" t="s">
        <v>5242</v>
      </c>
    </row>
    <row r="1823" spans="1:4" s="45" customFormat="1" ht="13.5" x14ac:dyDescent="0.15">
      <c r="A1823" s="45" t="s">
        <v>41</v>
      </c>
      <c r="D1823" s="45" t="s">
        <v>1017</v>
      </c>
    </row>
    <row r="1824" spans="1:4" s="45" customFormat="1" ht="13.5" x14ac:dyDescent="0.15">
      <c r="A1824" s="45" t="s">
        <v>41</v>
      </c>
      <c r="D1824" s="45" t="s">
        <v>1366</v>
      </c>
    </row>
    <row r="1825" spans="1:4" s="45" customFormat="1" ht="13.5" x14ac:dyDescent="0.15">
      <c r="A1825" s="45" t="s">
        <v>41</v>
      </c>
      <c r="D1825" s="45" t="s">
        <v>5243</v>
      </c>
    </row>
    <row r="1826" spans="1:4" s="45" customFormat="1" ht="13.5" x14ac:dyDescent="0.15">
      <c r="A1826" s="45" t="s">
        <v>41</v>
      </c>
      <c r="D1826" s="45" t="s">
        <v>5244</v>
      </c>
    </row>
    <row r="1827" spans="1:4" s="45" customFormat="1" ht="13.5" x14ac:dyDescent="0.15">
      <c r="A1827" s="45" t="s">
        <v>41</v>
      </c>
      <c r="D1827" s="45" t="s">
        <v>5245</v>
      </c>
    </row>
    <row r="1828" spans="1:4" s="45" customFormat="1" ht="13.5" x14ac:dyDescent="0.15">
      <c r="A1828" s="45" t="s">
        <v>41</v>
      </c>
      <c r="D1828" s="45" t="s">
        <v>5246</v>
      </c>
    </row>
    <row r="1829" spans="1:4" s="45" customFormat="1" ht="13.5" x14ac:dyDescent="0.15">
      <c r="A1829" s="45" t="s">
        <v>41</v>
      </c>
      <c r="D1829" s="45" t="s">
        <v>5247</v>
      </c>
    </row>
    <row r="1830" spans="1:4" s="45" customFormat="1" ht="13.5" x14ac:dyDescent="0.15">
      <c r="A1830" s="45" t="s">
        <v>41</v>
      </c>
      <c r="D1830" s="45" t="s">
        <v>5248</v>
      </c>
    </row>
    <row r="1831" spans="1:4" s="45" customFormat="1" ht="13.5" x14ac:dyDescent="0.15">
      <c r="A1831" s="45" t="s">
        <v>41</v>
      </c>
      <c r="D1831" s="45" t="s">
        <v>5249</v>
      </c>
    </row>
    <row r="1832" spans="1:4" s="45" customFormat="1" ht="13.5" x14ac:dyDescent="0.15">
      <c r="A1832" s="45" t="s">
        <v>41</v>
      </c>
      <c r="D1832" s="45" t="s">
        <v>5250</v>
      </c>
    </row>
    <row r="1833" spans="1:4" s="45" customFormat="1" ht="13.5" x14ac:dyDescent="0.15">
      <c r="A1833" s="45" t="s">
        <v>41</v>
      </c>
      <c r="D1833" s="45" t="s">
        <v>5251</v>
      </c>
    </row>
    <row r="1834" spans="1:4" s="45" customFormat="1" ht="13.5" x14ac:dyDescent="0.15">
      <c r="A1834" s="45" t="s">
        <v>41</v>
      </c>
      <c r="D1834" s="45" t="s">
        <v>5252</v>
      </c>
    </row>
    <row r="1835" spans="1:4" s="45" customFormat="1" ht="13.5" x14ac:dyDescent="0.15">
      <c r="A1835" s="45" t="s">
        <v>41</v>
      </c>
      <c r="D1835" s="45" t="s">
        <v>5253</v>
      </c>
    </row>
    <row r="1836" spans="1:4" s="45" customFormat="1" ht="13.5" x14ac:dyDescent="0.15">
      <c r="A1836" s="45" t="s">
        <v>41</v>
      </c>
      <c r="D1836" s="45" t="s">
        <v>5254</v>
      </c>
    </row>
    <row r="1837" spans="1:4" s="45" customFormat="1" ht="13.5" x14ac:dyDescent="0.15">
      <c r="A1837" s="45" t="s">
        <v>41</v>
      </c>
      <c r="D1837" s="45" t="s">
        <v>5255</v>
      </c>
    </row>
    <row r="1838" spans="1:4" s="45" customFormat="1" ht="13.5" x14ac:dyDescent="0.15">
      <c r="A1838" s="45" t="s">
        <v>41</v>
      </c>
      <c r="D1838" s="45" t="s">
        <v>5256</v>
      </c>
    </row>
    <row r="1839" spans="1:4" s="45" customFormat="1" ht="13.5" x14ac:dyDescent="0.15">
      <c r="A1839" s="45" t="s">
        <v>41</v>
      </c>
      <c r="D1839" s="45" t="s">
        <v>5257</v>
      </c>
    </row>
    <row r="1840" spans="1:4" s="45" customFormat="1" ht="13.5" x14ac:dyDescent="0.15">
      <c r="A1840" s="45" t="s">
        <v>41</v>
      </c>
      <c r="D1840" s="45" t="s">
        <v>339</v>
      </c>
    </row>
    <row r="1841" spans="1:4" s="45" customFormat="1" ht="13.5" x14ac:dyDescent="0.15">
      <c r="A1841" s="45" t="s">
        <v>41</v>
      </c>
      <c r="D1841" s="45" t="s">
        <v>340</v>
      </c>
    </row>
    <row r="1842" spans="1:4" s="45" customFormat="1" ht="13.5" x14ac:dyDescent="0.15">
      <c r="A1842" s="45" t="s">
        <v>41</v>
      </c>
      <c r="D1842" s="45" t="s">
        <v>1431</v>
      </c>
    </row>
    <row r="1843" spans="1:4" s="45" customFormat="1" ht="13.5" x14ac:dyDescent="0.15">
      <c r="A1843" s="45" t="s">
        <v>41</v>
      </c>
      <c r="D1843" s="45" t="s">
        <v>1989</v>
      </c>
    </row>
    <row r="1844" spans="1:4" s="45" customFormat="1" ht="13.5" x14ac:dyDescent="0.15">
      <c r="A1844" s="45" t="s">
        <v>41</v>
      </c>
      <c r="D1844" s="45" t="s">
        <v>5258</v>
      </c>
    </row>
    <row r="1845" spans="1:4" s="45" customFormat="1" ht="13.5" x14ac:dyDescent="0.15">
      <c r="A1845" s="45" t="s">
        <v>41</v>
      </c>
      <c r="D1845" s="45" t="s">
        <v>2028</v>
      </c>
    </row>
    <row r="1846" spans="1:4" s="45" customFormat="1" ht="13.5" x14ac:dyDescent="0.15">
      <c r="A1846" s="45" t="s">
        <v>41</v>
      </c>
      <c r="D1846" s="45" t="s">
        <v>5259</v>
      </c>
    </row>
    <row r="1847" spans="1:4" s="45" customFormat="1" ht="13.5" x14ac:dyDescent="0.15">
      <c r="A1847" s="45" t="s">
        <v>41</v>
      </c>
      <c r="D1847" s="45" t="s">
        <v>5260</v>
      </c>
    </row>
    <row r="1848" spans="1:4" s="45" customFormat="1" ht="13.5" x14ac:dyDescent="0.15">
      <c r="A1848" s="45" t="s">
        <v>41</v>
      </c>
      <c r="D1848" s="45" t="s">
        <v>847</v>
      </c>
    </row>
    <row r="1849" spans="1:4" s="45" customFormat="1" ht="13.5" x14ac:dyDescent="0.15">
      <c r="A1849" s="45" t="s">
        <v>41</v>
      </c>
      <c r="D1849" s="45" t="s">
        <v>5261</v>
      </c>
    </row>
    <row r="1850" spans="1:4" s="45" customFormat="1" ht="13.5" x14ac:dyDescent="0.15">
      <c r="A1850" s="45" t="s">
        <v>41</v>
      </c>
      <c r="D1850" s="45" t="s">
        <v>5262</v>
      </c>
    </row>
    <row r="1851" spans="1:4" s="45" customFormat="1" ht="13.5" x14ac:dyDescent="0.15">
      <c r="A1851" s="45" t="s">
        <v>41</v>
      </c>
      <c r="D1851" s="45" t="s">
        <v>857</v>
      </c>
    </row>
    <row r="1852" spans="1:4" s="45" customFormat="1" ht="13.5" x14ac:dyDescent="0.15">
      <c r="A1852" s="45" t="s">
        <v>41</v>
      </c>
      <c r="D1852" s="45" t="s">
        <v>5263</v>
      </c>
    </row>
    <row r="1853" spans="1:4" s="45" customFormat="1" ht="13.5" x14ac:dyDescent="0.15">
      <c r="A1853" s="45" t="s">
        <v>41</v>
      </c>
      <c r="D1853" s="45" t="s">
        <v>5264</v>
      </c>
    </row>
    <row r="1854" spans="1:4" s="45" customFormat="1" ht="13.5" x14ac:dyDescent="0.15">
      <c r="A1854" s="45" t="s">
        <v>41</v>
      </c>
      <c r="D1854" s="45" t="s">
        <v>1729</v>
      </c>
    </row>
    <row r="1855" spans="1:4" s="45" customFormat="1" ht="13.5" x14ac:dyDescent="0.15">
      <c r="A1855" s="45" t="s">
        <v>41</v>
      </c>
      <c r="D1855" s="45" t="s">
        <v>5265</v>
      </c>
    </row>
    <row r="1856" spans="1:4" s="45" customFormat="1" ht="13.5" x14ac:dyDescent="0.15">
      <c r="A1856" s="45" t="s">
        <v>41</v>
      </c>
      <c r="D1856" s="45" t="s">
        <v>2259</v>
      </c>
    </row>
    <row r="1857" spans="1:4" s="45" customFormat="1" ht="13.5" x14ac:dyDescent="0.15">
      <c r="A1857" s="45" t="s">
        <v>41</v>
      </c>
      <c r="D1857" s="45" t="s">
        <v>5266</v>
      </c>
    </row>
    <row r="1858" spans="1:4" s="45" customFormat="1" ht="13.5" x14ac:dyDescent="0.15">
      <c r="A1858" s="45" t="s">
        <v>41</v>
      </c>
      <c r="D1858" s="45" t="s">
        <v>1731</v>
      </c>
    </row>
    <row r="1859" spans="1:4" s="45" customFormat="1" ht="13.5" x14ac:dyDescent="0.15">
      <c r="A1859" s="45" t="s">
        <v>41</v>
      </c>
      <c r="D1859" s="45" t="s">
        <v>5267</v>
      </c>
    </row>
    <row r="1860" spans="1:4" s="45" customFormat="1" ht="13.5" x14ac:dyDescent="0.15">
      <c r="A1860" s="45" t="s">
        <v>41</v>
      </c>
      <c r="D1860" s="45" t="s">
        <v>1025</v>
      </c>
    </row>
    <row r="1861" spans="1:4" s="45" customFormat="1" ht="13.5" x14ac:dyDescent="0.15">
      <c r="A1861" s="45" t="s">
        <v>41</v>
      </c>
      <c r="D1861" s="45" t="s">
        <v>5268</v>
      </c>
    </row>
    <row r="1862" spans="1:4" s="45" customFormat="1" ht="13.5" x14ac:dyDescent="0.15">
      <c r="A1862" s="45" t="s">
        <v>41</v>
      </c>
      <c r="D1862" s="45" t="s">
        <v>1708</v>
      </c>
    </row>
    <row r="1863" spans="1:4" s="45" customFormat="1" ht="13.5" x14ac:dyDescent="0.15">
      <c r="A1863" s="45" t="s">
        <v>41</v>
      </c>
      <c r="D1863" s="45" t="s">
        <v>5269</v>
      </c>
    </row>
    <row r="1864" spans="1:4" s="45" customFormat="1" ht="13.5" x14ac:dyDescent="0.15">
      <c r="A1864" s="45" t="s">
        <v>41</v>
      </c>
      <c r="D1864" s="45" t="s">
        <v>5270</v>
      </c>
    </row>
    <row r="1865" spans="1:4" s="45" customFormat="1" ht="13.5" x14ac:dyDescent="0.15">
      <c r="A1865" s="45" t="s">
        <v>41</v>
      </c>
      <c r="D1865" s="45" t="s">
        <v>5271</v>
      </c>
    </row>
    <row r="1866" spans="1:4" s="45" customFormat="1" ht="13.5" x14ac:dyDescent="0.15">
      <c r="A1866" s="45" t="s">
        <v>41</v>
      </c>
      <c r="D1866" s="45" t="s">
        <v>5272</v>
      </c>
    </row>
    <row r="1867" spans="1:4" s="45" customFormat="1" ht="13.5" x14ac:dyDescent="0.15">
      <c r="A1867" s="45" t="s">
        <v>41</v>
      </c>
      <c r="D1867" s="45" t="s">
        <v>5273</v>
      </c>
    </row>
    <row r="1868" spans="1:4" s="45" customFormat="1" ht="13.5" x14ac:dyDescent="0.15">
      <c r="A1868" s="45" t="s">
        <v>41</v>
      </c>
      <c r="D1868" s="45" t="s">
        <v>2267</v>
      </c>
    </row>
    <row r="1869" spans="1:4" s="45" customFormat="1" ht="13.5" x14ac:dyDescent="0.15">
      <c r="A1869" s="45" t="s">
        <v>41</v>
      </c>
      <c r="D1869" s="45" t="s">
        <v>5274</v>
      </c>
    </row>
    <row r="1870" spans="1:4" s="45" customFormat="1" ht="13.5" x14ac:dyDescent="0.15">
      <c r="A1870" s="45" t="s">
        <v>41</v>
      </c>
      <c r="D1870" s="45" t="s">
        <v>5275</v>
      </c>
    </row>
    <row r="1871" spans="1:4" s="45" customFormat="1" ht="13.5" x14ac:dyDescent="0.15">
      <c r="A1871" s="45" t="s">
        <v>41</v>
      </c>
      <c r="D1871" s="45" t="s">
        <v>5276</v>
      </c>
    </row>
    <row r="1872" spans="1:4" s="45" customFormat="1" ht="13.5" x14ac:dyDescent="0.15">
      <c r="A1872" s="45" t="s">
        <v>41</v>
      </c>
      <c r="D1872" s="45" t="s">
        <v>2284</v>
      </c>
    </row>
    <row r="1873" spans="1:4" s="45" customFormat="1" ht="13.5" x14ac:dyDescent="0.15">
      <c r="A1873" s="45" t="s">
        <v>41</v>
      </c>
      <c r="D1873" s="45" t="s">
        <v>5277</v>
      </c>
    </row>
    <row r="1874" spans="1:4" s="45" customFormat="1" ht="13.5" x14ac:dyDescent="0.15">
      <c r="A1874" s="45" t="s">
        <v>41</v>
      </c>
      <c r="D1874" s="45" t="s">
        <v>5278</v>
      </c>
    </row>
    <row r="1875" spans="1:4" s="45" customFormat="1" ht="13.5" x14ac:dyDescent="0.15">
      <c r="A1875" s="45" t="s">
        <v>41</v>
      </c>
      <c r="D1875" s="45" t="s">
        <v>2239</v>
      </c>
    </row>
    <row r="1876" spans="1:4" s="45" customFormat="1" ht="13.5" x14ac:dyDescent="0.15">
      <c r="A1876" s="45" t="s">
        <v>41</v>
      </c>
      <c r="D1876" s="45" t="s">
        <v>5279</v>
      </c>
    </row>
    <row r="1877" spans="1:4" s="45" customFormat="1" ht="13.5" x14ac:dyDescent="0.15">
      <c r="A1877" s="45" t="s">
        <v>41</v>
      </c>
      <c r="D1877" s="45" t="s">
        <v>1808</v>
      </c>
    </row>
    <row r="1878" spans="1:4" s="45" customFormat="1" ht="13.5" x14ac:dyDescent="0.15">
      <c r="A1878" s="45" t="s">
        <v>41</v>
      </c>
      <c r="D1878" s="45" t="s">
        <v>5280</v>
      </c>
    </row>
    <row r="1879" spans="1:4" s="45" customFormat="1" ht="13.5" x14ac:dyDescent="0.15">
      <c r="A1879" s="45" t="s">
        <v>41</v>
      </c>
      <c r="D1879" s="45" t="s">
        <v>5281</v>
      </c>
    </row>
    <row r="1880" spans="1:4" s="45" customFormat="1" ht="13.5" x14ac:dyDescent="0.15">
      <c r="A1880" s="45" t="s">
        <v>41</v>
      </c>
      <c r="D1880" s="45" t="s">
        <v>5282</v>
      </c>
    </row>
    <row r="1881" spans="1:4" s="45" customFormat="1" ht="13.5" x14ac:dyDescent="0.15">
      <c r="A1881" s="45" t="s">
        <v>41</v>
      </c>
      <c r="D1881" s="45" t="s">
        <v>5283</v>
      </c>
    </row>
    <row r="1882" spans="1:4" s="45" customFormat="1" ht="13.5" x14ac:dyDescent="0.15">
      <c r="A1882" s="45" t="s">
        <v>41</v>
      </c>
      <c r="D1882" s="45" t="s">
        <v>5284</v>
      </c>
    </row>
    <row r="1883" spans="1:4" s="45" customFormat="1" ht="13.5" x14ac:dyDescent="0.15">
      <c r="A1883" s="45" t="s">
        <v>41</v>
      </c>
      <c r="D1883" s="45" t="s">
        <v>5285</v>
      </c>
    </row>
    <row r="1884" spans="1:4" s="45" customFormat="1" ht="13.5" x14ac:dyDescent="0.15">
      <c r="A1884" s="45" t="s">
        <v>41</v>
      </c>
      <c r="D1884" s="45" t="s">
        <v>5286</v>
      </c>
    </row>
    <row r="1885" spans="1:4" s="45" customFormat="1" ht="13.5" x14ac:dyDescent="0.15">
      <c r="A1885" s="45" t="s">
        <v>41</v>
      </c>
      <c r="D1885" s="45" t="s">
        <v>5287</v>
      </c>
    </row>
    <row r="1886" spans="1:4" s="45" customFormat="1" ht="13.5" x14ac:dyDescent="0.15">
      <c r="A1886" s="45" t="s">
        <v>41</v>
      </c>
      <c r="D1886" s="45" t="s">
        <v>5288</v>
      </c>
    </row>
    <row r="1887" spans="1:4" s="45" customFormat="1" ht="13.5" x14ac:dyDescent="0.15">
      <c r="A1887" s="45" t="s">
        <v>41</v>
      </c>
      <c r="D1887" s="45" t="s">
        <v>5289</v>
      </c>
    </row>
    <row r="1888" spans="1:4" s="45" customFormat="1" ht="13.5" x14ac:dyDescent="0.15">
      <c r="A1888" s="45" t="s">
        <v>41</v>
      </c>
      <c r="D1888" s="45" t="s">
        <v>5290</v>
      </c>
    </row>
    <row r="1889" spans="1:4" s="45" customFormat="1" ht="13.5" x14ac:dyDescent="0.15">
      <c r="A1889" s="45" t="s">
        <v>41</v>
      </c>
      <c r="D1889" s="45" t="s">
        <v>5291</v>
      </c>
    </row>
    <row r="1890" spans="1:4" s="45" customFormat="1" ht="13.5" x14ac:dyDescent="0.15">
      <c r="A1890" s="45" t="s">
        <v>41</v>
      </c>
      <c r="D1890" s="45" t="s">
        <v>672</v>
      </c>
    </row>
    <row r="1891" spans="1:4" s="45" customFormat="1" ht="13.5" x14ac:dyDescent="0.15">
      <c r="A1891" s="45" t="s">
        <v>41</v>
      </c>
      <c r="D1891" s="45" t="s">
        <v>5292</v>
      </c>
    </row>
    <row r="1892" spans="1:4" s="45" customFormat="1" ht="13.5" x14ac:dyDescent="0.15">
      <c r="A1892" s="45" t="s">
        <v>41</v>
      </c>
      <c r="D1892" s="45" t="s">
        <v>5293</v>
      </c>
    </row>
    <row r="1893" spans="1:4" s="45" customFormat="1" ht="13.5" x14ac:dyDescent="0.15">
      <c r="A1893" s="45" t="s">
        <v>41</v>
      </c>
      <c r="D1893" s="45" t="s">
        <v>5294</v>
      </c>
    </row>
    <row r="1894" spans="1:4" s="45" customFormat="1" ht="13.5" x14ac:dyDescent="0.15">
      <c r="A1894" s="45" t="s">
        <v>41</v>
      </c>
      <c r="D1894" s="45" t="s">
        <v>5295</v>
      </c>
    </row>
    <row r="1895" spans="1:4" s="45" customFormat="1" ht="13.5" x14ac:dyDescent="0.15">
      <c r="A1895" s="45" t="s">
        <v>41</v>
      </c>
      <c r="D1895" s="45" t="s">
        <v>5296</v>
      </c>
    </row>
    <row r="1896" spans="1:4" s="45" customFormat="1" ht="13.5" x14ac:dyDescent="0.15">
      <c r="A1896" s="45" t="s">
        <v>41</v>
      </c>
      <c r="D1896" s="45" t="s">
        <v>5297</v>
      </c>
    </row>
    <row r="1897" spans="1:4" s="45" customFormat="1" ht="13.5" x14ac:dyDescent="0.15">
      <c r="A1897" s="45" t="s">
        <v>41</v>
      </c>
      <c r="D1897" s="45" t="s">
        <v>5298</v>
      </c>
    </row>
    <row r="1898" spans="1:4" s="45" customFormat="1" ht="13.5" x14ac:dyDescent="0.15">
      <c r="A1898" s="45" t="s">
        <v>41</v>
      </c>
      <c r="D1898" s="45" t="s">
        <v>5299</v>
      </c>
    </row>
    <row r="1899" spans="1:4" s="45" customFormat="1" ht="13.5" x14ac:dyDescent="0.15">
      <c r="A1899" s="45" t="s">
        <v>41</v>
      </c>
      <c r="D1899" s="45" t="s">
        <v>920</v>
      </c>
    </row>
    <row r="1900" spans="1:4" s="45" customFormat="1" ht="13.5" x14ac:dyDescent="0.15">
      <c r="A1900" s="45" t="s">
        <v>41</v>
      </c>
      <c r="D1900" s="45" t="s">
        <v>5300</v>
      </c>
    </row>
    <row r="1901" spans="1:4" s="45" customFormat="1" ht="13.5" x14ac:dyDescent="0.15">
      <c r="A1901" s="45" t="s">
        <v>41</v>
      </c>
      <c r="D1901" s="45" t="s">
        <v>921</v>
      </c>
    </row>
    <row r="1902" spans="1:4" s="45" customFormat="1" ht="13.5" x14ac:dyDescent="0.15">
      <c r="A1902" s="45" t="s">
        <v>41</v>
      </c>
      <c r="D1902" s="45" t="s">
        <v>922</v>
      </c>
    </row>
    <row r="1903" spans="1:4" s="45" customFormat="1" ht="13.5" x14ac:dyDescent="0.15">
      <c r="A1903" s="45" t="s">
        <v>41</v>
      </c>
      <c r="D1903" s="45" t="s">
        <v>5301</v>
      </c>
    </row>
    <row r="1904" spans="1:4" s="45" customFormat="1" ht="13.5" x14ac:dyDescent="0.15">
      <c r="A1904" s="45" t="s">
        <v>41</v>
      </c>
      <c r="D1904" s="45" t="s">
        <v>5302</v>
      </c>
    </row>
    <row r="1905" spans="1:4" s="45" customFormat="1" ht="13.5" x14ac:dyDescent="0.15">
      <c r="A1905" s="45" t="s">
        <v>41</v>
      </c>
      <c r="D1905" s="45" t="s">
        <v>5303</v>
      </c>
    </row>
    <row r="1906" spans="1:4" s="45" customFormat="1" ht="13.5" x14ac:dyDescent="0.15">
      <c r="A1906" s="45" t="s">
        <v>41</v>
      </c>
      <c r="D1906" s="45" t="s">
        <v>5304</v>
      </c>
    </row>
    <row r="1907" spans="1:4" s="45" customFormat="1" ht="13.5" x14ac:dyDescent="0.15">
      <c r="A1907" s="45" t="s">
        <v>41</v>
      </c>
      <c r="D1907" s="45" t="s">
        <v>5305</v>
      </c>
    </row>
    <row r="1908" spans="1:4" s="45" customFormat="1" ht="13.5" x14ac:dyDescent="0.15">
      <c r="A1908" s="45" t="s">
        <v>41</v>
      </c>
      <c r="D1908" s="45" t="s">
        <v>5306</v>
      </c>
    </row>
    <row r="1909" spans="1:4" s="45" customFormat="1" ht="13.5" x14ac:dyDescent="0.15">
      <c r="A1909" s="45" t="s">
        <v>41</v>
      </c>
      <c r="D1909" s="45" t="s">
        <v>5307</v>
      </c>
    </row>
    <row r="1910" spans="1:4" s="45" customFormat="1" ht="13.5" x14ac:dyDescent="0.15">
      <c r="A1910" s="45" t="s">
        <v>41</v>
      </c>
      <c r="D1910" s="45" t="s">
        <v>5308</v>
      </c>
    </row>
    <row r="1911" spans="1:4" s="45" customFormat="1" ht="13.5" x14ac:dyDescent="0.15">
      <c r="A1911" s="45" t="s">
        <v>41</v>
      </c>
      <c r="D1911" s="45" t="s">
        <v>5309</v>
      </c>
    </row>
    <row r="1912" spans="1:4" s="45" customFormat="1" ht="13.5" x14ac:dyDescent="0.15">
      <c r="A1912" s="45" t="s">
        <v>41</v>
      </c>
      <c r="D1912" s="45" t="s">
        <v>5310</v>
      </c>
    </row>
    <row r="1913" spans="1:4" s="45" customFormat="1" ht="13.5" x14ac:dyDescent="0.15">
      <c r="A1913" s="45" t="s">
        <v>41</v>
      </c>
      <c r="D1913" s="45" t="s">
        <v>5311</v>
      </c>
    </row>
    <row r="1914" spans="1:4" s="45" customFormat="1" ht="13.5" x14ac:dyDescent="0.15">
      <c r="A1914" s="45" t="s">
        <v>41</v>
      </c>
      <c r="D1914" s="45" t="s">
        <v>2010</v>
      </c>
    </row>
    <row r="1915" spans="1:4" s="45" customFormat="1" ht="13.5" x14ac:dyDescent="0.15">
      <c r="A1915" s="45" t="s">
        <v>41</v>
      </c>
      <c r="D1915" s="45" t="s">
        <v>1849</v>
      </c>
    </row>
    <row r="1916" spans="1:4" s="45" customFormat="1" ht="13.5" x14ac:dyDescent="0.15">
      <c r="A1916" s="45" t="s">
        <v>41</v>
      </c>
      <c r="D1916" s="45" t="s">
        <v>5312</v>
      </c>
    </row>
    <row r="1917" spans="1:4" s="45" customFormat="1" ht="13.5" x14ac:dyDescent="0.15">
      <c r="A1917" s="45" t="s">
        <v>41</v>
      </c>
      <c r="D1917" s="45" t="s">
        <v>5313</v>
      </c>
    </row>
    <row r="1918" spans="1:4" s="45" customFormat="1" ht="13.5" x14ac:dyDescent="0.15">
      <c r="A1918" s="45" t="s">
        <v>41</v>
      </c>
      <c r="D1918" s="45" t="s">
        <v>5314</v>
      </c>
    </row>
    <row r="1919" spans="1:4" s="45" customFormat="1" ht="13.5" x14ac:dyDescent="0.15">
      <c r="A1919" s="45" t="s">
        <v>41</v>
      </c>
      <c r="D1919" s="45" t="s">
        <v>5315</v>
      </c>
    </row>
    <row r="1920" spans="1:4" s="45" customFormat="1" ht="13.5" x14ac:dyDescent="0.15">
      <c r="A1920" s="45" t="s">
        <v>41</v>
      </c>
      <c r="D1920" s="45" t="s">
        <v>5316</v>
      </c>
    </row>
    <row r="1921" spans="1:4" s="45" customFormat="1" ht="13.5" x14ac:dyDescent="0.15">
      <c r="A1921" s="45" t="s">
        <v>41</v>
      </c>
      <c r="D1921" s="45" t="s">
        <v>5317</v>
      </c>
    </row>
    <row r="1922" spans="1:4" s="45" customFormat="1" ht="13.5" x14ac:dyDescent="0.15">
      <c r="A1922" s="45" t="s">
        <v>41</v>
      </c>
      <c r="D1922" s="45" t="s">
        <v>5318</v>
      </c>
    </row>
    <row r="1923" spans="1:4" s="45" customFormat="1" ht="13.5" x14ac:dyDescent="0.15">
      <c r="A1923" s="45" t="s">
        <v>41</v>
      </c>
      <c r="D1923" s="45" t="s">
        <v>5319</v>
      </c>
    </row>
    <row r="1924" spans="1:4" s="45" customFormat="1" ht="13.5" x14ac:dyDescent="0.15">
      <c r="A1924" s="45" t="s">
        <v>41</v>
      </c>
      <c r="D1924" s="45" t="s">
        <v>1698</v>
      </c>
    </row>
    <row r="1925" spans="1:4" s="45" customFormat="1" ht="13.5" x14ac:dyDescent="0.15">
      <c r="A1925" s="45" t="s">
        <v>41</v>
      </c>
      <c r="D1925" s="45" t="s">
        <v>5320</v>
      </c>
    </row>
    <row r="1926" spans="1:4" s="45" customFormat="1" ht="13.5" x14ac:dyDescent="0.15">
      <c r="A1926" s="45" t="s">
        <v>41</v>
      </c>
      <c r="D1926" s="45" t="s">
        <v>5321</v>
      </c>
    </row>
    <row r="1927" spans="1:4" s="45" customFormat="1" ht="13.5" x14ac:dyDescent="0.15">
      <c r="A1927" s="45" t="s">
        <v>41</v>
      </c>
      <c r="D1927" s="45" t="s">
        <v>5322</v>
      </c>
    </row>
    <row r="1928" spans="1:4" s="45" customFormat="1" ht="13.5" x14ac:dyDescent="0.15">
      <c r="A1928" s="45" t="s">
        <v>41</v>
      </c>
      <c r="D1928" s="45" t="s">
        <v>5323</v>
      </c>
    </row>
    <row r="1929" spans="1:4" s="45" customFormat="1" ht="13.5" x14ac:dyDescent="0.15">
      <c r="A1929" s="45" t="s">
        <v>41</v>
      </c>
      <c r="D1929" s="45" t="s">
        <v>5324</v>
      </c>
    </row>
    <row r="1930" spans="1:4" s="45" customFormat="1" ht="13.5" x14ac:dyDescent="0.15">
      <c r="A1930" s="45" t="s">
        <v>41</v>
      </c>
      <c r="D1930" s="45" t="s">
        <v>5325</v>
      </c>
    </row>
    <row r="1931" spans="1:4" s="45" customFormat="1" ht="13.5" x14ac:dyDescent="0.15">
      <c r="A1931" s="45" t="s">
        <v>41</v>
      </c>
      <c r="D1931" s="45" t="s">
        <v>2421</v>
      </c>
    </row>
    <row r="1932" spans="1:4" s="45" customFormat="1" ht="13.5" x14ac:dyDescent="0.15">
      <c r="A1932" s="45" t="s">
        <v>41</v>
      </c>
      <c r="D1932" s="45" t="s">
        <v>5326</v>
      </c>
    </row>
    <row r="1933" spans="1:4" s="45" customFormat="1" ht="13.5" x14ac:dyDescent="0.15">
      <c r="A1933" s="45" t="s">
        <v>41</v>
      </c>
      <c r="D1933" s="45" t="s">
        <v>559</v>
      </c>
    </row>
    <row r="1934" spans="1:4" s="45" customFormat="1" ht="13.5" x14ac:dyDescent="0.15">
      <c r="A1934" s="45" t="s">
        <v>41</v>
      </c>
      <c r="D1934" s="45" t="s">
        <v>560</v>
      </c>
    </row>
    <row r="1935" spans="1:4" s="45" customFormat="1" ht="13.5" x14ac:dyDescent="0.15">
      <c r="A1935" s="45" t="s">
        <v>41</v>
      </c>
      <c r="D1935" s="45" t="s">
        <v>561</v>
      </c>
    </row>
    <row r="1936" spans="1:4" s="45" customFormat="1" ht="13.5" x14ac:dyDescent="0.15">
      <c r="A1936" s="45" t="s">
        <v>41</v>
      </c>
      <c r="D1936" s="45" t="s">
        <v>885</v>
      </c>
    </row>
    <row r="1937" spans="1:4" s="45" customFormat="1" ht="13.5" x14ac:dyDescent="0.15">
      <c r="A1937" s="45" t="s">
        <v>41</v>
      </c>
      <c r="D1937" s="45" t="s">
        <v>886</v>
      </c>
    </row>
    <row r="1938" spans="1:4" s="45" customFormat="1" ht="13.5" x14ac:dyDescent="0.15">
      <c r="A1938" s="45" t="s">
        <v>41</v>
      </c>
      <c r="D1938" s="45" t="s">
        <v>891</v>
      </c>
    </row>
    <row r="1939" spans="1:4" s="45" customFormat="1" ht="13.5" x14ac:dyDescent="0.15">
      <c r="A1939" s="45" t="s">
        <v>41</v>
      </c>
      <c r="D1939" s="45" t="s">
        <v>889</v>
      </c>
    </row>
    <row r="1940" spans="1:4" s="45" customFormat="1" ht="13.5" x14ac:dyDescent="0.15">
      <c r="A1940" s="45" t="s">
        <v>41</v>
      </c>
      <c r="D1940" s="45" t="s">
        <v>5327</v>
      </c>
    </row>
    <row r="1941" spans="1:4" s="45" customFormat="1" ht="13.5" x14ac:dyDescent="0.15">
      <c r="A1941" s="45" t="s">
        <v>41</v>
      </c>
      <c r="D1941" s="45" t="s">
        <v>888</v>
      </c>
    </row>
    <row r="1942" spans="1:4" s="45" customFormat="1" ht="13.5" x14ac:dyDescent="0.15">
      <c r="A1942" s="45" t="s">
        <v>41</v>
      </c>
      <c r="D1942" s="45" t="s">
        <v>5328</v>
      </c>
    </row>
    <row r="1943" spans="1:4" s="45" customFormat="1" ht="13.5" x14ac:dyDescent="0.15">
      <c r="A1943" s="45" t="s">
        <v>41</v>
      </c>
      <c r="D1943" s="45" t="s">
        <v>887</v>
      </c>
    </row>
    <row r="1944" spans="1:4" s="45" customFormat="1" ht="13.5" x14ac:dyDescent="0.15">
      <c r="A1944" s="45" t="s">
        <v>41</v>
      </c>
      <c r="D1944" s="45" t="s">
        <v>5329</v>
      </c>
    </row>
    <row r="1945" spans="1:4" s="45" customFormat="1" ht="13.5" x14ac:dyDescent="0.15">
      <c r="A1945" s="45" t="s">
        <v>41</v>
      </c>
      <c r="D1945" s="45" t="s">
        <v>9754</v>
      </c>
    </row>
    <row r="1946" spans="1:4" s="45" customFormat="1" ht="13.5" x14ac:dyDescent="0.15">
      <c r="A1946" s="45" t="s">
        <v>41</v>
      </c>
      <c r="D1946" s="45" t="s">
        <v>5330</v>
      </c>
    </row>
    <row r="1947" spans="1:4" s="45" customFormat="1" ht="13.5" x14ac:dyDescent="0.15">
      <c r="A1947" s="45" t="s">
        <v>41</v>
      </c>
      <c r="D1947" s="45" t="s">
        <v>5331</v>
      </c>
    </row>
    <row r="1948" spans="1:4" s="45" customFormat="1" ht="13.5" x14ac:dyDescent="0.15">
      <c r="A1948" s="45" t="s">
        <v>41</v>
      </c>
      <c r="D1948" s="45" t="s">
        <v>5332</v>
      </c>
    </row>
    <row r="1949" spans="1:4" s="45" customFormat="1" ht="13.5" x14ac:dyDescent="0.15">
      <c r="A1949" s="45" t="s">
        <v>41</v>
      </c>
      <c r="D1949" s="45" t="s">
        <v>890</v>
      </c>
    </row>
    <row r="1950" spans="1:4" s="45" customFormat="1" ht="13.5" x14ac:dyDescent="0.15">
      <c r="A1950" s="45" t="s">
        <v>41</v>
      </c>
      <c r="D1950" s="45" t="s">
        <v>2328</v>
      </c>
    </row>
    <row r="1951" spans="1:4" s="45" customFormat="1" ht="13.5" x14ac:dyDescent="0.15">
      <c r="A1951" s="45" t="s">
        <v>41</v>
      </c>
      <c r="D1951" s="45" t="s">
        <v>2329</v>
      </c>
    </row>
    <row r="1952" spans="1:4" s="45" customFormat="1" ht="13.5" x14ac:dyDescent="0.15">
      <c r="A1952" s="45" t="s">
        <v>41</v>
      </c>
      <c r="D1952" s="45" t="s">
        <v>2327</v>
      </c>
    </row>
    <row r="1953" spans="1:4" s="45" customFormat="1" ht="13.5" x14ac:dyDescent="0.15">
      <c r="A1953" s="45" t="s">
        <v>41</v>
      </c>
      <c r="D1953" s="45" t="s">
        <v>2304</v>
      </c>
    </row>
    <row r="1954" spans="1:4" s="45" customFormat="1" ht="13.5" x14ac:dyDescent="0.15">
      <c r="A1954" s="45" t="s">
        <v>41</v>
      </c>
      <c r="D1954" s="45" t="s">
        <v>5333</v>
      </c>
    </row>
    <row r="1955" spans="1:4" s="45" customFormat="1" ht="13.5" x14ac:dyDescent="0.15">
      <c r="A1955" s="45" t="s">
        <v>41</v>
      </c>
      <c r="D1955" s="45" t="s">
        <v>5334</v>
      </c>
    </row>
    <row r="1956" spans="1:4" s="45" customFormat="1" ht="13.5" x14ac:dyDescent="0.15">
      <c r="A1956" s="45" t="s">
        <v>41</v>
      </c>
      <c r="D1956" s="45" t="s">
        <v>5335</v>
      </c>
    </row>
    <row r="1957" spans="1:4" s="45" customFormat="1" ht="13.5" x14ac:dyDescent="0.15">
      <c r="A1957" s="45" t="s">
        <v>41</v>
      </c>
      <c r="D1957" s="45" t="s">
        <v>92</v>
      </c>
    </row>
    <row r="1958" spans="1:4" s="45" customFormat="1" ht="13.5" x14ac:dyDescent="0.15">
      <c r="A1958" s="45" t="s">
        <v>41</v>
      </c>
      <c r="D1958" s="45" t="s">
        <v>94</v>
      </c>
    </row>
    <row r="1959" spans="1:4" s="45" customFormat="1" ht="13.5" x14ac:dyDescent="0.15">
      <c r="A1959" s="45" t="s">
        <v>41</v>
      </c>
      <c r="D1959" s="45" t="s">
        <v>5336</v>
      </c>
    </row>
    <row r="1960" spans="1:4" s="45" customFormat="1" ht="13.5" x14ac:dyDescent="0.15">
      <c r="A1960" s="45" t="s">
        <v>41</v>
      </c>
      <c r="D1960" s="45" t="s">
        <v>5337</v>
      </c>
    </row>
    <row r="1961" spans="1:4" s="45" customFormat="1" ht="13.5" x14ac:dyDescent="0.15">
      <c r="A1961" s="45" t="s">
        <v>41</v>
      </c>
      <c r="D1961" s="45" t="s">
        <v>5338</v>
      </c>
    </row>
    <row r="1962" spans="1:4" s="45" customFormat="1" ht="13.5" x14ac:dyDescent="0.15">
      <c r="A1962" s="45" t="s">
        <v>41</v>
      </c>
      <c r="D1962" s="45" t="s">
        <v>93</v>
      </c>
    </row>
    <row r="1963" spans="1:4" s="45" customFormat="1" ht="13.5" x14ac:dyDescent="0.15">
      <c r="A1963" s="45" t="s">
        <v>41</v>
      </c>
      <c r="D1963" s="45" t="s">
        <v>5339</v>
      </c>
    </row>
    <row r="1964" spans="1:4" s="45" customFormat="1" ht="13.5" x14ac:dyDescent="0.15">
      <c r="A1964" s="45" t="s">
        <v>41</v>
      </c>
      <c r="D1964" s="45" t="s">
        <v>5340</v>
      </c>
    </row>
    <row r="1965" spans="1:4" s="45" customFormat="1" ht="13.5" x14ac:dyDescent="0.15">
      <c r="A1965" s="45" t="s">
        <v>41</v>
      </c>
      <c r="D1965" s="45" t="s">
        <v>5341</v>
      </c>
    </row>
    <row r="1966" spans="1:4" s="45" customFormat="1" ht="13.5" x14ac:dyDescent="0.15">
      <c r="A1966" s="45" t="s">
        <v>41</v>
      </c>
      <c r="D1966" s="45" t="s">
        <v>5342</v>
      </c>
    </row>
    <row r="1967" spans="1:4" s="45" customFormat="1" ht="13.5" x14ac:dyDescent="0.15">
      <c r="A1967" s="45" t="s">
        <v>41</v>
      </c>
      <c r="D1967" s="45" t="s">
        <v>5343</v>
      </c>
    </row>
    <row r="1968" spans="1:4" s="45" customFormat="1" ht="13.5" x14ac:dyDescent="0.15">
      <c r="A1968" s="45" t="s">
        <v>41</v>
      </c>
      <c r="D1968" s="45" t="s">
        <v>5344</v>
      </c>
    </row>
    <row r="1969" spans="1:4" s="45" customFormat="1" ht="13.5" x14ac:dyDescent="0.15">
      <c r="A1969" s="45" t="s">
        <v>41</v>
      </c>
      <c r="D1969" s="45" t="s">
        <v>5345</v>
      </c>
    </row>
    <row r="1970" spans="1:4" s="45" customFormat="1" ht="13.5" x14ac:dyDescent="0.15">
      <c r="A1970" s="45" t="s">
        <v>41</v>
      </c>
      <c r="D1970" s="45" t="s">
        <v>128</v>
      </c>
    </row>
    <row r="1971" spans="1:4" s="45" customFormat="1" ht="13.5" x14ac:dyDescent="0.15">
      <c r="A1971" s="45" t="s">
        <v>41</v>
      </c>
      <c r="D1971" s="45" t="s">
        <v>131</v>
      </c>
    </row>
    <row r="1972" spans="1:4" s="45" customFormat="1" ht="13.5" x14ac:dyDescent="0.15">
      <c r="A1972" s="45" t="s">
        <v>41</v>
      </c>
      <c r="D1972" s="45" t="s">
        <v>5346</v>
      </c>
    </row>
    <row r="1973" spans="1:4" s="45" customFormat="1" ht="13.5" x14ac:dyDescent="0.15">
      <c r="A1973" s="45" t="s">
        <v>41</v>
      </c>
      <c r="D1973" s="45" t="s">
        <v>5347</v>
      </c>
    </row>
    <row r="1974" spans="1:4" s="45" customFormat="1" ht="13.5" x14ac:dyDescent="0.15">
      <c r="A1974" s="45" t="s">
        <v>41</v>
      </c>
      <c r="D1974" s="45" t="s">
        <v>129</v>
      </c>
    </row>
    <row r="1975" spans="1:4" s="45" customFormat="1" ht="13.5" x14ac:dyDescent="0.15">
      <c r="A1975" s="45" t="s">
        <v>41</v>
      </c>
      <c r="D1975" s="45" t="s">
        <v>132</v>
      </c>
    </row>
    <row r="1976" spans="1:4" s="45" customFormat="1" ht="13.5" x14ac:dyDescent="0.15">
      <c r="A1976" s="45" t="s">
        <v>41</v>
      </c>
      <c r="D1976" s="45" t="s">
        <v>134</v>
      </c>
    </row>
    <row r="1977" spans="1:4" s="45" customFormat="1" ht="13.5" x14ac:dyDescent="0.15">
      <c r="A1977" s="45" t="s">
        <v>41</v>
      </c>
      <c r="D1977" s="45" t="s">
        <v>135</v>
      </c>
    </row>
    <row r="1978" spans="1:4" s="45" customFormat="1" ht="13.5" x14ac:dyDescent="0.15">
      <c r="A1978" s="45" t="s">
        <v>41</v>
      </c>
      <c r="D1978" s="45" t="s">
        <v>5348</v>
      </c>
    </row>
    <row r="1979" spans="1:4" s="45" customFormat="1" ht="13.5" x14ac:dyDescent="0.15">
      <c r="A1979" s="45" t="s">
        <v>41</v>
      </c>
      <c r="D1979" s="45" t="s">
        <v>5349</v>
      </c>
    </row>
    <row r="1980" spans="1:4" s="45" customFormat="1" ht="13.5" x14ac:dyDescent="0.15">
      <c r="A1980" s="45" t="s">
        <v>41</v>
      </c>
      <c r="D1980" s="45" t="s">
        <v>5350</v>
      </c>
    </row>
    <row r="1981" spans="1:4" s="45" customFormat="1" ht="13.5" x14ac:dyDescent="0.15">
      <c r="A1981" s="45" t="s">
        <v>41</v>
      </c>
      <c r="D1981" s="45" t="s">
        <v>136</v>
      </c>
    </row>
    <row r="1982" spans="1:4" s="45" customFormat="1" ht="13.5" x14ac:dyDescent="0.15">
      <c r="A1982" s="45" t="s">
        <v>41</v>
      </c>
      <c r="D1982" s="45" t="s">
        <v>130</v>
      </c>
    </row>
    <row r="1983" spans="1:4" s="45" customFormat="1" ht="13.5" x14ac:dyDescent="0.15">
      <c r="A1983" s="45" t="s">
        <v>41</v>
      </c>
      <c r="D1983" s="45" t="s">
        <v>5351</v>
      </c>
    </row>
    <row r="1984" spans="1:4" s="45" customFormat="1" ht="13.5" x14ac:dyDescent="0.15">
      <c r="A1984" s="45" t="s">
        <v>41</v>
      </c>
      <c r="D1984" s="45" t="s">
        <v>126</v>
      </c>
    </row>
    <row r="1985" spans="1:4" s="45" customFormat="1" ht="13.5" x14ac:dyDescent="0.15">
      <c r="A1985" s="45" t="s">
        <v>41</v>
      </c>
      <c r="D1985" s="45" t="s">
        <v>127</v>
      </c>
    </row>
    <row r="1986" spans="1:4" s="45" customFormat="1" ht="13.5" x14ac:dyDescent="0.15">
      <c r="A1986" s="45" t="s">
        <v>41</v>
      </c>
      <c r="D1986" s="45" t="s">
        <v>133</v>
      </c>
    </row>
    <row r="1987" spans="1:4" s="45" customFormat="1" ht="13.5" x14ac:dyDescent="0.15">
      <c r="A1987" s="45" t="s">
        <v>41</v>
      </c>
      <c r="D1987" s="45" t="s">
        <v>5352</v>
      </c>
    </row>
    <row r="1988" spans="1:4" s="45" customFormat="1" ht="13.5" x14ac:dyDescent="0.15">
      <c r="A1988" s="45" t="s">
        <v>41</v>
      </c>
      <c r="D1988" s="45" t="s">
        <v>5353</v>
      </c>
    </row>
    <row r="1989" spans="1:4" s="45" customFormat="1" ht="13.5" x14ac:dyDescent="0.15">
      <c r="A1989" s="45" t="s">
        <v>41</v>
      </c>
      <c r="D1989" s="45" t="s">
        <v>5354</v>
      </c>
    </row>
    <row r="1990" spans="1:4" s="45" customFormat="1" ht="13.5" x14ac:dyDescent="0.15">
      <c r="A1990" s="45" t="s">
        <v>41</v>
      </c>
      <c r="D1990" s="45" t="s">
        <v>5355</v>
      </c>
    </row>
    <row r="1991" spans="1:4" s="45" customFormat="1" ht="13.5" x14ac:dyDescent="0.15">
      <c r="A1991" s="45" t="s">
        <v>41</v>
      </c>
      <c r="D1991" s="45" t="s">
        <v>1333</v>
      </c>
    </row>
    <row r="1992" spans="1:4" s="45" customFormat="1" ht="13.5" x14ac:dyDescent="0.15">
      <c r="A1992" s="45" t="s">
        <v>41</v>
      </c>
      <c r="D1992" s="45" t="s">
        <v>1345</v>
      </c>
    </row>
    <row r="1993" spans="1:4" s="45" customFormat="1" ht="13.5" x14ac:dyDescent="0.15">
      <c r="A1993" s="45" t="s">
        <v>41</v>
      </c>
      <c r="D1993" s="45" t="s">
        <v>1338</v>
      </c>
    </row>
    <row r="1994" spans="1:4" s="45" customFormat="1" ht="13.5" x14ac:dyDescent="0.15">
      <c r="A1994" s="45" t="s">
        <v>41</v>
      </c>
      <c r="D1994" s="45" t="s">
        <v>1337</v>
      </c>
    </row>
    <row r="1995" spans="1:4" s="45" customFormat="1" ht="13.5" x14ac:dyDescent="0.15">
      <c r="A1995" s="45" t="s">
        <v>41</v>
      </c>
      <c r="D1995" s="45" t="s">
        <v>5356</v>
      </c>
    </row>
    <row r="1996" spans="1:4" s="45" customFormat="1" ht="13.5" x14ac:dyDescent="0.15">
      <c r="A1996" s="45" t="s">
        <v>41</v>
      </c>
      <c r="D1996" s="45" t="s">
        <v>1335</v>
      </c>
    </row>
    <row r="1997" spans="1:4" s="45" customFormat="1" ht="13.5" x14ac:dyDescent="0.15">
      <c r="A1997" s="45" t="s">
        <v>41</v>
      </c>
      <c r="D1997" s="45" t="s">
        <v>5357</v>
      </c>
    </row>
    <row r="1998" spans="1:4" s="45" customFormat="1" ht="13.5" x14ac:dyDescent="0.15">
      <c r="A1998" s="45" t="s">
        <v>41</v>
      </c>
      <c r="D1998" s="45" t="s">
        <v>1341</v>
      </c>
    </row>
    <row r="1999" spans="1:4" s="45" customFormat="1" ht="13.5" x14ac:dyDescent="0.15">
      <c r="A1999" s="45" t="s">
        <v>41</v>
      </c>
      <c r="D1999" s="45" t="s">
        <v>1334</v>
      </c>
    </row>
    <row r="2000" spans="1:4" s="45" customFormat="1" ht="13.5" x14ac:dyDescent="0.15">
      <c r="A2000" s="45" t="s">
        <v>41</v>
      </c>
      <c r="D2000" s="45" t="s">
        <v>1339</v>
      </c>
    </row>
    <row r="2001" spans="1:4" s="45" customFormat="1" ht="13.5" x14ac:dyDescent="0.15">
      <c r="A2001" s="45" t="s">
        <v>41</v>
      </c>
      <c r="D2001" s="45" t="s">
        <v>1340</v>
      </c>
    </row>
    <row r="2002" spans="1:4" s="45" customFormat="1" ht="13.5" x14ac:dyDescent="0.15">
      <c r="A2002" s="45" t="s">
        <v>41</v>
      </c>
      <c r="D2002" s="45" t="s">
        <v>5358</v>
      </c>
    </row>
    <row r="2003" spans="1:4" s="45" customFormat="1" ht="13.5" x14ac:dyDescent="0.15">
      <c r="A2003" s="45" t="s">
        <v>41</v>
      </c>
      <c r="D2003" s="45" t="s">
        <v>1342</v>
      </c>
    </row>
    <row r="2004" spans="1:4" s="45" customFormat="1" ht="13.5" x14ac:dyDescent="0.15">
      <c r="A2004" s="45" t="s">
        <v>41</v>
      </c>
      <c r="D2004" s="45" t="s">
        <v>1343</v>
      </c>
    </row>
    <row r="2005" spans="1:4" s="45" customFormat="1" ht="13.5" x14ac:dyDescent="0.15">
      <c r="A2005" s="45" t="s">
        <v>41</v>
      </c>
      <c r="D2005" s="45" t="s">
        <v>1336</v>
      </c>
    </row>
    <row r="2006" spans="1:4" s="45" customFormat="1" ht="13.5" x14ac:dyDescent="0.15">
      <c r="A2006" s="45" t="s">
        <v>41</v>
      </c>
      <c r="D2006" s="45" t="s">
        <v>1344</v>
      </c>
    </row>
    <row r="2007" spans="1:4" s="45" customFormat="1" ht="13.5" x14ac:dyDescent="0.15">
      <c r="A2007" s="45" t="s">
        <v>41</v>
      </c>
      <c r="D2007" s="45" t="s">
        <v>1332</v>
      </c>
    </row>
    <row r="2008" spans="1:4" s="45" customFormat="1" ht="13.5" x14ac:dyDescent="0.15">
      <c r="A2008" s="45" t="s">
        <v>41</v>
      </c>
      <c r="D2008" s="45" t="s">
        <v>5359</v>
      </c>
    </row>
    <row r="2009" spans="1:4" s="45" customFormat="1" ht="13.5" x14ac:dyDescent="0.15">
      <c r="A2009" s="45" t="s">
        <v>41</v>
      </c>
      <c r="D2009" s="45" t="s">
        <v>5360</v>
      </c>
    </row>
    <row r="2010" spans="1:4" s="45" customFormat="1" ht="13.5" x14ac:dyDescent="0.15">
      <c r="A2010" s="45" t="s">
        <v>41</v>
      </c>
      <c r="D2010" s="45" t="s">
        <v>1346</v>
      </c>
    </row>
    <row r="2011" spans="1:4" s="45" customFormat="1" ht="13.5" x14ac:dyDescent="0.15">
      <c r="A2011" s="45" t="s">
        <v>41</v>
      </c>
      <c r="D2011" s="45" t="s">
        <v>5361</v>
      </c>
    </row>
    <row r="2012" spans="1:4" s="45" customFormat="1" ht="13.5" x14ac:dyDescent="0.15">
      <c r="A2012" s="45" t="s">
        <v>41</v>
      </c>
      <c r="D2012" s="45" t="s">
        <v>5362</v>
      </c>
    </row>
    <row r="2013" spans="1:4" s="45" customFormat="1" ht="13.5" x14ac:dyDescent="0.15">
      <c r="A2013" s="45" t="s">
        <v>41</v>
      </c>
      <c r="D2013" s="45" t="s">
        <v>5363</v>
      </c>
    </row>
    <row r="2014" spans="1:4" s="45" customFormat="1" ht="13.5" x14ac:dyDescent="0.15">
      <c r="A2014" s="45" t="s">
        <v>41</v>
      </c>
      <c r="D2014" s="45" t="s">
        <v>2007</v>
      </c>
    </row>
    <row r="2015" spans="1:4" s="45" customFormat="1" ht="13.5" x14ac:dyDescent="0.15">
      <c r="A2015" s="45" t="s">
        <v>41</v>
      </c>
      <c r="D2015" s="45" t="s">
        <v>2009</v>
      </c>
    </row>
    <row r="2016" spans="1:4" s="45" customFormat="1" ht="13.5" x14ac:dyDescent="0.15">
      <c r="A2016" s="45" t="s">
        <v>41</v>
      </c>
      <c r="D2016" s="45" t="s">
        <v>5364</v>
      </c>
    </row>
    <row r="2017" spans="1:4" s="45" customFormat="1" ht="13.5" x14ac:dyDescent="0.15">
      <c r="A2017" s="45" t="s">
        <v>41</v>
      </c>
      <c r="D2017" s="45" t="s">
        <v>2008</v>
      </c>
    </row>
    <row r="2018" spans="1:4" s="45" customFormat="1" ht="13.5" x14ac:dyDescent="0.15">
      <c r="A2018" s="45" t="s">
        <v>41</v>
      </c>
      <c r="D2018" s="45" t="s">
        <v>5365</v>
      </c>
    </row>
    <row r="2019" spans="1:4" s="45" customFormat="1" ht="13.5" x14ac:dyDescent="0.15">
      <c r="A2019" s="45" t="s">
        <v>41</v>
      </c>
      <c r="D2019" s="45" t="s">
        <v>1057</v>
      </c>
    </row>
    <row r="2020" spans="1:4" s="45" customFormat="1" ht="13.5" x14ac:dyDescent="0.15">
      <c r="A2020" s="45" t="s">
        <v>41</v>
      </c>
      <c r="D2020" s="45" t="s">
        <v>5366</v>
      </c>
    </row>
    <row r="2021" spans="1:4" s="45" customFormat="1" ht="13.5" x14ac:dyDescent="0.15">
      <c r="A2021" s="45" t="s">
        <v>41</v>
      </c>
      <c r="D2021" s="45" t="s">
        <v>5367</v>
      </c>
    </row>
    <row r="2022" spans="1:4" s="45" customFormat="1" ht="13.5" x14ac:dyDescent="0.15">
      <c r="A2022" s="45" t="s">
        <v>41</v>
      </c>
      <c r="D2022" s="45" t="s">
        <v>5368</v>
      </c>
    </row>
    <row r="2023" spans="1:4" s="45" customFormat="1" ht="13.5" x14ac:dyDescent="0.15">
      <c r="A2023" s="45" t="s">
        <v>41</v>
      </c>
      <c r="D2023" s="45" t="s">
        <v>5369</v>
      </c>
    </row>
    <row r="2024" spans="1:4" s="45" customFormat="1" ht="13.5" x14ac:dyDescent="0.15">
      <c r="A2024" s="45" t="s">
        <v>41</v>
      </c>
      <c r="D2024" s="45" t="s">
        <v>5370</v>
      </c>
    </row>
    <row r="2025" spans="1:4" s="45" customFormat="1" ht="13.5" x14ac:dyDescent="0.15">
      <c r="A2025" s="45" t="s">
        <v>41</v>
      </c>
      <c r="D2025" s="45" t="s">
        <v>436</v>
      </c>
    </row>
    <row r="2026" spans="1:4" s="45" customFormat="1" ht="13.5" x14ac:dyDescent="0.15">
      <c r="A2026" s="45" t="s">
        <v>41</v>
      </c>
      <c r="D2026" s="45" t="s">
        <v>5371</v>
      </c>
    </row>
    <row r="2027" spans="1:4" s="45" customFormat="1" ht="13.5" x14ac:dyDescent="0.15">
      <c r="A2027" s="45" t="s">
        <v>41</v>
      </c>
      <c r="D2027" s="45" t="s">
        <v>2517</v>
      </c>
    </row>
    <row r="2028" spans="1:4" s="45" customFormat="1" ht="13.5" x14ac:dyDescent="0.15">
      <c r="A2028" s="45" t="s">
        <v>41</v>
      </c>
      <c r="D2028" s="45" t="s">
        <v>2518</v>
      </c>
    </row>
    <row r="2029" spans="1:4" s="45" customFormat="1" ht="13.5" x14ac:dyDescent="0.15">
      <c r="A2029" s="45" t="s">
        <v>41</v>
      </c>
      <c r="D2029" s="45" t="s">
        <v>5372</v>
      </c>
    </row>
    <row r="2030" spans="1:4" s="45" customFormat="1" ht="13.5" x14ac:dyDescent="0.15">
      <c r="A2030" s="45" t="s">
        <v>41</v>
      </c>
      <c r="D2030" s="45" t="s">
        <v>5373</v>
      </c>
    </row>
    <row r="2031" spans="1:4" s="45" customFormat="1" ht="13.5" x14ac:dyDescent="0.15">
      <c r="A2031" s="45" t="s">
        <v>41</v>
      </c>
      <c r="D2031" s="45" t="s">
        <v>5374</v>
      </c>
    </row>
    <row r="2032" spans="1:4" s="45" customFormat="1" ht="13.5" x14ac:dyDescent="0.15">
      <c r="A2032" s="45" t="s">
        <v>41</v>
      </c>
      <c r="D2032" s="45" t="s">
        <v>5375</v>
      </c>
    </row>
    <row r="2033" spans="1:4" s="45" customFormat="1" ht="13.5" x14ac:dyDescent="0.15">
      <c r="A2033" s="45" t="s">
        <v>41</v>
      </c>
      <c r="D2033" s="45" t="s">
        <v>5376</v>
      </c>
    </row>
    <row r="2034" spans="1:4" s="45" customFormat="1" ht="13.5" x14ac:dyDescent="0.15">
      <c r="A2034" s="45" t="s">
        <v>41</v>
      </c>
      <c r="D2034" s="45" t="s">
        <v>5377</v>
      </c>
    </row>
    <row r="2035" spans="1:4" s="45" customFormat="1" ht="13.5" x14ac:dyDescent="0.15">
      <c r="A2035" s="45" t="s">
        <v>41</v>
      </c>
      <c r="D2035" s="45" t="s">
        <v>1641</v>
      </c>
    </row>
    <row r="2036" spans="1:4" s="45" customFormat="1" ht="13.5" x14ac:dyDescent="0.15">
      <c r="A2036" s="45" t="s">
        <v>41</v>
      </c>
      <c r="D2036" s="45" t="s">
        <v>1642</v>
      </c>
    </row>
    <row r="2037" spans="1:4" s="45" customFormat="1" ht="13.5" x14ac:dyDescent="0.15">
      <c r="A2037" s="45" t="s">
        <v>41</v>
      </c>
      <c r="D2037" s="45" t="s">
        <v>5378</v>
      </c>
    </row>
    <row r="2038" spans="1:4" s="45" customFormat="1" ht="13.5" x14ac:dyDescent="0.15">
      <c r="A2038" s="45" t="s">
        <v>41</v>
      </c>
      <c r="D2038" s="45" t="s">
        <v>5379</v>
      </c>
    </row>
    <row r="2039" spans="1:4" s="45" customFormat="1" ht="13.5" x14ac:dyDescent="0.15">
      <c r="A2039" s="45" t="s">
        <v>41</v>
      </c>
      <c r="D2039" s="45" t="s">
        <v>5380</v>
      </c>
    </row>
    <row r="2040" spans="1:4" s="45" customFormat="1" ht="13.5" x14ac:dyDescent="0.15">
      <c r="A2040" s="45" t="s">
        <v>41</v>
      </c>
      <c r="D2040" s="45" t="s">
        <v>1655</v>
      </c>
    </row>
    <row r="2041" spans="1:4" s="45" customFormat="1" ht="13.5" x14ac:dyDescent="0.15">
      <c r="A2041" s="45" t="s">
        <v>41</v>
      </c>
      <c r="D2041" s="45" t="s">
        <v>1656</v>
      </c>
    </row>
    <row r="2042" spans="1:4" s="45" customFormat="1" ht="13.5" x14ac:dyDescent="0.15">
      <c r="A2042" s="45" t="s">
        <v>41</v>
      </c>
      <c r="D2042" s="45" t="s">
        <v>1653</v>
      </c>
    </row>
    <row r="2043" spans="1:4" s="45" customFormat="1" ht="13.5" x14ac:dyDescent="0.15">
      <c r="A2043" s="45" t="s">
        <v>41</v>
      </c>
      <c r="D2043" s="45" t="s">
        <v>5381</v>
      </c>
    </row>
    <row r="2044" spans="1:4" s="45" customFormat="1" ht="13.5" x14ac:dyDescent="0.15">
      <c r="A2044" s="45" t="s">
        <v>41</v>
      </c>
      <c r="D2044" s="45" t="s">
        <v>1654</v>
      </c>
    </row>
    <row r="2045" spans="1:4" s="45" customFormat="1" ht="13.5" x14ac:dyDescent="0.15">
      <c r="A2045" s="45" t="s">
        <v>41</v>
      </c>
      <c r="D2045" s="45" t="s">
        <v>5382</v>
      </c>
    </row>
    <row r="2046" spans="1:4" s="45" customFormat="1" ht="13.5" x14ac:dyDescent="0.15">
      <c r="A2046" s="45" t="s">
        <v>41</v>
      </c>
      <c r="D2046" s="45" t="s">
        <v>2171</v>
      </c>
    </row>
    <row r="2047" spans="1:4" s="45" customFormat="1" ht="13.5" x14ac:dyDescent="0.15">
      <c r="A2047" s="45" t="s">
        <v>41</v>
      </c>
      <c r="D2047" s="45" t="s">
        <v>5383</v>
      </c>
    </row>
    <row r="2048" spans="1:4" s="45" customFormat="1" ht="13.5" x14ac:dyDescent="0.15">
      <c r="A2048" s="45" t="s">
        <v>41</v>
      </c>
      <c r="D2048" s="45" t="s">
        <v>5384</v>
      </c>
    </row>
    <row r="2049" spans="1:4" s="45" customFormat="1" ht="13.5" x14ac:dyDescent="0.15">
      <c r="A2049" s="45" t="s">
        <v>41</v>
      </c>
      <c r="D2049" s="45" t="s">
        <v>5385</v>
      </c>
    </row>
    <row r="2050" spans="1:4" s="45" customFormat="1" ht="13.5" x14ac:dyDescent="0.15">
      <c r="A2050" s="45" t="s">
        <v>41</v>
      </c>
      <c r="D2050" s="45" t="s">
        <v>5386</v>
      </c>
    </row>
    <row r="2051" spans="1:4" s="45" customFormat="1" ht="13.5" x14ac:dyDescent="0.15">
      <c r="A2051" s="45" t="s">
        <v>41</v>
      </c>
      <c r="D2051" s="45" t="s">
        <v>2173</v>
      </c>
    </row>
    <row r="2052" spans="1:4" s="45" customFormat="1" ht="13.5" x14ac:dyDescent="0.15">
      <c r="A2052" s="45" t="s">
        <v>41</v>
      </c>
      <c r="D2052" s="45" t="s">
        <v>5387</v>
      </c>
    </row>
    <row r="2053" spans="1:4" s="45" customFormat="1" ht="13.5" x14ac:dyDescent="0.15">
      <c r="A2053" s="45" t="s">
        <v>41</v>
      </c>
      <c r="D2053" s="45" t="s">
        <v>2172</v>
      </c>
    </row>
    <row r="2054" spans="1:4" s="45" customFormat="1" ht="13.5" x14ac:dyDescent="0.15">
      <c r="A2054" s="45" t="s">
        <v>41</v>
      </c>
      <c r="D2054" s="45" t="s">
        <v>5388</v>
      </c>
    </row>
    <row r="2055" spans="1:4" s="45" customFormat="1" ht="13.5" x14ac:dyDescent="0.15">
      <c r="A2055" s="45" t="s">
        <v>41</v>
      </c>
      <c r="D2055" s="45" t="s">
        <v>5389</v>
      </c>
    </row>
    <row r="2056" spans="1:4" s="45" customFormat="1" ht="13.5" x14ac:dyDescent="0.15">
      <c r="A2056" s="45" t="s">
        <v>41</v>
      </c>
      <c r="D2056" s="45" t="s">
        <v>5390</v>
      </c>
    </row>
    <row r="2057" spans="1:4" s="45" customFormat="1" ht="13.5" x14ac:dyDescent="0.15">
      <c r="A2057" s="45" t="s">
        <v>41</v>
      </c>
      <c r="D2057" s="45" t="s">
        <v>5391</v>
      </c>
    </row>
    <row r="2058" spans="1:4" s="45" customFormat="1" ht="13.5" x14ac:dyDescent="0.15">
      <c r="A2058" s="45" t="s">
        <v>41</v>
      </c>
      <c r="D2058" s="45" t="s">
        <v>5392</v>
      </c>
    </row>
    <row r="2059" spans="1:4" s="45" customFormat="1" ht="13.5" x14ac:dyDescent="0.15">
      <c r="A2059" s="45" t="s">
        <v>41</v>
      </c>
      <c r="D2059" s="45" t="s">
        <v>5393</v>
      </c>
    </row>
    <row r="2060" spans="1:4" s="45" customFormat="1" ht="13.5" x14ac:dyDescent="0.15">
      <c r="A2060" s="45" t="s">
        <v>41</v>
      </c>
      <c r="D2060" s="45" t="s">
        <v>5394</v>
      </c>
    </row>
    <row r="2061" spans="1:4" s="45" customFormat="1" ht="13.5" x14ac:dyDescent="0.15">
      <c r="A2061" s="45" t="s">
        <v>41</v>
      </c>
      <c r="D2061" s="45" t="s">
        <v>5395</v>
      </c>
    </row>
    <row r="2062" spans="1:4" s="45" customFormat="1" ht="13.5" x14ac:dyDescent="0.15">
      <c r="A2062" s="45" t="s">
        <v>41</v>
      </c>
      <c r="D2062" s="45" t="s">
        <v>5396</v>
      </c>
    </row>
    <row r="2063" spans="1:4" s="45" customFormat="1" ht="13.5" x14ac:dyDescent="0.15">
      <c r="A2063" s="45" t="s">
        <v>41</v>
      </c>
      <c r="D2063" s="45" t="s">
        <v>5397</v>
      </c>
    </row>
    <row r="2064" spans="1:4" s="45" customFormat="1" ht="13.5" x14ac:dyDescent="0.15">
      <c r="A2064" s="45" t="s">
        <v>41</v>
      </c>
      <c r="D2064" s="45" t="s">
        <v>1327</v>
      </c>
    </row>
    <row r="2065" spans="1:4" s="45" customFormat="1" ht="13.5" x14ac:dyDescent="0.15">
      <c r="A2065" s="45" t="s">
        <v>41</v>
      </c>
      <c r="D2065" s="45" t="s">
        <v>1328</v>
      </c>
    </row>
    <row r="2066" spans="1:4" s="45" customFormat="1" ht="13.5" x14ac:dyDescent="0.15">
      <c r="A2066" s="45" t="s">
        <v>41</v>
      </c>
      <c r="D2066" s="45" t="s">
        <v>5398</v>
      </c>
    </row>
    <row r="2067" spans="1:4" s="45" customFormat="1" ht="13.5" x14ac:dyDescent="0.15">
      <c r="A2067" s="45" t="s">
        <v>41</v>
      </c>
      <c r="D2067" s="45" t="s">
        <v>5399</v>
      </c>
    </row>
    <row r="2068" spans="1:4" s="45" customFormat="1" ht="13.5" x14ac:dyDescent="0.15">
      <c r="A2068" s="45" t="s">
        <v>41</v>
      </c>
      <c r="D2068" s="45" t="s">
        <v>5400</v>
      </c>
    </row>
    <row r="2069" spans="1:4" s="45" customFormat="1" ht="13.5" x14ac:dyDescent="0.15">
      <c r="A2069" s="45" t="s">
        <v>41</v>
      </c>
      <c r="D2069" s="45" t="s">
        <v>5401</v>
      </c>
    </row>
    <row r="2070" spans="1:4" s="45" customFormat="1" ht="13.5" x14ac:dyDescent="0.15">
      <c r="A2070" s="45" t="s">
        <v>41</v>
      </c>
      <c r="D2070" s="45" t="s">
        <v>5402</v>
      </c>
    </row>
    <row r="2071" spans="1:4" s="45" customFormat="1" ht="13.5" x14ac:dyDescent="0.15">
      <c r="A2071" s="45" t="s">
        <v>41</v>
      </c>
      <c r="D2071" s="45" t="s">
        <v>5403</v>
      </c>
    </row>
    <row r="2072" spans="1:4" s="45" customFormat="1" ht="13.5" x14ac:dyDescent="0.15">
      <c r="A2072" s="45" t="s">
        <v>41</v>
      </c>
      <c r="D2072" s="45" t="s">
        <v>5404</v>
      </c>
    </row>
    <row r="2073" spans="1:4" s="45" customFormat="1" ht="13.5" x14ac:dyDescent="0.15">
      <c r="A2073" s="45" t="s">
        <v>41</v>
      </c>
      <c r="D2073" s="45" t="s">
        <v>5405</v>
      </c>
    </row>
    <row r="2074" spans="1:4" s="45" customFormat="1" ht="13.5" x14ac:dyDescent="0.15">
      <c r="A2074" s="45" t="s">
        <v>41</v>
      </c>
      <c r="D2074" s="45" t="s">
        <v>5406</v>
      </c>
    </row>
    <row r="2075" spans="1:4" s="45" customFormat="1" ht="13.5" x14ac:dyDescent="0.15">
      <c r="A2075" s="45" t="s">
        <v>41</v>
      </c>
      <c r="D2075" s="45" t="s">
        <v>5407</v>
      </c>
    </row>
    <row r="2076" spans="1:4" s="45" customFormat="1" ht="13.5" x14ac:dyDescent="0.15">
      <c r="A2076" s="45" t="s">
        <v>41</v>
      </c>
      <c r="D2076" s="45" t="s">
        <v>5408</v>
      </c>
    </row>
    <row r="2077" spans="1:4" s="45" customFormat="1" ht="13.5" x14ac:dyDescent="0.15">
      <c r="A2077" s="45" t="s">
        <v>41</v>
      </c>
      <c r="D2077" s="45" t="s">
        <v>5409</v>
      </c>
    </row>
    <row r="2078" spans="1:4" s="45" customFormat="1" ht="13.5" x14ac:dyDescent="0.15">
      <c r="A2078" s="45" t="s">
        <v>41</v>
      </c>
      <c r="D2078" s="45" t="s">
        <v>5410</v>
      </c>
    </row>
    <row r="2079" spans="1:4" s="45" customFormat="1" ht="13.5" x14ac:dyDescent="0.15">
      <c r="A2079" s="45" t="s">
        <v>41</v>
      </c>
      <c r="D2079" s="45" t="s">
        <v>5411</v>
      </c>
    </row>
    <row r="2080" spans="1:4" s="45" customFormat="1" ht="13.5" x14ac:dyDescent="0.15">
      <c r="A2080" s="45" t="s">
        <v>41</v>
      </c>
      <c r="D2080" s="45" t="s">
        <v>5412</v>
      </c>
    </row>
    <row r="2081" spans="1:4" s="45" customFormat="1" ht="13.5" x14ac:dyDescent="0.15">
      <c r="A2081" s="45" t="s">
        <v>41</v>
      </c>
      <c r="D2081" s="45" t="s">
        <v>5413</v>
      </c>
    </row>
    <row r="2082" spans="1:4" s="45" customFormat="1" ht="13.5" x14ac:dyDescent="0.15">
      <c r="A2082" s="45" t="s">
        <v>41</v>
      </c>
      <c r="D2082" s="45" t="s">
        <v>5414</v>
      </c>
    </row>
    <row r="2083" spans="1:4" s="45" customFormat="1" ht="13.5" x14ac:dyDescent="0.15">
      <c r="A2083" s="45" t="s">
        <v>41</v>
      </c>
      <c r="D2083" s="45" t="s">
        <v>5415</v>
      </c>
    </row>
    <row r="2084" spans="1:4" s="45" customFormat="1" ht="13.5" x14ac:dyDescent="0.15">
      <c r="A2084" s="45" t="s">
        <v>41</v>
      </c>
      <c r="D2084" s="45" t="s">
        <v>5416</v>
      </c>
    </row>
    <row r="2085" spans="1:4" s="45" customFormat="1" ht="13.5" x14ac:dyDescent="0.15">
      <c r="A2085" s="45" t="s">
        <v>41</v>
      </c>
      <c r="D2085" s="45" t="s">
        <v>5417</v>
      </c>
    </row>
    <row r="2086" spans="1:4" s="45" customFormat="1" ht="13.5" x14ac:dyDescent="0.15">
      <c r="A2086" s="45" t="s">
        <v>41</v>
      </c>
      <c r="D2086" s="45" t="s">
        <v>5418</v>
      </c>
    </row>
    <row r="2087" spans="1:4" s="45" customFormat="1" ht="13.5" x14ac:dyDescent="0.15">
      <c r="A2087" s="45" t="s">
        <v>41</v>
      </c>
      <c r="D2087" s="45" t="s">
        <v>5419</v>
      </c>
    </row>
    <row r="2088" spans="1:4" s="45" customFormat="1" ht="13.5" x14ac:dyDescent="0.15">
      <c r="A2088" s="45" t="s">
        <v>41</v>
      </c>
      <c r="D2088" s="45" t="s">
        <v>5420</v>
      </c>
    </row>
    <row r="2089" spans="1:4" s="45" customFormat="1" ht="13.5" x14ac:dyDescent="0.15">
      <c r="A2089" s="45" t="s">
        <v>41</v>
      </c>
      <c r="D2089" s="45" t="s">
        <v>706</v>
      </c>
    </row>
    <row r="2090" spans="1:4" s="45" customFormat="1" ht="13.5" x14ac:dyDescent="0.15">
      <c r="A2090" s="45" t="s">
        <v>41</v>
      </c>
      <c r="D2090" s="45" t="s">
        <v>5421</v>
      </c>
    </row>
    <row r="2091" spans="1:4" s="45" customFormat="1" ht="13.5" x14ac:dyDescent="0.15">
      <c r="A2091" s="45" t="s">
        <v>41</v>
      </c>
      <c r="D2091" s="45" t="s">
        <v>5422</v>
      </c>
    </row>
    <row r="2092" spans="1:4" s="45" customFormat="1" ht="13.5" x14ac:dyDescent="0.15">
      <c r="A2092" s="45" t="s">
        <v>41</v>
      </c>
      <c r="D2092" s="45" t="s">
        <v>5423</v>
      </c>
    </row>
    <row r="2093" spans="1:4" s="45" customFormat="1" ht="13.5" x14ac:dyDescent="0.15">
      <c r="A2093" s="45" t="s">
        <v>41</v>
      </c>
      <c r="D2093" s="45" t="s">
        <v>5424</v>
      </c>
    </row>
    <row r="2094" spans="1:4" s="45" customFormat="1" ht="13.5" x14ac:dyDescent="0.15">
      <c r="A2094" s="45" t="s">
        <v>41</v>
      </c>
      <c r="D2094" s="45" t="s">
        <v>895</v>
      </c>
    </row>
    <row r="2095" spans="1:4" s="45" customFormat="1" ht="13.5" x14ac:dyDescent="0.15">
      <c r="A2095" s="45" t="s">
        <v>41</v>
      </c>
      <c r="D2095" s="45" t="s">
        <v>5425</v>
      </c>
    </row>
    <row r="2096" spans="1:4" s="45" customFormat="1" ht="13.5" x14ac:dyDescent="0.15">
      <c r="A2096" s="45" t="s">
        <v>41</v>
      </c>
      <c r="D2096" s="45" t="s">
        <v>5426</v>
      </c>
    </row>
    <row r="2097" spans="1:4" s="45" customFormat="1" ht="13.5" x14ac:dyDescent="0.15">
      <c r="A2097" s="45" t="s">
        <v>41</v>
      </c>
      <c r="D2097" s="45" t="s">
        <v>5427</v>
      </c>
    </row>
    <row r="2098" spans="1:4" s="45" customFormat="1" ht="13.5" x14ac:dyDescent="0.15">
      <c r="A2098" s="45" t="s">
        <v>41</v>
      </c>
      <c r="D2098" s="45" t="s">
        <v>2453</v>
      </c>
    </row>
    <row r="2099" spans="1:4" s="45" customFormat="1" ht="13.5" x14ac:dyDescent="0.15">
      <c r="A2099" s="45" t="s">
        <v>41</v>
      </c>
      <c r="D2099" s="45" t="s">
        <v>5428</v>
      </c>
    </row>
    <row r="2100" spans="1:4" s="45" customFormat="1" ht="13.5" x14ac:dyDescent="0.15">
      <c r="A2100" s="45" t="s">
        <v>41</v>
      </c>
      <c r="D2100" s="45" t="s">
        <v>5429</v>
      </c>
    </row>
    <row r="2101" spans="1:4" s="45" customFormat="1" ht="13.5" x14ac:dyDescent="0.15">
      <c r="A2101" s="45" t="s">
        <v>41</v>
      </c>
      <c r="D2101" s="45" t="s">
        <v>5430</v>
      </c>
    </row>
    <row r="2102" spans="1:4" s="45" customFormat="1" ht="13.5" x14ac:dyDescent="0.15">
      <c r="A2102" s="45" t="s">
        <v>41</v>
      </c>
      <c r="D2102" s="45" t="s">
        <v>5431</v>
      </c>
    </row>
    <row r="2103" spans="1:4" s="45" customFormat="1" ht="13.5" x14ac:dyDescent="0.15">
      <c r="A2103" s="45" t="s">
        <v>41</v>
      </c>
      <c r="D2103" s="45" t="s">
        <v>5432</v>
      </c>
    </row>
    <row r="2104" spans="1:4" s="45" customFormat="1" ht="13.5" x14ac:dyDescent="0.15">
      <c r="A2104" s="45" t="s">
        <v>41</v>
      </c>
      <c r="D2104" s="45" t="s">
        <v>1045</v>
      </c>
    </row>
    <row r="2105" spans="1:4" s="45" customFormat="1" ht="13.5" x14ac:dyDescent="0.15">
      <c r="A2105" s="45" t="s">
        <v>41</v>
      </c>
      <c r="D2105" s="45" t="s">
        <v>5433</v>
      </c>
    </row>
    <row r="2106" spans="1:4" s="45" customFormat="1" ht="13.5" x14ac:dyDescent="0.15">
      <c r="A2106" s="45" t="s">
        <v>41</v>
      </c>
      <c r="D2106" s="45" t="s">
        <v>5434</v>
      </c>
    </row>
    <row r="2107" spans="1:4" s="45" customFormat="1" ht="13.5" x14ac:dyDescent="0.15">
      <c r="A2107" s="45" t="s">
        <v>41</v>
      </c>
      <c r="D2107" s="45" t="s">
        <v>5435</v>
      </c>
    </row>
    <row r="2108" spans="1:4" s="45" customFormat="1" ht="13.5" x14ac:dyDescent="0.15">
      <c r="A2108" s="45" t="s">
        <v>41</v>
      </c>
      <c r="D2108" s="45" t="s">
        <v>5436</v>
      </c>
    </row>
    <row r="2109" spans="1:4" s="45" customFormat="1" ht="13.5" x14ac:dyDescent="0.15">
      <c r="A2109" s="45" t="s">
        <v>41</v>
      </c>
      <c r="D2109" s="45" t="s">
        <v>2525</v>
      </c>
    </row>
    <row r="2110" spans="1:4" s="45" customFormat="1" ht="13.5" x14ac:dyDescent="0.15">
      <c r="A2110" s="45" t="s">
        <v>41</v>
      </c>
      <c r="D2110" s="45" t="s">
        <v>204</v>
      </c>
    </row>
    <row r="2111" spans="1:4" s="45" customFormat="1" ht="13.5" x14ac:dyDescent="0.15">
      <c r="A2111" s="45" t="s">
        <v>41</v>
      </c>
      <c r="D2111" s="45" t="s">
        <v>207</v>
      </c>
    </row>
    <row r="2112" spans="1:4" s="45" customFormat="1" ht="13.5" x14ac:dyDescent="0.15">
      <c r="A2112" s="45" t="s">
        <v>41</v>
      </c>
      <c r="D2112" s="45" t="s">
        <v>208</v>
      </c>
    </row>
    <row r="2113" spans="1:4" s="45" customFormat="1" ht="13.5" x14ac:dyDescent="0.15">
      <c r="A2113" s="45" t="s">
        <v>41</v>
      </c>
      <c r="D2113" s="45" t="s">
        <v>206</v>
      </c>
    </row>
    <row r="2114" spans="1:4" s="45" customFormat="1" ht="13.5" x14ac:dyDescent="0.15">
      <c r="A2114" s="45" t="s">
        <v>41</v>
      </c>
      <c r="D2114" s="45" t="s">
        <v>5437</v>
      </c>
    </row>
    <row r="2115" spans="1:4" s="45" customFormat="1" ht="13.5" x14ac:dyDescent="0.15">
      <c r="A2115" s="45" t="s">
        <v>41</v>
      </c>
      <c r="D2115" s="45" t="s">
        <v>5438</v>
      </c>
    </row>
    <row r="2116" spans="1:4" s="45" customFormat="1" ht="13.5" x14ac:dyDescent="0.15">
      <c r="A2116" s="45" t="s">
        <v>41</v>
      </c>
      <c r="D2116" s="45" t="s">
        <v>5439</v>
      </c>
    </row>
    <row r="2117" spans="1:4" s="45" customFormat="1" ht="13.5" x14ac:dyDescent="0.15">
      <c r="A2117" s="45" t="s">
        <v>41</v>
      </c>
      <c r="D2117" s="45" t="s">
        <v>5440</v>
      </c>
    </row>
    <row r="2118" spans="1:4" s="45" customFormat="1" ht="13.5" x14ac:dyDescent="0.15">
      <c r="A2118" s="45" t="s">
        <v>41</v>
      </c>
      <c r="D2118" s="45" t="s">
        <v>205</v>
      </c>
    </row>
    <row r="2119" spans="1:4" s="45" customFormat="1" ht="13.5" x14ac:dyDescent="0.15">
      <c r="A2119" s="45" t="s">
        <v>41</v>
      </c>
      <c r="D2119" s="45" t="s">
        <v>519</v>
      </c>
    </row>
    <row r="2120" spans="1:4" s="45" customFormat="1" ht="13.5" x14ac:dyDescent="0.15">
      <c r="A2120" s="45" t="s">
        <v>41</v>
      </c>
      <c r="D2120" s="45" t="s">
        <v>5441</v>
      </c>
    </row>
    <row r="2121" spans="1:4" s="45" customFormat="1" ht="13.5" x14ac:dyDescent="0.15">
      <c r="A2121" s="45" t="s">
        <v>41</v>
      </c>
      <c r="D2121" s="45" t="s">
        <v>5442</v>
      </c>
    </row>
    <row r="2122" spans="1:4" s="45" customFormat="1" ht="13.5" x14ac:dyDescent="0.15">
      <c r="A2122" s="45" t="s">
        <v>41</v>
      </c>
      <c r="D2122" s="45" t="s">
        <v>5443</v>
      </c>
    </row>
    <row r="2123" spans="1:4" s="45" customFormat="1" ht="13.5" x14ac:dyDescent="0.15">
      <c r="A2123" s="45" t="s">
        <v>41</v>
      </c>
      <c r="D2123" s="45" t="s">
        <v>518</v>
      </c>
    </row>
    <row r="2124" spans="1:4" s="45" customFormat="1" ht="13.5" x14ac:dyDescent="0.15">
      <c r="A2124" s="45" t="s">
        <v>41</v>
      </c>
      <c r="D2124" s="45" t="s">
        <v>5444</v>
      </c>
    </row>
    <row r="2125" spans="1:4" s="45" customFormat="1" ht="13.5" x14ac:dyDescent="0.15">
      <c r="A2125" s="45" t="s">
        <v>41</v>
      </c>
      <c r="D2125" s="45" t="s">
        <v>5445</v>
      </c>
    </row>
    <row r="2126" spans="1:4" s="45" customFormat="1" ht="13.5" x14ac:dyDescent="0.15">
      <c r="A2126" s="45" t="s">
        <v>41</v>
      </c>
      <c r="D2126" s="45" t="s">
        <v>514</v>
      </c>
    </row>
    <row r="2127" spans="1:4" s="45" customFormat="1" ht="13.5" x14ac:dyDescent="0.15">
      <c r="A2127" s="45" t="s">
        <v>41</v>
      </c>
      <c r="D2127" s="45" t="s">
        <v>5446</v>
      </c>
    </row>
    <row r="2128" spans="1:4" s="45" customFormat="1" ht="13.5" x14ac:dyDescent="0.15">
      <c r="A2128" s="45" t="s">
        <v>41</v>
      </c>
      <c r="D2128" s="45" t="s">
        <v>515</v>
      </c>
    </row>
    <row r="2129" spans="1:4" s="45" customFormat="1" ht="13.5" x14ac:dyDescent="0.15">
      <c r="A2129" s="45" t="s">
        <v>41</v>
      </c>
      <c r="D2129" s="45" t="s">
        <v>5447</v>
      </c>
    </row>
    <row r="2130" spans="1:4" s="45" customFormat="1" ht="13.5" x14ac:dyDescent="0.15">
      <c r="A2130" s="45" t="s">
        <v>41</v>
      </c>
      <c r="D2130" s="45" t="s">
        <v>5448</v>
      </c>
    </row>
    <row r="2131" spans="1:4" s="45" customFormat="1" ht="13.5" x14ac:dyDescent="0.15">
      <c r="A2131" s="45" t="s">
        <v>41</v>
      </c>
      <c r="D2131" s="45" t="s">
        <v>5449</v>
      </c>
    </row>
    <row r="2132" spans="1:4" s="45" customFormat="1" ht="13.5" x14ac:dyDescent="0.15">
      <c r="A2132" s="45" t="s">
        <v>41</v>
      </c>
      <c r="D2132" s="45" t="s">
        <v>524</v>
      </c>
    </row>
    <row r="2133" spans="1:4" s="45" customFormat="1" ht="13.5" x14ac:dyDescent="0.15">
      <c r="A2133" s="45" t="s">
        <v>41</v>
      </c>
      <c r="D2133" s="45" t="s">
        <v>5450</v>
      </c>
    </row>
    <row r="2134" spans="1:4" s="45" customFormat="1" ht="13.5" x14ac:dyDescent="0.15">
      <c r="A2134" s="45" t="s">
        <v>41</v>
      </c>
      <c r="D2134" s="45" t="s">
        <v>5451</v>
      </c>
    </row>
    <row r="2135" spans="1:4" s="45" customFormat="1" ht="13.5" x14ac:dyDescent="0.15">
      <c r="A2135" s="45" t="s">
        <v>41</v>
      </c>
      <c r="D2135" s="45" t="s">
        <v>521</v>
      </c>
    </row>
    <row r="2136" spans="1:4" s="45" customFormat="1" ht="13.5" x14ac:dyDescent="0.15">
      <c r="A2136" s="45" t="s">
        <v>41</v>
      </c>
      <c r="D2136" s="45" t="s">
        <v>522</v>
      </c>
    </row>
    <row r="2137" spans="1:4" s="45" customFormat="1" ht="13.5" x14ac:dyDescent="0.15">
      <c r="A2137" s="45" t="s">
        <v>41</v>
      </c>
      <c r="D2137" s="45" t="s">
        <v>523</v>
      </c>
    </row>
    <row r="2138" spans="1:4" s="45" customFormat="1" ht="13.5" x14ac:dyDescent="0.15">
      <c r="A2138" s="45" t="s">
        <v>41</v>
      </c>
      <c r="D2138" s="45" t="s">
        <v>520</v>
      </c>
    </row>
    <row r="2139" spans="1:4" s="45" customFormat="1" ht="13.5" x14ac:dyDescent="0.15">
      <c r="A2139" s="45" t="s">
        <v>41</v>
      </c>
      <c r="D2139" s="45" t="s">
        <v>5452</v>
      </c>
    </row>
    <row r="2140" spans="1:4" s="45" customFormat="1" ht="13.5" x14ac:dyDescent="0.15">
      <c r="A2140" s="45" t="s">
        <v>41</v>
      </c>
      <c r="D2140" s="45" t="s">
        <v>5453</v>
      </c>
    </row>
    <row r="2141" spans="1:4" s="45" customFormat="1" ht="13.5" x14ac:dyDescent="0.15">
      <c r="A2141" s="45" t="s">
        <v>41</v>
      </c>
      <c r="D2141" s="45" t="s">
        <v>525</v>
      </c>
    </row>
    <row r="2142" spans="1:4" s="45" customFormat="1" ht="13.5" x14ac:dyDescent="0.15">
      <c r="A2142" s="45" t="s">
        <v>41</v>
      </c>
      <c r="D2142" s="45" t="s">
        <v>517</v>
      </c>
    </row>
    <row r="2143" spans="1:4" s="45" customFormat="1" ht="13.5" x14ac:dyDescent="0.15">
      <c r="A2143" s="45" t="s">
        <v>41</v>
      </c>
      <c r="D2143" s="45" t="s">
        <v>516</v>
      </c>
    </row>
    <row r="2144" spans="1:4" s="45" customFormat="1" ht="13.5" x14ac:dyDescent="0.15">
      <c r="A2144" s="45" t="s">
        <v>41</v>
      </c>
      <c r="D2144" s="45" t="s">
        <v>5454</v>
      </c>
    </row>
    <row r="2145" spans="1:4" s="45" customFormat="1" ht="13.5" x14ac:dyDescent="0.15">
      <c r="A2145" s="45" t="s">
        <v>41</v>
      </c>
      <c r="D2145" s="45" t="s">
        <v>5455</v>
      </c>
    </row>
    <row r="2146" spans="1:4" s="45" customFormat="1" ht="13.5" x14ac:dyDescent="0.15">
      <c r="A2146" s="45" t="s">
        <v>41</v>
      </c>
      <c r="D2146" s="45" t="s">
        <v>5456</v>
      </c>
    </row>
    <row r="2147" spans="1:4" s="45" customFormat="1" ht="13.5" x14ac:dyDescent="0.15">
      <c r="A2147" s="45" t="s">
        <v>41</v>
      </c>
      <c r="D2147" s="45" t="s">
        <v>5457</v>
      </c>
    </row>
    <row r="2148" spans="1:4" s="45" customFormat="1" ht="13.5" x14ac:dyDescent="0.15">
      <c r="A2148" s="45" t="s">
        <v>41</v>
      </c>
      <c r="D2148" s="45" t="s">
        <v>1713</v>
      </c>
    </row>
    <row r="2149" spans="1:4" s="45" customFormat="1" ht="13.5" x14ac:dyDescent="0.15">
      <c r="A2149" s="45" t="s">
        <v>41</v>
      </c>
      <c r="D2149" s="45" t="s">
        <v>1711</v>
      </c>
    </row>
    <row r="2150" spans="1:4" s="45" customFormat="1" ht="13.5" x14ac:dyDescent="0.15">
      <c r="A2150" s="45" t="s">
        <v>41</v>
      </c>
      <c r="D2150" s="45" t="s">
        <v>1712</v>
      </c>
    </row>
    <row r="2151" spans="1:4" s="45" customFormat="1" ht="13.5" x14ac:dyDescent="0.15">
      <c r="A2151" s="45" t="s">
        <v>41</v>
      </c>
      <c r="D2151" s="45" t="s">
        <v>1709</v>
      </c>
    </row>
    <row r="2152" spans="1:4" s="45" customFormat="1" ht="13.5" x14ac:dyDescent="0.15">
      <c r="A2152" s="45" t="s">
        <v>41</v>
      </c>
      <c r="D2152" s="45" t="s">
        <v>1710</v>
      </c>
    </row>
    <row r="2153" spans="1:4" s="45" customFormat="1" ht="13.5" x14ac:dyDescent="0.15">
      <c r="A2153" s="45" t="s">
        <v>41</v>
      </c>
      <c r="D2153" s="45" t="s">
        <v>5458</v>
      </c>
    </row>
    <row r="2154" spans="1:4" s="45" customFormat="1" ht="13.5" x14ac:dyDescent="0.15">
      <c r="A2154" s="45" t="s">
        <v>41</v>
      </c>
      <c r="D2154" s="45" t="s">
        <v>1718</v>
      </c>
    </row>
    <row r="2155" spans="1:4" s="45" customFormat="1" ht="13.5" x14ac:dyDescent="0.15">
      <c r="A2155" s="45" t="s">
        <v>41</v>
      </c>
      <c r="D2155" s="45" t="s">
        <v>1715</v>
      </c>
    </row>
    <row r="2156" spans="1:4" s="45" customFormat="1" ht="13.5" x14ac:dyDescent="0.15">
      <c r="A2156" s="45" t="s">
        <v>41</v>
      </c>
      <c r="D2156" s="45" t="s">
        <v>1716</v>
      </c>
    </row>
    <row r="2157" spans="1:4" s="45" customFormat="1" ht="13.5" x14ac:dyDescent="0.15">
      <c r="A2157" s="45" t="s">
        <v>41</v>
      </c>
      <c r="D2157" s="45" t="s">
        <v>1717</v>
      </c>
    </row>
    <row r="2158" spans="1:4" s="45" customFormat="1" ht="13.5" x14ac:dyDescent="0.15">
      <c r="A2158" s="45" t="s">
        <v>41</v>
      </c>
      <c r="D2158" s="45" t="s">
        <v>5459</v>
      </c>
    </row>
    <row r="2159" spans="1:4" s="45" customFormat="1" ht="13.5" x14ac:dyDescent="0.15">
      <c r="A2159" s="45" t="s">
        <v>41</v>
      </c>
      <c r="D2159" s="45" t="s">
        <v>1719</v>
      </c>
    </row>
    <row r="2160" spans="1:4" s="45" customFormat="1" ht="13.5" x14ac:dyDescent="0.15">
      <c r="A2160" s="45" t="s">
        <v>41</v>
      </c>
      <c r="D2160" s="45" t="s">
        <v>1714</v>
      </c>
    </row>
    <row r="2161" spans="1:4" s="45" customFormat="1" ht="13.5" x14ac:dyDescent="0.15">
      <c r="A2161" s="45" t="s">
        <v>41</v>
      </c>
      <c r="D2161" s="45" t="s">
        <v>983</v>
      </c>
    </row>
    <row r="2162" spans="1:4" s="45" customFormat="1" ht="13.5" x14ac:dyDescent="0.15">
      <c r="A2162" s="45" t="s">
        <v>41</v>
      </c>
      <c r="D2162" s="45" t="s">
        <v>5460</v>
      </c>
    </row>
    <row r="2163" spans="1:4" s="45" customFormat="1" ht="13.5" x14ac:dyDescent="0.15">
      <c r="A2163" s="45" t="s">
        <v>41</v>
      </c>
      <c r="D2163" s="45" t="s">
        <v>5461</v>
      </c>
    </row>
    <row r="2164" spans="1:4" s="45" customFormat="1" ht="13.5" x14ac:dyDescent="0.15">
      <c r="A2164" s="45" t="s">
        <v>41</v>
      </c>
      <c r="D2164" s="45" t="s">
        <v>5462</v>
      </c>
    </row>
    <row r="2165" spans="1:4" s="45" customFormat="1" ht="13.5" x14ac:dyDescent="0.15">
      <c r="A2165" s="45" t="s">
        <v>41</v>
      </c>
      <c r="D2165" s="45" t="s">
        <v>5463</v>
      </c>
    </row>
    <row r="2166" spans="1:4" s="45" customFormat="1" ht="13.5" x14ac:dyDescent="0.15">
      <c r="A2166" s="45" t="s">
        <v>41</v>
      </c>
      <c r="D2166" s="45" t="s">
        <v>1458</v>
      </c>
    </row>
    <row r="2167" spans="1:4" s="45" customFormat="1" ht="13.5" x14ac:dyDescent="0.15">
      <c r="A2167" s="45" t="s">
        <v>41</v>
      </c>
      <c r="D2167" s="45" t="s">
        <v>1459</v>
      </c>
    </row>
    <row r="2168" spans="1:4" s="45" customFormat="1" ht="13.5" x14ac:dyDescent="0.15">
      <c r="A2168" s="45" t="s">
        <v>41</v>
      </c>
      <c r="D2168" s="45" t="s">
        <v>1460</v>
      </c>
    </row>
    <row r="2169" spans="1:4" s="45" customFormat="1" ht="13.5" x14ac:dyDescent="0.15">
      <c r="A2169" s="45" t="s">
        <v>41</v>
      </c>
      <c r="D2169" s="45" t="s">
        <v>1462</v>
      </c>
    </row>
    <row r="2170" spans="1:4" s="45" customFormat="1" ht="13.5" x14ac:dyDescent="0.15">
      <c r="A2170" s="45" t="s">
        <v>41</v>
      </c>
      <c r="D2170" s="45" t="s">
        <v>1461</v>
      </c>
    </row>
    <row r="2171" spans="1:4" s="45" customFormat="1" ht="13.5" x14ac:dyDescent="0.15">
      <c r="A2171" s="45" t="s">
        <v>41</v>
      </c>
      <c r="D2171" s="45" t="s">
        <v>5464</v>
      </c>
    </row>
    <row r="2172" spans="1:4" s="45" customFormat="1" ht="13.5" x14ac:dyDescent="0.15">
      <c r="A2172" s="45" t="s">
        <v>41</v>
      </c>
      <c r="D2172" s="45" t="s">
        <v>5465</v>
      </c>
    </row>
    <row r="2173" spans="1:4" s="45" customFormat="1" ht="13.5" x14ac:dyDescent="0.15">
      <c r="A2173" s="45" t="s">
        <v>41</v>
      </c>
      <c r="D2173" s="45" t="s">
        <v>5466</v>
      </c>
    </row>
    <row r="2174" spans="1:4" s="45" customFormat="1" ht="13.5" x14ac:dyDescent="0.15">
      <c r="A2174" s="45" t="s">
        <v>41</v>
      </c>
      <c r="D2174" s="45" t="s">
        <v>5467</v>
      </c>
    </row>
    <row r="2175" spans="1:4" s="45" customFormat="1" ht="13.5" x14ac:dyDescent="0.15">
      <c r="A2175" s="45" t="s">
        <v>41</v>
      </c>
      <c r="D2175" s="45" t="s">
        <v>5468</v>
      </c>
    </row>
    <row r="2176" spans="1:4" s="45" customFormat="1" ht="13.5" x14ac:dyDescent="0.15">
      <c r="A2176" s="45" t="s">
        <v>41</v>
      </c>
      <c r="D2176" s="45" t="s">
        <v>1473</v>
      </c>
    </row>
    <row r="2177" spans="1:4" s="45" customFormat="1" ht="13.5" x14ac:dyDescent="0.15">
      <c r="A2177" s="45" t="s">
        <v>41</v>
      </c>
      <c r="D2177" s="45" t="s">
        <v>1467</v>
      </c>
    </row>
    <row r="2178" spans="1:4" s="45" customFormat="1" ht="13.5" x14ac:dyDescent="0.15">
      <c r="A2178" s="45" t="s">
        <v>41</v>
      </c>
      <c r="D2178" s="45" t="s">
        <v>5469</v>
      </c>
    </row>
    <row r="2179" spans="1:4" s="45" customFormat="1" ht="13.5" x14ac:dyDescent="0.15">
      <c r="A2179" s="45" t="s">
        <v>41</v>
      </c>
      <c r="D2179" s="45" t="s">
        <v>1465</v>
      </c>
    </row>
    <row r="2180" spans="1:4" s="45" customFormat="1" ht="13.5" x14ac:dyDescent="0.15">
      <c r="A2180" s="45" t="s">
        <v>41</v>
      </c>
      <c r="D2180" s="45" t="s">
        <v>5470</v>
      </c>
    </row>
    <row r="2181" spans="1:4" s="45" customFormat="1" ht="13.5" x14ac:dyDescent="0.15">
      <c r="A2181" s="45" t="s">
        <v>41</v>
      </c>
      <c r="D2181" s="45" t="s">
        <v>5471</v>
      </c>
    </row>
    <row r="2182" spans="1:4" s="45" customFormat="1" ht="13.5" x14ac:dyDescent="0.15">
      <c r="A2182" s="45" t="s">
        <v>41</v>
      </c>
      <c r="D2182" s="45" t="s">
        <v>1469</v>
      </c>
    </row>
    <row r="2183" spans="1:4" s="45" customFormat="1" ht="13.5" x14ac:dyDescent="0.15">
      <c r="A2183" s="45" t="s">
        <v>41</v>
      </c>
      <c r="D2183" s="45" t="s">
        <v>5472</v>
      </c>
    </row>
    <row r="2184" spans="1:4" s="45" customFormat="1" ht="13.5" x14ac:dyDescent="0.15">
      <c r="A2184" s="45" t="s">
        <v>41</v>
      </c>
      <c r="D2184" s="45" t="s">
        <v>5473</v>
      </c>
    </row>
    <row r="2185" spans="1:4" s="45" customFormat="1" ht="13.5" x14ac:dyDescent="0.15">
      <c r="A2185" s="45" t="s">
        <v>41</v>
      </c>
      <c r="D2185" s="45" t="s">
        <v>1470</v>
      </c>
    </row>
    <row r="2186" spans="1:4" s="45" customFormat="1" ht="13.5" x14ac:dyDescent="0.15">
      <c r="A2186" s="45" t="s">
        <v>41</v>
      </c>
      <c r="D2186" s="45" t="s">
        <v>1471</v>
      </c>
    </row>
    <row r="2187" spans="1:4" s="45" customFormat="1" ht="13.5" x14ac:dyDescent="0.15">
      <c r="A2187" s="45" t="s">
        <v>41</v>
      </c>
      <c r="D2187" s="45" t="s">
        <v>1463</v>
      </c>
    </row>
    <row r="2188" spans="1:4" s="45" customFormat="1" ht="13.5" x14ac:dyDescent="0.15">
      <c r="A2188" s="45" t="s">
        <v>41</v>
      </c>
      <c r="D2188" s="45" t="s">
        <v>5474</v>
      </c>
    </row>
    <row r="2189" spans="1:4" s="45" customFormat="1" ht="13.5" x14ac:dyDescent="0.15">
      <c r="A2189" s="45" t="s">
        <v>41</v>
      </c>
      <c r="D2189" s="45" t="s">
        <v>5475</v>
      </c>
    </row>
    <row r="2190" spans="1:4" s="45" customFormat="1" ht="13.5" x14ac:dyDescent="0.15">
      <c r="A2190" s="45" t="s">
        <v>41</v>
      </c>
      <c r="D2190" s="45" t="s">
        <v>5476</v>
      </c>
    </row>
    <row r="2191" spans="1:4" s="45" customFormat="1" ht="13.5" x14ac:dyDescent="0.15">
      <c r="A2191" s="45" t="s">
        <v>41</v>
      </c>
      <c r="D2191" s="45" t="s">
        <v>5477</v>
      </c>
    </row>
    <row r="2192" spans="1:4" s="45" customFormat="1" ht="13.5" x14ac:dyDescent="0.15">
      <c r="A2192" s="45" t="s">
        <v>41</v>
      </c>
      <c r="D2192" s="45" t="s">
        <v>1480</v>
      </c>
    </row>
    <row r="2193" spans="1:4" s="45" customFormat="1" ht="13.5" x14ac:dyDescent="0.15">
      <c r="A2193" s="45" t="s">
        <v>41</v>
      </c>
      <c r="D2193" s="45" t="s">
        <v>5478</v>
      </c>
    </row>
    <row r="2194" spans="1:4" s="45" customFormat="1" ht="13.5" x14ac:dyDescent="0.15">
      <c r="A2194" s="45" t="s">
        <v>41</v>
      </c>
      <c r="D2194" s="45" t="s">
        <v>1482</v>
      </c>
    </row>
    <row r="2195" spans="1:4" s="45" customFormat="1" ht="13.5" x14ac:dyDescent="0.15">
      <c r="A2195" s="45" t="s">
        <v>41</v>
      </c>
      <c r="D2195" s="45" t="s">
        <v>5479</v>
      </c>
    </row>
    <row r="2196" spans="1:4" s="45" customFormat="1" ht="13.5" x14ac:dyDescent="0.15">
      <c r="A2196" s="45" t="s">
        <v>41</v>
      </c>
      <c r="D2196" s="45" t="s">
        <v>5480</v>
      </c>
    </row>
    <row r="2197" spans="1:4" s="45" customFormat="1" ht="13.5" x14ac:dyDescent="0.15">
      <c r="A2197" s="45" t="s">
        <v>41</v>
      </c>
      <c r="D2197" s="45" t="s">
        <v>1481</v>
      </c>
    </row>
    <row r="2198" spans="1:4" s="45" customFormat="1" ht="13.5" x14ac:dyDescent="0.15">
      <c r="A2198" s="45" t="s">
        <v>41</v>
      </c>
      <c r="D2198" s="45" t="s">
        <v>1464</v>
      </c>
    </row>
    <row r="2199" spans="1:4" s="45" customFormat="1" ht="13.5" x14ac:dyDescent="0.15">
      <c r="A2199" s="45" t="s">
        <v>41</v>
      </c>
      <c r="D2199" s="45" t="s">
        <v>5481</v>
      </c>
    </row>
    <row r="2200" spans="1:4" s="45" customFormat="1" ht="13.5" x14ac:dyDescent="0.15">
      <c r="A2200" s="45" t="s">
        <v>41</v>
      </c>
      <c r="D2200" s="45" t="s">
        <v>1472</v>
      </c>
    </row>
    <row r="2201" spans="1:4" s="45" customFormat="1" ht="13.5" x14ac:dyDescent="0.15">
      <c r="A2201" s="45" t="s">
        <v>41</v>
      </c>
      <c r="D2201" s="45" t="s">
        <v>1474</v>
      </c>
    </row>
    <row r="2202" spans="1:4" s="45" customFormat="1" ht="13.5" x14ac:dyDescent="0.15">
      <c r="A2202" s="45" t="s">
        <v>41</v>
      </c>
      <c r="D2202" s="45" t="s">
        <v>5482</v>
      </c>
    </row>
    <row r="2203" spans="1:4" s="45" customFormat="1" ht="13.5" x14ac:dyDescent="0.15">
      <c r="A2203" s="45" t="s">
        <v>41</v>
      </c>
      <c r="D2203" s="45" t="s">
        <v>1479</v>
      </c>
    </row>
    <row r="2204" spans="1:4" s="45" customFormat="1" ht="13.5" x14ac:dyDescent="0.15">
      <c r="A2204" s="45" t="s">
        <v>41</v>
      </c>
      <c r="D2204" s="45" t="s">
        <v>1478</v>
      </c>
    </row>
    <row r="2205" spans="1:4" s="45" customFormat="1" ht="13.5" x14ac:dyDescent="0.15">
      <c r="A2205" s="45" t="s">
        <v>41</v>
      </c>
      <c r="D2205" s="45" t="s">
        <v>5483</v>
      </c>
    </row>
    <row r="2206" spans="1:4" s="45" customFormat="1" ht="13.5" x14ac:dyDescent="0.15">
      <c r="A2206" s="45" t="s">
        <v>41</v>
      </c>
      <c r="D2206" s="45" t="s">
        <v>5484</v>
      </c>
    </row>
    <row r="2207" spans="1:4" s="45" customFormat="1" ht="13.5" x14ac:dyDescent="0.15">
      <c r="A2207" s="45" t="s">
        <v>41</v>
      </c>
      <c r="D2207" s="45" t="s">
        <v>5485</v>
      </c>
    </row>
    <row r="2208" spans="1:4" s="45" customFormat="1" ht="13.5" x14ac:dyDescent="0.15">
      <c r="A2208" s="45" t="s">
        <v>41</v>
      </c>
      <c r="D2208" s="45" t="s">
        <v>5486</v>
      </c>
    </row>
    <row r="2209" spans="1:4" s="45" customFormat="1" ht="13.5" x14ac:dyDescent="0.15">
      <c r="A2209" s="45" t="s">
        <v>41</v>
      </c>
      <c r="D2209" s="45" t="s">
        <v>1468</v>
      </c>
    </row>
    <row r="2210" spans="1:4" s="45" customFormat="1" ht="13.5" x14ac:dyDescent="0.15">
      <c r="A2210" s="45" t="s">
        <v>41</v>
      </c>
      <c r="D2210" s="45" t="s">
        <v>1475</v>
      </c>
    </row>
    <row r="2211" spans="1:4" s="45" customFormat="1" ht="13.5" x14ac:dyDescent="0.15">
      <c r="A2211" s="45" t="s">
        <v>41</v>
      </c>
      <c r="D2211" s="45" t="s">
        <v>5487</v>
      </c>
    </row>
    <row r="2212" spans="1:4" s="45" customFormat="1" ht="13.5" x14ac:dyDescent="0.15">
      <c r="A2212" s="45" t="s">
        <v>41</v>
      </c>
      <c r="D2212" s="45" t="s">
        <v>5488</v>
      </c>
    </row>
    <row r="2213" spans="1:4" s="45" customFormat="1" ht="13.5" x14ac:dyDescent="0.15">
      <c r="A2213" s="45" t="s">
        <v>41</v>
      </c>
      <c r="D2213" s="45" t="s">
        <v>5489</v>
      </c>
    </row>
    <row r="2214" spans="1:4" s="45" customFormat="1" ht="13.5" x14ac:dyDescent="0.15">
      <c r="A2214" s="45" t="s">
        <v>41</v>
      </c>
      <c r="D2214" s="45" t="s">
        <v>5490</v>
      </c>
    </row>
    <row r="2215" spans="1:4" s="45" customFormat="1" ht="13.5" x14ac:dyDescent="0.15">
      <c r="A2215" s="45" t="s">
        <v>41</v>
      </c>
      <c r="D2215" s="45" t="s">
        <v>1476</v>
      </c>
    </row>
    <row r="2216" spans="1:4" s="45" customFormat="1" ht="13.5" x14ac:dyDescent="0.15">
      <c r="A2216" s="45" t="s">
        <v>41</v>
      </c>
      <c r="D2216" s="45" t="s">
        <v>1477</v>
      </c>
    </row>
    <row r="2217" spans="1:4" s="45" customFormat="1" ht="13.5" x14ac:dyDescent="0.15">
      <c r="A2217" s="45" t="s">
        <v>41</v>
      </c>
      <c r="D2217" s="45" t="s">
        <v>5491</v>
      </c>
    </row>
    <row r="2218" spans="1:4" s="45" customFormat="1" ht="13.5" x14ac:dyDescent="0.15">
      <c r="A2218" s="45" t="s">
        <v>41</v>
      </c>
      <c r="D2218" s="45" t="s">
        <v>5492</v>
      </c>
    </row>
    <row r="2219" spans="1:4" s="45" customFormat="1" ht="13.5" x14ac:dyDescent="0.15">
      <c r="A2219" s="45" t="s">
        <v>41</v>
      </c>
      <c r="D2219" s="45" t="s">
        <v>5493</v>
      </c>
    </row>
    <row r="2220" spans="1:4" s="45" customFormat="1" ht="13.5" x14ac:dyDescent="0.15">
      <c r="A2220" s="45" t="s">
        <v>41</v>
      </c>
      <c r="D2220" s="45" t="s">
        <v>1466</v>
      </c>
    </row>
    <row r="2221" spans="1:4" s="45" customFormat="1" ht="13.5" x14ac:dyDescent="0.15">
      <c r="A2221" s="45" t="s">
        <v>41</v>
      </c>
      <c r="D2221" s="45" t="s">
        <v>5494</v>
      </c>
    </row>
    <row r="2222" spans="1:4" s="45" customFormat="1" ht="13.5" x14ac:dyDescent="0.15">
      <c r="A2222" s="45" t="s">
        <v>41</v>
      </c>
      <c r="D2222" s="45" t="s">
        <v>5495</v>
      </c>
    </row>
    <row r="2223" spans="1:4" s="45" customFormat="1" ht="13.5" x14ac:dyDescent="0.15">
      <c r="A2223" s="45" t="s">
        <v>41</v>
      </c>
      <c r="D2223" s="45" t="s">
        <v>5496</v>
      </c>
    </row>
    <row r="2224" spans="1:4" s="45" customFormat="1" ht="13.5" x14ac:dyDescent="0.15">
      <c r="A2224" s="45" t="s">
        <v>41</v>
      </c>
      <c r="D2224" s="45" t="s">
        <v>5497</v>
      </c>
    </row>
    <row r="2225" spans="1:4" s="45" customFormat="1" ht="13.5" x14ac:dyDescent="0.15">
      <c r="A2225" s="45" t="s">
        <v>41</v>
      </c>
      <c r="D2225" s="45" t="s">
        <v>5498</v>
      </c>
    </row>
    <row r="2226" spans="1:4" s="45" customFormat="1" ht="13.5" x14ac:dyDescent="0.15">
      <c r="A2226" s="45" t="s">
        <v>41</v>
      </c>
      <c r="D2226" s="45" t="s">
        <v>5499</v>
      </c>
    </row>
    <row r="2227" spans="1:4" s="45" customFormat="1" ht="13.5" x14ac:dyDescent="0.15">
      <c r="A2227" s="45" t="s">
        <v>41</v>
      </c>
      <c r="D2227" s="45" t="s">
        <v>502</v>
      </c>
    </row>
    <row r="2228" spans="1:4" s="45" customFormat="1" ht="13.5" x14ac:dyDescent="0.15">
      <c r="A2228" s="45" t="s">
        <v>41</v>
      </c>
      <c r="D2228" s="45" t="s">
        <v>5500</v>
      </c>
    </row>
    <row r="2229" spans="1:4" s="45" customFormat="1" ht="13.5" x14ac:dyDescent="0.15">
      <c r="A2229" s="45" t="s">
        <v>41</v>
      </c>
      <c r="D2229" s="45" t="s">
        <v>504</v>
      </c>
    </row>
    <row r="2230" spans="1:4" s="45" customFormat="1" ht="13.5" x14ac:dyDescent="0.15">
      <c r="A2230" s="45" t="s">
        <v>41</v>
      </c>
      <c r="D2230" s="45" t="s">
        <v>5501</v>
      </c>
    </row>
    <row r="2231" spans="1:4" s="45" customFormat="1" ht="13.5" x14ac:dyDescent="0.15">
      <c r="A2231" s="45" t="s">
        <v>41</v>
      </c>
      <c r="D2231" s="45" t="s">
        <v>5502</v>
      </c>
    </row>
    <row r="2232" spans="1:4" s="45" customFormat="1" ht="13.5" x14ac:dyDescent="0.15">
      <c r="A2232" s="45" t="s">
        <v>41</v>
      </c>
      <c r="D2232" s="45" t="s">
        <v>5503</v>
      </c>
    </row>
    <row r="2233" spans="1:4" s="45" customFormat="1" ht="13.5" x14ac:dyDescent="0.15">
      <c r="A2233" s="45" t="s">
        <v>41</v>
      </c>
      <c r="D2233" s="45" t="s">
        <v>5504</v>
      </c>
    </row>
    <row r="2234" spans="1:4" s="45" customFormat="1" ht="13.5" x14ac:dyDescent="0.15">
      <c r="A2234" s="45" t="s">
        <v>41</v>
      </c>
      <c r="D2234" s="45" t="s">
        <v>506</v>
      </c>
    </row>
    <row r="2235" spans="1:4" s="45" customFormat="1" ht="13.5" x14ac:dyDescent="0.15">
      <c r="A2235" s="45" t="s">
        <v>41</v>
      </c>
      <c r="D2235" s="45" t="s">
        <v>507</v>
      </c>
    </row>
    <row r="2236" spans="1:4" s="45" customFormat="1" ht="13.5" x14ac:dyDescent="0.15">
      <c r="A2236" s="45" t="s">
        <v>41</v>
      </c>
      <c r="D2236" s="45" t="s">
        <v>5505</v>
      </c>
    </row>
    <row r="2237" spans="1:4" s="45" customFormat="1" ht="13.5" x14ac:dyDescent="0.15">
      <c r="A2237" s="45" t="s">
        <v>41</v>
      </c>
      <c r="D2237" s="45" t="s">
        <v>512</v>
      </c>
    </row>
    <row r="2238" spans="1:4" s="45" customFormat="1" ht="13.5" x14ac:dyDescent="0.15">
      <c r="A2238" s="45" t="s">
        <v>41</v>
      </c>
      <c r="D2238" s="45" t="s">
        <v>5506</v>
      </c>
    </row>
    <row r="2239" spans="1:4" s="45" customFormat="1" ht="13.5" x14ac:dyDescent="0.15">
      <c r="A2239" s="45" t="s">
        <v>41</v>
      </c>
      <c r="D2239" s="45" t="s">
        <v>513</v>
      </c>
    </row>
    <row r="2240" spans="1:4" s="45" customFormat="1" ht="13.5" x14ac:dyDescent="0.15">
      <c r="A2240" s="45" t="s">
        <v>41</v>
      </c>
      <c r="D2240" s="45" t="s">
        <v>5507</v>
      </c>
    </row>
    <row r="2241" spans="1:4" s="45" customFormat="1" ht="13.5" x14ac:dyDescent="0.15">
      <c r="A2241" s="45" t="s">
        <v>41</v>
      </c>
      <c r="D2241" s="45" t="s">
        <v>5508</v>
      </c>
    </row>
    <row r="2242" spans="1:4" s="45" customFormat="1" ht="13.5" x14ac:dyDescent="0.15">
      <c r="A2242" s="45" t="s">
        <v>41</v>
      </c>
      <c r="D2242" s="45" t="s">
        <v>503</v>
      </c>
    </row>
    <row r="2243" spans="1:4" s="45" customFormat="1" ht="13.5" x14ac:dyDescent="0.15">
      <c r="A2243" s="45" t="s">
        <v>41</v>
      </c>
      <c r="D2243" s="45" t="s">
        <v>5509</v>
      </c>
    </row>
    <row r="2244" spans="1:4" s="45" customFormat="1" ht="13.5" x14ac:dyDescent="0.15">
      <c r="A2244" s="45" t="s">
        <v>41</v>
      </c>
      <c r="D2244" s="45" t="s">
        <v>5510</v>
      </c>
    </row>
    <row r="2245" spans="1:4" s="45" customFormat="1" ht="13.5" x14ac:dyDescent="0.15">
      <c r="A2245" s="45" t="s">
        <v>41</v>
      </c>
      <c r="D2245" s="45" t="s">
        <v>3795</v>
      </c>
    </row>
    <row r="2246" spans="1:4" s="45" customFormat="1" ht="13.5" x14ac:dyDescent="0.15">
      <c r="A2246" s="45" t="s">
        <v>41</v>
      </c>
      <c r="D2246" s="45" t="s">
        <v>505</v>
      </c>
    </row>
    <row r="2247" spans="1:4" s="45" customFormat="1" ht="13.5" x14ac:dyDescent="0.15">
      <c r="A2247" s="45" t="s">
        <v>41</v>
      </c>
      <c r="D2247" s="45" t="s">
        <v>508</v>
      </c>
    </row>
    <row r="2248" spans="1:4" s="45" customFormat="1" ht="13.5" x14ac:dyDescent="0.15">
      <c r="A2248" s="45" t="s">
        <v>41</v>
      </c>
      <c r="D2248" s="45" t="s">
        <v>5511</v>
      </c>
    </row>
    <row r="2249" spans="1:4" s="45" customFormat="1" ht="13.5" x14ac:dyDescent="0.15">
      <c r="A2249" s="45" t="s">
        <v>41</v>
      </c>
      <c r="D2249" s="45" t="s">
        <v>5512</v>
      </c>
    </row>
    <row r="2250" spans="1:4" s="45" customFormat="1" ht="13.5" x14ac:dyDescent="0.15">
      <c r="A2250" s="45" t="s">
        <v>41</v>
      </c>
      <c r="D2250" s="45" t="s">
        <v>5513</v>
      </c>
    </row>
    <row r="2251" spans="1:4" s="45" customFormat="1" ht="13.5" x14ac:dyDescent="0.15">
      <c r="A2251" s="45" t="s">
        <v>41</v>
      </c>
      <c r="D2251" s="45" t="s">
        <v>5514</v>
      </c>
    </row>
    <row r="2252" spans="1:4" s="45" customFormat="1" ht="13.5" x14ac:dyDescent="0.15">
      <c r="A2252" s="45" t="s">
        <v>41</v>
      </c>
      <c r="D2252" s="45" t="s">
        <v>5515</v>
      </c>
    </row>
    <row r="2253" spans="1:4" s="45" customFormat="1" ht="13.5" x14ac:dyDescent="0.15">
      <c r="A2253" s="45" t="s">
        <v>41</v>
      </c>
      <c r="D2253" s="45" t="s">
        <v>501</v>
      </c>
    </row>
    <row r="2254" spans="1:4" s="45" customFormat="1" ht="13.5" x14ac:dyDescent="0.15">
      <c r="A2254" s="45" t="s">
        <v>41</v>
      </c>
      <c r="D2254" s="45" t="s">
        <v>510</v>
      </c>
    </row>
    <row r="2255" spans="1:4" s="45" customFormat="1" ht="13.5" x14ac:dyDescent="0.15">
      <c r="A2255" s="45" t="s">
        <v>41</v>
      </c>
      <c r="D2255" s="45" t="s">
        <v>5516</v>
      </c>
    </row>
    <row r="2256" spans="1:4" s="45" customFormat="1" ht="13.5" x14ac:dyDescent="0.15">
      <c r="A2256" s="45" t="s">
        <v>41</v>
      </c>
      <c r="D2256" s="45" t="s">
        <v>511</v>
      </c>
    </row>
    <row r="2257" spans="1:4" s="45" customFormat="1" ht="13.5" x14ac:dyDescent="0.15">
      <c r="A2257" s="45" t="s">
        <v>41</v>
      </c>
      <c r="D2257" s="45" t="s">
        <v>5517</v>
      </c>
    </row>
    <row r="2258" spans="1:4" s="45" customFormat="1" ht="13.5" x14ac:dyDescent="0.15">
      <c r="A2258" s="45" t="s">
        <v>41</v>
      </c>
      <c r="D2258" s="45" t="s">
        <v>509</v>
      </c>
    </row>
    <row r="2259" spans="1:4" s="45" customFormat="1" ht="13.5" x14ac:dyDescent="0.15">
      <c r="A2259" s="45" t="s">
        <v>41</v>
      </c>
      <c r="D2259" s="45" t="s">
        <v>5518</v>
      </c>
    </row>
    <row r="2260" spans="1:4" s="45" customFormat="1" ht="13.5" x14ac:dyDescent="0.15">
      <c r="A2260" s="45" t="s">
        <v>41</v>
      </c>
      <c r="D2260" s="45" t="s">
        <v>5519</v>
      </c>
    </row>
    <row r="2261" spans="1:4" s="45" customFormat="1" ht="13.5" x14ac:dyDescent="0.15">
      <c r="A2261" s="45" t="s">
        <v>41</v>
      </c>
      <c r="D2261" s="45" t="s">
        <v>5520</v>
      </c>
    </row>
    <row r="2262" spans="1:4" s="45" customFormat="1" ht="13.5" x14ac:dyDescent="0.15">
      <c r="A2262" s="45" t="s">
        <v>41</v>
      </c>
      <c r="D2262" s="45" t="s">
        <v>5521</v>
      </c>
    </row>
    <row r="2263" spans="1:4" s="45" customFormat="1" ht="13.5" x14ac:dyDescent="0.15">
      <c r="A2263" s="45" t="s">
        <v>41</v>
      </c>
      <c r="D2263" s="45" t="s">
        <v>5522</v>
      </c>
    </row>
    <row r="2264" spans="1:4" s="45" customFormat="1" ht="13.5" x14ac:dyDescent="0.15">
      <c r="A2264" s="45" t="s">
        <v>41</v>
      </c>
      <c r="D2264" s="45" t="s">
        <v>5523</v>
      </c>
    </row>
    <row r="2265" spans="1:4" s="45" customFormat="1" ht="13.5" x14ac:dyDescent="0.15">
      <c r="A2265" s="45" t="s">
        <v>41</v>
      </c>
      <c r="D2265" s="45" t="s">
        <v>5524</v>
      </c>
    </row>
    <row r="2266" spans="1:4" s="45" customFormat="1" ht="13.5" x14ac:dyDescent="0.15">
      <c r="A2266" s="45" t="s">
        <v>41</v>
      </c>
      <c r="D2266" s="45" t="s">
        <v>5525</v>
      </c>
    </row>
    <row r="2267" spans="1:4" s="45" customFormat="1" ht="13.5" x14ac:dyDescent="0.15">
      <c r="A2267" s="45" t="s">
        <v>41</v>
      </c>
      <c r="D2267" s="45" t="s">
        <v>2162</v>
      </c>
    </row>
    <row r="2268" spans="1:4" s="45" customFormat="1" ht="13.5" x14ac:dyDescent="0.15">
      <c r="A2268" s="45" t="s">
        <v>41</v>
      </c>
      <c r="D2268" s="45" t="s">
        <v>5526</v>
      </c>
    </row>
    <row r="2269" spans="1:4" s="45" customFormat="1" ht="13.5" x14ac:dyDescent="0.15">
      <c r="A2269" s="45" t="s">
        <v>41</v>
      </c>
      <c r="D2269" s="45" t="s">
        <v>5527</v>
      </c>
    </row>
    <row r="2270" spans="1:4" s="45" customFormat="1" ht="13.5" x14ac:dyDescent="0.15">
      <c r="A2270" s="45" t="s">
        <v>41</v>
      </c>
      <c r="D2270" s="45" t="s">
        <v>5528</v>
      </c>
    </row>
    <row r="2271" spans="1:4" s="45" customFormat="1" ht="13.5" x14ac:dyDescent="0.15">
      <c r="A2271" s="45" t="s">
        <v>41</v>
      </c>
      <c r="D2271" s="45" t="s">
        <v>5529</v>
      </c>
    </row>
    <row r="2272" spans="1:4" s="45" customFormat="1" ht="13.5" x14ac:dyDescent="0.15">
      <c r="A2272" s="45" t="s">
        <v>41</v>
      </c>
      <c r="D2272" s="45" t="s">
        <v>1213</v>
      </c>
    </row>
    <row r="2273" spans="1:4" s="45" customFormat="1" ht="13.5" x14ac:dyDescent="0.15">
      <c r="A2273" s="45" t="s">
        <v>41</v>
      </c>
      <c r="D2273" s="45" t="s">
        <v>5530</v>
      </c>
    </row>
    <row r="2274" spans="1:4" s="45" customFormat="1" ht="13.5" x14ac:dyDescent="0.15">
      <c r="A2274" s="45" t="s">
        <v>41</v>
      </c>
      <c r="D2274" s="45" t="s">
        <v>5531</v>
      </c>
    </row>
    <row r="2275" spans="1:4" s="45" customFormat="1" ht="13.5" x14ac:dyDescent="0.15">
      <c r="A2275" s="45" t="s">
        <v>41</v>
      </c>
      <c r="D2275" s="45" t="s">
        <v>5532</v>
      </c>
    </row>
    <row r="2276" spans="1:4" s="45" customFormat="1" ht="13.5" x14ac:dyDescent="0.15">
      <c r="A2276" s="45" t="s">
        <v>41</v>
      </c>
      <c r="D2276" s="45" t="s">
        <v>5533</v>
      </c>
    </row>
    <row r="2277" spans="1:4" s="45" customFormat="1" ht="13.5" x14ac:dyDescent="0.15">
      <c r="A2277" s="45" t="s">
        <v>41</v>
      </c>
      <c r="D2277" s="45" t="s">
        <v>5534</v>
      </c>
    </row>
    <row r="2278" spans="1:4" s="45" customFormat="1" ht="13.5" x14ac:dyDescent="0.15">
      <c r="A2278" s="45" t="s">
        <v>41</v>
      </c>
      <c r="D2278" s="45" t="s">
        <v>5535</v>
      </c>
    </row>
    <row r="2279" spans="1:4" s="45" customFormat="1" ht="13.5" x14ac:dyDescent="0.15">
      <c r="A2279" s="45" t="s">
        <v>41</v>
      </c>
      <c r="D2279" s="45" t="s">
        <v>2346</v>
      </c>
    </row>
    <row r="2280" spans="1:4" s="45" customFormat="1" ht="13.5" x14ac:dyDescent="0.15">
      <c r="A2280" s="45" t="s">
        <v>41</v>
      </c>
      <c r="D2280" s="45" t="s">
        <v>5536</v>
      </c>
    </row>
    <row r="2281" spans="1:4" s="45" customFormat="1" ht="13.5" x14ac:dyDescent="0.15">
      <c r="A2281" s="45" t="s">
        <v>41</v>
      </c>
      <c r="D2281" s="45" t="s">
        <v>1085</v>
      </c>
    </row>
    <row r="2282" spans="1:4" s="45" customFormat="1" ht="13.5" x14ac:dyDescent="0.15">
      <c r="A2282" s="45" t="s">
        <v>41</v>
      </c>
      <c r="D2282" s="45" t="s">
        <v>5537</v>
      </c>
    </row>
    <row r="2283" spans="1:4" s="45" customFormat="1" ht="13.5" x14ac:dyDescent="0.15">
      <c r="A2283" s="45" t="s">
        <v>41</v>
      </c>
      <c r="D2283" s="45" t="s">
        <v>5538</v>
      </c>
    </row>
    <row r="2284" spans="1:4" s="45" customFormat="1" ht="13.5" x14ac:dyDescent="0.15">
      <c r="A2284" s="45" t="s">
        <v>41</v>
      </c>
      <c r="D2284" s="45" t="s">
        <v>5539</v>
      </c>
    </row>
    <row r="2285" spans="1:4" s="45" customFormat="1" ht="13.5" x14ac:dyDescent="0.15">
      <c r="A2285" s="45" t="s">
        <v>41</v>
      </c>
      <c r="D2285" s="45" t="s">
        <v>5540</v>
      </c>
    </row>
    <row r="2286" spans="1:4" s="45" customFormat="1" ht="13.5" x14ac:dyDescent="0.15">
      <c r="A2286" s="45" t="s">
        <v>41</v>
      </c>
      <c r="D2286" s="45" t="s">
        <v>5541</v>
      </c>
    </row>
    <row r="2287" spans="1:4" s="45" customFormat="1" ht="13.5" x14ac:dyDescent="0.15">
      <c r="A2287" s="45" t="s">
        <v>41</v>
      </c>
      <c r="D2287" s="45" t="s">
        <v>5542</v>
      </c>
    </row>
    <row r="2288" spans="1:4" s="45" customFormat="1" ht="13.5" x14ac:dyDescent="0.15">
      <c r="A2288" s="45" t="s">
        <v>41</v>
      </c>
      <c r="D2288" s="45" t="s">
        <v>5543</v>
      </c>
    </row>
    <row r="2289" spans="1:4" s="45" customFormat="1" ht="13.5" x14ac:dyDescent="0.15">
      <c r="A2289" s="45" t="s">
        <v>41</v>
      </c>
      <c r="D2289" s="45" t="s">
        <v>5544</v>
      </c>
    </row>
    <row r="2290" spans="1:4" s="45" customFormat="1" ht="13.5" x14ac:dyDescent="0.15">
      <c r="A2290" s="45" t="s">
        <v>41</v>
      </c>
      <c r="D2290" s="45" t="s">
        <v>5545</v>
      </c>
    </row>
    <row r="2291" spans="1:4" s="45" customFormat="1" ht="13.5" x14ac:dyDescent="0.15">
      <c r="A2291" s="45" t="s">
        <v>41</v>
      </c>
      <c r="D2291" s="45" t="s">
        <v>5546</v>
      </c>
    </row>
    <row r="2292" spans="1:4" s="45" customFormat="1" ht="13.5" x14ac:dyDescent="0.15">
      <c r="A2292" s="45" t="s">
        <v>41</v>
      </c>
      <c r="D2292" s="45" t="s">
        <v>5547</v>
      </c>
    </row>
    <row r="2293" spans="1:4" s="45" customFormat="1" ht="13.5" x14ac:dyDescent="0.15">
      <c r="A2293" s="45" t="s">
        <v>41</v>
      </c>
      <c r="D2293" s="45" t="s">
        <v>1174</v>
      </c>
    </row>
    <row r="2294" spans="1:4" s="45" customFormat="1" ht="13.5" x14ac:dyDescent="0.15">
      <c r="A2294" s="45" t="s">
        <v>41</v>
      </c>
      <c r="D2294" s="45" t="s">
        <v>5548</v>
      </c>
    </row>
    <row r="2295" spans="1:4" s="45" customFormat="1" ht="13.5" x14ac:dyDescent="0.15">
      <c r="A2295" s="45" t="s">
        <v>41</v>
      </c>
      <c r="D2295" s="45" t="s">
        <v>5549</v>
      </c>
    </row>
    <row r="2296" spans="1:4" s="45" customFormat="1" ht="13.5" x14ac:dyDescent="0.15">
      <c r="A2296" s="45" t="s">
        <v>41</v>
      </c>
      <c r="D2296" s="45" t="s">
        <v>5550</v>
      </c>
    </row>
    <row r="2297" spans="1:4" s="45" customFormat="1" ht="13.5" x14ac:dyDescent="0.15">
      <c r="A2297" s="45" t="s">
        <v>41</v>
      </c>
      <c r="D2297" s="45" t="s">
        <v>5551</v>
      </c>
    </row>
    <row r="2298" spans="1:4" s="45" customFormat="1" ht="13.5" x14ac:dyDescent="0.15">
      <c r="A2298" s="45" t="s">
        <v>41</v>
      </c>
      <c r="D2298" s="45" t="s">
        <v>5552</v>
      </c>
    </row>
    <row r="2299" spans="1:4" s="45" customFormat="1" ht="13.5" x14ac:dyDescent="0.15">
      <c r="A2299" s="45" t="s">
        <v>41</v>
      </c>
      <c r="D2299" s="45" t="s">
        <v>5553</v>
      </c>
    </row>
    <row r="2300" spans="1:4" s="45" customFormat="1" ht="13.5" x14ac:dyDescent="0.15">
      <c r="A2300" s="45" t="s">
        <v>41</v>
      </c>
      <c r="D2300" s="45" t="s">
        <v>5554</v>
      </c>
    </row>
    <row r="2301" spans="1:4" s="45" customFormat="1" ht="13.5" x14ac:dyDescent="0.15">
      <c r="A2301" s="45" t="s">
        <v>41</v>
      </c>
      <c r="D2301" s="45" t="s">
        <v>5555</v>
      </c>
    </row>
    <row r="2302" spans="1:4" s="45" customFormat="1" ht="13.5" x14ac:dyDescent="0.15">
      <c r="A2302" s="45" t="s">
        <v>41</v>
      </c>
      <c r="D2302" s="45" t="s">
        <v>5556</v>
      </c>
    </row>
    <row r="2303" spans="1:4" s="45" customFormat="1" ht="13.5" x14ac:dyDescent="0.15">
      <c r="A2303" s="45" t="s">
        <v>41</v>
      </c>
      <c r="D2303" s="45" t="s">
        <v>5557</v>
      </c>
    </row>
    <row r="2304" spans="1:4" s="45" customFormat="1" ht="13.5" x14ac:dyDescent="0.15">
      <c r="A2304" s="45" t="s">
        <v>41</v>
      </c>
      <c r="D2304" s="45" t="s">
        <v>2457</v>
      </c>
    </row>
    <row r="2305" spans="1:4" s="45" customFormat="1" ht="13.5" x14ac:dyDescent="0.15">
      <c r="A2305" s="45" t="s">
        <v>41</v>
      </c>
      <c r="D2305" s="45" t="s">
        <v>5558</v>
      </c>
    </row>
    <row r="2306" spans="1:4" s="45" customFormat="1" ht="13.5" x14ac:dyDescent="0.15">
      <c r="A2306" s="45" t="s">
        <v>41</v>
      </c>
      <c r="D2306" s="45" t="s">
        <v>5559</v>
      </c>
    </row>
    <row r="2307" spans="1:4" s="45" customFormat="1" ht="13.5" x14ac:dyDescent="0.15">
      <c r="A2307" s="45" t="s">
        <v>41</v>
      </c>
      <c r="D2307" s="45" t="s">
        <v>5560</v>
      </c>
    </row>
    <row r="2308" spans="1:4" s="45" customFormat="1" ht="13.5" x14ac:dyDescent="0.15">
      <c r="A2308" s="45" t="s">
        <v>41</v>
      </c>
      <c r="D2308" s="45" t="s">
        <v>5561</v>
      </c>
    </row>
    <row r="2309" spans="1:4" s="45" customFormat="1" ht="13.5" x14ac:dyDescent="0.15">
      <c r="A2309" s="45" t="s">
        <v>41</v>
      </c>
      <c r="D2309" s="45" t="s">
        <v>5562</v>
      </c>
    </row>
    <row r="2310" spans="1:4" s="45" customFormat="1" ht="13.5" x14ac:dyDescent="0.15">
      <c r="A2310" s="45" t="s">
        <v>41</v>
      </c>
      <c r="D2310" s="45" t="s">
        <v>5563</v>
      </c>
    </row>
    <row r="2311" spans="1:4" s="45" customFormat="1" ht="13.5" x14ac:dyDescent="0.15">
      <c r="A2311" s="45" t="s">
        <v>41</v>
      </c>
      <c r="D2311" s="45" t="s">
        <v>5564</v>
      </c>
    </row>
    <row r="2312" spans="1:4" s="45" customFormat="1" ht="13.5" x14ac:dyDescent="0.15">
      <c r="A2312" s="45" t="s">
        <v>41</v>
      </c>
      <c r="D2312" s="45" t="s">
        <v>980</v>
      </c>
    </row>
    <row r="2313" spans="1:4" s="45" customFormat="1" ht="13.5" x14ac:dyDescent="0.15">
      <c r="A2313" s="45" t="s">
        <v>41</v>
      </c>
      <c r="D2313" s="45" t="s">
        <v>5565</v>
      </c>
    </row>
    <row r="2314" spans="1:4" s="45" customFormat="1" ht="13.5" x14ac:dyDescent="0.15">
      <c r="A2314" s="45" t="s">
        <v>41</v>
      </c>
      <c r="D2314" s="45" t="s">
        <v>2136</v>
      </c>
    </row>
    <row r="2315" spans="1:4" s="45" customFormat="1" ht="13.5" x14ac:dyDescent="0.15">
      <c r="A2315" s="45" t="s">
        <v>41</v>
      </c>
      <c r="D2315" s="45" t="s">
        <v>2135</v>
      </c>
    </row>
    <row r="2316" spans="1:4" s="45" customFormat="1" ht="13.5" x14ac:dyDescent="0.15">
      <c r="A2316" s="45" t="s">
        <v>41</v>
      </c>
      <c r="D2316" s="45" t="s">
        <v>401</v>
      </c>
    </row>
    <row r="2317" spans="1:4" s="45" customFormat="1" ht="13.5" x14ac:dyDescent="0.15">
      <c r="A2317" s="45" t="s">
        <v>41</v>
      </c>
      <c r="D2317" s="45" t="s">
        <v>5566</v>
      </c>
    </row>
    <row r="2318" spans="1:4" s="45" customFormat="1" ht="13.5" x14ac:dyDescent="0.15">
      <c r="A2318" s="45" t="s">
        <v>41</v>
      </c>
      <c r="D2318" s="45" t="s">
        <v>5567</v>
      </c>
    </row>
    <row r="2319" spans="1:4" s="45" customFormat="1" ht="13.5" x14ac:dyDescent="0.15">
      <c r="A2319" s="45" t="s">
        <v>41</v>
      </c>
      <c r="D2319" s="45" t="s">
        <v>5568</v>
      </c>
    </row>
    <row r="2320" spans="1:4" s="45" customFormat="1" ht="13.5" x14ac:dyDescent="0.15">
      <c r="A2320" s="45" t="s">
        <v>41</v>
      </c>
      <c r="D2320" s="45" t="s">
        <v>399</v>
      </c>
    </row>
    <row r="2321" spans="1:4" s="45" customFormat="1" ht="13.5" x14ac:dyDescent="0.15">
      <c r="A2321" s="45" t="s">
        <v>41</v>
      </c>
      <c r="D2321" s="45" t="s">
        <v>400</v>
      </c>
    </row>
    <row r="2322" spans="1:4" s="45" customFormat="1" ht="13.5" x14ac:dyDescent="0.15">
      <c r="A2322" s="45" t="s">
        <v>41</v>
      </c>
      <c r="D2322" s="45" t="s">
        <v>5569</v>
      </c>
    </row>
    <row r="2323" spans="1:4" s="45" customFormat="1" ht="13.5" x14ac:dyDescent="0.15">
      <c r="A2323" s="45" t="s">
        <v>41</v>
      </c>
      <c r="D2323" s="45" t="s">
        <v>5570</v>
      </c>
    </row>
    <row r="2324" spans="1:4" s="45" customFormat="1" ht="13.5" x14ac:dyDescent="0.15">
      <c r="A2324" s="45" t="s">
        <v>41</v>
      </c>
      <c r="D2324" s="45" t="s">
        <v>5571</v>
      </c>
    </row>
    <row r="2325" spans="1:4" s="45" customFormat="1" ht="13.5" x14ac:dyDescent="0.15">
      <c r="A2325" s="45" t="s">
        <v>41</v>
      </c>
      <c r="D2325" s="45" t="s">
        <v>5572</v>
      </c>
    </row>
    <row r="2326" spans="1:4" s="45" customFormat="1" ht="13.5" x14ac:dyDescent="0.15">
      <c r="A2326" s="45" t="s">
        <v>41</v>
      </c>
      <c r="D2326" s="45" t="s">
        <v>5573</v>
      </c>
    </row>
    <row r="2327" spans="1:4" s="45" customFormat="1" ht="13.5" x14ac:dyDescent="0.15">
      <c r="A2327" s="45" t="s">
        <v>41</v>
      </c>
      <c r="D2327" s="45" t="s">
        <v>5574</v>
      </c>
    </row>
    <row r="2328" spans="1:4" s="45" customFormat="1" ht="13.5" x14ac:dyDescent="0.15">
      <c r="A2328" s="45" t="s">
        <v>41</v>
      </c>
      <c r="D2328" s="45" t="s">
        <v>5575</v>
      </c>
    </row>
    <row r="2329" spans="1:4" s="45" customFormat="1" ht="13.5" x14ac:dyDescent="0.15">
      <c r="A2329" s="45" t="s">
        <v>41</v>
      </c>
      <c r="D2329" s="45" t="s">
        <v>1799</v>
      </c>
    </row>
    <row r="2330" spans="1:4" s="45" customFormat="1" ht="13.5" x14ac:dyDescent="0.15">
      <c r="A2330" s="45" t="s">
        <v>41</v>
      </c>
      <c r="D2330" s="45" t="s">
        <v>5576</v>
      </c>
    </row>
    <row r="2331" spans="1:4" s="45" customFormat="1" ht="13.5" x14ac:dyDescent="0.15">
      <c r="A2331" s="45" t="s">
        <v>41</v>
      </c>
      <c r="D2331" s="45" t="s">
        <v>5577</v>
      </c>
    </row>
    <row r="2332" spans="1:4" s="45" customFormat="1" ht="13.5" x14ac:dyDescent="0.15">
      <c r="A2332" s="45" t="s">
        <v>41</v>
      </c>
      <c r="D2332" s="45" t="s">
        <v>5578</v>
      </c>
    </row>
    <row r="2333" spans="1:4" s="45" customFormat="1" ht="13.5" x14ac:dyDescent="0.15">
      <c r="A2333" s="45" t="s">
        <v>41</v>
      </c>
      <c r="D2333" s="45" t="s">
        <v>5579</v>
      </c>
    </row>
    <row r="2334" spans="1:4" s="45" customFormat="1" ht="13.5" x14ac:dyDescent="0.15">
      <c r="A2334" s="45" t="s">
        <v>41</v>
      </c>
      <c r="D2334" s="45" t="s">
        <v>5580</v>
      </c>
    </row>
    <row r="2335" spans="1:4" s="45" customFormat="1" ht="13.5" x14ac:dyDescent="0.15">
      <c r="A2335" s="45" t="s">
        <v>41</v>
      </c>
      <c r="D2335" s="45" t="s">
        <v>1807</v>
      </c>
    </row>
    <row r="2336" spans="1:4" s="45" customFormat="1" ht="13.5" x14ac:dyDescent="0.15">
      <c r="A2336" s="45" t="s">
        <v>41</v>
      </c>
      <c r="D2336" s="45" t="s">
        <v>5581</v>
      </c>
    </row>
    <row r="2337" spans="1:4" s="45" customFormat="1" ht="13.5" x14ac:dyDescent="0.15">
      <c r="A2337" s="45" t="s">
        <v>41</v>
      </c>
      <c r="D2337" s="45" t="s">
        <v>2541</v>
      </c>
    </row>
    <row r="2338" spans="1:4" s="45" customFormat="1" ht="13.5" x14ac:dyDescent="0.15">
      <c r="A2338" s="45" t="s">
        <v>41</v>
      </c>
      <c r="D2338" s="45" t="s">
        <v>5582</v>
      </c>
    </row>
    <row r="2339" spans="1:4" s="45" customFormat="1" ht="13.5" x14ac:dyDescent="0.15">
      <c r="A2339" s="45" t="s">
        <v>41</v>
      </c>
      <c r="D2339" s="45" t="s">
        <v>5583</v>
      </c>
    </row>
    <row r="2340" spans="1:4" s="45" customFormat="1" ht="13.5" x14ac:dyDescent="0.15">
      <c r="A2340" s="45" t="s">
        <v>41</v>
      </c>
      <c r="D2340" s="45" t="s">
        <v>5584</v>
      </c>
    </row>
    <row r="2341" spans="1:4" s="45" customFormat="1" ht="13.5" x14ac:dyDescent="0.15">
      <c r="A2341" s="45" t="s">
        <v>41</v>
      </c>
      <c r="D2341" s="45" t="s">
        <v>5585</v>
      </c>
    </row>
    <row r="2342" spans="1:4" s="45" customFormat="1" ht="13.5" x14ac:dyDescent="0.15">
      <c r="A2342" s="45" t="s">
        <v>41</v>
      </c>
      <c r="D2342" s="45" t="s">
        <v>5586</v>
      </c>
    </row>
    <row r="2343" spans="1:4" s="45" customFormat="1" ht="13.5" x14ac:dyDescent="0.15">
      <c r="A2343" s="45" t="s">
        <v>41</v>
      </c>
      <c r="D2343" s="45" t="s">
        <v>5587</v>
      </c>
    </row>
    <row r="2344" spans="1:4" s="45" customFormat="1" ht="13.5" x14ac:dyDescent="0.15">
      <c r="A2344" s="45" t="s">
        <v>41</v>
      </c>
      <c r="D2344" s="45" t="s">
        <v>5588</v>
      </c>
    </row>
    <row r="2345" spans="1:4" s="45" customFormat="1" ht="13.5" x14ac:dyDescent="0.15">
      <c r="A2345" s="45" t="s">
        <v>41</v>
      </c>
      <c r="D2345" s="45" t="s">
        <v>5589</v>
      </c>
    </row>
    <row r="2346" spans="1:4" s="45" customFormat="1" ht="13.5" x14ac:dyDescent="0.15">
      <c r="A2346" s="45" t="s">
        <v>41</v>
      </c>
      <c r="D2346" s="45" t="s">
        <v>5590</v>
      </c>
    </row>
    <row r="2347" spans="1:4" s="45" customFormat="1" ht="13.5" x14ac:dyDescent="0.15">
      <c r="A2347" s="45" t="s">
        <v>41</v>
      </c>
      <c r="D2347" s="45" t="s">
        <v>5591</v>
      </c>
    </row>
    <row r="2348" spans="1:4" s="45" customFormat="1" ht="13.5" x14ac:dyDescent="0.15">
      <c r="A2348" s="45" t="s">
        <v>41</v>
      </c>
      <c r="D2348" s="45" t="s">
        <v>5592</v>
      </c>
    </row>
    <row r="2349" spans="1:4" s="45" customFormat="1" ht="13.5" x14ac:dyDescent="0.15">
      <c r="A2349" s="45" t="s">
        <v>41</v>
      </c>
      <c r="D2349" s="45" t="s">
        <v>5593</v>
      </c>
    </row>
    <row r="2350" spans="1:4" s="45" customFormat="1" ht="13.5" x14ac:dyDescent="0.15">
      <c r="A2350" s="45" t="s">
        <v>41</v>
      </c>
      <c r="D2350" s="45" t="s">
        <v>5594</v>
      </c>
    </row>
    <row r="2351" spans="1:4" s="45" customFormat="1" ht="13.5" x14ac:dyDescent="0.15">
      <c r="A2351" s="45" t="s">
        <v>41</v>
      </c>
      <c r="D2351" s="45" t="s">
        <v>5595</v>
      </c>
    </row>
    <row r="2352" spans="1:4" s="45" customFormat="1" ht="13.5" x14ac:dyDescent="0.15">
      <c r="A2352" s="45" t="s">
        <v>41</v>
      </c>
      <c r="D2352" s="45" t="s">
        <v>849</v>
      </c>
    </row>
    <row r="2353" spans="1:4" s="45" customFormat="1" ht="13.5" x14ac:dyDescent="0.15">
      <c r="A2353" s="45" t="s">
        <v>41</v>
      </c>
      <c r="D2353" s="45" t="s">
        <v>5596</v>
      </c>
    </row>
    <row r="2354" spans="1:4" s="45" customFormat="1" ht="13.5" x14ac:dyDescent="0.15">
      <c r="A2354" s="45" t="s">
        <v>41</v>
      </c>
      <c r="D2354" s="45" t="s">
        <v>850</v>
      </c>
    </row>
    <row r="2355" spans="1:4" s="45" customFormat="1" ht="13.5" x14ac:dyDescent="0.15">
      <c r="A2355" s="45" t="s">
        <v>41</v>
      </c>
      <c r="D2355" s="45" t="s">
        <v>848</v>
      </c>
    </row>
    <row r="2356" spans="1:4" s="45" customFormat="1" ht="13.5" x14ac:dyDescent="0.15">
      <c r="A2356" s="45" t="s">
        <v>41</v>
      </c>
      <c r="D2356" s="45" t="s">
        <v>5597</v>
      </c>
    </row>
    <row r="2357" spans="1:4" s="45" customFormat="1" ht="13.5" x14ac:dyDescent="0.15">
      <c r="A2357" s="45" t="s">
        <v>41</v>
      </c>
      <c r="D2357" s="45" t="s">
        <v>5598</v>
      </c>
    </row>
    <row r="2358" spans="1:4" s="45" customFormat="1" ht="13.5" x14ac:dyDescent="0.15">
      <c r="A2358" s="45" t="s">
        <v>41</v>
      </c>
      <c r="D2358" s="45" t="s">
        <v>5599</v>
      </c>
    </row>
    <row r="2359" spans="1:4" s="45" customFormat="1" ht="13.5" x14ac:dyDescent="0.15">
      <c r="A2359" s="45" t="s">
        <v>41</v>
      </c>
      <c r="D2359" s="45" t="s">
        <v>5600</v>
      </c>
    </row>
    <row r="2360" spans="1:4" s="45" customFormat="1" ht="13.5" x14ac:dyDescent="0.15">
      <c r="A2360" s="45" t="s">
        <v>41</v>
      </c>
      <c r="D2360" s="45" t="s">
        <v>5601</v>
      </c>
    </row>
    <row r="2361" spans="1:4" s="45" customFormat="1" ht="13.5" x14ac:dyDescent="0.15">
      <c r="A2361" s="45" t="s">
        <v>41</v>
      </c>
      <c r="D2361" s="45" t="s">
        <v>2454</v>
      </c>
    </row>
    <row r="2362" spans="1:4" s="45" customFormat="1" ht="13.5" x14ac:dyDescent="0.15">
      <c r="A2362" s="45" t="s">
        <v>41</v>
      </c>
      <c r="D2362" s="45" t="s">
        <v>2455</v>
      </c>
    </row>
    <row r="2363" spans="1:4" s="45" customFormat="1" ht="13.5" x14ac:dyDescent="0.15">
      <c r="A2363" s="45" t="s">
        <v>41</v>
      </c>
      <c r="D2363" s="45" t="s">
        <v>5602</v>
      </c>
    </row>
    <row r="2364" spans="1:4" s="45" customFormat="1" ht="13.5" x14ac:dyDescent="0.15">
      <c r="A2364" s="45" t="s">
        <v>41</v>
      </c>
      <c r="D2364" s="45" t="s">
        <v>5603</v>
      </c>
    </row>
    <row r="2365" spans="1:4" s="45" customFormat="1" ht="13.5" x14ac:dyDescent="0.15">
      <c r="A2365" s="45" t="s">
        <v>41</v>
      </c>
      <c r="D2365" s="45" t="s">
        <v>5604</v>
      </c>
    </row>
    <row r="2366" spans="1:4" s="45" customFormat="1" ht="13.5" x14ac:dyDescent="0.15">
      <c r="A2366" s="45" t="s">
        <v>41</v>
      </c>
      <c r="D2366" s="45" t="s">
        <v>5605</v>
      </c>
    </row>
    <row r="2367" spans="1:4" s="45" customFormat="1" ht="13.5" x14ac:dyDescent="0.15">
      <c r="A2367" s="45" t="s">
        <v>41</v>
      </c>
      <c r="D2367" s="45" t="s">
        <v>5606</v>
      </c>
    </row>
    <row r="2368" spans="1:4" s="45" customFormat="1" ht="13.5" x14ac:dyDescent="0.15">
      <c r="A2368" s="45" t="s">
        <v>41</v>
      </c>
      <c r="D2368" s="45" t="s">
        <v>2129</v>
      </c>
    </row>
    <row r="2369" spans="1:4" s="45" customFormat="1" ht="13.5" x14ac:dyDescent="0.15">
      <c r="A2369" s="45" t="s">
        <v>41</v>
      </c>
      <c r="D2369" s="45" t="s">
        <v>5607</v>
      </c>
    </row>
    <row r="2370" spans="1:4" s="45" customFormat="1" ht="13.5" x14ac:dyDescent="0.15">
      <c r="A2370" s="45" t="s">
        <v>41</v>
      </c>
      <c r="D2370" s="45" t="s">
        <v>5608</v>
      </c>
    </row>
    <row r="2371" spans="1:4" s="45" customFormat="1" ht="13.5" x14ac:dyDescent="0.15">
      <c r="A2371" s="45" t="s">
        <v>41</v>
      </c>
      <c r="D2371" s="45" t="s">
        <v>5609</v>
      </c>
    </row>
    <row r="2372" spans="1:4" s="45" customFormat="1" ht="13.5" x14ac:dyDescent="0.15">
      <c r="A2372" s="45" t="s">
        <v>41</v>
      </c>
      <c r="D2372" s="45" t="s">
        <v>5610</v>
      </c>
    </row>
    <row r="2373" spans="1:4" s="45" customFormat="1" ht="13.5" x14ac:dyDescent="0.15">
      <c r="A2373" s="45" t="s">
        <v>41</v>
      </c>
      <c r="D2373" s="45" t="s">
        <v>2470</v>
      </c>
    </row>
    <row r="2374" spans="1:4" s="45" customFormat="1" ht="13.5" x14ac:dyDescent="0.15">
      <c r="A2374" s="45" t="s">
        <v>41</v>
      </c>
      <c r="D2374" s="45" t="s">
        <v>2471</v>
      </c>
    </row>
    <row r="2375" spans="1:4" s="45" customFormat="1" ht="13.5" x14ac:dyDescent="0.15">
      <c r="A2375" s="45" t="s">
        <v>41</v>
      </c>
      <c r="D2375" s="45" t="s">
        <v>5611</v>
      </c>
    </row>
    <row r="2376" spans="1:4" s="45" customFormat="1" ht="13.5" x14ac:dyDescent="0.15">
      <c r="A2376" s="45" t="s">
        <v>41</v>
      </c>
      <c r="D2376" s="45" t="s">
        <v>261</v>
      </c>
    </row>
    <row r="2377" spans="1:4" s="45" customFormat="1" ht="13.5" x14ac:dyDescent="0.15">
      <c r="A2377" s="45" t="s">
        <v>41</v>
      </c>
      <c r="D2377" s="45" t="s">
        <v>5612</v>
      </c>
    </row>
    <row r="2378" spans="1:4" s="45" customFormat="1" ht="13.5" x14ac:dyDescent="0.15">
      <c r="A2378" s="45" t="s">
        <v>41</v>
      </c>
      <c r="D2378" s="45" t="s">
        <v>260</v>
      </c>
    </row>
    <row r="2379" spans="1:4" s="45" customFormat="1" ht="13.5" x14ac:dyDescent="0.15">
      <c r="A2379" s="45" t="s">
        <v>41</v>
      </c>
      <c r="D2379" s="45" t="s">
        <v>5613</v>
      </c>
    </row>
    <row r="2380" spans="1:4" s="45" customFormat="1" ht="13.5" x14ac:dyDescent="0.15">
      <c r="A2380" s="45" t="s">
        <v>41</v>
      </c>
      <c r="D2380" s="45" t="s">
        <v>262</v>
      </c>
    </row>
    <row r="2381" spans="1:4" s="45" customFormat="1" ht="13.5" x14ac:dyDescent="0.15">
      <c r="A2381" s="45" t="s">
        <v>41</v>
      </c>
      <c r="D2381" s="45" t="s">
        <v>5614</v>
      </c>
    </row>
    <row r="2382" spans="1:4" s="45" customFormat="1" ht="13.5" x14ac:dyDescent="0.15">
      <c r="A2382" s="45" t="s">
        <v>41</v>
      </c>
      <c r="D2382" s="45" t="s">
        <v>5615</v>
      </c>
    </row>
    <row r="2383" spans="1:4" s="45" customFormat="1" ht="13.5" x14ac:dyDescent="0.15">
      <c r="A2383" s="45" t="s">
        <v>41</v>
      </c>
      <c r="D2383" s="45" t="s">
        <v>753</v>
      </c>
    </row>
    <row r="2384" spans="1:4" s="45" customFormat="1" ht="13.5" x14ac:dyDescent="0.15">
      <c r="A2384" s="45" t="s">
        <v>41</v>
      </c>
      <c r="D2384" s="45" t="s">
        <v>5616</v>
      </c>
    </row>
    <row r="2385" spans="1:4" s="45" customFormat="1" ht="13.5" x14ac:dyDescent="0.15">
      <c r="A2385" s="45" t="s">
        <v>41</v>
      </c>
      <c r="D2385" s="45" t="s">
        <v>5617</v>
      </c>
    </row>
    <row r="2386" spans="1:4" s="45" customFormat="1" ht="13.5" x14ac:dyDescent="0.15">
      <c r="A2386" s="45" t="s">
        <v>41</v>
      </c>
      <c r="D2386" s="45" t="s">
        <v>5618</v>
      </c>
    </row>
    <row r="2387" spans="1:4" s="45" customFormat="1" ht="13.5" x14ac:dyDescent="0.15">
      <c r="A2387" s="45" t="s">
        <v>41</v>
      </c>
      <c r="D2387" s="45" t="s">
        <v>5619</v>
      </c>
    </row>
    <row r="2388" spans="1:4" s="45" customFormat="1" ht="13.5" x14ac:dyDescent="0.15">
      <c r="A2388" s="45" t="s">
        <v>41</v>
      </c>
      <c r="D2388" s="45" t="s">
        <v>5620</v>
      </c>
    </row>
    <row r="2389" spans="1:4" s="45" customFormat="1" ht="13.5" x14ac:dyDescent="0.15">
      <c r="A2389" s="45" t="s">
        <v>41</v>
      </c>
      <c r="D2389" s="45" t="s">
        <v>5621</v>
      </c>
    </row>
    <row r="2390" spans="1:4" s="45" customFormat="1" ht="13.5" x14ac:dyDescent="0.15">
      <c r="A2390" s="45" t="s">
        <v>41</v>
      </c>
      <c r="D2390" s="45" t="s">
        <v>5622</v>
      </c>
    </row>
    <row r="2391" spans="1:4" s="45" customFormat="1" ht="13.5" x14ac:dyDescent="0.15">
      <c r="A2391" s="45" t="s">
        <v>41</v>
      </c>
      <c r="D2391" s="45" t="s">
        <v>5623</v>
      </c>
    </row>
    <row r="2392" spans="1:4" s="45" customFormat="1" ht="13.5" x14ac:dyDescent="0.15">
      <c r="A2392" s="45" t="s">
        <v>41</v>
      </c>
      <c r="D2392" s="45" t="s">
        <v>5624</v>
      </c>
    </row>
    <row r="2393" spans="1:4" s="45" customFormat="1" ht="13.5" x14ac:dyDescent="0.15">
      <c r="A2393" s="45" t="s">
        <v>41</v>
      </c>
      <c r="D2393" s="45" t="s">
        <v>5625</v>
      </c>
    </row>
    <row r="2394" spans="1:4" s="45" customFormat="1" ht="13.5" x14ac:dyDescent="0.15">
      <c r="A2394" s="45" t="s">
        <v>41</v>
      </c>
      <c r="D2394" s="45" t="s">
        <v>5626</v>
      </c>
    </row>
    <row r="2395" spans="1:4" s="45" customFormat="1" ht="13.5" x14ac:dyDescent="0.15">
      <c r="A2395" s="45" t="s">
        <v>41</v>
      </c>
      <c r="D2395" s="45" t="s">
        <v>5627</v>
      </c>
    </row>
    <row r="2396" spans="1:4" s="45" customFormat="1" ht="13.5" x14ac:dyDescent="0.15">
      <c r="A2396" s="45" t="s">
        <v>41</v>
      </c>
      <c r="D2396" s="45" t="s">
        <v>5628</v>
      </c>
    </row>
    <row r="2397" spans="1:4" s="45" customFormat="1" ht="13.5" x14ac:dyDescent="0.15">
      <c r="A2397" s="45" t="s">
        <v>41</v>
      </c>
      <c r="D2397" s="45" t="s">
        <v>1819</v>
      </c>
    </row>
    <row r="2398" spans="1:4" s="45" customFormat="1" ht="13.5" x14ac:dyDescent="0.15">
      <c r="A2398" s="45" t="s">
        <v>41</v>
      </c>
      <c r="D2398" s="45" t="s">
        <v>5629</v>
      </c>
    </row>
    <row r="2399" spans="1:4" s="45" customFormat="1" ht="13.5" x14ac:dyDescent="0.15">
      <c r="A2399" s="45" t="s">
        <v>41</v>
      </c>
      <c r="D2399" s="45" t="s">
        <v>5630</v>
      </c>
    </row>
    <row r="2400" spans="1:4" s="45" customFormat="1" ht="13.5" x14ac:dyDescent="0.15">
      <c r="A2400" s="45" t="s">
        <v>41</v>
      </c>
      <c r="D2400" s="45" t="s">
        <v>2069</v>
      </c>
    </row>
    <row r="2401" spans="1:4" s="45" customFormat="1" ht="13.5" x14ac:dyDescent="0.15">
      <c r="A2401" s="45" t="s">
        <v>41</v>
      </c>
      <c r="D2401" s="45" t="s">
        <v>1188</v>
      </c>
    </row>
    <row r="2402" spans="1:4" s="45" customFormat="1" ht="13.5" x14ac:dyDescent="0.15">
      <c r="A2402" s="45" t="s">
        <v>41</v>
      </c>
      <c r="D2402" s="45" t="s">
        <v>5631</v>
      </c>
    </row>
    <row r="2403" spans="1:4" s="45" customFormat="1" ht="13.5" x14ac:dyDescent="0.15">
      <c r="A2403" s="45" t="s">
        <v>41</v>
      </c>
      <c r="D2403" s="45" t="s">
        <v>5632</v>
      </c>
    </row>
    <row r="2404" spans="1:4" s="45" customFormat="1" ht="13.5" x14ac:dyDescent="0.15">
      <c r="A2404" s="45" t="s">
        <v>41</v>
      </c>
      <c r="D2404" s="45" t="s">
        <v>5633</v>
      </c>
    </row>
    <row r="2405" spans="1:4" s="45" customFormat="1" ht="13.5" x14ac:dyDescent="0.15">
      <c r="A2405" s="45" t="s">
        <v>41</v>
      </c>
      <c r="D2405" s="45" t="s">
        <v>5634</v>
      </c>
    </row>
    <row r="2406" spans="1:4" s="45" customFormat="1" ht="13.5" x14ac:dyDescent="0.15">
      <c r="A2406" s="45" t="s">
        <v>41</v>
      </c>
      <c r="D2406" s="45" t="s">
        <v>5635</v>
      </c>
    </row>
    <row r="2407" spans="1:4" s="45" customFormat="1" ht="13.5" x14ac:dyDescent="0.15">
      <c r="A2407" s="45" t="s">
        <v>41</v>
      </c>
      <c r="D2407" s="45" t="s">
        <v>5636</v>
      </c>
    </row>
    <row r="2408" spans="1:4" s="45" customFormat="1" ht="13.5" x14ac:dyDescent="0.15">
      <c r="A2408" s="45" t="s">
        <v>41</v>
      </c>
      <c r="D2408" s="45" t="s">
        <v>5637</v>
      </c>
    </row>
    <row r="2409" spans="1:4" s="45" customFormat="1" ht="13.5" x14ac:dyDescent="0.15">
      <c r="A2409" s="45" t="s">
        <v>41</v>
      </c>
      <c r="D2409" s="45" t="s">
        <v>5638</v>
      </c>
    </row>
    <row r="2410" spans="1:4" s="45" customFormat="1" ht="13.5" x14ac:dyDescent="0.15">
      <c r="A2410" s="45" t="s">
        <v>41</v>
      </c>
      <c r="D2410" s="45" t="s">
        <v>5639</v>
      </c>
    </row>
    <row r="2411" spans="1:4" s="45" customFormat="1" ht="13.5" x14ac:dyDescent="0.15">
      <c r="A2411" s="45" t="s">
        <v>41</v>
      </c>
      <c r="D2411" s="45" t="s">
        <v>5640</v>
      </c>
    </row>
    <row r="2412" spans="1:4" s="45" customFormat="1" ht="13.5" x14ac:dyDescent="0.15">
      <c r="A2412" s="45" t="s">
        <v>41</v>
      </c>
      <c r="D2412" s="45" t="s">
        <v>5641</v>
      </c>
    </row>
    <row r="2413" spans="1:4" s="45" customFormat="1" ht="13.5" x14ac:dyDescent="0.15">
      <c r="A2413" s="45" t="s">
        <v>41</v>
      </c>
      <c r="D2413" s="45" t="s">
        <v>5642</v>
      </c>
    </row>
    <row r="2414" spans="1:4" s="45" customFormat="1" ht="13.5" x14ac:dyDescent="0.15">
      <c r="A2414" s="45" t="s">
        <v>41</v>
      </c>
      <c r="D2414" s="45" t="s">
        <v>5643</v>
      </c>
    </row>
    <row r="2415" spans="1:4" s="45" customFormat="1" ht="13.5" x14ac:dyDescent="0.15">
      <c r="A2415" s="45" t="s">
        <v>41</v>
      </c>
      <c r="D2415" s="45" t="s">
        <v>5644</v>
      </c>
    </row>
    <row r="2416" spans="1:4" s="45" customFormat="1" ht="13.5" x14ac:dyDescent="0.15">
      <c r="A2416" s="45" t="s">
        <v>41</v>
      </c>
      <c r="D2416" s="45" t="s">
        <v>5645</v>
      </c>
    </row>
    <row r="2417" spans="1:4" s="45" customFormat="1" ht="13.5" x14ac:dyDescent="0.15">
      <c r="A2417" s="45" t="s">
        <v>41</v>
      </c>
      <c r="D2417" s="45" t="s">
        <v>5646</v>
      </c>
    </row>
    <row r="2418" spans="1:4" s="45" customFormat="1" ht="13.5" x14ac:dyDescent="0.15">
      <c r="A2418" s="45" t="s">
        <v>41</v>
      </c>
      <c r="D2418" s="45" t="s">
        <v>314</v>
      </c>
    </row>
    <row r="2419" spans="1:4" s="45" customFormat="1" ht="13.5" x14ac:dyDescent="0.15">
      <c r="A2419" s="45" t="s">
        <v>41</v>
      </c>
      <c r="D2419" s="45" t="s">
        <v>5647</v>
      </c>
    </row>
    <row r="2420" spans="1:4" s="45" customFormat="1" ht="13.5" x14ac:dyDescent="0.15">
      <c r="A2420" s="45" t="s">
        <v>41</v>
      </c>
      <c r="D2420" s="45" t="s">
        <v>5648</v>
      </c>
    </row>
    <row r="2421" spans="1:4" s="45" customFormat="1" ht="13.5" x14ac:dyDescent="0.15">
      <c r="A2421" s="45" t="s">
        <v>41</v>
      </c>
      <c r="D2421" s="45" t="s">
        <v>312</v>
      </c>
    </row>
    <row r="2422" spans="1:4" s="45" customFormat="1" ht="13.5" x14ac:dyDescent="0.15">
      <c r="A2422" s="45" t="s">
        <v>41</v>
      </c>
      <c r="D2422" s="45" t="s">
        <v>313</v>
      </c>
    </row>
    <row r="2423" spans="1:4" s="45" customFormat="1" ht="13.5" x14ac:dyDescent="0.15">
      <c r="A2423" s="45" t="s">
        <v>41</v>
      </c>
      <c r="D2423" s="45" t="s">
        <v>845</v>
      </c>
    </row>
    <row r="2424" spans="1:4" s="45" customFormat="1" ht="13.5" x14ac:dyDescent="0.15">
      <c r="A2424" s="45" t="s">
        <v>41</v>
      </c>
      <c r="D2424" s="45" t="s">
        <v>5649</v>
      </c>
    </row>
    <row r="2425" spans="1:4" s="45" customFormat="1" ht="13.5" x14ac:dyDescent="0.15">
      <c r="A2425" s="45" t="s">
        <v>41</v>
      </c>
      <c r="D2425" s="45" t="s">
        <v>5650</v>
      </c>
    </row>
    <row r="2426" spans="1:4" s="45" customFormat="1" ht="13.5" x14ac:dyDescent="0.15">
      <c r="A2426" s="45" t="s">
        <v>41</v>
      </c>
      <c r="D2426" s="45" t="s">
        <v>5651</v>
      </c>
    </row>
    <row r="2427" spans="1:4" s="45" customFormat="1" ht="13.5" x14ac:dyDescent="0.15">
      <c r="A2427" s="45" t="s">
        <v>41</v>
      </c>
      <c r="D2427" s="45" t="s">
        <v>2187</v>
      </c>
    </row>
    <row r="2428" spans="1:4" s="45" customFormat="1" ht="13.5" x14ac:dyDescent="0.15">
      <c r="A2428" s="45" t="s">
        <v>41</v>
      </c>
      <c r="D2428" s="45" t="s">
        <v>926</v>
      </c>
    </row>
    <row r="2429" spans="1:4" s="45" customFormat="1" ht="13.5" x14ac:dyDescent="0.15">
      <c r="A2429" s="45" t="s">
        <v>41</v>
      </c>
      <c r="D2429" s="45" t="s">
        <v>5652</v>
      </c>
    </row>
    <row r="2430" spans="1:4" s="45" customFormat="1" ht="13.5" x14ac:dyDescent="0.15">
      <c r="A2430" s="45" t="s">
        <v>41</v>
      </c>
      <c r="D2430" s="45" t="s">
        <v>5653</v>
      </c>
    </row>
    <row r="2431" spans="1:4" s="45" customFormat="1" ht="13.5" x14ac:dyDescent="0.15">
      <c r="A2431" s="45" t="s">
        <v>41</v>
      </c>
      <c r="D2431" s="45" t="s">
        <v>5654</v>
      </c>
    </row>
    <row r="2432" spans="1:4" s="45" customFormat="1" ht="13.5" x14ac:dyDescent="0.15">
      <c r="A2432" s="45" t="s">
        <v>41</v>
      </c>
      <c r="D2432" s="45" t="s">
        <v>5655</v>
      </c>
    </row>
    <row r="2433" spans="1:4" s="45" customFormat="1" ht="13.5" x14ac:dyDescent="0.15">
      <c r="A2433" s="45" t="s">
        <v>41</v>
      </c>
      <c r="D2433" s="45" t="s">
        <v>927</v>
      </c>
    </row>
    <row r="2434" spans="1:4" s="45" customFormat="1" ht="13.5" x14ac:dyDescent="0.15">
      <c r="A2434" s="45" t="s">
        <v>41</v>
      </c>
      <c r="D2434" s="45" t="s">
        <v>5656</v>
      </c>
    </row>
    <row r="2435" spans="1:4" s="45" customFormat="1" ht="13.5" x14ac:dyDescent="0.15">
      <c r="A2435" s="45" t="s">
        <v>41</v>
      </c>
      <c r="D2435" s="45" t="s">
        <v>5657</v>
      </c>
    </row>
    <row r="2436" spans="1:4" s="45" customFormat="1" ht="13.5" x14ac:dyDescent="0.15">
      <c r="A2436" s="45" t="s">
        <v>41</v>
      </c>
      <c r="D2436" s="45" t="s">
        <v>928</v>
      </c>
    </row>
    <row r="2437" spans="1:4" s="45" customFormat="1" ht="13.5" x14ac:dyDescent="0.15">
      <c r="A2437" s="45" t="s">
        <v>41</v>
      </c>
      <c r="D2437" s="45" t="s">
        <v>959</v>
      </c>
    </row>
    <row r="2438" spans="1:4" s="45" customFormat="1" ht="13.5" x14ac:dyDescent="0.15">
      <c r="A2438" s="45" t="s">
        <v>41</v>
      </c>
      <c r="D2438" s="45" t="s">
        <v>5658</v>
      </c>
    </row>
    <row r="2439" spans="1:4" s="45" customFormat="1" ht="13.5" x14ac:dyDescent="0.15">
      <c r="A2439" s="45" t="s">
        <v>41</v>
      </c>
      <c r="D2439" s="45" t="s">
        <v>939</v>
      </c>
    </row>
    <row r="2440" spans="1:4" s="45" customFormat="1" ht="13.5" x14ac:dyDescent="0.15">
      <c r="A2440" s="45" t="s">
        <v>41</v>
      </c>
      <c r="D2440" s="45" t="s">
        <v>5659</v>
      </c>
    </row>
    <row r="2441" spans="1:4" s="45" customFormat="1" ht="13.5" x14ac:dyDescent="0.15">
      <c r="A2441" s="45" t="s">
        <v>41</v>
      </c>
      <c r="D2441" s="45" t="s">
        <v>950</v>
      </c>
    </row>
    <row r="2442" spans="1:4" s="45" customFormat="1" ht="13.5" x14ac:dyDescent="0.15">
      <c r="A2442" s="45" t="s">
        <v>41</v>
      </c>
      <c r="D2442" s="45" t="s">
        <v>954</v>
      </c>
    </row>
    <row r="2443" spans="1:4" s="45" customFormat="1" ht="13.5" x14ac:dyDescent="0.15">
      <c r="A2443" s="45" t="s">
        <v>41</v>
      </c>
      <c r="D2443" s="45" t="s">
        <v>5660</v>
      </c>
    </row>
    <row r="2444" spans="1:4" s="45" customFormat="1" ht="13.5" x14ac:dyDescent="0.15">
      <c r="A2444" s="45" t="s">
        <v>41</v>
      </c>
      <c r="D2444" s="45" t="s">
        <v>962</v>
      </c>
    </row>
    <row r="2445" spans="1:4" s="45" customFormat="1" ht="13.5" x14ac:dyDescent="0.15">
      <c r="A2445" s="45" t="s">
        <v>41</v>
      </c>
      <c r="D2445" s="45" t="s">
        <v>941</v>
      </c>
    </row>
    <row r="2446" spans="1:4" s="45" customFormat="1" ht="13.5" x14ac:dyDescent="0.15">
      <c r="A2446" s="45" t="s">
        <v>41</v>
      </c>
      <c r="D2446" s="45" t="s">
        <v>940</v>
      </c>
    </row>
    <row r="2447" spans="1:4" s="45" customFormat="1" ht="13.5" x14ac:dyDescent="0.15">
      <c r="A2447" s="45" t="s">
        <v>41</v>
      </c>
      <c r="D2447" s="45" t="s">
        <v>953</v>
      </c>
    </row>
    <row r="2448" spans="1:4" s="45" customFormat="1" ht="13.5" x14ac:dyDescent="0.15">
      <c r="A2448" s="45" t="s">
        <v>41</v>
      </c>
      <c r="D2448" s="45" t="s">
        <v>955</v>
      </c>
    </row>
    <row r="2449" spans="1:4" s="45" customFormat="1" ht="13.5" x14ac:dyDescent="0.15">
      <c r="A2449" s="45" t="s">
        <v>41</v>
      </c>
      <c r="D2449" s="45" t="s">
        <v>5661</v>
      </c>
    </row>
    <row r="2450" spans="1:4" s="45" customFormat="1" ht="13.5" x14ac:dyDescent="0.15">
      <c r="A2450" s="45" t="s">
        <v>41</v>
      </c>
      <c r="D2450" s="45" t="s">
        <v>5662</v>
      </c>
    </row>
    <row r="2451" spans="1:4" s="45" customFormat="1" ht="13.5" x14ac:dyDescent="0.15">
      <c r="A2451" s="45" t="s">
        <v>41</v>
      </c>
      <c r="D2451" s="45" t="s">
        <v>949</v>
      </c>
    </row>
    <row r="2452" spans="1:4" s="45" customFormat="1" ht="13.5" x14ac:dyDescent="0.15">
      <c r="A2452" s="45" t="s">
        <v>41</v>
      </c>
      <c r="D2452" s="45" t="s">
        <v>933</v>
      </c>
    </row>
    <row r="2453" spans="1:4" s="45" customFormat="1" ht="13.5" x14ac:dyDescent="0.15">
      <c r="A2453" s="45" t="s">
        <v>41</v>
      </c>
      <c r="D2453" s="45" t="s">
        <v>5663</v>
      </c>
    </row>
    <row r="2454" spans="1:4" s="45" customFormat="1" ht="13.5" x14ac:dyDescent="0.15">
      <c r="A2454" s="45" t="s">
        <v>41</v>
      </c>
      <c r="D2454" s="45" t="s">
        <v>5664</v>
      </c>
    </row>
    <row r="2455" spans="1:4" s="45" customFormat="1" ht="13.5" x14ac:dyDescent="0.15">
      <c r="A2455" s="45" t="s">
        <v>41</v>
      </c>
      <c r="D2455" s="45" t="s">
        <v>934</v>
      </c>
    </row>
    <row r="2456" spans="1:4" s="45" customFormat="1" ht="13.5" x14ac:dyDescent="0.15">
      <c r="A2456" s="45" t="s">
        <v>41</v>
      </c>
      <c r="D2456" s="45" t="s">
        <v>935</v>
      </c>
    </row>
    <row r="2457" spans="1:4" s="45" customFormat="1" ht="13.5" x14ac:dyDescent="0.15">
      <c r="A2457" s="45" t="s">
        <v>41</v>
      </c>
      <c r="D2457" s="45" t="s">
        <v>936</v>
      </c>
    </row>
    <row r="2458" spans="1:4" s="45" customFormat="1" ht="13.5" x14ac:dyDescent="0.15">
      <c r="A2458" s="45" t="s">
        <v>41</v>
      </c>
      <c r="D2458" s="45" t="s">
        <v>937</v>
      </c>
    </row>
    <row r="2459" spans="1:4" s="45" customFormat="1" ht="13.5" x14ac:dyDescent="0.15">
      <c r="A2459" s="45" t="s">
        <v>41</v>
      </c>
      <c r="D2459" s="45" t="s">
        <v>944</v>
      </c>
    </row>
    <row r="2460" spans="1:4" s="45" customFormat="1" ht="13.5" x14ac:dyDescent="0.15">
      <c r="A2460" s="45" t="s">
        <v>41</v>
      </c>
      <c r="D2460" s="45" t="s">
        <v>947</v>
      </c>
    </row>
    <row r="2461" spans="1:4" s="45" customFormat="1" ht="13.5" x14ac:dyDescent="0.15">
      <c r="A2461" s="45" t="s">
        <v>41</v>
      </c>
      <c r="D2461" s="45" t="s">
        <v>945</v>
      </c>
    </row>
    <row r="2462" spans="1:4" s="45" customFormat="1" ht="13.5" x14ac:dyDescent="0.15">
      <c r="A2462" s="45" t="s">
        <v>41</v>
      </c>
      <c r="D2462" s="45" t="s">
        <v>946</v>
      </c>
    </row>
    <row r="2463" spans="1:4" s="45" customFormat="1" ht="13.5" x14ac:dyDescent="0.15">
      <c r="A2463" s="45" t="s">
        <v>41</v>
      </c>
      <c r="D2463" s="45" t="s">
        <v>5665</v>
      </c>
    </row>
    <row r="2464" spans="1:4" s="45" customFormat="1" ht="13.5" x14ac:dyDescent="0.15">
      <c r="A2464" s="45" t="s">
        <v>41</v>
      </c>
      <c r="D2464" s="45" t="s">
        <v>951</v>
      </c>
    </row>
    <row r="2465" spans="1:4" s="45" customFormat="1" ht="13.5" x14ac:dyDescent="0.15">
      <c r="A2465" s="45" t="s">
        <v>41</v>
      </c>
      <c r="D2465" s="45" t="s">
        <v>5666</v>
      </c>
    </row>
    <row r="2466" spans="1:4" s="45" customFormat="1" ht="13.5" x14ac:dyDescent="0.15">
      <c r="A2466" s="45" t="s">
        <v>41</v>
      </c>
      <c r="D2466" s="45" t="s">
        <v>5667</v>
      </c>
    </row>
    <row r="2467" spans="1:4" s="45" customFormat="1" ht="13.5" x14ac:dyDescent="0.15">
      <c r="A2467" s="45" t="s">
        <v>41</v>
      </c>
      <c r="D2467" s="45" t="s">
        <v>930</v>
      </c>
    </row>
    <row r="2468" spans="1:4" s="45" customFormat="1" ht="13.5" x14ac:dyDescent="0.15">
      <c r="A2468" s="45" t="s">
        <v>41</v>
      </c>
      <c r="D2468" s="45" t="s">
        <v>5668</v>
      </c>
    </row>
    <row r="2469" spans="1:4" s="45" customFormat="1" ht="13.5" x14ac:dyDescent="0.15">
      <c r="A2469" s="45" t="s">
        <v>41</v>
      </c>
      <c r="D2469" s="45" t="s">
        <v>5669</v>
      </c>
    </row>
    <row r="2470" spans="1:4" s="45" customFormat="1" ht="13.5" x14ac:dyDescent="0.15">
      <c r="A2470" s="45" t="s">
        <v>41</v>
      </c>
      <c r="D2470" s="45" t="s">
        <v>5670</v>
      </c>
    </row>
    <row r="2471" spans="1:4" s="45" customFormat="1" ht="13.5" x14ac:dyDescent="0.15">
      <c r="A2471" s="45" t="s">
        <v>41</v>
      </c>
      <c r="D2471" s="45" t="s">
        <v>958</v>
      </c>
    </row>
    <row r="2472" spans="1:4" s="45" customFormat="1" ht="13.5" x14ac:dyDescent="0.15">
      <c r="A2472" s="45" t="s">
        <v>41</v>
      </c>
      <c r="D2472" s="45" t="s">
        <v>938</v>
      </c>
    </row>
    <row r="2473" spans="1:4" s="45" customFormat="1" ht="13.5" x14ac:dyDescent="0.15">
      <c r="A2473" s="45" t="s">
        <v>41</v>
      </c>
      <c r="D2473" s="45" t="s">
        <v>960</v>
      </c>
    </row>
    <row r="2474" spans="1:4" s="45" customFormat="1" ht="13.5" x14ac:dyDescent="0.15">
      <c r="A2474" s="45" t="s">
        <v>41</v>
      </c>
      <c r="D2474" s="45" t="s">
        <v>956</v>
      </c>
    </row>
    <row r="2475" spans="1:4" s="45" customFormat="1" ht="13.5" x14ac:dyDescent="0.15">
      <c r="A2475" s="45" t="s">
        <v>41</v>
      </c>
      <c r="D2475" s="45" t="s">
        <v>5671</v>
      </c>
    </row>
    <row r="2476" spans="1:4" s="45" customFormat="1" ht="13.5" x14ac:dyDescent="0.15">
      <c r="A2476" s="45" t="s">
        <v>41</v>
      </c>
      <c r="D2476" s="45" t="s">
        <v>5672</v>
      </c>
    </row>
    <row r="2477" spans="1:4" s="45" customFormat="1" ht="13.5" x14ac:dyDescent="0.15">
      <c r="A2477" s="45" t="s">
        <v>41</v>
      </c>
      <c r="D2477" s="45" t="s">
        <v>5673</v>
      </c>
    </row>
    <row r="2478" spans="1:4" s="45" customFormat="1" ht="13.5" x14ac:dyDescent="0.15">
      <c r="A2478" s="45" t="s">
        <v>41</v>
      </c>
      <c r="D2478" s="45" t="s">
        <v>957</v>
      </c>
    </row>
    <row r="2479" spans="1:4" s="45" customFormat="1" ht="13.5" x14ac:dyDescent="0.15">
      <c r="A2479" s="45" t="s">
        <v>41</v>
      </c>
      <c r="D2479" s="45" t="s">
        <v>931</v>
      </c>
    </row>
    <row r="2480" spans="1:4" s="45" customFormat="1" ht="13.5" x14ac:dyDescent="0.15">
      <c r="A2480" s="45" t="s">
        <v>41</v>
      </c>
      <c r="D2480" s="45" t="s">
        <v>932</v>
      </c>
    </row>
    <row r="2481" spans="1:4" s="45" customFormat="1" ht="13.5" x14ac:dyDescent="0.15">
      <c r="A2481" s="45" t="s">
        <v>41</v>
      </c>
      <c r="D2481" s="45" t="s">
        <v>948</v>
      </c>
    </row>
    <row r="2482" spans="1:4" s="45" customFormat="1" ht="13.5" x14ac:dyDescent="0.15">
      <c r="A2482" s="45" t="s">
        <v>41</v>
      </c>
      <c r="D2482" s="45" t="s">
        <v>942</v>
      </c>
    </row>
    <row r="2483" spans="1:4" s="45" customFormat="1" ht="13.5" x14ac:dyDescent="0.15">
      <c r="A2483" s="45" t="s">
        <v>41</v>
      </c>
      <c r="D2483" s="45" t="s">
        <v>943</v>
      </c>
    </row>
    <row r="2484" spans="1:4" s="45" customFormat="1" ht="13.5" x14ac:dyDescent="0.15">
      <c r="A2484" s="45" t="s">
        <v>41</v>
      </c>
      <c r="D2484" s="45" t="s">
        <v>961</v>
      </c>
    </row>
    <row r="2485" spans="1:4" s="45" customFormat="1" ht="13.5" x14ac:dyDescent="0.15">
      <c r="A2485" s="45" t="s">
        <v>41</v>
      </c>
      <c r="D2485" s="45" t="s">
        <v>952</v>
      </c>
    </row>
    <row r="2486" spans="1:4" s="45" customFormat="1" ht="13.5" x14ac:dyDescent="0.15">
      <c r="A2486" s="45" t="s">
        <v>41</v>
      </c>
      <c r="D2486" s="45" t="s">
        <v>5674</v>
      </c>
    </row>
    <row r="2487" spans="1:4" s="45" customFormat="1" ht="13.5" x14ac:dyDescent="0.15">
      <c r="A2487" s="45" t="s">
        <v>41</v>
      </c>
      <c r="D2487" s="45" t="s">
        <v>929</v>
      </c>
    </row>
    <row r="2488" spans="1:4" s="45" customFormat="1" ht="13.5" x14ac:dyDescent="0.15">
      <c r="A2488" s="45" t="s">
        <v>41</v>
      </c>
      <c r="D2488" s="45" t="s">
        <v>5675</v>
      </c>
    </row>
    <row r="2489" spans="1:4" s="45" customFormat="1" ht="13.5" x14ac:dyDescent="0.15">
      <c r="A2489" s="45" t="s">
        <v>41</v>
      </c>
      <c r="D2489" s="45" t="s">
        <v>5676</v>
      </c>
    </row>
    <row r="2490" spans="1:4" s="45" customFormat="1" ht="13.5" x14ac:dyDescent="0.15">
      <c r="A2490" s="45" t="s">
        <v>41</v>
      </c>
      <c r="D2490" s="45" t="s">
        <v>963</v>
      </c>
    </row>
    <row r="2491" spans="1:4" s="45" customFormat="1" ht="13.5" x14ac:dyDescent="0.15">
      <c r="A2491" s="45" t="s">
        <v>41</v>
      </c>
      <c r="D2491" s="45" t="s">
        <v>5677</v>
      </c>
    </row>
    <row r="2492" spans="1:4" s="45" customFormat="1" ht="13.5" x14ac:dyDescent="0.15">
      <c r="A2492" s="45" t="s">
        <v>41</v>
      </c>
      <c r="D2492" s="45" t="s">
        <v>5678</v>
      </c>
    </row>
    <row r="2493" spans="1:4" s="45" customFormat="1" ht="13.5" x14ac:dyDescent="0.15">
      <c r="A2493" s="45" t="s">
        <v>41</v>
      </c>
      <c r="D2493" s="45" t="s">
        <v>977</v>
      </c>
    </row>
    <row r="2494" spans="1:4" s="45" customFormat="1" ht="13.5" x14ac:dyDescent="0.15">
      <c r="A2494" s="45" t="s">
        <v>41</v>
      </c>
      <c r="D2494" s="45" t="s">
        <v>975</v>
      </c>
    </row>
    <row r="2495" spans="1:4" s="45" customFormat="1" ht="13.5" x14ac:dyDescent="0.15">
      <c r="A2495" s="45" t="s">
        <v>41</v>
      </c>
      <c r="D2495" s="45" t="s">
        <v>976</v>
      </c>
    </row>
    <row r="2496" spans="1:4" s="45" customFormat="1" ht="13.5" x14ac:dyDescent="0.15">
      <c r="A2496" s="45" t="s">
        <v>41</v>
      </c>
      <c r="D2496" s="45" t="s">
        <v>5679</v>
      </c>
    </row>
    <row r="2497" spans="1:4" s="45" customFormat="1" ht="13.5" x14ac:dyDescent="0.15">
      <c r="A2497" s="45" t="s">
        <v>41</v>
      </c>
      <c r="D2497" s="45" t="s">
        <v>972</v>
      </c>
    </row>
    <row r="2498" spans="1:4" s="45" customFormat="1" ht="13.5" x14ac:dyDescent="0.15">
      <c r="A2498" s="45" t="s">
        <v>41</v>
      </c>
      <c r="D2498" s="45" t="s">
        <v>966</v>
      </c>
    </row>
    <row r="2499" spans="1:4" s="45" customFormat="1" ht="13.5" x14ac:dyDescent="0.15">
      <c r="A2499" s="45" t="s">
        <v>41</v>
      </c>
      <c r="D2499" s="45" t="s">
        <v>969</v>
      </c>
    </row>
    <row r="2500" spans="1:4" s="45" customFormat="1" ht="13.5" x14ac:dyDescent="0.15">
      <c r="A2500" s="45" t="s">
        <v>41</v>
      </c>
      <c r="D2500" s="45" t="s">
        <v>968</v>
      </c>
    </row>
    <row r="2501" spans="1:4" s="45" customFormat="1" ht="13.5" x14ac:dyDescent="0.15">
      <c r="A2501" s="45" t="s">
        <v>41</v>
      </c>
      <c r="D2501" s="45" t="s">
        <v>967</v>
      </c>
    </row>
    <row r="2502" spans="1:4" s="45" customFormat="1" ht="13.5" x14ac:dyDescent="0.15">
      <c r="A2502" s="45" t="s">
        <v>41</v>
      </c>
      <c r="D2502" s="45" t="s">
        <v>5680</v>
      </c>
    </row>
    <row r="2503" spans="1:4" s="45" customFormat="1" ht="13.5" x14ac:dyDescent="0.15">
      <c r="A2503" s="45" t="s">
        <v>41</v>
      </c>
      <c r="D2503" s="45" t="s">
        <v>5681</v>
      </c>
    </row>
    <row r="2504" spans="1:4" s="45" customFormat="1" ht="13.5" x14ac:dyDescent="0.15">
      <c r="A2504" s="45" t="s">
        <v>41</v>
      </c>
      <c r="D2504" s="45" t="s">
        <v>5682</v>
      </c>
    </row>
    <row r="2505" spans="1:4" s="45" customFormat="1" ht="13.5" x14ac:dyDescent="0.15">
      <c r="A2505" s="45" t="s">
        <v>41</v>
      </c>
      <c r="D2505" s="45" t="s">
        <v>5683</v>
      </c>
    </row>
    <row r="2506" spans="1:4" s="45" customFormat="1" ht="13.5" x14ac:dyDescent="0.15">
      <c r="A2506" s="45" t="s">
        <v>41</v>
      </c>
      <c r="D2506" s="45" t="s">
        <v>5684</v>
      </c>
    </row>
    <row r="2507" spans="1:4" s="45" customFormat="1" ht="13.5" x14ac:dyDescent="0.15">
      <c r="A2507" s="45" t="s">
        <v>41</v>
      </c>
      <c r="D2507" s="45" t="s">
        <v>970</v>
      </c>
    </row>
    <row r="2508" spans="1:4" s="45" customFormat="1" ht="13.5" x14ac:dyDescent="0.15">
      <c r="A2508" s="45" t="s">
        <v>41</v>
      </c>
      <c r="D2508" s="45" t="s">
        <v>5685</v>
      </c>
    </row>
    <row r="2509" spans="1:4" s="45" customFormat="1" ht="13.5" x14ac:dyDescent="0.15">
      <c r="A2509" s="45" t="s">
        <v>41</v>
      </c>
      <c r="D2509" s="45" t="s">
        <v>5686</v>
      </c>
    </row>
    <row r="2510" spans="1:4" s="45" customFormat="1" ht="13.5" x14ac:dyDescent="0.15">
      <c r="A2510" s="45" t="s">
        <v>41</v>
      </c>
      <c r="D2510" s="45" t="s">
        <v>973</v>
      </c>
    </row>
    <row r="2511" spans="1:4" s="45" customFormat="1" ht="13.5" x14ac:dyDescent="0.15">
      <c r="A2511" s="45" t="s">
        <v>41</v>
      </c>
      <c r="D2511" s="45" t="s">
        <v>974</v>
      </c>
    </row>
    <row r="2512" spans="1:4" s="45" customFormat="1" ht="13.5" x14ac:dyDescent="0.15">
      <c r="A2512" s="45" t="s">
        <v>41</v>
      </c>
      <c r="D2512" s="45" t="s">
        <v>965</v>
      </c>
    </row>
    <row r="2513" spans="1:4" s="45" customFormat="1" ht="13.5" x14ac:dyDescent="0.15">
      <c r="A2513" s="45" t="s">
        <v>41</v>
      </c>
      <c r="D2513" s="45" t="s">
        <v>971</v>
      </c>
    </row>
    <row r="2514" spans="1:4" s="45" customFormat="1" ht="13.5" x14ac:dyDescent="0.15">
      <c r="A2514" s="45" t="s">
        <v>41</v>
      </c>
      <c r="D2514" s="45" t="s">
        <v>5687</v>
      </c>
    </row>
    <row r="2515" spans="1:4" s="45" customFormat="1" ht="13.5" x14ac:dyDescent="0.15">
      <c r="A2515" s="45" t="s">
        <v>41</v>
      </c>
      <c r="D2515" s="45" t="s">
        <v>964</v>
      </c>
    </row>
    <row r="2516" spans="1:4" s="45" customFormat="1" ht="13.5" x14ac:dyDescent="0.15">
      <c r="A2516" s="45" t="s">
        <v>41</v>
      </c>
      <c r="D2516" s="45" t="s">
        <v>5688</v>
      </c>
    </row>
    <row r="2517" spans="1:4" s="45" customFormat="1" ht="13.5" x14ac:dyDescent="0.15">
      <c r="A2517" s="45" t="s">
        <v>41</v>
      </c>
      <c r="D2517" s="45" t="s">
        <v>377</v>
      </c>
    </row>
    <row r="2518" spans="1:4" s="45" customFormat="1" ht="13.5" x14ac:dyDescent="0.15">
      <c r="A2518" s="45" t="s">
        <v>41</v>
      </c>
      <c r="D2518" s="45" t="s">
        <v>378</v>
      </c>
    </row>
    <row r="2519" spans="1:4" s="45" customFormat="1" ht="13.5" x14ac:dyDescent="0.15">
      <c r="A2519" s="45" t="s">
        <v>41</v>
      </c>
      <c r="D2519" s="45" t="s">
        <v>1904</v>
      </c>
    </row>
    <row r="2520" spans="1:4" s="45" customFormat="1" ht="13.5" x14ac:dyDescent="0.15">
      <c r="A2520" s="45" t="s">
        <v>41</v>
      </c>
      <c r="D2520" s="45" t="s">
        <v>5689</v>
      </c>
    </row>
    <row r="2521" spans="1:4" s="45" customFormat="1" ht="13.5" x14ac:dyDescent="0.15">
      <c r="A2521" s="45" t="s">
        <v>41</v>
      </c>
      <c r="D2521" s="45" t="s">
        <v>5690</v>
      </c>
    </row>
    <row r="2522" spans="1:4" s="45" customFormat="1" ht="13.5" x14ac:dyDescent="0.15">
      <c r="A2522" s="45" t="s">
        <v>41</v>
      </c>
      <c r="D2522" s="45" t="s">
        <v>1905</v>
      </c>
    </row>
    <row r="2523" spans="1:4" s="45" customFormat="1" ht="13.5" x14ac:dyDescent="0.15">
      <c r="A2523" s="45" t="s">
        <v>41</v>
      </c>
      <c r="D2523" s="45" t="s">
        <v>5691</v>
      </c>
    </row>
    <row r="2524" spans="1:4" s="45" customFormat="1" ht="13.5" x14ac:dyDescent="0.15">
      <c r="A2524" s="45" t="s">
        <v>41</v>
      </c>
      <c r="D2524" s="45" t="s">
        <v>1907</v>
      </c>
    </row>
    <row r="2525" spans="1:4" s="45" customFormat="1" ht="13.5" x14ac:dyDescent="0.15">
      <c r="A2525" s="45" t="s">
        <v>41</v>
      </c>
      <c r="D2525" s="45" t="s">
        <v>5692</v>
      </c>
    </row>
    <row r="2526" spans="1:4" s="45" customFormat="1" ht="13.5" x14ac:dyDescent="0.15">
      <c r="A2526" s="45" t="s">
        <v>41</v>
      </c>
      <c r="D2526" s="45" t="s">
        <v>5693</v>
      </c>
    </row>
    <row r="2527" spans="1:4" s="45" customFormat="1" ht="13.5" x14ac:dyDescent="0.15">
      <c r="A2527" s="45" t="s">
        <v>41</v>
      </c>
      <c r="D2527" s="45" t="s">
        <v>1906</v>
      </c>
    </row>
    <row r="2528" spans="1:4" s="45" customFormat="1" ht="13.5" x14ac:dyDescent="0.15">
      <c r="A2528" s="45" t="s">
        <v>41</v>
      </c>
      <c r="D2528" s="45" t="s">
        <v>5694</v>
      </c>
    </row>
    <row r="2529" spans="1:4" s="45" customFormat="1" ht="13.5" x14ac:dyDescent="0.15">
      <c r="A2529" s="45" t="s">
        <v>41</v>
      </c>
      <c r="D2529" s="45" t="s">
        <v>5695</v>
      </c>
    </row>
    <row r="2530" spans="1:4" s="45" customFormat="1" ht="13.5" x14ac:dyDescent="0.15">
      <c r="A2530" s="45" t="s">
        <v>41</v>
      </c>
      <c r="D2530" s="45" t="s">
        <v>5696</v>
      </c>
    </row>
    <row r="2531" spans="1:4" s="45" customFormat="1" ht="13.5" x14ac:dyDescent="0.15">
      <c r="A2531" s="45" t="s">
        <v>41</v>
      </c>
      <c r="D2531" s="45" t="s">
        <v>5697</v>
      </c>
    </row>
    <row r="2532" spans="1:4" s="45" customFormat="1" ht="13.5" x14ac:dyDescent="0.15">
      <c r="A2532" s="45" t="s">
        <v>41</v>
      </c>
      <c r="D2532" s="45" t="s">
        <v>901</v>
      </c>
    </row>
    <row r="2533" spans="1:4" s="45" customFormat="1" ht="13.5" x14ac:dyDescent="0.15">
      <c r="A2533" s="45" t="s">
        <v>41</v>
      </c>
      <c r="D2533" s="45" t="s">
        <v>412</v>
      </c>
    </row>
    <row r="2534" spans="1:4" s="45" customFormat="1" ht="13.5" x14ac:dyDescent="0.15">
      <c r="A2534" s="45" t="s">
        <v>41</v>
      </c>
      <c r="D2534" s="45" t="s">
        <v>413</v>
      </c>
    </row>
    <row r="2535" spans="1:4" s="45" customFormat="1" ht="13.5" x14ac:dyDescent="0.15">
      <c r="A2535" s="45" t="s">
        <v>41</v>
      </c>
      <c r="D2535" s="45" t="s">
        <v>903</v>
      </c>
    </row>
    <row r="2536" spans="1:4" s="45" customFormat="1" ht="13.5" x14ac:dyDescent="0.15">
      <c r="A2536" s="45" t="s">
        <v>41</v>
      </c>
      <c r="D2536" s="45" t="s">
        <v>1536</v>
      </c>
    </row>
    <row r="2537" spans="1:4" s="45" customFormat="1" ht="13.5" x14ac:dyDescent="0.15">
      <c r="A2537" s="45" t="s">
        <v>41</v>
      </c>
      <c r="D2537" s="45" t="s">
        <v>5698</v>
      </c>
    </row>
    <row r="2538" spans="1:4" s="45" customFormat="1" ht="13.5" x14ac:dyDescent="0.15">
      <c r="A2538" s="45" t="s">
        <v>41</v>
      </c>
      <c r="D2538" s="45" t="s">
        <v>3792</v>
      </c>
    </row>
    <row r="2539" spans="1:4" s="45" customFormat="1" ht="13.5" x14ac:dyDescent="0.15">
      <c r="A2539" s="45" t="s">
        <v>41</v>
      </c>
      <c r="D2539" s="45" t="s">
        <v>5699</v>
      </c>
    </row>
    <row r="2540" spans="1:4" s="45" customFormat="1" ht="13.5" x14ac:dyDescent="0.15">
      <c r="A2540" s="45" t="s">
        <v>41</v>
      </c>
      <c r="D2540" s="45" t="s">
        <v>5700</v>
      </c>
    </row>
    <row r="2541" spans="1:4" s="45" customFormat="1" ht="13.5" x14ac:dyDescent="0.15">
      <c r="A2541" s="45" t="s">
        <v>41</v>
      </c>
      <c r="D2541" s="45" t="s">
        <v>5701</v>
      </c>
    </row>
    <row r="2542" spans="1:4" s="45" customFormat="1" ht="13.5" x14ac:dyDescent="0.15">
      <c r="A2542" s="45" t="s">
        <v>41</v>
      </c>
      <c r="D2542" s="45" t="s">
        <v>5702</v>
      </c>
    </row>
    <row r="2543" spans="1:4" s="45" customFormat="1" ht="13.5" x14ac:dyDescent="0.15">
      <c r="A2543" s="45" t="s">
        <v>41</v>
      </c>
      <c r="D2543" s="45" t="s">
        <v>5703</v>
      </c>
    </row>
    <row r="2544" spans="1:4" s="45" customFormat="1" ht="13.5" x14ac:dyDescent="0.15">
      <c r="A2544" s="45" t="s">
        <v>41</v>
      </c>
      <c r="D2544" s="45" t="s">
        <v>5704</v>
      </c>
    </row>
    <row r="2545" spans="1:4" s="45" customFormat="1" ht="13.5" x14ac:dyDescent="0.15">
      <c r="A2545" s="45" t="s">
        <v>41</v>
      </c>
      <c r="D2545" s="45" t="s">
        <v>5705</v>
      </c>
    </row>
    <row r="2546" spans="1:4" s="45" customFormat="1" ht="13.5" x14ac:dyDescent="0.15">
      <c r="A2546" s="45" t="s">
        <v>41</v>
      </c>
      <c r="D2546" s="45" t="s">
        <v>5706</v>
      </c>
    </row>
    <row r="2547" spans="1:4" s="45" customFormat="1" ht="13.5" x14ac:dyDescent="0.15">
      <c r="A2547" s="45" t="s">
        <v>41</v>
      </c>
      <c r="D2547" s="45" t="s">
        <v>5707</v>
      </c>
    </row>
    <row r="2548" spans="1:4" s="45" customFormat="1" ht="13.5" x14ac:dyDescent="0.15">
      <c r="A2548" s="45" t="s">
        <v>41</v>
      </c>
      <c r="D2548" s="45" t="s">
        <v>5708</v>
      </c>
    </row>
    <row r="2549" spans="1:4" s="45" customFormat="1" ht="13.5" x14ac:dyDescent="0.15">
      <c r="A2549" s="45" t="s">
        <v>41</v>
      </c>
      <c r="D2549" s="45" t="s">
        <v>5709</v>
      </c>
    </row>
    <row r="2550" spans="1:4" s="45" customFormat="1" ht="13.5" x14ac:dyDescent="0.15">
      <c r="A2550" s="45" t="s">
        <v>41</v>
      </c>
      <c r="D2550" s="45" t="s">
        <v>5710</v>
      </c>
    </row>
    <row r="2551" spans="1:4" s="45" customFormat="1" ht="13.5" x14ac:dyDescent="0.15">
      <c r="A2551" s="45" t="s">
        <v>41</v>
      </c>
      <c r="D2551" s="45" t="s">
        <v>5711</v>
      </c>
    </row>
    <row r="2552" spans="1:4" s="45" customFormat="1" ht="13.5" x14ac:dyDescent="0.15">
      <c r="A2552" s="45" t="s">
        <v>41</v>
      </c>
      <c r="D2552" s="45" t="s">
        <v>5712</v>
      </c>
    </row>
    <row r="2553" spans="1:4" s="45" customFormat="1" ht="13.5" x14ac:dyDescent="0.15">
      <c r="A2553" s="45" t="s">
        <v>41</v>
      </c>
      <c r="D2553" s="45" t="s">
        <v>5713</v>
      </c>
    </row>
    <row r="2554" spans="1:4" s="45" customFormat="1" ht="13.5" x14ac:dyDescent="0.15">
      <c r="A2554" s="45" t="s">
        <v>41</v>
      </c>
      <c r="D2554" s="45" t="s">
        <v>5714</v>
      </c>
    </row>
    <row r="2555" spans="1:4" s="45" customFormat="1" ht="13.5" x14ac:dyDescent="0.15">
      <c r="A2555" s="45" t="s">
        <v>41</v>
      </c>
      <c r="D2555" s="45" t="s">
        <v>5715</v>
      </c>
    </row>
    <row r="2556" spans="1:4" s="45" customFormat="1" ht="13.5" x14ac:dyDescent="0.15">
      <c r="A2556" s="45" t="s">
        <v>41</v>
      </c>
      <c r="D2556" s="45" t="s">
        <v>5716</v>
      </c>
    </row>
    <row r="2557" spans="1:4" s="45" customFormat="1" ht="13.5" x14ac:dyDescent="0.15">
      <c r="A2557" s="45" t="s">
        <v>41</v>
      </c>
      <c r="D2557" s="45" t="s">
        <v>2506</v>
      </c>
    </row>
    <row r="2558" spans="1:4" s="45" customFormat="1" ht="13.5" x14ac:dyDescent="0.15">
      <c r="A2558" s="45" t="s">
        <v>41</v>
      </c>
      <c r="D2558" s="45" t="s">
        <v>2505</v>
      </c>
    </row>
    <row r="2559" spans="1:4" s="45" customFormat="1" ht="13.5" x14ac:dyDescent="0.15">
      <c r="A2559" s="45" t="s">
        <v>41</v>
      </c>
      <c r="D2559" s="45" t="s">
        <v>2504</v>
      </c>
    </row>
    <row r="2560" spans="1:4" s="45" customFormat="1" ht="13.5" x14ac:dyDescent="0.15">
      <c r="A2560" s="45" t="s">
        <v>41</v>
      </c>
      <c r="D2560" s="45" t="s">
        <v>2515</v>
      </c>
    </row>
    <row r="2561" spans="1:4" s="45" customFormat="1" ht="13.5" x14ac:dyDescent="0.15">
      <c r="A2561" s="45" t="s">
        <v>41</v>
      </c>
      <c r="D2561" s="45" t="s">
        <v>5717</v>
      </c>
    </row>
    <row r="2562" spans="1:4" s="45" customFormat="1" ht="13.5" x14ac:dyDescent="0.15">
      <c r="A2562" s="45" t="s">
        <v>41</v>
      </c>
      <c r="D2562" s="45" t="s">
        <v>5718</v>
      </c>
    </row>
    <row r="2563" spans="1:4" s="45" customFormat="1" ht="13.5" x14ac:dyDescent="0.15">
      <c r="A2563" s="45" t="s">
        <v>41</v>
      </c>
      <c r="D2563" s="45" t="s">
        <v>5719</v>
      </c>
    </row>
    <row r="2564" spans="1:4" s="45" customFormat="1" ht="13.5" x14ac:dyDescent="0.15">
      <c r="A2564" s="45" t="s">
        <v>41</v>
      </c>
      <c r="D2564" s="45" t="s">
        <v>2507</v>
      </c>
    </row>
    <row r="2565" spans="1:4" s="45" customFormat="1" ht="13.5" x14ac:dyDescent="0.15">
      <c r="A2565" s="45" t="s">
        <v>41</v>
      </c>
      <c r="D2565" s="45" t="s">
        <v>5720</v>
      </c>
    </row>
    <row r="2566" spans="1:4" s="45" customFormat="1" ht="13.5" x14ac:dyDescent="0.15">
      <c r="A2566" s="45" t="s">
        <v>41</v>
      </c>
      <c r="D2566" s="45" t="s">
        <v>2508</v>
      </c>
    </row>
    <row r="2567" spans="1:4" s="45" customFormat="1" ht="13.5" x14ac:dyDescent="0.15">
      <c r="A2567" s="45" t="s">
        <v>41</v>
      </c>
      <c r="D2567" s="45" t="s">
        <v>5721</v>
      </c>
    </row>
    <row r="2568" spans="1:4" s="45" customFormat="1" ht="13.5" x14ac:dyDescent="0.15">
      <c r="A2568" s="45" t="s">
        <v>41</v>
      </c>
      <c r="D2568" s="45" t="s">
        <v>2509</v>
      </c>
    </row>
    <row r="2569" spans="1:4" s="45" customFormat="1" ht="13.5" x14ac:dyDescent="0.15">
      <c r="A2569" s="45" t="s">
        <v>41</v>
      </c>
      <c r="D2569" s="45" t="s">
        <v>2510</v>
      </c>
    </row>
    <row r="2570" spans="1:4" s="45" customFormat="1" ht="13.5" x14ac:dyDescent="0.15">
      <c r="A2570" s="45" t="s">
        <v>41</v>
      </c>
      <c r="D2570" s="45" t="s">
        <v>5722</v>
      </c>
    </row>
    <row r="2571" spans="1:4" s="45" customFormat="1" ht="13.5" x14ac:dyDescent="0.15">
      <c r="A2571" s="45" t="s">
        <v>41</v>
      </c>
      <c r="D2571" s="45" t="s">
        <v>5723</v>
      </c>
    </row>
    <row r="2572" spans="1:4" s="45" customFormat="1" ht="13.5" x14ac:dyDescent="0.15">
      <c r="A2572" s="45" t="s">
        <v>41</v>
      </c>
      <c r="D2572" s="45" t="s">
        <v>5724</v>
      </c>
    </row>
    <row r="2573" spans="1:4" s="45" customFormat="1" ht="13.5" x14ac:dyDescent="0.15">
      <c r="A2573" s="45" t="s">
        <v>41</v>
      </c>
      <c r="D2573" s="45" t="s">
        <v>5725</v>
      </c>
    </row>
    <row r="2574" spans="1:4" s="45" customFormat="1" ht="13.5" x14ac:dyDescent="0.15">
      <c r="A2574" s="45" t="s">
        <v>41</v>
      </c>
      <c r="D2574" s="45" t="s">
        <v>2514</v>
      </c>
    </row>
    <row r="2575" spans="1:4" s="45" customFormat="1" ht="13.5" x14ac:dyDescent="0.15">
      <c r="A2575" s="45" t="s">
        <v>41</v>
      </c>
      <c r="D2575" s="45" t="s">
        <v>5726</v>
      </c>
    </row>
    <row r="2576" spans="1:4" s="45" customFormat="1" ht="13.5" x14ac:dyDescent="0.15">
      <c r="A2576" s="45" t="s">
        <v>41</v>
      </c>
      <c r="D2576" s="45" t="s">
        <v>2511</v>
      </c>
    </row>
    <row r="2577" spans="1:4" s="45" customFormat="1" ht="13.5" x14ac:dyDescent="0.15">
      <c r="A2577" s="45" t="s">
        <v>41</v>
      </c>
      <c r="D2577" s="45" t="s">
        <v>5727</v>
      </c>
    </row>
    <row r="2578" spans="1:4" s="45" customFormat="1" ht="13.5" x14ac:dyDescent="0.15">
      <c r="A2578" s="45" t="s">
        <v>41</v>
      </c>
      <c r="D2578" s="45" t="s">
        <v>5728</v>
      </c>
    </row>
    <row r="2579" spans="1:4" s="45" customFormat="1" ht="13.5" x14ac:dyDescent="0.15">
      <c r="A2579" s="45" t="s">
        <v>41</v>
      </c>
      <c r="D2579" s="45" t="s">
        <v>2512</v>
      </c>
    </row>
    <row r="2580" spans="1:4" s="45" customFormat="1" ht="13.5" x14ac:dyDescent="0.15">
      <c r="A2580" s="45" t="s">
        <v>41</v>
      </c>
      <c r="D2580" s="45" t="s">
        <v>2513</v>
      </c>
    </row>
    <row r="2581" spans="1:4" s="45" customFormat="1" ht="13.5" x14ac:dyDescent="0.15">
      <c r="A2581" s="45" t="s">
        <v>41</v>
      </c>
      <c r="D2581" s="45" t="s">
        <v>5729</v>
      </c>
    </row>
    <row r="2582" spans="1:4" s="45" customFormat="1" ht="13.5" x14ac:dyDescent="0.15">
      <c r="A2582" s="45" t="s">
        <v>41</v>
      </c>
      <c r="D2582" s="45" t="s">
        <v>1742</v>
      </c>
    </row>
    <row r="2583" spans="1:4" s="45" customFormat="1" ht="13.5" x14ac:dyDescent="0.15">
      <c r="A2583" s="45" t="s">
        <v>41</v>
      </c>
      <c r="D2583" s="45" t="s">
        <v>1743</v>
      </c>
    </row>
    <row r="2584" spans="1:4" s="45" customFormat="1" ht="13.5" x14ac:dyDescent="0.15">
      <c r="A2584" s="45" t="s">
        <v>41</v>
      </c>
      <c r="D2584" s="45" t="s">
        <v>5730</v>
      </c>
    </row>
    <row r="2585" spans="1:4" s="45" customFormat="1" ht="13.5" x14ac:dyDescent="0.15">
      <c r="A2585" s="45" t="s">
        <v>41</v>
      </c>
      <c r="D2585" s="45" t="s">
        <v>1931</v>
      </c>
    </row>
    <row r="2586" spans="1:4" s="45" customFormat="1" ht="13.5" x14ac:dyDescent="0.15">
      <c r="A2586" s="45" t="s">
        <v>41</v>
      </c>
      <c r="D2586" s="45" t="s">
        <v>1932</v>
      </c>
    </row>
    <row r="2587" spans="1:4" s="45" customFormat="1" ht="13.5" x14ac:dyDescent="0.15">
      <c r="A2587" s="45" t="s">
        <v>41</v>
      </c>
      <c r="D2587" s="45" t="s">
        <v>5731</v>
      </c>
    </row>
    <row r="2588" spans="1:4" s="45" customFormat="1" ht="13.5" x14ac:dyDescent="0.15">
      <c r="A2588" s="45" t="s">
        <v>41</v>
      </c>
      <c r="D2588" s="45" t="s">
        <v>1133</v>
      </c>
    </row>
    <row r="2589" spans="1:4" s="45" customFormat="1" ht="13.5" x14ac:dyDescent="0.15">
      <c r="A2589" s="45" t="s">
        <v>41</v>
      </c>
      <c r="D2589" s="45" t="s">
        <v>1134</v>
      </c>
    </row>
    <row r="2590" spans="1:4" s="45" customFormat="1" ht="13.5" x14ac:dyDescent="0.15">
      <c r="A2590" s="45" t="s">
        <v>41</v>
      </c>
      <c r="D2590" s="45" t="s">
        <v>5732</v>
      </c>
    </row>
    <row r="2591" spans="1:4" s="45" customFormat="1" ht="13.5" x14ac:dyDescent="0.15">
      <c r="A2591" s="45" t="s">
        <v>41</v>
      </c>
      <c r="D2591" s="45" t="s">
        <v>5733</v>
      </c>
    </row>
    <row r="2592" spans="1:4" s="45" customFormat="1" ht="13.5" x14ac:dyDescent="0.15">
      <c r="A2592" s="45" t="s">
        <v>41</v>
      </c>
      <c r="D2592" s="45" t="s">
        <v>5734</v>
      </c>
    </row>
    <row r="2593" spans="1:4" s="45" customFormat="1" ht="13.5" x14ac:dyDescent="0.15">
      <c r="A2593" s="45" t="s">
        <v>41</v>
      </c>
      <c r="D2593" s="45" t="s">
        <v>5735</v>
      </c>
    </row>
    <row r="2594" spans="1:4" s="45" customFormat="1" ht="13.5" x14ac:dyDescent="0.15">
      <c r="A2594" s="45" t="s">
        <v>41</v>
      </c>
      <c r="D2594" s="45" t="s">
        <v>5736</v>
      </c>
    </row>
    <row r="2595" spans="1:4" s="45" customFormat="1" ht="13.5" x14ac:dyDescent="0.15">
      <c r="A2595" s="45" t="s">
        <v>41</v>
      </c>
      <c r="D2595" s="45" t="s">
        <v>1061</v>
      </c>
    </row>
    <row r="2596" spans="1:4" s="45" customFormat="1" ht="13.5" x14ac:dyDescent="0.15">
      <c r="A2596" s="45" t="s">
        <v>41</v>
      </c>
      <c r="D2596" s="45" t="s">
        <v>5737</v>
      </c>
    </row>
    <row r="2597" spans="1:4" s="45" customFormat="1" ht="13.5" x14ac:dyDescent="0.15">
      <c r="A2597" s="45" t="s">
        <v>41</v>
      </c>
      <c r="D2597" s="45" t="s">
        <v>1060</v>
      </c>
    </row>
    <row r="2598" spans="1:4" s="45" customFormat="1" ht="13.5" x14ac:dyDescent="0.15">
      <c r="A2598" s="45" t="s">
        <v>41</v>
      </c>
      <c r="D2598" s="45" t="s">
        <v>5738</v>
      </c>
    </row>
    <row r="2599" spans="1:4" s="45" customFormat="1" ht="13.5" x14ac:dyDescent="0.15">
      <c r="A2599" s="45" t="s">
        <v>41</v>
      </c>
      <c r="D2599" s="45" t="s">
        <v>5739</v>
      </c>
    </row>
    <row r="2600" spans="1:4" s="45" customFormat="1" ht="13.5" x14ac:dyDescent="0.15">
      <c r="A2600" s="45" t="s">
        <v>41</v>
      </c>
      <c r="D2600" s="45" t="s">
        <v>5740</v>
      </c>
    </row>
    <row r="2601" spans="1:4" s="45" customFormat="1" ht="13.5" x14ac:dyDescent="0.15">
      <c r="A2601" s="45" t="s">
        <v>41</v>
      </c>
      <c r="D2601" s="45" t="s">
        <v>5741</v>
      </c>
    </row>
    <row r="2602" spans="1:4" s="45" customFormat="1" ht="13.5" x14ac:dyDescent="0.15">
      <c r="A2602" s="45" t="s">
        <v>41</v>
      </c>
      <c r="D2602" s="45" t="s">
        <v>5742</v>
      </c>
    </row>
    <row r="2603" spans="1:4" s="45" customFormat="1" ht="13.5" x14ac:dyDescent="0.15">
      <c r="A2603" s="45" t="s">
        <v>41</v>
      </c>
      <c r="D2603" s="45" t="s">
        <v>1385</v>
      </c>
    </row>
    <row r="2604" spans="1:4" s="45" customFormat="1" ht="13.5" x14ac:dyDescent="0.15">
      <c r="A2604" s="45" t="s">
        <v>41</v>
      </c>
      <c r="D2604" s="45" t="s">
        <v>2552</v>
      </c>
    </row>
    <row r="2605" spans="1:4" s="45" customFormat="1" ht="13.5" x14ac:dyDescent="0.15">
      <c r="A2605" s="45" t="s">
        <v>41</v>
      </c>
      <c r="D2605" s="45" t="s">
        <v>2430</v>
      </c>
    </row>
    <row r="2606" spans="1:4" s="45" customFormat="1" ht="13.5" x14ac:dyDescent="0.15">
      <c r="A2606" s="45" t="s">
        <v>41</v>
      </c>
      <c r="D2606" s="45" t="s">
        <v>5743</v>
      </c>
    </row>
    <row r="2607" spans="1:4" s="45" customFormat="1" ht="13.5" x14ac:dyDescent="0.15">
      <c r="A2607" s="45" t="s">
        <v>41</v>
      </c>
      <c r="D2607" s="45" t="s">
        <v>5744</v>
      </c>
    </row>
    <row r="2608" spans="1:4" s="45" customFormat="1" ht="13.5" x14ac:dyDescent="0.15">
      <c r="A2608" s="45" t="s">
        <v>41</v>
      </c>
      <c r="D2608" s="45" t="s">
        <v>1365</v>
      </c>
    </row>
    <row r="2609" spans="1:4" s="45" customFormat="1" ht="13.5" x14ac:dyDescent="0.15">
      <c r="A2609" s="45" t="s">
        <v>41</v>
      </c>
      <c r="D2609" s="45" t="s">
        <v>5745</v>
      </c>
    </row>
    <row r="2610" spans="1:4" s="45" customFormat="1" ht="13.5" x14ac:dyDescent="0.15">
      <c r="A2610" s="45" t="s">
        <v>41</v>
      </c>
      <c r="D2610" s="45" t="s">
        <v>5746</v>
      </c>
    </row>
    <row r="2611" spans="1:4" s="45" customFormat="1" ht="13.5" x14ac:dyDescent="0.15">
      <c r="A2611" s="45" t="s">
        <v>41</v>
      </c>
      <c r="D2611" s="45" t="s">
        <v>5747</v>
      </c>
    </row>
    <row r="2612" spans="1:4" s="45" customFormat="1" ht="13.5" x14ac:dyDescent="0.15">
      <c r="A2612" s="45" t="s">
        <v>41</v>
      </c>
      <c r="D2612" s="45" t="s">
        <v>5748</v>
      </c>
    </row>
    <row r="2613" spans="1:4" s="45" customFormat="1" ht="13.5" x14ac:dyDescent="0.15">
      <c r="A2613" s="45" t="s">
        <v>41</v>
      </c>
      <c r="D2613" s="45" t="s">
        <v>5749</v>
      </c>
    </row>
    <row r="2614" spans="1:4" s="45" customFormat="1" ht="13.5" x14ac:dyDescent="0.15">
      <c r="A2614" s="45" t="s">
        <v>41</v>
      </c>
      <c r="D2614" s="45" t="s">
        <v>5750</v>
      </c>
    </row>
    <row r="2615" spans="1:4" s="45" customFormat="1" ht="13.5" x14ac:dyDescent="0.15">
      <c r="A2615" s="45" t="s">
        <v>41</v>
      </c>
      <c r="D2615" s="45" t="s">
        <v>5751</v>
      </c>
    </row>
    <row r="2616" spans="1:4" s="45" customFormat="1" ht="13.5" x14ac:dyDescent="0.15">
      <c r="A2616" s="45" t="s">
        <v>41</v>
      </c>
      <c r="D2616" s="45" t="s">
        <v>5752</v>
      </c>
    </row>
    <row r="2617" spans="1:4" s="45" customFormat="1" ht="13.5" x14ac:dyDescent="0.15">
      <c r="A2617" s="45" t="s">
        <v>41</v>
      </c>
      <c r="D2617" s="45" t="s">
        <v>5753</v>
      </c>
    </row>
    <row r="2618" spans="1:4" s="45" customFormat="1" ht="13.5" x14ac:dyDescent="0.15">
      <c r="A2618" s="45" t="s">
        <v>41</v>
      </c>
      <c r="D2618" s="45" t="s">
        <v>5754</v>
      </c>
    </row>
    <row r="2619" spans="1:4" s="45" customFormat="1" ht="13.5" x14ac:dyDescent="0.15">
      <c r="A2619" s="45" t="s">
        <v>41</v>
      </c>
      <c r="D2619" s="45" t="s">
        <v>5755</v>
      </c>
    </row>
    <row r="2620" spans="1:4" s="45" customFormat="1" ht="13.5" x14ac:dyDescent="0.15">
      <c r="A2620" s="45" t="s">
        <v>41</v>
      </c>
      <c r="D2620" s="45" t="s">
        <v>5756</v>
      </c>
    </row>
    <row r="2621" spans="1:4" s="45" customFormat="1" ht="13.5" x14ac:dyDescent="0.15">
      <c r="A2621" s="45" t="s">
        <v>41</v>
      </c>
      <c r="D2621" s="45" t="s">
        <v>5757</v>
      </c>
    </row>
    <row r="2622" spans="1:4" s="45" customFormat="1" ht="13.5" x14ac:dyDescent="0.15">
      <c r="A2622" s="45" t="s">
        <v>41</v>
      </c>
      <c r="D2622" s="45" t="s">
        <v>5758</v>
      </c>
    </row>
    <row r="2623" spans="1:4" s="45" customFormat="1" ht="13.5" x14ac:dyDescent="0.15">
      <c r="A2623" s="45" t="s">
        <v>41</v>
      </c>
      <c r="D2623" s="45" t="s">
        <v>2529</v>
      </c>
    </row>
    <row r="2624" spans="1:4" s="45" customFormat="1" ht="13.5" x14ac:dyDescent="0.15">
      <c r="A2624" s="45" t="s">
        <v>41</v>
      </c>
      <c r="D2624" s="45" t="s">
        <v>5759</v>
      </c>
    </row>
    <row r="2625" spans="1:4" s="45" customFormat="1" ht="13.5" x14ac:dyDescent="0.15">
      <c r="A2625" s="45" t="s">
        <v>41</v>
      </c>
      <c r="D2625" s="45" t="s">
        <v>5760</v>
      </c>
    </row>
    <row r="2626" spans="1:4" s="45" customFormat="1" ht="13.5" x14ac:dyDescent="0.15">
      <c r="A2626" s="45" t="s">
        <v>41</v>
      </c>
      <c r="D2626" s="45" t="s">
        <v>5761</v>
      </c>
    </row>
    <row r="2627" spans="1:4" s="45" customFormat="1" ht="13.5" x14ac:dyDescent="0.15">
      <c r="A2627" s="45" t="s">
        <v>41</v>
      </c>
      <c r="D2627" s="45" t="s">
        <v>5762</v>
      </c>
    </row>
    <row r="2628" spans="1:4" s="45" customFormat="1" ht="13.5" x14ac:dyDescent="0.15">
      <c r="A2628" s="45" t="s">
        <v>41</v>
      </c>
      <c r="D2628" s="45" t="s">
        <v>906</v>
      </c>
    </row>
    <row r="2629" spans="1:4" s="45" customFormat="1" ht="13.5" x14ac:dyDescent="0.15">
      <c r="A2629" s="45" t="s">
        <v>41</v>
      </c>
      <c r="D2629" s="45" t="s">
        <v>989</v>
      </c>
    </row>
    <row r="2630" spans="1:4" s="45" customFormat="1" ht="13.5" x14ac:dyDescent="0.15">
      <c r="A2630" s="45" t="s">
        <v>41</v>
      </c>
      <c r="D2630" s="45" t="s">
        <v>990</v>
      </c>
    </row>
    <row r="2631" spans="1:4" s="45" customFormat="1" ht="13.5" x14ac:dyDescent="0.15">
      <c r="A2631" s="45" t="s">
        <v>41</v>
      </c>
      <c r="D2631" s="45" t="s">
        <v>356</v>
      </c>
    </row>
    <row r="2632" spans="1:4" s="45" customFormat="1" ht="13.5" x14ac:dyDescent="0.15">
      <c r="A2632" s="45" t="s">
        <v>41</v>
      </c>
      <c r="D2632" s="45" t="s">
        <v>358</v>
      </c>
    </row>
    <row r="2633" spans="1:4" s="45" customFormat="1" ht="13.5" x14ac:dyDescent="0.15">
      <c r="A2633" s="45" t="s">
        <v>41</v>
      </c>
      <c r="D2633" s="45" t="s">
        <v>357</v>
      </c>
    </row>
    <row r="2634" spans="1:4" s="45" customFormat="1" ht="13.5" x14ac:dyDescent="0.15">
      <c r="A2634" s="45" t="s">
        <v>41</v>
      </c>
      <c r="D2634" s="45" t="s">
        <v>5763</v>
      </c>
    </row>
    <row r="2635" spans="1:4" s="45" customFormat="1" ht="13.5" x14ac:dyDescent="0.15">
      <c r="A2635" s="45" t="s">
        <v>41</v>
      </c>
      <c r="D2635" s="45" t="s">
        <v>5764</v>
      </c>
    </row>
    <row r="2636" spans="1:4" s="45" customFormat="1" ht="13.5" x14ac:dyDescent="0.15">
      <c r="A2636" s="45" t="s">
        <v>41</v>
      </c>
      <c r="D2636" s="45" t="s">
        <v>5765</v>
      </c>
    </row>
    <row r="2637" spans="1:4" s="45" customFormat="1" ht="13.5" x14ac:dyDescent="0.15">
      <c r="A2637" s="45" t="s">
        <v>41</v>
      </c>
      <c r="D2637" s="45" t="s">
        <v>5766</v>
      </c>
    </row>
    <row r="2638" spans="1:4" s="45" customFormat="1" ht="13.5" x14ac:dyDescent="0.15">
      <c r="A2638" s="45" t="s">
        <v>41</v>
      </c>
      <c r="D2638" s="45" t="s">
        <v>5767</v>
      </c>
    </row>
    <row r="2639" spans="1:4" s="45" customFormat="1" ht="13.5" x14ac:dyDescent="0.15">
      <c r="A2639" s="45" t="s">
        <v>41</v>
      </c>
      <c r="D2639" s="45" t="s">
        <v>5768</v>
      </c>
    </row>
    <row r="2640" spans="1:4" s="45" customFormat="1" ht="13.5" x14ac:dyDescent="0.15">
      <c r="A2640" s="45" t="s">
        <v>41</v>
      </c>
      <c r="D2640" s="45" t="s">
        <v>5769</v>
      </c>
    </row>
    <row r="2641" spans="1:4" s="45" customFormat="1" ht="13.5" x14ac:dyDescent="0.15">
      <c r="A2641" s="45" t="s">
        <v>41</v>
      </c>
      <c r="D2641" s="45" t="s">
        <v>5770</v>
      </c>
    </row>
    <row r="2642" spans="1:4" s="45" customFormat="1" ht="13.5" x14ac:dyDescent="0.15">
      <c r="A2642" s="45" t="s">
        <v>41</v>
      </c>
      <c r="D2642" s="45" t="s">
        <v>5771</v>
      </c>
    </row>
    <row r="2643" spans="1:4" s="45" customFormat="1" ht="13.5" x14ac:dyDescent="0.15">
      <c r="A2643" s="45" t="s">
        <v>41</v>
      </c>
      <c r="D2643" s="45" t="s">
        <v>5772</v>
      </c>
    </row>
    <row r="2644" spans="1:4" s="45" customFormat="1" ht="13.5" x14ac:dyDescent="0.15">
      <c r="A2644" s="45" t="s">
        <v>41</v>
      </c>
      <c r="D2644" s="45" t="s">
        <v>5773</v>
      </c>
    </row>
    <row r="2645" spans="1:4" s="45" customFormat="1" ht="13.5" x14ac:dyDescent="0.15">
      <c r="A2645" s="45" t="s">
        <v>41</v>
      </c>
      <c r="D2645" s="45" t="s">
        <v>5774</v>
      </c>
    </row>
    <row r="2646" spans="1:4" s="45" customFormat="1" ht="13.5" x14ac:dyDescent="0.15">
      <c r="A2646" s="45" t="s">
        <v>41</v>
      </c>
      <c r="D2646" s="45" t="s">
        <v>5775</v>
      </c>
    </row>
    <row r="2647" spans="1:4" s="45" customFormat="1" ht="13.5" x14ac:dyDescent="0.15">
      <c r="A2647" s="45" t="s">
        <v>41</v>
      </c>
      <c r="D2647" s="45" t="s">
        <v>5776</v>
      </c>
    </row>
    <row r="2648" spans="1:4" s="45" customFormat="1" ht="13.5" x14ac:dyDescent="0.15">
      <c r="A2648" s="45" t="s">
        <v>41</v>
      </c>
      <c r="D2648" s="45" t="s">
        <v>5777</v>
      </c>
    </row>
    <row r="2649" spans="1:4" s="45" customFormat="1" ht="13.5" x14ac:dyDescent="0.15">
      <c r="A2649" s="45" t="s">
        <v>41</v>
      </c>
      <c r="D2649" s="45" t="s">
        <v>5778</v>
      </c>
    </row>
    <row r="2650" spans="1:4" s="45" customFormat="1" ht="13.5" x14ac:dyDescent="0.15">
      <c r="A2650" s="45" t="s">
        <v>41</v>
      </c>
      <c r="D2650" s="45" t="s">
        <v>5779</v>
      </c>
    </row>
    <row r="2651" spans="1:4" s="45" customFormat="1" ht="13.5" x14ac:dyDescent="0.15">
      <c r="A2651" s="45" t="s">
        <v>41</v>
      </c>
      <c r="D2651" s="45" t="s">
        <v>5780</v>
      </c>
    </row>
    <row r="2652" spans="1:4" s="45" customFormat="1" ht="13.5" x14ac:dyDescent="0.15">
      <c r="A2652" s="45" t="s">
        <v>41</v>
      </c>
      <c r="D2652" s="45" t="s">
        <v>5781</v>
      </c>
    </row>
    <row r="2653" spans="1:4" s="45" customFormat="1" ht="13.5" x14ac:dyDescent="0.15">
      <c r="A2653" s="45" t="s">
        <v>41</v>
      </c>
      <c r="D2653" s="45" t="s">
        <v>5782</v>
      </c>
    </row>
    <row r="2654" spans="1:4" s="45" customFormat="1" ht="13.5" x14ac:dyDescent="0.15">
      <c r="A2654" s="45" t="s">
        <v>41</v>
      </c>
      <c r="D2654" s="45" t="s">
        <v>5783</v>
      </c>
    </row>
    <row r="2655" spans="1:4" s="45" customFormat="1" ht="13.5" x14ac:dyDescent="0.15">
      <c r="A2655" s="45" t="s">
        <v>41</v>
      </c>
      <c r="D2655" s="45" t="s">
        <v>5784</v>
      </c>
    </row>
    <row r="2656" spans="1:4" s="45" customFormat="1" ht="13.5" x14ac:dyDescent="0.15">
      <c r="A2656" s="45" t="s">
        <v>41</v>
      </c>
      <c r="D2656" s="45" t="s">
        <v>5785</v>
      </c>
    </row>
    <row r="2657" spans="1:4" s="45" customFormat="1" ht="13.5" x14ac:dyDescent="0.15">
      <c r="A2657" s="45" t="s">
        <v>41</v>
      </c>
      <c r="D2657" s="45" t="s">
        <v>5786</v>
      </c>
    </row>
    <row r="2658" spans="1:4" s="45" customFormat="1" ht="13.5" x14ac:dyDescent="0.15">
      <c r="A2658" s="45" t="s">
        <v>41</v>
      </c>
      <c r="D2658" s="45" t="s">
        <v>5787</v>
      </c>
    </row>
    <row r="2659" spans="1:4" s="45" customFormat="1" ht="13.5" x14ac:dyDescent="0.15">
      <c r="A2659" s="45" t="s">
        <v>41</v>
      </c>
      <c r="D2659" s="45" t="s">
        <v>366</v>
      </c>
    </row>
    <row r="2660" spans="1:4" s="45" customFormat="1" ht="13.5" x14ac:dyDescent="0.15">
      <c r="A2660" s="45" t="s">
        <v>41</v>
      </c>
      <c r="D2660" s="45" t="s">
        <v>5788</v>
      </c>
    </row>
    <row r="2661" spans="1:4" s="45" customFormat="1" ht="13.5" x14ac:dyDescent="0.15">
      <c r="A2661" s="45" t="s">
        <v>41</v>
      </c>
      <c r="D2661" s="45" t="s">
        <v>5789</v>
      </c>
    </row>
    <row r="2662" spans="1:4" s="45" customFormat="1" ht="13.5" x14ac:dyDescent="0.15">
      <c r="A2662" s="45" t="s">
        <v>41</v>
      </c>
      <c r="D2662" s="45" t="s">
        <v>5790</v>
      </c>
    </row>
    <row r="2663" spans="1:4" s="45" customFormat="1" ht="13.5" x14ac:dyDescent="0.15">
      <c r="A2663" s="45" t="s">
        <v>41</v>
      </c>
      <c r="D2663" s="45" t="s">
        <v>5791</v>
      </c>
    </row>
    <row r="2664" spans="1:4" s="45" customFormat="1" ht="13.5" x14ac:dyDescent="0.15">
      <c r="A2664" s="45" t="s">
        <v>41</v>
      </c>
      <c r="D2664" s="45" t="s">
        <v>5792</v>
      </c>
    </row>
    <row r="2665" spans="1:4" s="45" customFormat="1" ht="13.5" x14ac:dyDescent="0.15">
      <c r="A2665" s="45" t="s">
        <v>41</v>
      </c>
      <c r="D2665" s="45" t="s">
        <v>5793</v>
      </c>
    </row>
    <row r="2666" spans="1:4" s="45" customFormat="1" ht="13.5" x14ac:dyDescent="0.15">
      <c r="A2666" s="45" t="s">
        <v>41</v>
      </c>
      <c r="D2666" s="45" t="s">
        <v>365</v>
      </c>
    </row>
    <row r="2667" spans="1:4" s="45" customFormat="1" ht="13.5" x14ac:dyDescent="0.15">
      <c r="A2667" s="45" t="s">
        <v>41</v>
      </c>
      <c r="D2667" s="45" t="s">
        <v>5794</v>
      </c>
    </row>
    <row r="2668" spans="1:4" s="45" customFormat="1" ht="13.5" x14ac:dyDescent="0.15">
      <c r="A2668" s="45" t="s">
        <v>41</v>
      </c>
      <c r="D2668" s="45" t="s">
        <v>5795</v>
      </c>
    </row>
    <row r="2669" spans="1:4" s="45" customFormat="1" ht="13.5" x14ac:dyDescent="0.15">
      <c r="A2669" s="45" t="s">
        <v>41</v>
      </c>
      <c r="D2669" s="45" t="s">
        <v>5796</v>
      </c>
    </row>
    <row r="2670" spans="1:4" s="45" customFormat="1" ht="13.5" x14ac:dyDescent="0.15">
      <c r="A2670" s="45" t="s">
        <v>41</v>
      </c>
      <c r="D2670" s="45" t="s">
        <v>5797</v>
      </c>
    </row>
    <row r="2671" spans="1:4" s="45" customFormat="1" ht="13.5" x14ac:dyDescent="0.15">
      <c r="A2671" s="45" t="s">
        <v>41</v>
      </c>
      <c r="D2671" s="45" t="s">
        <v>371</v>
      </c>
    </row>
    <row r="2672" spans="1:4" s="45" customFormat="1" ht="13.5" x14ac:dyDescent="0.15">
      <c r="A2672" s="45" t="s">
        <v>41</v>
      </c>
      <c r="D2672" s="45" t="s">
        <v>373</v>
      </c>
    </row>
    <row r="2673" spans="1:4" s="45" customFormat="1" ht="13.5" x14ac:dyDescent="0.15">
      <c r="A2673" s="45" t="s">
        <v>41</v>
      </c>
      <c r="D2673" s="45" t="s">
        <v>372</v>
      </c>
    </row>
    <row r="2674" spans="1:4" s="45" customFormat="1" ht="13.5" x14ac:dyDescent="0.15">
      <c r="A2674" s="45" t="s">
        <v>41</v>
      </c>
      <c r="D2674" s="45" t="s">
        <v>367</v>
      </c>
    </row>
    <row r="2675" spans="1:4" s="45" customFormat="1" ht="13.5" x14ac:dyDescent="0.15">
      <c r="A2675" s="45" t="s">
        <v>41</v>
      </c>
      <c r="D2675" s="45" t="s">
        <v>375</v>
      </c>
    </row>
    <row r="2676" spans="1:4" s="45" customFormat="1" ht="13.5" x14ac:dyDescent="0.15">
      <c r="A2676" s="45" t="s">
        <v>41</v>
      </c>
      <c r="D2676" s="45" t="s">
        <v>368</v>
      </c>
    </row>
    <row r="2677" spans="1:4" s="45" customFormat="1" ht="13.5" x14ac:dyDescent="0.15">
      <c r="A2677" s="45" t="s">
        <v>41</v>
      </c>
      <c r="D2677" s="45" t="s">
        <v>5798</v>
      </c>
    </row>
    <row r="2678" spans="1:4" s="45" customFormat="1" ht="13.5" x14ac:dyDescent="0.15">
      <c r="A2678" s="45" t="s">
        <v>41</v>
      </c>
      <c r="D2678" s="45" t="s">
        <v>370</v>
      </c>
    </row>
    <row r="2679" spans="1:4" s="45" customFormat="1" ht="13.5" x14ac:dyDescent="0.15">
      <c r="A2679" s="45" t="s">
        <v>41</v>
      </c>
      <c r="D2679" s="45" t="s">
        <v>5799</v>
      </c>
    </row>
    <row r="2680" spans="1:4" s="45" customFormat="1" ht="13.5" x14ac:dyDescent="0.15">
      <c r="A2680" s="45" t="s">
        <v>41</v>
      </c>
      <c r="D2680" s="45" t="s">
        <v>5800</v>
      </c>
    </row>
    <row r="2681" spans="1:4" s="45" customFormat="1" ht="13.5" x14ac:dyDescent="0.15">
      <c r="A2681" s="45" t="s">
        <v>41</v>
      </c>
      <c r="D2681" s="45" t="s">
        <v>374</v>
      </c>
    </row>
    <row r="2682" spans="1:4" s="45" customFormat="1" ht="13.5" x14ac:dyDescent="0.15">
      <c r="A2682" s="45" t="s">
        <v>41</v>
      </c>
      <c r="D2682" s="45" t="s">
        <v>5801</v>
      </c>
    </row>
    <row r="2683" spans="1:4" s="45" customFormat="1" ht="13.5" x14ac:dyDescent="0.15">
      <c r="A2683" s="45" t="s">
        <v>41</v>
      </c>
      <c r="D2683" s="45" t="s">
        <v>9755</v>
      </c>
    </row>
    <row r="2684" spans="1:4" s="45" customFormat="1" ht="13.5" x14ac:dyDescent="0.15">
      <c r="A2684" s="45" t="s">
        <v>41</v>
      </c>
      <c r="D2684" s="45" t="s">
        <v>5802</v>
      </c>
    </row>
    <row r="2685" spans="1:4" s="45" customFormat="1" ht="13.5" x14ac:dyDescent="0.15">
      <c r="A2685" s="45" t="s">
        <v>41</v>
      </c>
      <c r="D2685" s="45" t="s">
        <v>369</v>
      </c>
    </row>
    <row r="2686" spans="1:4" s="45" customFormat="1" ht="13.5" x14ac:dyDescent="0.15">
      <c r="A2686" s="45" t="s">
        <v>41</v>
      </c>
      <c r="D2686" s="45" t="s">
        <v>5803</v>
      </c>
    </row>
    <row r="2687" spans="1:4" s="45" customFormat="1" ht="13.5" x14ac:dyDescent="0.15">
      <c r="A2687" s="45" t="s">
        <v>41</v>
      </c>
      <c r="D2687" s="45" t="s">
        <v>5804</v>
      </c>
    </row>
    <row r="2688" spans="1:4" s="45" customFormat="1" ht="13.5" x14ac:dyDescent="0.15">
      <c r="A2688" s="45" t="s">
        <v>41</v>
      </c>
      <c r="D2688" s="45" t="s">
        <v>5805</v>
      </c>
    </row>
    <row r="2689" spans="1:4" s="45" customFormat="1" ht="13.5" x14ac:dyDescent="0.15">
      <c r="A2689" s="45" t="s">
        <v>41</v>
      </c>
      <c r="D2689" s="45" t="s">
        <v>1836</v>
      </c>
    </row>
    <row r="2690" spans="1:4" s="45" customFormat="1" ht="13.5" x14ac:dyDescent="0.15">
      <c r="A2690" s="45" t="s">
        <v>41</v>
      </c>
      <c r="D2690" s="45" t="s">
        <v>2437</v>
      </c>
    </row>
    <row r="2691" spans="1:4" s="45" customFormat="1" ht="13.5" x14ac:dyDescent="0.15">
      <c r="A2691" s="45" t="s">
        <v>41</v>
      </c>
      <c r="D2691" s="45" t="s">
        <v>1624</v>
      </c>
    </row>
    <row r="2692" spans="1:4" s="45" customFormat="1" ht="13.5" x14ac:dyDescent="0.15">
      <c r="A2692" s="45" t="s">
        <v>41</v>
      </c>
      <c r="D2692" s="45" t="s">
        <v>5806</v>
      </c>
    </row>
    <row r="2693" spans="1:4" s="45" customFormat="1" ht="13.5" x14ac:dyDescent="0.15">
      <c r="A2693" s="45" t="s">
        <v>41</v>
      </c>
      <c r="D2693" s="45" t="s">
        <v>1632</v>
      </c>
    </row>
    <row r="2694" spans="1:4" s="45" customFormat="1" ht="13.5" x14ac:dyDescent="0.15">
      <c r="A2694" s="45" t="s">
        <v>41</v>
      </c>
      <c r="D2694" s="45" t="s">
        <v>1633</v>
      </c>
    </row>
    <row r="2695" spans="1:4" s="45" customFormat="1" ht="13.5" x14ac:dyDescent="0.15">
      <c r="A2695" s="45" t="s">
        <v>41</v>
      </c>
      <c r="D2695" s="45" t="s">
        <v>1637</v>
      </c>
    </row>
    <row r="2696" spans="1:4" s="45" customFormat="1" ht="13.5" x14ac:dyDescent="0.15">
      <c r="A2696" s="45" t="s">
        <v>41</v>
      </c>
      <c r="D2696" s="45" t="s">
        <v>1631</v>
      </c>
    </row>
    <row r="2697" spans="1:4" s="45" customFormat="1" ht="13.5" x14ac:dyDescent="0.15">
      <c r="A2697" s="45" t="s">
        <v>41</v>
      </c>
      <c r="D2697" s="45" t="s">
        <v>5807</v>
      </c>
    </row>
    <row r="2698" spans="1:4" s="45" customFormat="1" ht="13.5" x14ac:dyDescent="0.15">
      <c r="A2698" s="45" t="s">
        <v>41</v>
      </c>
      <c r="D2698" s="45" t="s">
        <v>1636</v>
      </c>
    </row>
    <row r="2699" spans="1:4" s="45" customFormat="1" ht="13.5" x14ac:dyDescent="0.15">
      <c r="A2699" s="45" t="s">
        <v>41</v>
      </c>
      <c r="D2699" s="45" t="s">
        <v>1625</v>
      </c>
    </row>
    <row r="2700" spans="1:4" s="45" customFormat="1" ht="13.5" x14ac:dyDescent="0.15">
      <c r="A2700" s="45" t="s">
        <v>41</v>
      </c>
      <c r="D2700" s="45" t="s">
        <v>5808</v>
      </c>
    </row>
    <row r="2701" spans="1:4" s="45" customFormat="1" ht="13.5" x14ac:dyDescent="0.15">
      <c r="A2701" s="45" t="s">
        <v>41</v>
      </c>
      <c r="D2701" s="45" t="s">
        <v>9756</v>
      </c>
    </row>
    <row r="2702" spans="1:4" s="45" customFormat="1" ht="13.5" x14ac:dyDescent="0.15">
      <c r="A2702" s="45" t="s">
        <v>41</v>
      </c>
      <c r="D2702" s="45" t="s">
        <v>1626</v>
      </c>
    </row>
    <row r="2703" spans="1:4" s="45" customFormat="1" ht="13.5" x14ac:dyDescent="0.15">
      <c r="A2703" s="45" t="s">
        <v>41</v>
      </c>
      <c r="D2703" s="45" t="s">
        <v>1627</v>
      </c>
    </row>
    <row r="2704" spans="1:4" s="45" customFormat="1" ht="13.5" x14ac:dyDescent="0.15">
      <c r="A2704" s="45" t="s">
        <v>41</v>
      </c>
      <c r="D2704" s="45" t="s">
        <v>1628</v>
      </c>
    </row>
    <row r="2705" spans="1:4" s="45" customFormat="1" ht="13.5" x14ac:dyDescent="0.15">
      <c r="A2705" s="45" t="s">
        <v>41</v>
      </c>
      <c r="D2705" s="45" t="s">
        <v>1629</v>
      </c>
    </row>
    <row r="2706" spans="1:4" s="45" customFormat="1" ht="13.5" x14ac:dyDescent="0.15">
      <c r="A2706" s="45" t="s">
        <v>41</v>
      </c>
      <c r="D2706" s="45" t="s">
        <v>1634</v>
      </c>
    </row>
    <row r="2707" spans="1:4" s="45" customFormat="1" ht="13.5" x14ac:dyDescent="0.15">
      <c r="A2707" s="45" t="s">
        <v>41</v>
      </c>
      <c r="D2707" s="45" t="s">
        <v>1635</v>
      </c>
    </row>
    <row r="2708" spans="1:4" s="45" customFormat="1" ht="13.5" x14ac:dyDescent="0.15">
      <c r="A2708" s="45" t="s">
        <v>41</v>
      </c>
      <c r="D2708" s="45" t="s">
        <v>1630</v>
      </c>
    </row>
    <row r="2709" spans="1:4" s="45" customFormat="1" ht="13.5" x14ac:dyDescent="0.15">
      <c r="A2709" s="45" t="s">
        <v>41</v>
      </c>
      <c r="D2709" s="45" t="s">
        <v>1639</v>
      </c>
    </row>
    <row r="2710" spans="1:4" s="45" customFormat="1" ht="13.5" x14ac:dyDescent="0.15">
      <c r="A2710" s="45" t="s">
        <v>41</v>
      </c>
      <c r="D2710" s="45" t="s">
        <v>1638</v>
      </c>
    </row>
    <row r="2711" spans="1:4" s="45" customFormat="1" ht="13.5" x14ac:dyDescent="0.15">
      <c r="A2711" s="45" t="s">
        <v>41</v>
      </c>
      <c r="D2711" s="45" t="s">
        <v>5809</v>
      </c>
    </row>
    <row r="2712" spans="1:4" s="45" customFormat="1" ht="13.5" x14ac:dyDescent="0.15">
      <c r="A2712" s="45" t="s">
        <v>41</v>
      </c>
      <c r="D2712" s="45" t="s">
        <v>5810</v>
      </c>
    </row>
    <row r="2713" spans="1:4" s="45" customFormat="1" ht="13.5" x14ac:dyDescent="0.15">
      <c r="A2713" s="45" t="s">
        <v>41</v>
      </c>
      <c r="D2713" s="45" t="s">
        <v>2083</v>
      </c>
    </row>
    <row r="2714" spans="1:4" s="45" customFormat="1" ht="13.5" x14ac:dyDescent="0.15">
      <c r="A2714" s="45" t="s">
        <v>41</v>
      </c>
      <c r="D2714" s="45" t="s">
        <v>5811</v>
      </c>
    </row>
    <row r="2715" spans="1:4" s="45" customFormat="1" ht="13.5" x14ac:dyDescent="0.15">
      <c r="A2715" s="45" t="s">
        <v>41</v>
      </c>
      <c r="D2715" s="45" t="s">
        <v>2218</v>
      </c>
    </row>
    <row r="2716" spans="1:4" s="45" customFormat="1" ht="13.5" x14ac:dyDescent="0.15">
      <c r="A2716" s="45" t="s">
        <v>41</v>
      </c>
      <c r="D2716" s="45" t="s">
        <v>5812</v>
      </c>
    </row>
    <row r="2717" spans="1:4" s="45" customFormat="1" ht="13.5" x14ac:dyDescent="0.15">
      <c r="A2717" s="45" t="s">
        <v>41</v>
      </c>
      <c r="D2717" s="45" t="s">
        <v>529</v>
      </c>
    </row>
    <row r="2718" spans="1:4" s="45" customFormat="1" ht="13.5" x14ac:dyDescent="0.15">
      <c r="A2718" s="45" t="s">
        <v>41</v>
      </c>
      <c r="D2718" s="45" t="s">
        <v>5813</v>
      </c>
    </row>
    <row r="2719" spans="1:4" s="45" customFormat="1" ht="13.5" x14ac:dyDescent="0.15">
      <c r="A2719" s="45" t="s">
        <v>41</v>
      </c>
      <c r="D2719" s="45" t="s">
        <v>530</v>
      </c>
    </row>
    <row r="2720" spans="1:4" s="45" customFormat="1" ht="13.5" x14ac:dyDescent="0.15">
      <c r="A2720" s="45" t="s">
        <v>41</v>
      </c>
      <c r="D2720" s="45" t="s">
        <v>5814</v>
      </c>
    </row>
    <row r="2721" spans="1:4" s="45" customFormat="1" ht="13.5" x14ac:dyDescent="0.15">
      <c r="A2721" s="45" t="s">
        <v>41</v>
      </c>
      <c r="D2721" s="45" t="s">
        <v>2503</v>
      </c>
    </row>
    <row r="2722" spans="1:4" s="45" customFormat="1" ht="13.5" x14ac:dyDescent="0.15">
      <c r="A2722" s="45" t="s">
        <v>41</v>
      </c>
      <c r="D2722" s="45" t="s">
        <v>5815</v>
      </c>
    </row>
    <row r="2723" spans="1:4" s="45" customFormat="1" ht="13.5" x14ac:dyDescent="0.15">
      <c r="A2723" s="45" t="s">
        <v>41</v>
      </c>
      <c r="D2723" s="45" t="s">
        <v>5816</v>
      </c>
    </row>
    <row r="2724" spans="1:4" s="45" customFormat="1" ht="13.5" x14ac:dyDescent="0.15">
      <c r="A2724" s="45" t="s">
        <v>41</v>
      </c>
      <c r="D2724" s="45" t="s">
        <v>5817</v>
      </c>
    </row>
    <row r="2725" spans="1:4" s="45" customFormat="1" ht="13.5" x14ac:dyDescent="0.15">
      <c r="A2725" s="45" t="s">
        <v>41</v>
      </c>
      <c r="D2725" s="45" t="s">
        <v>5818</v>
      </c>
    </row>
    <row r="2726" spans="1:4" s="45" customFormat="1" ht="13.5" x14ac:dyDescent="0.15">
      <c r="A2726" s="45" t="s">
        <v>41</v>
      </c>
      <c r="D2726" s="45" t="s">
        <v>2532</v>
      </c>
    </row>
    <row r="2727" spans="1:4" s="45" customFormat="1" ht="13.5" x14ac:dyDescent="0.15">
      <c r="A2727" s="45" t="s">
        <v>41</v>
      </c>
      <c r="D2727" s="45" t="s">
        <v>2551</v>
      </c>
    </row>
    <row r="2728" spans="1:4" s="45" customFormat="1" ht="13.5" x14ac:dyDescent="0.15">
      <c r="A2728" s="45" t="s">
        <v>41</v>
      </c>
      <c r="D2728" s="45" t="s">
        <v>2097</v>
      </c>
    </row>
    <row r="2729" spans="1:4" s="45" customFormat="1" ht="13.5" x14ac:dyDescent="0.15">
      <c r="A2729" s="45" t="s">
        <v>41</v>
      </c>
      <c r="D2729" s="45" t="s">
        <v>5819</v>
      </c>
    </row>
    <row r="2730" spans="1:4" s="45" customFormat="1" ht="13.5" x14ac:dyDescent="0.15">
      <c r="A2730" s="45" t="s">
        <v>41</v>
      </c>
      <c r="D2730" s="45" t="s">
        <v>1107</v>
      </c>
    </row>
    <row r="2731" spans="1:4" s="45" customFormat="1" ht="13.5" x14ac:dyDescent="0.15">
      <c r="A2731" s="45" t="s">
        <v>41</v>
      </c>
      <c r="D2731" s="45" t="s">
        <v>5820</v>
      </c>
    </row>
    <row r="2732" spans="1:4" s="45" customFormat="1" ht="13.5" x14ac:dyDescent="0.15">
      <c r="A2732" s="45" t="s">
        <v>41</v>
      </c>
      <c r="D2732" s="45" t="s">
        <v>5821</v>
      </c>
    </row>
    <row r="2733" spans="1:4" s="45" customFormat="1" ht="13.5" x14ac:dyDescent="0.15">
      <c r="A2733" s="45" t="s">
        <v>41</v>
      </c>
      <c r="D2733" s="45" t="s">
        <v>5822</v>
      </c>
    </row>
    <row r="2734" spans="1:4" s="45" customFormat="1" ht="13.5" x14ac:dyDescent="0.15">
      <c r="A2734" s="45" t="s">
        <v>41</v>
      </c>
      <c r="D2734" s="45" t="s">
        <v>5823</v>
      </c>
    </row>
    <row r="2735" spans="1:4" s="45" customFormat="1" ht="13.5" x14ac:dyDescent="0.15">
      <c r="A2735" s="45" t="s">
        <v>41</v>
      </c>
      <c r="D2735" s="45" t="s">
        <v>2085</v>
      </c>
    </row>
    <row r="2736" spans="1:4" s="45" customFormat="1" ht="13.5" x14ac:dyDescent="0.15">
      <c r="A2736" s="45" t="s">
        <v>41</v>
      </c>
      <c r="D2736" s="45" t="s">
        <v>2086</v>
      </c>
    </row>
    <row r="2737" spans="1:4" s="45" customFormat="1" ht="13.5" x14ac:dyDescent="0.15">
      <c r="A2737" s="45" t="s">
        <v>41</v>
      </c>
      <c r="D2737" s="45" t="s">
        <v>838</v>
      </c>
    </row>
    <row r="2738" spans="1:4" s="45" customFormat="1" ht="13.5" x14ac:dyDescent="0.15">
      <c r="A2738" s="45" t="s">
        <v>41</v>
      </c>
      <c r="D2738" s="45" t="s">
        <v>5824</v>
      </c>
    </row>
    <row r="2739" spans="1:4" s="45" customFormat="1" ht="13.5" x14ac:dyDescent="0.15">
      <c r="A2739" s="45" t="s">
        <v>41</v>
      </c>
      <c r="D2739" s="45" t="s">
        <v>5825</v>
      </c>
    </row>
    <row r="2740" spans="1:4" s="45" customFormat="1" ht="13.5" x14ac:dyDescent="0.15">
      <c r="A2740" s="45" t="s">
        <v>41</v>
      </c>
      <c r="D2740" s="45" t="s">
        <v>837</v>
      </c>
    </row>
    <row r="2741" spans="1:4" s="45" customFormat="1" ht="13.5" x14ac:dyDescent="0.15">
      <c r="A2741" s="45" t="s">
        <v>41</v>
      </c>
      <c r="D2741" s="45" t="s">
        <v>5826</v>
      </c>
    </row>
    <row r="2742" spans="1:4" s="45" customFormat="1" ht="13.5" x14ac:dyDescent="0.15">
      <c r="A2742" s="45" t="s">
        <v>41</v>
      </c>
      <c r="D2742" s="45" t="s">
        <v>2341</v>
      </c>
    </row>
    <row r="2743" spans="1:4" s="45" customFormat="1" ht="13.5" x14ac:dyDescent="0.15">
      <c r="A2743" s="45" t="s">
        <v>41</v>
      </c>
      <c r="D2743" s="45" t="s">
        <v>5827</v>
      </c>
    </row>
    <row r="2744" spans="1:4" s="45" customFormat="1" ht="13.5" x14ac:dyDescent="0.15">
      <c r="A2744" s="45" t="s">
        <v>41</v>
      </c>
      <c r="D2744" s="45" t="s">
        <v>5828</v>
      </c>
    </row>
    <row r="2745" spans="1:4" s="45" customFormat="1" ht="13.5" x14ac:dyDescent="0.15">
      <c r="A2745" s="45" t="s">
        <v>41</v>
      </c>
      <c r="D2745" s="45" t="s">
        <v>5829</v>
      </c>
    </row>
    <row r="2746" spans="1:4" s="45" customFormat="1" ht="13.5" x14ac:dyDescent="0.15">
      <c r="A2746" s="45" t="s">
        <v>41</v>
      </c>
      <c r="D2746" s="45" t="s">
        <v>5830</v>
      </c>
    </row>
    <row r="2747" spans="1:4" s="45" customFormat="1" ht="13.5" x14ac:dyDescent="0.15">
      <c r="A2747" s="45" t="s">
        <v>41</v>
      </c>
      <c r="D2747" s="45" t="s">
        <v>5831</v>
      </c>
    </row>
    <row r="2748" spans="1:4" s="45" customFormat="1" ht="13.5" x14ac:dyDescent="0.15">
      <c r="A2748" s="45" t="s">
        <v>41</v>
      </c>
      <c r="D2748" s="45" t="s">
        <v>5832</v>
      </c>
    </row>
    <row r="2749" spans="1:4" s="45" customFormat="1" ht="13.5" x14ac:dyDescent="0.15">
      <c r="A2749" s="45" t="s">
        <v>41</v>
      </c>
      <c r="D2749" s="45" t="s">
        <v>5833</v>
      </c>
    </row>
    <row r="2750" spans="1:4" s="45" customFormat="1" ht="13.5" x14ac:dyDescent="0.15">
      <c r="A2750" s="45" t="s">
        <v>41</v>
      </c>
      <c r="D2750" s="45" t="s">
        <v>2132</v>
      </c>
    </row>
    <row r="2751" spans="1:4" s="45" customFormat="1" ht="13.5" x14ac:dyDescent="0.15">
      <c r="A2751" s="45" t="s">
        <v>41</v>
      </c>
      <c r="D2751" s="45" t="s">
        <v>5834</v>
      </c>
    </row>
    <row r="2752" spans="1:4" s="45" customFormat="1" ht="13.5" x14ac:dyDescent="0.15">
      <c r="A2752" s="45" t="s">
        <v>41</v>
      </c>
      <c r="D2752" s="45" t="s">
        <v>5835</v>
      </c>
    </row>
    <row r="2753" spans="1:4" s="45" customFormat="1" ht="13.5" x14ac:dyDescent="0.15">
      <c r="A2753" s="45" t="s">
        <v>41</v>
      </c>
      <c r="D2753" s="45" t="s">
        <v>5836</v>
      </c>
    </row>
    <row r="2754" spans="1:4" s="45" customFormat="1" ht="13.5" x14ac:dyDescent="0.15">
      <c r="A2754" s="45" t="s">
        <v>41</v>
      </c>
      <c r="D2754" s="45" t="s">
        <v>5837</v>
      </c>
    </row>
    <row r="2755" spans="1:4" s="45" customFormat="1" ht="13.5" x14ac:dyDescent="0.15">
      <c r="A2755" s="45" t="s">
        <v>41</v>
      </c>
      <c r="D2755" s="45" t="s">
        <v>5838</v>
      </c>
    </row>
    <row r="2756" spans="1:4" s="45" customFormat="1" ht="13.5" x14ac:dyDescent="0.15">
      <c r="A2756" s="45" t="s">
        <v>41</v>
      </c>
      <c r="D2756" s="45" t="s">
        <v>5839</v>
      </c>
    </row>
    <row r="2757" spans="1:4" s="45" customFormat="1" ht="13.5" x14ac:dyDescent="0.15">
      <c r="A2757" s="45" t="s">
        <v>41</v>
      </c>
      <c r="D2757" s="45" t="s">
        <v>5840</v>
      </c>
    </row>
    <row r="2758" spans="1:4" s="45" customFormat="1" ht="13.5" x14ac:dyDescent="0.15">
      <c r="A2758" s="45" t="s">
        <v>41</v>
      </c>
      <c r="D2758" s="45" t="s">
        <v>984</v>
      </c>
    </row>
    <row r="2759" spans="1:4" s="45" customFormat="1" ht="13.5" x14ac:dyDescent="0.15">
      <c r="A2759" s="45" t="s">
        <v>41</v>
      </c>
      <c r="D2759" s="45" t="s">
        <v>2636</v>
      </c>
    </row>
    <row r="2760" spans="1:4" s="45" customFormat="1" ht="13.5" x14ac:dyDescent="0.15">
      <c r="A2760" s="45" t="s">
        <v>41</v>
      </c>
      <c r="D2760" s="45" t="s">
        <v>2637</v>
      </c>
    </row>
    <row r="2761" spans="1:4" s="45" customFormat="1" ht="13.5" x14ac:dyDescent="0.15">
      <c r="A2761" s="45" t="s">
        <v>41</v>
      </c>
      <c r="D2761" s="45" t="s">
        <v>2639</v>
      </c>
    </row>
    <row r="2762" spans="1:4" s="45" customFormat="1" ht="13.5" x14ac:dyDescent="0.15">
      <c r="A2762" s="45" t="s">
        <v>41</v>
      </c>
      <c r="D2762" s="45" t="s">
        <v>2638</v>
      </c>
    </row>
    <row r="2763" spans="1:4" s="45" customFormat="1" ht="13.5" x14ac:dyDescent="0.15">
      <c r="A2763" s="45" t="s">
        <v>41</v>
      </c>
      <c r="D2763" s="45" t="s">
        <v>5841</v>
      </c>
    </row>
    <row r="2764" spans="1:4" s="45" customFormat="1" ht="13.5" x14ac:dyDescent="0.15">
      <c r="A2764" s="45" t="s">
        <v>41</v>
      </c>
      <c r="D2764" s="45" t="s">
        <v>813</v>
      </c>
    </row>
    <row r="2765" spans="1:4" s="45" customFormat="1" ht="13.5" x14ac:dyDescent="0.15">
      <c r="A2765" s="45" t="s">
        <v>41</v>
      </c>
      <c r="D2765" s="45" t="s">
        <v>2631</v>
      </c>
    </row>
    <row r="2766" spans="1:4" s="45" customFormat="1" ht="13.5" x14ac:dyDescent="0.15">
      <c r="A2766" s="45" t="s">
        <v>41</v>
      </c>
      <c r="D2766" s="45" t="s">
        <v>2632</v>
      </c>
    </row>
    <row r="2767" spans="1:4" s="45" customFormat="1" ht="13.5" x14ac:dyDescent="0.15">
      <c r="A2767" s="45" t="s">
        <v>41</v>
      </c>
      <c r="D2767" s="45" t="s">
        <v>2633</v>
      </c>
    </row>
    <row r="2768" spans="1:4" s="45" customFormat="1" ht="13.5" x14ac:dyDescent="0.15">
      <c r="A2768" s="45" t="s">
        <v>41</v>
      </c>
      <c r="D2768" s="45" t="s">
        <v>2634</v>
      </c>
    </row>
    <row r="2769" spans="1:4" s="45" customFormat="1" ht="13.5" x14ac:dyDescent="0.15">
      <c r="A2769" s="45" t="s">
        <v>41</v>
      </c>
      <c r="D2769" s="45" t="s">
        <v>2635</v>
      </c>
    </row>
    <row r="2770" spans="1:4" s="45" customFormat="1" ht="13.5" x14ac:dyDescent="0.15">
      <c r="A2770" s="45" t="s">
        <v>41</v>
      </c>
      <c r="D2770" s="45" t="s">
        <v>5842</v>
      </c>
    </row>
    <row r="2771" spans="1:4" s="45" customFormat="1" ht="13.5" x14ac:dyDescent="0.15">
      <c r="A2771" s="45" t="s">
        <v>41</v>
      </c>
      <c r="D2771" s="45" t="s">
        <v>5843</v>
      </c>
    </row>
    <row r="2772" spans="1:4" s="45" customFormat="1" ht="13.5" x14ac:dyDescent="0.15">
      <c r="A2772" s="45" t="s">
        <v>41</v>
      </c>
      <c r="D2772" s="45" t="s">
        <v>5844</v>
      </c>
    </row>
    <row r="2773" spans="1:4" s="45" customFormat="1" ht="13.5" x14ac:dyDescent="0.15">
      <c r="A2773" s="45" t="s">
        <v>41</v>
      </c>
      <c r="D2773" s="45" t="s">
        <v>5845</v>
      </c>
    </row>
    <row r="2774" spans="1:4" s="45" customFormat="1" ht="13.5" x14ac:dyDescent="0.15">
      <c r="A2774" s="45" t="s">
        <v>41</v>
      </c>
      <c r="D2774" s="45" t="s">
        <v>2520</v>
      </c>
    </row>
    <row r="2775" spans="1:4" s="45" customFormat="1" ht="13.5" x14ac:dyDescent="0.15">
      <c r="A2775" s="45" t="s">
        <v>41</v>
      </c>
      <c r="D2775" s="45" t="s">
        <v>5846</v>
      </c>
    </row>
    <row r="2776" spans="1:4" s="45" customFormat="1" ht="13.5" x14ac:dyDescent="0.15">
      <c r="A2776" s="45" t="s">
        <v>41</v>
      </c>
      <c r="D2776" s="45" t="s">
        <v>5847</v>
      </c>
    </row>
    <row r="2777" spans="1:4" s="45" customFormat="1" ht="13.5" x14ac:dyDescent="0.15">
      <c r="A2777" s="45" t="s">
        <v>41</v>
      </c>
      <c r="D2777" s="45" t="s">
        <v>5848</v>
      </c>
    </row>
    <row r="2778" spans="1:4" s="45" customFormat="1" ht="13.5" x14ac:dyDescent="0.15">
      <c r="A2778" s="45" t="s">
        <v>41</v>
      </c>
      <c r="D2778" s="45" t="s">
        <v>5849</v>
      </c>
    </row>
    <row r="2779" spans="1:4" s="45" customFormat="1" ht="13.5" x14ac:dyDescent="0.15">
      <c r="A2779" s="45" t="s">
        <v>41</v>
      </c>
      <c r="D2779" s="45" t="s">
        <v>430</v>
      </c>
    </row>
    <row r="2780" spans="1:4" s="45" customFormat="1" ht="13.5" x14ac:dyDescent="0.15">
      <c r="A2780" s="45" t="s">
        <v>41</v>
      </c>
      <c r="D2780" s="45" t="s">
        <v>1557</v>
      </c>
    </row>
    <row r="2781" spans="1:4" s="45" customFormat="1" ht="13.5" x14ac:dyDescent="0.15">
      <c r="A2781" s="45" t="s">
        <v>41</v>
      </c>
      <c r="D2781" s="45" t="s">
        <v>1559</v>
      </c>
    </row>
    <row r="2782" spans="1:4" s="45" customFormat="1" ht="13.5" x14ac:dyDescent="0.15">
      <c r="A2782" s="45" t="s">
        <v>41</v>
      </c>
      <c r="D2782" s="45" t="s">
        <v>1560</v>
      </c>
    </row>
    <row r="2783" spans="1:4" s="45" customFormat="1" ht="13.5" x14ac:dyDescent="0.15">
      <c r="A2783" s="45" t="s">
        <v>41</v>
      </c>
      <c r="D2783" s="45" t="s">
        <v>1563</v>
      </c>
    </row>
    <row r="2784" spans="1:4" s="45" customFormat="1" ht="13.5" x14ac:dyDescent="0.15">
      <c r="A2784" s="45" t="s">
        <v>41</v>
      </c>
      <c r="D2784" s="45" t="s">
        <v>1562</v>
      </c>
    </row>
    <row r="2785" spans="1:4" s="45" customFormat="1" ht="13.5" x14ac:dyDescent="0.15">
      <c r="A2785" s="45" t="s">
        <v>41</v>
      </c>
      <c r="D2785" s="45" t="s">
        <v>1561</v>
      </c>
    </row>
    <row r="2786" spans="1:4" s="45" customFormat="1" ht="13.5" x14ac:dyDescent="0.15">
      <c r="A2786" s="45" t="s">
        <v>41</v>
      </c>
      <c r="D2786" s="45" t="s">
        <v>1832</v>
      </c>
    </row>
    <row r="2787" spans="1:4" s="45" customFormat="1" ht="13.5" x14ac:dyDescent="0.15">
      <c r="A2787" s="45" t="s">
        <v>41</v>
      </c>
      <c r="D2787" s="45" t="s">
        <v>2528</v>
      </c>
    </row>
    <row r="2788" spans="1:4" s="45" customFormat="1" ht="13.5" x14ac:dyDescent="0.15">
      <c r="A2788" s="45" t="s">
        <v>41</v>
      </c>
      <c r="D2788" s="45" t="s">
        <v>2280</v>
      </c>
    </row>
    <row r="2789" spans="1:4" s="45" customFormat="1" ht="13.5" x14ac:dyDescent="0.15">
      <c r="A2789" s="45" t="s">
        <v>41</v>
      </c>
      <c r="D2789" s="45" t="s">
        <v>5850</v>
      </c>
    </row>
    <row r="2790" spans="1:4" s="45" customFormat="1" ht="13.5" x14ac:dyDescent="0.15">
      <c r="A2790" s="45" t="s">
        <v>41</v>
      </c>
      <c r="D2790" s="45" t="s">
        <v>5851</v>
      </c>
    </row>
    <row r="2791" spans="1:4" s="45" customFormat="1" ht="13.5" x14ac:dyDescent="0.15">
      <c r="A2791" s="45" t="s">
        <v>41</v>
      </c>
      <c r="D2791" s="45" t="s">
        <v>2281</v>
      </c>
    </row>
    <row r="2792" spans="1:4" s="45" customFormat="1" ht="13.5" x14ac:dyDescent="0.15">
      <c r="A2792" s="45" t="s">
        <v>41</v>
      </c>
      <c r="D2792" s="45" t="s">
        <v>5852</v>
      </c>
    </row>
    <row r="2793" spans="1:4" s="45" customFormat="1" ht="13.5" x14ac:dyDescent="0.15">
      <c r="A2793" s="45" t="s">
        <v>41</v>
      </c>
      <c r="D2793" s="45" t="s">
        <v>2283</v>
      </c>
    </row>
    <row r="2794" spans="1:4" s="45" customFormat="1" ht="13.5" x14ac:dyDescent="0.15">
      <c r="A2794" s="45" t="s">
        <v>41</v>
      </c>
      <c r="D2794" s="45" t="s">
        <v>5853</v>
      </c>
    </row>
    <row r="2795" spans="1:4" s="45" customFormat="1" ht="13.5" x14ac:dyDescent="0.15">
      <c r="A2795" s="45" t="s">
        <v>41</v>
      </c>
      <c r="D2795" s="45" t="s">
        <v>5854</v>
      </c>
    </row>
    <row r="2796" spans="1:4" s="45" customFormat="1" ht="13.5" x14ac:dyDescent="0.15">
      <c r="A2796" s="45" t="s">
        <v>41</v>
      </c>
      <c r="D2796" s="45" t="s">
        <v>5855</v>
      </c>
    </row>
    <row r="2797" spans="1:4" s="45" customFormat="1" ht="13.5" x14ac:dyDescent="0.15">
      <c r="A2797" s="45" t="s">
        <v>41</v>
      </c>
      <c r="D2797" s="45" t="s">
        <v>5856</v>
      </c>
    </row>
    <row r="2798" spans="1:4" s="45" customFormat="1" ht="13.5" x14ac:dyDescent="0.15">
      <c r="A2798" s="45" t="s">
        <v>41</v>
      </c>
      <c r="D2798" s="45" t="s">
        <v>5857</v>
      </c>
    </row>
    <row r="2799" spans="1:4" s="45" customFormat="1" ht="13.5" x14ac:dyDescent="0.15">
      <c r="A2799" s="45" t="s">
        <v>41</v>
      </c>
      <c r="D2799" s="45" t="s">
        <v>2282</v>
      </c>
    </row>
    <row r="2800" spans="1:4" s="45" customFormat="1" ht="13.5" x14ac:dyDescent="0.15">
      <c r="A2800" s="45" t="s">
        <v>41</v>
      </c>
      <c r="D2800" s="45" t="s">
        <v>5858</v>
      </c>
    </row>
    <row r="2801" spans="1:4" s="45" customFormat="1" ht="13.5" x14ac:dyDescent="0.15">
      <c r="A2801" s="45" t="s">
        <v>41</v>
      </c>
      <c r="D2801" s="45" t="s">
        <v>650</v>
      </c>
    </row>
    <row r="2802" spans="1:4" s="45" customFormat="1" ht="13.5" x14ac:dyDescent="0.15">
      <c r="A2802" s="45" t="s">
        <v>41</v>
      </c>
      <c r="D2802" s="45" t="s">
        <v>5859</v>
      </c>
    </row>
    <row r="2803" spans="1:4" s="45" customFormat="1" ht="13.5" x14ac:dyDescent="0.15">
      <c r="A2803" s="45" t="s">
        <v>41</v>
      </c>
      <c r="D2803" s="45" t="s">
        <v>5860</v>
      </c>
    </row>
    <row r="2804" spans="1:4" s="45" customFormat="1" ht="13.5" x14ac:dyDescent="0.15">
      <c r="A2804" s="45" t="s">
        <v>41</v>
      </c>
      <c r="D2804" s="45" t="s">
        <v>5861</v>
      </c>
    </row>
    <row r="2805" spans="1:4" s="45" customFormat="1" ht="13.5" x14ac:dyDescent="0.15">
      <c r="A2805" s="45" t="s">
        <v>41</v>
      </c>
      <c r="D2805" s="45" t="s">
        <v>5862</v>
      </c>
    </row>
    <row r="2806" spans="1:4" s="45" customFormat="1" ht="13.5" x14ac:dyDescent="0.15">
      <c r="A2806" s="45" t="s">
        <v>41</v>
      </c>
      <c r="D2806" s="45" t="s">
        <v>5863</v>
      </c>
    </row>
    <row r="2807" spans="1:4" s="45" customFormat="1" ht="13.5" x14ac:dyDescent="0.15">
      <c r="A2807" s="45" t="s">
        <v>41</v>
      </c>
      <c r="D2807" s="45" t="s">
        <v>660</v>
      </c>
    </row>
    <row r="2808" spans="1:4" s="45" customFormat="1" ht="13.5" x14ac:dyDescent="0.15">
      <c r="A2808" s="45" t="s">
        <v>41</v>
      </c>
      <c r="D2808" s="45" t="s">
        <v>659</v>
      </c>
    </row>
    <row r="2809" spans="1:4" s="45" customFormat="1" ht="13.5" x14ac:dyDescent="0.15">
      <c r="A2809" s="45" t="s">
        <v>41</v>
      </c>
      <c r="D2809" s="45" t="s">
        <v>658</v>
      </c>
    </row>
    <row r="2810" spans="1:4" s="45" customFormat="1" ht="13.5" x14ac:dyDescent="0.15">
      <c r="A2810" s="45" t="s">
        <v>41</v>
      </c>
      <c r="D2810" s="45" t="s">
        <v>661</v>
      </c>
    </row>
    <row r="2811" spans="1:4" s="45" customFormat="1" ht="13.5" x14ac:dyDescent="0.15">
      <c r="A2811" s="45" t="s">
        <v>41</v>
      </c>
      <c r="D2811" s="45" t="s">
        <v>5864</v>
      </c>
    </row>
    <row r="2812" spans="1:4" s="45" customFormat="1" ht="13.5" x14ac:dyDescent="0.15">
      <c r="A2812" s="45" t="s">
        <v>41</v>
      </c>
      <c r="D2812" s="45" t="s">
        <v>5865</v>
      </c>
    </row>
    <row r="2813" spans="1:4" s="45" customFormat="1" ht="13.5" x14ac:dyDescent="0.15">
      <c r="A2813" s="45" t="s">
        <v>41</v>
      </c>
      <c r="D2813" s="45" t="s">
        <v>5866</v>
      </c>
    </row>
    <row r="2814" spans="1:4" s="45" customFormat="1" ht="13.5" x14ac:dyDescent="0.15">
      <c r="A2814" s="45" t="s">
        <v>41</v>
      </c>
      <c r="D2814" s="45" t="s">
        <v>5867</v>
      </c>
    </row>
    <row r="2815" spans="1:4" s="45" customFormat="1" ht="13.5" x14ac:dyDescent="0.15">
      <c r="A2815" s="45" t="s">
        <v>41</v>
      </c>
      <c r="D2815" s="45" t="s">
        <v>5868</v>
      </c>
    </row>
    <row r="2816" spans="1:4" s="45" customFormat="1" ht="13.5" x14ac:dyDescent="0.15">
      <c r="A2816" s="45" t="s">
        <v>41</v>
      </c>
      <c r="D2816" s="45" t="s">
        <v>654</v>
      </c>
    </row>
    <row r="2817" spans="1:4" s="45" customFormat="1" ht="13.5" x14ac:dyDescent="0.15">
      <c r="A2817" s="45" t="s">
        <v>41</v>
      </c>
      <c r="D2817" s="45" t="s">
        <v>653</v>
      </c>
    </row>
    <row r="2818" spans="1:4" s="45" customFormat="1" ht="13.5" x14ac:dyDescent="0.15">
      <c r="A2818" s="45" t="s">
        <v>41</v>
      </c>
      <c r="D2818" s="45" t="s">
        <v>5869</v>
      </c>
    </row>
    <row r="2819" spans="1:4" s="45" customFormat="1" ht="13.5" x14ac:dyDescent="0.15">
      <c r="A2819" s="45" t="s">
        <v>41</v>
      </c>
      <c r="D2819" s="45" t="s">
        <v>5870</v>
      </c>
    </row>
    <row r="2820" spans="1:4" s="45" customFormat="1" ht="13.5" x14ac:dyDescent="0.15">
      <c r="A2820" s="45" t="s">
        <v>41</v>
      </c>
      <c r="D2820" s="45" t="s">
        <v>655</v>
      </c>
    </row>
    <row r="2821" spans="1:4" s="45" customFormat="1" ht="13.5" x14ac:dyDescent="0.15">
      <c r="A2821" s="45" t="s">
        <v>41</v>
      </c>
      <c r="D2821" s="45" t="s">
        <v>5871</v>
      </c>
    </row>
    <row r="2822" spans="1:4" s="45" customFormat="1" ht="13.5" x14ac:dyDescent="0.15">
      <c r="A2822" s="45" t="s">
        <v>41</v>
      </c>
      <c r="D2822" s="45" t="s">
        <v>651</v>
      </c>
    </row>
    <row r="2823" spans="1:4" s="45" customFormat="1" ht="13.5" x14ac:dyDescent="0.15">
      <c r="A2823" s="45" t="s">
        <v>41</v>
      </c>
      <c r="D2823" s="45" t="s">
        <v>652</v>
      </c>
    </row>
    <row r="2824" spans="1:4" s="45" customFormat="1" ht="13.5" x14ac:dyDescent="0.15">
      <c r="A2824" s="45" t="s">
        <v>41</v>
      </c>
      <c r="D2824" s="45" t="s">
        <v>5872</v>
      </c>
    </row>
    <row r="2825" spans="1:4" s="45" customFormat="1" ht="13.5" x14ac:dyDescent="0.15">
      <c r="A2825" s="45" t="s">
        <v>41</v>
      </c>
      <c r="D2825" s="45" t="s">
        <v>656</v>
      </c>
    </row>
    <row r="2826" spans="1:4" s="45" customFormat="1" ht="13.5" x14ac:dyDescent="0.15">
      <c r="A2826" s="45" t="s">
        <v>41</v>
      </c>
      <c r="D2826" s="45" t="s">
        <v>5873</v>
      </c>
    </row>
    <row r="2827" spans="1:4" s="45" customFormat="1" ht="13.5" x14ac:dyDescent="0.15">
      <c r="A2827" s="45" t="s">
        <v>41</v>
      </c>
      <c r="D2827" s="45" t="s">
        <v>657</v>
      </c>
    </row>
    <row r="2828" spans="1:4" s="45" customFormat="1" ht="13.5" x14ac:dyDescent="0.15">
      <c r="A2828" s="45" t="s">
        <v>41</v>
      </c>
      <c r="D2828" s="45" t="s">
        <v>646</v>
      </c>
    </row>
    <row r="2829" spans="1:4" s="45" customFormat="1" ht="13.5" x14ac:dyDescent="0.15">
      <c r="A2829" s="45" t="s">
        <v>41</v>
      </c>
      <c r="D2829" s="45" t="s">
        <v>647</v>
      </c>
    </row>
    <row r="2830" spans="1:4" s="45" customFormat="1" ht="13.5" x14ac:dyDescent="0.15">
      <c r="A2830" s="45" t="s">
        <v>41</v>
      </c>
      <c r="D2830" s="45" t="s">
        <v>5874</v>
      </c>
    </row>
    <row r="2831" spans="1:4" s="45" customFormat="1" ht="13.5" x14ac:dyDescent="0.15">
      <c r="A2831" s="45" t="s">
        <v>41</v>
      </c>
      <c r="D2831" s="45" t="s">
        <v>648</v>
      </c>
    </row>
    <row r="2832" spans="1:4" s="45" customFormat="1" ht="13.5" x14ac:dyDescent="0.15">
      <c r="A2832" s="45" t="s">
        <v>41</v>
      </c>
      <c r="D2832" s="45" t="s">
        <v>649</v>
      </c>
    </row>
    <row r="2833" spans="1:4" s="45" customFormat="1" ht="13.5" x14ac:dyDescent="0.15">
      <c r="A2833" s="45" t="s">
        <v>41</v>
      </c>
      <c r="D2833" s="45" t="s">
        <v>5875</v>
      </c>
    </row>
    <row r="2834" spans="1:4" s="45" customFormat="1" ht="13.5" x14ac:dyDescent="0.15">
      <c r="A2834" s="45" t="s">
        <v>41</v>
      </c>
      <c r="D2834" s="45" t="s">
        <v>5876</v>
      </c>
    </row>
    <row r="2835" spans="1:4" s="45" customFormat="1" ht="13.5" x14ac:dyDescent="0.15">
      <c r="A2835" s="45" t="s">
        <v>41</v>
      </c>
      <c r="D2835" s="45" t="s">
        <v>5877</v>
      </c>
    </row>
    <row r="2836" spans="1:4" s="45" customFormat="1" ht="13.5" x14ac:dyDescent="0.15">
      <c r="A2836" s="45" t="s">
        <v>41</v>
      </c>
      <c r="D2836" s="45" t="s">
        <v>5878</v>
      </c>
    </row>
    <row r="2837" spans="1:4" s="45" customFormat="1" ht="13.5" x14ac:dyDescent="0.15">
      <c r="A2837" s="45" t="s">
        <v>41</v>
      </c>
      <c r="D2837" s="45" t="s">
        <v>5879</v>
      </c>
    </row>
    <row r="2838" spans="1:4" s="45" customFormat="1" ht="13.5" x14ac:dyDescent="0.15">
      <c r="A2838" s="45" t="s">
        <v>41</v>
      </c>
      <c r="D2838" s="45" t="s">
        <v>5880</v>
      </c>
    </row>
    <row r="2839" spans="1:4" s="45" customFormat="1" ht="13.5" x14ac:dyDescent="0.15">
      <c r="A2839" s="45" t="s">
        <v>41</v>
      </c>
      <c r="D2839" s="45" t="s">
        <v>5881</v>
      </c>
    </row>
    <row r="2840" spans="1:4" s="45" customFormat="1" ht="13.5" x14ac:dyDescent="0.15">
      <c r="A2840" s="45" t="s">
        <v>41</v>
      </c>
      <c r="D2840" s="45" t="s">
        <v>5882</v>
      </c>
    </row>
    <row r="2841" spans="1:4" s="45" customFormat="1" ht="13.5" x14ac:dyDescent="0.15">
      <c r="A2841" s="45" t="s">
        <v>41</v>
      </c>
      <c r="D2841" s="45" t="s">
        <v>5883</v>
      </c>
    </row>
    <row r="2842" spans="1:4" s="45" customFormat="1" ht="13.5" x14ac:dyDescent="0.15">
      <c r="A2842" s="45" t="s">
        <v>41</v>
      </c>
      <c r="D2842" s="45" t="s">
        <v>662</v>
      </c>
    </row>
    <row r="2843" spans="1:4" s="45" customFormat="1" ht="13.5" x14ac:dyDescent="0.15">
      <c r="A2843" s="45" t="s">
        <v>41</v>
      </c>
      <c r="D2843" s="45" t="s">
        <v>663</v>
      </c>
    </row>
    <row r="2844" spans="1:4" s="45" customFormat="1" ht="13.5" x14ac:dyDescent="0.15">
      <c r="A2844" s="45" t="s">
        <v>41</v>
      </c>
      <c r="D2844" s="45" t="s">
        <v>665</v>
      </c>
    </row>
    <row r="2845" spans="1:4" s="45" customFormat="1" ht="13.5" x14ac:dyDescent="0.15">
      <c r="A2845" s="45" t="s">
        <v>41</v>
      </c>
      <c r="D2845" s="45" t="s">
        <v>5884</v>
      </c>
    </row>
    <row r="2846" spans="1:4" s="45" customFormat="1" ht="13.5" x14ac:dyDescent="0.15">
      <c r="A2846" s="45" t="s">
        <v>41</v>
      </c>
      <c r="D2846" s="45" t="s">
        <v>664</v>
      </c>
    </row>
    <row r="2847" spans="1:4" s="45" customFormat="1" ht="13.5" x14ac:dyDescent="0.15">
      <c r="A2847" s="45" t="s">
        <v>41</v>
      </c>
      <c r="D2847" s="45" t="s">
        <v>5885</v>
      </c>
    </row>
    <row r="2848" spans="1:4" s="45" customFormat="1" ht="13.5" x14ac:dyDescent="0.15">
      <c r="A2848" s="45" t="s">
        <v>41</v>
      </c>
      <c r="D2848" s="45" t="s">
        <v>5886</v>
      </c>
    </row>
    <row r="2849" spans="1:4" s="45" customFormat="1" ht="13.5" x14ac:dyDescent="0.15">
      <c r="A2849" s="45" t="s">
        <v>41</v>
      </c>
      <c r="D2849" s="45" t="s">
        <v>5887</v>
      </c>
    </row>
    <row r="2850" spans="1:4" s="45" customFormat="1" ht="13.5" x14ac:dyDescent="0.15">
      <c r="A2850" s="45" t="s">
        <v>41</v>
      </c>
      <c r="D2850" s="45" t="s">
        <v>608</v>
      </c>
    </row>
    <row r="2851" spans="1:4" s="45" customFormat="1" ht="13.5" x14ac:dyDescent="0.15">
      <c r="A2851" s="45" t="s">
        <v>41</v>
      </c>
      <c r="D2851" s="45" t="s">
        <v>5888</v>
      </c>
    </row>
    <row r="2852" spans="1:4" s="45" customFormat="1" ht="13.5" x14ac:dyDescent="0.15">
      <c r="A2852" s="45" t="s">
        <v>41</v>
      </c>
      <c r="D2852" s="45" t="s">
        <v>5889</v>
      </c>
    </row>
    <row r="2853" spans="1:4" s="45" customFormat="1" ht="13.5" x14ac:dyDescent="0.15">
      <c r="A2853" s="45" t="s">
        <v>41</v>
      </c>
      <c r="D2853" s="45" t="s">
        <v>5890</v>
      </c>
    </row>
    <row r="2854" spans="1:4" s="45" customFormat="1" ht="13.5" x14ac:dyDescent="0.15">
      <c r="A2854" s="45" t="s">
        <v>41</v>
      </c>
      <c r="D2854" s="45" t="s">
        <v>5891</v>
      </c>
    </row>
    <row r="2855" spans="1:4" s="45" customFormat="1" ht="13.5" x14ac:dyDescent="0.15">
      <c r="A2855" s="45" t="s">
        <v>41</v>
      </c>
      <c r="D2855" s="45" t="s">
        <v>5892</v>
      </c>
    </row>
    <row r="2856" spans="1:4" s="45" customFormat="1" ht="13.5" x14ac:dyDescent="0.15">
      <c r="A2856" s="45" t="s">
        <v>41</v>
      </c>
      <c r="D2856" s="45" t="s">
        <v>1500</v>
      </c>
    </row>
    <row r="2857" spans="1:4" s="45" customFormat="1" ht="13.5" x14ac:dyDescent="0.15">
      <c r="A2857" s="45" t="s">
        <v>41</v>
      </c>
      <c r="D2857" s="45" t="s">
        <v>5893</v>
      </c>
    </row>
    <row r="2858" spans="1:4" s="45" customFormat="1" ht="13.5" x14ac:dyDescent="0.15">
      <c r="A2858" s="45" t="s">
        <v>41</v>
      </c>
      <c r="D2858" s="45" t="s">
        <v>5894</v>
      </c>
    </row>
    <row r="2859" spans="1:4" s="45" customFormat="1" ht="13.5" x14ac:dyDescent="0.15">
      <c r="A2859" s="45" t="s">
        <v>41</v>
      </c>
      <c r="D2859" s="45" t="s">
        <v>1499</v>
      </c>
    </row>
    <row r="2860" spans="1:4" s="45" customFormat="1" ht="13.5" x14ac:dyDescent="0.15">
      <c r="A2860" s="45" t="s">
        <v>41</v>
      </c>
      <c r="D2860" s="45" t="s">
        <v>5895</v>
      </c>
    </row>
    <row r="2861" spans="1:4" s="45" customFormat="1" ht="13.5" x14ac:dyDescent="0.15">
      <c r="A2861" s="45" t="s">
        <v>41</v>
      </c>
      <c r="D2861" s="45" t="s">
        <v>2441</v>
      </c>
    </row>
    <row r="2862" spans="1:4" s="45" customFormat="1" ht="13.5" x14ac:dyDescent="0.15">
      <c r="A2862" s="45" t="s">
        <v>41</v>
      </c>
      <c r="D2862" s="45" t="s">
        <v>5896</v>
      </c>
    </row>
    <row r="2863" spans="1:4" s="45" customFormat="1" ht="13.5" x14ac:dyDescent="0.15">
      <c r="A2863" s="45" t="s">
        <v>41</v>
      </c>
      <c r="D2863" s="45" t="s">
        <v>5897</v>
      </c>
    </row>
    <row r="2864" spans="1:4" s="45" customFormat="1" ht="13.5" x14ac:dyDescent="0.15">
      <c r="A2864" s="45" t="s">
        <v>41</v>
      </c>
      <c r="D2864" s="45" t="s">
        <v>5898</v>
      </c>
    </row>
    <row r="2865" spans="1:4" s="45" customFormat="1" ht="13.5" x14ac:dyDescent="0.15">
      <c r="A2865" s="45" t="s">
        <v>41</v>
      </c>
      <c r="D2865" s="45" t="s">
        <v>5899</v>
      </c>
    </row>
    <row r="2866" spans="1:4" s="45" customFormat="1" ht="13.5" x14ac:dyDescent="0.15">
      <c r="A2866" s="45" t="s">
        <v>41</v>
      </c>
      <c r="D2866" s="45" t="s">
        <v>5900</v>
      </c>
    </row>
    <row r="2867" spans="1:4" s="45" customFormat="1" ht="13.5" x14ac:dyDescent="0.15">
      <c r="A2867" s="45" t="s">
        <v>41</v>
      </c>
      <c r="D2867" s="45" t="s">
        <v>5901</v>
      </c>
    </row>
    <row r="2868" spans="1:4" s="45" customFormat="1" ht="13.5" x14ac:dyDescent="0.15">
      <c r="A2868" s="45" t="s">
        <v>41</v>
      </c>
      <c r="D2868" s="45" t="s">
        <v>5902</v>
      </c>
    </row>
    <row r="2869" spans="1:4" s="45" customFormat="1" ht="13.5" x14ac:dyDescent="0.15">
      <c r="A2869" s="45" t="s">
        <v>41</v>
      </c>
      <c r="D2869" s="45" t="s">
        <v>5903</v>
      </c>
    </row>
    <row r="2870" spans="1:4" s="45" customFormat="1" ht="13.5" x14ac:dyDescent="0.15">
      <c r="A2870" s="45" t="s">
        <v>41</v>
      </c>
      <c r="D2870" s="45" t="s">
        <v>5904</v>
      </c>
    </row>
    <row r="2871" spans="1:4" s="45" customFormat="1" ht="13.5" x14ac:dyDescent="0.15">
      <c r="A2871" s="45" t="s">
        <v>41</v>
      </c>
      <c r="D2871" s="45" t="s">
        <v>2434</v>
      </c>
    </row>
    <row r="2872" spans="1:4" s="45" customFormat="1" ht="13.5" x14ac:dyDescent="0.15">
      <c r="A2872" s="45" t="s">
        <v>41</v>
      </c>
      <c r="D2872" s="45" t="s">
        <v>2436</v>
      </c>
    </row>
    <row r="2873" spans="1:4" s="45" customFormat="1" ht="13.5" x14ac:dyDescent="0.15">
      <c r="A2873" s="45" t="s">
        <v>41</v>
      </c>
      <c r="D2873" s="45" t="s">
        <v>2435</v>
      </c>
    </row>
    <row r="2874" spans="1:4" s="45" customFormat="1" ht="13.5" x14ac:dyDescent="0.15">
      <c r="A2874" s="45" t="s">
        <v>41</v>
      </c>
      <c r="D2874" s="45" t="s">
        <v>2342</v>
      </c>
    </row>
    <row r="2875" spans="1:4" s="45" customFormat="1" ht="13.5" x14ac:dyDescent="0.15">
      <c r="A2875" s="45" t="s">
        <v>41</v>
      </c>
      <c r="D2875" s="45" t="s">
        <v>5905</v>
      </c>
    </row>
    <row r="2876" spans="1:4" s="45" customFormat="1" ht="13.5" x14ac:dyDescent="0.15">
      <c r="A2876" s="45" t="s">
        <v>41</v>
      </c>
      <c r="D2876" s="45" t="s">
        <v>5906</v>
      </c>
    </row>
    <row r="2877" spans="1:4" s="45" customFormat="1" ht="13.5" x14ac:dyDescent="0.15">
      <c r="A2877" s="45" t="s">
        <v>41</v>
      </c>
      <c r="D2877" s="45" t="s">
        <v>1565</v>
      </c>
    </row>
    <row r="2878" spans="1:4" s="45" customFormat="1" ht="13.5" x14ac:dyDescent="0.15">
      <c r="A2878" s="45" t="s">
        <v>41</v>
      </c>
      <c r="D2878" s="45" t="s">
        <v>5907</v>
      </c>
    </row>
    <row r="2879" spans="1:4" s="45" customFormat="1" ht="13.5" x14ac:dyDescent="0.15">
      <c r="A2879" s="45" t="s">
        <v>41</v>
      </c>
      <c r="D2879" s="45" t="s">
        <v>5908</v>
      </c>
    </row>
    <row r="2880" spans="1:4" s="45" customFormat="1" ht="13.5" x14ac:dyDescent="0.15">
      <c r="A2880" s="45" t="s">
        <v>41</v>
      </c>
      <c r="D2880" s="45" t="s">
        <v>5909</v>
      </c>
    </row>
    <row r="2881" spans="1:4" s="45" customFormat="1" ht="13.5" x14ac:dyDescent="0.15">
      <c r="A2881" s="45" t="s">
        <v>41</v>
      </c>
      <c r="D2881" s="45" t="s">
        <v>5910</v>
      </c>
    </row>
    <row r="2882" spans="1:4" s="45" customFormat="1" ht="13.5" x14ac:dyDescent="0.15">
      <c r="A2882" s="45" t="s">
        <v>41</v>
      </c>
      <c r="D2882" s="45" t="s">
        <v>5911</v>
      </c>
    </row>
    <row r="2883" spans="1:4" s="45" customFormat="1" ht="13.5" x14ac:dyDescent="0.15">
      <c r="A2883" s="45" t="s">
        <v>41</v>
      </c>
      <c r="D2883" s="45" t="s">
        <v>5912</v>
      </c>
    </row>
    <row r="2884" spans="1:4" s="45" customFormat="1" ht="13.5" x14ac:dyDescent="0.15">
      <c r="A2884" s="45" t="s">
        <v>41</v>
      </c>
      <c r="D2884" s="45" t="s">
        <v>5913</v>
      </c>
    </row>
    <row r="2885" spans="1:4" s="45" customFormat="1" ht="13.5" x14ac:dyDescent="0.15">
      <c r="A2885" s="45" t="s">
        <v>41</v>
      </c>
      <c r="D2885" s="45" t="s">
        <v>2449</v>
      </c>
    </row>
    <row r="2886" spans="1:4" s="45" customFormat="1" ht="13.5" x14ac:dyDescent="0.15">
      <c r="A2886" s="45" t="s">
        <v>41</v>
      </c>
      <c r="D2886" s="45" t="s">
        <v>1584</v>
      </c>
    </row>
    <row r="2887" spans="1:4" s="45" customFormat="1" ht="13.5" x14ac:dyDescent="0.15">
      <c r="A2887" s="45" t="s">
        <v>41</v>
      </c>
      <c r="D2887" s="45" t="s">
        <v>5914</v>
      </c>
    </row>
    <row r="2888" spans="1:4" s="45" customFormat="1" ht="13.5" x14ac:dyDescent="0.15">
      <c r="A2888" s="45" t="s">
        <v>41</v>
      </c>
      <c r="D2888" s="45" t="s">
        <v>5915</v>
      </c>
    </row>
    <row r="2889" spans="1:4" s="45" customFormat="1" ht="13.5" x14ac:dyDescent="0.15">
      <c r="A2889" s="45" t="s">
        <v>41</v>
      </c>
      <c r="D2889" s="45" t="s">
        <v>5916</v>
      </c>
    </row>
    <row r="2890" spans="1:4" s="45" customFormat="1" ht="13.5" x14ac:dyDescent="0.15">
      <c r="A2890" s="45" t="s">
        <v>41</v>
      </c>
      <c r="D2890" s="45" t="s">
        <v>5917</v>
      </c>
    </row>
    <row r="2891" spans="1:4" s="45" customFormat="1" ht="13.5" x14ac:dyDescent="0.15">
      <c r="A2891" s="45" t="s">
        <v>41</v>
      </c>
      <c r="D2891" s="45" t="s">
        <v>258</v>
      </c>
    </row>
    <row r="2892" spans="1:4" s="45" customFormat="1" ht="13.5" x14ac:dyDescent="0.15">
      <c r="A2892" s="45" t="s">
        <v>41</v>
      </c>
      <c r="D2892" s="45" t="s">
        <v>5918</v>
      </c>
    </row>
    <row r="2893" spans="1:4" s="45" customFormat="1" ht="13.5" x14ac:dyDescent="0.15">
      <c r="A2893" s="45" t="s">
        <v>41</v>
      </c>
      <c r="D2893" s="45" t="s">
        <v>5919</v>
      </c>
    </row>
    <row r="2894" spans="1:4" s="45" customFormat="1" ht="13.5" x14ac:dyDescent="0.15">
      <c r="A2894" s="45" t="s">
        <v>41</v>
      </c>
      <c r="D2894" s="45" t="s">
        <v>5920</v>
      </c>
    </row>
    <row r="2895" spans="1:4" s="45" customFormat="1" ht="13.5" x14ac:dyDescent="0.15">
      <c r="A2895" s="45" t="s">
        <v>41</v>
      </c>
      <c r="D2895" s="45" t="s">
        <v>5921</v>
      </c>
    </row>
    <row r="2896" spans="1:4" s="45" customFormat="1" ht="13.5" x14ac:dyDescent="0.15">
      <c r="A2896" s="45" t="s">
        <v>41</v>
      </c>
      <c r="D2896" s="45" t="s">
        <v>5922</v>
      </c>
    </row>
    <row r="2897" spans="1:4" s="45" customFormat="1" ht="13.5" x14ac:dyDescent="0.15">
      <c r="A2897" s="45" t="s">
        <v>41</v>
      </c>
      <c r="D2897" s="45" t="s">
        <v>606</v>
      </c>
    </row>
    <row r="2898" spans="1:4" s="45" customFormat="1" ht="13.5" x14ac:dyDescent="0.15">
      <c r="A2898" s="45" t="s">
        <v>41</v>
      </c>
      <c r="D2898" s="45" t="s">
        <v>5923</v>
      </c>
    </row>
    <row r="2899" spans="1:4" s="45" customFormat="1" ht="13.5" x14ac:dyDescent="0.15">
      <c r="A2899" s="45" t="s">
        <v>41</v>
      </c>
      <c r="D2899" s="45" t="s">
        <v>5924</v>
      </c>
    </row>
    <row r="2900" spans="1:4" s="45" customFormat="1" ht="13.5" x14ac:dyDescent="0.15">
      <c r="A2900" s="45" t="s">
        <v>41</v>
      </c>
      <c r="D2900" s="45" t="s">
        <v>5925</v>
      </c>
    </row>
    <row r="2901" spans="1:4" s="45" customFormat="1" ht="13.5" x14ac:dyDescent="0.15">
      <c r="A2901" s="45" t="s">
        <v>41</v>
      </c>
      <c r="D2901" s="45" t="s">
        <v>5926</v>
      </c>
    </row>
    <row r="2902" spans="1:4" s="45" customFormat="1" ht="13.5" x14ac:dyDescent="0.15">
      <c r="A2902" s="45" t="s">
        <v>41</v>
      </c>
      <c r="D2902" s="45" t="s">
        <v>5927</v>
      </c>
    </row>
    <row r="2903" spans="1:4" s="45" customFormat="1" ht="13.5" x14ac:dyDescent="0.15">
      <c r="A2903" s="45" t="s">
        <v>41</v>
      </c>
      <c r="D2903" s="45" t="s">
        <v>5928</v>
      </c>
    </row>
    <row r="2904" spans="1:4" s="45" customFormat="1" ht="13.5" x14ac:dyDescent="0.15">
      <c r="A2904" s="45" t="s">
        <v>41</v>
      </c>
      <c r="D2904" s="45" t="s">
        <v>5929</v>
      </c>
    </row>
    <row r="2905" spans="1:4" s="45" customFormat="1" ht="13.5" x14ac:dyDescent="0.15">
      <c r="A2905" s="45" t="s">
        <v>41</v>
      </c>
      <c r="D2905" s="45" t="s">
        <v>1456</v>
      </c>
    </row>
    <row r="2906" spans="1:4" s="45" customFormat="1" ht="13.5" x14ac:dyDescent="0.15">
      <c r="A2906" s="45" t="s">
        <v>41</v>
      </c>
      <c r="D2906" s="45" t="s">
        <v>5930</v>
      </c>
    </row>
    <row r="2907" spans="1:4" s="45" customFormat="1" ht="13.5" x14ac:dyDescent="0.15">
      <c r="A2907" s="45" t="s">
        <v>41</v>
      </c>
      <c r="D2907" s="45" t="s">
        <v>1457</v>
      </c>
    </row>
    <row r="2908" spans="1:4" s="45" customFormat="1" ht="13.5" x14ac:dyDescent="0.15">
      <c r="A2908" s="45" t="s">
        <v>41</v>
      </c>
      <c r="D2908" s="45" t="s">
        <v>5931</v>
      </c>
    </row>
    <row r="2909" spans="1:4" s="45" customFormat="1" ht="13.5" x14ac:dyDescent="0.15">
      <c r="A2909" s="45" t="s">
        <v>41</v>
      </c>
      <c r="D2909" s="45" t="s">
        <v>1362</v>
      </c>
    </row>
    <row r="2910" spans="1:4" s="45" customFormat="1" ht="13.5" x14ac:dyDescent="0.15">
      <c r="A2910" s="45" t="s">
        <v>41</v>
      </c>
      <c r="D2910" s="45" t="s">
        <v>5932</v>
      </c>
    </row>
    <row r="2911" spans="1:4" s="45" customFormat="1" ht="13.5" x14ac:dyDescent="0.15">
      <c r="A2911" s="45" t="s">
        <v>41</v>
      </c>
      <c r="D2911" s="45" t="s">
        <v>1364</v>
      </c>
    </row>
    <row r="2912" spans="1:4" s="45" customFormat="1" ht="13.5" x14ac:dyDescent="0.15">
      <c r="A2912" s="45" t="s">
        <v>41</v>
      </c>
      <c r="D2912" s="45" t="s">
        <v>5933</v>
      </c>
    </row>
    <row r="2913" spans="1:4" s="45" customFormat="1" ht="13.5" x14ac:dyDescent="0.15">
      <c r="A2913" s="45" t="s">
        <v>41</v>
      </c>
      <c r="D2913" s="45" t="s">
        <v>5934</v>
      </c>
    </row>
    <row r="2914" spans="1:4" s="45" customFormat="1" ht="13.5" x14ac:dyDescent="0.15">
      <c r="A2914" s="45" t="s">
        <v>41</v>
      </c>
      <c r="D2914" s="45" t="s">
        <v>5935</v>
      </c>
    </row>
    <row r="2915" spans="1:4" s="45" customFormat="1" ht="13.5" x14ac:dyDescent="0.15">
      <c r="A2915" s="45" t="s">
        <v>41</v>
      </c>
      <c r="D2915" s="45" t="s">
        <v>1363</v>
      </c>
    </row>
    <row r="2916" spans="1:4" s="45" customFormat="1" ht="13.5" x14ac:dyDescent="0.15">
      <c r="A2916" s="45" t="s">
        <v>41</v>
      </c>
      <c r="D2916" s="45" t="s">
        <v>5936</v>
      </c>
    </row>
    <row r="2917" spans="1:4" s="45" customFormat="1" ht="13.5" x14ac:dyDescent="0.15">
      <c r="A2917" s="45" t="s">
        <v>41</v>
      </c>
      <c r="D2917" s="45" t="s">
        <v>5937</v>
      </c>
    </row>
    <row r="2918" spans="1:4" s="45" customFormat="1" ht="13.5" x14ac:dyDescent="0.15">
      <c r="A2918" s="45" t="s">
        <v>41</v>
      </c>
      <c r="D2918" s="45" t="s">
        <v>2167</v>
      </c>
    </row>
    <row r="2919" spans="1:4" s="45" customFormat="1" ht="13.5" x14ac:dyDescent="0.15">
      <c r="A2919" s="45" t="s">
        <v>41</v>
      </c>
      <c r="D2919" s="45" t="s">
        <v>2168</v>
      </c>
    </row>
    <row r="2920" spans="1:4" s="45" customFormat="1" ht="13.5" x14ac:dyDescent="0.15">
      <c r="A2920" s="45" t="s">
        <v>41</v>
      </c>
      <c r="D2920" s="45" t="s">
        <v>2169</v>
      </c>
    </row>
    <row r="2921" spans="1:4" s="45" customFormat="1" ht="13.5" x14ac:dyDescent="0.15">
      <c r="A2921" s="45" t="s">
        <v>41</v>
      </c>
      <c r="D2921" s="45" t="s">
        <v>5938</v>
      </c>
    </row>
    <row r="2922" spans="1:4" s="45" customFormat="1" ht="13.5" x14ac:dyDescent="0.15">
      <c r="A2922" s="45" t="s">
        <v>41</v>
      </c>
      <c r="D2922" s="45" t="s">
        <v>2137</v>
      </c>
    </row>
    <row r="2923" spans="1:4" s="45" customFormat="1" ht="13.5" x14ac:dyDescent="0.15">
      <c r="A2923" s="45" t="s">
        <v>41</v>
      </c>
      <c r="D2923" s="45" t="s">
        <v>5939</v>
      </c>
    </row>
    <row r="2924" spans="1:4" s="45" customFormat="1" ht="13.5" x14ac:dyDescent="0.15">
      <c r="A2924" s="45" t="s">
        <v>41</v>
      </c>
      <c r="D2924" s="45" t="s">
        <v>2138</v>
      </c>
    </row>
    <row r="2925" spans="1:4" s="45" customFormat="1" ht="13.5" x14ac:dyDescent="0.15">
      <c r="A2925" s="45" t="s">
        <v>41</v>
      </c>
      <c r="D2925" s="45" t="s">
        <v>2182</v>
      </c>
    </row>
    <row r="2926" spans="1:4" s="45" customFormat="1" ht="13.5" x14ac:dyDescent="0.15">
      <c r="A2926" s="45" t="s">
        <v>41</v>
      </c>
      <c r="D2926" s="45" t="s">
        <v>5940</v>
      </c>
    </row>
    <row r="2927" spans="1:4" s="45" customFormat="1" ht="13.5" x14ac:dyDescent="0.15">
      <c r="A2927" s="45" t="s">
        <v>41</v>
      </c>
      <c r="D2927" s="45" t="s">
        <v>5941</v>
      </c>
    </row>
    <row r="2928" spans="1:4" s="45" customFormat="1" ht="13.5" x14ac:dyDescent="0.15">
      <c r="A2928" s="45" t="s">
        <v>41</v>
      </c>
      <c r="D2928" s="45" t="s">
        <v>2612</v>
      </c>
    </row>
    <row r="2929" spans="1:4" s="45" customFormat="1" ht="13.5" x14ac:dyDescent="0.15">
      <c r="A2929" s="45" t="s">
        <v>41</v>
      </c>
      <c r="D2929" s="45" t="s">
        <v>5942</v>
      </c>
    </row>
    <row r="2930" spans="1:4" s="45" customFormat="1" ht="13.5" x14ac:dyDescent="0.15">
      <c r="A2930" s="45" t="s">
        <v>41</v>
      </c>
      <c r="D2930" s="45" t="s">
        <v>5943</v>
      </c>
    </row>
    <row r="2931" spans="1:4" s="45" customFormat="1" ht="13.5" x14ac:dyDescent="0.15">
      <c r="A2931" s="45" t="s">
        <v>41</v>
      </c>
      <c r="D2931" s="45" t="s">
        <v>5944</v>
      </c>
    </row>
    <row r="2932" spans="1:4" s="45" customFormat="1" ht="13.5" x14ac:dyDescent="0.15">
      <c r="A2932" s="45" t="s">
        <v>41</v>
      </c>
      <c r="D2932" s="45" t="s">
        <v>5945</v>
      </c>
    </row>
    <row r="2933" spans="1:4" s="45" customFormat="1" ht="13.5" x14ac:dyDescent="0.15">
      <c r="A2933" s="45" t="s">
        <v>41</v>
      </c>
      <c r="D2933" s="45" t="s">
        <v>5946</v>
      </c>
    </row>
    <row r="2934" spans="1:4" s="45" customFormat="1" ht="13.5" x14ac:dyDescent="0.15">
      <c r="A2934" s="45" t="s">
        <v>41</v>
      </c>
      <c r="D2934" s="45" t="s">
        <v>5947</v>
      </c>
    </row>
    <row r="2935" spans="1:4" s="45" customFormat="1" ht="13.5" x14ac:dyDescent="0.15">
      <c r="A2935" s="45" t="s">
        <v>41</v>
      </c>
      <c r="D2935" s="45" t="s">
        <v>5948</v>
      </c>
    </row>
    <row r="2936" spans="1:4" s="45" customFormat="1" ht="13.5" x14ac:dyDescent="0.15">
      <c r="A2936" s="45" t="s">
        <v>41</v>
      </c>
      <c r="D2936" s="45" t="s">
        <v>5949</v>
      </c>
    </row>
    <row r="2937" spans="1:4" s="45" customFormat="1" ht="13.5" x14ac:dyDescent="0.15">
      <c r="A2937" s="45" t="s">
        <v>41</v>
      </c>
      <c r="D2937" s="45" t="s">
        <v>5950</v>
      </c>
    </row>
    <row r="2938" spans="1:4" s="45" customFormat="1" ht="13.5" x14ac:dyDescent="0.15">
      <c r="A2938" s="45" t="s">
        <v>41</v>
      </c>
      <c r="D2938" s="45" t="s">
        <v>2613</v>
      </c>
    </row>
    <row r="2939" spans="1:4" s="45" customFormat="1" ht="13.5" x14ac:dyDescent="0.15">
      <c r="A2939" s="45" t="s">
        <v>41</v>
      </c>
      <c r="D2939" s="45" t="s">
        <v>2614</v>
      </c>
    </row>
    <row r="2940" spans="1:4" s="45" customFormat="1" ht="13.5" x14ac:dyDescent="0.15">
      <c r="A2940" s="45" t="s">
        <v>41</v>
      </c>
      <c r="D2940" s="45" t="s">
        <v>2610</v>
      </c>
    </row>
    <row r="2941" spans="1:4" s="45" customFormat="1" ht="13.5" x14ac:dyDescent="0.15">
      <c r="A2941" s="45" t="s">
        <v>41</v>
      </c>
      <c r="D2941" s="45" t="s">
        <v>2611</v>
      </c>
    </row>
    <row r="2942" spans="1:4" s="45" customFormat="1" ht="13.5" x14ac:dyDescent="0.15">
      <c r="A2942" s="45" t="s">
        <v>41</v>
      </c>
      <c r="D2942" s="45" t="s">
        <v>5951</v>
      </c>
    </row>
    <row r="2943" spans="1:4" s="45" customFormat="1" ht="13.5" x14ac:dyDescent="0.15">
      <c r="A2943" s="45" t="s">
        <v>41</v>
      </c>
      <c r="D2943" s="45" t="s">
        <v>5952</v>
      </c>
    </row>
    <row r="2944" spans="1:4" s="45" customFormat="1" ht="13.5" x14ac:dyDescent="0.15">
      <c r="A2944" s="45" t="s">
        <v>41</v>
      </c>
      <c r="D2944" s="45" t="s">
        <v>5953</v>
      </c>
    </row>
    <row r="2945" spans="1:4" s="45" customFormat="1" ht="13.5" x14ac:dyDescent="0.15">
      <c r="A2945" s="45" t="s">
        <v>41</v>
      </c>
      <c r="D2945" s="45" t="s">
        <v>5954</v>
      </c>
    </row>
    <row r="2946" spans="1:4" s="45" customFormat="1" ht="13.5" x14ac:dyDescent="0.15">
      <c r="A2946" s="45" t="s">
        <v>41</v>
      </c>
      <c r="D2946" s="45" t="s">
        <v>5955</v>
      </c>
    </row>
    <row r="2947" spans="1:4" s="45" customFormat="1" ht="13.5" x14ac:dyDescent="0.15">
      <c r="A2947" s="45" t="s">
        <v>41</v>
      </c>
      <c r="D2947" s="45" t="s">
        <v>5956</v>
      </c>
    </row>
    <row r="2948" spans="1:4" s="45" customFormat="1" ht="13.5" x14ac:dyDescent="0.15">
      <c r="A2948" s="45" t="s">
        <v>41</v>
      </c>
      <c r="D2948" s="45" t="s">
        <v>5957</v>
      </c>
    </row>
    <row r="2949" spans="1:4" s="45" customFormat="1" ht="13.5" x14ac:dyDescent="0.15">
      <c r="A2949" s="45" t="s">
        <v>41</v>
      </c>
      <c r="D2949" s="45" t="s">
        <v>5958</v>
      </c>
    </row>
    <row r="2950" spans="1:4" s="45" customFormat="1" ht="13.5" x14ac:dyDescent="0.15">
      <c r="A2950" s="45" t="s">
        <v>41</v>
      </c>
      <c r="D2950" s="45" t="s">
        <v>5959</v>
      </c>
    </row>
    <row r="2951" spans="1:4" s="45" customFormat="1" ht="13.5" x14ac:dyDescent="0.15">
      <c r="A2951" s="45" t="s">
        <v>41</v>
      </c>
      <c r="D2951" s="45" t="s">
        <v>5960</v>
      </c>
    </row>
    <row r="2952" spans="1:4" s="45" customFormat="1" ht="13.5" x14ac:dyDescent="0.15">
      <c r="A2952" s="45" t="s">
        <v>41</v>
      </c>
      <c r="D2952" s="45" t="s">
        <v>5961</v>
      </c>
    </row>
    <row r="2953" spans="1:4" s="45" customFormat="1" ht="13.5" x14ac:dyDescent="0.15">
      <c r="A2953" s="45" t="s">
        <v>41</v>
      </c>
      <c r="D2953" s="45" t="s">
        <v>5962</v>
      </c>
    </row>
    <row r="2954" spans="1:4" s="45" customFormat="1" ht="13.5" x14ac:dyDescent="0.15">
      <c r="A2954" s="45" t="s">
        <v>41</v>
      </c>
      <c r="D2954" s="45" t="s">
        <v>5963</v>
      </c>
    </row>
    <row r="2955" spans="1:4" s="45" customFormat="1" ht="13.5" x14ac:dyDescent="0.15">
      <c r="A2955" s="45" t="s">
        <v>41</v>
      </c>
      <c r="D2955" s="45" t="s">
        <v>5964</v>
      </c>
    </row>
    <row r="2956" spans="1:4" s="45" customFormat="1" ht="13.5" x14ac:dyDescent="0.15">
      <c r="A2956" s="45" t="s">
        <v>41</v>
      </c>
      <c r="D2956" s="45" t="s">
        <v>5965</v>
      </c>
    </row>
    <row r="2957" spans="1:4" s="45" customFormat="1" ht="13.5" x14ac:dyDescent="0.15">
      <c r="A2957" s="45" t="s">
        <v>41</v>
      </c>
      <c r="D2957" s="45" t="s">
        <v>1843</v>
      </c>
    </row>
    <row r="2958" spans="1:4" s="45" customFormat="1" ht="13.5" x14ac:dyDescent="0.15">
      <c r="A2958" s="45" t="s">
        <v>41</v>
      </c>
      <c r="D2958" s="45" t="s">
        <v>5966</v>
      </c>
    </row>
    <row r="2959" spans="1:4" s="45" customFormat="1" ht="13.5" x14ac:dyDescent="0.15">
      <c r="A2959" s="45" t="s">
        <v>41</v>
      </c>
      <c r="D2959" s="45" t="s">
        <v>5967</v>
      </c>
    </row>
    <row r="2960" spans="1:4" s="45" customFormat="1" ht="13.5" x14ac:dyDescent="0.15">
      <c r="A2960" s="45" t="s">
        <v>41</v>
      </c>
      <c r="D2960" s="45" t="s">
        <v>5968</v>
      </c>
    </row>
    <row r="2961" spans="1:4" s="45" customFormat="1" ht="13.5" x14ac:dyDescent="0.15">
      <c r="A2961" s="45" t="s">
        <v>41</v>
      </c>
      <c r="D2961" s="45" t="s">
        <v>1490</v>
      </c>
    </row>
    <row r="2962" spans="1:4" s="45" customFormat="1" ht="13.5" x14ac:dyDescent="0.15">
      <c r="A2962" s="45" t="s">
        <v>41</v>
      </c>
      <c r="D2962" s="45" t="s">
        <v>5969</v>
      </c>
    </row>
    <row r="2963" spans="1:4" s="45" customFormat="1" ht="13.5" x14ac:dyDescent="0.15">
      <c r="A2963" s="45" t="s">
        <v>41</v>
      </c>
      <c r="D2963" s="45" t="s">
        <v>5970</v>
      </c>
    </row>
    <row r="2964" spans="1:4" s="45" customFormat="1" ht="13.5" x14ac:dyDescent="0.15">
      <c r="A2964" s="45" t="s">
        <v>41</v>
      </c>
      <c r="D2964" s="45" t="s">
        <v>5971</v>
      </c>
    </row>
    <row r="2965" spans="1:4" s="45" customFormat="1" ht="13.5" x14ac:dyDescent="0.15">
      <c r="A2965" s="45" t="s">
        <v>41</v>
      </c>
      <c r="D2965" s="45" t="s">
        <v>1491</v>
      </c>
    </row>
    <row r="2966" spans="1:4" s="45" customFormat="1" ht="13.5" x14ac:dyDescent="0.15">
      <c r="A2966" s="45" t="s">
        <v>41</v>
      </c>
      <c r="D2966" s="45" t="s">
        <v>1494</v>
      </c>
    </row>
    <row r="2967" spans="1:4" s="45" customFormat="1" ht="13.5" x14ac:dyDescent="0.15">
      <c r="A2967" s="45" t="s">
        <v>41</v>
      </c>
      <c r="D2967" s="45" t="s">
        <v>5972</v>
      </c>
    </row>
    <row r="2968" spans="1:4" s="45" customFormat="1" ht="13.5" x14ac:dyDescent="0.15">
      <c r="A2968" s="45" t="s">
        <v>41</v>
      </c>
      <c r="D2968" s="45" t="s">
        <v>5973</v>
      </c>
    </row>
    <row r="2969" spans="1:4" s="45" customFormat="1" ht="13.5" x14ac:dyDescent="0.15">
      <c r="A2969" s="45" t="s">
        <v>41</v>
      </c>
      <c r="D2969" s="45" t="s">
        <v>1492</v>
      </c>
    </row>
    <row r="2970" spans="1:4" s="45" customFormat="1" ht="13.5" x14ac:dyDescent="0.15">
      <c r="A2970" s="45" t="s">
        <v>41</v>
      </c>
      <c r="D2970" s="45" t="s">
        <v>1493</v>
      </c>
    </row>
    <row r="2971" spans="1:4" s="45" customFormat="1" ht="13.5" x14ac:dyDescent="0.15">
      <c r="A2971" s="45" t="s">
        <v>41</v>
      </c>
      <c r="D2971" s="45" t="s">
        <v>5974</v>
      </c>
    </row>
    <row r="2972" spans="1:4" s="45" customFormat="1" ht="13.5" x14ac:dyDescent="0.15">
      <c r="A2972" s="45" t="s">
        <v>41</v>
      </c>
      <c r="D2972" s="45" t="s">
        <v>5975</v>
      </c>
    </row>
    <row r="2973" spans="1:4" s="45" customFormat="1" ht="13.5" x14ac:dyDescent="0.15">
      <c r="A2973" s="45" t="s">
        <v>41</v>
      </c>
      <c r="D2973" s="45" t="s">
        <v>1816</v>
      </c>
    </row>
    <row r="2974" spans="1:4" s="45" customFormat="1" ht="13.5" x14ac:dyDescent="0.15">
      <c r="A2974" s="45" t="s">
        <v>41</v>
      </c>
      <c r="D2974" s="45" t="s">
        <v>5976</v>
      </c>
    </row>
    <row r="2975" spans="1:4" s="45" customFormat="1" ht="13.5" x14ac:dyDescent="0.15">
      <c r="A2975" s="45" t="s">
        <v>41</v>
      </c>
      <c r="D2975" s="45" t="s">
        <v>1817</v>
      </c>
    </row>
    <row r="2976" spans="1:4" s="45" customFormat="1" ht="13.5" x14ac:dyDescent="0.15">
      <c r="A2976" s="45" t="s">
        <v>41</v>
      </c>
      <c r="D2976" s="45" t="s">
        <v>1815</v>
      </c>
    </row>
    <row r="2977" spans="1:4" s="45" customFormat="1" ht="13.5" x14ac:dyDescent="0.15">
      <c r="A2977" s="45" t="s">
        <v>41</v>
      </c>
      <c r="D2977" s="45" t="s">
        <v>5977</v>
      </c>
    </row>
    <row r="2978" spans="1:4" s="45" customFormat="1" ht="13.5" x14ac:dyDescent="0.15">
      <c r="A2978" s="45" t="s">
        <v>41</v>
      </c>
      <c r="D2978" s="45" t="s">
        <v>5978</v>
      </c>
    </row>
    <row r="2979" spans="1:4" s="45" customFormat="1" ht="13.5" x14ac:dyDescent="0.15">
      <c r="A2979" s="45" t="s">
        <v>41</v>
      </c>
      <c r="D2979" s="45" t="s">
        <v>2608</v>
      </c>
    </row>
    <row r="2980" spans="1:4" s="45" customFormat="1" ht="13.5" x14ac:dyDescent="0.15">
      <c r="A2980" s="45" t="s">
        <v>41</v>
      </c>
      <c r="D2980" s="45" t="s">
        <v>5979</v>
      </c>
    </row>
    <row r="2981" spans="1:4" s="45" customFormat="1" ht="13.5" x14ac:dyDescent="0.15">
      <c r="A2981" s="45" t="s">
        <v>41</v>
      </c>
      <c r="D2981" s="45" t="s">
        <v>5980</v>
      </c>
    </row>
    <row r="2982" spans="1:4" s="45" customFormat="1" ht="13.5" x14ac:dyDescent="0.15">
      <c r="A2982" s="45" t="s">
        <v>41</v>
      </c>
      <c r="D2982" s="45" t="s">
        <v>5981</v>
      </c>
    </row>
    <row r="2983" spans="1:4" s="45" customFormat="1" ht="13.5" x14ac:dyDescent="0.15">
      <c r="A2983" s="45" t="s">
        <v>41</v>
      </c>
      <c r="D2983" s="45" t="s">
        <v>5982</v>
      </c>
    </row>
    <row r="2984" spans="1:4" s="45" customFormat="1" ht="13.5" x14ac:dyDescent="0.15">
      <c r="A2984" s="45" t="s">
        <v>41</v>
      </c>
      <c r="D2984" s="45" t="s">
        <v>5983</v>
      </c>
    </row>
    <row r="2985" spans="1:4" s="45" customFormat="1" ht="13.5" x14ac:dyDescent="0.15">
      <c r="A2985" s="45" t="s">
        <v>41</v>
      </c>
      <c r="D2985" s="45" t="s">
        <v>566</v>
      </c>
    </row>
    <row r="2986" spans="1:4" s="45" customFormat="1" ht="13.5" x14ac:dyDescent="0.15">
      <c r="A2986" s="45" t="s">
        <v>41</v>
      </c>
      <c r="D2986" s="45" t="s">
        <v>5984</v>
      </c>
    </row>
    <row r="2987" spans="1:4" s="45" customFormat="1" ht="13.5" x14ac:dyDescent="0.15">
      <c r="A2987" s="45" t="s">
        <v>41</v>
      </c>
      <c r="D2987" s="45" t="s">
        <v>2542</v>
      </c>
    </row>
    <row r="2988" spans="1:4" s="45" customFormat="1" ht="13.5" x14ac:dyDescent="0.15">
      <c r="A2988" s="45" t="s">
        <v>41</v>
      </c>
      <c r="D2988" s="45" t="s">
        <v>605</v>
      </c>
    </row>
    <row r="2989" spans="1:4" s="45" customFormat="1" ht="13.5" x14ac:dyDescent="0.15">
      <c r="A2989" s="45" t="s">
        <v>41</v>
      </c>
      <c r="D2989" s="45" t="s">
        <v>5985</v>
      </c>
    </row>
    <row r="2990" spans="1:4" s="45" customFormat="1" ht="13.5" x14ac:dyDescent="0.15">
      <c r="A2990" s="45" t="s">
        <v>41</v>
      </c>
      <c r="D2990" s="45" t="s">
        <v>5986</v>
      </c>
    </row>
    <row r="2991" spans="1:4" s="45" customFormat="1" ht="13.5" x14ac:dyDescent="0.15">
      <c r="A2991" s="45" t="s">
        <v>41</v>
      </c>
      <c r="D2991" s="45" t="s">
        <v>1908</v>
      </c>
    </row>
    <row r="2992" spans="1:4" s="45" customFormat="1" ht="13.5" x14ac:dyDescent="0.15">
      <c r="A2992" s="45" t="s">
        <v>41</v>
      </c>
      <c r="D2992" s="45" t="s">
        <v>5987</v>
      </c>
    </row>
    <row r="2993" spans="1:4" s="45" customFormat="1" ht="13.5" x14ac:dyDescent="0.15">
      <c r="A2993" s="45" t="s">
        <v>41</v>
      </c>
      <c r="D2993" s="45" t="s">
        <v>5988</v>
      </c>
    </row>
    <row r="2994" spans="1:4" s="45" customFormat="1" ht="13.5" x14ac:dyDescent="0.15">
      <c r="A2994" s="45" t="s">
        <v>41</v>
      </c>
      <c r="D2994" s="45" t="s">
        <v>5989</v>
      </c>
    </row>
    <row r="2995" spans="1:4" s="45" customFormat="1" ht="13.5" x14ac:dyDescent="0.15">
      <c r="A2995" s="45" t="s">
        <v>41</v>
      </c>
      <c r="D2995" s="45" t="s">
        <v>5990</v>
      </c>
    </row>
    <row r="2996" spans="1:4" s="45" customFormat="1" ht="13.5" x14ac:dyDescent="0.15">
      <c r="A2996" s="45" t="s">
        <v>41</v>
      </c>
      <c r="D2996" s="45" t="s">
        <v>1919</v>
      </c>
    </row>
    <row r="2997" spans="1:4" s="45" customFormat="1" ht="13.5" x14ac:dyDescent="0.15">
      <c r="A2997" s="45" t="s">
        <v>41</v>
      </c>
      <c r="D2997" s="45" t="s">
        <v>1918</v>
      </c>
    </row>
    <row r="2998" spans="1:4" s="45" customFormat="1" ht="13.5" x14ac:dyDescent="0.15">
      <c r="A2998" s="45" t="s">
        <v>41</v>
      </c>
      <c r="D2998" s="45" t="s">
        <v>1917</v>
      </c>
    </row>
    <row r="2999" spans="1:4" s="45" customFormat="1" ht="13.5" x14ac:dyDescent="0.15">
      <c r="A2999" s="45" t="s">
        <v>41</v>
      </c>
      <c r="D2999" s="45" t="s">
        <v>1925</v>
      </c>
    </row>
    <row r="3000" spans="1:4" s="45" customFormat="1" ht="13.5" x14ac:dyDescent="0.15">
      <c r="A3000" s="45" t="s">
        <v>41</v>
      </c>
      <c r="D3000" s="45" t="s">
        <v>5991</v>
      </c>
    </row>
    <row r="3001" spans="1:4" s="45" customFormat="1" ht="13.5" x14ac:dyDescent="0.15">
      <c r="A3001" s="45" t="s">
        <v>41</v>
      </c>
      <c r="D3001" s="45" t="s">
        <v>1926</v>
      </c>
    </row>
    <row r="3002" spans="1:4" s="45" customFormat="1" ht="13.5" x14ac:dyDescent="0.15">
      <c r="A3002" s="45" t="s">
        <v>41</v>
      </c>
      <c r="D3002" s="45" t="s">
        <v>1920</v>
      </c>
    </row>
    <row r="3003" spans="1:4" s="45" customFormat="1" ht="13.5" x14ac:dyDescent="0.15">
      <c r="A3003" s="45" t="s">
        <v>41</v>
      </c>
      <c r="D3003" s="45" t="s">
        <v>1924</v>
      </c>
    </row>
    <row r="3004" spans="1:4" s="45" customFormat="1" ht="13.5" x14ac:dyDescent="0.15">
      <c r="A3004" s="45" t="s">
        <v>41</v>
      </c>
      <c r="D3004" s="45" t="s">
        <v>5992</v>
      </c>
    </row>
    <row r="3005" spans="1:4" s="45" customFormat="1" ht="13.5" x14ac:dyDescent="0.15">
      <c r="A3005" s="45" t="s">
        <v>41</v>
      </c>
      <c r="D3005" s="45" t="s">
        <v>1923</v>
      </c>
    </row>
    <row r="3006" spans="1:4" s="45" customFormat="1" ht="13.5" x14ac:dyDescent="0.15">
      <c r="A3006" s="45" t="s">
        <v>41</v>
      </c>
      <c r="D3006" s="45" t="s">
        <v>1914</v>
      </c>
    </row>
    <row r="3007" spans="1:4" s="45" customFormat="1" ht="13.5" x14ac:dyDescent="0.15">
      <c r="A3007" s="45" t="s">
        <v>41</v>
      </c>
      <c r="D3007" s="45" t="s">
        <v>1915</v>
      </c>
    </row>
    <row r="3008" spans="1:4" s="45" customFormat="1" ht="13.5" x14ac:dyDescent="0.15">
      <c r="A3008" s="45" t="s">
        <v>41</v>
      </c>
      <c r="D3008" s="45" t="s">
        <v>1916</v>
      </c>
    </row>
    <row r="3009" spans="1:4" s="45" customFormat="1" ht="13.5" x14ac:dyDescent="0.15">
      <c r="A3009" s="45" t="s">
        <v>41</v>
      </c>
      <c r="D3009" s="45" t="s">
        <v>5993</v>
      </c>
    </row>
    <row r="3010" spans="1:4" s="45" customFormat="1" ht="13.5" x14ac:dyDescent="0.15">
      <c r="A3010" s="45" t="s">
        <v>41</v>
      </c>
      <c r="D3010" s="45" t="s">
        <v>5994</v>
      </c>
    </row>
    <row r="3011" spans="1:4" s="45" customFormat="1" ht="13.5" x14ac:dyDescent="0.15">
      <c r="A3011" s="45" t="s">
        <v>41</v>
      </c>
      <c r="D3011" s="45" t="s">
        <v>1910</v>
      </c>
    </row>
    <row r="3012" spans="1:4" s="45" customFormat="1" ht="13.5" x14ac:dyDescent="0.15">
      <c r="A3012" s="45" t="s">
        <v>41</v>
      </c>
      <c r="D3012" s="45" t="s">
        <v>1911</v>
      </c>
    </row>
    <row r="3013" spans="1:4" s="45" customFormat="1" ht="13.5" x14ac:dyDescent="0.15">
      <c r="A3013" s="45" t="s">
        <v>41</v>
      </c>
      <c r="D3013" s="45" t="s">
        <v>5995</v>
      </c>
    </row>
    <row r="3014" spans="1:4" s="45" customFormat="1" ht="13.5" x14ac:dyDescent="0.15">
      <c r="A3014" s="45" t="s">
        <v>41</v>
      </c>
      <c r="D3014" s="45" t="s">
        <v>5996</v>
      </c>
    </row>
    <row r="3015" spans="1:4" s="45" customFormat="1" ht="13.5" x14ac:dyDescent="0.15">
      <c r="A3015" s="45" t="s">
        <v>41</v>
      </c>
      <c r="D3015" s="45" t="s">
        <v>5997</v>
      </c>
    </row>
    <row r="3016" spans="1:4" s="45" customFormat="1" ht="13.5" x14ac:dyDescent="0.15">
      <c r="A3016" s="45" t="s">
        <v>41</v>
      </c>
      <c r="D3016" s="45" t="s">
        <v>5998</v>
      </c>
    </row>
    <row r="3017" spans="1:4" s="45" customFormat="1" ht="13.5" x14ac:dyDescent="0.15">
      <c r="A3017" s="45" t="s">
        <v>41</v>
      </c>
      <c r="D3017" s="45" t="s">
        <v>5999</v>
      </c>
    </row>
    <row r="3018" spans="1:4" s="45" customFormat="1" ht="13.5" x14ac:dyDescent="0.15">
      <c r="A3018" s="45" t="s">
        <v>41</v>
      </c>
      <c r="D3018" s="45" t="s">
        <v>6000</v>
      </c>
    </row>
    <row r="3019" spans="1:4" s="45" customFormat="1" ht="13.5" x14ac:dyDescent="0.15">
      <c r="A3019" s="45" t="s">
        <v>41</v>
      </c>
      <c r="D3019" s="45" t="s">
        <v>6001</v>
      </c>
    </row>
    <row r="3020" spans="1:4" s="45" customFormat="1" ht="13.5" x14ac:dyDescent="0.15">
      <c r="A3020" s="45" t="s">
        <v>41</v>
      </c>
      <c r="D3020" s="45" t="s">
        <v>6002</v>
      </c>
    </row>
    <row r="3021" spans="1:4" s="45" customFormat="1" ht="13.5" x14ac:dyDescent="0.15">
      <c r="A3021" s="45" t="s">
        <v>41</v>
      </c>
      <c r="D3021" s="45" t="s">
        <v>6003</v>
      </c>
    </row>
    <row r="3022" spans="1:4" s="45" customFormat="1" ht="13.5" x14ac:dyDescent="0.15">
      <c r="A3022" s="45" t="s">
        <v>41</v>
      </c>
      <c r="D3022" s="45" t="s">
        <v>1922</v>
      </c>
    </row>
    <row r="3023" spans="1:4" s="45" customFormat="1" ht="13.5" x14ac:dyDescent="0.15">
      <c r="A3023" s="45" t="s">
        <v>41</v>
      </c>
      <c r="D3023" s="45" t="s">
        <v>6004</v>
      </c>
    </row>
    <row r="3024" spans="1:4" s="45" customFormat="1" ht="13.5" x14ac:dyDescent="0.15">
      <c r="A3024" s="45" t="s">
        <v>41</v>
      </c>
      <c r="D3024" s="45" t="s">
        <v>6005</v>
      </c>
    </row>
    <row r="3025" spans="1:4" s="45" customFormat="1" ht="13.5" x14ac:dyDescent="0.15">
      <c r="A3025" s="45" t="s">
        <v>41</v>
      </c>
      <c r="D3025" s="45" t="s">
        <v>6006</v>
      </c>
    </row>
    <row r="3026" spans="1:4" s="45" customFormat="1" ht="13.5" x14ac:dyDescent="0.15">
      <c r="A3026" s="45" t="s">
        <v>41</v>
      </c>
      <c r="D3026" s="45" t="s">
        <v>1912</v>
      </c>
    </row>
    <row r="3027" spans="1:4" s="45" customFormat="1" ht="13.5" x14ac:dyDescent="0.15">
      <c r="A3027" s="45" t="s">
        <v>41</v>
      </c>
      <c r="D3027" s="45" t="s">
        <v>6007</v>
      </c>
    </row>
    <row r="3028" spans="1:4" s="45" customFormat="1" ht="13.5" x14ac:dyDescent="0.15">
      <c r="A3028" s="45" t="s">
        <v>41</v>
      </c>
      <c r="D3028" s="45" t="s">
        <v>1909</v>
      </c>
    </row>
    <row r="3029" spans="1:4" s="45" customFormat="1" ht="13.5" x14ac:dyDescent="0.15">
      <c r="A3029" s="45" t="s">
        <v>41</v>
      </c>
      <c r="D3029" s="45" t="s">
        <v>1913</v>
      </c>
    </row>
    <row r="3030" spans="1:4" s="45" customFormat="1" ht="13.5" x14ac:dyDescent="0.15">
      <c r="A3030" s="45" t="s">
        <v>41</v>
      </c>
      <c r="D3030" s="45" t="s">
        <v>1921</v>
      </c>
    </row>
    <row r="3031" spans="1:4" s="45" customFormat="1" ht="13.5" x14ac:dyDescent="0.15">
      <c r="A3031" s="45" t="s">
        <v>41</v>
      </c>
      <c r="D3031" s="45" t="s">
        <v>1548</v>
      </c>
    </row>
    <row r="3032" spans="1:4" s="45" customFormat="1" ht="13.5" x14ac:dyDescent="0.15">
      <c r="A3032" s="45" t="s">
        <v>41</v>
      </c>
      <c r="D3032" s="45" t="s">
        <v>1547</v>
      </c>
    </row>
    <row r="3033" spans="1:4" s="45" customFormat="1" ht="13.5" x14ac:dyDescent="0.15">
      <c r="A3033" s="45" t="s">
        <v>41</v>
      </c>
      <c r="D3033" s="45" t="s">
        <v>1546</v>
      </c>
    </row>
    <row r="3034" spans="1:4" s="45" customFormat="1" ht="13.5" x14ac:dyDescent="0.15">
      <c r="A3034" s="45" t="s">
        <v>41</v>
      </c>
      <c r="D3034" s="45" t="s">
        <v>6008</v>
      </c>
    </row>
    <row r="3035" spans="1:4" s="45" customFormat="1" ht="13.5" x14ac:dyDescent="0.15">
      <c r="A3035" s="45" t="s">
        <v>41</v>
      </c>
      <c r="D3035" s="45" t="s">
        <v>6009</v>
      </c>
    </row>
    <row r="3036" spans="1:4" s="45" customFormat="1" ht="13.5" x14ac:dyDescent="0.15">
      <c r="A3036" s="45" t="s">
        <v>41</v>
      </c>
      <c r="D3036" s="45" t="s">
        <v>2053</v>
      </c>
    </row>
    <row r="3037" spans="1:4" s="45" customFormat="1" ht="13.5" x14ac:dyDescent="0.15">
      <c r="A3037" s="45" t="s">
        <v>41</v>
      </c>
      <c r="D3037" s="45" t="s">
        <v>6010</v>
      </c>
    </row>
    <row r="3038" spans="1:4" s="45" customFormat="1" ht="13.5" x14ac:dyDescent="0.15">
      <c r="A3038" s="45" t="s">
        <v>41</v>
      </c>
      <c r="D3038" s="45" t="s">
        <v>6011</v>
      </c>
    </row>
    <row r="3039" spans="1:4" s="45" customFormat="1" ht="13.5" x14ac:dyDescent="0.15">
      <c r="A3039" s="45" t="s">
        <v>41</v>
      </c>
      <c r="D3039" s="45" t="s">
        <v>2093</v>
      </c>
    </row>
    <row r="3040" spans="1:4" s="45" customFormat="1" ht="13.5" x14ac:dyDescent="0.15">
      <c r="A3040" s="45" t="s">
        <v>41</v>
      </c>
      <c r="D3040" s="45" t="s">
        <v>2092</v>
      </c>
    </row>
    <row r="3041" spans="1:4" s="45" customFormat="1" ht="13.5" x14ac:dyDescent="0.15">
      <c r="A3041" s="45" t="s">
        <v>41</v>
      </c>
      <c r="D3041" s="45" t="s">
        <v>2091</v>
      </c>
    </row>
    <row r="3042" spans="1:4" s="45" customFormat="1" ht="13.5" x14ac:dyDescent="0.15">
      <c r="A3042" s="45" t="s">
        <v>41</v>
      </c>
      <c r="D3042" s="45" t="s">
        <v>6012</v>
      </c>
    </row>
    <row r="3043" spans="1:4" s="45" customFormat="1" ht="13.5" x14ac:dyDescent="0.15">
      <c r="A3043" s="45" t="s">
        <v>41</v>
      </c>
      <c r="D3043" s="45" t="s">
        <v>6013</v>
      </c>
    </row>
    <row r="3044" spans="1:4" s="45" customFormat="1" ht="13.5" x14ac:dyDescent="0.15">
      <c r="A3044" s="45" t="s">
        <v>41</v>
      </c>
      <c r="D3044" s="45" t="s">
        <v>6014</v>
      </c>
    </row>
    <row r="3045" spans="1:4" s="45" customFormat="1" ht="13.5" x14ac:dyDescent="0.15">
      <c r="A3045" s="45" t="s">
        <v>41</v>
      </c>
      <c r="D3045" s="45" t="s">
        <v>6015</v>
      </c>
    </row>
    <row r="3046" spans="1:4" s="45" customFormat="1" ht="13.5" x14ac:dyDescent="0.15">
      <c r="A3046" s="45" t="s">
        <v>41</v>
      </c>
      <c r="D3046" s="45" t="s">
        <v>6016</v>
      </c>
    </row>
    <row r="3047" spans="1:4" s="45" customFormat="1" ht="13.5" x14ac:dyDescent="0.15">
      <c r="A3047" s="45" t="s">
        <v>41</v>
      </c>
      <c r="D3047" s="45" t="s">
        <v>6017</v>
      </c>
    </row>
    <row r="3048" spans="1:4" s="45" customFormat="1" ht="13.5" x14ac:dyDescent="0.15">
      <c r="A3048" s="45" t="s">
        <v>41</v>
      </c>
      <c r="D3048" s="45" t="s">
        <v>6018</v>
      </c>
    </row>
    <row r="3049" spans="1:4" s="45" customFormat="1" ht="13.5" x14ac:dyDescent="0.15">
      <c r="A3049" s="45" t="s">
        <v>41</v>
      </c>
      <c r="D3049" s="45" t="s">
        <v>6019</v>
      </c>
    </row>
    <row r="3050" spans="1:4" s="45" customFormat="1" ht="13.5" x14ac:dyDescent="0.15">
      <c r="A3050" s="45" t="s">
        <v>41</v>
      </c>
      <c r="D3050" s="45" t="s">
        <v>6020</v>
      </c>
    </row>
    <row r="3051" spans="1:4" s="45" customFormat="1" ht="13.5" x14ac:dyDescent="0.15">
      <c r="A3051" s="45" t="s">
        <v>41</v>
      </c>
      <c r="D3051" s="45" t="s">
        <v>6021</v>
      </c>
    </row>
    <row r="3052" spans="1:4" s="45" customFormat="1" ht="13.5" x14ac:dyDescent="0.15">
      <c r="A3052" s="45" t="s">
        <v>41</v>
      </c>
      <c r="D3052" s="45" t="s">
        <v>2120</v>
      </c>
    </row>
    <row r="3053" spans="1:4" s="45" customFormat="1" ht="13.5" x14ac:dyDescent="0.15">
      <c r="A3053" s="45" t="s">
        <v>41</v>
      </c>
      <c r="D3053" s="45" t="s">
        <v>6022</v>
      </c>
    </row>
    <row r="3054" spans="1:4" s="45" customFormat="1" ht="13.5" x14ac:dyDescent="0.15">
      <c r="A3054" s="45" t="s">
        <v>41</v>
      </c>
      <c r="D3054" s="45" t="s">
        <v>2565</v>
      </c>
    </row>
    <row r="3055" spans="1:4" s="45" customFormat="1" ht="13.5" x14ac:dyDescent="0.15">
      <c r="A3055" s="45" t="s">
        <v>41</v>
      </c>
      <c r="D3055" s="45" t="s">
        <v>6023</v>
      </c>
    </row>
    <row r="3056" spans="1:4" s="45" customFormat="1" ht="13.5" x14ac:dyDescent="0.15">
      <c r="A3056" s="45" t="s">
        <v>41</v>
      </c>
      <c r="D3056" s="45" t="s">
        <v>1972</v>
      </c>
    </row>
    <row r="3057" spans="1:4" s="45" customFormat="1" ht="13.5" x14ac:dyDescent="0.15">
      <c r="A3057" s="45" t="s">
        <v>41</v>
      </c>
      <c r="D3057" s="45" t="s">
        <v>6024</v>
      </c>
    </row>
    <row r="3058" spans="1:4" s="45" customFormat="1" ht="13.5" x14ac:dyDescent="0.15">
      <c r="A3058" s="45" t="s">
        <v>41</v>
      </c>
      <c r="D3058" s="45" t="s">
        <v>6025</v>
      </c>
    </row>
    <row r="3059" spans="1:4" s="45" customFormat="1" ht="13.5" x14ac:dyDescent="0.15">
      <c r="A3059" s="45" t="s">
        <v>41</v>
      </c>
      <c r="D3059" s="45" t="s">
        <v>6026</v>
      </c>
    </row>
    <row r="3060" spans="1:4" s="45" customFormat="1" ht="13.5" x14ac:dyDescent="0.15">
      <c r="A3060" s="45" t="s">
        <v>41</v>
      </c>
      <c r="D3060" s="45" t="s">
        <v>452</v>
      </c>
    </row>
    <row r="3061" spans="1:4" s="45" customFormat="1" ht="13.5" x14ac:dyDescent="0.15">
      <c r="A3061" s="45" t="s">
        <v>41</v>
      </c>
      <c r="D3061" s="45" t="s">
        <v>453</v>
      </c>
    </row>
    <row r="3062" spans="1:4" s="45" customFormat="1" ht="13.5" x14ac:dyDescent="0.15">
      <c r="A3062" s="45" t="s">
        <v>41</v>
      </c>
      <c r="D3062" s="45" t="s">
        <v>454</v>
      </c>
    </row>
    <row r="3063" spans="1:4" s="45" customFormat="1" ht="13.5" x14ac:dyDescent="0.15">
      <c r="A3063" s="45" t="s">
        <v>41</v>
      </c>
      <c r="D3063" s="45" t="s">
        <v>6027</v>
      </c>
    </row>
    <row r="3064" spans="1:4" s="45" customFormat="1" ht="13.5" x14ac:dyDescent="0.15">
      <c r="A3064" s="45" t="s">
        <v>41</v>
      </c>
      <c r="D3064" s="45" t="s">
        <v>6028</v>
      </c>
    </row>
    <row r="3065" spans="1:4" s="45" customFormat="1" ht="13.5" x14ac:dyDescent="0.15">
      <c r="A3065" s="45" t="s">
        <v>41</v>
      </c>
      <c r="D3065" s="45" t="s">
        <v>6029</v>
      </c>
    </row>
    <row r="3066" spans="1:4" s="45" customFormat="1" ht="13.5" x14ac:dyDescent="0.15">
      <c r="A3066" s="45" t="s">
        <v>41</v>
      </c>
      <c r="D3066" s="45" t="s">
        <v>6030</v>
      </c>
    </row>
    <row r="3067" spans="1:4" s="45" customFormat="1" ht="13.5" x14ac:dyDescent="0.15">
      <c r="A3067" s="45" t="s">
        <v>41</v>
      </c>
      <c r="D3067" s="45" t="s">
        <v>6031</v>
      </c>
    </row>
    <row r="3068" spans="1:4" s="45" customFormat="1" ht="13.5" x14ac:dyDescent="0.15">
      <c r="A3068" s="45" t="s">
        <v>41</v>
      </c>
      <c r="D3068" s="45" t="s">
        <v>1996</v>
      </c>
    </row>
    <row r="3069" spans="1:4" s="45" customFormat="1" ht="13.5" x14ac:dyDescent="0.15">
      <c r="A3069" s="45" t="s">
        <v>41</v>
      </c>
      <c r="D3069" s="45" t="s">
        <v>6032</v>
      </c>
    </row>
    <row r="3070" spans="1:4" s="45" customFormat="1" ht="13.5" x14ac:dyDescent="0.15">
      <c r="A3070" s="45" t="s">
        <v>41</v>
      </c>
      <c r="D3070" s="45" t="s">
        <v>1998</v>
      </c>
    </row>
    <row r="3071" spans="1:4" s="45" customFormat="1" ht="13.5" x14ac:dyDescent="0.15">
      <c r="A3071" s="45" t="s">
        <v>41</v>
      </c>
      <c r="D3071" s="45" t="s">
        <v>1994</v>
      </c>
    </row>
    <row r="3072" spans="1:4" s="45" customFormat="1" ht="13.5" x14ac:dyDescent="0.15">
      <c r="A3072" s="45" t="s">
        <v>41</v>
      </c>
      <c r="D3072" s="45" t="s">
        <v>1997</v>
      </c>
    </row>
    <row r="3073" spans="1:4" s="45" customFormat="1" ht="13.5" x14ac:dyDescent="0.15">
      <c r="A3073" s="45" t="s">
        <v>41</v>
      </c>
      <c r="D3073" s="45" t="s">
        <v>1995</v>
      </c>
    </row>
    <row r="3074" spans="1:4" s="45" customFormat="1" ht="13.5" x14ac:dyDescent="0.15">
      <c r="A3074" s="45" t="s">
        <v>41</v>
      </c>
      <c r="D3074" s="45" t="s">
        <v>6033</v>
      </c>
    </row>
    <row r="3075" spans="1:4" s="45" customFormat="1" ht="13.5" x14ac:dyDescent="0.15">
      <c r="A3075" s="45" t="s">
        <v>41</v>
      </c>
      <c r="D3075" s="45" t="s">
        <v>6034</v>
      </c>
    </row>
    <row r="3076" spans="1:4" s="45" customFormat="1" ht="13.5" x14ac:dyDescent="0.15">
      <c r="A3076" s="45" t="s">
        <v>41</v>
      </c>
      <c r="D3076" s="45" t="s">
        <v>1059</v>
      </c>
    </row>
    <row r="3077" spans="1:4" s="45" customFormat="1" ht="13.5" x14ac:dyDescent="0.15">
      <c r="A3077" s="45" t="s">
        <v>41</v>
      </c>
      <c r="D3077" s="45" t="s">
        <v>6035</v>
      </c>
    </row>
    <row r="3078" spans="1:4" s="45" customFormat="1" ht="13.5" x14ac:dyDescent="0.15">
      <c r="A3078" s="45" t="s">
        <v>41</v>
      </c>
      <c r="D3078" s="45" t="s">
        <v>6036</v>
      </c>
    </row>
    <row r="3079" spans="1:4" s="45" customFormat="1" ht="13.5" x14ac:dyDescent="0.15">
      <c r="A3079" s="45" t="s">
        <v>41</v>
      </c>
      <c r="D3079" s="45" t="s">
        <v>6037</v>
      </c>
    </row>
    <row r="3080" spans="1:4" s="45" customFormat="1" ht="13.5" x14ac:dyDescent="0.15">
      <c r="A3080" s="45" t="s">
        <v>41</v>
      </c>
      <c r="D3080" s="45" t="s">
        <v>6038</v>
      </c>
    </row>
    <row r="3081" spans="1:4" s="45" customFormat="1" ht="13.5" x14ac:dyDescent="0.15">
      <c r="A3081" s="45" t="s">
        <v>41</v>
      </c>
      <c r="D3081" s="45" t="s">
        <v>2322</v>
      </c>
    </row>
    <row r="3082" spans="1:4" s="45" customFormat="1" ht="13.5" x14ac:dyDescent="0.15">
      <c r="A3082" s="45" t="s">
        <v>41</v>
      </c>
      <c r="D3082" s="45" t="s">
        <v>1113</v>
      </c>
    </row>
    <row r="3083" spans="1:4" s="45" customFormat="1" ht="13.5" x14ac:dyDescent="0.15">
      <c r="A3083" s="45" t="s">
        <v>41</v>
      </c>
      <c r="D3083" s="45" t="s">
        <v>6039</v>
      </c>
    </row>
    <row r="3084" spans="1:4" s="45" customFormat="1" ht="13.5" x14ac:dyDescent="0.15">
      <c r="A3084" s="45" t="s">
        <v>41</v>
      </c>
      <c r="D3084" s="45" t="s">
        <v>6040</v>
      </c>
    </row>
    <row r="3085" spans="1:4" s="45" customFormat="1" ht="13.5" x14ac:dyDescent="0.15">
      <c r="A3085" s="45" t="s">
        <v>41</v>
      </c>
      <c r="D3085" s="45" t="s">
        <v>6041</v>
      </c>
    </row>
    <row r="3086" spans="1:4" s="45" customFormat="1" ht="13.5" x14ac:dyDescent="0.15">
      <c r="A3086" s="45" t="s">
        <v>41</v>
      </c>
      <c r="D3086" s="45" t="s">
        <v>6042</v>
      </c>
    </row>
    <row r="3087" spans="1:4" s="45" customFormat="1" ht="13.5" x14ac:dyDescent="0.15">
      <c r="A3087" s="45" t="s">
        <v>41</v>
      </c>
      <c r="D3087" s="45" t="s">
        <v>6043</v>
      </c>
    </row>
    <row r="3088" spans="1:4" s="45" customFormat="1" ht="13.5" x14ac:dyDescent="0.15">
      <c r="A3088" s="45" t="s">
        <v>41</v>
      </c>
      <c r="D3088" s="45" t="s">
        <v>6044</v>
      </c>
    </row>
    <row r="3089" spans="1:4" s="45" customFormat="1" ht="13.5" x14ac:dyDescent="0.15">
      <c r="A3089" s="45" t="s">
        <v>41</v>
      </c>
      <c r="D3089" s="45" t="s">
        <v>1726</v>
      </c>
    </row>
    <row r="3090" spans="1:4" s="45" customFormat="1" ht="13.5" x14ac:dyDescent="0.15">
      <c r="A3090" s="45" t="s">
        <v>41</v>
      </c>
      <c r="D3090" s="45" t="s">
        <v>2600</v>
      </c>
    </row>
    <row r="3091" spans="1:4" s="45" customFormat="1" ht="13.5" x14ac:dyDescent="0.15">
      <c r="A3091" s="45" t="s">
        <v>41</v>
      </c>
      <c r="D3091" s="45" t="s">
        <v>6045</v>
      </c>
    </row>
    <row r="3092" spans="1:4" s="45" customFormat="1" ht="13.5" x14ac:dyDescent="0.15">
      <c r="A3092" s="45" t="s">
        <v>41</v>
      </c>
      <c r="D3092" s="45" t="s">
        <v>6046</v>
      </c>
    </row>
    <row r="3093" spans="1:4" s="45" customFormat="1" ht="13.5" x14ac:dyDescent="0.15">
      <c r="A3093" s="45" t="s">
        <v>41</v>
      </c>
      <c r="D3093" s="45" t="s">
        <v>2601</v>
      </c>
    </row>
    <row r="3094" spans="1:4" s="45" customFormat="1" ht="13.5" x14ac:dyDescent="0.15">
      <c r="A3094" s="45" t="s">
        <v>41</v>
      </c>
      <c r="D3094" s="45" t="s">
        <v>6047</v>
      </c>
    </row>
    <row r="3095" spans="1:4" s="45" customFormat="1" ht="13.5" x14ac:dyDescent="0.15">
      <c r="A3095" s="45" t="s">
        <v>41</v>
      </c>
      <c r="D3095" s="45" t="s">
        <v>6048</v>
      </c>
    </row>
    <row r="3096" spans="1:4" s="45" customFormat="1" ht="13.5" x14ac:dyDescent="0.15">
      <c r="A3096" s="45" t="s">
        <v>41</v>
      </c>
      <c r="D3096" s="45" t="s">
        <v>6049</v>
      </c>
    </row>
    <row r="3097" spans="1:4" s="45" customFormat="1" ht="13.5" x14ac:dyDescent="0.15">
      <c r="A3097" s="45" t="s">
        <v>41</v>
      </c>
      <c r="D3097" s="45" t="s">
        <v>6050</v>
      </c>
    </row>
    <row r="3098" spans="1:4" s="45" customFormat="1" ht="13.5" x14ac:dyDescent="0.15">
      <c r="A3098" s="45" t="s">
        <v>41</v>
      </c>
      <c r="D3098" s="45" t="s">
        <v>6051</v>
      </c>
    </row>
    <row r="3099" spans="1:4" s="45" customFormat="1" ht="13.5" x14ac:dyDescent="0.15">
      <c r="A3099" s="45" t="s">
        <v>41</v>
      </c>
      <c r="D3099" s="45" t="s">
        <v>6052</v>
      </c>
    </row>
    <row r="3100" spans="1:4" s="45" customFormat="1" ht="13.5" x14ac:dyDescent="0.15">
      <c r="A3100" s="45" t="s">
        <v>41</v>
      </c>
      <c r="D3100" s="45" t="s">
        <v>6053</v>
      </c>
    </row>
    <row r="3101" spans="1:4" s="45" customFormat="1" ht="13.5" x14ac:dyDescent="0.15">
      <c r="A3101" s="45" t="s">
        <v>41</v>
      </c>
      <c r="D3101" s="45" t="s">
        <v>6054</v>
      </c>
    </row>
    <row r="3102" spans="1:4" s="45" customFormat="1" ht="13.5" x14ac:dyDescent="0.15">
      <c r="A3102" s="45" t="s">
        <v>41</v>
      </c>
      <c r="D3102" s="45" t="s">
        <v>6055</v>
      </c>
    </row>
    <row r="3103" spans="1:4" s="45" customFormat="1" ht="13.5" x14ac:dyDescent="0.15">
      <c r="A3103" s="45" t="s">
        <v>41</v>
      </c>
      <c r="D3103" s="45" t="s">
        <v>6056</v>
      </c>
    </row>
    <row r="3104" spans="1:4" s="45" customFormat="1" ht="13.5" x14ac:dyDescent="0.15">
      <c r="A3104" s="45" t="s">
        <v>41</v>
      </c>
      <c r="D3104" s="45" t="s">
        <v>6057</v>
      </c>
    </row>
    <row r="3105" spans="1:4" s="45" customFormat="1" ht="13.5" x14ac:dyDescent="0.15">
      <c r="A3105" s="45" t="s">
        <v>41</v>
      </c>
      <c r="D3105" s="45" t="s">
        <v>6058</v>
      </c>
    </row>
    <row r="3106" spans="1:4" s="45" customFormat="1" ht="13.5" x14ac:dyDescent="0.15">
      <c r="A3106" s="45" t="s">
        <v>41</v>
      </c>
      <c r="D3106" s="45" t="s">
        <v>2607</v>
      </c>
    </row>
    <row r="3107" spans="1:4" s="45" customFormat="1" ht="13.5" x14ac:dyDescent="0.15">
      <c r="A3107" s="45" t="s">
        <v>41</v>
      </c>
      <c r="D3107" s="45" t="s">
        <v>6059</v>
      </c>
    </row>
    <row r="3108" spans="1:4" s="45" customFormat="1" ht="13.5" x14ac:dyDescent="0.15">
      <c r="A3108" s="45" t="s">
        <v>41</v>
      </c>
      <c r="D3108" s="45" t="s">
        <v>6060</v>
      </c>
    </row>
    <row r="3109" spans="1:4" s="45" customFormat="1" ht="13.5" x14ac:dyDescent="0.15">
      <c r="A3109" s="45" t="s">
        <v>41</v>
      </c>
      <c r="D3109" s="45" t="s">
        <v>6061</v>
      </c>
    </row>
    <row r="3110" spans="1:4" s="45" customFormat="1" ht="13.5" x14ac:dyDescent="0.15">
      <c r="A3110" s="45" t="s">
        <v>41</v>
      </c>
      <c r="D3110" s="45" t="s">
        <v>6062</v>
      </c>
    </row>
    <row r="3111" spans="1:4" s="45" customFormat="1" ht="13.5" x14ac:dyDescent="0.15">
      <c r="A3111" s="45" t="s">
        <v>41</v>
      </c>
      <c r="D3111" s="45" t="s">
        <v>2603</v>
      </c>
    </row>
    <row r="3112" spans="1:4" s="45" customFormat="1" ht="13.5" x14ac:dyDescent="0.15">
      <c r="A3112" s="45" t="s">
        <v>41</v>
      </c>
      <c r="D3112" s="45" t="s">
        <v>2602</v>
      </c>
    </row>
    <row r="3113" spans="1:4" s="45" customFormat="1" ht="13.5" x14ac:dyDescent="0.15">
      <c r="A3113" s="45" t="s">
        <v>41</v>
      </c>
      <c r="D3113" s="45" t="s">
        <v>6063</v>
      </c>
    </row>
    <row r="3114" spans="1:4" s="45" customFormat="1" ht="13.5" x14ac:dyDescent="0.15">
      <c r="A3114" s="45" t="s">
        <v>41</v>
      </c>
      <c r="D3114" s="45" t="s">
        <v>2604</v>
      </c>
    </row>
    <row r="3115" spans="1:4" s="45" customFormat="1" ht="13.5" x14ac:dyDescent="0.15">
      <c r="A3115" s="45" t="s">
        <v>41</v>
      </c>
      <c r="D3115" s="45" t="s">
        <v>6064</v>
      </c>
    </row>
    <row r="3116" spans="1:4" s="45" customFormat="1" ht="13.5" x14ac:dyDescent="0.15">
      <c r="A3116" s="45" t="s">
        <v>41</v>
      </c>
      <c r="D3116" s="45" t="s">
        <v>2606</v>
      </c>
    </row>
    <row r="3117" spans="1:4" s="45" customFormat="1" ht="13.5" x14ac:dyDescent="0.15">
      <c r="A3117" s="45" t="s">
        <v>41</v>
      </c>
      <c r="D3117" s="45" t="s">
        <v>6065</v>
      </c>
    </row>
    <row r="3118" spans="1:4" s="45" customFormat="1" ht="13.5" x14ac:dyDescent="0.15">
      <c r="A3118" s="45" t="s">
        <v>41</v>
      </c>
      <c r="D3118" s="45" t="s">
        <v>6066</v>
      </c>
    </row>
    <row r="3119" spans="1:4" s="45" customFormat="1" ht="13.5" x14ac:dyDescent="0.15">
      <c r="A3119" s="45" t="s">
        <v>41</v>
      </c>
      <c r="D3119" s="45" t="s">
        <v>6067</v>
      </c>
    </row>
    <row r="3120" spans="1:4" s="45" customFormat="1" ht="13.5" x14ac:dyDescent="0.15">
      <c r="A3120" s="45" t="s">
        <v>41</v>
      </c>
      <c r="D3120" s="45" t="s">
        <v>6068</v>
      </c>
    </row>
    <row r="3121" spans="1:4" s="45" customFormat="1" ht="13.5" x14ac:dyDescent="0.15">
      <c r="A3121" s="45" t="s">
        <v>41</v>
      </c>
      <c r="D3121" s="45" t="s">
        <v>6069</v>
      </c>
    </row>
    <row r="3122" spans="1:4" s="45" customFormat="1" ht="13.5" x14ac:dyDescent="0.15">
      <c r="A3122" s="45" t="s">
        <v>41</v>
      </c>
      <c r="D3122" s="45" t="s">
        <v>2605</v>
      </c>
    </row>
    <row r="3123" spans="1:4" s="45" customFormat="1" ht="13.5" x14ac:dyDescent="0.15">
      <c r="A3123" s="45" t="s">
        <v>41</v>
      </c>
      <c r="D3123" s="45" t="s">
        <v>6070</v>
      </c>
    </row>
    <row r="3124" spans="1:4" s="45" customFormat="1" ht="13.5" x14ac:dyDescent="0.15">
      <c r="A3124" s="45" t="s">
        <v>41</v>
      </c>
      <c r="D3124" s="45" t="s">
        <v>6071</v>
      </c>
    </row>
    <row r="3125" spans="1:4" s="45" customFormat="1" ht="13.5" x14ac:dyDescent="0.15">
      <c r="A3125" s="45" t="s">
        <v>41</v>
      </c>
      <c r="D3125" s="45" t="s">
        <v>6072</v>
      </c>
    </row>
    <row r="3126" spans="1:4" s="45" customFormat="1" ht="13.5" x14ac:dyDescent="0.15">
      <c r="A3126" s="45" t="s">
        <v>41</v>
      </c>
      <c r="D3126" s="45" t="s">
        <v>6073</v>
      </c>
    </row>
    <row r="3127" spans="1:4" s="45" customFormat="1" ht="13.5" x14ac:dyDescent="0.15">
      <c r="A3127" s="45" t="s">
        <v>41</v>
      </c>
      <c r="D3127" s="45" t="s">
        <v>6074</v>
      </c>
    </row>
    <row r="3128" spans="1:4" s="45" customFormat="1" ht="13.5" x14ac:dyDescent="0.15">
      <c r="A3128" s="45" t="s">
        <v>41</v>
      </c>
      <c r="D3128" s="45" t="s">
        <v>6075</v>
      </c>
    </row>
    <row r="3129" spans="1:4" s="45" customFormat="1" ht="13.5" x14ac:dyDescent="0.15">
      <c r="A3129" s="45" t="s">
        <v>41</v>
      </c>
      <c r="D3129" s="45" t="s">
        <v>6076</v>
      </c>
    </row>
    <row r="3130" spans="1:4" s="45" customFormat="1" ht="13.5" x14ac:dyDescent="0.15">
      <c r="A3130" s="45" t="s">
        <v>41</v>
      </c>
      <c r="D3130" s="45" t="s">
        <v>6077</v>
      </c>
    </row>
    <row r="3131" spans="1:4" s="45" customFormat="1" ht="13.5" x14ac:dyDescent="0.15">
      <c r="A3131" s="45" t="s">
        <v>41</v>
      </c>
      <c r="D3131" s="45" t="s">
        <v>6078</v>
      </c>
    </row>
    <row r="3132" spans="1:4" s="45" customFormat="1" ht="13.5" x14ac:dyDescent="0.15">
      <c r="A3132" s="45" t="s">
        <v>41</v>
      </c>
      <c r="D3132" s="45" t="s">
        <v>6079</v>
      </c>
    </row>
    <row r="3133" spans="1:4" s="45" customFormat="1" ht="13.5" x14ac:dyDescent="0.15">
      <c r="A3133" s="45" t="s">
        <v>41</v>
      </c>
      <c r="D3133" s="45" t="s">
        <v>6080</v>
      </c>
    </row>
    <row r="3134" spans="1:4" s="45" customFormat="1" ht="13.5" x14ac:dyDescent="0.15">
      <c r="A3134" s="45" t="s">
        <v>41</v>
      </c>
      <c r="D3134" s="45" t="s">
        <v>6081</v>
      </c>
    </row>
    <row r="3135" spans="1:4" s="45" customFormat="1" ht="13.5" x14ac:dyDescent="0.15">
      <c r="A3135" s="45" t="s">
        <v>41</v>
      </c>
      <c r="D3135" s="45" t="s">
        <v>2591</v>
      </c>
    </row>
    <row r="3136" spans="1:4" s="45" customFormat="1" ht="13.5" x14ac:dyDescent="0.15">
      <c r="A3136" s="45" t="s">
        <v>41</v>
      </c>
      <c r="D3136" s="45" t="s">
        <v>2593</v>
      </c>
    </row>
    <row r="3137" spans="1:4" s="45" customFormat="1" ht="13.5" x14ac:dyDescent="0.15">
      <c r="A3137" s="45" t="s">
        <v>41</v>
      </c>
      <c r="D3137" s="45" t="s">
        <v>6082</v>
      </c>
    </row>
    <row r="3138" spans="1:4" s="45" customFormat="1" ht="13.5" x14ac:dyDescent="0.15">
      <c r="A3138" s="45" t="s">
        <v>41</v>
      </c>
      <c r="D3138" s="45" t="s">
        <v>6083</v>
      </c>
    </row>
    <row r="3139" spans="1:4" s="45" customFormat="1" ht="13.5" x14ac:dyDescent="0.15">
      <c r="A3139" s="45" t="s">
        <v>41</v>
      </c>
      <c r="D3139" s="45" t="s">
        <v>2595</v>
      </c>
    </row>
    <row r="3140" spans="1:4" s="45" customFormat="1" ht="13.5" x14ac:dyDescent="0.15">
      <c r="A3140" s="45" t="s">
        <v>41</v>
      </c>
      <c r="D3140" s="45" t="s">
        <v>2592</v>
      </c>
    </row>
    <row r="3141" spans="1:4" s="45" customFormat="1" ht="13.5" x14ac:dyDescent="0.15">
      <c r="A3141" s="45" t="s">
        <v>41</v>
      </c>
      <c r="D3141" s="45" t="s">
        <v>6084</v>
      </c>
    </row>
    <row r="3142" spans="1:4" s="45" customFormat="1" ht="13.5" x14ac:dyDescent="0.15">
      <c r="A3142" s="45" t="s">
        <v>41</v>
      </c>
      <c r="D3142" s="45" t="s">
        <v>2599</v>
      </c>
    </row>
    <row r="3143" spans="1:4" s="45" customFormat="1" ht="13.5" x14ac:dyDescent="0.15">
      <c r="A3143" s="45" t="s">
        <v>41</v>
      </c>
      <c r="D3143" s="45" t="s">
        <v>2598</v>
      </c>
    </row>
    <row r="3144" spans="1:4" s="45" customFormat="1" ht="13.5" x14ac:dyDescent="0.15">
      <c r="A3144" s="45" t="s">
        <v>41</v>
      </c>
      <c r="D3144" s="45" t="s">
        <v>6085</v>
      </c>
    </row>
    <row r="3145" spans="1:4" s="45" customFormat="1" ht="13.5" x14ac:dyDescent="0.15">
      <c r="A3145" s="45" t="s">
        <v>41</v>
      </c>
      <c r="D3145" s="45" t="s">
        <v>2594</v>
      </c>
    </row>
    <row r="3146" spans="1:4" s="45" customFormat="1" ht="13.5" x14ac:dyDescent="0.15">
      <c r="A3146" s="45" t="s">
        <v>41</v>
      </c>
      <c r="D3146" s="45" t="s">
        <v>6086</v>
      </c>
    </row>
    <row r="3147" spans="1:4" s="45" customFormat="1" ht="13.5" x14ac:dyDescent="0.15">
      <c r="A3147" s="45" t="s">
        <v>41</v>
      </c>
      <c r="D3147" s="45" t="s">
        <v>6087</v>
      </c>
    </row>
    <row r="3148" spans="1:4" s="45" customFormat="1" ht="13.5" x14ac:dyDescent="0.15">
      <c r="A3148" s="45" t="s">
        <v>41</v>
      </c>
      <c r="D3148" s="45" t="s">
        <v>6088</v>
      </c>
    </row>
    <row r="3149" spans="1:4" s="45" customFormat="1" ht="13.5" x14ac:dyDescent="0.15">
      <c r="A3149" s="45" t="s">
        <v>41</v>
      </c>
      <c r="D3149" s="45" t="s">
        <v>6089</v>
      </c>
    </row>
    <row r="3150" spans="1:4" s="45" customFormat="1" ht="13.5" x14ac:dyDescent="0.15">
      <c r="A3150" s="45" t="s">
        <v>41</v>
      </c>
      <c r="D3150" s="45" t="s">
        <v>2597</v>
      </c>
    </row>
    <row r="3151" spans="1:4" s="45" customFormat="1" ht="13.5" x14ac:dyDescent="0.15">
      <c r="A3151" s="45" t="s">
        <v>41</v>
      </c>
      <c r="D3151" s="45" t="s">
        <v>2596</v>
      </c>
    </row>
    <row r="3152" spans="1:4" s="45" customFormat="1" ht="13.5" x14ac:dyDescent="0.15">
      <c r="A3152" s="45" t="s">
        <v>41</v>
      </c>
      <c r="D3152" s="45" t="s">
        <v>2590</v>
      </c>
    </row>
    <row r="3153" spans="1:4" s="45" customFormat="1" ht="13.5" x14ac:dyDescent="0.15">
      <c r="A3153" s="45" t="s">
        <v>41</v>
      </c>
      <c r="D3153" s="45" t="s">
        <v>6090</v>
      </c>
    </row>
    <row r="3154" spans="1:4" s="45" customFormat="1" ht="13.5" x14ac:dyDescent="0.15">
      <c r="A3154" s="45" t="s">
        <v>41</v>
      </c>
      <c r="D3154" s="45" t="s">
        <v>636</v>
      </c>
    </row>
    <row r="3155" spans="1:4" s="45" customFormat="1" ht="13.5" x14ac:dyDescent="0.15">
      <c r="A3155" s="45" t="s">
        <v>41</v>
      </c>
      <c r="D3155" s="45" t="s">
        <v>637</v>
      </c>
    </row>
    <row r="3156" spans="1:4" s="45" customFormat="1" ht="13.5" x14ac:dyDescent="0.15">
      <c r="A3156" s="45" t="s">
        <v>41</v>
      </c>
      <c r="D3156" s="45" t="s">
        <v>645</v>
      </c>
    </row>
    <row r="3157" spans="1:4" s="45" customFormat="1" ht="13.5" x14ac:dyDescent="0.15">
      <c r="A3157" s="45" t="s">
        <v>41</v>
      </c>
      <c r="D3157" s="45" t="s">
        <v>639</v>
      </c>
    </row>
    <row r="3158" spans="1:4" s="45" customFormat="1" ht="13.5" x14ac:dyDescent="0.15">
      <c r="A3158" s="45" t="s">
        <v>41</v>
      </c>
      <c r="D3158" s="45" t="s">
        <v>6091</v>
      </c>
    </row>
    <row r="3159" spans="1:4" s="45" customFormat="1" ht="13.5" x14ac:dyDescent="0.15">
      <c r="A3159" s="45" t="s">
        <v>41</v>
      </c>
      <c r="D3159" s="45" t="s">
        <v>642</v>
      </c>
    </row>
    <row r="3160" spans="1:4" s="45" customFormat="1" ht="13.5" x14ac:dyDescent="0.15">
      <c r="A3160" s="45" t="s">
        <v>41</v>
      </c>
      <c r="D3160" s="45" t="s">
        <v>643</v>
      </c>
    </row>
    <row r="3161" spans="1:4" s="45" customFormat="1" ht="13.5" x14ac:dyDescent="0.15">
      <c r="A3161" s="45" t="s">
        <v>41</v>
      </c>
      <c r="D3161" s="45" t="s">
        <v>640</v>
      </c>
    </row>
    <row r="3162" spans="1:4" s="45" customFormat="1" ht="13.5" x14ac:dyDescent="0.15">
      <c r="A3162" s="45" t="s">
        <v>41</v>
      </c>
      <c r="D3162" s="45" t="s">
        <v>6092</v>
      </c>
    </row>
    <row r="3163" spans="1:4" s="45" customFormat="1" ht="13.5" x14ac:dyDescent="0.15">
      <c r="A3163" s="45" t="s">
        <v>41</v>
      </c>
      <c r="D3163" s="45" t="s">
        <v>644</v>
      </c>
    </row>
    <row r="3164" spans="1:4" s="45" customFormat="1" ht="13.5" x14ac:dyDescent="0.15">
      <c r="A3164" s="45" t="s">
        <v>41</v>
      </c>
      <c r="D3164" s="45" t="s">
        <v>641</v>
      </c>
    </row>
    <row r="3165" spans="1:4" s="45" customFormat="1" ht="13.5" x14ac:dyDescent="0.15">
      <c r="A3165" s="45" t="s">
        <v>41</v>
      </c>
      <c r="D3165" s="45" t="s">
        <v>6093</v>
      </c>
    </row>
    <row r="3166" spans="1:4" s="45" customFormat="1" ht="13.5" x14ac:dyDescent="0.15">
      <c r="A3166" s="45" t="s">
        <v>41</v>
      </c>
      <c r="D3166" s="45" t="s">
        <v>6094</v>
      </c>
    </row>
    <row r="3167" spans="1:4" s="45" customFormat="1" ht="13.5" x14ac:dyDescent="0.15">
      <c r="A3167" s="45" t="s">
        <v>41</v>
      </c>
      <c r="D3167" s="45" t="s">
        <v>638</v>
      </c>
    </row>
    <row r="3168" spans="1:4" s="45" customFormat="1" ht="13.5" x14ac:dyDescent="0.15">
      <c r="A3168" s="45" t="s">
        <v>41</v>
      </c>
      <c r="D3168" s="45" t="s">
        <v>6095</v>
      </c>
    </row>
    <row r="3169" spans="1:4" s="45" customFormat="1" ht="13.5" x14ac:dyDescent="0.15">
      <c r="A3169" s="45" t="s">
        <v>41</v>
      </c>
      <c r="D3169" s="45" t="s">
        <v>1395</v>
      </c>
    </row>
    <row r="3170" spans="1:4" s="45" customFormat="1" ht="13.5" x14ac:dyDescent="0.15">
      <c r="A3170" s="45" t="s">
        <v>41</v>
      </c>
      <c r="D3170" s="45" t="s">
        <v>1396</v>
      </c>
    </row>
    <row r="3171" spans="1:4" s="45" customFormat="1" ht="13.5" x14ac:dyDescent="0.15">
      <c r="A3171" s="45" t="s">
        <v>41</v>
      </c>
      <c r="D3171" s="45" t="s">
        <v>1394</v>
      </c>
    </row>
    <row r="3172" spans="1:4" s="45" customFormat="1" ht="13.5" x14ac:dyDescent="0.15">
      <c r="A3172" s="45" t="s">
        <v>41</v>
      </c>
      <c r="D3172" s="45" t="s">
        <v>6096</v>
      </c>
    </row>
    <row r="3173" spans="1:4" s="45" customFormat="1" ht="13.5" x14ac:dyDescent="0.15">
      <c r="A3173" s="45" t="s">
        <v>41</v>
      </c>
      <c r="D3173" s="45" t="s">
        <v>6097</v>
      </c>
    </row>
    <row r="3174" spans="1:4" s="45" customFormat="1" ht="13.5" x14ac:dyDescent="0.15">
      <c r="A3174" s="45" t="s">
        <v>41</v>
      </c>
      <c r="D3174" s="45" t="s">
        <v>625</v>
      </c>
    </row>
    <row r="3175" spans="1:4" s="45" customFormat="1" ht="13.5" x14ac:dyDescent="0.15">
      <c r="A3175" s="45" t="s">
        <v>41</v>
      </c>
      <c r="D3175" s="45" t="s">
        <v>1839</v>
      </c>
    </row>
    <row r="3176" spans="1:4" s="45" customFormat="1" ht="13.5" x14ac:dyDescent="0.15">
      <c r="A3176" s="45" t="s">
        <v>41</v>
      </c>
      <c r="D3176" s="45" t="s">
        <v>6098</v>
      </c>
    </row>
    <row r="3177" spans="1:4" s="45" customFormat="1" ht="13.5" x14ac:dyDescent="0.15">
      <c r="A3177" s="45" t="s">
        <v>41</v>
      </c>
      <c r="D3177" s="45" t="s">
        <v>1239</v>
      </c>
    </row>
    <row r="3178" spans="1:4" s="45" customFormat="1" ht="13.5" x14ac:dyDescent="0.15">
      <c r="A3178" s="45" t="s">
        <v>41</v>
      </c>
      <c r="D3178" s="45" t="s">
        <v>1238</v>
      </c>
    </row>
    <row r="3179" spans="1:4" s="45" customFormat="1" ht="13.5" x14ac:dyDescent="0.15">
      <c r="A3179" s="45" t="s">
        <v>41</v>
      </c>
      <c r="D3179" s="45" t="s">
        <v>6099</v>
      </c>
    </row>
    <row r="3180" spans="1:4" s="45" customFormat="1" ht="13.5" x14ac:dyDescent="0.15">
      <c r="A3180" s="45" t="s">
        <v>41</v>
      </c>
      <c r="D3180" s="45" t="s">
        <v>6100</v>
      </c>
    </row>
    <row r="3181" spans="1:4" s="45" customFormat="1" ht="13.5" x14ac:dyDescent="0.15">
      <c r="A3181" s="45" t="s">
        <v>41</v>
      </c>
      <c r="D3181" s="45" t="s">
        <v>1527</v>
      </c>
    </row>
    <row r="3182" spans="1:4" s="45" customFormat="1" ht="13.5" x14ac:dyDescent="0.15">
      <c r="A3182" s="45" t="s">
        <v>41</v>
      </c>
      <c r="D3182" s="45" t="s">
        <v>1526</v>
      </c>
    </row>
    <row r="3183" spans="1:4" s="45" customFormat="1" ht="13.5" x14ac:dyDescent="0.15">
      <c r="A3183" s="45" t="s">
        <v>41</v>
      </c>
      <c r="D3183" s="45" t="s">
        <v>6101</v>
      </c>
    </row>
    <row r="3184" spans="1:4" s="45" customFormat="1" ht="13.5" x14ac:dyDescent="0.15">
      <c r="A3184" s="45" t="s">
        <v>41</v>
      </c>
      <c r="D3184" s="45" t="s">
        <v>6102</v>
      </c>
    </row>
    <row r="3185" spans="1:4" s="45" customFormat="1" ht="13.5" x14ac:dyDescent="0.15">
      <c r="A3185" s="45" t="s">
        <v>41</v>
      </c>
      <c r="D3185" s="45" t="s">
        <v>6103</v>
      </c>
    </row>
    <row r="3186" spans="1:4" s="45" customFormat="1" ht="13.5" x14ac:dyDescent="0.15">
      <c r="A3186" s="45" t="s">
        <v>41</v>
      </c>
      <c r="D3186" s="45" t="s">
        <v>6104</v>
      </c>
    </row>
    <row r="3187" spans="1:4" s="45" customFormat="1" ht="13.5" x14ac:dyDescent="0.15">
      <c r="A3187" s="45" t="s">
        <v>41</v>
      </c>
      <c r="D3187" s="45" t="s">
        <v>6105</v>
      </c>
    </row>
    <row r="3188" spans="1:4" s="45" customFormat="1" ht="13.5" x14ac:dyDescent="0.15">
      <c r="A3188" s="45" t="s">
        <v>41</v>
      </c>
      <c r="D3188" s="45" t="s">
        <v>2321</v>
      </c>
    </row>
    <row r="3189" spans="1:4" s="45" customFormat="1" ht="13.5" x14ac:dyDescent="0.15">
      <c r="A3189" s="45" t="s">
        <v>41</v>
      </c>
      <c r="D3189" s="45" t="s">
        <v>6106</v>
      </c>
    </row>
    <row r="3190" spans="1:4" s="45" customFormat="1" ht="13.5" x14ac:dyDescent="0.15">
      <c r="A3190" s="45" t="s">
        <v>41</v>
      </c>
      <c r="D3190" s="45" t="s">
        <v>6107</v>
      </c>
    </row>
    <row r="3191" spans="1:4" s="45" customFormat="1" ht="13.5" x14ac:dyDescent="0.15">
      <c r="A3191" s="45" t="s">
        <v>41</v>
      </c>
      <c r="D3191" s="45" t="s">
        <v>6108</v>
      </c>
    </row>
    <row r="3192" spans="1:4" s="45" customFormat="1" ht="13.5" x14ac:dyDescent="0.15">
      <c r="A3192" s="45" t="s">
        <v>41</v>
      </c>
      <c r="D3192" s="45" t="s">
        <v>1495</v>
      </c>
    </row>
    <row r="3193" spans="1:4" s="45" customFormat="1" ht="13.5" x14ac:dyDescent="0.15">
      <c r="A3193" s="45" t="s">
        <v>41</v>
      </c>
      <c r="D3193" s="45" t="s">
        <v>6109</v>
      </c>
    </row>
    <row r="3194" spans="1:4" s="45" customFormat="1" ht="13.5" x14ac:dyDescent="0.15">
      <c r="A3194" s="45" t="s">
        <v>41</v>
      </c>
      <c r="D3194" s="45" t="s">
        <v>1585</v>
      </c>
    </row>
    <row r="3195" spans="1:4" s="45" customFormat="1" ht="13.5" x14ac:dyDescent="0.15">
      <c r="A3195" s="45" t="s">
        <v>41</v>
      </c>
      <c r="D3195" s="45" t="s">
        <v>6110</v>
      </c>
    </row>
    <row r="3196" spans="1:4" s="45" customFormat="1" ht="13.5" x14ac:dyDescent="0.15">
      <c r="A3196" s="45" t="s">
        <v>41</v>
      </c>
      <c r="D3196" s="45" t="s">
        <v>6111</v>
      </c>
    </row>
    <row r="3197" spans="1:4" s="45" customFormat="1" ht="13.5" x14ac:dyDescent="0.15">
      <c r="A3197" s="45" t="s">
        <v>41</v>
      </c>
      <c r="D3197" s="45" t="s">
        <v>6112</v>
      </c>
    </row>
    <row r="3198" spans="1:4" s="45" customFormat="1" ht="13.5" x14ac:dyDescent="0.15">
      <c r="A3198" s="45" t="s">
        <v>41</v>
      </c>
      <c r="D3198" s="45" t="s">
        <v>6113</v>
      </c>
    </row>
    <row r="3199" spans="1:4" s="45" customFormat="1" ht="13.5" x14ac:dyDescent="0.15">
      <c r="A3199" s="45" t="s">
        <v>41</v>
      </c>
      <c r="D3199" s="45" t="s">
        <v>6114</v>
      </c>
    </row>
    <row r="3200" spans="1:4" s="45" customFormat="1" ht="13.5" x14ac:dyDescent="0.15">
      <c r="A3200" s="45" t="s">
        <v>41</v>
      </c>
      <c r="D3200" s="45" t="s">
        <v>6115</v>
      </c>
    </row>
    <row r="3201" spans="1:4" s="45" customFormat="1" ht="13.5" x14ac:dyDescent="0.15">
      <c r="A3201" s="45" t="s">
        <v>41</v>
      </c>
      <c r="D3201" s="45" t="s">
        <v>6116</v>
      </c>
    </row>
    <row r="3202" spans="1:4" s="45" customFormat="1" ht="13.5" x14ac:dyDescent="0.15">
      <c r="A3202" s="45" t="s">
        <v>41</v>
      </c>
      <c r="D3202" s="45" t="s">
        <v>6117</v>
      </c>
    </row>
    <row r="3203" spans="1:4" s="45" customFormat="1" ht="13.5" x14ac:dyDescent="0.15">
      <c r="A3203" s="45" t="s">
        <v>41</v>
      </c>
      <c r="D3203" s="45" t="s">
        <v>6118</v>
      </c>
    </row>
    <row r="3204" spans="1:4" s="45" customFormat="1" ht="13.5" x14ac:dyDescent="0.15">
      <c r="A3204" s="45" t="s">
        <v>41</v>
      </c>
      <c r="D3204" s="45" t="s">
        <v>9757</v>
      </c>
    </row>
    <row r="3205" spans="1:4" s="45" customFormat="1" ht="13.5" x14ac:dyDescent="0.15">
      <c r="A3205" s="45" t="s">
        <v>41</v>
      </c>
      <c r="D3205" s="45" t="s">
        <v>6119</v>
      </c>
    </row>
    <row r="3206" spans="1:4" s="45" customFormat="1" ht="13.5" x14ac:dyDescent="0.15">
      <c r="A3206" s="45" t="s">
        <v>41</v>
      </c>
      <c r="D3206" s="45" t="s">
        <v>6120</v>
      </c>
    </row>
    <row r="3207" spans="1:4" s="45" customFormat="1" ht="13.5" x14ac:dyDescent="0.15">
      <c r="A3207" s="45" t="s">
        <v>41</v>
      </c>
      <c r="D3207" s="45" t="s">
        <v>6121</v>
      </c>
    </row>
    <row r="3208" spans="1:4" s="45" customFormat="1" ht="13.5" x14ac:dyDescent="0.15">
      <c r="A3208" s="45" t="s">
        <v>41</v>
      </c>
      <c r="D3208" s="45" t="s">
        <v>1285</v>
      </c>
    </row>
    <row r="3209" spans="1:4" s="45" customFormat="1" ht="13.5" x14ac:dyDescent="0.15">
      <c r="A3209" s="45" t="s">
        <v>41</v>
      </c>
      <c r="D3209" s="45" t="s">
        <v>1287</v>
      </c>
    </row>
    <row r="3210" spans="1:4" s="45" customFormat="1" ht="13.5" x14ac:dyDescent="0.15">
      <c r="A3210" s="45" t="s">
        <v>41</v>
      </c>
      <c r="D3210" s="45" t="s">
        <v>1286</v>
      </c>
    </row>
    <row r="3211" spans="1:4" s="45" customFormat="1" ht="13.5" x14ac:dyDescent="0.15">
      <c r="A3211" s="45" t="s">
        <v>41</v>
      </c>
      <c r="D3211" s="45" t="s">
        <v>6122</v>
      </c>
    </row>
    <row r="3212" spans="1:4" s="45" customFormat="1" ht="13.5" x14ac:dyDescent="0.15">
      <c r="A3212" s="45" t="s">
        <v>41</v>
      </c>
      <c r="D3212" s="45" t="s">
        <v>1288</v>
      </c>
    </row>
    <row r="3213" spans="1:4" s="45" customFormat="1" ht="13.5" x14ac:dyDescent="0.15">
      <c r="A3213" s="45" t="s">
        <v>41</v>
      </c>
      <c r="D3213" s="45" t="s">
        <v>6123</v>
      </c>
    </row>
    <row r="3214" spans="1:4" s="45" customFormat="1" ht="13.5" x14ac:dyDescent="0.15">
      <c r="A3214" s="45" t="s">
        <v>41</v>
      </c>
      <c r="D3214" s="45" t="s">
        <v>6124</v>
      </c>
    </row>
    <row r="3215" spans="1:4" s="45" customFormat="1" ht="13.5" x14ac:dyDescent="0.15">
      <c r="A3215" s="45" t="s">
        <v>41</v>
      </c>
      <c r="D3215" s="45" t="s">
        <v>2570</v>
      </c>
    </row>
    <row r="3216" spans="1:4" s="45" customFormat="1" ht="13.5" x14ac:dyDescent="0.15">
      <c r="A3216" s="45" t="s">
        <v>41</v>
      </c>
      <c r="D3216" s="45" t="s">
        <v>6125</v>
      </c>
    </row>
    <row r="3217" spans="1:4" s="45" customFormat="1" ht="13.5" x14ac:dyDescent="0.15">
      <c r="A3217" s="45" t="s">
        <v>41</v>
      </c>
      <c r="D3217" s="45" t="s">
        <v>6126</v>
      </c>
    </row>
    <row r="3218" spans="1:4" s="45" customFormat="1" ht="13.5" x14ac:dyDescent="0.15">
      <c r="A3218" s="45" t="s">
        <v>41</v>
      </c>
      <c r="D3218" s="45" t="s">
        <v>6127</v>
      </c>
    </row>
    <row r="3219" spans="1:4" s="45" customFormat="1" ht="13.5" x14ac:dyDescent="0.15">
      <c r="A3219" s="45" t="s">
        <v>41</v>
      </c>
      <c r="D3219" s="45" t="s">
        <v>6128</v>
      </c>
    </row>
    <row r="3220" spans="1:4" s="45" customFormat="1" ht="13.5" x14ac:dyDescent="0.15">
      <c r="A3220" s="45" t="s">
        <v>41</v>
      </c>
      <c r="D3220" s="45" t="s">
        <v>2571</v>
      </c>
    </row>
    <row r="3221" spans="1:4" s="45" customFormat="1" ht="13.5" x14ac:dyDescent="0.15">
      <c r="A3221" s="45" t="s">
        <v>41</v>
      </c>
      <c r="D3221" s="45" t="s">
        <v>2574</v>
      </c>
    </row>
    <row r="3222" spans="1:4" s="45" customFormat="1" ht="13.5" x14ac:dyDescent="0.15">
      <c r="A3222" s="45" t="s">
        <v>41</v>
      </c>
      <c r="D3222" s="45" t="s">
        <v>6129</v>
      </c>
    </row>
    <row r="3223" spans="1:4" s="45" customFormat="1" ht="13.5" x14ac:dyDescent="0.15">
      <c r="A3223" s="45" t="s">
        <v>41</v>
      </c>
      <c r="D3223" s="45" t="s">
        <v>2572</v>
      </c>
    </row>
    <row r="3224" spans="1:4" s="45" customFormat="1" ht="13.5" x14ac:dyDescent="0.15">
      <c r="A3224" s="45" t="s">
        <v>41</v>
      </c>
      <c r="D3224" s="45" t="s">
        <v>2577</v>
      </c>
    </row>
    <row r="3225" spans="1:4" s="45" customFormat="1" ht="13.5" x14ac:dyDescent="0.15">
      <c r="A3225" s="45" t="s">
        <v>41</v>
      </c>
      <c r="D3225" s="45" t="s">
        <v>6130</v>
      </c>
    </row>
    <row r="3226" spans="1:4" s="45" customFormat="1" ht="13.5" x14ac:dyDescent="0.15">
      <c r="A3226" s="45" t="s">
        <v>41</v>
      </c>
      <c r="D3226" s="45" t="s">
        <v>6131</v>
      </c>
    </row>
    <row r="3227" spans="1:4" s="45" customFormat="1" ht="13.5" x14ac:dyDescent="0.15">
      <c r="A3227" s="45" t="s">
        <v>41</v>
      </c>
      <c r="D3227" s="45" t="s">
        <v>2575</v>
      </c>
    </row>
    <row r="3228" spans="1:4" s="45" customFormat="1" ht="13.5" x14ac:dyDescent="0.15">
      <c r="A3228" s="45" t="s">
        <v>41</v>
      </c>
      <c r="D3228" s="45" t="s">
        <v>2578</v>
      </c>
    </row>
    <row r="3229" spans="1:4" s="45" customFormat="1" ht="13.5" x14ac:dyDescent="0.15">
      <c r="A3229" s="45" t="s">
        <v>41</v>
      </c>
      <c r="D3229" s="45" t="s">
        <v>2573</v>
      </c>
    </row>
    <row r="3230" spans="1:4" s="45" customFormat="1" ht="13.5" x14ac:dyDescent="0.15">
      <c r="A3230" s="45" t="s">
        <v>41</v>
      </c>
      <c r="D3230" s="45" t="s">
        <v>6132</v>
      </c>
    </row>
    <row r="3231" spans="1:4" s="45" customFormat="1" ht="13.5" x14ac:dyDescent="0.15">
      <c r="A3231" s="45" t="s">
        <v>41</v>
      </c>
      <c r="D3231" s="45" t="s">
        <v>2576</v>
      </c>
    </row>
    <row r="3232" spans="1:4" s="45" customFormat="1" ht="13.5" x14ac:dyDescent="0.15">
      <c r="A3232" s="45" t="s">
        <v>41</v>
      </c>
      <c r="D3232" s="45" t="s">
        <v>6133</v>
      </c>
    </row>
    <row r="3233" spans="1:4" s="45" customFormat="1" ht="13.5" x14ac:dyDescent="0.15">
      <c r="A3233" s="45" t="s">
        <v>41</v>
      </c>
      <c r="D3233" s="45" t="s">
        <v>6134</v>
      </c>
    </row>
    <row r="3234" spans="1:4" s="45" customFormat="1" ht="13.5" x14ac:dyDescent="0.15">
      <c r="A3234" s="45" t="s">
        <v>41</v>
      </c>
      <c r="D3234" s="45" t="s">
        <v>800</v>
      </c>
    </row>
    <row r="3235" spans="1:4" s="45" customFormat="1" ht="13.5" x14ac:dyDescent="0.15">
      <c r="A3235" s="45" t="s">
        <v>41</v>
      </c>
      <c r="D3235" s="45" t="s">
        <v>6135</v>
      </c>
    </row>
    <row r="3236" spans="1:4" s="45" customFormat="1" ht="13.5" x14ac:dyDescent="0.15">
      <c r="A3236" s="45" t="s">
        <v>41</v>
      </c>
      <c r="D3236" s="45" t="s">
        <v>680</v>
      </c>
    </row>
    <row r="3237" spans="1:4" s="45" customFormat="1" ht="13.5" x14ac:dyDescent="0.15">
      <c r="A3237" s="45" t="s">
        <v>41</v>
      </c>
      <c r="D3237" s="45" t="s">
        <v>6136</v>
      </c>
    </row>
    <row r="3238" spans="1:4" s="45" customFormat="1" ht="13.5" x14ac:dyDescent="0.15">
      <c r="A3238" s="45" t="s">
        <v>41</v>
      </c>
      <c r="D3238" s="45" t="s">
        <v>681</v>
      </c>
    </row>
    <row r="3239" spans="1:4" s="45" customFormat="1" ht="13.5" x14ac:dyDescent="0.15">
      <c r="A3239" s="45" t="s">
        <v>41</v>
      </c>
      <c r="D3239" s="45" t="s">
        <v>682</v>
      </c>
    </row>
    <row r="3240" spans="1:4" s="45" customFormat="1" ht="13.5" x14ac:dyDescent="0.15">
      <c r="A3240" s="45" t="s">
        <v>41</v>
      </c>
      <c r="D3240" s="45" t="s">
        <v>6137</v>
      </c>
    </row>
    <row r="3241" spans="1:4" s="45" customFormat="1" ht="13.5" x14ac:dyDescent="0.15">
      <c r="A3241" s="45" t="s">
        <v>41</v>
      </c>
      <c r="D3241" s="45" t="s">
        <v>6138</v>
      </c>
    </row>
    <row r="3242" spans="1:4" s="45" customFormat="1" ht="13.5" x14ac:dyDescent="0.15">
      <c r="A3242" s="45" t="s">
        <v>41</v>
      </c>
      <c r="D3242" s="45" t="s">
        <v>2156</v>
      </c>
    </row>
    <row r="3243" spans="1:4" s="45" customFormat="1" ht="13.5" x14ac:dyDescent="0.15">
      <c r="A3243" s="45" t="s">
        <v>41</v>
      </c>
      <c r="D3243" s="45" t="s">
        <v>6139</v>
      </c>
    </row>
    <row r="3244" spans="1:4" s="45" customFormat="1" ht="13.5" x14ac:dyDescent="0.15">
      <c r="A3244" s="45" t="s">
        <v>41</v>
      </c>
      <c r="D3244" s="45" t="s">
        <v>6140</v>
      </c>
    </row>
    <row r="3245" spans="1:4" s="45" customFormat="1" ht="13.5" x14ac:dyDescent="0.15">
      <c r="A3245" s="45" t="s">
        <v>41</v>
      </c>
      <c r="D3245" s="45" t="s">
        <v>6141</v>
      </c>
    </row>
    <row r="3246" spans="1:4" s="45" customFormat="1" ht="13.5" x14ac:dyDescent="0.15">
      <c r="A3246" s="45" t="s">
        <v>41</v>
      </c>
      <c r="D3246" s="45" t="s">
        <v>6142</v>
      </c>
    </row>
    <row r="3247" spans="1:4" s="45" customFormat="1" ht="13.5" x14ac:dyDescent="0.15">
      <c r="A3247" s="45" t="s">
        <v>41</v>
      </c>
      <c r="D3247" s="45" t="s">
        <v>6143</v>
      </c>
    </row>
    <row r="3248" spans="1:4" s="45" customFormat="1" ht="13.5" x14ac:dyDescent="0.15">
      <c r="A3248" s="45" t="s">
        <v>41</v>
      </c>
      <c r="D3248" s="45" t="s">
        <v>6144</v>
      </c>
    </row>
    <row r="3249" spans="1:4" s="45" customFormat="1" ht="13.5" x14ac:dyDescent="0.15">
      <c r="A3249" s="45" t="s">
        <v>41</v>
      </c>
      <c r="D3249" s="45" t="s">
        <v>6145</v>
      </c>
    </row>
    <row r="3250" spans="1:4" s="45" customFormat="1" ht="13.5" x14ac:dyDescent="0.15">
      <c r="A3250" s="45" t="s">
        <v>41</v>
      </c>
      <c r="D3250" s="45" t="s">
        <v>6146</v>
      </c>
    </row>
    <row r="3251" spans="1:4" s="45" customFormat="1" ht="13.5" x14ac:dyDescent="0.15">
      <c r="A3251" s="45" t="s">
        <v>41</v>
      </c>
      <c r="D3251" s="45" t="s">
        <v>1781</v>
      </c>
    </row>
    <row r="3252" spans="1:4" s="45" customFormat="1" ht="13.5" x14ac:dyDescent="0.15">
      <c r="A3252" s="45" t="s">
        <v>41</v>
      </c>
      <c r="D3252" s="45" t="s">
        <v>6147</v>
      </c>
    </row>
    <row r="3253" spans="1:4" s="45" customFormat="1" ht="13.5" x14ac:dyDescent="0.15">
      <c r="A3253" s="45" t="s">
        <v>41</v>
      </c>
      <c r="D3253" s="45" t="s">
        <v>6148</v>
      </c>
    </row>
    <row r="3254" spans="1:4" s="45" customFormat="1" ht="13.5" x14ac:dyDescent="0.15">
      <c r="A3254" s="45" t="s">
        <v>41</v>
      </c>
      <c r="D3254" s="45" t="s">
        <v>6149</v>
      </c>
    </row>
    <row r="3255" spans="1:4" s="45" customFormat="1" ht="13.5" x14ac:dyDescent="0.15">
      <c r="A3255" s="45" t="s">
        <v>41</v>
      </c>
      <c r="D3255" s="45" t="s">
        <v>6150</v>
      </c>
    </row>
    <row r="3256" spans="1:4" s="45" customFormat="1" ht="13.5" x14ac:dyDescent="0.15">
      <c r="A3256" s="45" t="s">
        <v>41</v>
      </c>
      <c r="D3256" s="45" t="s">
        <v>6151</v>
      </c>
    </row>
    <row r="3257" spans="1:4" s="45" customFormat="1" ht="13.5" x14ac:dyDescent="0.15">
      <c r="A3257" s="45" t="s">
        <v>41</v>
      </c>
      <c r="D3257" s="45" t="s">
        <v>6152</v>
      </c>
    </row>
    <row r="3258" spans="1:4" s="45" customFormat="1" ht="13.5" x14ac:dyDescent="0.15">
      <c r="A3258" s="45" t="s">
        <v>41</v>
      </c>
      <c r="D3258" s="45" t="s">
        <v>6153</v>
      </c>
    </row>
    <row r="3259" spans="1:4" s="45" customFormat="1" ht="13.5" x14ac:dyDescent="0.15">
      <c r="A3259" s="45" t="s">
        <v>41</v>
      </c>
      <c r="D3259" s="45" t="s">
        <v>1574</v>
      </c>
    </row>
    <row r="3260" spans="1:4" s="45" customFormat="1" ht="13.5" x14ac:dyDescent="0.15">
      <c r="A3260" s="45" t="s">
        <v>41</v>
      </c>
      <c r="D3260" s="45" t="s">
        <v>6154</v>
      </c>
    </row>
    <row r="3261" spans="1:4" s="45" customFormat="1" ht="13.5" x14ac:dyDescent="0.15">
      <c r="A3261" s="45" t="s">
        <v>41</v>
      </c>
      <c r="D3261" s="45" t="s">
        <v>6155</v>
      </c>
    </row>
    <row r="3262" spans="1:4" s="45" customFormat="1" ht="13.5" x14ac:dyDescent="0.15">
      <c r="A3262" s="45" t="s">
        <v>41</v>
      </c>
      <c r="D3262" s="45" t="s">
        <v>6156</v>
      </c>
    </row>
    <row r="3263" spans="1:4" s="45" customFormat="1" ht="13.5" x14ac:dyDescent="0.15">
      <c r="A3263" s="45" t="s">
        <v>41</v>
      </c>
      <c r="D3263" s="45" t="s">
        <v>6157</v>
      </c>
    </row>
    <row r="3264" spans="1:4" s="45" customFormat="1" ht="13.5" x14ac:dyDescent="0.15">
      <c r="A3264" s="45" t="s">
        <v>41</v>
      </c>
      <c r="D3264" s="45" t="s">
        <v>6158</v>
      </c>
    </row>
    <row r="3265" spans="1:4" s="45" customFormat="1" ht="13.5" x14ac:dyDescent="0.15">
      <c r="A3265" s="45" t="s">
        <v>41</v>
      </c>
      <c r="D3265" s="45" t="s">
        <v>6159</v>
      </c>
    </row>
    <row r="3266" spans="1:4" s="45" customFormat="1" ht="13.5" x14ac:dyDescent="0.15">
      <c r="A3266" s="45" t="s">
        <v>41</v>
      </c>
      <c r="D3266" s="45" t="s">
        <v>6160</v>
      </c>
    </row>
    <row r="3267" spans="1:4" s="45" customFormat="1" ht="13.5" x14ac:dyDescent="0.15">
      <c r="A3267" s="45" t="s">
        <v>41</v>
      </c>
      <c r="D3267" s="45" t="s">
        <v>6161</v>
      </c>
    </row>
    <row r="3268" spans="1:4" s="45" customFormat="1" ht="13.5" x14ac:dyDescent="0.15">
      <c r="A3268" s="45" t="s">
        <v>41</v>
      </c>
      <c r="D3268" s="45" t="s">
        <v>6162</v>
      </c>
    </row>
    <row r="3269" spans="1:4" s="45" customFormat="1" ht="13.5" x14ac:dyDescent="0.15">
      <c r="A3269" s="45" t="s">
        <v>41</v>
      </c>
      <c r="D3269" s="45" t="s">
        <v>6163</v>
      </c>
    </row>
    <row r="3270" spans="1:4" s="45" customFormat="1" ht="13.5" x14ac:dyDescent="0.15">
      <c r="A3270" s="45" t="s">
        <v>41</v>
      </c>
      <c r="D3270" s="45" t="s">
        <v>6164</v>
      </c>
    </row>
    <row r="3271" spans="1:4" s="45" customFormat="1" ht="13.5" x14ac:dyDescent="0.15">
      <c r="A3271" s="45" t="s">
        <v>41</v>
      </c>
      <c r="D3271" s="45" t="s">
        <v>6165</v>
      </c>
    </row>
    <row r="3272" spans="1:4" s="45" customFormat="1" ht="13.5" x14ac:dyDescent="0.15">
      <c r="A3272" s="45" t="s">
        <v>41</v>
      </c>
      <c r="D3272" s="45" t="s">
        <v>6166</v>
      </c>
    </row>
    <row r="3273" spans="1:4" s="45" customFormat="1" ht="13.5" x14ac:dyDescent="0.15">
      <c r="A3273" s="45" t="s">
        <v>41</v>
      </c>
      <c r="D3273" s="45" t="s">
        <v>6167</v>
      </c>
    </row>
    <row r="3274" spans="1:4" s="45" customFormat="1" ht="13.5" x14ac:dyDescent="0.15">
      <c r="A3274" s="45" t="s">
        <v>41</v>
      </c>
      <c r="D3274" s="45" t="s">
        <v>1573</v>
      </c>
    </row>
    <row r="3275" spans="1:4" s="45" customFormat="1" ht="13.5" x14ac:dyDescent="0.15">
      <c r="A3275" s="45" t="s">
        <v>41</v>
      </c>
      <c r="D3275" s="45" t="s">
        <v>6168</v>
      </c>
    </row>
    <row r="3276" spans="1:4" s="45" customFormat="1" ht="13.5" x14ac:dyDescent="0.15">
      <c r="A3276" s="45" t="s">
        <v>41</v>
      </c>
      <c r="D3276" s="45" t="s">
        <v>6169</v>
      </c>
    </row>
    <row r="3277" spans="1:4" s="45" customFormat="1" ht="13.5" x14ac:dyDescent="0.15">
      <c r="A3277" s="45" t="s">
        <v>41</v>
      </c>
      <c r="D3277" s="45" t="s">
        <v>6170</v>
      </c>
    </row>
    <row r="3278" spans="1:4" s="45" customFormat="1" ht="13.5" x14ac:dyDescent="0.15">
      <c r="A3278" s="45" t="s">
        <v>41</v>
      </c>
      <c r="D3278" s="45" t="s">
        <v>6171</v>
      </c>
    </row>
    <row r="3279" spans="1:4" s="45" customFormat="1" ht="13.5" x14ac:dyDescent="0.15">
      <c r="A3279" s="45" t="s">
        <v>41</v>
      </c>
      <c r="D3279" s="45" t="s">
        <v>6172</v>
      </c>
    </row>
    <row r="3280" spans="1:4" s="45" customFormat="1" ht="13.5" x14ac:dyDescent="0.15">
      <c r="A3280" s="45" t="s">
        <v>41</v>
      </c>
      <c r="D3280" s="45" t="s">
        <v>1146</v>
      </c>
    </row>
    <row r="3281" spans="1:4" s="45" customFormat="1" ht="13.5" x14ac:dyDescent="0.15">
      <c r="A3281" s="45" t="s">
        <v>41</v>
      </c>
      <c r="D3281" s="45" t="s">
        <v>1147</v>
      </c>
    </row>
    <row r="3282" spans="1:4" s="45" customFormat="1" ht="13.5" x14ac:dyDescent="0.15">
      <c r="A3282" s="45" t="s">
        <v>41</v>
      </c>
      <c r="D3282" s="45" t="s">
        <v>6173</v>
      </c>
    </row>
    <row r="3283" spans="1:4" s="45" customFormat="1" ht="13.5" x14ac:dyDescent="0.15">
      <c r="A3283" s="45" t="s">
        <v>41</v>
      </c>
      <c r="D3283" s="45" t="s">
        <v>6174</v>
      </c>
    </row>
    <row r="3284" spans="1:4" s="45" customFormat="1" ht="13.5" x14ac:dyDescent="0.15">
      <c r="A3284" s="45" t="s">
        <v>41</v>
      </c>
      <c r="D3284" s="45" t="s">
        <v>6175</v>
      </c>
    </row>
    <row r="3285" spans="1:4" s="45" customFormat="1" ht="13.5" x14ac:dyDescent="0.15">
      <c r="A3285" s="45" t="s">
        <v>41</v>
      </c>
      <c r="D3285" s="45" t="s">
        <v>6176</v>
      </c>
    </row>
    <row r="3286" spans="1:4" s="45" customFormat="1" ht="13.5" x14ac:dyDescent="0.15">
      <c r="A3286" s="45" t="s">
        <v>41</v>
      </c>
      <c r="D3286" s="45" t="s">
        <v>6177</v>
      </c>
    </row>
    <row r="3287" spans="1:4" s="45" customFormat="1" ht="13.5" x14ac:dyDescent="0.15">
      <c r="A3287" s="45" t="s">
        <v>41</v>
      </c>
      <c r="D3287" s="45" t="s">
        <v>6178</v>
      </c>
    </row>
    <row r="3288" spans="1:4" s="45" customFormat="1" ht="13.5" x14ac:dyDescent="0.15">
      <c r="A3288" s="45" t="s">
        <v>41</v>
      </c>
      <c r="D3288" s="45" t="s">
        <v>6179</v>
      </c>
    </row>
    <row r="3289" spans="1:4" s="45" customFormat="1" ht="13.5" x14ac:dyDescent="0.15">
      <c r="A3289" s="45" t="s">
        <v>41</v>
      </c>
      <c r="D3289" s="45" t="s">
        <v>6180</v>
      </c>
    </row>
    <row r="3290" spans="1:4" s="45" customFormat="1" ht="13.5" x14ac:dyDescent="0.15">
      <c r="A3290" s="45" t="s">
        <v>41</v>
      </c>
      <c r="D3290" s="45" t="s">
        <v>6181</v>
      </c>
    </row>
    <row r="3291" spans="1:4" s="45" customFormat="1" ht="13.5" x14ac:dyDescent="0.15">
      <c r="A3291" s="45" t="s">
        <v>41</v>
      </c>
      <c r="D3291" s="45" t="s">
        <v>6182</v>
      </c>
    </row>
    <row r="3292" spans="1:4" s="45" customFormat="1" ht="13.5" x14ac:dyDescent="0.15">
      <c r="A3292" s="45" t="s">
        <v>41</v>
      </c>
      <c r="D3292" s="45" t="s">
        <v>6183</v>
      </c>
    </row>
    <row r="3293" spans="1:4" s="45" customFormat="1" ht="13.5" x14ac:dyDescent="0.15">
      <c r="A3293" s="45" t="s">
        <v>41</v>
      </c>
      <c r="D3293" s="45" t="s">
        <v>6184</v>
      </c>
    </row>
    <row r="3294" spans="1:4" s="45" customFormat="1" ht="13.5" x14ac:dyDescent="0.15">
      <c r="A3294" s="45" t="s">
        <v>41</v>
      </c>
      <c r="D3294" s="45" t="s">
        <v>2554</v>
      </c>
    </row>
    <row r="3295" spans="1:4" s="45" customFormat="1" ht="13.5" x14ac:dyDescent="0.15">
      <c r="A3295" s="45" t="s">
        <v>41</v>
      </c>
      <c r="D3295" s="45" t="s">
        <v>2555</v>
      </c>
    </row>
    <row r="3296" spans="1:4" s="45" customFormat="1" ht="13.5" x14ac:dyDescent="0.15">
      <c r="A3296" s="45" t="s">
        <v>41</v>
      </c>
      <c r="D3296" s="45" t="s">
        <v>2559</v>
      </c>
    </row>
    <row r="3297" spans="1:4" s="45" customFormat="1" ht="13.5" x14ac:dyDescent="0.15">
      <c r="A3297" s="45" t="s">
        <v>41</v>
      </c>
      <c r="D3297" s="45" t="s">
        <v>2556</v>
      </c>
    </row>
    <row r="3298" spans="1:4" s="45" customFormat="1" ht="13.5" x14ac:dyDescent="0.15">
      <c r="A3298" s="45" t="s">
        <v>41</v>
      </c>
      <c r="D3298" s="45" t="s">
        <v>2562</v>
      </c>
    </row>
    <row r="3299" spans="1:4" s="45" customFormat="1" ht="13.5" x14ac:dyDescent="0.15">
      <c r="A3299" s="45" t="s">
        <v>41</v>
      </c>
      <c r="D3299" s="45" t="s">
        <v>2558</v>
      </c>
    </row>
    <row r="3300" spans="1:4" s="45" customFormat="1" ht="13.5" x14ac:dyDescent="0.15">
      <c r="A3300" s="45" t="s">
        <v>41</v>
      </c>
      <c r="D3300" s="45" t="s">
        <v>2560</v>
      </c>
    </row>
    <row r="3301" spans="1:4" s="45" customFormat="1" ht="13.5" x14ac:dyDescent="0.15">
      <c r="A3301" s="45" t="s">
        <v>41</v>
      </c>
      <c r="D3301" s="45" t="s">
        <v>2557</v>
      </c>
    </row>
    <row r="3302" spans="1:4" s="45" customFormat="1" ht="13.5" x14ac:dyDescent="0.15">
      <c r="A3302" s="45" t="s">
        <v>41</v>
      </c>
      <c r="D3302" s="45" t="s">
        <v>2561</v>
      </c>
    </row>
    <row r="3303" spans="1:4" s="45" customFormat="1" ht="13.5" x14ac:dyDescent="0.15">
      <c r="A3303" s="45" t="s">
        <v>41</v>
      </c>
      <c r="D3303" s="45" t="s">
        <v>6185</v>
      </c>
    </row>
    <row r="3304" spans="1:4" s="45" customFormat="1" ht="13.5" x14ac:dyDescent="0.15">
      <c r="A3304" s="45" t="s">
        <v>41</v>
      </c>
      <c r="D3304" s="45" t="s">
        <v>6186</v>
      </c>
    </row>
    <row r="3305" spans="1:4" s="45" customFormat="1" ht="13.5" x14ac:dyDescent="0.15">
      <c r="A3305" s="45" t="s">
        <v>41</v>
      </c>
      <c r="D3305" s="45" t="s">
        <v>564</v>
      </c>
    </row>
    <row r="3306" spans="1:4" s="45" customFormat="1" ht="13.5" x14ac:dyDescent="0.15">
      <c r="A3306" s="45" t="s">
        <v>41</v>
      </c>
      <c r="D3306" s="45" t="s">
        <v>6187</v>
      </c>
    </row>
    <row r="3307" spans="1:4" s="45" customFormat="1" ht="13.5" x14ac:dyDescent="0.15">
      <c r="A3307" s="45" t="s">
        <v>41</v>
      </c>
      <c r="D3307" s="45" t="s">
        <v>6188</v>
      </c>
    </row>
    <row r="3308" spans="1:4" s="45" customFormat="1" ht="13.5" x14ac:dyDescent="0.15">
      <c r="A3308" s="45" t="s">
        <v>41</v>
      </c>
      <c r="D3308" s="45" t="s">
        <v>6189</v>
      </c>
    </row>
    <row r="3309" spans="1:4" s="45" customFormat="1" ht="13.5" x14ac:dyDescent="0.15">
      <c r="A3309" s="45" t="s">
        <v>41</v>
      </c>
      <c r="D3309" s="45" t="s">
        <v>6190</v>
      </c>
    </row>
    <row r="3310" spans="1:4" s="45" customFormat="1" ht="13.5" x14ac:dyDescent="0.15">
      <c r="A3310" s="45" t="s">
        <v>41</v>
      </c>
      <c r="D3310" s="45" t="s">
        <v>6191</v>
      </c>
    </row>
    <row r="3311" spans="1:4" s="45" customFormat="1" ht="13.5" x14ac:dyDescent="0.15">
      <c r="A3311" s="45" t="s">
        <v>41</v>
      </c>
      <c r="D3311" s="45" t="s">
        <v>6192</v>
      </c>
    </row>
    <row r="3312" spans="1:4" s="45" customFormat="1" ht="13.5" x14ac:dyDescent="0.15">
      <c r="A3312" s="45" t="s">
        <v>41</v>
      </c>
      <c r="D3312" s="45" t="s">
        <v>6193</v>
      </c>
    </row>
    <row r="3313" spans="1:4" s="45" customFormat="1" ht="13.5" x14ac:dyDescent="0.15">
      <c r="A3313" s="45" t="s">
        <v>41</v>
      </c>
      <c r="D3313" s="45" t="s">
        <v>6194</v>
      </c>
    </row>
    <row r="3314" spans="1:4" s="45" customFormat="1" ht="13.5" x14ac:dyDescent="0.15">
      <c r="A3314" s="45" t="s">
        <v>41</v>
      </c>
      <c r="D3314" s="45" t="s">
        <v>6195</v>
      </c>
    </row>
    <row r="3315" spans="1:4" s="45" customFormat="1" ht="13.5" x14ac:dyDescent="0.15">
      <c r="A3315" s="45" t="s">
        <v>41</v>
      </c>
      <c r="D3315" s="45" t="s">
        <v>6196</v>
      </c>
    </row>
    <row r="3316" spans="1:4" s="45" customFormat="1" ht="13.5" x14ac:dyDescent="0.15">
      <c r="A3316" s="45" t="s">
        <v>41</v>
      </c>
      <c r="D3316" s="45" t="s">
        <v>6197</v>
      </c>
    </row>
    <row r="3317" spans="1:4" s="45" customFormat="1" ht="13.5" x14ac:dyDescent="0.15">
      <c r="A3317" s="45" t="s">
        <v>41</v>
      </c>
      <c r="D3317" s="45" t="s">
        <v>6198</v>
      </c>
    </row>
    <row r="3318" spans="1:4" s="45" customFormat="1" ht="13.5" x14ac:dyDescent="0.15">
      <c r="A3318" s="45" t="s">
        <v>41</v>
      </c>
      <c r="D3318" s="45" t="s">
        <v>6199</v>
      </c>
    </row>
    <row r="3319" spans="1:4" s="45" customFormat="1" ht="13.5" x14ac:dyDescent="0.15">
      <c r="A3319" s="45" t="s">
        <v>41</v>
      </c>
      <c r="D3319" s="45" t="s">
        <v>6200</v>
      </c>
    </row>
    <row r="3320" spans="1:4" s="45" customFormat="1" ht="13.5" x14ac:dyDescent="0.15">
      <c r="A3320" s="45" t="s">
        <v>41</v>
      </c>
      <c r="D3320" s="45" t="s">
        <v>6201</v>
      </c>
    </row>
    <row r="3321" spans="1:4" s="45" customFormat="1" ht="13.5" x14ac:dyDescent="0.15">
      <c r="A3321" s="45" t="s">
        <v>41</v>
      </c>
      <c r="D3321" s="45" t="s">
        <v>6202</v>
      </c>
    </row>
    <row r="3322" spans="1:4" s="45" customFormat="1" ht="13.5" x14ac:dyDescent="0.15">
      <c r="A3322" s="45" t="s">
        <v>41</v>
      </c>
      <c r="D3322" s="45" t="s">
        <v>6203</v>
      </c>
    </row>
    <row r="3323" spans="1:4" s="45" customFormat="1" ht="13.5" x14ac:dyDescent="0.15">
      <c r="A3323" s="45" t="s">
        <v>41</v>
      </c>
      <c r="D3323" s="45" t="s">
        <v>6204</v>
      </c>
    </row>
    <row r="3324" spans="1:4" s="45" customFormat="1" ht="13.5" x14ac:dyDescent="0.15">
      <c r="A3324" s="45" t="s">
        <v>41</v>
      </c>
      <c r="D3324" s="45" t="s">
        <v>6205</v>
      </c>
    </row>
    <row r="3325" spans="1:4" s="45" customFormat="1" ht="13.5" x14ac:dyDescent="0.15">
      <c r="A3325" s="45" t="s">
        <v>41</v>
      </c>
      <c r="D3325" s="45" t="s">
        <v>6206</v>
      </c>
    </row>
    <row r="3326" spans="1:4" s="45" customFormat="1" ht="13.5" x14ac:dyDescent="0.15">
      <c r="A3326" s="45" t="s">
        <v>41</v>
      </c>
      <c r="D3326" s="45" t="s">
        <v>6207</v>
      </c>
    </row>
    <row r="3327" spans="1:4" s="45" customFormat="1" ht="13.5" x14ac:dyDescent="0.15">
      <c r="A3327" s="45" t="s">
        <v>41</v>
      </c>
      <c r="D3327" s="45" t="s">
        <v>6208</v>
      </c>
    </row>
    <row r="3328" spans="1:4" s="45" customFormat="1" ht="13.5" x14ac:dyDescent="0.15">
      <c r="A3328" s="45" t="s">
        <v>41</v>
      </c>
      <c r="D3328" s="45" t="s">
        <v>2084</v>
      </c>
    </row>
    <row r="3329" spans="1:4" s="45" customFormat="1" ht="13.5" x14ac:dyDescent="0.15">
      <c r="A3329" s="45" t="s">
        <v>41</v>
      </c>
      <c r="D3329" s="45" t="s">
        <v>6209</v>
      </c>
    </row>
    <row r="3330" spans="1:4" s="45" customFormat="1" ht="13.5" x14ac:dyDescent="0.15">
      <c r="A3330" s="45" t="s">
        <v>41</v>
      </c>
      <c r="D3330" s="45" t="s">
        <v>6210</v>
      </c>
    </row>
    <row r="3331" spans="1:4" s="45" customFormat="1" ht="13.5" x14ac:dyDescent="0.15">
      <c r="A3331" s="45" t="s">
        <v>41</v>
      </c>
      <c r="D3331" s="45" t="s">
        <v>6211</v>
      </c>
    </row>
    <row r="3332" spans="1:4" s="45" customFormat="1" ht="13.5" x14ac:dyDescent="0.15">
      <c r="A3332" s="45" t="s">
        <v>41</v>
      </c>
      <c r="D3332" s="45" t="s">
        <v>6212</v>
      </c>
    </row>
    <row r="3333" spans="1:4" s="45" customFormat="1" ht="13.5" x14ac:dyDescent="0.15">
      <c r="A3333" s="45" t="s">
        <v>41</v>
      </c>
      <c r="D3333" s="45" t="s">
        <v>6213</v>
      </c>
    </row>
    <row r="3334" spans="1:4" s="45" customFormat="1" ht="13.5" x14ac:dyDescent="0.15">
      <c r="A3334" s="45" t="s">
        <v>41</v>
      </c>
      <c r="D3334" s="45" t="s">
        <v>6214</v>
      </c>
    </row>
    <row r="3335" spans="1:4" s="45" customFormat="1" ht="13.5" x14ac:dyDescent="0.15">
      <c r="A3335" s="45" t="s">
        <v>41</v>
      </c>
      <c r="D3335" s="45" t="s">
        <v>2124</v>
      </c>
    </row>
    <row r="3336" spans="1:4" s="45" customFormat="1" ht="13.5" x14ac:dyDescent="0.15">
      <c r="A3336" s="45" t="s">
        <v>41</v>
      </c>
      <c r="D3336" s="45" t="s">
        <v>2125</v>
      </c>
    </row>
    <row r="3337" spans="1:4" s="45" customFormat="1" ht="13.5" x14ac:dyDescent="0.15">
      <c r="A3337" s="45" t="s">
        <v>41</v>
      </c>
      <c r="D3337" s="45" t="s">
        <v>6215</v>
      </c>
    </row>
    <row r="3338" spans="1:4" s="45" customFormat="1" ht="13.5" x14ac:dyDescent="0.15">
      <c r="A3338" s="45" t="s">
        <v>41</v>
      </c>
      <c r="D3338" s="45" t="s">
        <v>6216</v>
      </c>
    </row>
    <row r="3339" spans="1:4" s="45" customFormat="1" ht="13.5" x14ac:dyDescent="0.15">
      <c r="A3339" s="45" t="s">
        <v>41</v>
      </c>
      <c r="D3339" s="45" t="s">
        <v>6217</v>
      </c>
    </row>
    <row r="3340" spans="1:4" s="45" customFormat="1" ht="13.5" x14ac:dyDescent="0.15">
      <c r="A3340" s="45" t="s">
        <v>41</v>
      </c>
      <c r="D3340" s="45" t="s">
        <v>6218</v>
      </c>
    </row>
    <row r="3341" spans="1:4" s="45" customFormat="1" ht="13.5" x14ac:dyDescent="0.15">
      <c r="A3341" s="45" t="s">
        <v>41</v>
      </c>
      <c r="D3341" s="45" t="s">
        <v>789</v>
      </c>
    </row>
    <row r="3342" spans="1:4" s="45" customFormat="1" ht="13.5" x14ac:dyDescent="0.15">
      <c r="A3342" s="45" t="s">
        <v>41</v>
      </c>
      <c r="D3342" s="45" t="s">
        <v>790</v>
      </c>
    </row>
    <row r="3343" spans="1:4" s="45" customFormat="1" ht="13.5" x14ac:dyDescent="0.15">
      <c r="A3343" s="45" t="s">
        <v>41</v>
      </c>
      <c r="D3343" s="45" t="s">
        <v>6219</v>
      </c>
    </row>
    <row r="3344" spans="1:4" s="45" customFormat="1" ht="13.5" x14ac:dyDescent="0.15">
      <c r="A3344" s="45" t="s">
        <v>41</v>
      </c>
      <c r="D3344" s="45" t="s">
        <v>6220</v>
      </c>
    </row>
    <row r="3345" spans="1:4" s="45" customFormat="1" ht="13.5" x14ac:dyDescent="0.15">
      <c r="A3345" s="45" t="s">
        <v>41</v>
      </c>
      <c r="D3345" s="45" t="s">
        <v>791</v>
      </c>
    </row>
    <row r="3346" spans="1:4" s="45" customFormat="1" ht="13.5" x14ac:dyDescent="0.15">
      <c r="A3346" s="45" t="s">
        <v>41</v>
      </c>
      <c r="D3346" s="45" t="s">
        <v>6221</v>
      </c>
    </row>
    <row r="3347" spans="1:4" s="45" customFormat="1" ht="13.5" x14ac:dyDescent="0.15">
      <c r="A3347" s="45" t="s">
        <v>41</v>
      </c>
      <c r="D3347" s="45" t="s">
        <v>6222</v>
      </c>
    </row>
    <row r="3348" spans="1:4" s="45" customFormat="1" ht="13.5" x14ac:dyDescent="0.15">
      <c r="A3348" s="45" t="s">
        <v>41</v>
      </c>
      <c r="D3348" s="45" t="s">
        <v>6223</v>
      </c>
    </row>
    <row r="3349" spans="1:4" s="45" customFormat="1" ht="13.5" x14ac:dyDescent="0.15">
      <c r="A3349" s="45" t="s">
        <v>41</v>
      </c>
      <c r="D3349" s="45" t="s">
        <v>2544</v>
      </c>
    </row>
    <row r="3350" spans="1:4" s="45" customFormat="1" ht="13.5" x14ac:dyDescent="0.15">
      <c r="A3350" s="45" t="s">
        <v>41</v>
      </c>
      <c r="D3350" s="45" t="s">
        <v>6224</v>
      </c>
    </row>
    <row r="3351" spans="1:4" s="45" customFormat="1" ht="13.5" x14ac:dyDescent="0.15">
      <c r="A3351" s="45" t="s">
        <v>41</v>
      </c>
      <c r="D3351" s="45" t="s">
        <v>6225</v>
      </c>
    </row>
    <row r="3352" spans="1:4" s="45" customFormat="1" ht="13.5" x14ac:dyDescent="0.15">
      <c r="A3352" s="45" t="s">
        <v>41</v>
      </c>
      <c r="D3352" s="45" t="s">
        <v>9758</v>
      </c>
    </row>
    <row r="3353" spans="1:4" s="45" customFormat="1" ht="13.5" x14ac:dyDescent="0.15">
      <c r="A3353" s="45" t="s">
        <v>41</v>
      </c>
      <c r="D3353" s="45" t="s">
        <v>6226</v>
      </c>
    </row>
    <row r="3354" spans="1:4" s="45" customFormat="1" ht="13.5" x14ac:dyDescent="0.15">
      <c r="A3354" s="45" t="s">
        <v>41</v>
      </c>
      <c r="D3354" s="45" t="s">
        <v>6227</v>
      </c>
    </row>
    <row r="3355" spans="1:4" s="45" customFormat="1" ht="13.5" x14ac:dyDescent="0.15">
      <c r="A3355" s="45" t="s">
        <v>41</v>
      </c>
      <c r="D3355" s="45" t="s">
        <v>6228</v>
      </c>
    </row>
    <row r="3356" spans="1:4" s="45" customFormat="1" ht="13.5" x14ac:dyDescent="0.15">
      <c r="A3356" s="45" t="s">
        <v>41</v>
      </c>
      <c r="D3356" s="45" t="s">
        <v>6229</v>
      </c>
    </row>
    <row r="3357" spans="1:4" s="45" customFormat="1" ht="13.5" x14ac:dyDescent="0.15">
      <c r="A3357" s="45" t="s">
        <v>41</v>
      </c>
      <c r="D3357" s="45" t="s">
        <v>1697</v>
      </c>
    </row>
    <row r="3358" spans="1:4" s="45" customFormat="1" ht="13.5" x14ac:dyDescent="0.15">
      <c r="A3358" s="45" t="s">
        <v>41</v>
      </c>
      <c r="D3358" s="45" t="s">
        <v>6230</v>
      </c>
    </row>
    <row r="3359" spans="1:4" s="45" customFormat="1" ht="13.5" x14ac:dyDescent="0.15">
      <c r="A3359" s="45" t="s">
        <v>41</v>
      </c>
      <c r="D3359" s="45" t="s">
        <v>2170</v>
      </c>
    </row>
    <row r="3360" spans="1:4" s="45" customFormat="1" ht="13.5" x14ac:dyDescent="0.15">
      <c r="A3360" s="45" t="s">
        <v>41</v>
      </c>
      <c r="D3360" s="45" t="s">
        <v>6231</v>
      </c>
    </row>
    <row r="3361" spans="1:4" s="45" customFormat="1" ht="13.5" x14ac:dyDescent="0.15">
      <c r="A3361" s="45" t="s">
        <v>41</v>
      </c>
      <c r="D3361" s="45" t="s">
        <v>6232</v>
      </c>
    </row>
    <row r="3362" spans="1:4" s="45" customFormat="1" ht="13.5" x14ac:dyDescent="0.15">
      <c r="A3362" s="45" t="s">
        <v>41</v>
      </c>
      <c r="D3362" s="45" t="s">
        <v>6233</v>
      </c>
    </row>
    <row r="3363" spans="1:4" s="45" customFormat="1" ht="13.5" x14ac:dyDescent="0.15">
      <c r="A3363" s="45" t="s">
        <v>41</v>
      </c>
      <c r="D3363" s="45" t="s">
        <v>6234</v>
      </c>
    </row>
    <row r="3364" spans="1:4" s="45" customFormat="1" ht="13.5" x14ac:dyDescent="0.15">
      <c r="A3364" s="45" t="s">
        <v>41</v>
      </c>
      <c r="D3364" s="45" t="s">
        <v>6235</v>
      </c>
    </row>
    <row r="3365" spans="1:4" s="45" customFormat="1" ht="13.5" x14ac:dyDescent="0.15">
      <c r="A3365" s="45" t="s">
        <v>41</v>
      </c>
      <c r="D3365" s="45" t="s">
        <v>6236</v>
      </c>
    </row>
    <row r="3366" spans="1:4" s="45" customFormat="1" ht="13.5" x14ac:dyDescent="0.15">
      <c r="A3366" s="45" t="s">
        <v>41</v>
      </c>
      <c r="D3366" s="45" t="s">
        <v>6237</v>
      </c>
    </row>
    <row r="3367" spans="1:4" s="45" customFormat="1" ht="13.5" x14ac:dyDescent="0.15">
      <c r="A3367" s="45" t="s">
        <v>41</v>
      </c>
      <c r="D3367" s="45" t="s">
        <v>6238</v>
      </c>
    </row>
    <row r="3368" spans="1:4" s="45" customFormat="1" ht="13.5" x14ac:dyDescent="0.15">
      <c r="A3368" s="45" t="s">
        <v>41</v>
      </c>
      <c r="D3368" s="45" t="s">
        <v>6239</v>
      </c>
    </row>
    <row r="3369" spans="1:4" s="45" customFormat="1" ht="13.5" x14ac:dyDescent="0.15">
      <c r="A3369" s="45" t="s">
        <v>41</v>
      </c>
      <c r="D3369" s="45" t="s">
        <v>6240</v>
      </c>
    </row>
    <row r="3370" spans="1:4" s="45" customFormat="1" ht="13.5" x14ac:dyDescent="0.15">
      <c r="A3370" s="45" t="s">
        <v>41</v>
      </c>
      <c r="D3370" s="45" t="s">
        <v>305</v>
      </c>
    </row>
    <row r="3371" spans="1:4" s="45" customFormat="1" ht="13.5" x14ac:dyDescent="0.15">
      <c r="A3371" s="45" t="s">
        <v>41</v>
      </c>
      <c r="D3371" s="45" t="s">
        <v>304</v>
      </c>
    </row>
    <row r="3372" spans="1:4" s="45" customFormat="1" ht="13.5" x14ac:dyDescent="0.15">
      <c r="A3372" s="45" t="s">
        <v>41</v>
      </c>
      <c r="D3372" s="45" t="s">
        <v>6241</v>
      </c>
    </row>
    <row r="3373" spans="1:4" s="45" customFormat="1" ht="13.5" x14ac:dyDescent="0.15">
      <c r="A3373" s="45" t="s">
        <v>41</v>
      </c>
      <c r="D3373" s="45" t="s">
        <v>6242</v>
      </c>
    </row>
    <row r="3374" spans="1:4" s="45" customFormat="1" ht="13.5" x14ac:dyDescent="0.15">
      <c r="A3374" s="45" t="s">
        <v>41</v>
      </c>
      <c r="D3374" s="45" t="s">
        <v>6243</v>
      </c>
    </row>
    <row r="3375" spans="1:4" s="45" customFormat="1" ht="13.5" x14ac:dyDescent="0.15">
      <c r="A3375" s="45" t="s">
        <v>41</v>
      </c>
      <c r="D3375" s="45" t="s">
        <v>6244</v>
      </c>
    </row>
    <row r="3376" spans="1:4" s="45" customFormat="1" ht="13.5" x14ac:dyDescent="0.15">
      <c r="A3376" s="45" t="s">
        <v>41</v>
      </c>
      <c r="D3376" s="45" t="s">
        <v>2140</v>
      </c>
    </row>
    <row r="3377" spans="1:4" s="45" customFormat="1" ht="13.5" x14ac:dyDescent="0.15">
      <c r="A3377" s="45" t="s">
        <v>41</v>
      </c>
      <c r="D3377" s="45" t="s">
        <v>2141</v>
      </c>
    </row>
    <row r="3378" spans="1:4" s="45" customFormat="1" ht="13.5" x14ac:dyDescent="0.15">
      <c r="A3378" s="45" t="s">
        <v>41</v>
      </c>
      <c r="D3378" s="45" t="s">
        <v>6245</v>
      </c>
    </row>
    <row r="3379" spans="1:4" s="45" customFormat="1" ht="13.5" x14ac:dyDescent="0.15">
      <c r="A3379" s="45" t="s">
        <v>41</v>
      </c>
      <c r="D3379" s="45" t="s">
        <v>873</v>
      </c>
    </row>
    <row r="3380" spans="1:4" s="45" customFormat="1" ht="13.5" x14ac:dyDescent="0.15">
      <c r="A3380" s="45" t="s">
        <v>41</v>
      </c>
      <c r="D3380" s="45" t="s">
        <v>770</v>
      </c>
    </row>
    <row r="3381" spans="1:4" s="45" customFormat="1" ht="13.5" x14ac:dyDescent="0.15">
      <c r="A3381" s="45" t="s">
        <v>41</v>
      </c>
      <c r="D3381" s="45" t="s">
        <v>776</v>
      </c>
    </row>
    <row r="3382" spans="1:4" s="45" customFormat="1" ht="13.5" x14ac:dyDescent="0.15">
      <c r="A3382" s="45" t="s">
        <v>41</v>
      </c>
      <c r="D3382" s="45" t="s">
        <v>774</v>
      </c>
    </row>
    <row r="3383" spans="1:4" s="45" customFormat="1" ht="13.5" x14ac:dyDescent="0.15">
      <c r="A3383" s="45" t="s">
        <v>41</v>
      </c>
      <c r="D3383" s="45" t="s">
        <v>773</v>
      </c>
    </row>
    <row r="3384" spans="1:4" s="45" customFormat="1" ht="13.5" x14ac:dyDescent="0.15">
      <c r="A3384" s="45" t="s">
        <v>41</v>
      </c>
      <c r="D3384" s="45" t="s">
        <v>6246</v>
      </c>
    </row>
    <row r="3385" spans="1:4" s="45" customFormat="1" ht="13.5" x14ac:dyDescent="0.15">
      <c r="A3385" s="45" t="s">
        <v>41</v>
      </c>
      <c r="D3385" s="45" t="s">
        <v>6247</v>
      </c>
    </row>
    <row r="3386" spans="1:4" s="45" customFormat="1" ht="13.5" x14ac:dyDescent="0.15">
      <c r="A3386" s="45" t="s">
        <v>41</v>
      </c>
      <c r="D3386" s="45" t="s">
        <v>6248</v>
      </c>
    </row>
    <row r="3387" spans="1:4" s="45" customFormat="1" ht="13.5" x14ac:dyDescent="0.15">
      <c r="A3387" s="45" t="s">
        <v>41</v>
      </c>
      <c r="D3387" s="45" t="s">
        <v>772</v>
      </c>
    </row>
    <row r="3388" spans="1:4" s="45" customFormat="1" ht="13.5" x14ac:dyDescent="0.15">
      <c r="A3388" s="45" t="s">
        <v>41</v>
      </c>
      <c r="D3388" s="45" t="s">
        <v>775</v>
      </c>
    </row>
    <row r="3389" spans="1:4" s="45" customFormat="1" ht="13.5" x14ac:dyDescent="0.15">
      <c r="A3389" s="45" t="s">
        <v>41</v>
      </c>
      <c r="D3389" s="45" t="s">
        <v>771</v>
      </c>
    </row>
    <row r="3390" spans="1:4" s="45" customFormat="1" ht="13.5" x14ac:dyDescent="0.15">
      <c r="A3390" s="45" t="s">
        <v>41</v>
      </c>
      <c r="D3390" s="45" t="s">
        <v>777</v>
      </c>
    </row>
    <row r="3391" spans="1:4" s="45" customFormat="1" ht="13.5" x14ac:dyDescent="0.15">
      <c r="A3391" s="45" t="s">
        <v>41</v>
      </c>
      <c r="D3391" s="45" t="s">
        <v>6249</v>
      </c>
    </row>
    <row r="3392" spans="1:4" s="45" customFormat="1" ht="13.5" x14ac:dyDescent="0.15">
      <c r="A3392" s="45" t="s">
        <v>41</v>
      </c>
      <c r="D3392" s="45" t="s">
        <v>6250</v>
      </c>
    </row>
    <row r="3393" spans="1:4" s="45" customFormat="1" ht="13.5" x14ac:dyDescent="0.15">
      <c r="A3393" s="45" t="s">
        <v>41</v>
      </c>
      <c r="D3393" s="45" t="s">
        <v>6251</v>
      </c>
    </row>
    <row r="3394" spans="1:4" s="45" customFormat="1" ht="13.5" x14ac:dyDescent="0.15">
      <c r="A3394" s="45" t="s">
        <v>41</v>
      </c>
      <c r="D3394" s="45" t="s">
        <v>1073</v>
      </c>
    </row>
    <row r="3395" spans="1:4" s="45" customFormat="1" ht="13.5" x14ac:dyDescent="0.15">
      <c r="A3395" s="45" t="s">
        <v>41</v>
      </c>
      <c r="D3395" s="45" t="s">
        <v>6252</v>
      </c>
    </row>
    <row r="3396" spans="1:4" s="45" customFormat="1" ht="13.5" x14ac:dyDescent="0.15">
      <c r="A3396" s="45" t="s">
        <v>41</v>
      </c>
      <c r="D3396" s="45" t="s">
        <v>6253</v>
      </c>
    </row>
    <row r="3397" spans="1:4" s="45" customFormat="1" ht="13.5" x14ac:dyDescent="0.15">
      <c r="A3397" s="45" t="s">
        <v>41</v>
      </c>
      <c r="D3397" s="45" t="s">
        <v>6254</v>
      </c>
    </row>
    <row r="3398" spans="1:4" s="45" customFormat="1" ht="13.5" x14ac:dyDescent="0.15">
      <c r="A3398" s="45" t="s">
        <v>41</v>
      </c>
      <c r="D3398" s="45" t="s">
        <v>6255</v>
      </c>
    </row>
    <row r="3399" spans="1:4" s="45" customFormat="1" ht="13.5" x14ac:dyDescent="0.15">
      <c r="A3399" s="45" t="s">
        <v>41</v>
      </c>
      <c r="D3399" s="45" t="s">
        <v>6256</v>
      </c>
    </row>
    <row r="3400" spans="1:4" s="45" customFormat="1" ht="13.5" x14ac:dyDescent="0.15">
      <c r="A3400" s="45" t="s">
        <v>41</v>
      </c>
      <c r="D3400" s="45" t="s">
        <v>6257</v>
      </c>
    </row>
    <row r="3401" spans="1:4" s="45" customFormat="1" ht="13.5" x14ac:dyDescent="0.15">
      <c r="A3401" s="45" t="s">
        <v>41</v>
      </c>
      <c r="D3401" s="45" t="s">
        <v>6258</v>
      </c>
    </row>
    <row r="3402" spans="1:4" s="45" customFormat="1" ht="13.5" x14ac:dyDescent="0.15">
      <c r="A3402" s="45" t="s">
        <v>41</v>
      </c>
      <c r="D3402" s="45" t="s">
        <v>6259</v>
      </c>
    </row>
    <row r="3403" spans="1:4" s="45" customFormat="1" ht="13.5" x14ac:dyDescent="0.15">
      <c r="A3403" s="45" t="s">
        <v>41</v>
      </c>
      <c r="D3403" s="45" t="s">
        <v>6260</v>
      </c>
    </row>
    <row r="3404" spans="1:4" s="45" customFormat="1" ht="13.5" x14ac:dyDescent="0.15">
      <c r="A3404" s="45" t="s">
        <v>41</v>
      </c>
      <c r="D3404" s="45" t="s">
        <v>6261</v>
      </c>
    </row>
    <row r="3405" spans="1:4" s="45" customFormat="1" ht="13.5" x14ac:dyDescent="0.15">
      <c r="A3405" s="45" t="s">
        <v>41</v>
      </c>
      <c r="D3405" s="45" t="s">
        <v>6262</v>
      </c>
    </row>
    <row r="3406" spans="1:4" s="45" customFormat="1" ht="13.5" x14ac:dyDescent="0.15">
      <c r="A3406" s="45" t="s">
        <v>41</v>
      </c>
      <c r="D3406" s="45" t="s">
        <v>6263</v>
      </c>
    </row>
    <row r="3407" spans="1:4" s="45" customFormat="1" ht="13.5" x14ac:dyDescent="0.15">
      <c r="A3407" s="45" t="s">
        <v>41</v>
      </c>
      <c r="D3407" s="45" t="s">
        <v>6264</v>
      </c>
    </row>
    <row r="3408" spans="1:4" s="45" customFormat="1" ht="13.5" x14ac:dyDescent="0.15">
      <c r="A3408" s="45" t="s">
        <v>41</v>
      </c>
      <c r="D3408" s="45" t="s">
        <v>6265</v>
      </c>
    </row>
    <row r="3409" spans="1:4" s="45" customFormat="1" ht="13.5" x14ac:dyDescent="0.15">
      <c r="A3409" s="45" t="s">
        <v>41</v>
      </c>
      <c r="D3409" s="45" t="s">
        <v>6266</v>
      </c>
    </row>
    <row r="3410" spans="1:4" s="45" customFormat="1" ht="13.5" x14ac:dyDescent="0.15">
      <c r="A3410" s="45" t="s">
        <v>41</v>
      </c>
      <c r="D3410" s="45" t="s">
        <v>6267</v>
      </c>
    </row>
    <row r="3411" spans="1:4" s="45" customFormat="1" ht="13.5" x14ac:dyDescent="0.15">
      <c r="A3411" s="45" t="s">
        <v>41</v>
      </c>
      <c r="D3411" s="45" t="s">
        <v>6268</v>
      </c>
    </row>
    <row r="3412" spans="1:4" s="45" customFormat="1" ht="13.5" x14ac:dyDescent="0.15">
      <c r="A3412" s="45" t="s">
        <v>41</v>
      </c>
      <c r="D3412" s="45" t="s">
        <v>6269</v>
      </c>
    </row>
    <row r="3413" spans="1:4" s="45" customFormat="1" ht="13.5" x14ac:dyDescent="0.15">
      <c r="A3413" s="45" t="s">
        <v>41</v>
      </c>
      <c r="D3413" s="45" t="s">
        <v>6270</v>
      </c>
    </row>
    <row r="3414" spans="1:4" s="45" customFormat="1" ht="13.5" x14ac:dyDescent="0.15">
      <c r="A3414" s="45" t="s">
        <v>41</v>
      </c>
      <c r="D3414" s="45" t="s">
        <v>6271</v>
      </c>
    </row>
    <row r="3415" spans="1:4" s="45" customFormat="1" ht="13.5" x14ac:dyDescent="0.15">
      <c r="A3415" s="45" t="s">
        <v>41</v>
      </c>
      <c r="D3415" s="45" t="s">
        <v>1732</v>
      </c>
    </row>
    <row r="3416" spans="1:4" s="45" customFormat="1" ht="13.5" x14ac:dyDescent="0.15">
      <c r="A3416" s="45" t="s">
        <v>41</v>
      </c>
      <c r="D3416" s="45" t="s">
        <v>1733</v>
      </c>
    </row>
    <row r="3417" spans="1:4" s="45" customFormat="1" ht="13.5" x14ac:dyDescent="0.15">
      <c r="A3417" s="45" t="s">
        <v>41</v>
      </c>
      <c r="D3417" s="45" t="s">
        <v>1734</v>
      </c>
    </row>
    <row r="3418" spans="1:4" s="45" customFormat="1" ht="13.5" x14ac:dyDescent="0.15">
      <c r="A3418" s="45" t="s">
        <v>41</v>
      </c>
      <c r="D3418" s="45" t="s">
        <v>6272</v>
      </c>
    </row>
    <row r="3419" spans="1:4" s="45" customFormat="1" ht="13.5" x14ac:dyDescent="0.15">
      <c r="A3419" s="45" t="s">
        <v>41</v>
      </c>
      <c r="D3419" s="45" t="s">
        <v>6273</v>
      </c>
    </row>
    <row r="3420" spans="1:4" s="45" customFormat="1" ht="13.5" x14ac:dyDescent="0.15">
      <c r="A3420" s="45" t="s">
        <v>41</v>
      </c>
      <c r="D3420" s="45" t="s">
        <v>6274</v>
      </c>
    </row>
    <row r="3421" spans="1:4" s="45" customFormat="1" ht="13.5" x14ac:dyDescent="0.15">
      <c r="A3421" s="45" t="s">
        <v>41</v>
      </c>
      <c r="D3421" s="45" t="s">
        <v>6275</v>
      </c>
    </row>
    <row r="3422" spans="1:4" s="45" customFormat="1" ht="13.5" x14ac:dyDescent="0.15">
      <c r="A3422" s="45" t="s">
        <v>41</v>
      </c>
      <c r="D3422" s="45" t="s">
        <v>6276</v>
      </c>
    </row>
    <row r="3423" spans="1:4" s="45" customFormat="1" ht="13.5" x14ac:dyDescent="0.15">
      <c r="A3423" s="45" t="s">
        <v>41</v>
      </c>
      <c r="D3423" s="45" t="s">
        <v>6277</v>
      </c>
    </row>
    <row r="3424" spans="1:4" s="45" customFormat="1" ht="13.5" x14ac:dyDescent="0.15">
      <c r="A3424" s="45" t="s">
        <v>41</v>
      </c>
      <c r="D3424" s="45" t="s">
        <v>2540</v>
      </c>
    </row>
    <row r="3425" spans="1:4" s="45" customFormat="1" ht="13.5" x14ac:dyDescent="0.15">
      <c r="A3425" s="45" t="s">
        <v>41</v>
      </c>
      <c r="D3425" s="45" t="s">
        <v>2433</v>
      </c>
    </row>
    <row r="3426" spans="1:4" s="45" customFormat="1" ht="13.5" x14ac:dyDescent="0.15">
      <c r="A3426" s="45" t="s">
        <v>41</v>
      </c>
      <c r="D3426" s="45" t="s">
        <v>6278</v>
      </c>
    </row>
    <row r="3427" spans="1:4" s="45" customFormat="1" ht="13.5" x14ac:dyDescent="0.15">
      <c r="A3427" s="45" t="s">
        <v>41</v>
      </c>
      <c r="D3427" s="45" t="s">
        <v>6279</v>
      </c>
    </row>
    <row r="3428" spans="1:4" s="45" customFormat="1" ht="13.5" x14ac:dyDescent="0.15">
      <c r="A3428" s="45" t="s">
        <v>41</v>
      </c>
      <c r="D3428" s="45" t="s">
        <v>6280</v>
      </c>
    </row>
    <row r="3429" spans="1:4" s="45" customFormat="1" ht="13.5" x14ac:dyDescent="0.15">
      <c r="A3429" s="45" t="s">
        <v>41</v>
      </c>
      <c r="D3429" s="45" t="s">
        <v>6281</v>
      </c>
    </row>
    <row r="3430" spans="1:4" s="45" customFormat="1" ht="13.5" x14ac:dyDescent="0.15">
      <c r="A3430" s="45" t="s">
        <v>41</v>
      </c>
      <c r="D3430" s="45" t="s">
        <v>6282</v>
      </c>
    </row>
    <row r="3431" spans="1:4" s="45" customFormat="1" ht="13.5" x14ac:dyDescent="0.15">
      <c r="A3431" s="45" t="s">
        <v>41</v>
      </c>
      <c r="D3431" s="45" t="s">
        <v>6283</v>
      </c>
    </row>
    <row r="3432" spans="1:4" s="45" customFormat="1" ht="13.5" x14ac:dyDescent="0.15">
      <c r="A3432" s="45" t="s">
        <v>41</v>
      </c>
      <c r="D3432" s="45" t="s">
        <v>6284</v>
      </c>
    </row>
    <row r="3433" spans="1:4" s="45" customFormat="1" ht="13.5" x14ac:dyDescent="0.15">
      <c r="A3433" s="45" t="s">
        <v>41</v>
      </c>
      <c r="D3433" s="45" t="s">
        <v>6285</v>
      </c>
    </row>
    <row r="3434" spans="1:4" s="45" customFormat="1" ht="13.5" x14ac:dyDescent="0.15">
      <c r="A3434" s="45" t="s">
        <v>41</v>
      </c>
      <c r="D3434" s="45" t="s">
        <v>1796</v>
      </c>
    </row>
    <row r="3435" spans="1:4" s="45" customFormat="1" ht="13.5" x14ac:dyDescent="0.15">
      <c r="A3435" s="45" t="s">
        <v>41</v>
      </c>
      <c r="D3435" s="45" t="s">
        <v>6286</v>
      </c>
    </row>
    <row r="3436" spans="1:4" s="45" customFormat="1" ht="13.5" x14ac:dyDescent="0.15">
      <c r="A3436" s="45" t="s">
        <v>41</v>
      </c>
      <c r="D3436" s="45" t="s">
        <v>6287</v>
      </c>
    </row>
    <row r="3437" spans="1:4" s="45" customFormat="1" ht="13.5" x14ac:dyDescent="0.15">
      <c r="A3437" s="45" t="s">
        <v>41</v>
      </c>
      <c r="D3437" s="45" t="s">
        <v>985</v>
      </c>
    </row>
    <row r="3438" spans="1:4" s="45" customFormat="1" ht="13.5" x14ac:dyDescent="0.15">
      <c r="A3438" s="45" t="s">
        <v>41</v>
      </c>
      <c r="D3438" s="45" t="s">
        <v>2163</v>
      </c>
    </row>
    <row r="3439" spans="1:4" s="45" customFormat="1" ht="13.5" x14ac:dyDescent="0.15">
      <c r="A3439" s="45" t="s">
        <v>41</v>
      </c>
      <c r="D3439" s="45" t="s">
        <v>2166</v>
      </c>
    </row>
    <row r="3440" spans="1:4" s="45" customFormat="1" ht="13.5" x14ac:dyDescent="0.15">
      <c r="A3440" s="45" t="s">
        <v>41</v>
      </c>
      <c r="D3440" s="45" t="s">
        <v>6288</v>
      </c>
    </row>
    <row r="3441" spans="1:4" s="45" customFormat="1" ht="13.5" x14ac:dyDescent="0.15">
      <c r="A3441" s="45" t="s">
        <v>41</v>
      </c>
      <c r="D3441" s="45" t="s">
        <v>2165</v>
      </c>
    </row>
    <row r="3442" spans="1:4" s="45" customFormat="1" ht="13.5" x14ac:dyDescent="0.15">
      <c r="A3442" s="45" t="s">
        <v>41</v>
      </c>
      <c r="D3442" s="45" t="s">
        <v>2164</v>
      </c>
    </row>
    <row r="3443" spans="1:4" s="45" customFormat="1" ht="13.5" x14ac:dyDescent="0.15">
      <c r="A3443" s="45" t="s">
        <v>41</v>
      </c>
      <c r="D3443" s="45" t="s">
        <v>6289</v>
      </c>
    </row>
    <row r="3444" spans="1:4" s="45" customFormat="1" ht="13.5" x14ac:dyDescent="0.15">
      <c r="A3444" s="45" t="s">
        <v>41</v>
      </c>
      <c r="D3444" s="45" t="s">
        <v>6290</v>
      </c>
    </row>
    <row r="3445" spans="1:4" s="45" customFormat="1" ht="13.5" x14ac:dyDescent="0.15">
      <c r="A3445" s="45" t="s">
        <v>41</v>
      </c>
      <c r="D3445" s="45" t="s">
        <v>6291</v>
      </c>
    </row>
    <row r="3446" spans="1:4" s="45" customFormat="1" ht="13.5" x14ac:dyDescent="0.15">
      <c r="A3446" s="45" t="s">
        <v>41</v>
      </c>
      <c r="D3446" s="45" t="s">
        <v>2149</v>
      </c>
    </row>
    <row r="3447" spans="1:4" s="45" customFormat="1" ht="13.5" x14ac:dyDescent="0.15">
      <c r="A3447" s="45" t="s">
        <v>41</v>
      </c>
      <c r="D3447" s="45" t="s">
        <v>2150</v>
      </c>
    </row>
    <row r="3448" spans="1:4" s="45" customFormat="1" ht="13.5" x14ac:dyDescent="0.15">
      <c r="A3448" s="45" t="s">
        <v>41</v>
      </c>
      <c r="D3448" s="45" t="s">
        <v>2155</v>
      </c>
    </row>
    <row r="3449" spans="1:4" s="45" customFormat="1" ht="13.5" x14ac:dyDescent="0.15">
      <c r="A3449" s="45" t="s">
        <v>41</v>
      </c>
      <c r="D3449" s="45" t="s">
        <v>2152</v>
      </c>
    </row>
    <row r="3450" spans="1:4" s="45" customFormat="1" ht="13.5" x14ac:dyDescent="0.15">
      <c r="A3450" s="45" t="s">
        <v>41</v>
      </c>
      <c r="D3450" s="45" t="s">
        <v>2154</v>
      </c>
    </row>
    <row r="3451" spans="1:4" s="45" customFormat="1" ht="13.5" x14ac:dyDescent="0.15">
      <c r="A3451" s="45" t="s">
        <v>41</v>
      </c>
      <c r="D3451" s="45" t="s">
        <v>2151</v>
      </c>
    </row>
    <row r="3452" spans="1:4" s="45" customFormat="1" ht="13.5" x14ac:dyDescent="0.15">
      <c r="A3452" s="45" t="s">
        <v>41</v>
      </c>
      <c r="D3452" s="45" t="s">
        <v>2153</v>
      </c>
    </row>
    <row r="3453" spans="1:4" s="45" customFormat="1" ht="13.5" x14ac:dyDescent="0.15">
      <c r="A3453" s="45" t="s">
        <v>41</v>
      </c>
      <c r="D3453" s="45" t="s">
        <v>6292</v>
      </c>
    </row>
    <row r="3454" spans="1:4" s="45" customFormat="1" ht="13.5" x14ac:dyDescent="0.15">
      <c r="A3454" s="45" t="s">
        <v>41</v>
      </c>
      <c r="D3454" s="45" t="s">
        <v>1432</v>
      </c>
    </row>
    <row r="3455" spans="1:4" s="45" customFormat="1" ht="13.5" x14ac:dyDescent="0.15">
      <c r="A3455" s="45" t="s">
        <v>41</v>
      </c>
      <c r="D3455" s="45" t="s">
        <v>6293</v>
      </c>
    </row>
    <row r="3456" spans="1:4" s="45" customFormat="1" ht="13.5" x14ac:dyDescent="0.15">
      <c r="A3456" s="45" t="s">
        <v>41</v>
      </c>
      <c r="D3456" s="45" t="s">
        <v>6294</v>
      </c>
    </row>
    <row r="3457" spans="1:4" s="45" customFormat="1" ht="13.5" x14ac:dyDescent="0.15">
      <c r="A3457" s="45" t="s">
        <v>41</v>
      </c>
      <c r="D3457" s="45" t="s">
        <v>1434</v>
      </c>
    </row>
    <row r="3458" spans="1:4" s="45" customFormat="1" ht="13.5" x14ac:dyDescent="0.15">
      <c r="A3458" s="45" t="s">
        <v>41</v>
      </c>
      <c r="D3458" s="45" t="s">
        <v>1435</v>
      </c>
    </row>
    <row r="3459" spans="1:4" s="45" customFormat="1" ht="13.5" x14ac:dyDescent="0.15">
      <c r="A3459" s="45" t="s">
        <v>41</v>
      </c>
      <c r="D3459" s="45" t="s">
        <v>1436</v>
      </c>
    </row>
    <row r="3460" spans="1:4" s="45" customFormat="1" ht="13.5" x14ac:dyDescent="0.15">
      <c r="A3460" s="45" t="s">
        <v>41</v>
      </c>
      <c r="D3460" s="45" t="s">
        <v>6295</v>
      </c>
    </row>
    <row r="3461" spans="1:4" s="45" customFormat="1" ht="13.5" x14ac:dyDescent="0.15">
      <c r="A3461" s="45" t="s">
        <v>41</v>
      </c>
      <c r="D3461" s="45" t="s">
        <v>1445</v>
      </c>
    </row>
    <row r="3462" spans="1:4" s="45" customFormat="1" ht="13.5" x14ac:dyDescent="0.15">
      <c r="A3462" s="45" t="s">
        <v>41</v>
      </c>
      <c r="D3462" s="45" t="s">
        <v>6296</v>
      </c>
    </row>
    <row r="3463" spans="1:4" s="45" customFormat="1" ht="13.5" x14ac:dyDescent="0.15">
      <c r="A3463" s="45" t="s">
        <v>41</v>
      </c>
      <c r="D3463" s="45" t="s">
        <v>6297</v>
      </c>
    </row>
    <row r="3464" spans="1:4" s="45" customFormat="1" ht="13.5" x14ac:dyDescent="0.15">
      <c r="A3464" s="45" t="s">
        <v>41</v>
      </c>
      <c r="D3464" s="45" t="s">
        <v>6298</v>
      </c>
    </row>
    <row r="3465" spans="1:4" s="45" customFormat="1" ht="13.5" x14ac:dyDescent="0.15">
      <c r="A3465" s="45" t="s">
        <v>41</v>
      </c>
      <c r="D3465" s="45" t="s">
        <v>6299</v>
      </c>
    </row>
    <row r="3466" spans="1:4" s="45" customFormat="1" ht="13.5" x14ac:dyDescent="0.15">
      <c r="A3466" s="45" t="s">
        <v>41</v>
      </c>
      <c r="D3466" s="45" t="s">
        <v>1442</v>
      </c>
    </row>
    <row r="3467" spans="1:4" s="45" customFormat="1" ht="13.5" x14ac:dyDescent="0.15">
      <c r="A3467" s="45" t="s">
        <v>41</v>
      </c>
      <c r="D3467" s="45" t="s">
        <v>6300</v>
      </c>
    </row>
    <row r="3468" spans="1:4" s="45" customFormat="1" ht="13.5" x14ac:dyDescent="0.15">
      <c r="A3468" s="45" t="s">
        <v>41</v>
      </c>
      <c r="D3468" s="45" t="s">
        <v>6301</v>
      </c>
    </row>
    <row r="3469" spans="1:4" s="45" customFormat="1" ht="13.5" x14ac:dyDescent="0.15">
      <c r="A3469" s="45" t="s">
        <v>41</v>
      </c>
      <c r="D3469" s="45" t="s">
        <v>6302</v>
      </c>
    </row>
    <row r="3470" spans="1:4" s="45" customFormat="1" ht="13.5" x14ac:dyDescent="0.15">
      <c r="A3470" s="45" t="s">
        <v>41</v>
      </c>
      <c r="D3470" s="45" t="s">
        <v>6303</v>
      </c>
    </row>
    <row r="3471" spans="1:4" s="45" customFormat="1" ht="13.5" x14ac:dyDescent="0.15">
      <c r="A3471" s="45" t="s">
        <v>41</v>
      </c>
      <c r="D3471" s="45" t="s">
        <v>6304</v>
      </c>
    </row>
    <row r="3472" spans="1:4" s="45" customFormat="1" ht="13.5" x14ac:dyDescent="0.15">
      <c r="A3472" s="45" t="s">
        <v>41</v>
      </c>
      <c r="D3472" s="45" t="s">
        <v>6305</v>
      </c>
    </row>
    <row r="3473" spans="1:4" s="45" customFormat="1" ht="13.5" x14ac:dyDescent="0.15">
      <c r="A3473" s="45" t="s">
        <v>41</v>
      </c>
      <c r="D3473" s="45" t="s">
        <v>6306</v>
      </c>
    </row>
    <row r="3474" spans="1:4" s="45" customFormat="1" ht="13.5" x14ac:dyDescent="0.15">
      <c r="A3474" s="45" t="s">
        <v>41</v>
      </c>
      <c r="D3474" s="45" t="s">
        <v>6307</v>
      </c>
    </row>
    <row r="3475" spans="1:4" s="45" customFormat="1" ht="13.5" x14ac:dyDescent="0.15">
      <c r="A3475" s="45" t="s">
        <v>41</v>
      </c>
      <c r="D3475" s="45" t="s">
        <v>6308</v>
      </c>
    </row>
    <row r="3476" spans="1:4" s="45" customFormat="1" ht="13.5" x14ac:dyDescent="0.15">
      <c r="A3476" s="45" t="s">
        <v>41</v>
      </c>
      <c r="D3476" s="45" t="s">
        <v>6309</v>
      </c>
    </row>
    <row r="3477" spans="1:4" s="45" customFormat="1" ht="13.5" x14ac:dyDescent="0.15">
      <c r="A3477" s="45" t="s">
        <v>41</v>
      </c>
      <c r="D3477" s="45" t="s">
        <v>6310</v>
      </c>
    </row>
    <row r="3478" spans="1:4" s="45" customFormat="1" ht="13.5" x14ac:dyDescent="0.15">
      <c r="A3478" s="45" t="s">
        <v>41</v>
      </c>
      <c r="D3478" s="45" t="s">
        <v>6311</v>
      </c>
    </row>
    <row r="3479" spans="1:4" s="45" customFormat="1" ht="13.5" x14ac:dyDescent="0.15">
      <c r="A3479" s="45" t="s">
        <v>41</v>
      </c>
      <c r="D3479" s="45" t="s">
        <v>6312</v>
      </c>
    </row>
    <row r="3480" spans="1:4" s="45" customFormat="1" ht="13.5" x14ac:dyDescent="0.15">
      <c r="A3480" s="45" t="s">
        <v>41</v>
      </c>
      <c r="D3480" s="45" t="s">
        <v>6313</v>
      </c>
    </row>
    <row r="3481" spans="1:4" s="45" customFormat="1" ht="13.5" x14ac:dyDescent="0.15">
      <c r="A3481" s="45" t="s">
        <v>41</v>
      </c>
      <c r="D3481" s="45" t="s">
        <v>6314</v>
      </c>
    </row>
    <row r="3482" spans="1:4" s="45" customFormat="1" ht="13.5" x14ac:dyDescent="0.15">
      <c r="A3482" s="45" t="s">
        <v>41</v>
      </c>
      <c r="D3482" s="45" t="s">
        <v>1449</v>
      </c>
    </row>
    <row r="3483" spans="1:4" s="45" customFormat="1" ht="13.5" x14ac:dyDescent="0.15">
      <c r="A3483" s="45" t="s">
        <v>41</v>
      </c>
      <c r="D3483" s="45" t="s">
        <v>6315</v>
      </c>
    </row>
    <row r="3484" spans="1:4" s="45" customFormat="1" ht="13.5" x14ac:dyDescent="0.15">
      <c r="A3484" s="45" t="s">
        <v>41</v>
      </c>
      <c r="D3484" s="45" t="s">
        <v>6316</v>
      </c>
    </row>
    <row r="3485" spans="1:4" s="45" customFormat="1" ht="13.5" x14ac:dyDescent="0.15">
      <c r="A3485" s="45" t="s">
        <v>41</v>
      </c>
      <c r="D3485" s="45" t="s">
        <v>1448</v>
      </c>
    </row>
    <row r="3486" spans="1:4" s="45" customFormat="1" ht="13.5" x14ac:dyDescent="0.15">
      <c r="A3486" s="45" t="s">
        <v>41</v>
      </c>
      <c r="D3486" s="45" t="s">
        <v>6317</v>
      </c>
    </row>
    <row r="3487" spans="1:4" s="45" customFormat="1" ht="13.5" x14ac:dyDescent="0.15">
      <c r="A3487" s="45" t="s">
        <v>41</v>
      </c>
      <c r="D3487" s="45" t="s">
        <v>6318</v>
      </c>
    </row>
    <row r="3488" spans="1:4" s="45" customFormat="1" ht="13.5" x14ac:dyDescent="0.15">
      <c r="A3488" s="45" t="s">
        <v>41</v>
      </c>
      <c r="D3488" s="45" t="s">
        <v>6319</v>
      </c>
    </row>
    <row r="3489" spans="1:4" s="45" customFormat="1" ht="13.5" x14ac:dyDescent="0.15">
      <c r="A3489" s="45" t="s">
        <v>41</v>
      </c>
      <c r="D3489" s="45" t="s">
        <v>6320</v>
      </c>
    </row>
    <row r="3490" spans="1:4" s="45" customFormat="1" ht="13.5" x14ac:dyDescent="0.15">
      <c r="A3490" s="45" t="s">
        <v>41</v>
      </c>
      <c r="D3490" s="45" t="s">
        <v>6321</v>
      </c>
    </row>
    <row r="3491" spans="1:4" s="45" customFormat="1" ht="13.5" x14ac:dyDescent="0.15">
      <c r="A3491" s="45" t="s">
        <v>41</v>
      </c>
      <c r="D3491" s="45" t="s">
        <v>1453</v>
      </c>
    </row>
    <row r="3492" spans="1:4" s="45" customFormat="1" ht="13.5" x14ac:dyDescent="0.15">
      <c r="A3492" s="45" t="s">
        <v>41</v>
      </c>
      <c r="D3492" s="45" t="s">
        <v>6322</v>
      </c>
    </row>
    <row r="3493" spans="1:4" s="45" customFormat="1" ht="13.5" x14ac:dyDescent="0.15">
      <c r="A3493" s="45" t="s">
        <v>41</v>
      </c>
      <c r="D3493" s="45" t="s">
        <v>6323</v>
      </c>
    </row>
    <row r="3494" spans="1:4" s="45" customFormat="1" ht="13.5" x14ac:dyDescent="0.15">
      <c r="A3494" s="45" t="s">
        <v>41</v>
      </c>
      <c r="D3494" s="45" t="s">
        <v>6324</v>
      </c>
    </row>
    <row r="3495" spans="1:4" s="45" customFormat="1" ht="13.5" x14ac:dyDescent="0.15">
      <c r="A3495" s="45" t="s">
        <v>41</v>
      </c>
      <c r="D3495" s="45" t="s">
        <v>6325</v>
      </c>
    </row>
    <row r="3496" spans="1:4" s="45" customFormat="1" ht="13.5" x14ac:dyDescent="0.15">
      <c r="A3496" s="45" t="s">
        <v>41</v>
      </c>
      <c r="D3496" s="45" t="s">
        <v>6326</v>
      </c>
    </row>
    <row r="3497" spans="1:4" s="45" customFormat="1" ht="13.5" x14ac:dyDescent="0.15">
      <c r="A3497" s="45" t="s">
        <v>41</v>
      </c>
      <c r="D3497" s="45" t="s">
        <v>6327</v>
      </c>
    </row>
    <row r="3498" spans="1:4" s="45" customFormat="1" ht="13.5" x14ac:dyDescent="0.15">
      <c r="A3498" s="45" t="s">
        <v>41</v>
      </c>
      <c r="D3498" s="45" t="s">
        <v>6328</v>
      </c>
    </row>
    <row r="3499" spans="1:4" s="45" customFormat="1" ht="13.5" x14ac:dyDescent="0.15">
      <c r="A3499" s="45" t="s">
        <v>41</v>
      </c>
      <c r="D3499" s="45" t="s">
        <v>6329</v>
      </c>
    </row>
    <row r="3500" spans="1:4" s="45" customFormat="1" ht="13.5" x14ac:dyDescent="0.15">
      <c r="A3500" s="45" t="s">
        <v>41</v>
      </c>
      <c r="D3500" s="45" t="s">
        <v>6330</v>
      </c>
    </row>
    <row r="3501" spans="1:4" s="45" customFormat="1" ht="13.5" x14ac:dyDescent="0.15">
      <c r="A3501" s="45" t="s">
        <v>41</v>
      </c>
      <c r="D3501" s="45" t="s">
        <v>6331</v>
      </c>
    </row>
    <row r="3502" spans="1:4" s="45" customFormat="1" ht="13.5" x14ac:dyDescent="0.15">
      <c r="A3502" s="45" t="s">
        <v>41</v>
      </c>
      <c r="D3502" s="45" t="s">
        <v>6332</v>
      </c>
    </row>
    <row r="3503" spans="1:4" s="45" customFormat="1" ht="13.5" x14ac:dyDescent="0.15">
      <c r="A3503" s="45" t="s">
        <v>41</v>
      </c>
      <c r="D3503" s="45" t="s">
        <v>6333</v>
      </c>
    </row>
    <row r="3504" spans="1:4" s="45" customFormat="1" ht="13.5" x14ac:dyDescent="0.15">
      <c r="A3504" s="45" t="s">
        <v>41</v>
      </c>
      <c r="D3504" s="45" t="s">
        <v>6334</v>
      </c>
    </row>
    <row r="3505" spans="1:4" s="45" customFormat="1" ht="13.5" x14ac:dyDescent="0.15">
      <c r="A3505" s="45" t="s">
        <v>41</v>
      </c>
      <c r="D3505" s="45" t="s">
        <v>1438</v>
      </c>
    </row>
    <row r="3506" spans="1:4" s="45" customFormat="1" ht="13.5" x14ac:dyDescent="0.15">
      <c r="A3506" s="45" t="s">
        <v>41</v>
      </c>
      <c r="D3506" s="45" t="s">
        <v>6335</v>
      </c>
    </row>
    <row r="3507" spans="1:4" s="45" customFormat="1" ht="13.5" x14ac:dyDescent="0.15">
      <c r="A3507" s="45" t="s">
        <v>41</v>
      </c>
      <c r="D3507" s="45" t="s">
        <v>6336</v>
      </c>
    </row>
    <row r="3508" spans="1:4" s="45" customFormat="1" ht="13.5" x14ac:dyDescent="0.15">
      <c r="A3508" s="45" t="s">
        <v>41</v>
      </c>
      <c r="D3508" s="45" t="s">
        <v>1439</v>
      </c>
    </row>
    <row r="3509" spans="1:4" s="45" customFormat="1" ht="13.5" x14ac:dyDescent="0.15">
      <c r="A3509" s="45" t="s">
        <v>41</v>
      </c>
      <c r="D3509" s="45" t="s">
        <v>6337</v>
      </c>
    </row>
    <row r="3510" spans="1:4" s="45" customFormat="1" ht="13.5" x14ac:dyDescent="0.15">
      <c r="A3510" s="45" t="s">
        <v>41</v>
      </c>
      <c r="D3510" s="45" t="s">
        <v>6338</v>
      </c>
    </row>
    <row r="3511" spans="1:4" s="45" customFormat="1" ht="13.5" x14ac:dyDescent="0.15">
      <c r="A3511" s="45" t="s">
        <v>41</v>
      </c>
      <c r="D3511" s="45" t="s">
        <v>6339</v>
      </c>
    </row>
    <row r="3512" spans="1:4" s="45" customFormat="1" ht="13.5" x14ac:dyDescent="0.15">
      <c r="A3512" s="45" t="s">
        <v>41</v>
      </c>
      <c r="D3512" s="45" t="s">
        <v>1441</v>
      </c>
    </row>
    <row r="3513" spans="1:4" s="45" customFormat="1" ht="13.5" x14ac:dyDescent="0.15">
      <c r="A3513" s="45" t="s">
        <v>41</v>
      </c>
      <c r="D3513" s="45" t="s">
        <v>6340</v>
      </c>
    </row>
    <row r="3514" spans="1:4" s="45" customFormat="1" ht="13.5" x14ac:dyDescent="0.15">
      <c r="A3514" s="45" t="s">
        <v>41</v>
      </c>
      <c r="D3514" s="45" t="s">
        <v>6341</v>
      </c>
    </row>
    <row r="3515" spans="1:4" s="45" customFormat="1" ht="13.5" x14ac:dyDescent="0.15">
      <c r="A3515" s="45" t="s">
        <v>41</v>
      </c>
      <c r="D3515" s="45" t="s">
        <v>1443</v>
      </c>
    </row>
    <row r="3516" spans="1:4" s="45" customFormat="1" ht="13.5" x14ac:dyDescent="0.15">
      <c r="A3516" s="45" t="s">
        <v>41</v>
      </c>
      <c r="D3516" s="45" t="s">
        <v>6342</v>
      </c>
    </row>
    <row r="3517" spans="1:4" s="45" customFormat="1" ht="13.5" x14ac:dyDescent="0.15">
      <c r="A3517" s="45" t="s">
        <v>41</v>
      </c>
      <c r="D3517" s="45" t="s">
        <v>6343</v>
      </c>
    </row>
    <row r="3518" spans="1:4" s="45" customFormat="1" ht="13.5" x14ac:dyDescent="0.15">
      <c r="A3518" s="45" t="s">
        <v>41</v>
      </c>
      <c r="D3518" s="45" t="s">
        <v>1437</v>
      </c>
    </row>
    <row r="3519" spans="1:4" s="45" customFormat="1" ht="13.5" x14ac:dyDescent="0.15">
      <c r="A3519" s="45" t="s">
        <v>41</v>
      </c>
      <c r="D3519" s="45" t="s">
        <v>1444</v>
      </c>
    </row>
    <row r="3520" spans="1:4" s="45" customFormat="1" ht="13.5" x14ac:dyDescent="0.15">
      <c r="A3520" s="45" t="s">
        <v>41</v>
      </c>
      <c r="D3520" s="45" t="s">
        <v>6344</v>
      </c>
    </row>
    <row r="3521" spans="1:4" s="45" customFormat="1" ht="13.5" x14ac:dyDescent="0.15">
      <c r="A3521" s="45" t="s">
        <v>41</v>
      </c>
      <c r="D3521" s="45" t="s">
        <v>6345</v>
      </c>
    </row>
    <row r="3522" spans="1:4" s="45" customFormat="1" ht="13.5" x14ac:dyDescent="0.15">
      <c r="A3522" s="45" t="s">
        <v>41</v>
      </c>
      <c r="D3522" s="45" t="s">
        <v>1452</v>
      </c>
    </row>
    <row r="3523" spans="1:4" s="45" customFormat="1" ht="13.5" x14ac:dyDescent="0.15">
      <c r="A3523" s="45" t="s">
        <v>41</v>
      </c>
      <c r="D3523" s="45" t="s">
        <v>1450</v>
      </c>
    </row>
    <row r="3524" spans="1:4" s="45" customFormat="1" ht="13.5" x14ac:dyDescent="0.15">
      <c r="A3524" s="45" t="s">
        <v>41</v>
      </c>
      <c r="D3524" s="45" t="s">
        <v>1451</v>
      </c>
    </row>
    <row r="3525" spans="1:4" s="45" customFormat="1" ht="13.5" x14ac:dyDescent="0.15">
      <c r="A3525" s="45" t="s">
        <v>41</v>
      </c>
      <c r="D3525" s="45" t="s">
        <v>1440</v>
      </c>
    </row>
    <row r="3526" spans="1:4" s="45" customFormat="1" ht="13.5" x14ac:dyDescent="0.15">
      <c r="A3526" s="45" t="s">
        <v>41</v>
      </c>
      <c r="D3526" s="45" t="s">
        <v>6346</v>
      </c>
    </row>
    <row r="3527" spans="1:4" s="45" customFormat="1" ht="13.5" x14ac:dyDescent="0.15">
      <c r="A3527" s="45" t="s">
        <v>41</v>
      </c>
      <c r="D3527" s="45" t="s">
        <v>6347</v>
      </c>
    </row>
    <row r="3528" spans="1:4" s="45" customFormat="1" ht="13.5" x14ac:dyDescent="0.15">
      <c r="A3528" s="45" t="s">
        <v>41</v>
      </c>
      <c r="D3528" s="45" t="s">
        <v>6348</v>
      </c>
    </row>
    <row r="3529" spans="1:4" s="45" customFormat="1" ht="13.5" x14ac:dyDescent="0.15">
      <c r="A3529" s="45" t="s">
        <v>41</v>
      </c>
      <c r="D3529" s="45" t="s">
        <v>1446</v>
      </c>
    </row>
    <row r="3530" spans="1:4" s="45" customFormat="1" ht="13.5" x14ac:dyDescent="0.15">
      <c r="A3530" s="45" t="s">
        <v>41</v>
      </c>
      <c r="D3530" s="45" t="s">
        <v>1447</v>
      </c>
    </row>
    <row r="3531" spans="1:4" s="45" customFormat="1" ht="13.5" x14ac:dyDescent="0.15">
      <c r="A3531" s="45" t="s">
        <v>41</v>
      </c>
      <c r="D3531" s="45" t="s">
        <v>6349</v>
      </c>
    </row>
    <row r="3532" spans="1:4" s="45" customFormat="1" ht="13.5" x14ac:dyDescent="0.15">
      <c r="A3532" s="45" t="s">
        <v>41</v>
      </c>
      <c r="D3532" s="45" t="s">
        <v>1433</v>
      </c>
    </row>
    <row r="3533" spans="1:4" s="45" customFormat="1" ht="13.5" x14ac:dyDescent="0.15">
      <c r="A3533" s="45" t="s">
        <v>41</v>
      </c>
      <c r="D3533" s="45" t="s">
        <v>6350</v>
      </c>
    </row>
    <row r="3534" spans="1:4" s="45" customFormat="1" ht="13.5" x14ac:dyDescent="0.15">
      <c r="A3534" s="45" t="s">
        <v>41</v>
      </c>
      <c r="D3534" s="45" t="s">
        <v>6351</v>
      </c>
    </row>
    <row r="3535" spans="1:4" s="45" customFormat="1" ht="13.5" x14ac:dyDescent="0.15">
      <c r="A3535" s="45" t="s">
        <v>41</v>
      </c>
      <c r="D3535" s="45" t="s">
        <v>6352</v>
      </c>
    </row>
    <row r="3536" spans="1:4" s="45" customFormat="1" ht="13.5" x14ac:dyDescent="0.15">
      <c r="A3536" s="45" t="s">
        <v>41</v>
      </c>
      <c r="D3536" s="45" t="s">
        <v>6353</v>
      </c>
    </row>
    <row r="3537" spans="1:4" s="45" customFormat="1" ht="13.5" x14ac:dyDescent="0.15">
      <c r="A3537" s="45" t="s">
        <v>41</v>
      </c>
      <c r="D3537" s="45" t="s">
        <v>6354</v>
      </c>
    </row>
    <row r="3538" spans="1:4" s="45" customFormat="1" ht="13.5" x14ac:dyDescent="0.15">
      <c r="A3538" s="45" t="s">
        <v>41</v>
      </c>
      <c r="D3538" s="45" t="s">
        <v>6355</v>
      </c>
    </row>
    <row r="3539" spans="1:4" s="45" customFormat="1" ht="13.5" x14ac:dyDescent="0.15">
      <c r="A3539" s="45" t="s">
        <v>41</v>
      </c>
      <c r="D3539" s="45" t="s">
        <v>853</v>
      </c>
    </row>
    <row r="3540" spans="1:4" s="45" customFormat="1" ht="13.5" x14ac:dyDescent="0.15">
      <c r="A3540" s="45" t="s">
        <v>41</v>
      </c>
      <c r="D3540" s="45" t="s">
        <v>6356</v>
      </c>
    </row>
    <row r="3541" spans="1:4" s="45" customFormat="1" ht="13.5" x14ac:dyDescent="0.15">
      <c r="A3541" s="45" t="s">
        <v>41</v>
      </c>
      <c r="D3541" s="45" t="s">
        <v>330</v>
      </c>
    </row>
    <row r="3542" spans="1:4" s="45" customFormat="1" ht="13.5" x14ac:dyDescent="0.15">
      <c r="A3542" s="45" t="s">
        <v>41</v>
      </c>
      <c r="D3542" s="45" t="s">
        <v>328</v>
      </c>
    </row>
    <row r="3543" spans="1:4" s="45" customFormat="1" ht="13.5" x14ac:dyDescent="0.15">
      <c r="A3543" s="45" t="s">
        <v>41</v>
      </c>
      <c r="D3543" s="45" t="s">
        <v>329</v>
      </c>
    </row>
    <row r="3544" spans="1:4" s="45" customFormat="1" ht="13.5" x14ac:dyDescent="0.15">
      <c r="A3544" s="45" t="s">
        <v>41</v>
      </c>
      <c r="D3544" s="45" t="s">
        <v>2031</v>
      </c>
    </row>
    <row r="3545" spans="1:4" s="45" customFormat="1" ht="13.5" x14ac:dyDescent="0.15">
      <c r="A3545" s="45" t="s">
        <v>41</v>
      </c>
      <c r="D3545" s="45" t="s">
        <v>1699</v>
      </c>
    </row>
    <row r="3546" spans="1:4" s="45" customFormat="1" ht="13.5" x14ac:dyDescent="0.15">
      <c r="A3546" s="45" t="s">
        <v>41</v>
      </c>
      <c r="D3546" s="45" t="s">
        <v>6357</v>
      </c>
    </row>
    <row r="3547" spans="1:4" s="45" customFormat="1" ht="13.5" x14ac:dyDescent="0.15">
      <c r="A3547" s="45" t="s">
        <v>41</v>
      </c>
      <c r="D3547" s="45" t="s">
        <v>6358</v>
      </c>
    </row>
    <row r="3548" spans="1:4" s="45" customFormat="1" ht="13.5" x14ac:dyDescent="0.15">
      <c r="A3548" s="45" t="s">
        <v>41</v>
      </c>
      <c r="D3548" s="45" t="s">
        <v>6359</v>
      </c>
    </row>
    <row r="3549" spans="1:4" s="45" customFormat="1" ht="13.5" x14ac:dyDescent="0.15">
      <c r="A3549" s="45" t="s">
        <v>41</v>
      </c>
      <c r="D3549" s="45" t="s">
        <v>6360</v>
      </c>
    </row>
    <row r="3550" spans="1:4" s="45" customFormat="1" ht="13.5" x14ac:dyDescent="0.15">
      <c r="A3550" s="45" t="s">
        <v>41</v>
      </c>
      <c r="D3550" s="45" t="s">
        <v>6361</v>
      </c>
    </row>
    <row r="3551" spans="1:4" s="45" customFormat="1" ht="13.5" x14ac:dyDescent="0.15">
      <c r="A3551" s="45" t="s">
        <v>41</v>
      </c>
      <c r="D3551" s="45" t="s">
        <v>6362</v>
      </c>
    </row>
    <row r="3552" spans="1:4" s="45" customFormat="1" ht="13.5" x14ac:dyDescent="0.15">
      <c r="A3552" s="45" t="s">
        <v>41</v>
      </c>
      <c r="D3552" s="45" t="s">
        <v>6363</v>
      </c>
    </row>
    <row r="3553" spans="1:4" s="45" customFormat="1" ht="13.5" x14ac:dyDescent="0.15">
      <c r="A3553" s="45" t="s">
        <v>41</v>
      </c>
      <c r="D3553" s="45" t="s">
        <v>6364</v>
      </c>
    </row>
    <row r="3554" spans="1:4" s="45" customFormat="1" ht="13.5" x14ac:dyDescent="0.15">
      <c r="A3554" s="45" t="s">
        <v>41</v>
      </c>
      <c r="D3554" s="45" t="s">
        <v>2012</v>
      </c>
    </row>
    <row r="3555" spans="1:4" s="45" customFormat="1" ht="13.5" x14ac:dyDescent="0.15">
      <c r="A3555" s="45" t="s">
        <v>41</v>
      </c>
      <c r="D3555" s="45" t="s">
        <v>2013</v>
      </c>
    </row>
    <row r="3556" spans="1:4" s="45" customFormat="1" ht="13.5" x14ac:dyDescent="0.15">
      <c r="A3556" s="45" t="s">
        <v>41</v>
      </c>
      <c r="D3556" s="45" t="s">
        <v>6365</v>
      </c>
    </row>
    <row r="3557" spans="1:4" s="45" customFormat="1" ht="13.5" x14ac:dyDescent="0.15">
      <c r="A3557" s="45" t="s">
        <v>41</v>
      </c>
      <c r="D3557" s="45" t="s">
        <v>2011</v>
      </c>
    </row>
    <row r="3558" spans="1:4" s="45" customFormat="1" ht="13.5" x14ac:dyDescent="0.15">
      <c r="A3558" s="45" t="s">
        <v>41</v>
      </c>
      <c r="D3558" s="45" t="s">
        <v>2026</v>
      </c>
    </row>
    <row r="3559" spans="1:4" s="45" customFormat="1" ht="13.5" x14ac:dyDescent="0.15">
      <c r="A3559" s="45" t="s">
        <v>41</v>
      </c>
      <c r="D3559" s="45" t="s">
        <v>6366</v>
      </c>
    </row>
    <row r="3560" spans="1:4" s="45" customFormat="1" ht="13.5" x14ac:dyDescent="0.15">
      <c r="A3560" s="45" t="s">
        <v>41</v>
      </c>
      <c r="D3560" s="45" t="s">
        <v>2025</v>
      </c>
    </row>
    <row r="3561" spans="1:4" s="45" customFormat="1" ht="13.5" x14ac:dyDescent="0.15">
      <c r="A3561" s="45" t="s">
        <v>41</v>
      </c>
      <c r="D3561" s="45" t="s">
        <v>2109</v>
      </c>
    </row>
    <row r="3562" spans="1:4" s="45" customFormat="1" ht="13.5" x14ac:dyDescent="0.15">
      <c r="A3562" s="45" t="s">
        <v>41</v>
      </c>
      <c r="D3562" s="45" t="s">
        <v>2380</v>
      </c>
    </row>
    <row r="3563" spans="1:4" s="45" customFormat="1" ht="13.5" x14ac:dyDescent="0.15">
      <c r="A3563" s="45" t="s">
        <v>41</v>
      </c>
      <c r="D3563" s="45" t="s">
        <v>6367</v>
      </c>
    </row>
    <row r="3564" spans="1:4" s="45" customFormat="1" ht="13.5" x14ac:dyDescent="0.15">
      <c r="A3564" s="45" t="s">
        <v>41</v>
      </c>
      <c r="D3564" s="45" t="s">
        <v>2293</v>
      </c>
    </row>
    <row r="3565" spans="1:4" s="45" customFormat="1" ht="13.5" x14ac:dyDescent="0.15">
      <c r="A3565" s="45" t="s">
        <v>41</v>
      </c>
      <c r="D3565" s="45" t="s">
        <v>2294</v>
      </c>
    </row>
    <row r="3566" spans="1:4" s="45" customFormat="1" ht="13.5" x14ac:dyDescent="0.15">
      <c r="A3566" s="45" t="s">
        <v>41</v>
      </c>
      <c r="D3566" s="45" t="s">
        <v>213</v>
      </c>
    </row>
    <row r="3567" spans="1:4" s="45" customFormat="1" ht="13.5" x14ac:dyDescent="0.15">
      <c r="A3567" s="45" t="s">
        <v>41</v>
      </c>
      <c r="D3567" s="45" t="s">
        <v>6368</v>
      </c>
    </row>
    <row r="3568" spans="1:4" s="45" customFormat="1" ht="13.5" x14ac:dyDescent="0.15">
      <c r="A3568" s="45" t="s">
        <v>41</v>
      </c>
      <c r="D3568" s="45" t="s">
        <v>6369</v>
      </c>
    </row>
    <row r="3569" spans="1:4" s="45" customFormat="1" ht="13.5" x14ac:dyDescent="0.15">
      <c r="A3569" s="45" t="s">
        <v>41</v>
      </c>
      <c r="D3569" s="45" t="s">
        <v>6370</v>
      </c>
    </row>
    <row r="3570" spans="1:4" s="45" customFormat="1" ht="13.5" x14ac:dyDescent="0.15">
      <c r="A3570" s="45" t="s">
        <v>41</v>
      </c>
      <c r="D3570" s="45" t="s">
        <v>215</v>
      </c>
    </row>
    <row r="3571" spans="1:4" s="45" customFormat="1" ht="13.5" x14ac:dyDescent="0.15">
      <c r="A3571" s="45" t="s">
        <v>41</v>
      </c>
      <c r="D3571" s="45" t="s">
        <v>214</v>
      </c>
    </row>
    <row r="3572" spans="1:4" s="45" customFormat="1" ht="13.5" x14ac:dyDescent="0.15">
      <c r="A3572" s="45" t="s">
        <v>41</v>
      </c>
      <c r="D3572" s="45" t="s">
        <v>6371</v>
      </c>
    </row>
    <row r="3573" spans="1:4" s="45" customFormat="1" ht="13.5" x14ac:dyDescent="0.15">
      <c r="A3573" s="45" t="s">
        <v>41</v>
      </c>
      <c r="D3573" s="45" t="s">
        <v>799</v>
      </c>
    </row>
    <row r="3574" spans="1:4" s="45" customFormat="1" ht="13.5" x14ac:dyDescent="0.15">
      <c r="A3574" s="45" t="s">
        <v>41</v>
      </c>
      <c r="D3574" s="45" t="s">
        <v>6372</v>
      </c>
    </row>
    <row r="3575" spans="1:4" s="45" customFormat="1" ht="13.5" x14ac:dyDescent="0.15">
      <c r="A3575" s="45" t="s">
        <v>41</v>
      </c>
      <c r="D3575" s="45" t="s">
        <v>6373</v>
      </c>
    </row>
    <row r="3576" spans="1:4" s="45" customFormat="1" ht="13.5" x14ac:dyDescent="0.15">
      <c r="A3576" s="45" t="s">
        <v>41</v>
      </c>
      <c r="D3576" s="45" t="s">
        <v>6374</v>
      </c>
    </row>
    <row r="3577" spans="1:4" s="45" customFormat="1" ht="13.5" x14ac:dyDescent="0.15">
      <c r="A3577" s="45" t="s">
        <v>41</v>
      </c>
      <c r="D3577" s="45" t="s">
        <v>1640</v>
      </c>
    </row>
    <row r="3578" spans="1:4" s="45" customFormat="1" ht="13.5" x14ac:dyDescent="0.15">
      <c r="A3578" s="45" t="s">
        <v>41</v>
      </c>
      <c r="D3578" s="45" t="s">
        <v>6375</v>
      </c>
    </row>
    <row r="3579" spans="1:4" s="45" customFormat="1" ht="13.5" x14ac:dyDescent="0.15">
      <c r="A3579" s="45" t="s">
        <v>41</v>
      </c>
      <c r="D3579" s="45" t="s">
        <v>6376</v>
      </c>
    </row>
    <row r="3580" spans="1:4" s="45" customFormat="1" ht="13.5" x14ac:dyDescent="0.15">
      <c r="A3580" s="45" t="s">
        <v>41</v>
      </c>
      <c r="D3580" s="45" t="s">
        <v>6377</v>
      </c>
    </row>
    <row r="3581" spans="1:4" s="45" customFormat="1" ht="13.5" x14ac:dyDescent="0.15">
      <c r="A3581" s="45" t="s">
        <v>41</v>
      </c>
      <c r="D3581" s="45" t="s">
        <v>1143</v>
      </c>
    </row>
    <row r="3582" spans="1:4" s="45" customFormat="1" ht="13.5" x14ac:dyDescent="0.15">
      <c r="A3582" s="45" t="s">
        <v>41</v>
      </c>
      <c r="D3582" s="45" t="s">
        <v>1746</v>
      </c>
    </row>
    <row r="3583" spans="1:4" s="45" customFormat="1" ht="13.5" x14ac:dyDescent="0.15">
      <c r="A3583" s="45" t="s">
        <v>41</v>
      </c>
      <c r="D3583" s="45" t="s">
        <v>532</v>
      </c>
    </row>
    <row r="3584" spans="1:4" s="45" customFormat="1" ht="13.5" x14ac:dyDescent="0.15">
      <c r="A3584" s="45" t="s">
        <v>41</v>
      </c>
      <c r="D3584" s="45" t="s">
        <v>533</v>
      </c>
    </row>
    <row r="3585" spans="1:4" s="45" customFormat="1" ht="13.5" x14ac:dyDescent="0.15">
      <c r="A3585" s="45" t="s">
        <v>41</v>
      </c>
      <c r="D3585" s="45" t="s">
        <v>534</v>
      </c>
    </row>
    <row r="3586" spans="1:4" s="45" customFormat="1" ht="13.5" x14ac:dyDescent="0.15">
      <c r="A3586" s="45" t="s">
        <v>41</v>
      </c>
      <c r="D3586" s="45" t="s">
        <v>6378</v>
      </c>
    </row>
    <row r="3587" spans="1:4" s="45" customFormat="1" ht="13.5" x14ac:dyDescent="0.15">
      <c r="A3587" s="45" t="s">
        <v>41</v>
      </c>
      <c r="D3587" s="45" t="s">
        <v>531</v>
      </c>
    </row>
    <row r="3588" spans="1:4" s="45" customFormat="1" ht="13.5" x14ac:dyDescent="0.15">
      <c r="A3588" s="45" t="s">
        <v>41</v>
      </c>
      <c r="D3588" s="45" t="s">
        <v>6379</v>
      </c>
    </row>
    <row r="3589" spans="1:4" s="45" customFormat="1" ht="13.5" x14ac:dyDescent="0.15">
      <c r="A3589" s="45" t="s">
        <v>41</v>
      </c>
      <c r="D3589" s="45" t="s">
        <v>6380</v>
      </c>
    </row>
    <row r="3590" spans="1:4" s="45" customFormat="1" ht="13.5" x14ac:dyDescent="0.15">
      <c r="A3590" s="45" t="s">
        <v>41</v>
      </c>
      <c r="D3590" s="45" t="s">
        <v>6381</v>
      </c>
    </row>
    <row r="3591" spans="1:4" s="45" customFormat="1" ht="13.5" x14ac:dyDescent="0.15">
      <c r="A3591" s="45" t="s">
        <v>41</v>
      </c>
      <c r="D3591" s="45" t="s">
        <v>6382</v>
      </c>
    </row>
    <row r="3592" spans="1:4" s="45" customFormat="1" ht="13.5" x14ac:dyDescent="0.15">
      <c r="A3592" s="45" t="s">
        <v>41</v>
      </c>
      <c r="D3592" s="45" t="s">
        <v>1183</v>
      </c>
    </row>
    <row r="3593" spans="1:4" s="45" customFormat="1" ht="13.5" x14ac:dyDescent="0.15">
      <c r="A3593" s="45" t="s">
        <v>41</v>
      </c>
      <c r="D3593" s="45" t="s">
        <v>1182</v>
      </c>
    </row>
    <row r="3594" spans="1:4" s="45" customFormat="1" ht="13.5" x14ac:dyDescent="0.15">
      <c r="A3594" s="45" t="s">
        <v>41</v>
      </c>
      <c r="D3594" s="45" t="s">
        <v>6383</v>
      </c>
    </row>
    <row r="3595" spans="1:4" s="45" customFormat="1" ht="13.5" x14ac:dyDescent="0.15">
      <c r="A3595" s="45" t="s">
        <v>41</v>
      </c>
      <c r="D3595" s="45" t="s">
        <v>6384</v>
      </c>
    </row>
    <row r="3596" spans="1:4" s="45" customFormat="1" ht="13.5" x14ac:dyDescent="0.15">
      <c r="A3596" s="45" t="s">
        <v>41</v>
      </c>
      <c r="D3596" s="45" t="s">
        <v>6385</v>
      </c>
    </row>
    <row r="3597" spans="1:4" s="45" customFormat="1" ht="13.5" x14ac:dyDescent="0.15">
      <c r="A3597" s="45" t="s">
        <v>41</v>
      </c>
      <c r="D3597" s="45" t="s">
        <v>6386</v>
      </c>
    </row>
    <row r="3598" spans="1:4" s="45" customFormat="1" ht="13.5" x14ac:dyDescent="0.15">
      <c r="A3598" s="45" t="s">
        <v>41</v>
      </c>
      <c r="D3598" s="45" t="s">
        <v>6387</v>
      </c>
    </row>
    <row r="3599" spans="1:4" s="45" customFormat="1" ht="13.5" x14ac:dyDescent="0.15">
      <c r="A3599" s="45" t="s">
        <v>41</v>
      </c>
      <c r="D3599" s="45" t="s">
        <v>6388</v>
      </c>
    </row>
    <row r="3600" spans="1:4" s="45" customFormat="1" ht="13.5" x14ac:dyDescent="0.15">
      <c r="A3600" s="45" t="s">
        <v>41</v>
      </c>
      <c r="D3600" s="45" t="s">
        <v>6389</v>
      </c>
    </row>
    <row r="3601" spans="1:4" s="45" customFormat="1" ht="13.5" x14ac:dyDescent="0.15">
      <c r="A3601" s="45" t="s">
        <v>41</v>
      </c>
      <c r="D3601" s="45" t="s">
        <v>1129</v>
      </c>
    </row>
    <row r="3602" spans="1:4" s="45" customFormat="1" ht="13.5" x14ac:dyDescent="0.15">
      <c r="A3602" s="45" t="s">
        <v>41</v>
      </c>
      <c r="D3602" s="45" t="s">
        <v>6390</v>
      </c>
    </row>
    <row r="3603" spans="1:4" s="45" customFormat="1" ht="13.5" x14ac:dyDescent="0.15">
      <c r="A3603" s="45" t="s">
        <v>41</v>
      </c>
      <c r="D3603" s="45" t="s">
        <v>2062</v>
      </c>
    </row>
    <row r="3604" spans="1:4" s="45" customFormat="1" ht="13.5" x14ac:dyDescent="0.15">
      <c r="A3604" s="45" t="s">
        <v>41</v>
      </c>
      <c r="D3604" s="45" t="s">
        <v>6391</v>
      </c>
    </row>
    <row r="3605" spans="1:4" s="45" customFormat="1" ht="13.5" x14ac:dyDescent="0.15">
      <c r="A3605" s="45" t="s">
        <v>41</v>
      </c>
      <c r="D3605" s="45" t="s">
        <v>1707</v>
      </c>
    </row>
    <row r="3606" spans="1:4" s="45" customFormat="1" ht="13.5" x14ac:dyDescent="0.15">
      <c r="A3606" s="45" t="s">
        <v>41</v>
      </c>
      <c r="D3606" s="45" t="s">
        <v>2090</v>
      </c>
    </row>
    <row r="3607" spans="1:4" s="45" customFormat="1" ht="13.5" x14ac:dyDescent="0.15">
      <c r="A3607" s="45" t="s">
        <v>41</v>
      </c>
      <c r="D3607" s="45" t="s">
        <v>6392</v>
      </c>
    </row>
    <row r="3608" spans="1:4" s="45" customFormat="1" ht="13.5" x14ac:dyDescent="0.15">
      <c r="A3608" s="45" t="s">
        <v>41</v>
      </c>
      <c r="D3608" s="45" t="s">
        <v>6393</v>
      </c>
    </row>
    <row r="3609" spans="1:4" s="45" customFormat="1" ht="13.5" x14ac:dyDescent="0.15">
      <c r="A3609" s="45" t="s">
        <v>41</v>
      </c>
      <c r="D3609" s="45" t="s">
        <v>6394</v>
      </c>
    </row>
    <row r="3610" spans="1:4" s="45" customFormat="1" ht="13.5" x14ac:dyDescent="0.15">
      <c r="A3610" s="45" t="s">
        <v>41</v>
      </c>
      <c r="D3610" s="45" t="s">
        <v>9759</v>
      </c>
    </row>
    <row r="3611" spans="1:4" s="45" customFormat="1" ht="13.5" x14ac:dyDescent="0.15">
      <c r="A3611" s="45" t="s">
        <v>41</v>
      </c>
      <c r="D3611" s="45" t="s">
        <v>6395</v>
      </c>
    </row>
    <row r="3612" spans="1:4" s="45" customFormat="1" ht="13.5" x14ac:dyDescent="0.15">
      <c r="A3612" s="45" t="s">
        <v>41</v>
      </c>
      <c r="D3612" s="45" t="s">
        <v>6396</v>
      </c>
    </row>
    <row r="3613" spans="1:4" s="45" customFormat="1" ht="13.5" x14ac:dyDescent="0.15">
      <c r="A3613" s="45" t="s">
        <v>41</v>
      </c>
      <c r="D3613" s="45" t="s">
        <v>6397</v>
      </c>
    </row>
    <row r="3614" spans="1:4" s="45" customFormat="1" ht="13.5" x14ac:dyDescent="0.15">
      <c r="A3614" s="45" t="s">
        <v>41</v>
      </c>
      <c r="D3614" s="45" t="s">
        <v>6398</v>
      </c>
    </row>
    <row r="3615" spans="1:4" s="45" customFormat="1" ht="13.5" x14ac:dyDescent="0.15">
      <c r="A3615" s="45" t="s">
        <v>41</v>
      </c>
      <c r="D3615" s="45" t="s">
        <v>6399</v>
      </c>
    </row>
    <row r="3616" spans="1:4" s="45" customFormat="1" ht="13.5" x14ac:dyDescent="0.15">
      <c r="A3616" s="45" t="s">
        <v>41</v>
      </c>
      <c r="D3616" s="45" t="s">
        <v>6400</v>
      </c>
    </row>
    <row r="3617" spans="1:4" s="45" customFormat="1" ht="13.5" x14ac:dyDescent="0.15">
      <c r="A3617" s="45" t="s">
        <v>41</v>
      </c>
      <c r="D3617" s="45" t="s">
        <v>6401</v>
      </c>
    </row>
    <row r="3618" spans="1:4" s="45" customFormat="1" ht="13.5" x14ac:dyDescent="0.15">
      <c r="A3618" s="45" t="s">
        <v>41</v>
      </c>
      <c r="D3618" s="45" t="s">
        <v>884</v>
      </c>
    </row>
    <row r="3619" spans="1:4" s="45" customFormat="1" ht="13.5" x14ac:dyDescent="0.15">
      <c r="A3619" s="45" t="s">
        <v>41</v>
      </c>
      <c r="D3619" s="45" t="s">
        <v>6402</v>
      </c>
    </row>
    <row r="3620" spans="1:4" s="45" customFormat="1" ht="13.5" x14ac:dyDescent="0.15">
      <c r="A3620" s="45" t="s">
        <v>41</v>
      </c>
      <c r="D3620" s="45" t="s">
        <v>6403</v>
      </c>
    </row>
    <row r="3621" spans="1:4" s="45" customFormat="1" ht="13.5" x14ac:dyDescent="0.15">
      <c r="A3621" s="45" t="s">
        <v>41</v>
      </c>
      <c r="D3621" s="45" t="s">
        <v>6404</v>
      </c>
    </row>
    <row r="3622" spans="1:4" s="45" customFormat="1" ht="13.5" x14ac:dyDescent="0.15">
      <c r="A3622" s="45" t="s">
        <v>41</v>
      </c>
      <c r="D3622" s="45" t="s">
        <v>6405</v>
      </c>
    </row>
    <row r="3623" spans="1:4" s="45" customFormat="1" ht="13.5" x14ac:dyDescent="0.15">
      <c r="A3623" s="45" t="s">
        <v>41</v>
      </c>
      <c r="D3623" s="45" t="s">
        <v>6406</v>
      </c>
    </row>
    <row r="3624" spans="1:4" s="45" customFormat="1" ht="13.5" x14ac:dyDescent="0.15">
      <c r="A3624" s="45" t="s">
        <v>41</v>
      </c>
      <c r="D3624" s="45" t="s">
        <v>6407</v>
      </c>
    </row>
    <row r="3625" spans="1:4" s="45" customFormat="1" ht="13.5" x14ac:dyDescent="0.15">
      <c r="A3625" s="45" t="s">
        <v>41</v>
      </c>
      <c r="D3625" s="45" t="s">
        <v>2300</v>
      </c>
    </row>
    <row r="3626" spans="1:4" s="45" customFormat="1" ht="13.5" x14ac:dyDescent="0.15">
      <c r="A3626" s="45" t="s">
        <v>41</v>
      </c>
      <c r="D3626" s="45" t="s">
        <v>8825</v>
      </c>
    </row>
    <row r="3627" spans="1:4" s="45" customFormat="1" ht="13.5" x14ac:dyDescent="0.15">
      <c r="A3627" s="45" t="s">
        <v>41</v>
      </c>
      <c r="D3627" s="45" t="s">
        <v>6408</v>
      </c>
    </row>
    <row r="3628" spans="1:4" s="45" customFormat="1" ht="13.5" x14ac:dyDescent="0.15">
      <c r="A3628" s="45" t="s">
        <v>41</v>
      </c>
      <c r="D3628" s="45" t="s">
        <v>6409</v>
      </c>
    </row>
    <row r="3629" spans="1:4" s="45" customFormat="1" ht="13.5" x14ac:dyDescent="0.15">
      <c r="A3629" s="45" t="s">
        <v>41</v>
      </c>
      <c r="D3629" s="45" t="s">
        <v>2299</v>
      </c>
    </row>
    <row r="3630" spans="1:4" s="45" customFormat="1" ht="13.5" x14ac:dyDescent="0.15">
      <c r="A3630" s="45" t="s">
        <v>41</v>
      </c>
      <c r="D3630" s="45" t="s">
        <v>6410</v>
      </c>
    </row>
    <row r="3631" spans="1:4" s="45" customFormat="1" ht="13.5" x14ac:dyDescent="0.15">
      <c r="A3631" s="45" t="s">
        <v>41</v>
      </c>
      <c r="D3631" s="45" t="s">
        <v>2303</v>
      </c>
    </row>
    <row r="3632" spans="1:4" s="45" customFormat="1" ht="13.5" x14ac:dyDescent="0.15">
      <c r="A3632" s="45" t="s">
        <v>41</v>
      </c>
      <c r="D3632" s="45" t="s">
        <v>6411</v>
      </c>
    </row>
    <row r="3633" spans="1:4" s="45" customFormat="1" ht="13.5" x14ac:dyDescent="0.15">
      <c r="A3633" s="45" t="s">
        <v>41</v>
      </c>
      <c r="D3633" s="45" t="s">
        <v>2301</v>
      </c>
    </row>
    <row r="3634" spans="1:4" s="45" customFormat="1" ht="13.5" x14ac:dyDescent="0.15">
      <c r="A3634" s="45" t="s">
        <v>41</v>
      </c>
      <c r="D3634" s="45" t="s">
        <v>2302</v>
      </c>
    </row>
    <row r="3635" spans="1:4" s="45" customFormat="1" ht="13.5" x14ac:dyDescent="0.15">
      <c r="A3635" s="45" t="s">
        <v>41</v>
      </c>
      <c r="D3635" s="45" t="s">
        <v>6412</v>
      </c>
    </row>
    <row r="3636" spans="1:4" s="45" customFormat="1" ht="13.5" x14ac:dyDescent="0.15">
      <c r="A3636" s="45" t="s">
        <v>41</v>
      </c>
      <c r="D3636" s="45" t="s">
        <v>911</v>
      </c>
    </row>
    <row r="3637" spans="1:4" s="45" customFormat="1" ht="13.5" x14ac:dyDescent="0.15">
      <c r="A3637" s="45" t="s">
        <v>41</v>
      </c>
      <c r="D3637" s="45" t="s">
        <v>6413</v>
      </c>
    </row>
    <row r="3638" spans="1:4" s="45" customFormat="1" ht="13.5" x14ac:dyDescent="0.15">
      <c r="A3638" s="45" t="s">
        <v>41</v>
      </c>
      <c r="D3638" s="45" t="s">
        <v>6414</v>
      </c>
    </row>
    <row r="3639" spans="1:4" s="45" customFormat="1" ht="13.5" x14ac:dyDescent="0.15">
      <c r="A3639" s="45" t="s">
        <v>41</v>
      </c>
      <c r="D3639" s="45" t="s">
        <v>6415</v>
      </c>
    </row>
    <row r="3640" spans="1:4" s="45" customFormat="1" ht="13.5" x14ac:dyDescent="0.15">
      <c r="A3640" s="45" t="s">
        <v>41</v>
      </c>
      <c r="D3640" s="45" t="s">
        <v>6416</v>
      </c>
    </row>
    <row r="3641" spans="1:4" s="45" customFormat="1" ht="13.5" x14ac:dyDescent="0.15">
      <c r="A3641" s="45" t="s">
        <v>41</v>
      </c>
      <c r="D3641" s="45" t="s">
        <v>6417</v>
      </c>
    </row>
    <row r="3642" spans="1:4" s="45" customFormat="1" ht="13.5" x14ac:dyDescent="0.15">
      <c r="A3642" s="45" t="s">
        <v>41</v>
      </c>
      <c r="D3642" s="45" t="s">
        <v>2314</v>
      </c>
    </row>
    <row r="3643" spans="1:4" s="45" customFormat="1" ht="13.5" x14ac:dyDescent="0.15">
      <c r="A3643" s="45" t="s">
        <v>41</v>
      </c>
      <c r="D3643" s="45" t="s">
        <v>6418</v>
      </c>
    </row>
    <row r="3644" spans="1:4" s="45" customFormat="1" ht="13.5" x14ac:dyDescent="0.15">
      <c r="A3644" s="45" t="s">
        <v>41</v>
      </c>
      <c r="D3644" s="45" t="s">
        <v>6419</v>
      </c>
    </row>
    <row r="3645" spans="1:4" s="45" customFormat="1" ht="13.5" x14ac:dyDescent="0.15">
      <c r="A3645" s="45" t="s">
        <v>41</v>
      </c>
      <c r="D3645" s="45" t="s">
        <v>6420</v>
      </c>
    </row>
    <row r="3646" spans="1:4" s="45" customFormat="1" ht="13.5" x14ac:dyDescent="0.15">
      <c r="A3646" s="45" t="s">
        <v>41</v>
      </c>
      <c r="D3646" s="45" t="s">
        <v>6421</v>
      </c>
    </row>
    <row r="3647" spans="1:4" s="45" customFormat="1" ht="13.5" x14ac:dyDescent="0.15">
      <c r="A3647" s="45" t="s">
        <v>41</v>
      </c>
      <c r="D3647" s="45" t="s">
        <v>6422</v>
      </c>
    </row>
    <row r="3648" spans="1:4" s="45" customFormat="1" ht="13.5" x14ac:dyDescent="0.15">
      <c r="A3648" s="45" t="s">
        <v>41</v>
      </c>
      <c r="D3648" s="45" t="s">
        <v>6423</v>
      </c>
    </row>
    <row r="3649" spans="1:4" s="45" customFormat="1" ht="13.5" x14ac:dyDescent="0.15">
      <c r="A3649" s="45" t="s">
        <v>41</v>
      </c>
      <c r="D3649" s="45" t="s">
        <v>6424</v>
      </c>
    </row>
    <row r="3650" spans="1:4" s="45" customFormat="1" ht="13.5" x14ac:dyDescent="0.15">
      <c r="A3650" s="45" t="s">
        <v>41</v>
      </c>
      <c r="D3650" s="45" t="s">
        <v>6425</v>
      </c>
    </row>
    <row r="3651" spans="1:4" s="45" customFormat="1" ht="13.5" x14ac:dyDescent="0.15">
      <c r="A3651" s="45" t="s">
        <v>41</v>
      </c>
      <c r="D3651" s="45" t="s">
        <v>6426</v>
      </c>
    </row>
    <row r="3652" spans="1:4" s="45" customFormat="1" ht="13.5" x14ac:dyDescent="0.15">
      <c r="A3652" s="45" t="s">
        <v>41</v>
      </c>
      <c r="D3652" s="45" t="s">
        <v>1766</v>
      </c>
    </row>
    <row r="3653" spans="1:4" s="45" customFormat="1" ht="13.5" x14ac:dyDescent="0.15">
      <c r="A3653" s="45" t="s">
        <v>41</v>
      </c>
      <c r="D3653" s="45" t="s">
        <v>6427</v>
      </c>
    </row>
    <row r="3654" spans="1:4" s="45" customFormat="1" ht="13.5" x14ac:dyDescent="0.15">
      <c r="A3654" s="45" t="s">
        <v>41</v>
      </c>
      <c r="D3654" s="45" t="s">
        <v>1979</v>
      </c>
    </row>
    <row r="3655" spans="1:4" s="45" customFormat="1" ht="13.5" x14ac:dyDescent="0.15">
      <c r="A3655" s="45" t="s">
        <v>41</v>
      </c>
      <c r="D3655" s="45" t="s">
        <v>6428</v>
      </c>
    </row>
    <row r="3656" spans="1:4" s="45" customFormat="1" ht="13.5" x14ac:dyDescent="0.15">
      <c r="A3656" s="45" t="s">
        <v>41</v>
      </c>
      <c r="D3656" s="45" t="s">
        <v>6429</v>
      </c>
    </row>
    <row r="3657" spans="1:4" s="45" customFormat="1" ht="13.5" x14ac:dyDescent="0.15">
      <c r="A3657" s="45" t="s">
        <v>41</v>
      </c>
      <c r="D3657" s="45" t="s">
        <v>6430</v>
      </c>
    </row>
    <row r="3658" spans="1:4" s="45" customFormat="1" ht="13.5" x14ac:dyDescent="0.15">
      <c r="A3658" s="45" t="s">
        <v>41</v>
      </c>
      <c r="D3658" s="45" t="s">
        <v>1847</v>
      </c>
    </row>
    <row r="3659" spans="1:4" s="45" customFormat="1" ht="13.5" x14ac:dyDescent="0.15">
      <c r="A3659" s="45" t="s">
        <v>41</v>
      </c>
      <c r="D3659" s="45" t="s">
        <v>1848</v>
      </c>
    </row>
    <row r="3660" spans="1:4" s="45" customFormat="1" ht="13.5" x14ac:dyDescent="0.15">
      <c r="A3660" s="45" t="s">
        <v>41</v>
      </c>
      <c r="D3660" s="45" t="s">
        <v>6431</v>
      </c>
    </row>
    <row r="3661" spans="1:4" s="45" customFormat="1" ht="13.5" x14ac:dyDescent="0.15">
      <c r="A3661" s="45" t="s">
        <v>41</v>
      </c>
      <c r="D3661" s="45" t="s">
        <v>6432</v>
      </c>
    </row>
    <row r="3662" spans="1:4" s="45" customFormat="1" ht="13.5" x14ac:dyDescent="0.15">
      <c r="A3662" s="45" t="s">
        <v>41</v>
      </c>
      <c r="D3662" s="45" t="s">
        <v>6433</v>
      </c>
    </row>
    <row r="3663" spans="1:4" s="45" customFormat="1" ht="13.5" x14ac:dyDescent="0.15">
      <c r="A3663" s="45" t="s">
        <v>41</v>
      </c>
      <c r="D3663" s="45" t="s">
        <v>1990</v>
      </c>
    </row>
    <row r="3664" spans="1:4" s="45" customFormat="1" ht="13.5" x14ac:dyDescent="0.15">
      <c r="A3664" s="45" t="s">
        <v>41</v>
      </c>
      <c r="D3664" s="45" t="s">
        <v>6434</v>
      </c>
    </row>
    <row r="3665" spans="1:4" s="45" customFormat="1" ht="13.5" x14ac:dyDescent="0.15">
      <c r="A3665" s="45" t="s">
        <v>41</v>
      </c>
      <c r="D3665" s="45" t="s">
        <v>6435</v>
      </c>
    </row>
    <row r="3666" spans="1:4" s="45" customFormat="1" ht="13.5" x14ac:dyDescent="0.15">
      <c r="A3666" s="45" t="s">
        <v>41</v>
      </c>
      <c r="D3666" s="45" t="s">
        <v>6436</v>
      </c>
    </row>
    <row r="3667" spans="1:4" s="45" customFormat="1" ht="13.5" x14ac:dyDescent="0.15">
      <c r="A3667" s="45" t="s">
        <v>41</v>
      </c>
      <c r="D3667" s="45" t="s">
        <v>6437</v>
      </c>
    </row>
    <row r="3668" spans="1:4" s="45" customFormat="1" ht="13.5" x14ac:dyDescent="0.15">
      <c r="A3668" s="45" t="s">
        <v>41</v>
      </c>
      <c r="D3668" s="45" t="s">
        <v>1825</v>
      </c>
    </row>
    <row r="3669" spans="1:4" s="45" customFormat="1" ht="13.5" x14ac:dyDescent="0.15">
      <c r="A3669" s="45" t="s">
        <v>41</v>
      </c>
      <c r="D3669" s="45" t="s">
        <v>1826</v>
      </c>
    </row>
    <row r="3670" spans="1:4" s="45" customFormat="1" ht="13.5" x14ac:dyDescent="0.15">
      <c r="A3670" s="45" t="s">
        <v>41</v>
      </c>
      <c r="D3670" s="45" t="s">
        <v>1805</v>
      </c>
    </row>
    <row r="3671" spans="1:4" s="45" customFormat="1" ht="13.5" x14ac:dyDescent="0.15">
      <c r="A3671" s="45" t="s">
        <v>41</v>
      </c>
      <c r="D3671" s="45" t="s">
        <v>6438</v>
      </c>
    </row>
    <row r="3672" spans="1:4" s="45" customFormat="1" ht="13.5" x14ac:dyDescent="0.15">
      <c r="A3672" s="45" t="s">
        <v>41</v>
      </c>
      <c r="D3672" s="45" t="s">
        <v>6439</v>
      </c>
    </row>
    <row r="3673" spans="1:4" s="45" customFormat="1" ht="13.5" x14ac:dyDescent="0.15">
      <c r="A3673" s="45" t="s">
        <v>41</v>
      </c>
      <c r="D3673" s="45" t="s">
        <v>1804</v>
      </c>
    </row>
    <row r="3674" spans="1:4" s="45" customFormat="1" ht="13.5" x14ac:dyDescent="0.15">
      <c r="A3674" s="45" t="s">
        <v>41</v>
      </c>
      <c r="D3674" s="45" t="s">
        <v>6440</v>
      </c>
    </row>
    <row r="3675" spans="1:4" s="45" customFormat="1" ht="13.5" x14ac:dyDescent="0.15">
      <c r="A3675" s="45" t="s">
        <v>41</v>
      </c>
      <c r="D3675" s="45" t="s">
        <v>6441</v>
      </c>
    </row>
    <row r="3676" spans="1:4" s="45" customFormat="1" ht="13.5" x14ac:dyDescent="0.15">
      <c r="A3676" s="45" t="s">
        <v>41</v>
      </c>
      <c r="D3676" s="45" t="s">
        <v>2117</v>
      </c>
    </row>
    <row r="3677" spans="1:4" s="45" customFormat="1" ht="13.5" x14ac:dyDescent="0.15">
      <c r="A3677" s="45" t="s">
        <v>41</v>
      </c>
      <c r="D3677" s="45" t="s">
        <v>6442</v>
      </c>
    </row>
    <row r="3678" spans="1:4" s="45" customFormat="1" ht="13.5" x14ac:dyDescent="0.15">
      <c r="A3678" s="45" t="s">
        <v>41</v>
      </c>
      <c r="D3678" s="45" t="s">
        <v>6443</v>
      </c>
    </row>
    <row r="3679" spans="1:4" s="45" customFormat="1" ht="13.5" x14ac:dyDescent="0.15">
      <c r="A3679" s="45" t="s">
        <v>41</v>
      </c>
      <c r="D3679" s="45" t="s">
        <v>6444</v>
      </c>
    </row>
    <row r="3680" spans="1:4" s="45" customFormat="1" ht="13.5" x14ac:dyDescent="0.15">
      <c r="A3680" s="45" t="s">
        <v>41</v>
      </c>
      <c r="D3680" s="45" t="s">
        <v>6445</v>
      </c>
    </row>
    <row r="3681" spans="1:4" s="45" customFormat="1" ht="13.5" x14ac:dyDescent="0.15">
      <c r="A3681" s="45" t="s">
        <v>41</v>
      </c>
      <c r="D3681" s="45" t="s">
        <v>1184</v>
      </c>
    </row>
    <row r="3682" spans="1:4" s="45" customFormat="1" ht="13.5" x14ac:dyDescent="0.15">
      <c r="A3682" s="45" t="s">
        <v>41</v>
      </c>
      <c r="D3682" s="45" t="s">
        <v>2423</v>
      </c>
    </row>
    <row r="3683" spans="1:4" s="45" customFormat="1" ht="13.5" x14ac:dyDescent="0.15">
      <c r="A3683" s="45" t="s">
        <v>41</v>
      </c>
      <c r="D3683" s="45" t="s">
        <v>2424</v>
      </c>
    </row>
    <row r="3684" spans="1:4" s="45" customFormat="1" ht="13.5" x14ac:dyDescent="0.15">
      <c r="A3684" s="45" t="s">
        <v>41</v>
      </c>
      <c r="D3684" s="45" t="s">
        <v>6446</v>
      </c>
    </row>
    <row r="3685" spans="1:4" s="45" customFormat="1" ht="13.5" x14ac:dyDescent="0.15">
      <c r="A3685" s="45" t="s">
        <v>41</v>
      </c>
      <c r="D3685" s="45" t="s">
        <v>2425</v>
      </c>
    </row>
    <row r="3686" spans="1:4" s="45" customFormat="1" ht="13.5" x14ac:dyDescent="0.15">
      <c r="A3686" s="45" t="s">
        <v>41</v>
      </c>
      <c r="D3686" s="45" t="s">
        <v>1842</v>
      </c>
    </row>
    <row r="3687" spans="1:4" s="45" customFormat="1" ht="13.5" x14ac:dyDescent="0.15">
      <c r="A3687" s="45" t="s">
        <v>41</v>
      </c>
      <c r="D3687" s="45" t="s">
        <v>2568</v>
      </c>
    </row>
    <row r="3688" spans="1:4" s="45" customFormat="1" ht="13.5" x14ac:dyDescent="0.15">
      <c r="A3688" s="45" t="s">
        <v>41</v>
      </c>
      <c r="D3688" s="45" t="s">
        <v>2569</v>
      </c>
    </row>
    <row r="3689" spans="1:4" s="45" customFormat="1" ht="13.5" x14ac:dyDescent="0.15">
      <c r="A3689" s="45" t="s">
        <v>41</v>
      </c>
      <c r="D3689" s="45" t="s">
        <v>6447</v>
      </c>
    </row>
    <row r="3690" spans="1:4" s="45" customFormat="1" ht="13.5" x14ac:dyDescent="0.15">
      <c r="A3690" s="45" t="s">
        <v>41</v>
      </c>
      <c r="D3690" s="45" t="s">
        <v>6448</v>
      </c>
    </row>
    <row r="3691" spans="1:4" s="45" customFormat="1" ht="13.5" x14ac:dyDescent="0.15">
      <c r="A3691" s="45" t="s">
        <v>41</v>
      </c>
      <c r="D3691" s="45" t="s">
        <v>6449</v>
      </c>
    </row>
    <row r="3692" spans="1:4" s="45" customFormat="1" ht="13.5" x14ac:dyDescent="0.15">
      <c r="A3692" s="45" t="s">
        <v>41</v>
      </c>
      <c r="D3692" s="45" t="s">
        <v>6450</v>
      </c>
    </row>
    <row r="3693" spans="1:4" s="45" customFormat="1" ht="13.5" x14ac:dyDescent="0.15">
      <c r="A3693" s="45" t="s">
        <v>41</v>
      </c>
      <c r="D3693" s="45" t="s">
        <v>6451</v>
      </c>
    </row>
    <row r="3694" spans="1:4" s="45" customFormat="1" ht="13.5" x14ac:dyDescent="0.15">
      <c r="A3694" s="45" t="s">
        <v>41</v>
      </c>
      <c r="D3694" s="45" t="s">
        <v>6452</v>
      </c>
    </row>
    <row r="3695" spans="1:4" s="45" customFormat="1" ht="13.5" x14ac:dyDescent="0.15">
      <c r="A3695" s="45" t="s">
        <v>41</v>
      </c>
      <c r="D3695" s="45" t="s">
        <v>6453</v>
      </c>
    </row>
    <row r="3696" spans="1:4" s="45" customFormat="1" ht="13.5" x14ac:dyDescent="0.15">
      <c r="A3696" s="45" t="s">
        <v>41</v>
      </c>
      <c r="D3696" s="45" t="s">
        <v>6454</v>
      </c>
    </row>
    <row r="3697" spans="1:4" s="45" customFormat="1" ht="13.5" x14ac:dyDescent="0.15">
      <c r="A3697" s="45" t="s">
        <v>41</v>
      </c>
      <c r="D3697" s="45" t="s">
        <v>6455</v>
      </c>
    </row>
    <row r="3698" spans="1:4" s="45" customFormat="1" ht="13.5" x14ac:dyDescent="0.15">
      <c r="A3698" s="45" t="s">
        <v>41</v>
      </c>
      <c r="D3698" s="45" t="s">
        <v>6456</v>
      </c>
    </row>
    <row r="3699" spans="1:4" s="45" customFormat="1" ht="13.5" x14ac:dyDescent="0.15">
      <c r="A3699" s="45" t="s">
        <v>41</v>
      </c>
      <c r="D3699" s="45" t="s">
        <v>6457</v>
      </c>
    </row>
    <row r="3700" spans="1:4" s="45" customFormat="1" ht="13.5" x14ac:dyDescent="0.15">
      <c r="A3700" s="45" t="s">
        <v>41</v>
      </c>
      <c r="D3700" s="45" t="s">
        <v>6458</v>
      </c>
    </row>
    <row r="3701" spans="1:4" s="45" customFormat="1" ht="13.5" x14ac:dyDescent="0.15">
      <c r="A3701" s="45" t="s">
        <v>41</v>
      </c>
      <c r="D3701" s="45" t="s">
        <v>6459</v>
      </c>
    </row>
    <row r="3702" spans="1:4" s="45" customFormat="1" ht="13.5" x14ac:dyDescent="0.15">
      <c r="A3702" s="45" t="s">
        <v>41</v>
      </c>
      <c r="D3702" s="45" t="s">
        <v>1962</v>
      </c>
    </row>
    <row r="3703" spans="1:4" s="45" customFormat="1" ht="13.5" x14ac:dyDescent="0.15">
      <c r="A3703" s="45" t="s">
        <v>41</v>
      </c>
      <c r="D3703" s="45" t="s">
        <v>1993</v>
      </c>
    </row>
    <row r="3704" spans="1:4" s="45" customFormat="1" ht="13.5" x14ac:dyDescent="0.15">
      <c r="A3704" s="45" t="s">
        <v>41</v>
      </c>
      <c r="D3704" s="45" t="s">
        <v>6460</v>
      </c>
    </row>
    <row r="3705" spans="1:4" s="45" customFormat="1" ht="13.5" x14ac:dyDescent="0.15">
      <c r="A3705" s="45" t="s">
        <v>41</v>
      </c>
      <c r="D3705" s="45" t="s">
        <v>6461</v>
      </c>
    </row>
    <row r="3706" spans="1:4" s="45" customFormat="1" ht="13.5" x14ac:dyDescent="0.15">
      <c r="A3706" s="45" t="s">
        <v>41</v>
      </c>
      <c r="D3706" s="45" t="s">
        <v>6462</v>
      </c>
    </row>
    <row r="3707" spans="1:4" s="45" customFormat="1" ht="13.5" x14ac:dyDescent="0.15">
      <c r="A3707" s="45" t="s">
        <v>41</v>
      </c>
      <c r="D3707" s="45" t="s">
        <v>6463</v>
      </c>
    </row>
    <row r="3708" spans="1:4" s="45" customFormat="1" ht="13.5" x14ac:dyDescent="0.15">
      <c r="A3708" s="45" t="s">
        <v>41</v>
      </c>
      <c r="D3708" s="45" t="s">
        <v>2622</v>
      </c>
    </row>
    <row r="3709" spans="1:4" s="45" customFormat="1" ht="13.5" x14ac:dyDescent="0.15">
      <c r="A3709" s="45" t="s">
        <v>41</v>
      </c>
      <c r="D3709" s="45" t="s">
        <v>907</v>
      </c>
    </row>
    <row r="3710" spans="1:4" s="45" customFormat="1" ht="13.5" x14ac:dyDescent="0.15">
      <c r="A3710" s="45" t="s">
        <v>41</v>
      </c>
      <c r="D3710" s="45" t="s">
        <v>6464</v>
      </c>
    </row>
    <row r="3711" spans="1:4" s="45" customFormat="1" ht="13.5" x14ac:dyDescent="0.15">
      <c r="A3711" s="45" t="s">
        <v>41</v>
      </c>
      <c r="D3711" s="45" t="s">
        <v>6465</v>
      </c>
    </row>
    <row r="3712" spans="1:4" s="45" customFormat="1" ht="13.5" x14ac:dyDescent="0.15">
      <c r="A3712" s="45" t="s">
        <v>41</v>
      </c>
      <c r="D3712" s="45" t="s">
        <v>6466</v>
      </c>
    </row>
    <row r="3713" spans="1:4" s="45" customFormat="1" ht="13.5" x14ac:dyDescent="0.15">
      <c r="A3713" s="45" t="s">
        <v>41</v>
      </c>
      <c r="D3713" s="45" t="s">
        <v>6467</v>
      </c>
    </row>
    <row r="3714" spans="1:4" s="45" customFormat="1" ht="13.5" x14ac:dyDescent="0.15">
      <c r="A3714" s="45" t="s">
        <v>41</v>
      </c>
      <c r="D3714" s="45" t="s">
        <v>6468</v>
      </c>
    </row>
    <row r="3715" spans="1:4" s="45" customFormat="1" ht="13.5" x14ac:dyDescent="0.15">
      <c r="A3715" s="45" t="s">
        <v>41</v>
      </c>
      <c r="D3715" s="45" t="s">
        <v>6469</v>
      </c>
    </row>
    <row r="3716" spans="1:4" s="45" customFormat="1" ht="13.5" x14ac:dyDescent="0.15">
      <c r="A3716" s="45" t="s">
        <v>41</v>
      </c>
      <c r="D3716" s="45" t="s">
        <v>6470</v>
      </c>
    </row>
    <row r="3717" spans="1:4" s="45" customFormat="1" ht="13.5" x14ac:dyDescent="0.15">
      <c r="A3717" s="45" t="s">
        <v>41</v>
      </c>
      <c r="D3717" s="45" t="s">
        <v>6471</v>
      </c>
    </row>
    <row r="3718" spans="1:4" s="45" customFormat="1" ht="13.5" x14ac:dyDescent="0.15">
      <c r="A3718" s="45" t="s">
        <v>41</v>
      </c>
      <c r="D3718" s="45" t="s">
        <v>6472</v>
      </c>
    </row>
    <row r="3719" spans="1:4" s="45" customFormat="1" ht="13.5" x14ac:dyDescent="0.15">
      <c r="A3719" s="45" t="s">
        <v>41</v>
      </c>
      <c r="D3719" s="45" t="s">
        <v>6473</v>
      </c>
    </row>
    <row r="3720" spans="1:4" s="45" customFormat="1" ht="13.5" x14ac:dyDescent="0.15">
      <c r="A3720" s="45" t="s">
        <v>41</v>
      </c>
      <c r="D3720" s="45" t="s">
        <v>908</v>
      </c>
    </row>
    <row r="3721" spans="1:4" s="45" customFormat="1" ht="13.5" x14ac:dyDescent="0.15">
      <c r="A3721" s="45" t="s">
        <v>41</v>
      </c>
      <c r="D3721" s="45" t="s">
        <v>6474</v>
      </c>
    </row>
    <row r="3722" spans="1:4" s="45" customFormat="1" ht="13.5" x14ac:dyDescent="0.15">
      <c r="A3722" s="45" t="s">
        <v>41</v>
      </c>
      <c r="D3722" s="45" t="s">
        <v>6475</v>
      </c>
    </row>
    <row r="3723" spans="1:4" s="45" customFormat="1" ht="13.5" x14ac:dyDescent="0.15">
      <c r="A3723" s="45" t="s">
        <v>41</v>
      </c>
      <c r="D3723" s="45" t="s">
        <v>6476</v>
      </c>
    </row>
    <row r="3724" spans="1:4" s="45" customFormat="1" ht="13.5" x14ac:dyDescent="0.15">
      <c r="A3724" s="45" t="s">
        <v>41</v>
      </c>
      <c r="D3724" s="45" t="s">
        <v>2308</v>
      </c>
    </row>
    <row r="3725" spans="1:4" s="45" customFormat="1" ht="13.5" x14ac:dyDescent="0.15">
      <c r="A3725" s="45" t="s">
        <v>41</v>
      </c>
      <c r="D3725" s="45" t="s">
        <v>2309</v>
      </c>
    </row>
    <row r="3726" spans="1:4" s="45" customFormat="1" ht="13.5" x14ac:dyDescent="0.15">
      <c r="A3726" s="45" t="s">
        <v>41</v>
      </c>
      <c r="D3726" s="45" t="s">
        <v>898</v>
      </c>
    </row>
    <row r="3727" spans="1:4" s="45" customFormat="1" ht="13.5" x14ac:dyDescent="0.15">
      <c r="A3727" s="45" t="s">
        <v>41</v>
      </c>
      <c r="D3727" s="45" t="s">
        <v>6477</v>
      </c>
    </row>
    <row r="3728" spans="1:4" s="45" customFormat="1" ht="13.5" x14ac:dyDescent="0.15">
      <c r="A3728" s="45" t="s">
        <v>41</v>
      </c>
      <c r="D3728" s="45" t="s">
        <v>6478</v>
      </c>
    </row>
    <row r="3729" spans="1:4" s="45" customFormat="1" ht="13.5" x14ac:dyDescent="0.15">
      <c r="A3729" s="45" t="s">
        <v>41</v>
      </c>
      <c r="D3729" s="45" t="s">
        <v>6479</v>
      </c>
    </row>
    <row r="3730" spans="1:4" s="45" customFormat="1" ht="13.5" x14ac:dyDescent="0.15">
      <c r="A3730" s="45" t="s">
        <v>41</v>
      </c>
      <c r="D3730" s="45" t="s">
        <v>6480</v>
      </c>
    </row>
    <row r="3731" spans="1:4" s="45" customFormat="1" ht="13.5" x14ac:dyDescent="0.15">
      <c r="A3731" s="45" t="s">
        <v>41</v>
      </c>
      <c r="D3731" s="45" t="s">
        <v>6481</v>
      </c>
    </row>
    <row r="3732" spans="1:4" s="45" customFormat="1" ht="13.5" x14ac:dyDescent="0.15">
      <c r="A3732" s="45" t="s">
        <v>41</v>
      </c>
      <c r="D3732" s="45" t="s">
        <v>6482</v>
      </c>
    </row>
    <row r="3733" spans="1:4" s="45" customFormat="1" ht="13.5" x14ac:dyDescent="0.15">
      <c r="A3733" s="45" t="s">
        <v>41</v>
      </c>
      <c r="D3733" s="45" t="s">
        <v>6483</v>
      </c>
    </row>
    <row r="3734" spans="1:4" s="45" customFormat="1" ht="13.5" x14ac:dyDescent="0.15">
      <c r="A3734" s="45" t="s">
        <v>41</v>
      </c>
      <c r="D3734" s="45" t="s">
        <v>6484</v>
      </c>
    </row>
    <row r="3735" spans="1:4" s="45" customFormat="1" ht="13.5" x14ac:dyDescent="0.15">
      <c r="A3735" s="45" t="s">
        <v>41</v>
      </c>
      <c r="D3735" s="45" t="s">
        <v>1821</v>
      </c>
    </row>
    <row r="3736" spans="1:4" s="45" customFormat="1" ht="13.5" x14ac:dyDescent="0.15">
      <c r="A3736" s="45" t="s">
        <v>41</v>
      </c>
      <c r="D3736" s="45" t="s">
        <v>6485</v>
      </c>
    </row>
    <row r="3737" spans="1:4" s="45" customFormat="1" ht="13.5" x14ac:dyDescent="0.15">
      <c r="A3737" s="45" t="s">
        <v>41</v>
      </c>
      <c r="D3737" s="45" t="s">
        <v>2114</v>
      </c>
    </row>
    <row r="3738" spans="1:4" s="45" customFormat="1" ht="13.5" x14ac:dyDescent="0.15">
      <c r="A3738" s="45" t="s">
        <v>41</v>
      </c>
      <c r="D3738" s="45" t="s">
        <v>6486</v>
      </c>
    </row>
    <row r="3739" spans="1:4" s="45" customFormat="1" ht="13.5" x14ac:dyDescent="0.15">
      <c r="A3739" s="45" t="s">
        <v>41</v>
      </c>
      <c r="D3739" s="45" t="s">
        <v>6487</v>
      </c>
    </row>
    <row r="3740" spans="1:4" s="45" customFormat="1" ht="13.5" x14ac:dyDescent="0.15">
      <c r="A3740" s="45" t="s">
        <v>41</v>
      </c>
      <c r="D3740" s="45" t="s">
        <v>6488</v>
      </c>
    </row>
    <row r="3741" spans="1:4" s="45" customFormat="1" ht="13.5" x14ac:dyDescent="0.15">
      <c r="A3741" s="45" t="s">
        <v>41</v>
      </c>
      <c r="D3741" s="45" t="s">
        <v>382</v>
      </c>
    </row>
    <row r="3742" spans="1:4" s="45" customFormat="1" ht="13.5" x14ac:dyDescent="0.15">
      <c r="A3742" s="45" t="s">
        <v>41</v>
      </c>
      <c r="D3742" s="45" t="s">
        <v>6489</v>
      </c>
    </row>
    <row r="3743" spans="1:4" s="45" customFormat="1" ht="13.5" x14ac:dyDescent="0.15">
      <c r="A3743" s="45" t="s">
        <v>41</v>
      </c>
      <c r="D3743" s="45" t="s">
        <v>383</v>
      </c>
    </row>
    <row r="3744" spans="1:4" s="45" customFormat="1" ht="13.5" x14ac:dyDescent="0.15">
      <c r="A3744" s="45" t="s">
        <v>41</v>
      </c>
      <c r="D3744" s="45" t="s">
        <v>6490</v>
      </c>
    </row>
    <row r="3745" spans="1:4" s="45" customFormat="1" ht="13.5" x14ac:dyDescent="0.15">
      <c r="A3745" s="45" t="s">
        <v>41</v>
      </c>
      <c r="D3745" s="45" t="s">
        <v>6491</v>
      </c>
    </row>
    <row r="3746" spans="1:4" s="45" customFormat="1" ht="13.5" x14ac:dyDescent="0.15">
      <c r="A3746" s="45" t="s">
        <v>41</v>
      </c>
      <c r="D3746" s="45" t="s">
        <v>6492</v>
      </c>
    </row>
    <row r="3747" spans="1:4" s="45" customFormat="1" ht="13.5" x14ac:dyDescent="0.15">
      <c r="A3747" s="45" t="s">
        <v>41</v>
      </c>
      <c r="D3747" s="45" t="s">
        <v>6493</v>
      </c>
    </row>
    <row r="3748" spans="1:4" s="45" customFormat="1" ht="13.5" x14ac:dyDescent="0.15">
      <c r="A3748" s="45" t="s">
        <v>41</v>
      </c>
      <c r="D3748" s="45" t="s">
        <v>6494</v>
      </c>
    </row>
    <row r="3749" spans="1:4" s="45" customFormat="1" ht="13.5" x14ac:dyDescent="0.15">
      <c r="A3749" s="45" t="s">
        <v>41</v>
      </c>
      <c r="D3749" s="45" t="s">
        <v>6495</v>
      </c>
    </row>
    <row r="3750" spans="1:4" s="45" customFormat="1" ht="13.5" x14ac:dyDescent="0.15">
      <c r="A3750" s="45" t="s">
        <v>41</v>
      </c>
      <c r="D3750" s="45" t="s">
        <v>6496</v>
      </c>
    </row>
    <row r="3751" spans="1:4" s="45" customFormat="1" ht="13.5" x14ac:dyDescent="0.15">
      <c r="A3751" s="45" t="s">
        <v>41</v>
      </c>
      <c r="D3751" s="45" t="s">
        <v>6497</v>
      </c>
    </row>
    <row r="3752" spans="1:4" s="45" customFormat="1" ht="13.5" x14ac:dyDescent="0.15">
      <c r="A3752" s="45" t="s">
        <v>41</v>
      </c>
      <c r="D3752" s="45" t="s">
        <v>6498</v>
      </c>
    </row>
    <row r="3753" spans="1:4" s="45" customFormat="1" ht="13.5" x14ac:dyDescent="0.15">
      <c r="A3753" s="45" t="s">
        <v>41</v>
      </c>
      <c r="D3753" s="45" t="s">
        <v>6499</v>
      </c>
    </row>
    <row r="3754" spans="1:4" s="45" customFormat="1" ht="13.5" x14ac:dyDescent="0.15">
      <c r="A3754" s="45" t="s">
        <v>41</v>
      </c>
      <c r="D3754" s="45" t="s">
        <v>384</v>
      </c>
    </row>
    <row r="3755" spans="1:4" s="45" customFormat="1" ht="13.5" x14ac:dyDescent="0.15">
      <c r="A3755" s="45" t="s">
        <v>41</v>
      </c>
      <c r="D3755" s="45" t="s">
        <v>6500</v>
      </c>
    </row>
    <row r="3756" spans="1:4" s="45" customFormat="1" ht="13.5" x14ac:dyDescent="0.15">
      <c r="A3756" s="45" t="s">
        <v>41</v>
      </c>
      <c r="D3756" s="45" t="s">
        <v>6501</v>
      </c>
    </row>
    <row r="3757" spans="1:4" s="45" customFormat="1" ht="13.5" x14ac:dyDescent="0.15">
      <c r="A3757" s="45" t="s">
        <v>41</v>
      </c>
      <c r="D3757" s="45" t="s">
        <v>6502</v>
      </c>
    </row>
    <row r="3758" spans="1:4" s="45" customFormat="1" ht="13.5" x14ac:dyDescent="0.15">
      <c r="A3758" s="45" t="s">
        <v>41</v>
      </c>
      <c r="D3758" s="45" t="s">
        <v>6503</v>
      </c>
    </row>
    <row r="3759" spans="1:4" s="45" customFormat="1" ht="13.5" x14ac:dyDescent="0.15">
      <c r="A3759" s="45" t="s">
        <v>41</v>
      </c>
      <c r="D3759" s="45" t="s">
        <v>6504</v>
      </c>
    </row>
    <row r="3760" spans="1:4" s="45" customFormat="1" ht="13.5" x14ac:dyDescent="0.15">
      <c r="A3760" s="45" t="s">
        <v>41</v>
      </c>
      <c r="D3760" s="45" t="s">
        <v>6505</v>
      </c>
    </row>
    <row r="3761" spans="1:4" s="45" customFormat="1" ht="13.5" x14ac:dyDescent="0.15">
      <c r="A3761" s="45" t="s">
        <v>41</v>
      </c>
      <c r="D3761" s="45" t="s">
        <v>6506</v>
      </c>
    </row>
    <row r="3762" spans="1:4" s="45" customFormat="1" ht="13.5" x14ac:dyDescent="0.15">
      <c r="A3762" s="45" t="s">
        <v>41</v>
      </c>
      <c r="D3762" s="45" t="s">
        <v>2208</v>
      </c>
    </row>
    <row r="3763" spans="1:4" s="45" customFormat="1" ht="13.5" x14ac:dyDescent="0.15">
      <c r="A3763" s="45" t="s">
        <v>41</v>
      </c>
      <c r="D3763" s="45" t="s">
        <v>6507</v>
      </c>
    </row>
    <row r="3764" spans="1:4" s="45" customFormat="1" ht="13.5" x14ac:dyDescent="0.15">
      <c r="A3764" s="45" t="s">
        <v>41</v>
      </c>
      <c r="D3764" s="45" t="s">
        <v>6508</v>
      </c>
    </row>
    <row r="3765" spans="1:4" s="45" customFormat="1" ht="13.5" x14ac:dyDescent="0.15">
      <c r="A3765" s="45" t="s">
        <v>41</v>
      </c>
      <c r="D3765" s="45" t="s">
        <v>6509</v>
      </c>
    </row>
    <row r="3766" spans="1:4" s="45" customFormat="1" ht="13.5" x14ac:dyDescent="0.15">
      <c r="A3766" s="45" t="s">
        <v>41</v>
      </c>
      <c r="D3766" s="45" t="s">
        <v>481</v>
      </c>
    </row>
    <row r="3767" spans="1:4" s="45" customFormat="1" ht="13.5" x14ac:dyDescent="0.15">
      <c r="A3767" s="45" t="s">
        <v>41</v>
      </c>
      <c r="D3767" s="45" t="s">
        <v>6510</v>
      </c>
    </row>
    <row r="3768" spans="1:4" s="45" customFormat="1" ht="13.5" x14ac:dyDescent="0.15">
      <c r="A3768" s="45" t="s">
        <v>41</v>
      </c>
      <c r="D3768" s="45" t="s">
        <v>6511</v>
      </c>
    </row>
    <row r="3769" spans="1:4" s="45" customFormat="1" ht="13.5" x14ac:dyDescent="0.15">
      <c r="A3769" s="45" t="s">
        <v>41</v>
      </c>
      <c r="D3769" s="45" t="s">
        <v>6512</v>
      </c>
    </row>
    <row r="3770" spans="1:4" s="45" customFormat="1" ht="13.5" x14ac:dyDescent="0.15">
      <c r="A3770" s="45" t="s">
        <v>41</v>
      </c>
      <c r="D3770" s="45" t="s">
        <v>6513</v>
      </c>
    </row>
    <row r="3771" spans="1:4" s="45" customFormat="1" ht="13.5" x14ac:dyDescent="0.15">
      <c r="A3771" s="45" t="s">
        <v>41</v>
      </c>
      <c r="D3771" s="45" t="s">
        <v>6514</v>
      </c>
    </row>
    <row r="3772" spans="1:4" s="45" customFormat="1" ht="13.5" x14ac:dyDescent="0.15">
      <c r="A3772" s="45" t="s">
        <v>41</v>
      </c>
      <c r="D3772" s="45" t="s">
        <v>6515</v>
      </c>
    </row>
    <row r="3773" spans="1:4" s="45" customFormat="1" ht="13.5" x14ac:dyDescent="0.15">
      <c r="A3773" s="45" t="s">
        <v>41</v>
      </c>
      <c r="D3773" s="45" t="s">
        <v>2335</v>
      </c>
    </row>
    <row r="3774" spans="1:4" s="45" customFormat="1" ht="13.5" x14ac:dyDescent="0.15">
      <c r="A3774" s="45" t="s">
        <v>41</v>
      </c>
      <c r="D3774" s="45" t="s">
        <v>6516</v>
      </c>
    </row>
    <row r="3775" spans="1:4" s="45" customFormat="1" ht="13.5" x14ac:dyDescent="0.15">
      <c r="A3775" s="45" t="s">
        <v>41</v>
      </c>
      <c r="D3775" s="45" t="s">
        <v>2334</v>
      </c>
    </row>
    <row r="3776" spans="1:4" s="45" customFormat="1" ht="13.5" x14ac:dyDescent="0.15">
      <c r="A3776" s="45" t="s">
        <v>41</v>
      </c>
      <c r="D3776" s="45" t="s">
        <v>389</v>
      </c>
    </row>
    <row r="3777" spans="1:4" s="45" customFormat="1" ht="13.5" x14ac:dyDescent="0.15">
      <c r="A3777" s="45" t="s">
        <v>41</v>
      </c>
      <c r="D3777" s="45" t="s">
        <v>390</v>
      </c>
    </row>
    <row r="3778" spans="1:4" s="45" customFormat="1" ht="13.5" x14ac:dyDescent="0.15">
      <c r="A3778" s="45" t="s">
        <v>41</v>
      </c>
      <c r="D3778" s="45" t="s">
        <v>391</v>
      </c>
    </row>
    <row r="3779" spans="1:4" s="45" customFormat="1" ht="13.5" x14ac:dyDescent="0.15">
      <c r="A3779" s="45" t="s">
        <v>41</v>
      </c>
      <c r="D3779" s="45" t="s">
        <v>392</v>
      </c>
    </row>
    <row r="3780" spans="1:4" s="45" customFormat="1" ht="13.5" x14ac:dyDescent="0.15">
      <c r="A3780" s="45" t="s">
        <v>41</v>
      </c>
      <c r="D3780" s="45" t="s">
        <v>1749</v>
      </c>
    </row>
    <row r="3781" spans="1:4" s="45" customFormat="1" ht="13.5" x14ac:dyDescent="0.15">
      <c r="A3781" s="45" t="s">
        <v>41</v>
      </c>
      <c r="D3781" s="45" t="s">
        <v>9760</v>
      </c>
    </row>
    <row r="3782" spans="1:4" s="45" customFormat="1" ht="13.5" x14ac:dyDescent="0.15">
      <c r="A3782" s="45" t="s">
        <v>41</v>
      </c>
      <c r="D3782" s="45" t="s">
        <v>9761</v>
      </c>
    </row>
    <row r="3783" spans="1:4" s="45" customFormat="1" ht="13.5" x14ac:dyDescent="0.15">
      <c r="A3783" s="45" t="s">
        <v>41</v>
      </c>
      <c r="D3783" s="45" t="s">
        <v>1737</v>
      </c>
    </row>
    <row r="3784" spans="1:4" s="45" customFormat="1" ht="13.5" x14ac:dyDescent="0.15">
      <c r="A3784" s="45" t="s">
        <v>41</v>
      </c>
      <c r="D3784" s="45" t="s">
        <v>1738</v>
      </c>
    </row>
    <row r="3785" spans="1:4" s="45" customFormat="1" ht="13.5" x14ac:dyDescent="0.15">
      <c r="A3785" s="45" t="s">
        <v>41</v>
      </c>
      <c r="D3785" s="45" t="s">
        <v>6517</v>
      </c>
    </row>
    <row r="3786" spans="1:4" s="45" customFormat="1" ht="13.5" x14ac:dyDescent="0.15">
      <c r="A3786" s="45" t="s">
        <v>41</v>
      </c>
      <c r="D3786" s="45" t="s">
        <v>6518</v>
      </c>
    </row>
    <row r="3787" spans="1:4" s="45" customFormat="1" ht="13.5" x14ac:dyDescent="0.15">
      <c r="A3787" s="45" t="s">
        <v>41</v>
      </c>
      <c r="D3787" s="45" t="s">
        <v>6519</v>
      </c>
    </row>
    <row r="3788" spans="1:4" s="45" customFormat="1" ht="13.5" x14ac:dyDescent="0.15">
      <c r="A3788" s="45" t="s">
        <v>41</v>
      </c>
      <c r="D3788" s="45" t="s">
        <v>876</v>
      </c>
    </row>
    <row r="3789" spans="1:4" s="45" customFormat="1" ht="13.5" x14ac:dyDescent="0.15">
      <c r="A3789" s="45" t="s">
        <v>41</v>
      </c>
      <c r="D3789" s="45" t="s">
        <v>6520</v>
      </c>
    </row>
    <row r="3790" spans="1:4" s="45" customFormat="1" ht="13.5" x14ac:dyDescent="0.15">
      <c r="A3790" s="45" t="s">
        <v>41</v>
      </c>
      <c r="D3790" s="45" t="s">
        <v>6521</v>
      </c>
    </row>
    <row r="3791" spans="1:4" s="45" customFormat="1" ht="13.5" x14ac:dyDescent="0.15">
      <c r="A3791" s="45" t="s">
        <v>41</v>
      </c>
      <c r="D3791" s="45" t="s">
        <v>2426</v>
      </c>
    </row>
    <row r="3792" spans="1:4" s="45" customFormat="1" ht="13.5" x14ac:dyDescent="0.15">
      <c r="A3792" s="45" t="s">
        <v>41</v>
      </c>
      <c r="D3792" s="45" t="s">
        <v>6522</v>
      </c>
    </row>
    <row r="3793" spans="1:4" s="45" customFormat="1" ht="13.5" x14ac:dyDescent="0.15">
      <c r="A3793" s="45" t="s">
        <v>41</v>
      </c>
      <c r="D3793" s="45" t="s">
        <v>6523</v>
      </c>
    </row>
    <row r="3794" spans="1:4" s="45" customFormat="1" ht="13.5" x14ac:dyDescent="0.15">
      <c r="A3794" s="45" t="s">
        <v>41</v>
      </c>
      <c r="D3794" s="45" t="s">
        <v>6524</v>
      </c>
    </row>
    <row r="3795" spans="1:4" s="45" customFormat="1" ht="13.5" x14ac:dyDescent="0.15">
      <c r="A3795" s="45" t="s">
        <v>41</v>
      </c>
      <c r="D3795" s="45" t="s">
        <v>2427</v>
      </c>
    </row>
    <row r="3796" spans="1:4" s="45" customFormat="1" ht="13.5" x14ac:dyDescent="0.15">
      <c r="A3796" s="45" t="s">
        <v>41</v>
      </c>
      <c r="D3796" s="45" t="s">
        <v>2428</v>
      </c>
    </row>
    <row r="3797" spans="1:4" s="45" customFormat="1" ht="13.5" x14ac:dyDescent="0.15">
      <c r="A3797" s="45" t="s">
        <v>41</v>
      </c>
      <c r="D3797" s="45" t="s">
        <v>2429</v>
      </c>
    </row>
    <row r="3798" spans="1:4" s="45" customFormat="1" ht="13.5" x14ac:dyDescent="0.15">
      <c r="A3798" s="45" t="s">
        <v>41</v>
      </c>
      <c r="D3798" s="45" t="s">
        <v>6525</v>
      </c>
    </row>
    <row r="3799" spans="1:4" s="45" customFormat="1" ht="13.5" x14ac:dyDescent="0.15">
      <c r="A3799" s="45" t="s">
        <v>41</v>
      </c>
      <c r="D3799" s="45" t="s">
        <v>1360</v>
      </c>
    </row>
    <row r="3800" spans="1:4" s="45" customFormat="1" ht="13.5" x14ac:dyDescent="0.15">
      <c r="A3800" s="45" t="s">
        <v>41</v>
      </c>
      <c r="D3800" s="45" t="s">
        <v>1359</v>
      </c>
    </row>
    <row r="3801" spans="1:4" s="45" customFormat="1" ht="13.5" x14ac:dyDescent="0.15">
      <c r="A3801" s="45" t="s">
        <v>41</v>
      </c>
      <c r="D3801" s="45" t="s">
        <v>1773</v>
      </c>
    </row>
    <row r="3802" spans="1:4" s="45" customFormat="1" ht="13.5" x14ac:dyDescent="0.15">
      <c r="A3802" s="45" t="s">
        <v>41</v>
      </c>
      <c r="D3802" s="45" t="s">
        <v>6526</v>
      </c>
    </row>
    <row r="3803" spans="1:4" s="45" customFormat="1" ht="13.5" x14ac:dyDescent="0.15">
      <c r="A3803" s="45" t="s">
        <v>41</v>
      </c>
      <c r="D3803" s="45" t="s">
        <v>623</v>
      </c>
    </row>
    <row r="3804" spans="1:4" s="45" customFormat="1" ht="13.5" x14ac:dyDescent="0.15">
      <c r="A3804" s="45" t="s">
        <v>41</v>
      </c>
      <c r="D3804" s="45" t="s">
        <v>6527</v>
      </c>
    </row>
    <row r="3805" spans="1:4" s="45" customFormat="1" ht="13.5" x14ac:dyDescent="0.15">
      <c r="A3805" s="45" t="s">
        <v>41</v>
      </c>
      <c r="D3805" s="45" t="s">
        <v>6528</v>
      </c>
    </row>
    <row r="3806" spans="1:4" s="45" customFormat="1" ht="13.5" x14ac:dyDescent="0.15">
      <c r="A3806" s="45" t="s">
        <v>41</v>
      </c>
      <c r="D3806" s="45" t="s">
        <v>537</v>
      </c>
    </row>
    <row r="3807" spans="1:4" s="45" customFormat="1" ht="13.5" x14ac:dyDescent="0.15">
      <c r="A3807" s="45" t="s">
        <v>41</v>
      </c>
      <c r="D3807" s="45" t="s">
        <v>535</v>
      </c>
    </row>
    <row r="3808" spans="1:4" s="45" customFormat="1" ht="13.5" x14ac:dyDescent="0.15">
      <c r="A3808" s="45" t="s">
        <v>41</v>
      </c>
      <c r="D3808" s="45" t="s">
        <v>536</v>
      </c>
    </row>
    <row r="3809" spans="1:4" s="45" customFormat="1" ht="13.5" x14ac:dyDescent="0.15">
      <c r="A3809" s="45" t="s">
        <v>41</v>
      </c>
      <c r="D3809" s="45" t="s">
        <v>337</v>
      </c>
    </row>
    <row r="3810" spans="1:4" s="45" customFormat="1" ht="13.5" x14ac:dyDescent="0.15">
      <c r="A3810" s="45" t="s">
        <v>41</v>
      </c>
      <c r="D3810" s="45" t="s">
        <v>338</v>
      </c>
    </row>
    <row r="3811" spans="1:4" s="45" customFormat="1" ht="13.5" x14ac:dyDescent="0.15">
      <c r="A3811" s="45" t="s">
        <v>41</v>
      </c>
      <c r="D3811" s="45" t="s">
        <v>335</v>
      </c>
    </row>
    <row r="3812" spans="1:4" s="45" customFormat="1" ht="13.5" x14ac:dyDescent="0.15">
      <c r="A3812" s="45" t="s">
        <v>41</v>
      </c>
      <c r="D3812" s="45" t="s">
        <v>336</v>
      </c>
    </row>
    <row r="3813" spans="1:4" s="45" customFormat="1" ht="13.5" x14ac:dyDescent="0.15">
      <c r="A3813" s="45" t="s">
        <v>41</v>
      </c>
      <c r="D3813" s="45" t="s">
        <v>6529</v>
      </c>
    </row>
    <row r="3814" spans="1:4" s="45" customFormat="1" ht="13.5" x14ac:dyDescent="0.15">
      <c r="A3814" s="45" t="s">
        <v>41</v>
      </c>
      <c r="D3814" s="45" t="s">
        <v>6530</v>
      </c>
    </row>
    <row r="3815" spans="1:4" s="45" customFormat="1" ht="13.5" x14ac:dyDescent="0.15">
      <c r="A3815" s="45" t="s">
        <v>41</v>
      </c>
      <c r="D3815" s="45" t="s">
        <v>6531</v>
      </c>
    </row>
    <row r="3816" spans="1:4" s="45" customFormat="1" ht="13.5" x14ac:dyDescent="0.15">
      <c r="A3816" s="45" t="s">
        <v>41</v>
      </c>
      <c r="D3816" s="45" t="s">
        <v>840</v>
      </c>
    </row>
    <row r="3817" spans="1:4" s="45" customFormat="1" ht="13.5" x14ac:dyDescent="0.15">
      <c r="A3817" s="45" t="s">
        <v>41</v>
      </c>
      <c r="D3817" s="45" t="s">
        <v>6532</v>
      </c>
    </row>
    <row r="3818" spans="1:4" s="45" customFormat="1" ht="13.5" x14ac:dyDescent="0.15">
      <c r="A3818" s="45" t="s">
        <v>41</v>
      </c>
      <c r="D3818" s="45" t="s">
        <v>1833</v>
      </c>
    </row>
    <row r="3819" spans="1:4" s="45" customFormat="1" ht="13.5" x14ac:dyDescent="0.15">
      <c r="A3819" s="45" t="s">
        <v>41</v>
      </c>
      <c r="D3819" s="45" t="s">
        <v>1117</v>
      </c>
    </row>
    <row r="3820" spans="1:4" s="45" customFormat="1" ht="13.5" x14ac:dyDescent="0.15">
      <c r="A3820" s="45" t="s">
        <v>41</v>
      </c>
      <c r="D3820" s="45" t="s">
        <v>6533</v>
      </c>
    </row>
    <row r="3821" spans="1:4" s="45" customFormat="1" ht="13.5" x14ac:dyDescent="0.15">
      <c r="A3821" s="45" t="s">
        <v>41</v>
      </c>
      <c r="D3821" s="45" t="s">
        <v>6534</v>
      </c>
    </row>
    <row r="3822" spans="1:4" s="45" customFormat="1" ht="13.5" x14ac:dyDescent="0.15">
      <c r="A3822" s="45" t="s">
        <v>41</v>
      </c>
      <c r="D3822" s="45" t="s">
        <v>6535</v>
      </c>
    </row>
    <row r="3823" spans="1:4" s="45" customFormat="1" ht="13.5" x14ac:dyDescent="0.15">
      <c r="A3823" s="45" t="s">
        <v>41</v>
      </c>
      <c r="D3823" s="45" t="s">
        <v>1783</v>
      </c>
    </row>
    <row r="3824" spans="1:4" s="45" customFormat="1" ht="13.5" x14ac:dyDescent="0.15">
      <c r="A3824" s="45" t="s">
        <v>41</v>
      </c>
      <c r="D3824" s="45" t="s">
        <v>1785</v>
      </c>
    </row>
    <row r="3825" spans="1:4" s="45" customFormat="1" ht="13.5" x14ac:dyDescent="0.15">
      <c r="A3825" s="45" t="s">
        <v>41</v>
      </c>
      <c r="D3825" s="45" t="s">
        <v>1784</v>
      </c>
    </row>
    <row r="3826" spans="1:4" s="45" customFormat="1" ht="13.5" x14ac:dyDescent="0.15">
      <c r="A3826" s="45" t="s">
        <v>41</v>
      </c>
      <c r="D3826" s="45" t="s">
        <v>6536</v>
      </c>
    </row>
    <row r="3827" spans="1:4" s="45" customFormat="1" ht="13.5" x14ac:dyDescent="0.15">
      <c r="A3827" s="45" t="s">
        <v>41</v>
      </c>
      <c r="D3827" s="45" t="s">
        <v>6537</v>
      </c>
    </row>
    <row r="3828" spans="1:4" s="45" customFormat="1" ht="13.5" x14ac:dyDescent="0.15">
      <c r="A3828" s="45" t="s">
        <v>41</v>
      </c>
      <c r="D3828" s="45" t="s">
        <v>6538</v>
      </c>
    </row>
    <row r="3829" spans="1:4" s="45" customFormat="1" ht="13.5" x14ac:dyDescent="0.15">
      <c r="A3829" s="45" t="s">
        <v>41</v>
      </c>
      <c r="D3829" s="45" t="s">
        <v>6539</v>
      </c>
    </row>
    <row r="3830" spans="1:4" s="45" customFormat="1" ht="13.5" x14ac:dyDescent="0.15">
      <c r="A3830" s="45" t="s">
        <v>41</v>
      </c>
      <c r="D3830" s="45" t="s">
        <v>6540</v>
      </c>
    </row>
    <row r="3831" spans="1:4" s="45" customFormat="1" ht="13.5" x14ac:dyDescent="0.15">
      <c r="A3831" s="45" t="s">
        <v>41</v>
      </c>
      <c r="D3831" s="45" t="s">
        <v>6541</v>
      </c>
    </row>
    <row r="3832" spans="1:4" s="45" customFormat="1" ht="13.5" x14ac:dyDescent="0.15">
      <c r="A3832" s="45" t="s">
        <v>41</v>
      </c>
      <c r="D3832" s="45" t="s">
        <v>6542</v>
      </c>
    </row>
    <row r="3833" spans="1:4" s="45" customFormat="1" ht="13.5" x14ac:dyDescent="0.15">
      <c r="A3833" s="45" t="s">
        <v>41</v>
      </c>
      <c r="D3833" s="45" t="s">
        <v>6543</v>
      </c>
    </row>
    <row r="3834" spans="1:4" s="45" customFormat="1" ht="13.5" x14ac:dyDescent="0.15">
      <c r="A3834" s="45" t="s">
        <v>41</v>
      </c>
      <c r="D3834" s="45" t="s">
        <v>1043</v>
      </c>
    </row>
    <row r="3835" spans="1:4" s="45" customFormat="1" ht="13.5" x14ac:dyDescent="0.15">
      <c r="A3835" s="45" t="s">
        <v>41</v>
      </c>
      <c r="D3835" s="45" t="s">
        <v>6544</v>
      </c>
    </row>
    <row r="3836" spans="1:4" s="45" customFormat="1" ht="13.5" x14ac:dyDescent="0.15">
      <c r="A3836" s="45" t="s">
        <v>41</v>
      </c>
      <c r="D3836" s="45" t="s">
        <v>6545</v>
      </c>
    </row>
    <row r="3837" spans="1:4" s="45" customFormat="1" ht="13.5" x14ac:dyDescent="0.15">
      <c r="A3837" s="45" t="s">
        <v>41</v>
      </c>
      <c r="D3837" s="45" t="s">
        <v>1041</v>
      </c>
    </row>
    <row r="3838" spans="1:4" s="45" customFormat="1" ht="13.5" x14ac:dyDescent="0.15">
      <c r="A3838" s="45" t="s">
        <v>41</v>
      </c>
      <c r="D3838" s="45" t="s">
        <v>6546</v>
      </c>
    </row>
    <row r="3839" spans="1:4" s="45" customFormat="1" ht="13.5" x14ac:dyDescent="0.15">
      <c r="A3839" s="45" t="s">
        <v>41</v>
      </c>
      <c r="D3839" s="45" t="s">
        <v>1042</v>
      </c>
    </row>
    <row r="3840" spans="1:4" s="45" customFormat="1" ht="13.5" x14ac:dyDescent="0.15">
      <c r="A3840" s="45" t="s">
        <v>41</v>
      </c>
      <c r="D3840" s="45" t="s">
        <v>1044</v>
      </c>
    </row>
    <row r="3841" spans="1:4" s="45" customFormat="1" ht="13.5" x14ac:dyDescent="0.15">
      <c r="A3841" s="45" t="s">
        <v>41</v>
      </c>
      <c r="D3841" s="45" t="s">
        <v>6547</v>
      </c>
    </row>
    <row r="3842" spans="1:4" s="45" customFormat="1" ht="13.5" x14ac:dyDescent="0.15">
      <c r="A3842" s="45" t="s">
        <v>41</v>
      </c>
      <c r="D3842" s="45" t="s">
        <v>6548</v>
      </c>
    </row>
    <row r="3843" spans="1:4" s="45" customFormat="1" ht="13.5" x14ac:dyDescent="0.15">
      <c r="A3843" s="45" t="s">
        <v>41</v>
      </c>
      <c r="D3843" s="45" t="s">
        <v>6549</v>
      </c>
    </row>
    <row r="3844" spans="1:4" s="45" customFormat="1" ht="13.5" x14ac:dyDescent="0.15">
      <c r="A3844" s="45" t="s">
        <v>41</v>
      </c>
      <c r="D3844" s="45" t="s">
        <v>6550</v>
      </c>
    </row>
    <row r="3845" spans="1:4" s="45" customFormat="1" ht="13.5" x14ac:dyDescent="0.15">
      <c r="A3845" s="45" t="s">
        <v>41</v>
      </c>
      <c r="D3845" s="45" t="s">
        <v>6551</v>
      </c>
    </row>
    <row r="3846" spans="1:4" s="45" customFormat="1" ht="13.5" x14ac:dyDescent="0.15">
      <c r="A3846" s="45" t="s">
        <v>41</v>
      </c>
      <c r="D3846" s="45" t="s">
        <v>6552</v>
      </c>
    </row>
    <row r="3847" spans="1:4" s="45" customFormat="1" ht="13.5" x14ac:dyDescent="0.15">
      <c r="A3847" s="45" t="s">
        <v>41</v>
      </c>
      <c r="D3847" s="45" t="s">
        <v>1744</v>
      </c>
    </row>
    <row r="3848" spans="1:4" s="45" customFormat="1" ht="13.5" x14ac:dyDescent="0.15">
      <c r="A3848" s="45" t="s">
        <v>41</v>
      </c>
      <c r="D3848" s="45" t="s">
        <v>6553</v>
      </c>
    </row>
    <row r="3849" spans="1:4" s="45" customFormat="1" ht="13.5" x14ac:dyDescent="0.15">
      <c r="A3849" s="45" t="s">
        <v>41</v>
      </c>
      <c r="D3849" s="45" t="s">
        <v>6554</v>
      </c>
    </row>
    <row r="3850" spans="1:4" s="45" customFormat="1" ht="13.5" x14ac:dyDescent="0.15">
      <c r="A3850" s="45" t="s">
        <v>41</v>
      </c>
      <c r="D3850" s="45" t="s">
        <v>6555</v>
      </c>
    </row>
    <row r="3851" spans="1:4" s="45" customFormat="1" ht="13.5" x14ac:dyDescent="0.15">
      <c r="A3851" s="45" t="s">
        <v>41</v>
      </c>
      <c r="D3851" s="45" t="s">
        <v>6556</v>
      </c>
    </row>
    <row r="3852" spans="1:4" s="45" customFormat="1" ht="13.5" x14ac:dyDescent="0.15">
      <c r="A3852" s="45" t="s">
        <v>41</v>
      </c>
      <c r="D3852" s="45" t="s">
        <v>528</v>
      </c>
    </row>
    <row r="3853" spans="1:4" s="45" customFormat="1" ht="13.5" x14ac:dyDescent="0.15">
      <c r="A3853" s="45" t="s">
        <v>41</v>
      </c>
      <c r="D3853" s="45" t="s">
        <v>6557</v>
      </c>
    </row>
    <row r="3854" spans="1:4" s="45" customFormat="1" ht="13.5" x14ac:dyDescent="0.15">
      <c r="A3854" s="45" t="s">
        <v>41</v>
      </c>
      <c r="D3854" s="45" t="s">
        <v>6558</v>
      </c>
    </row>
    <row r="3855" spans="1:4" s="45" customFormat="1" ht="13.5" x14ac:dyDescent="0.15">
      <c r="A3855" s="45" t="s">
        <v>41</v>
      </c>
      <c r="D3855" s="45" t="s">
        <v>6559</v>
      </c>
    </row>
    <row r="3856" spans="1:4" s="45" customFormat="1" ht="13.5" x14ac:dyDescent="0.15">
      <c r="A3856" s="45" t="s">
        <v>41</v>
      </c>
      <c r="D3856" s="45" t="s">
        <v>6560</v>
      </c>
    </row>
    <row r="3857" spans="1:4" s="45" customFormat="1" ht="13.5" x14ac:dyDescent="0.15">
      <c r="A3857" s="45" t="s">
        <v>41</v>
      </c>
      <c r="D3857" s="45" t="s">
        <v>6561</v>
      </c>
    </row>
    <row r="3858" spans="1:4" s="45" customFormat="1" ht="13.5" x14ac:dyDescent="0.15">
      <c r="A3858" s="45" t="s">
        <v>41</v>
      </c>
      <c r="D3858" s="45" t="s">
        <v>6562</v>
      </c>
    </row>
    <row r="3859" spans="1:4" s="45" customFormat="1" ht="13.5" x14ac:dyDescent="0.15">
      <c r="A3859" s="45" t="s">
        <v>41</v>
      </c>
      <c r="D3859" s="45" t="s">
        <v>6563</v>
      </c>
    </row>
    <row r="3860" spans="1:4" s="45" customFormat="1" ht="13.5" x14ac:dyDescent="0.15">
      <c r="A3860" s="45" t="s">
        <v>41</v>
      </c>
      <c r="D3860" s="45" t="s">
        <v>844</v>
      </c>
    </row>
    <row r="3861" spans="1:4" s="45" customFormat="1" ht="13.5" x14ac:dyDescent="0.15">
      <c r="A3861" s="45" t="s">
        <v>41</v>
      </c>
      <c r="D3861" s="45" t="s">
        <v>6564</v>
      </c>
    </row>
    <row r="3862" spans="1:4" s="45" customFormat="1" ht="13.5" x14ac:dyDescent="0.15">
      <c r="A3862" s="45" t="s">
        <v>41</v>
      </c>
      <c r="D3862" s="45" t="s">
        <v>6565</v>
      </c>
    </row>
    <row r="3863" spans="1:4" s="45" customFormat="1" ht="13.5" x14ac:dyDescent="0.15">
      <c r="A3863" s="45" t="s">
        <v>41</v>
      </c>
      <c r="D3863" s="45" t="s">
        <v>6566</v>
      </c>
    </row>
    <row r="3864" spans="1:4" s="45" customFormat="1" ht="13.5" x14ac:dyDescent="0.15">
      <c r="A3864" s="45" t="s">
        <v>41</v>
      </c>
      <c r="D3864" s="45" t="s">
        <v>6567</v>
      </c>
    </row>
    <row r="3865" spans="1:4" s="45" customFormat="1" ht="13.5" x14ac:dyDescent="0.15">
      <c r="A3865" s="45" t="s">
        <v>41</v>
      </c>
      <c r="D3865" s="45" t="s">
        <v>6568</v>
      </c>
    </row>
    <row r="3866" spans="1:4" s="45" customFormat="1" ht="13.5" x14ac:dyDescent="0.15">
      <c r="A3866" s="45" t="s">
        <v>41</v>
      </c>
      <c r="D3866" s="45" t="s">
        <v>6569</v>
      </c>
    </row>
    <row r="3867" spans="1:4" s="45" customFormat="1" ht="13.5" x14ac:dyDescent="0.15">
      <c r="A3867" s="45" t="s">
        <v>41</v>
      </c>
      <c r="D3867" s="45" t="s">
        <v>627</v>
      </c>
    </row>
    <row r="3868" spans="1:4" s="45" customFormat="1" ht="13.5" x14ac:dyDescent="0.15">
      <c r="A3868" s="45" t="s">
        <v>41</v>
      </c>
      <c r="D3868" s="45" t="s">
        <v>6570</v>
      </c>
    </row>
    <row r="3869" spans="1:4" s="45" customFormat="1" ht="13.5" x14ac:dyDescent="0.15">
      <c r="A3869" s="45" t="s">
        <v>41</v>
      </c>
      <c r="D3869" s="45" t="s">
        <v>6571</v>
      </c>
    </row>
    <row r="3870" spans="1:4" s="45" customFormat="1" ht="13.5" x14ac:dyDescent="0.15">
      <c r="A3870" s="45" t="s">
        <v>41</v>
      </c>
      <c r="D3870" s="45" t="s">
        <v>6572</v>
      </c>
    </row>
    <row r="3871" spans="1:4" s="45" customFormat="1" ht="13.5" x14ac:dyDescent="0.15">
      <c r="A3871" s="45" t="s">
        <v>41</v>
      </c>
      <c r="D3871" s="45" t="s">
        <v>6573</v>
      </c>
    </row>
    <row r="3872" spans="1:4" s="45" customFormat="1" ht="13.5" x14ac:dyDescent="0.15">
      <c r="A3872" s="45" t="s">
        <v>41</v>
      </c>
      <c r="D3872" s="45" t="s">
        <v>6574</v>
      </c>
    </row>
    <row r="3873" spans="1:4" s="45" customFormat="1" ht="13.5" x14ac:dyDescent="0.15">
      <c r="A3873" s="45" t="s">
        <v>41</v>
      </c>
      <c r="D3873" s="45" t="s">
        <v>6575</v>
      </c>
    </row>
    <row r="3874" spans="1:4" s="45" customFormat="1" ht="13.5" x14ac:dyDescent="0.15">
      <c r="A3874" s="45" t="s">
        <v>41</v>
      </c>
      <c r="D3874" s="45" t="s">
        <v>6576</v>
      </c>
    </row>
    <row r="3875" spans="1:4" s="45" customFormat="1" ht="13.5" x14ac:dyDescent="0.15">
      <c r="A3875" s="45" t="s">
        <v>41</v>
      </c>
      <c r="D3875" s="45" t="s">
        <v>1622</v>
      </c>
    </row>
    <row r="3876" spans="1:4" s="45" customFormat="1" ht="13.5" x14ac:dyDescent="0.15">
      <c r="A3876" s="45" t="s">
        <v>41</v>
      </c>
      <c r="D3876" s="45" t="s">
        <v>1623</v>
      </c>
    </row>
    <row r="3877" spans="1:4" s="45" customFormat="1" ht="13.5" x14ac:dyDescent="0.15">
      <c r="A3877" s="45" t="s">
        <v>41</v>
      </c>
      <c r="D3877" s="45" t="s">
        <v>6577</v>
      </c>
    </row>
    <row r="3878" spans="1:4" s="45" customFormat="1" ht="13.5" x14ac:dyDescent="0.15">
      <c r="A3878" s="45" t="s">
        <v>41</v>
      </c>
      <c r="D3878" s="45" t="s">
        <v>6578</v>
      </c>
    </row>
    <row r="3879" spans="1:4" s="45" customFormat="1" ht="13.5" x14ac:dyDescent="0.15">
      <c r="A3879" s="45" t="s">
        <v>41</v>
      </c>
      <c r="D3879" s="45" t="s">
        <v>6579</v>
      </c>
    </row>
    <row r="3880" spans="1:4" s="45" customFormat="1" ht="13.5" x14ac:dyDescent="0.15">
      <c r="A3880" s="45" t="s">
        <v>41</v>
      </c>
      <c r="D3880" s="45" t="s">
        <v>6580</v>
      </c>
    </row>
    <row r="3881" spans="1:4" s="45" customFormat="1" ht="13.5" x14ac:dyDescent="0.15">
      <c r="A3881" s="45" t="s">
        <v>41</v>
      </c>
      <c r="D3881" s="45" t="s">
        <v>6581</v>
      </c>
    </row>
    <row r="3882" spans="1:4" s="45" customFormat="1" ht="13.5" x14ac:dyDescent="0.15">
      <c r="A3882" s="45" t="s">
        <v>41</v>
      </c>
      <c r="D3882" s="45" t="s">
        <v>6582</v>
      </c>
    </row>
    <row r="3883" spans="1:4" s="45" customFormat="1" ht="13.5" x14ac:dyDescent="0.15">
      <c r="A3883" s="45" t="s">
        <v>41</v>
      </c>
      <c r="D3883" s="45" t="s">
        <v>6583</v>
      </c>
    </row>
    <row r="3884" spans="1:4" s="45" customFormat="1" ht="13.5" x14ac:dyDescent="0.15">
      <c r="A3884" s="45" t="s">
        <v>41</v>
      </c>
      <c r="D3884" s="45" t="s">
        <v>2134</v>
      </c>
    </row>
    <row r="3885" spans="1:4" s="45" customFormat="1" ht="13.5" x14ac:dyDescent="0.15">
      <c r="A3885" s="45" t="s">
        <v>41</v>
      </c>
      <c r="D3885" s="45" t="s">
        <v>2292</v>
      </c>
    </row>
    <row r="3886" spans="1:4" s="45" customFormat="1" ht="13.5" x14ac:dyDescent="0.15">
      <c r="A3886" s="45" t="s">
        <v>41</v>
      </c>
      <c r="D3886" s="45" t="s">
        <v>6584</v>
      </c>
    </row>
    <row r="3887" spans="1:4" s="45" customFormat="1" ht="13.5" x14ac:dyDescent="0.15">
      <c r="A3887" s="45" t="s">
        <v>41</v>
      </c>
      <c r="D3887" s="45" t="s">
        <v>6585</v>
      </c>
    </row>
    <row r="3888" spans="1:4" s="45" customFormat="1" ht="13.5" x14ac:dyDescent="0.15">
      <c r="A3888" s="45" t="s">
        <v>41</v>
      </c>
      <c r="D3888" s="45" t="s">
        <v>6586</v>
      </c>
    </row>
    <row r="3889" spans="1:4" s="45" customFormat="1" ht="13.5" x14ac:dyDescent="0.15">
      <c r="A3889" s="45" t="s">
        <v>41</v>
      </c>
      <c r="D3889" s="45" t="s">
        <v>1236</v>
      </c>
    </row>
    <row r="3890" spans="1:4" s="45" customFormat="1" ht="13.5" x14ac:dyDescent="0.15">
      <c r="A3890" s="45" t="s">
        <v>41</v>
      </c>
      <c r="D3890" s="45" t="s">
        <v>6587</v>
      </c>
    </row>
    <row r="3891" spans="1:4" s="45" customFormat="1" ht="13.5" x14ac:dyDescent="0.15">
      <c r="A3891" s="45" t="s">
        <v>41</v>
      </c>
      <c r="D3891" s="45" t="s">
        <v>6588</v>
      </c>
    </row>
    <row r="3892" spans="1:4" s="45" customFormat="1" ht="13.5" x14ac:dyDescent="0.15">
      <c r="A3892" s="45" t="s">
        <v>41</v>
      </c>
      <c r="D3892" s="45" t="s">
        <v>676</v>
      </c>
    </row>
    <row r="3893" spans="1:4" s="45" customFormat="1" ht="13.5" x14ac:dyDescent="0.15">
      <c r="A3893" s="45" t="s">
        <v>41</v>
      </c>
      <c r="D3893" s="45" t="s">
        <v>6589</v>
      </c>
    </row>
    <row r="3894" spans="1:4" s="45" customFormat="1" ht="13.5" x14ac:dyDescent="0.15">
      <c r="A3894" s="45" t="s">
        <v>41</v>
      </c>
      <c r="D3894" s="45" t="s">
        <v>1104</v>
      </c>
    </row>
    <row r="3895" spans="1:4" s="45" customFormat="1" ht="13.5" x14ac:dyDescent="0.15">
      <c r="A3895" s="45" t="s">
        <v>41</v>
      </c>
      <c r="D3895" s="45" t="s">
        <v>6590</v>
      </c>
    </row>
    <row r="3896" spans="1:4" s="45" customFormat="1" ht="13.5" x14ac:dyDescent="0.15">
      <c r="A3896" s="45" t="s">
        <v>41</v>
      </c>
      <c r="D3896" s="45" t="s">
        <v>6591</v>
      </c>
    </row>
    <row r="3897" spans="1:4" s="45" customFormat="1" ht="13.5" x14ac:dyDescent="0.15">
      <c r="A3897" s="45" t="s">
        <v>41</v>
      </c>
      <c r="D3897" s="45" t="s">
        <v>1102</v>
      </c>
    </row>
    <row r="3898" spans="1:4" s="45" customFormat="1" ht="13.5" x14ac:dyDescent="0.15">
      <c r="A3898" s="45" t="s">
        <v>41</v>
      </c>
      <c r="D3898" s="45" t="s">
        <v>1103</v>
      </c>
    </row>
    <row r="3899" spans="1:4" s="45" customFormat="1" ht="13.5" x14ac:dyDescent="0.15">
      <c r="A3899" s="45" t="s">
        <v>41</v>
      </c>
      <c r="D3899" s="45" t="s">
        <v>1105</v>
      </c>
    </row>
    <row r="3900" spans="1:4" s="45" customFormat="1" ht="13.5" x14ac:dyDescent="0.15">
      <c r="A3900" s="45" t="s">
        <v>41</v>
      </c>
      <c r="D3900" s="45" t="s">
        <v>6592</v>
      </c>
    </row>
    <row r="3901" spans="1:4" s="45" customFormat="1" ht="13.5" x14ac:dyDescent="0.15">
      <c r="A3901" s="45" t="s">
        <v>41</v>
      </c>
      <c r="D3901" s="45" t="s">
        <v>6593</v>
      </c>
    </row>
    <row r="3902" spans="1:4" s="45" customFormat="1" ht="13.5" x14ac:dyDescent="0.15">
      <c r="A3902" s="45" t="s">
        <v>41</v>
      </c>
      <c r="D3902" s="45" t="s">
        <v>6594</v>
      </c>
    </row>
    <row r="3903" spans="1:4" s="45" customFormat="1" ht="13.5" x14ac:dyDescent="0.15">
      <c r="A3903" s="45" t="s">
        <v>41</v>
      </c>
      <c r="D3903" s="45" t="s">
        <v>6595</v>
      </c>
    </row>
    <row r="3904" spans="1:4" s="45" customFormat="1" ht="13.5" x14ac:dyDescent="0.15">
      <c r="A3904" s="45" t="s">
        <v>41</v>
      </c>
      <c r="D3904" s="45" t="s">
        <v>1330</v>
      </c>
    </row>
    <row r="3905" spans="1:4" s="45" customFormat="1" ht="13.5" x14ac:dyDescent="0.15">
      <c r="A3905" s="45" t="s">
        <v>41</v>
      </c>
      <c r="D3905" s="45" t="s">
        <v>1329</v>
      </c>
    </row>
    <row r="3906" spans="1:4" s="45" customFormat="1" ht="13.5" x14ac:dyDescent="0.15">
      <c r="A3906" s="45" t="s">
        <v>41</v>
      </c>
      <c r="D3906" s="45" t="s">
        <v>1331</v>
      </c>
    </row>
    <row r="3907" spans="1:4" s="45" customFormat="1" ht="13.5" x14ac:dyDescent="0.15">
      <c r="A3907" s="45" t="s">
        <v>41</v>
      </c>
      <c r="D3907" s="45" t="s">
        <v>1999</v>
      </c>
    </row>
    <row r="3908" spans="1:4" s="45" customFormat="1" ht="13.5" x14ac:dyDescent="0.15">
      <c r="A3908" s="45" t="s">
        <v>41</v>
      </c>
      <c r="D3908" s="45" t="s">
        <v>2174</v>
      </c>
    </row>
    <row r="3909" spans="1:4" s="45" customFormat="1" ht="13.5" x14ac:dyDescent="0.15">
      <c r="A3909" s="45" t="s">
        <v>41</v>
      </c>
      <c r="D3909" s="45" t="s">
        <v>6596</v>
      </c>
    </row>
    <row r="3910" spans="1:4" s="45" customFormat="1" ht="13.5" x14ac:dyDescent="0.15">
      <c r="A3910" s="45" t="s">
        <v>41</v>
      </c>
      <c r="D3910" s="45" t="s">
        <v>2158</v>
      </c>
    </row>
    <row r="3911" spans="1:4" s="45" customFormat="1" ht="13.5" x14ac:dyDescent="0.15">
      <c r="A3911" s="45" t="s">
        <v>41</v>
      </c>
      <c r="D3911" s="45" t="s">
        <v>6597</v>
      </c>
    </row>
    <row r="3912" spans="1:4" s="45" customFormat="1" ht="13.5" x14ac:dyDescent="0.15">
      <c r="A3912" s="45" t="s">
        <v>41</v>
      </c>
      <c r="D3912" s="45" t="s">
        <v>6598</v>
      </c>
    </row>
    <row r="3913" spans="1:4" s="45" customFormat="1" ht="13.5" x14ac:dyDescent="0.15">
      <c r="A3913" s="45" t="s">
        <v>41</v>
      </c>
      <c r="D3913" s="45" t="s">
        <v>2052</v>
      </c>
    </row>
    <row r="3914" spans="1:4" s="45" customFormat="1" ht="13.5" x14ac:dyDescent="0.15">
      <c r="A3914" s="45" t="s">
        <v>41</v>
      </c>
      <c r="D3914" s="45" t="s">
        <v>2087</v>
      </c>
    </row>
    <row r="3915" spans="1:4" s="45" customFormat="1" ht="13.5" x14ac:dyDescent="0.15">
      <c r="A3915" s="45" t="s">
        <v>41</v>
      </c>
      <c r="D3915" s="45" t="s">
        <v>6599</v>
      </c>
    </row>
    <row r="3916" spans="1:4" s="45" customFormat="1" ht="13.5" x14ac:dyDescent="0.15">
      <c r="A3916" s="45" t="s">
        <v>41</v>
      </c>
      <c r="D3916" s="45" t="s">
        <v>6600</v>
      </c>
    </row>
    <row r="3917" spans="1:4" s="45" customFormat="1" ht="13.5" x14ac:dyDescent="0.15">
      <c r="A3917" s="45" t="s">
        <v>41</v>
      </c>
      <c r="D3917" s="45" t="s">
        <v>6601</v>
      </c>
    </row>
    <row r="3918" spans="1:4" s="45" customFormat="1" ht="13.5" x14ac:dyDescent="0.15">
      <c r="A3918" s="45" t="s">
        <v>41</v>
      </c>
      <c r="D3918" s="45" t="s">
        <v>1058</v>
      </c>
    </row>
    <row r="3919" spans="1:4" s="45" customFormat="1" ht="13.5" x14ac:dyDescent="0.15">
      <c r="A3919" s="45" t="s">
        <v>41</v>
      </c>
      <c r="D3919" s="45" t="s">
        <v>6602</v>
      </c>
    </row>
    <row r="3920" spans="1:4" s="45" customFormat="1" ht="13.5" x14ac:dyDescent="0.15">
      <c r="A3920" s="45" t="s">
        <v>41</v>
      </c>
      <c r="D3920" s="45" t="s">
        <v>6603</v>
      </c>
    </row>
    <row r="3921" spans="1:4" s="45" customFormat="1" ht="13.5" x14ac:dyDescent="0.15">
      <c r="A3921" s="45" t="s">
        <v>41</v>
      </c>
      <c r="D3921" s="45" t="s">
        <v>1588</v>
      </c>
    </row>
    <row r="3922" spans="1:4" s="45" customFormat="1" ht="13.5" x14ac:dyDescent="0.15">
      <c r="A3922" s="45" t="s">
        <v>41</v>
      </c>
      <c r="D3922" s="45" t="s">
        <v>1590</v>
      </c>
    </row>
    <row r="3923" spans="1:4" s="45" customFormat="1" ht="13.5" x14ac:dyDescent="0.15">
      <c r="A3923" s="45" t="s">
        <v>41</v>
      </c>
      <c r="D3923" s="45" t="s">
        <v>1595</v>
      </c>
    </row>
    <row r="3924" spans="1:4" s="45" customFormat="1" ht="13.5" x14ac:dyDescent="0.15">
      <c r="A3924" s="45" t="s">
        <v>41</v>
      </c>
      <c r="D3924" s="45" t="s">
        <v>1592</v>
      </c>
    </row>
    <row r="3925" spans="1:4" s="45" customFormat="1" ht="13.5" x14ac:dyDescent="0.15">
      <c r="A3925" s="45" t="s">
        <v>41</v>
      </c>
      <c r="D3925" s="45" t="s">
        <v>1591</v>
      </c>
    </row>
    <row r="3926" spans="1:4" s="45" customFormat="1" ht="13.5" x14ac:dyDescent="0.15">
      <c r="A3926" s="45" t="s">
        <v>41</v>
      </c>
      <c r="D3926" s="45" t="s">
        <v>1594</v>
      </c>
    </row>
    <row r="3927" spans="1:4" s="45" customFormat="1" ht="13.5" x14ac:dyDescent="0.15">
      <c r="A3927" s="45" t="s">
        <v>41</v>
      </c>
      <c r="D3927" s="45" t="s">
        <v>1596</v>
      </c>
    </row>
    <row r="3928" spans="1:4" s="45" customFormat="1" ht="13.5" x14ac:dyDescent="0.15">
      <c r="A3928" s="45" t="s">
        <v>41</v>
      </c>
      <c r="D3928" s="45" t="s">
        <v>1589</v>
      </c>
    </row>
    <row r="3929" spans="1:4" s="45" customFormat="1" ht="13.5" x14ac:dyDescent="0.15">
      <c r="A3929" s="45" t="s">
        <v>41</v>
      </c>
      <c r="D3929" s="45" t="s">
        <v>1593</v>
      </c>
    </row>
    <row r="3930" spans="1:4" s="45" customFormat="1" ht="13.5" x14ac:dyDescent="0.15">
      <c r="A3930" s="45" t="s">
        <v>41</v>
      </c>
      <c r="D3930" s="45" t="s">
        <v>1558</v>
      </c>
    </row>
    <row r="3931" spans="1:4" s="45" customFormat="1" ht="13.5" x14ac:dyDescent="0.15">
      <c r="A3931" s="45" t="s">
        <v>41</v>
      </c>
      <c r="D3931" s="45" t="s">
        <v>1577</v>
      </c>
    </row>
    <row r="3932" spans="1:4" s="45" customFormat="1" ht="13.5" x14ac:dyDescent="0.15">
      <c r="A3932" s="45" t="s">
        <v>41</v>
      </c>
      <c r="D3932" s="45" t="s">
        <v>1581</v>
      </c>
    </row>
    <row r="3933" spans="1:4" s="45" customFormat="1" ht="13.5" x14ac:dyDescent="0.15">
      <c r="A3933" s="45" t="s">
        <v>41</v>
      </c>
      <c r="D3933" s="45" t="s">
        <v>1579</v>
      </c>
    </row>
    <row r="3934" spans="1:4" s="45" customFormat="1" ht="13.5" x14ac:dyDescent="0.15">
      <c r="A3934" s="45" t="s">
        <v>41</v>
      </c>
      <c r="D3934" s="45" t="s">
        <v>1580</v>
      </c>
    </row>
    <row r="3935" spans="1:4" s="45" customFormat="1" ht="13.5" x14ac:dyDescent="0.15">
      <c r="A3935" s="45" t="s">
        <v>41</v>
      </c>
      <c r="D3935" s="45" t="s">
        <v>1578</v>
      </c>
    </row>
    <row r="3936" spans="1:4" s="45" customFormat="1" ht="13.5" x14ac:dyDescent="0.15">
      <c r="A3936" s="45" t="s">
        <v>41</v>
      </c>
      <c r="D3936" s="45" t="s">
        <v>1608</v>
      </c>
    </row>
    <row r="3937" spans="1:4" s="45" customFormat="1" ht="13.5" x14ac:dyDescent="0.15">
      <c r="A3937" s="45" t="s">
        <v>41</v>
      </c>
      <c r="D3937" s="45" t="s">
        <v>1612</v>
      </c>
    </row>
    <row r="3938" spans="1:4" s="45" customFormat="1" ht="13.5" x14ac:dyDescent="0.15">
      <c r="A3938" s="45" t="s">
        <v>41</v>
      </c>
      <c r="D3938" s="45" t="s">
        <v>1609</v>
      </c>
    </row>
    <row r="3939" spans="1:4" s="45" customFormat="1" ht="13.5" x14ac:dyDescent="0.15">
      <c r="A3939" s="45" t="s">
        <v>41</v>
      </c>
      <c r="D3939" s="45" t="s">
        <v>1610</v>
      </c>
    </row>
    <row r="3940" spans="1:4" s="45" customFormat="1" ht="13.5" x14ac:dyDescent="0.15">
      <c r="A3940" s="45" t="s">
        <v>41</v>
      </c>
      <c r="D3940" s="45" t="s">
        <v>1611</v>
      </c>
    </row>
    <row r="3941" spans="1:4" s="45" customFormat="1" ht="13.5" x14ac:dyDescent="0.15">
      <c r="A3941" s="45" t="s">
        <v>41</v>
      </c>
      <c r="D3941" s="45" t="s">
        <v>6604</v>
      </c>
    </row>
    <row r="3942" spans="1:4" s="45" customFormat="1" ht="13.5" x14ac:dyDescent="0.15">
      <c r="A3942" s="45" t="s">
        <v>41</v>
      </c>
      <c r="D3942" s="45" t="s">
        <v>6605</v>
      </c>
    </row>
    <row r="3943" spans="1:4" s="45" customFormat="1" ht="13.5" x14ac:dyDescent="0.15">
      <c r="A3943" s="45" t="s">
        <v>41</v>
      </c>
      <c r="D3943" s="45" t="s">
        <v>6606</v>
      </c>
    </row>
    <row r="3944" spans="1:4" s="45" customFormat="1" ht="13.5" x14ac:dyDescent="0.15">
      <c r="A3944" s="45" t="s">
        <v>41</v>
      </c>
      <c r="D3944" s="45" t="s">
        <v>6607</v>
      </c>
    </row>
    <row r="3945" spans="1:4" s="45" customFormat="1" ht="13.5" x14ac:dyDescent="0.15">
      <c r="A3945" s="45" t="s">
        <v>41</v>
      </c>
      <c r="D3945" s="45" t="s">
        <v>6608</v>
      </c>
    </row>
    <row r="3946" spans="1:4" s="45" customFormat="1" ht="13.5" x14ac:dyDescent="0.15">
      <c r="A3946" s="45" t="s">
        <v>41</v>
      </c>
      <c r="D3946" s="45" t="s">
        <v>6609</v>
      </c>
    </row>
    <row r="3947" spans="1:4" s="45" customFormat="1" ht="13.5" x14ac:dyDescent="0.15">
      <c r="A3947" s="45" t="s">
        <v>41</v>
      </c>
      <c r="D3947" s="45" t="s">
        <v>6610</v>
      </c>
    </row>
    <row r="3948" spans="1:4" s="45" customFormat="1" ht="13.5" x14ac:dyDescent="0.15">
      <c r="A3948" s="45" t="s">
        <v>41</v>
      </c>
      <c r="D3948" s="45" t="s">
        <v>434</v>
      </c>
    </row>
    <row r="3949" spans="1:4" s="45" customFormat="1" ht="13.5" x14ac:dyDescent="0.15">
      <c r="A3949" s="45" t="s">
        <v>41</v>
      </c>
      <c r="D3949" s="45" t="s">
        <v>6611</v>
      </c>
    </row>
    <row r="3950" spans="1:4" s="45" customFormat="1" ht="13.5" x14ac:dyDescent="0.15">
      <c r="A3950" s="45" t="s">
        <v>41</v>
      </c>
      <c r="D3950" s="45" t="s">
        <v>6612</v>
      </c>
    </row>
    <row r="3951" spans="1:4" s="45" customFormat="1" ht="13.5" x14ac:dyDescent="0.15">
      <c r="A3951" s="45" t="s">
        <v>41</v>
      </c>
      <c r="D3951" s="45" t="s">
        <v>6613</v>
      </c>
    </row>
    <row r="3952" spans="1:4" s="45" customFormat="1" ht="13.5" x14ac:dyDescent="0.15">
      <c r="A3952" s="45" t="s">
        <v>41</v>
      </c>
      <c r="D3952" s="45" t="s">
        <v>6614</v>
      </c>
    </row>
    <row r="3953" spans="1:4" s="45" customFormat="1" ht="13.5" x14ac:dyDescent="0.15">
      <c r="A3953" s="45" t="s">
        <v>41</v>
      </c>
      <c r="D3953" s="45" t="s">
        <v>6615</v>
      </c>
    </row>
    <row r="3954" spans="1:4" s="45" customFormat="1" ht="13.5" x14ac:dyDescent="0.15">
      <c r="A3954" s="45" t="s">
        <v>41</v>
      </c>
      <c r="D3954" s="45" t="s">
        <v>6616</v>
      </c>
    </row>
    <row r="3955" spans="1:4" s="45" customFormat="1" ht="13.5" x14ac:dyDescent="0.15">
      <c r="A3955" s="45" t="s">
        <v>41</v>
      </c>
      <c r="D3955" s="45" t="s">
        <v>435</v>
      </c>
    </row>
    <row r="3956" spans="1:4" s="45" customFormat="1" ht="13.5" x14ac:dyDescent="0.15">
      <c r="A3956" s="45" t="s">
        <v>41</v>
      </c>
      <c r="D3956" s="45" t="s">
        <v>437</v>
      </c>
    </row>
    <row r="3957" spans="1:4" s="45" customFormat="1" ht="13.5" x14ac:dyDescent="0.15">
      <c r="A3957" s="45" t="s">
        <v>41</v>
      </c>
      <c r="D3957" s="45" t="s">
        <v>438</v>
      </c>
    </row>
    <row r="3958" spans="1:4" s="45" customFormat="1" ht="13.5" x14ac:dyDescent="0.15">
      <c r="A3958" s="45" t="s">
        <v>41</v>
      </c>
      <c r="D3958" s="45" t="s">
        <v>439</v>
      </c>
    </row>
    <row r="3959" spans="1:4" s="45" customFormat="1" ht="13.5" x14ac:dyDescent="0.15">
      <c r="A3959" s="45" t="s">
        <v>41</v>
      </c>
      <c r="D3959" s="45" t="s">
        <v>6617</v>
      </c>
    </row>
    <row r="3960" spans="1:4" s="45" customFormat="1" ht="13.5" x14ac:dyDescent="0.15">
      <c r="A3960" s="45" t="s">
        <v>41</v>
      </c>
      <c r="D3960" s="45" t="s">
        <v>6618</v>
      </c>
    </row>
    <row r="3961" spans="1:4" s="45" customFormat="1" ht="13.5" x14ac:dyDescent="0.15">
      <c r="A3961" s="45" t="s">
        <v>41</v>
      </c>
      <c r="D3961" s="45" t="s">
        <v>1878</v>
      </c>
    </row>
    <row r="3962" spans="1:4" s="45" customFormat="1" ht="13.5" x14ac:dyDescent="0.15">
      <c r="A3962" s="45" t="s">
        <v>41</v>
      </c>
      <c r="D3962" s="45" t="s">
        <v>6619</v>
      </c>
    </row>
    <row r="3963" spans="1:4" s="45" customFormat="1" ht="13.5" x14ac:dyDescent="0.15">
      <c r="A3963" s="45" t="s">
        <v>41</v>
      </c>
      <c r="D3963" s="45" t="s">
        <v>1877</v>
      </c>
    </row>
    <row r="3964" spans="1:4" s="45" customFormat="1" ht="13.5" x14ac:dyDescent="0.15">
      <c r="A3964" s="45" t="s">
        <v>41</v>
      </c>
      <c r="D3964" s="45" t="s">
        <v>6620</v>
      </c>
    </row>
    <row r="3965" spans="1:4" s="45" customFormat="1" ht="13.5" x14ac:dyDescent="0.15">
      <c r="A3965" s="45" t="s">
        <v>41</v>
      </c>
      <c r="D3965" s="45" t="s">
        <v>6621</v>
      </c>
    </row>
    <row r="3966" spans="1:4" s="45" customFormat="1" ht="13.5" x14ac:dyDescent="0.15">
      <c r="A3966" s="45" t="s">
        <v>41</v>
      </c>
      <c r="D3966" s="45" t="s">
        <v>6622</v>
      </c>
    </row>
    <row r="3967" spans="1:4" s="45" customFormat="1" ht="13.5" x14ac:dyDescent="0.15">
      <c r="A3967" s="45" t="s">
        <v>41</v>
      </c>
      <c r="D3967" s="45" t="s">
        <v>1876</v>
      </c>
    </row>
    <row r="3968" spans="1:4" s="45" customFormat="1" ht="13.5" x14ac:dyDescent="0.15">
      <c r="A3968" s="45" t="s">
        <v>41</v>
      </c>
      <c r="D3968" s="45" t="s">
        <v>1875</v>
      </c>
    </row>
    <row r="3969" spans="1:4" s="45" customFormat="1" ht="13.5" x14ac:dyDescent="0.15">
      <c r="A3969" s="45" t="s">
        <v>41</v>
      </c>
      <c r="D3969" s="45" t="s">
        <v>6623</v>
      </c>
    </row>
    <row r="3970" spans="1:4" s="45" customFormat="1" ht="13.5" x14ac:dyDescent="0.15">
      <c r="A3970" s="45" t="s">
        <v>41</v>
      </c>
      <c r="D3970" s="45" t="s">
        <v>6624</v>
      </c>
    </row>
    <row r="3971" spans="1:4" s="45" customFormat="1" ht="13.5" x14ac:dyDescent="0.15">
      <c r="A3971" s="45" t="s">
        <v>41</v>
      </c>
      <c r="D3971" s="45" t="s">
        <v>6625</v>
      </c>
    </row>
    <row r="3972" spans="1:4" s="45" customFormat="1" ht="13.5" x14ac:dyDescent="0.15">
      <c r="A3972" s="45" t="s">
        <v>41</v>
      </c>
      <c r="D3972" s="45" t="s">
        <v>1874</v>
      </c>
    </row>
    <row r="3973" spans="1:4" s="45" customFormat="1" ht="13.5" x14ac:dyDescent="0.15">
      <c r="A3973" s="45" t="s">
        <v>41</v>
      </c>
      <c r="D3973" s="45" t="s">
        <v>6626</v>
      </c>
    </row>
    <row r="3974" spans="1:4" s="45" customFormat="1" ht="13.5" x14ac:dyDescent="0.15">
      <c r="A3974" s="45" t="s">
        <v>41</v>
      </c>
      <c r="D3974" s="45" t="s">
        <v>6627</v>
      </c>
    </row>
    <row r="3975" spans="1:4" s="45" customFormat="1" ht="13.5" x14ac:dyDescent="0.15">
      <c r="A3975" s="45" t="s">
        <v>41</v>
      </c>
      <c r="D3975" s="45" t="s">
        <v>6628</v>
      </c>
    </row>
    <row r="3976" spans="1:4" s="45" customFormat="1" ht="13.5" x14ac:dyDescent="0.15">
      <c r="A3976" s="45" t="s">
        <v>41</v>
      </c>
      <c r="D3976" s="45" t="s">
        <v>6629</v>
      </c>
    </row>
    <row r="3977" spans="1:4" s="45" customFormat="1" ht="13.5" x14ac:dyDescent="0.15">
      <c r="A3977" s="45" t="s">
        <v>41</v>
      </c>
      <c r="D3977" s="45" t="s">
        <v>2537</v>
      </c>
    </row>
    <row r="3978" spans="1:4" s="45" customFormat="1" ht="13.5" x14ac:dyDescent="0.15">
      <c r="A3978" s="45" t="s">
        <v>41</v>
      </c>
      <c r="D3978" s="45" t="s">
        <v>6630</v>
      </c>
    </row>
    <row r="3979" spans="1:4" s="45" customFormat="1" ht="13.5" x14ac:dyDescent="0.15">
      <c r="A3979" s="45" t="s">
        <v>41</v>
      </c>
      <c r="D3979" s="45" t="s">
        <v>6631</v>
      </c>
    </row>
    <row r="3980" spans="1:4" s="45" customFormat="1" ht="13.5" x14ac:dyDescent="0.15">
      <c r="A3980" s="45" t="s">
        <v>41</v>
      </c>
      <c r="D3980" s="45" t="s">
        <v>6632</v>
      </c>
    </row>
    <row r="3981" spans="1:4" s="45" customFormat="1" ht="13.5" x14ac:dyDescent="0.15">
      <c r="A3981" s="45" t="s">
        <v>41</v>
      </c>
      <c r="D3981" s="45" t="s">
        <v>6633</v>
      </c>
    </row>
    <row r="3982" spans="1:4" s="45" customFormat="1" ht="13.5" x14ac:dyDescent="0.15">
      <c r="A3982" s="45" t="s">
        <v>41</v>
      </c>
      <c r="D3982" s="45" t="s">
        <v>6634</v>
      </c>
    </row>
    <row r="3983" spans="1:4" s="45" customFormat="1" ht="13.5" x14ac:dyDescent="0.15">
      <c r="A3983" s="45" t="s">
        <v>41</v>
      </c>
      <c r="D3983" s="45" t="s">
        <v>6635</v>
      </c>
    </row>
    <row r="3984" spans="1:4" s="45" customFormat="1" ht="13.5" x14ac:dyDescent="0.15">
      <c r="A3984" s="45" t="s">
        <v>41</v>
      </c>
      <c r="D3984" s="45" t="s">
        <v>2420</v>
      </c>
    </row>
    <row r="3985" spans="1:4" s="45" customFormat="1" ht="13.5" x14ac:dyDescent="0.15">
      <c r="A3985" s="45" t="s">
        <v>41</v>
      </c>
      <c r="D3985" s="45" t="s">
        <v>6636</v>
      </c>
    </row>
    <row r="3986" spans="1:4" s="45" customFormat="1" ht="13.5" x14ac:dyDescent="0.15">
      <c r="A3986" s="45" t="s">
        <v>41</v>
      </c>
      <c r="D3986" s="45" t="s">
        <v>2098</v>
      </c>
    </row>
    <row r="3987" spans="1:4" s="45" customFormat="1" ht="13.5" x14ac:dyDescent="0.15">
      <c r="A3987" s="45" t="s">
        <v>41</v>
      </c>
      <c r="D3987" s="45" t="s">
        <v>6637</v>
      </c>
    </row>
    <row r="3988" spans="1:4" s="45" customFormat="1" ht="13.5" x14ac:dyDescent="0.15">
      <c r="A3988" s="45" t="s">
        <v>41</v>
      </c>
      <c r="D3988" s="45" t="s">
        <v>6638</v>
      </c>
    </row>
    <row r="3989" spans="1:4" s="45" customFormat="1" ht="13.5" x14ac:dyDescent="0.15">
      <c r="A3989" s="45" t="s">
        <v>41</v>
      </c>
      <c r="D3989" s="45" t="s">
        <v>6639</v>
      </c>
    </row>
    <row r="3990" spans="1:4" s="45" customFormat="1" ht="13.5" x14ac:dyDescent="0.15">
      <c r="A3990" s="45" t="s">
        <v>41</v>
      </c>
      <c r="D3990" s="45" t="s">
        <v>1768</v>
      </c>
    </row>
    <row r="3991" spans="1:4" s="45" customFormat="1" ht="13.5" x14ac:dyDescent="0.15">
      <c r="A3991" s="45" t="s">
        <v>41</v>
      </c>
      <c r="D3991" s="45" t="s">
        <v>6640</v>
      </c>
    </row>
    <row r="3992" spans="1:4" s="45" customFormat="1" ht="13.5" x14ac:dyDescent="0.15">
      <c r="A3992" s="45" t="s">
        <v>41</v>
      </c>
      <c r="D3992" s="45" t="s">
        <v>6641</v>
      </c>
    </row>
    <row r="3993" spans="1:4" s="45" customFormat="1" ht="13.5" x14ac:dyDescent="0.15">
      <c r="A3993" s="45" t="s">
        <v>41</v>
      </c>
      <c r="D3993" s="45" t="s">
        <v>6642</v>
      </c>
    </row>
    <row r="3994" spans="1:4" s="45" customFormat="1" ht="13.5" x14ac:dyDescent="0.15">
      <c r="A3994" s="45" t="s">
        <v>41</v>
      </c>
      <c r="D3994" s="45" t="s">
        <v>6643</v>
      </c>
    </row>
    <row r="3995" spans="1:4" s="45" customFormat="1" ht="13.5" x14ac:dyDescent="0.15">
      <c r="A3995" s="45" t="s">
        <v>41</v>
      </c>
      <c r="D3995" s="45" t="s">
        <v>2609</v>
      </c>
    </row>
    <row r="3996" spans="1:4" s="45" customFormat="1" ht="13.5" x14ac:dyDescent="0.15">
      <c r="A3996" s="45" t="s">
        <v>41</v>
      </c>
      <c r="D3996" s="45" t="s">
        <v>6644</v>
      </c>
    </row>
    <row r="3997" spans="1:4" s="45" customFormat="1" ht="13.5" x14ac:dyDescent="0.15">
      <c r="A3997" s="45" t="s">
        <v>41</v>
      </c>
      <c r="D3997" s="45" t="s">
        <v>6645</v>
      </c>
    </row>
    <row r="3998" spans="1:4" s="45" customFormat="1" ht="13.5" x14ac:dyDescent="0.15">
      <c r="A3998" s="45" t="s">
        <v>41</v>
      </c>
      <c r="D3998" s="45" t="s">
        <v>6646</v>
      </c>
    </row>
    <row r="3999" spans="1:4" s="45" customFormat="1" ht="13.5" x14ac:dyDescent="0.15">
      <c r="A3999" s="45" t="s">
        <v>41</v>
      </c>
      <c r="D3999" s="45" t="s">
        <v>6647</v>
      </c>
    </row>
    <row r="4000" spans="1:4" s="45" customFormat="1" ht="13.5" x14ac:dyDescent="0.15">
      <c r="A4000" s="45" t="s">
        <v>41</v>
      </c>
      <c r="D4000" s="45" t="s">
        <v>6648</v>
      </c>
    </row>
    <row r="4001" spans="1:4" s="45" customFormat="1" ht="13.5" x14ac:dyDescent="0.15">
      <c r="A4001" s="45" t="s">
        <v>41</v>
      </c>
      <c r="D4001" s="45" t="s">
        <v>6649</v>
      </c>
    </row>
    <row r="4002" spans="1:4" s="45" customFormat="1" ht="13.5" x14ac:dyDescent="0.15">
      <c r="A4002" s="45" t="s">
        <v>41</v>
      </c>
      <c r="D4002" s="45" t="s">
        <v>6650</v>
      </c>
    </row>
    <row r="4003" spans="1:4" s="45" customFormat="1" ht="13.5" x14ac:dyDescent="0.15">
      <c r="A4003" s="45" t="s">
        <v>41</v>
      </c>
      <c r="D4003" s="45" t="s">
        <v>6651</v>
      </c>
    </row>
    <row r="4004" spans="1:4" s="45" customFormat="1" ht="13.5" x14ac:dyDescent="0.15">
      <c r="A4004" s="45" t="s">
        <v>41</v>
      </c>
      <c r="D4004" s="45" t="s">
        <v>6652</v>
      </c>
    </row>
    <row r="4005" spans="1:4" s="45" customFormat="1" ht="13.5" x14ac:dyDescent="0.15">
      <c r="A4005" s="45" t="s">
        <v>41</v>
      </c>
      <c r="D4005" s="45" t="s">
        <v>6653</v>
      </c>
    </row>
    <row r="4006" spans="1:4" s="45" customFormat="1" ht="13.5" x14ac:dyDescent="0.15">
      <c r="A4006" s="45" t="s">
        <v>41</v>
      </c>
      <c r="D4006" s="45" t="s">
        <v>6654</v>
      </c>
    </row>
    <row r="4007" spans="1:4" s="45" customFormat="1" ht="13.5" x14ac:dyDescent="0.15">
      <c r="A4007" s="45" t="s">
        <v>41</v>
      </c>
      <c r="D4007" s="45" t="s">
        <v>6655</v>
      </c>
    </row>
    <row r="4008" spans="1:4" s="45" customFormat="1" ht="13.5" x14ac:dyDescent="0.15">
      <c r="A4008" s="45" t="s">
        <v>41</v>
      </c>
      <c r="D4008" s="45" t="s">
        <v>6656</v>
      </c>
    </row>
    <row r="4009" spans="1:4" s="45" customFormat="1" ht="13.5" x14ac:dyDescent="0.15">
      <c r="A4009" s="45" t="s">
        <v>41</v>
      </c>
      <c r="D4009" s="45" t="s">
        <v>6657</v>
      </c>
    </row>
    <row r="4010" spans="1:4" s="45" customFormat="1" ht="13.5" x14ac:dyDescent="0.15">
      <c r="A4010" s="45" t="s">
        <v>41</v>
      </c>
      <c r="D4010" s="45" t="s">
        <v>1294</v>
      </c>
    </row>
    <row r="4011" spans="1:4" s="45" customFormat="1" ht="13.5" x14ac:dyDescent="0.15">
      <c r="A4011" s="45" t="s">
        <v>41</v>
      </c>
      <c r="D4011" s="45" t="s">
        <v>6658</v>
      </c>
    </row>
    <row r="4012" spans="1:4" s="45" customFormat="1" ht="13.5" x14ac:dyDescent="0.15">
      <c r="A4012" s="45" t="s">
        <v>41</v>
      </c>
      <c r="D4012" s="45" t="s">
        <v>1295</v>
      </c>
    </row>
    <row r="4013" spans="1:4" s="45" customFormat="1" ht="13.5" x14ac:dyDescent="0.15">
      <c r="A4013" s="45" t="s">
        <v>41</v>
      </c>
      <c r="D4013" s="45" t="s">
        <v>6659</v>
      </c>
    </row>
    <row r="4014" spans="1:4" s="45" customFormat="1" ht="13.5" x14ac:dyDescent="0.15">
      <c r="A4014" s="45" t="s">
        <v>41</v>
      </c>
      <c r="D4014" s="45" t="s">
        <v>1311</v>
      </c>
    </row>
    <row r="4015" spans="1:4" s="45" customFormat="1" ht="13.5" x14ac:dyDescent="0.15">
      <c r="A4015" s="45" t="s">
        <v>41</v>
      </c>
      <c r="D4015" s="45" t="s">
        <v>6660</v>
      </c>
    </row>
    <row r="4016" spans="1:4" s="45" customFormat="1" ht="13.5" x14ac:dyDescent="0.15">
      <c r="A4016" s="45" t="s">
        <v>41</v>
      </c>
      <c r="D4016" s="45" t="s">
        <v>6661</v>
      </c>
    </row>
    <row r="4017" spans="1:4" s="45" customFormat="1" ht="13.5" x14ac:dyDescent="0.15">
      <c r="A4017" s="45" t="s">
        <v>41</v>
      </c>
      <c r="D4017" s="45" t="s">
        <v>6662</v>
      </c>
    </row>
    <row r="4018" spans="1:4" s="45" customFormat="1" ht="13.5" x14ac:dyDescent="0.15">
      <c r="A4018" s="45" t="s">
        <v>41</v>
      </c>
      <c r="D4018" s="45" t="s">
        <v>6663</v>
      </c>
    </row>
    <row r="4019" spans="1:4" s="45" customFormat="1" ht="13.5" x14ac:dyDescent="0.15">
      <c r="A4019" s="45" t="s">
        <v>41</v>
      </c>
      <c r="D4019" s="45" t="s">
        <v>6664</v>
      </c>
    </row>
    <row r="4020" spans="1:4" s="45" customFormat="1" ht="13.5" x14ac:dyDescent="0.15">
      <c r="A4020" s="45" t="s">
        <v>41</v>
      </c>
      <c r="D4020" s="45" t="s">
        <v>1301</v>
      </c>
    </row>
    <row r="4021" spans="1:4" s="45" customFormat="1" ht="13.5" x14ac:dyDescent="0.15">
      <c r="A4021" s="45" t="s">
        <v>41</v>
      </c>
      <c r="D4021" s="45" t="s">
        <v>1318</v>
      </c>
    </row>
    <row r="4022" spans="1:4" s="45" customFormat="1" ht="13.5" x14ac:dyDescent="0.15">
      <c r="A4022" s="45" t="s">
        <v>41</v>
      </c>
      <c r="D4022" s="45" t="s">
        <v>6665</v>
      </c>
    </row>
    <row r="4023" spans="1:4" s="45" customFormat="1" ht="13.5" x14ac:dyDescent="0.15">
      <c r="A4023" s="45" t="s">
        <v>41</v>
      </c>
      <c r="D4023" s="45" t="s">
        <v>6666</v>
      </c>
    </row>
    <row r="4024" spans="1:4" s="45" customFormat="1" ht="13.5" x14ac:dyDescent="0.15">
      <c r="A4024" s="45" t="s">
        <v>41</v>
      </c>
      <c r="D4024" s="45" t="s">
        <v>1297</v>
      </c>
    </row>
    <row r="4025" spans="1:4" s="45" customFormat="1" ht="13.5" x14ac:dyDescent="0.15">
      <c r="A4025" s="45" t="s">
        <v>41</v>
      </c>
      <c r="D4025" s="45" t="s">
        <v>1296</v>
      </c>
    </row>
    <row r="4026" spans="1:4" s="45" customFormat="1" ht="13.5" x14ac:dyDescent="0.15">
      <c r="A4026" s="45" t="s">
        <v>41</v>
      </c>
      <c r="D4026" s="45" t="s">
        <v>6667</v>
      </c>
    </row>
    <row r="4027" spans="1:4" s="45" customFormat="1" ht="13.5" x14ac:dyDescent="0.15">
      <c r="A4027" s="45" t="s">
        <v>41</v>
      </c>
      <c r="D4027" s="45" t="s">
        <v>6668</v>
      </c>
    </row>
    <row r="4028" spans="1:4" s="45" customFormat="1" ht="13.5" x14ac:dyDescent="0.15">
      <c r="A4028" s="45" t="s">
        <v>41</v>
      </c>
      <c r="D4028" s="45" t="s">
        <v>6669</v>
      </c>
    </row>
    <row r="4029" spans="1:4" s="45" customFormat="1" ht="13.5" x14ac:dyDescent="0.15">
      <c r="A4029" s="45" t="s">
        <v>41</v>
      </c>
      <c r="D4029" s="45" t="s">
        <v>6670</v>
      </c>
    </row>
    <row r="4030" spans="1:4" s="45" customFormat="1" ht="13.5" x14ac:dyDescent="0.15">
      <c r="A4030" s="45" t="s">
        <v>41</v>
      </c>
      <c r="D4030" s="45" t="s">
        <v>1307</v>
      </c>
    </row>
    <row r="4031" spans="1:4" s="45" customFormat="1" ht="13.5" x14ac:dyDescent="0.15">
      <c r="A4031" s="45" t="s">
        <v>41</v>
      </c>
      <c r="D4031" s="45" t="s">
        <v>1308</v>
      </c>
    </row>
    <row r="4032" spans="1:4" s="45" customFormat="1" ht="13.5" x14ac:dyDescent="0.15">
      <c r="A4032" s="45" t="s">
        <v>41</v>
      </c>
      <c r="D4032" s="45" t="s">
        <v>6671</v>
      </c>
    </row>
    <row r="4033" spans="1:4" s="45" customFormat="1" ht="13.5" x14ac:dyDescent="0.15">
      <c r="A4033" s="45" t="s">
        <v>41</v>
      </c>
      <c r="D4033" s="45" t="s">
        <v>6672</v>
      </c>
    </row>
    <row r="4034" spans="1:4" s="45" customFormat="1" ht="13.5" x14ac:dyDescent="0.15">
      <c r="A4034" s="45" t="s">
        <v>41</v>
      </c>
      <c r="D4034" s="45" t="s">
        <v>6673</v>
      </c>
    </row>
    <row r="4035" spans="1:4" s="45" customFormat="1" ht="13.5" x14ac:dyDescent="0.15">
      <c r="A4035" s="45" t="s">
        <v>41</v>
      </c>
      <c r="D4035" s="45" t="s">
        <v>6674</v>
      </c>
    </row>
    <row r="4036" spans="1:4" s="45" customFormat="1" ht="13.5" x14ac:dyDescent="0.15">
      <c r="A4036" s="45" t="s">
        <v>41</v>
      </c>
      <c r="D4036" s="45" t="s">
        <v>1314</v>
      </c>
    </row>
    <row r="4037" spans="1:4" s="45" customFormat="1" ht="13.5" x14ac:dyDescent="0.15">
      <c r="A4037" s="45" t="s">
        <v>41</v>
      </c>
      <c r="D4037" s="45" t="s">
        <v>6675</v>
      </c>
    </row>
    <row r="4038" spans="1:4" s="45" customFormat="1" ht="13.5" x14ac:dyDescent="0.15">
      <c r="A4038" s="45" t="s">
        <v>41</v>
      </c>
      <c r="D4038" s="45" t="s">
        <v>6676</v>
      </c>
    </row>
    <row r="4039" spans="1:4" s="45" customFormat="1" ht="13.5" x14ac:dyDescent="0.15">
      <c r="A4039" s="45" t="s">
        <v>41</v>
      </c>
      <c r="D4039" s="45" t="s">
        <v>6677</v>
      </c>
    </row>
    <row r="4040" spans="1:4" s="45" customFormat="1" ht="13.5" x14ac:dyDescent="0.15">
      <c r="A4040" s="45" t="s">
        <v>41</v>
      </c>
      <c r="D4040" s="45" t="s">
        <v>6678</v>
      </c>
    </row>
    <row r="4041" spans="1:4" s="45" customFormat="1" ht="13.5" x14ac:dyDescent="0.15">
      <c r="A4041" s="45" t="s">
        <v>41</v>
      </c>
      <c r="D4041" s="45" t="s">
        <v>6679</v>
      </c>
    </row>
    <row r="4042" spans="1:4" s="45" customFormat="1" ht="13.5" x14ac:dyDescent="0.15">
      <c r="A4042" s="45" t="s">
        <v>41</v>
      </c>
      <c r="D4042" s="45" t="s">
        <v>1317</v>
      </c>
    </row>
    <row r="4043" spans="1:4" s="45" customFormat="1" ht="13.5" x14ac:dyDescent="0.15">
      <c r="A4043" s="45" t="s">
        <v>41</v>
      </c>
      <c r="D4043" s="45" t="s">
        <v>6680</v>
      </c>
    </row>
    <row r="4044" spans="1:4" s="45" customFormat="1" ht="13.5" x14ac:dyDescent="0.15">
      <c r="A4044" s="45" t="s">
        <v>41</v>
      </c>
      <c r="D4044" s="45" t="s">
        <v>6681</v>
      </c>
    </row>
    <row r="4045" spans="1:4" s="45" customFormat="1" ht="13.5" x14ac:dyDescent="0.15">
      <c r="A4045" s="45" t="s">
        <v>41</v>
      </c>
      <c r="D4045" s="45" t="s">
        <v>6682</v>
      </c>
    </row>
    <row r="4046" spans="1:4" s="45" customFormat="1" ht="13.5" x14ac:dyDescent="0.15">
      <c r="A4046" s="45" t="s">
        <v>41</v>
      </c>
      <c r="D4046" s="45" t="s">
        <v>6683</v>
      </c>
    </row>
    <row r="4047" spans="1:4" s="45" customFormat="1" ht="13.5" x14ac:dyDescent="0.15">
      <c r="A4047" s="45" t="s">
        <v>41</v>
      </c>
      <c r="D4047" s="45" t="s">
        <v>1312</v>
      </c>
    </row>
    <row r="4048" spans="1:4" s="45" customFormat="1" ht="13.5" x14ac:dyDescent="0.15">
      <c r="A4048" s="45" t="s">
        <v>41</v>
      </c>
      <c r="D4048" s="45" t="s">
        <v>6684</v>
      </c>
    </row>
    <row r="4049" spans="1:4" s="45" customFormat="1" ht="13.5" x14ac:dyDescent="0.15">
      <c r="A4049" s="45" t="s">
        <v>41</v>
      </c>
      <c r="D4049" s="45" t="s">
        <v>6685</v>
      </c>
    </row>
    <row r="4050" spans="1:4" s="45" customFormat="1" ht="13.5" x14ac:dyDescent="0.15">
      <c r="A4050" s="45" t="s">
        <v>41</v>
      </c>
      <c r="D4050" s="45" t="s">
        <v>1293</v>
      </c>
    </row>
    <row r="4051" spans="1:4" s="45" customFormat="1" ht="13.5" x14ac:dyDescent="0.15">
      <c r="A4051" s="45" t="s">
        <v>41</v>
      </c>
      <c r="D4051" s="45" t="s">
        <v>6686</v>
      </c>
    </row>
    <row r="4052" spans="1:4" s="45" customFormat="1" ht="13.5" x14ac:dyDescent="0.15">
      <c r="A4052" s="45" t="s">
        <v>41</v>
      </c>
      <c r="D4052" s="45" t="s">
        <v>1300</v>
      </c>
    </row>
    <row r="4053" spans="1:4" s="45" customFormat="1" ht="13.5" x14ac:dyDescent="0.15">
      <c r="A4053" s="45" t="s">
        <v>41</v>
      </c>
      <c r="D4053" s="45" t="s">
        <v>6687</v>
      </c>
    </row>
    <row r="4054" spans="1:4" s="45" customFormat="1" ht="13.5" x14ac:dyDescent="0.15">
      <c r="A4054" s="45" t="s">
        <v>41</v>
      </c>
      <c r="D4054" s="45" t="s">
        <v>1321</v>
      </c>
    </row>
    <row r="4055" spans="1:4" s="45" customFormat="1" ht="13.5" x14ac:dyDescent="0.15">
      <c r="A4055" s="45" t="s">
        <v>41</v>
      </c>
      <c r="D4055" s="45" t="s">
        <v>1319</v>
      </c>
    </row>
    <row r="4056" spans="1:4" s="45" customFormat="1" ht="13.5" x14ac:dyDescent="0.15">
      <c r="A4056" s="45" t="s">
        <v>41</v>
      </c>
      <c r="D4056" s="45" t="s">
        <v>6688</v>
      </c>
    </row>
    <row r="4057" spans="1:4" s="45" customFormat="1" ht="13.5" x14ac:dyDescent="0.15">
      <c r="A4057" s="45" t="s">
        <v>41</v>
      </c>
      <c r="D4057" s="45" t="s">
        <v>6689</v>
      </c>
    </row>
    <row r="4058" spans="1:4" s="45" customFormat="1" ht="13.5" x14ac:dyDescent="0.15">
      <c r="A4058" s="45" t="s">
        <v>41</v>
      </c>
      <c r="D4058" s="45" t="s">
        <v>6690</v>
      </c>
    </row>
    <row r="4059" spans="1:4" s="45" customFormat="1" ht="13.5" x14ac:dyDescent="0.15">
      <c r="A4059" s="45" t="s">
        <v>41</v>
      </c>
      <c r="D4059" s="45" t="s">
        <v>6691</v>
      </c>
    </row>
    <row r="4060" spans="1:4" s="45" customFormat="1" ht="13.5" x14ac:dyDescent="0.15">
      <c r="A4060" s="45" t="s">
        <v>41</v>
      </c>
      <c r="D4060" s="45" t="s">
        <v>1313</v>
      </c>
    </row>
    <row r="4061" spans="1:4" s="45" customFormat="1" ht="13.5" x14ac:dyDescent="0.15">
      <c r="A4061" s="45" t="s">
        <v>41</v>
      </c>
      <c r="D4061" s="45" t="s">
        <v>1322</v>
      </c>
    </row>
    <row r="4062" spans="1:4" s="45" customFormat="1" ht="13.5" x14ac:dyDescent="0.15">
      <c r="A4062" s="45" t="s">
        <v>41</v>
      </c>
      <c r="D4062" s="45" t="s">
        <v>6692</v>
      </c>
    </row>
    <row r="4063" spans="1:4" s="45" customFormat="1" ht="13.5" x14ac:dyDescent="0.15">
      <c r="A4063" s="45" t="s">
        <v>41</v>
      </c>
      <c r="D4063" s="45" t="s">
        <v>1326</v>
      </c>
    </row>
    <row r="4064" spans="1:4" s="45" customFormat="1" ht="13.5" x14ac:dyDescent="0.15">
      <c r="A4064" s="45" t="s">
        <v>41</v>
      </c>
      <c r="D4064" s="45" t="s">
        <v>6693</v>
      </c>
    </row>
    <row r="4065" spans="1:4" s="45" customFormat="1" ht="13.5" x14ac:dyDescent="0.15">
      <c r="A4065" s="45" t="s">
        <v>41</v>
      </c>
      <c r="D4065" s="45" t="s">
        <v>6694</v>
      </c>
    </row>
    <row r="4066" spans="1:4" s="45" customFormat="1" ht="13.5" x14ac:dyDescent="0.15">
      <c r="A4066" s="45" t="s">
        <v>41</v>
      </c>
      <c r="D4066" s="45" t="s">
        <v>1303</v>
      </c>
    </row>
    <row r="4067" spans="1:4" s="45" customFormat="1" ht="13.5" x14ac:dyDescent="0.15">
      <c r="A4067" s="45" t="s">
        <v>41</v>
      </c>
      <c r="D4067" s="45" t="s">
        <v>1304</v>
      </c>
    </row>
    <row r="4068" spans="1:4" s="45" customFormat="1" ht="13.5" x14ac:dyDescent="0.15">
      <c r="A4068" s="45" t="s">
        <v>41</v>
      </c>
      <c r="D4068" s="45" t="s">
        <v>6695</v>
      </c>
    </row>
    <row r="4069" spans="1:4" s="45" customFormat="1" ht="13.5" x14ac:dyDescent="0.15">
      <c r="A4069" s="45" t="s">
        <v>41</v>
      </c>
      <c r="D4069" s="45" t="s">
        <v>1310</v>
      </c>
    </row>
    <row r="4070" spans="1:4" s="45" customFormat="1" ht="13.5" x14ac:dyDescent="0.15">
      <c r="A4070" s="45" t="s">
        <v>41</v>
      </c>
      <c r="D4070" s="45" t="s">
        <v>6696</v>
      </c>
    </row>
    <row r="4071" spans="1:4" s="45" customFormat="1" ht="13.5" x14ac:dyDescent="0.15">
      <c r="A4071" s="45" t="s">
        <v>41</v>
      </c>
      <c r="D4071" s="45" t="s">
        <v>6697</v>
      </c>
    </row>
    <row r="4072" spans="1:4" s="45" customFormat="1" ht="13.5" x14ac:dyDescent="0.15">
      <c r="A4072" s="45" t="s">
        <v>41</v>
      </c>
      <c r="D4072" s="45" t="s">
        <v>1299</v>
      </c>
    </row>
    <row r="4073" spans="1:4" s="45" customFormat="1" ht="13.5" x14ac:dyDescent="0.15">
      <c r="A4073" s="45" t="s">
        <v>41</v>
      </c>
      <c r="D4073" s="45" t="s">
        <v>6698</v>
      </c>
    </row>
    <row r="4074" spans="1:4" s="45" customFormat="1" ht="13.5" x14ac:dyDescent="0.15">
      <c r="A4074" s="45" t="s">
        <v>41</v>
      </c>
      <c r="D4074" s="45" t="s">
        <v>6699</v>
      </c>
    </row>
    <row r="4075" spans="1:4" s="45" customFormat="1" ht="13.5" x14ac:dyDescent="0.15">
      <c r="A4075" s="45" t="s">
        <v>41</v>
      </c>
      <c r="D4075" s="45" t="s">
        <v>6700</v>
      </c>
    </row>
    <row r="4076" spans="1:4" s="45" customFormat="1" ht="13.5" x14ac:dyDescent="0.15">
      <c r="A4076" s="45" t="s">
        <v>41</v>
      </c>
      <c r="D4076" s="45" t="s">
        <v>6701</v>
      </c>
    </row>
    <row r="4077" spans="1:4" s="45" customFormat="1" ht="13.5" x14ac:dyDescent="0.15">
      <c r="A4077" s="45" t="s">
        <v>41</v>
      </c>
      <c r="D4077" s="45" t="s">
        <v>1309</v>
      </c>
    </row>
    <row r="4078" spans="1:4" s="45" customFormat="1" ht="13.5" x14ac:dyDescent="0.15">
      <c r="A4078" s="45" t="s">
        <v>41</v>
      </c>
      <c r="D4078" s="45" t="s">
        <v>1324</v>
      </c>
    </row>
    <row r="4079" spans="1:4" s="45" customFormat="1" ht="13.5" x14ac:dyDescent="0.15">
      <c r="A4079" s="45" t="s">
        <v>41</v>
      </c>
      <c r="D4079" s="45" t="s">
        <v>1323</v>
      </c>
    </row>
    <row r="4080" spans="1:4" s="45" customFormat="1" ht="13.5" x14ac:dyDescent="0.15">
      <c r="A4080" s="45" t="s">
        <v>41</v>
      </c>
      <c r="D4080" s="45" t="s">
        <v>6702</v>
      </c>
    </row>
    <row r="4081" spans="1:4" s="45" customFormat="1" ht="13.5" x14ac:dyDescent="0.15">
      <c r="A4081" s="45" t="s">
        <v>41</v>
      </c>
      <c r="D4081" s="45" t="s">
        <v>1305</v>
      </c>
    </row>
    <row r="4082" spans="1:4" s="45" customFormat="1" ht="13.5" x14ac:dyDescent="0.15">
      <c r="A4082" s="45" t="s">
        <v>41</v>
      </c>
      <c r="D4082" s="45" t="s">
        <v>6703</v>
      </c>
    </row>
    <row r="4083" spans="1:4" s="45" customFormat="1" ht="13.5" x14ac:dyDescent="0.15">
      <c r="A4083" s="45" t="s">
        <v>41</v>
      </c>
      <c r="D4083" s="45" t="s">
        <v>6704</v>
      </c>
    </row>
    <row r="4084" spans="1:4" s="45" customFormat="1" ht="13.5" x14ac:dyDescent="0.15">
      <c r="A4084" s="45" t="s">
        <v>41</v>
      </c>
      <c r="D4084" s="45" t="s">
        <v>6705</v>
      </c>
    </row>
    <row r="4085" spans="1:4" s="45" customFormat="1" ht="13.5" x14ac:dyDescent="0.15">
      <c r="A4085" s="45" t="s">
        <v>41</v>
      </c>
      <c r="D4085" s="45" t="s">
        <v>6706</v>
      </c>
    </row>
    <row r="4086" spans="1:4" s="45" customFormat="1" ht="13.5" x14ac:dyDescent="0.15">
      <c r="A4086" s="45" t="s">
        <v>41</v>
      </c>
      <c r="D4086" s="45" t="s">
        <v>6707</v>
      </c>
    </row>
    <row r="4087" spans="1:4" s="45" customFormat="1" ht="13.5" x14ac:dyDescent="0.15">
      <c r="A4087" s="45" t="s">
        <v>41</v>
      </c>
      <c r="D4087" s="45" t="s">
        <v>1292</v>
      </c>
    </row>
    <row r="4088" spans="1:4" s="45" customFormat="1" ht="13.5" x14ac:dyDescent="0.15">
      <c r="A4088" s="45" t="s">
        <v>41</v>
      </c>
      <c r="D4088" s="45" t="s">
        <v>6708</v>
      </c>
    </row>
    <row r="4089" spans="1:4" s="45" customFormat="1" ht="13.5" x14ac:dyDescent="0.15">
      <c r="A4089" s="45" t="s">
        <v>41</v>
      </c>
      <c r="D4089" s="45" t="s">
        <v>6709</v>
      </c>
    </row>
    <row r="4090" spans="1:4" s="45" customFormat="1" ht="13.5" x14ac:dyDescent="0.15">
      <c r="A4090" s="45" t="s">
        <v>41</v>
      </c>
      <c r="D4090" s="45" t="s">
        <v>6710</v>
      </c>
    </row>
    <row r="4091" spans="1:4" s="45" customFormat="1" ht="13.5" x14ac:dyDescent="0.15">
      <c r="A4091" s="45" t="s">
        <v>41</v>
      </c>
      <c r="D4091" s="45" t="s">
        <v>1298</v>
      </c>
    </row>
    <row r="4092" spans="1:4" s="45" customFormat="1" ht="13.5" x14ac:dyDescent="0.15">
      <c r="A4092" s="45" t="s">
        <v>41</v>
      </c>
      <c r="D4092" s="45" t="s">
        <v>6711</v>
      </c>
    </row>
    <row r="4093" spans="1:4" s="45" customFormat="1" ht="13.5" x14ac:dyDescent="0.15">
      <c r="A4093" s="45" t="s">
        <v>41</v>
      </c>
      <c r="D4093" s="45" t="s">
        <v>6712</v>
      </c>
    </row>
    <row r="4094" spans="1:4" s="45" customFormat="1" ht="13.5" x14ac:dyDescent="0.15">
      <c r="A4094" s="45" t="s">
        <v>41</v>
      </c>
      <c r="D4094" s="45" t="s">
        <v>6713</v>
      </c>
    </row>
    <row r="4095" spans="1:4" s="45" customFormat="1" ht="13.5" x14ac:dyDescent="0.15">
      <c r="A4095" s="45" t="s">
        <v>41</v>
      </c>
      <c r="D4095" s="45" t="s">
        <v>6714</v>
      </c>
    </row>
    <row r="4096" spans="1:4" s="45" customFormat="1" ht="13.5" x14ac:dyDescent="0.15">
      <c r="A4096" s="45" t="s">
        <v>41</v>
      </c>
      <c r="D4096" s="45" t="s">
        <v>6715</v>
      </c>
    </row>
    <row r="4097" spans="1:4" s="45" customFormat="1" ht="13.5" x14ac:dyDescent="0.15">
      <c r="A4097" s="45" t="s">
        <v>41</v>
      </c>
      <c r="D4097" s="45" t="s">
        <v>6716</v>
      </c>
    </row>
    <row r="4098" spans="1:4" s="45" customFormat="1" ht="13.5" x14ac:dyDescent="0.15">
      <c r="A4098" s="45" t="s">
        <v>41</v>
      </c>
      <c r="D4098" s="45" t="s">
        <v>6717</v>
      </c>
    </row>
    <row r="4099" spans="1:4" s="45" customFormat="1" ht="13.5" x14ac:dyDescent="0.15">
      <c r="A4099" s="45" t="s">
        <v>41</v>
      </c>
      <c r="D4099" s="45" t="s">
        <v>6718</v>
      </c>
    </row>
    <row r="4100" spans="1:4" s="45" customFormat="1" ht="13.5" x14ac:dyDescent="0.15">
      <c r="A4100" s="45" t="s">
        <v>41</v>
      </c>
      <c r="D4100" s="45" t="s">
        <v>1306</v>
      </c>
    </row>
    <row r="4101" spans="1:4" s="45" customFormat="1" ht="13.5" x14ac:dyDescent="0.15">
      <c r="A4101" s="45" t="s">
        <v>41</v>
      </c>
      <c r="D4101" s="45" t="s">
        <v>1325</v>
      </c>
    </row>
    <row r="4102" spans="1:4" s="45" customFormat="1" ht="13.5" x14ac:dyDescent="0.15">
      <c r="A4102" s="45" t="s">
        <v>41</v>
      </c>
      <c r="D4102" s="45" t="s">
        <v>6719</v>
      </c>
    </row>
    <row r="4103" spans="1:4" s="45" customFormat="1" ht="13.5" x14ac:dyDescent="0.15">
      <c r="A4103" s="45" t="s">
        <v>41</v>
      </c>
      <c r="D4103" s="45" t="s">
        <v>1320</v>
      </c>
    </row>
    <row r="4104" spans="1:4" s="45" customFormat="1" ht="13.5" x14ac:dyDescent="0.15">
      <c r="A4104" s="45" t="s">
        <v>41</v>
      </c>
      <c r="D4104" s="45" t="s">
        <v>6720</v>
      </c>
    </row>
    <row r="4105" spans="1:4" s="45" customFormat="1" ht="13.5" x14ac:dyDescent="0.15">
      <c r="A4105" s="45" t="s">
        <v>41</v>
      </c>
      <c r="D4105" s="45" t="s">
        <v>1302</v>
      </c>
    </row>
    <row r="4106" spans="1:4" s="45" customFormat="1" ht="13.5" x14ac:dyDescent="0.15">
      <c r="A4106" s="45" t="s">
        <v>41</v>
      </c>
      <c r="D4106" s="45" t="s">
        <v>6721</v>
      </c>
    </row>
    <row r="4107" spans="1:4" s="45" customFormat="1" ht="13.5" x14ac:dyDescent="0.15">
      <c r="A4107" s="45" t="s">
        <v>41</v>
      </c>
      <c r="D4107" s="45" t="s">
        <v>6722</v>
      </c>
    </row>
    <row r="4108" spans="1:4" s="45" customFormat="1" ht="13.5" x14ac:dyDescent="0.15">
      <c r="A4108" s="45" t="s">
        <v>41</v>
      </c>
      <c r="D4108" s="45" t="s">
        <v>1315</v>
      </c>
    </row>
    <row r="4109" spans="1:4" s="45" customFormat="1" ht="13.5" x14ac:dyDescent="0.15">
      <c r="A4109" s="45" t="s">
        <v>41</v>
      </c>
      <c r="D4109" s="45" t="s">
        <v>1316</v>
      </c>
    </row>
    <row r="4110" spans="1:4" s="45" customFormat="1" ht="13.5" x14ac:dyDescent="0.15">
      <c r="A4110" s="45" t="s">
        <v>41</v>
      </c>
      <c r="D4110" s="45" t="s">
        <v>6723</v>
      </c>
    </row>
    <row r="4111" spans="1:4" s="45" customFormat="1" ht="13.5" x14ac:dyDescent="0.15">
      <c r="A4111" s="45" t="s">
        <v>41</v>
      </c>
      <c r="D4111" s="45" t="s">
        <v>2297</v>
      </c>
    </row>
    <row r="4112" spans="1:4" s="45" customFormat="1" ht="13.5" x14ac:dyDescent="0.15">
      <c r="A4112" s="45" t="s">
        <v>41</v>
      </c>
      <c r="D4112" s="45" t="s">
        <v>2068</v>
      </c>
    </row>
    <row r="4113" spans="1:4" s="45" customFormat="1" ht="13.5" x14ac:dyDescent="0.15">
      <c r="A4113" s="45" t="s">
        <v>41</v>
      </c>
      <c r="D4113" s="45" t="s">
        <v>6724</v>
      </c>
    </row>
    <row r="4114" spans="1:4" s="45" customFormat="1" ht="13.5" x14ac:dyDescent="0.15">
      <c r="A4114" s="45" t="s">
        <v>41</v>
      </c>
      <c r="D4114" s="45" t="s">
        <v>6725</v>
      </c>
    </row>
    <row r="4115" spans="1:4" s="45" customFormat="1" ht="13.5" x14ac:dyDescent="0.15">
      <c r="A4115" s="45" t="s">
        <v>41</v>
      </c>
      <c r="D4115" s="45" t="s">
        <v>2543</v>
      </c>
    </row>
    <row r="4116" spans="1:4" s="45" customFormat="1" ht="13.5" x14ac:dyDescent="0.15">
      <c r="A4116" s="45" t="s">
        <v>41</v>
      </c>
      <c r="D4116" s="45" t="s">
        <v>6726</v>
      </c>
    </row>
    <row r="4117" spans="1:4" s="45" customFormat="1" ht="13.5" x14ac:dyDescent="0.15">
      <c r="A4117" s="45" t="s">
        <v>41</v>
      </c>
      <c r="D4117" s="45" t="s">
        <v>6727</v>
      </c>
    </row>
    <row r="4118" spans="1:4" s="45" customFormat="1" ht="13.5" x14ac:dyDescent="0.15">
      <c r="A4118" s="45" t="s">
        <v>41</v>
      </c>
      <c r="D4118" s="45" t="s">
        <v>6728</v>
      </c>
    </row>
    <row r="4119" spans="1:4" s="45" customFormat="1" ht="13.5" x14ac:dyDescent="0.15">
      <c r="A4119" s="45" t="s">
        <v>41</v>
      </c>
      <c r="D4119" s="45" t="s">
        <v>6729</v>
      </c>
    </row>
    <row r="4120" spans="1:4" s="45" customFormat="1" ht="13.5" x14ac:dyDescent="0.15">
      <c r="A4120" s="45" t="s">
        <v>41</v>
      </c>
      <c r="D4120" s="45" t="s">
        <v>6730</v>
      </c>
    </row>
    <row r="4121" spans="1:4" s="45" customFormat="1" ht="13.5" x14ac:dyDescent="0.15">
      <c r="A4121" s="45" t="s">
        <v>41</v>
      </c>
      <c r="D4121" s="45" t="s">
        <v>6731</v>
      </c>
    </row>
    <row r="4122" spans="1:4" s="45" customFormat="1" ht="13.5" x14ac:dyDescent="0.15">
      <c r="A4122" s="45" t="s">
        <v>41</v>
      </c>
      <c r="D4122" s="45" t="s">
        <v>6732</v>
      </c>
    </row>
    <row r="4123" spans="1:4" s="45" customFormat="1" ht="13.5" x14ac:dyDescent="0.15">
      <c r="A4123" s="45" t="s">
        <v>41</v>
      </c>
      <c r="D4123" s="45" t="s">
        <v>6733</v>
      </c>
    </row>
    <row r="4124" spans="1:4" s="45" customFormat="1" ht="13.5" x14ac:dyDescent="0.15">
      <c r="A4124" s="45" t="s">
        <v>41</v>
      </c>
      <c r="D4124" s="45" t="s">
        <v>6734</v>
      </c>
    </row>
    <row r="4125" spans="1:4" s="45" customFormat="1" ht="13.5" x14ac:dyDescent="0.15">
      <c r="A4125" s="45" t="s">
        <v>41</v>
      </c>
      <c r="D4125" s="45" t="s">
        <v>6735</v>
      </c>
    </row>
    <row r="4126" spans="1:4" s="45" customFormat="1" ht="13.5" x14ac:dyDescent="0.15">
      <c r="A4126" s="45" t="s">
        <v>41</v>
      </c>
      <c r="D4126" s="45" t="s">
        <v>6736</v>
      </c>
    </row>
    <row r="4127" spans="1:4" s="45" customFormat="1" ht="13.5" x14ac:dyDescent="0.15">
      <c r="A4127" s="45" t="s">
        <v>41</v>
      </c>
      <c r="D4127" s="45" t="s">
        <v>2221</v>
      </c>
    </row>
    <row r="4128" spans="1:4" s="45" customFormat="1" ht="13.5" x14ac:dyDescent="0.15">
      <c r="A4128" s="45" t="s">
        <v>41</v>
      </c>
      <c r="D4128" s="45" t="s">
        <v>6737</v>
      </c>
    </row>
    <row r="4129" spans="1:4" s="45" customFormat="1" ht="13.5" x14ac:dyDescent="0.15">
      <c r="A4129" s="45" t="s">
        <v>41</v>
      </c>
      <c r="D4129" s="45" t="s">
        <v>6738</v>
      </c>
    </row>
    <row r="4130" spans="1:4" s="45" customFormat="1" ht="13.5" x14ac:dyDescent="0.15">
      <c r="A4130" s="45" t="s">
        <v>41</v>
      </c>
      <c r="D4130" s="45" t="s">
        <v>9762</v>
      </c>
    </row>
    <row r="4131" spans="1:4" s="45" customFormat="1" ht="13.5" x14ac:dyDescent="0.15">
      <c r="A4131" s="45" t="s">
        <v>41</v>
      </c>
      <c r="D4131" s="45" t="s">
        <v>6739</v>
      </c>
    </row>
    <row r="4132" spans="1:4" s="45" customFormat="1" ht="13.5" x14ac:dyDescent="0.15">
      <c r="A4132" s="45" t="s">
        <v>41</v>
      </c>
      <c r="D4132" s="45" t="s">
        <v>6740</v>
      </c>
    </row>
    <row r="4133" spans="1:4" s="45" customFormat="1" ht="13.5" x14ac:dyDescent="0.15">
      <c r="A4133" s="45" t="s">
        <v>41</v>
      </c>
      <c r="D4133" s="45" t="s">
        <v>6741</v>
      </c>
    </row>
    <row r="4134" spans="1:4" s="45" customFormat="1" ht="13.5" x14ac:dyDescent="0.15">
      <c r="A4134" s="45" t="s">
        <v>41</v>
      </c>
      <c r="D4134" s="45" t="s">
        <v>9763</v>
      </c>
    </row>
    <row r="4135" spans="1:4" s="45" customFormat="1" ht="13.5" x14ac:dyDescent="0.15">
      <c r="A4135" s="45" t="s">
        <v>41</v>
      </c>
      <c r="D4135" s="45" t="s">
        <v>2237</v>
      </c>
    </row>
    <row r="4136" spans="1:4" s="45" customFormat="1" ht="13.5" x14ac:dyDescent="0.15">
      <c r="A4136" s="45" t="s">
        <v>41</v>
      </c>
      <c r="D4136" s="45" t="s">
        <v>6742</v>
      </c>
    </row>
    <row r="4137" spans="1:4" s="45" customFormat="1" ht="13.5" x14ac:dyDescent="0.15">
      <c r="A4137" s="45" t="s">
        <v>41</v>
      </c>
      <c r="D4137" s="45" t="s">
        <v>6743</v>
      </c>
    </row>
    <row r="4138" spans="1:4" s="45" customFormat="1" ht="13.5" x14ac:dyDescent="0.15">
      <c r="A4138" s="45" t="s">
        <v>41</v>
      </c>
      <c r="D4138" s="45" t="s">
        <v>6744</v>
      </c>
    </row>
    <row r="4139" spans="1:4" s="45" customFormat="1" ht="13.5" x14ac:dyDescent="0.15">
      <c r="A4139" s="45" t="s">
        <v>41</v>
      </c>
      <c r="D4139" s="45" t="s">
        <v>2253</v>
      </c>
    </row>
    <row r="4140" spans="1:4" s="45" customFormat="1" ht="13.5" x14ac:dyDescent="0.15">
      <c r="A4140" s="45" t="s">
        <v>41</v>
      </c>
      <c r="D4140" s="45" t="s">
        <v>2251</v>
      </c>
    </row>
    <row r="4141" spans="1:4" s="45" customFormat="1" ht="13.5" x14ac:dyDescent="0.15">
      <c r="A4141" s="45" t="s">
        <v>41</v>
      </c>
      <c r="D4141" s="45" t="s">
        <v>2249</v>
      </c>
    </row>
    <row r="4142" spans="1:4" s="45" customFormat="1" ht="13.5" x14ac:dyDescent="0.15">
      <c r="A4142" s="45" t="s">
        <v>41</v>
      </c>
      <c r="D4142" s="45" t="s">
        <v>2250</v>
      </c>
    </row>
    <row r="4143" spans="1:4" s="45" customFormat="1" ht="13.5" x14ac:dyDescent="0.15">
      <c r="A4143" s="45" t="s">
        <v>41</v>
      </c>
      <c r="D4143" s="45" t="s">
        <v>6745</v>
      </c>
    </row>
    <row r="4144" spans="1:4" s="45" customFormat="1" ht="13.5" x14ac:dyDescent="0.15">
      <c r="A4144" s="45" t="s">
        <v>41</v>
      </c>
      <c r="D4144" s="45" t="s">
        <v>2252</v>
      </c>
    </row>
    <row r="4145" spans="1:4" s="45" customFormat="1" ht="13.5" x14ac:dyDescent="0.15">
      <c r="A4145" s="45" t="s">
        <v>41</v>
      </c>
      <c r="D4145" s="45" t="s">
        <v>1886</v>
      </c>
    </row>
    <row r="4146" spans="1:4" s="45" customFormat="1" ht="13.5" x14ac:dyDescent="0.15">
      <c r="A4146" s="45" t="s">
        <v>41</v>
      </c>
      <c r="D4146" s="45" t="s">
        <v>1884</v>
      </c>
    </row>
    <row r="4147" spans="1:4" s="45" customFormat="1" ht="13.5" x14ac:dyDescent="0.15">
      <c r="A4147" s="45" t="s">
        <v>41</v>
      </c>
      <c r="D4147" s="45" t="s">
        <v>1885</v>
      </c>
    </row>
    <row r="4148" spans="1:4" s="45" customFormat="1" ht="13.5" x14ac:dyDescent="0.15">
      <c r="A4148" s="45" t="s">
        <v>41</v>
      </c>
      <c r="D4148" s="45" t="s">
        <v>6746</v>
      </c>
    </row>
    <row r="4149" spans="1:4" s="45" customFormat="1" ht="13.5" x14ac:dyDescent="0.15">
      <c r="A4149" s="45" t="s">
        <v>41</v>
      </c>
      <c r="D4149" s="45" t="s">
        <v>6747</v>
      </c>
    </row>
    <row r="4150" spans="1:4" s="45" customFormat="1" ht="13.5" x14ac:dyDescent="0.15">
      <c r="A4150" s="45" t="s">
        <v>41</v>
      </c>
      <c r="D4150" s="45" t="s">
        <v>6748</v>
      </c>
    </row>
    <row r="4151" spans="1:4" s="45" customFormat="1" ht="13.5" x14ac:dyDescent="0.15">
      <c r="A4151" s="45" t="s">
        <v>41</v>
      </c>
      <c r="D4151" s="45" t="s">
        <v>1887</v>
      </c>
    </row>
    <row r="4152" spans="1:4" s="45" customFormat="1" ht="13.5" x14ac:dyDescent="0.15">
      <c r="A4152" s="45" t="s">
        <v>41</v>
      </c>
      <c r="D4152" s="45" t="s">
        <v>1888</v>
      </c>
    </row>
    <row r="4153" spans="1:4" s="45" customFormat="1" ht="13.5" x14ac:dyDescent="0.15">
      <c r="A4153" s="45" t="s">
        <v>41</v>
      </c>
      <c r="D4153" s="45" t="s">
        <v>6749</v>
      </c>
    </row>
    <row r="4154" spans="1:4" s="45" customFormat="1" ht="13.5" x14ac:dyDescent="0.15">
      <c r="A4154" s="45" t="s">
        <v>41</v>
      </c>
      <c r="D4154" s="45" t="s">
        <v>6750</v>
      </c>
    </row>
    <row r="4155" spans="1:4" s="45" customFormat="1" ht="13.5" x14ac:dyDescent="0.15">
      <c r="A4155" s="45" t="s">
        <v>41</v>
      </c>
      <c r="D4155" s="45" t="s">
        <v>6751</v>
      </c>
    </row>
    <row r="4156" spans="1:4" s="45" customFormat="1" ht="13.5" x14ac:dyDescent="0.15">
      <c r="A4156" s="45" t="s">
        <v>41</v>
      </c>
      <c r="D4156" s="45" t="s">
        <v>6752</v>
      </c>
    </row>
    <row r="4157" spans="1:4" s="45" customFormat="1" ht="13.5" x14ac:dyDescent="0.15">
      <c r="A4157" s="45" t="s">
        <v>41</v>
      </c>
      <c r="D4157" s="45" t="s">
        <v>6753</v>
      </c>
    </row>
    <row r="4158" spans="1:4" s="45" customFormat="1" ht="13.5" x14ac:dyDescent="0.15">
      <c r="A4158" s="45" t="s">
        <v>41</v>
      </c>
      <c r="D4158" s="45" t="s">
        <v>6754</v>
      </c>
    </row>
    <row r="4159" spans="1:4" s="45" customFormat="1" ht="13.5" x14ac:dyDescent="0.15">
      <c r="A4159" s="45" t="s">
        <v>41</v>
      </c>
      <c r="D4159" s="45" t="s">
        <v>982</v>
      </c>
    </row>
    <row r="4160" spans="1:4" s="45" customFormat="1" ht="13.5" x14ac:dyDescent="0.15">
      <c r="A4160" s="45" t="s">
        <v>41</v>
      </c>
      <c r="D4160" s="45" t="s">
        <v>763</v>
      </c>
    </row>
    <row r="4161" spans="1:4" s="45" customFormat="1" ht="13.5" x14ac:dyDescent="0.15">
      <c r="A4161" s="45" t="s">
        <v>41</v>
      </c>
      <c r="D4161" s="45" t="s">
        <v>1891</v>
      </c>
    </row>
    <row r="4162" spans="1:4" s="45" customFormat="1" ht="13.5" x14ac:dyDescent="0.15">
      <c r="A4162" s="45" t="s">
        <v>41</v>
      </c>
      <c r="D4162" s="45" t="s">
        <v>6755</v>
      </c>
    </row>
    <row r="4163" spans="1:4" s="45" customFormat="1" ht="13.5" x14ac:dyDescent="0.15">
      <c r="A4163" s="45" t="s">
        <v>41</v>
      </c>
      <c r="D4163" s="45" t="s">
        <v>6756</v>
      </c>
    </row>
    <row r="4164" spans="1:4" s="45" customFormat="1" ht="13.5" x14ac:dyDescent="0.15">
      <c r="A4164" s="45" t="s">
        <v>41</v>
      </c>
      <c r="D4164" s="45" t="s">
        <v>6757</v>
      </c>
    </row>
    <row r="4165" spans="1:4" s="45" customFormat="1" ht="13.5" x14ac:dyDescent="0.15">
      <c r="A4165" s="45" t="s">
        <v>41</v>
      </c>
      <c r="D4165" s="45" t="s">
        <v>6758</v>
      </c>
    </row>
    <row r="4166" spans="1:4" s="45" customFormat="1" ht="13.5" x14ac:dyDescent="0.15">
      <c r="A4166" s="45" t="s">
        <v>41</v>
      </c>
      <c r="D4166" s="45" t="s">
        <v>1601</v>
      </c>
    </row>
    <row r="4167" spans="1:4" s="45" customFormat="1" ht="13.5" x14ac:dyDescent="0.15">
      <c r="A4167" s="45" t="s">
        <v>41</v>
      </c>
      <c r="D4167" s="45" t="s">
        <v>6759</v>
      </c>
    </row>
    <row r="4168" spans="1:4" s="45" customFormat="1" ht="13.5" x14ac:dyDescent="0.15">
      <c r="A4168" s="45" t="s">
        <v>41</v>
      </c>
      <c r="D4168" s="45" t="s">
        <v>6760</v>
      </c>
    </row>
    <row r="4169" spans="1:4" s="45" customFormat="1" ht="13.5" x14ac:dyDescent="0.15">
      <c r="A4169" s="45" t="s">
        <v>41</v>
      </c>
      <c r="D4169" s="45" t="s">
        <v>6761</v>
      </c>
    </row>
    <row r="4170" spans="1:4" s="45" customFormat="1" ht="13.5" x14ac:dyDescent="0.15">
      <c r="A4170" s="45" t="s">
        <v>41</v>
      </c>
      <c r="D4170" s="45" t="s">
        <v>1803</v>
      </c>
    </row>
    <row r="4171" spans="1:4" s="45" customFormat="1" ht="13.5" x14ac:dyDescent="0.15">
      <c r="A4171" s="45" t="s">
        <v>41</v>
      </c>
      <c r="D4171" s="45" t="s">
        <v>6762</v>
      </c>
    </row>
    <row r="4172" spans="1:4" s="45" customFormat="1" ht="13.5" x14ac:dyDescent="0.15">
      <c r="A4172" s="45" t="s">
        <v>41</v>
      </c>
      <c r="D4172" s="45" t="s">
        <v>6763</v>
      </c>
    </row>
    <row r="4173" spans="1:4" s="45" customFormat="1" ht="13.5" x14ac:dyDescent="0.15">
      <c r="A4173" s="45" t="s">
        <v>41</v>
      </c>
      <c r="D4173" s="45" t="s">
        <v>137</v>
      </c>
    </row>
    <row r="4174" spans="1:4" s="45" customFormat="1" ht="13.5" x14ac:dyDescent="0.15">
      <c r="A4174" s="45" t="s">
        <v>41</v>
      </c>
      <c r="D4174" s="45" t="s">
        <v>138</v>
      </c>
    </row>
    <row r="4175" spans="1:4" s="45" customFormat="1" ht="13.5" x14ac:dyDescent="0.15">
      <c r="A4175" s="45" t="s">
        <v>41</v>
      </c>
      <c r="D4175" s="45" t="s">
        <v>6764</v>
      </c>
    </row>
    <row r="4176" spans="1:4" s="45" customFormat="1" ht="13.5" x14ac:dyDescent="0.15">
      <c r="A4176" s="45" t="s">
        <v>41</v>
      </c>
      <c r="D4176" s="45" t="s">
        <v>6765</v>
      </c>
    </row>
    <row r="4177" spans="1:4" s="45" customFormat="1" ht="13.5" x14ac:dyDescent="0.15">
      <c r="A4177" s="45" t="s">
        <v>41</v>
      </c>
      <c r="D4177" s="45" t="s">
        <v>6766</v>
      </c>
    </row>
    <row r="4178" spans="1:4" s="45" customFormat="1" ht="13.5" x14ac:dyDescent="0.15">
      <c r="A4178" s="45" t="s">
        <v>41</v>
      </c>
      <c r="D4178" s="45" t="s">
        <v>6767</v>
      </c>
    </row>
    <row r="4179" spans="1:4" s="45" customFormat="1" ht="13.5" x14ac:dyDescent="0.15">
      <c r="A4179" s="45" t="s">
        <v>41</v>
      </c>
      <c r="D4179" s="45" t="s">
        <v>6768</v>
      </c>
    </row>
    <row r="4180" spans="1:4" s="45" customFormat="1" ht="13.5" x14ac:dyDescent="0.15">
      <c r="A4180" s="45" t="s">
        <v>41</v>
      </c>
      <c r="D4180" s="45" t="s">
        <v>139</v>
      </c>
    </row>
    <row r="4181" spans="1:4" s="45" customFormat="1" ht="13.5" x14ac:dyDescent="0.15">
      <c r="A4181" s="45" t="s">
        <v>41</v>
      </c>
      <c r="D4181" s="45" t="s">
        <v>6769</v>
      </c>
    </row>
    <row r="4182" spans="1:4" s="45" customFormat="1" ht="13.5" x14ac:dyDescent="0.15">
      <c r="A4182" s="45" t="s">
        <v>41</v>
      </c>
      <c r="D4182" s="45" t="s">
        <v>6770</v>
      </c>
    </row>
    <row r="4183" spans="1:4" s="45" customFormat="1" ht="13.5" x14ac:dyDescent="0.15">
      <c r="A4183" s="45" t="s">
        <v>41</v>
      </c>
      <c r="D4183" s="45" t="s">
        <v>350</v>
      </c>
    </row>
    <row r="4184" spans="1:4" s="45" customFormat="1" ht="13.5" x14ac:dyDescent="0.15">
      <c r="A4184" s="45" t="s">
        <v>41</v>
      </c>
      <c r="D4184" s="45" t="s">
        <v>349</v>
      </c>
    </row>
    <row r="4185" spans="1:4" s="45" customFormat="1" ht="13.5" x14ac:dyDescent="0.15">
      <c r="A4185" s="45" t="s">
        <v>41</v>
      </c>
      <c r="D4185" s="45" t="s">
        <v>348</v>
      </c>
    </row>
    <row r="4186" spans="1:4" s="45" customFormat="1" ht="13.5" x14ac:dyDescent="0.15">
      <c r="A4186" s="45" t="s">
        <v>41</v>
      </c>
      <c r="D4186" s="45" t="s">
        <v>6771</v>
      </c>
    </row>
    <row r="4187" spans="1:4" s="45" customFormat="1" ht="13.5" x14ac:dyDescent="0.15">
      <c r="A4187" s="45" t="s">
        <v>41</v>
      </c>
      <c r="D4187" s="45" t="s">
        <v>351</v>
      </c>
    </row>
    <row r="4188" spans="1:4" s="45" customFormat="1" ht="13.5" x14ac:dyDescent="0.15">
      <c r="A4188" s="45" t="s">
        <v>41</v>
      </c>
      <c r="D4188" s="45" t="s">
        <v>352</v>
      </c>
    </row>
    <row r="4189" spans="1:4" s="45" customFormat="1" ht="13.5" x14ac:dyDescent="0.15">
      <c r="A4189" s="45" t="s">
        <v>41</v>
      </c>
      <c r="D4189" s="45" t="s">
        <v>353</v>
      </c>
    </row>
    <row r="4190" spans="1:4" s="45" customFormat="1" ht="13.5" x14ac:dyDescent="0.15">
      <c r="A4190" s="45" t="s">
        <v>41</v>
      </c>
      <c r="D4190" s="45" t="s">
        <v>6772</v>
      </c>
    </row>
    <row r="4191" spans="1:4" s="45" customFormat="1" ht="13.5" x14ac:dyDescent="0.15">
      <c r="A4191" s="45" t="s">
        <v>41</v>
      </c>
      <c r="D4191" s="45" t="s">
        <v>6773</v>
      </c>
    </row>
    <row r="4192" spans="1:4" s="45" customFormat="1" ht="13.5" x14ac:dyDescent="0.15">
      <c r="A4192" s="45" t="s">
        <v>41</v>
      </c>
      <c r="D4192" s="45" t="s">
        <v>6774</v>
      </c>
    </row>
    <row r="4193" spans="1:4" s="45" customFormat="1" ht="13.5" x14ac:dyDescent="0.15">
      <c r="A4193" s="45" t="s">
        <v>41</v>
      </c>
      <c r="D4193" s="45" t="s">
        <v>6775</v>
      </c>
    </row>
    <row r="4194" spans="1:4" s="45" customFormat="1" ht="13.5" x14ac:dyDescent="0.15">
      <c r="A4194" s="45" t="s">
        <v>41</v>
      </c>
      <c r="D4194" s="45" t="s">
        <v>6776</v>
      </c>
    </row>
    <row r="4195" spans="1:4" s="45" customFormat="1" ht="13.5" x14ac:dyDescent="0.15">
      <c r="A4195" s="45" t="s">
        <v>41</v>
      </c>
      <c r="D4195" s="45" t="s">
        <v>6777</v>
      </c>
    </row>
    <row r="4196" spans="1:4" s="45" customFormat="1" ht="13.5" x14ac:dyDescent="0.15">
      <c r="A4196" s="45" t="s">
        <v>41</v>
      </c>
      <c r="D4196" s="45" t="s">
        <v>403</v>
      </c>
    </row>
    <row r="4197" spans="1:4" s="45" customFormat="1" ht="13.5" x14ac:dyDescent="0.15">
      <c r="A4197" s="45" t="s">
        <v>41</v>
      </c>
      <c r="D4197" s="45" t="s">
        <v>6778</v>
      </c>
    </row>
    <row r="4198" spans="1:4" s="45" customFormat="1" ht="13.5" x14ac:dyDescent="0.15">
      <c r="A4198" s="45" t="s">
        <v>41</v>
      </c>
      <c r="D4198" s="45" t="s">
        <v>6779</v>
      </c>
    </row>
    <row r="4199" spans="1:4" s="45" customFormat="1" ht="13.5" x14ac:dyDescent="0.15">
      <c r="A4199" s="45" t="s">
        <v>41</v>
      </c>
      <c r="D4199" s="45" t="s">
        <v>6780</v>
      </c>
    </row>
    <row r="4200" spans="1:4" s="45" customFormat="1" ht="13.5" x14ac:dyDescent="0.15">
      <c r="A4200" s="45" t="s">
        <v>41</v>
      </c>
      <c r="D4200" s="45" t="s">
        <v>6781</v>
      </c>
    </row>
    <row r="4201" spans="1:4" s="45" customFormat="1" ht="13.5" x14ac:dyDescent="0.15">
      <c r="A4201" s="45" t="s">
        <v>41</v>
      </c>
      <c r="D4201" s="45" t="s">
        <v>6782</v>
      </c>
    </row>
    <row r="4202" spans="1:4" s="45" customFormat="1" ht="13.5" x14ac:dyDescent="0.15">
      <c r="A4202" s="45" t="s">
        <v>41</v>
      </c>
      <c r="D4202" s="45" t="s">
        <v>1349</v>
      </c>
    </row>
    <row r="4203" spans="1:4" s="45" customFormat="1" ht="13.5" x14ac:dyDescent="0.15">
      <c r="A4203" s="45" t="s">
        <v>41</v>
      </c>
      <c r="D4203" s="45" t="s">
        <v>1351</v>
      </c>
    </row>
    <row r="4204" spans="1:4" s="45" customFormat="1" ht="13.5" x14ac:dyDescent="0.15">
      <c r="A4204" s="45" t="s">
        <v>41</v>
      </c>
      <c r="D4204" s="45" t="s">
        <v>6783</v>
      </c>
    </row>
    <row r="4205" spans="1:4" s="45" customFormat="1" ht="13.5" x14ac:dyDescent="0.15">
      <c r="A4205" s="45" t="s">
        <v>41</v>
      </c>
      <c r="D4205" s="45" t="s">
        <v>6784</v>
      </c>
    </row>
    <row r="4206" spans="1:4" s="45" customFormat="1" ht="13.5" x14ac:dyDescent="0.15">
      <c r="A4206" s="45" t="s">
        <v>41</v>
      </c>
      <c r="D4206" s="45" t="s">
        <v>1355</v>
      </c>
    </row>
    <row r="4207" spans="1:4" s="45" customFormat="1" ht="13.5" x14ac:dyDescent="0.15">
      <c r="A4207" s="45" t="s">
        <v>41</v>
      </c>
      <c r="D4207" s="45" t="s">
        <v>1348</v>
      </c>
    </row>
    <row r="4208" spans="1:4" s="45" customFormat="1" ht="13.5" x14ac:dyDescent="0.15">
      <c r="A4208" s="45" t="s">
        <v>41</v>
      </c>
      <c r="D4208" s="45" t="s">
        <v>6785</v>
      </c>
    </row>
    <row r="4209" spans="1:4" s="45" customFormat="1" ht="13.5" x14ac:dyDescent="0.15">
      <c r="A4209" s="45" t="s">
        <v>41</v>
      </c>
      <c r="D4209" s="45" t="s">
        <v>1353</v>
      </c>
    </row>
    <row r="4210" spans="1:4" s="45" customFormat="1" ht="13.5" x14ac:dyDescent="0.15">
      <c r="A4210" s="45" t="s">
        <v>41</v>
      </c>
      <c r="D4210" s="45" t="s">
        <v>6786</v>
      </c>
    </row>
    <row r="4211" spans="1:4" s="45" customFormat="1" ht="13.5" x14ac:dyDescent="0.15">
      <c r="A4211" s="45" t="s">
        <v>41</v>
      </c>
      <c r="D4211" s="45" t="s">
        <v>6787</v>
      </c>
    </row>
    <row r="4212" spans="1:4" s="45" customFormat="1" ht="13.5" x14ac:dyDescent="0.15">
      <c r="A4212" s="45" t="s">
        <v>41</v>
      </c>
      <c r="D4212" s="45" t="s">
        <v>1350</v>
      </c>
    </row>
    <row r="4213" spans="1:4" s="45" customFormat="1" ht="13.5" x14ac:dyDescent="0.15">
      <c r="A4213" s="45" t="s">
        <v>41</v>
      </c>
      <c r="D4213" s="45" t="s">
        <v>1347</v>
      </c>
    </row>
    <row r="4214" spans="1:4" s="45" customFormat="1" ht="13.5" x14ac:dyDescent="0.15">
      <c r="A4214" s="45" t="s">
        <v>41</v>
      </c>
      <c r="D4214" s="45" t="s">
        <v>6788</v>
      </c>
    </row>
    <row r="4215" spans="1:4" s="45" customFormat="1" ht="13.5" x14ac:dyDescent="0.15">
      <c r="A4215" s="45" t="s">
        <v>41</v>
      </c>
      <c r="D4215" s="45" t="s">
        <v>6789</v>
      </c>
    </row>
    <row r="4216" spans="1:4" s="45" customFormat="1" ht="13.5" x14ac:dyDescent="0.15">
      <c r="A4216" s="45" t="s">
        <v>41</v>
      </c>
      <c r="D4216" s="45" t="s">
        <v>1352</v>
      </c>
    </row>
    <row r="4217" spans="1:4" s="45" customFormat="1" ht="13.5" x14ac:dyDescent="0.15">
      <c r="A4217" s="45" t="s">
        <v>41</v>
      </c>
      <c r="D4217" s="45" t="s">
        <v>1354</v>
      </c>
    </row>
    <row r="4218" spans="1:4" s="45" customFormat="1" ht="13.5" x14ac:dyDescent="0.15">
      <c r="A4218" s="45" t="s">
        <v>41</v>
      </c>
      <c r="D4218" s="45" t="s">
        <v>6790</v>
      </c>
    </row>
    <row r="4219" spans="1:4" s="45" customFormat="1" ht="13.5" x14ac:dyDescent="0.15">
      <c r="A4219" s="45" t="s">
        <v>41</v>
      </c>
      <c r="D4219" s="45" t="s">
        <v>6791</v>
      </c>
    </row>
    <row r="4220" spans="1:4" s="45" customFormat="1" ht="13.5" x14ac:dyDescent="0.15">
      <c r="A4220" s="45" t="s">
        <v>41</v>
      </c>
      <c r="D4220" s="45" t="s">
        <v>1501</v>
      </c>
    </row>
    <row r="4221" spans="1:4" s="45" customFormat="1" ht="13.5" x14ac:dyDescent="0.15">
      <c r="A4221" s="45" t="s">
        <v>41</v>
      </c>
      <c r="D4221" s="45" t="s">
        <v>2204</v>
      </c>
    </row>
    <row r="4222" spans="1:4" s="45" customFormat="1" ht="13.5" x14ac:dyDescent="0.15">
      <c r="A4222" s="45" t="s">
        <v>41</v>
      </c>
      <c r="D4222" s="45" t="s">
        <v>1587</v>
      </c>
    </row>
    <row r="4223" spans="1:4" s="45" customFormat="1" ht="13.5" x14ac:dyDescent="0.15">
      <c r="A4223" s="45" t="s">
        <v>41</v>
      </c>
      <c r="D4223" s="45" t="s">
        <v>9764</v>
      </c>
    </row>
    <row r="4224" spans="1:4" s="45" customFormat="1" ht="13.5" x14ac:dyDescent="0.15">
      <c r="A4224" s="45" t="s">
        <v>41</v>
      </c>
      <c r="D4224" s="45" t="s">
        <v>1586</v>
      </c>
    </row>
    <row r="4225" spans="1:4" s="45" customFormat="1" ht="13.5" x14ac:dyDescent="0.15">
      <c r="A4225" s="45" t="s">
        <v>41</v>
      </c>
      <c r="D4225" s="45" t="s">
        <v>6792</v>
      </c>
    </row>
    <row r="4226" spans="1:4" s="45" customFormat="1" ht="13.5" x14ac:dyDescent="0.15">
      <c r="A4226" s="45" t="s">
        <v>41</v>
      </c>
      <c r="D4226" s="45" t="s">
        <v>6793</v>
      </c>
    </row>
    <row r="4227" spans="1:4" s="45" customFormat="1" ht="13.5" x14ac:dyDescent="0.15">
      <c r="A4227" s="45" t="s">
        <v>41</v>
      </c>
      <c r="D4227" s="45" t="s">
        <v>6794</v>
      </c>
    </row>
    <row r="4228" spans="1:4" s="45" customFormat="1" ht="13.5" x14ac:dyDescent="0.15">
      <c r="A4228" s="45" t="s">
        <v>41</v>
      </c>
      <c r="D4228" s="45" t="s">
        <v>6795</v>
      </c>
    </row>
    <row r="4229" spans="1:4" s="45" customFormat="1" ht="13.5" x14ac:dyDescent="0.15">
      <c r="A4229" s="45" t="s">
        <v>41</v>
      </c>
      <c r="D4229" s="45" t="s">
        <v>6796</v>
      </c>
    </row>
    <row r="4230" spans="1:4" s="45" customFormat="1" ht="13.5" x14ac:dyDescent="0.15">
      <c r="A4230" s="45" t="s">
        <v>41</v>
      </c>
      <c r="D4230" s="45" t="s">
        <v>6797</v>
      </c>
    </row>
    <row r="4231" spans="1:4" s="45" customFormat="1" ht="13.5" x14ac:dyDescent="0.15">
      <c r="A4231" s="45" t="s">
        <v>41</v>
      </c>
      <c r="D4231" s="45" t="s">
        <v>1503</v>
      </c>
    </row>
    <row r="4232" spans="1:4" s="45" customFormat="1" ht="13.5" x14ac:dyDescent="0.15">
      <c r="A4232" s="45" t="s">
        <v>41</v>
      </c>
      <c r="D4232" s="45" t="s">
        <v>6798</v>
      </c>
    </row>
    <row r="4233" spans="1:4" s="45" customFormat="1" ht="13.5" x14ac:dyDescent="0.15">
      <c r="A4233" s="45" t="s">
        <v>41</v>
      </c>
      <c r="D4233" s="45" t="s">
        <v>6799</v>
      </c>
    </row>
    <row r="4234" spans="1:4" s="45" customFormat="1" ht="13.5" x14ac:dyDescent="0.15">
      <c r="A4234" s="45" t="s">
        <v>41</v>
      </c>
      <c r="D4234" s="45" t="s">
        <v>6800</v>
      </c>
    </row>
    <row r="4235" spans="1:4" s="45" customFormat="1" ht="13.5" x14ac:dyDescent="0.15">
      <c r="A4235" s="45" t="s">
        <v>41</v>
      </c>
      <c r="D4235" s="45" t="s">
        <v>6801</v>
      </c>
    </row>
    <row r="4236" spans="1:4" s="45" customFormat="1" ht="13.5" x14ac:dyDescent="0.15">
      <c r="A4236" s="45" t="s">
        <v>41</v>
      </c>
      <c r="D4236" s="45" t="s">
        <v>6802</v>
      </c>
    </row>
    <row r="4237" spans="1:4" s="45" customFormat="1" ht="13.5" x14ac:dyDescent="0.15">
      <c r="A4237" s="45" t="s">
        <v>41</v>
      </c>
      <c r="D4237" s="45" t="s">
        <v>6803</v>
      </c>
    </row>
    <row r="4238" spans="1:4" s="45" customFormat="1" ht="13.5" x14ac:dyDescent="0.15">
      <c r="A4238" s="45" t="s">
        <v>41</v>
      </c>
      <c r="D4238" s="45" t="s">
        <v>6804</v>
      </c>
    </row>
    <row r="4239" spans="1:4" s="45" customFormat="1" ht="13.5" x14ac:dyDescent="0.15">
      <c r="A4239" s="45" t="s">
        <v>41</v>
      </c>
      <c r="D4239" s="45" t="s">
        <v>6805</v>
      </c>
    </row>
    <row r="4240" spans="1:4" s="45" customFormat="1" ht="13.5" x14ac:dyDescent="0.15">
      <c r="A4240" s="45" t="s">
        <v>41</v>
      </c>
      <c r="D4240" s="45" t="s">
        <v>6806</v>
      </c>
    </row>
    <row r="4241" spans="1:4" s="45" customFormat="1" ht="13.5" x14ac:dyDescent="0.15">
      <c r="A4241" s="45" t="s">
        <v>41</v>
      </c>
      <c r="D4241" s="45" t="s">
        <v>6807</v>
      </c>
    </row>
    <row r="4242" spans="1:4" s="45" customFormat="1" ht="13.5" x14ac:dyDescent="0.15">
      <c r="A4242" s="45" t="s">
        <v>41</v>
      </c>
      <c r="D4242" s="45" t="s">
        <v>404</v>
      </c>
    </row>
    <row r="4243" spans="1:4" s="45" customFormat="1" ht="13.5" x14ac:dyDescent="0.15">
      <c r="A4243" s="45" t="s">
        <v>41</v>
      </c>
      <c r="D4243" s="45" t="s">
        <v>6808</v>
      </c>
    </row>
    <row r="4244" spans="1:4" s="45" customFormat="1" ht="13.5" x14ac:dyDescent="0.15">
      <c r="A4244" s="45" t="s">
        <v>41</v>
      </c>
      <c r="D4244" s="45" t="s">
        <v>6809</v>
      </c>
    </row>
    <row r="4245" spans="1:4" s="45" customFormat="1" ht="13.5" x14ac:dyDescent="0.15">
      <c r="A4245" s="45" t="s">
        <v>41</v>
      </c>
      <c r="D4245" s="45" t="s">
        <v>6810</v>
      </c>
    </row>
    <row r="4246" spans="1:4" s="45" customFormat="1" ht="13.5" x14ac:dyDescent="0.15">
      <c r="A4246" s="45" t="s">
        <v>41</v>
      </c>
      <c r="D4246" s="45" t="s">
        <v>406</v>
      </c>
    </row>
    <row r="4247" spans="1:4" s="45" customFormat="1" ht="13.5" x14ac:dyDescent="0.15">
      <c r="A4247" s="45" t="s">
        <v>41</v>
      </c>
      <c r="D4247" s="45" t="s">
        <v>6811</v>
      </c>
    </row>
    <row r="4248" spans="1:4" s="45" customFormat="1" ht="13.5" x14ac:dyDescent="0.15">
      <c r="A4248" s="45" t="s">
        <v>41</v>
      </c>
      <c r="D4248" s="45" t="s">
        <v>6812</v>
      </c>
    </row>
    <row r="4249" spans="1:4" s="45" customFormat="1" ht="13.5" x14ac:dyDescent="0.15">
      <c r="A4249" s="45" t="s">
        <v>41</v>
      </c>
      <c r="D4249" s="45" t="s">
        <v>6813</v>
      </c>
    </row>
    <row r="4250" spans="1:4" s="45" customFormat="1" ht="13.5" x14ac:dyDescent="0.15">
      <c r="A4250" s="45" t="s">
        <v>41</v>
      </c>
      <c r="D4250" s="45" t="s">
        <v>6814</v>
      </c>
    </row>
    <row r="4251" spans="1:4" s="45" customFormat="1" ht="13.5" x14ac:dyDescent="0.15">
      <c r="A4251" s="45" t="s">
        <v>41</v>
      </c>
      <c r="D4251" s="45" t="s">
        <v>6815</v>
      </c>
    </row>
    <row r="4252" spans="1:4" s="45" customFormat="1" ht="13.5" x14ac:dyDescent="0.15">
      <c r="A4252" s="45" t="s">
        <v>41</v>
      </c>
      <c r="D4252" s="45" t="s">
        <v>6816</v>
      </c>
    </row>
    <row r="4253" spans="1:4" s="45" customFormat="1" ht="13.5" x14ac:dyDescent="0.15">
      <c r="A4253" s="45" t="s">
        <v>41</v>
      </c>
      <c r="D4253" s="45" t="s">
        <v>6817</v>
      </c>
    </row>
    <row r="4254" spans="1:4" s="45" customFormat="1" ht="13.5" x14ac:dyDescent="0.15">
      <c r="A4254" s="45" t="s">
        <v>41</v>
      </c>
      <c r="D4254" s="45" t="s">
        <v>6818</v>
      </c>
    </row>
    <row r="4255" spans="1:4" s="45" customFormat="1" ht="13.5" x14ac:dyDescent="0.15">
      <c r="A4255" s="45" t="s">
        <v>41</v>
      </c>
      <c r="D4255" s="45" t="s">
        <v>6819</v>
      </c>
    </row>
    <row r="4256" spans="1:4" s="45" customFormat="1" ht="13.5" x14ac:dyDescent="0.15">
      <c r="A4256" s="45" t="s">
        <v>41</v>
      </c>
      <c r="D4256" s="45" t="s">
        <v>6820</v>
      </c>
    </row>
    <row r="4257" spans="1:4" s="45" customFormat="1" ht="13.5" x14ac:dyDescent="0.15">
      <c r="A4257" s="45" t="s">
        <v>41</v>
      </c>
      <c r="D4257" s="45" t="s">
        <v>6821</v>
      </c>
    </row>
    <row r="4258" spans="1:4" s="45" customFormat="1" ht="13.5" x14ac:dyDescent="0.15">
      <c r="A4258" s="45" t="s">
        <v>41</v>
      </c>
      <c r="D4258" s="45" t="s">
        <v>407</v>
      </c>
    </row>
    <row r="4259" spans="1:4" s="45" customFormat="1" ht="13.5" x14ac:dyDescent="0.15">
      <c r="A4259" s="45" t="s">
        <v>41</v>
      </c>
      <c r="D4259" s="45" t="s">
        <v>6822</v>
      </c>
    </row>
    <row r="4260" spans="1:4" s="45" customFormat="1" ht="13.5" x14ac:dyDescent="0.15">
      <c r="A4260" s="45" t="s">
        <v>41</v>
      </c>
      <c r="D4260" s="45" t="s">
        <v>6823</v>
      </c>
    </row>
    <row r="4261" spans="1:4" s="45" customFormat="1" ht="13.5" x14ac:dyDescent="0.15">
      <c r="A4261" s="45" t="s">
        <v>41</v>
      </c>
      <c r="D4261" s="45" t="s">
        <v>6824</v>
      </c>
    </row>
    <row r="4262" spans="1:4" s="45" customFormat="1" ht="13.5" x14ac:dyDescent="0.15">
      <c r="A4262" s="45" t="s">
        <v>41</v>
      </c>
      <c r="D4262" s="45" t="s">
        <v>6825</v>
      </c>
    </row>
    <row r="4263" spans="1:4" s="45" customFormat="1" ht="13.5" x14ac:dyDescent="0.15">
      <c r="A4263" s="45" t="s">
        <v>41</v>
      </c>
      <c r="D4263" s="45" t="s">
        <v>409</v>
      </c>
    </row>
    <row r="4264" spans="1:4" s="45" customFormat="1" ht="13.5" x14ac:dyDescent="0.15">
      <c r="A4264" s="45" t="s">
        <v>41</v>
      </c>
      <c r="D4264" s="45" t="s">
        <v>6826</v>
      </c>
    </row>
    <row r="4265" spans="1:4" s="45" customFormat="1" ht="13.5" x14ac:dyDescent="0.15">
      <c r="A4265" s="45" t="s">
        <v>41</v>
      </c>
      <c r="D4265" s="45" t="s">
        <v>6827</v>
      </c>
    </row>
    <row r="4266" spans="1:4" s="45" customFormat="1" ht="13.5" x14ac:dyDescent="0.15">
      <c r="A4266" s="45" t="s">
        <v>41</v>
      </c>
      <c r="D4266" s="45" t="s">
        <v>6828</v>
      </c>
    </row>
    <row r="4267" spans="1:4" s="45" customFormat="1" ht="13.5" x14ac:dyDescent="0.15">
      <c r="A4267" s="45" t="s">
        <v>41</v>
      </c>
      <c r="D4267" s="45" t="s">
        <v>408</v>
      </c>
    </row>
    <row r="4268" spans="1:4" s="45" customFormat="1" ht="13.5" x14ac:dyDescent="0.15">
      <c r="A4268" s="45" t="s">
        <v>41</v>
      </c>
      <c r="D4268" s="45" t="s">
        <v>6829</v>
      </c>
    </row>
    <row r="4269" spans="1:4" s="45" customFormat="1" ht="13.5" x14ac:dyDescent="0.15">
      <c r="A4269" s="45" t="s">
        <v>41</v>
      </c>
      <c r="D4269" s="45" t="s">
        <v>6830</v>
      </c>
    </row>
    <row r="4270" spans="1:4" s="45" customFormat="1" ht="13.5" x14ac:dyDescent="0.15">
      <c r="A4270" s="45" t="s">
        <v>41</v>
      </c>
      <c r="D4270" s="45" t="s">
        <v>6831</v>
      </c>
    </row>
    <row r="4271" spans="1:4" s="45" customFormat="1" ht="13.5" x14ac:dyDescent="0.15">
      <c r="A4271" s="45" t="s">
        <v>41</v>
      </c>
      <c r="D4271" s="45" t="s">
        <v>6832</v>
      </c>
    </row>
    <row r="4272" spans="1:4" s="45" customFormat="1" ht="13.5" x14ac:dyDescent="0.15">
      <c r="A4272" s="45" t="s">
        <v>41</v>
      </c>
      <c r="D4272" s="45" t="s">
        <v>6833</v>
      </c>
    </row>
    <row r="4273" spans="1:4" s="45" customFormat="1" ht="13.5" x14ac:dyDescent="0.15">
      <c r="A4273" s="45" t="s">
        <v>41</v>
      </c>
      <c r="D4273" s="45" t="s">
        <v>6834</v>
      </c>
    </row>
    <row r="4274" spans="1:4" s="45" customFormat="1" ht="13.5" x14ac:dyDescent="0.15">
      <c r="A4274" s="45" t="s">
        <v>41</v>
      </c>
      <c r="D4274" s="45" t="s">
        <v>6835</v>
      </c>
    </row>
    <row r="4275" spans="1:4" s="45" customFormat="1" ht="13.5" x14ac:dyDescent="0.15">
      <c r="A4275" s="45" t="s">
        <v>41</v>
      </c>
      <c r="D4275" s="45" t="s">
        <v>6836</v>
      </c>
    </row>
    <row r="4276" spans="1:4" s="45" customFormat="1" ht="13.5" x14ac:dyDescent="0.15">
      <c r="A4276" s="45" t="s">
        <v>41</v>
      </c>
      <c r="D4276" s="45" t="s">
        <v>6837</v>
      </c>
    </row>
    <row r="4277" spans="1:4" s="45" customFormat="1" ht="13.5" x14ac:dyDescent="0.15">
      <c r="A4277" s="45" t="s">
        <v>41</v>
      </c>
      <c r="D4277" s="45" t="s">
        <v>6838</v>
      </c>
    </row>
    <row r="4278" spans="1:4" s="45" customFormat="1" ht="13.5" x14ac:dyDescent="0.15">
      <c r="A4278" s="45" t="s">
        <v>41</v>
      </c>
      <c r="D4278" s="45" t="s">
        <v>6839</v>
      </c>
    </row>
    <row r="4279" spans="1:4" s="45" customFormat="1" ht="13.5" x14ac:dyDescent="0.15">
      <c r="A4279" s="45" t="s">
        <v>41</v>
      </c>
      <c r="D4279" s="45" t="s">
        <v>6840</v>
      </c>
    </row>
    <row r="4280" spans="1:4" s="45" customFormat="1" ht="13.5" x14ac:dyDescent="0.15">
      <c r="A4280" s="45" t="s">
        <v>41</v>
      </c>
      <c r="D4280" s="45" t="s">
        <v>6841</v>
      </c>
    </row>
    <row r="4281" spans="1:4" s="45" customFormat="1" ht="13.5" x14ac:dyDescent="0.15">
      <c r="A4281" s="45" t="s">
        <v>41</v>
      </c>
      <c r="D4281" s="45" t="s">
        <v>6842</v>
      </c>
    </row>
    <row r="4282" spans="1:4" s="45" customFormat="1" ht="13.5" x14ac:dyDescent="0.15">
      <c r="A4282" s="45" t="s">
        <v>41</v>
      </c>
      <c r="D4282" s="45" t="s">
        <v>405</v>
      </c>
    </row>
    <row r="4283" spans="1:4" s="45" customFormat="1" ht="13.5" x14ac:dyDescent="0.15">
      <c r="A4283" s="45" t="s">
        <v>41</v>
      </c>
      <c r="D4283" s="45" t="s">
        <v>6843</v>
      </c>
    </row>
    <row r="4284" spans="1:4" s="45" customFormat="1" ht="13.5" x14ac:dyDescent="0.15">
      <c r="A4284" s="45" t="s">
        <v>41</v>
      </c>
      <c r="D4284" s="45" t="s">
        <v>6844</v>
      </c>
    </row>
    <row r="4285" spans="1:4" s="45" customFormat="1" ht="13.5" x14ac:dyDescent="0.15">
      <c r="A4285" s="45" t="s">
        <v>41</v>
      </c>
      <c r="D4285" s="45" t="s">
        <v>1496</v>
      </c>
    </row>
    <row r="4286" spans="1:4" s="45" customFormat="1" ht="13.5" x14ac:dyDescent="0.15">
      <c r="A4286" s="45" t="s">
        <v>41</v>
      </c>
      <c r="D4286" s="45" t="s">
        <v>6845</v>
      </c>
    </row>
    <row r="4287" spans="1:4" s="45" customFormat="1" ht="13.5" x14ac:dyDescent="0.15">
      <c r="A4287" s="45" t="s">
        <v>41</v>
      </c>
      <c r="D4287" s="45" t="s">
        <v>6846</v>
      </c>
    </row>
    <row r="4288" spans="1:4" s="45" customFormat="1" ht="13.5" x14ac:dyDescent="0.15">
      <c r="A4288" s="45" t="s">
        <v>41</v>
      </c>
      <c r="D4288" s="45" t="s">
        <v>6847</v>
      </c>
    </row>
    <row r="4289" spans="1:4" s="45" customFormat="1" ht="13.5" x14ac:dyDescent="0.15">
      <c r="A4289" s="45" t="s">
        <v>41</v>
      </c>
      <c r="D4289" s="45" t="s">
        <v>6848</v>
      </c>
    </row>
    <row r="4290" spans="1:4" s="45" customFormat="1" ht="13.5" x14ac:dyDescent="0.15">
      <c r="A4290" s="45" t="s">
        <v>41</v>
      </c>
      <c r="D4290" s="45" t="s">
        <v>6849</v>
      </c>
    </row>
    <row r="4291" spans="1:4" s="45" customFormat="1" ht="13.5" x14ac:dyDescent="0.15">
      <c r="A4291" s="45" t="s">
        <v>41</v>
      </c>
      <c r="D4291" s="45" t="s">
        <v>6850</v>
      </c>
    </row>
    <row r="4292" spans="1:4" s="45" customFormat="1" ht="13.5" x14ac:dyDescent="0.15">
      <c r="A4292" s="45" t="s">
        <v>41</v>
      </c>
      <c r="D4292" s="45" t="s">
        <v>6851</v>
      </c>
    </row>
    <row r="4293" spans="1:4" s="45" customFormat="1" ht="13.5" x14ac:dyDescent="0.15">
      <c r="A4293" s="45" t="s">
        <v>41</v>
      </c>
      <c r="D4293" s="45" t="s">
        <v>6852</v>
      </c>
    </row>
    <row r="4294" spans="1:4" s="45" customFormat="1" ht="13.5" x14ac:dyDescent="0.15">
      <c r="A4294" s="45" t="s">
        <v>41</v>
      </c>
      <c r="D4294" s="45" t="s">
        <v>6853</v>
      </c>
    </row>
    <row r="4295" spans="1:4" s="45" customFormat="1" ht="13.5" x14ac:dyDescent="0.15">
      <c r="A4295" s="45" t="s">
        <v>41</v>
      </c>
      <c r="D4295" s="45" t="s">
        <v>6854</v>
      </c>
    </row>
    <row r="4296" spans="1:4" s="45" customFormat="1" ht="13.5" x14ac:dyDescent="0.15">
      <c r="A4296" s="45" t="s">
        <v>41</v>
      </c>
      <c r="D4296" s="45" t="s">
        <v>6855</v>
      </c>
    </row>
    <row r="4297" spans="1:4" s="45" customFormat="1" ht="13.5" x14ac:dyDescent="0.15">
      <c r="A4297" s="45" t="s">
        <v>41</v>
      </c>
      <c r="D4297" s="45" t="s">
        <v>427</v>
      </c>
    </row>
    <row r="4298" spans="1:4" s="45" customFormat="1" ht="13.5" x14ac:dyDescent="0.15">
      <c r="A4298" s="45" t="s">
        <v>41</v>
      </c>
      <c r="D4298" s="45" t="s">
        <v>428</v>
      </c>
    </row>
    <row r="4299" spans="1:4" s="45" customFormat="1" ht="13.5" x14ac:dyDescent="0.15">
      <c r="A4299" s="45" t="s">
        <v>41</v>
      </c>
      <c r="D4299" s="45" t="s">
        <v>6856</v>
      </c>
    </row>
    <row r="4300" spans="1:4" s="45" customFormat="1" ht="13.5" x14ac:dyDescent="0.15">
      <c r="A4300" s="45" t="s">
        <v>41</v>
      </c>
      <c r="D4300" s="45" t="s">
        <v>416</v>
      </c>
    </row>
    <row r="4301" spans="1:4" s="45" customFormat="1" ht="13.5" x14ac:dyDescent="0.15">
      <c r="A4301" s="45" t="s">
        <v>41</v>
      </c>
      <c r="D4301" s="45" t="s">
        <v>418</v>
      </c>
    </row>
    <row r="4302" spans="1:4" s="45" customFormat="1" ht="13.5" x14ac:dyDescent="0.15">
      <c r="A4302" s="45" t="s">
        <v>41</v>
      </c>
      <c r="D4302" s="45" t="s">
        <v>426</v>
      </c>
    </row>
    <row r="4303" spans="1:4" s="45" customFormat="1" ht="13.5" x14ac:dyDescent="0.15">
      <c r="A4303" s="45" t="s">
        <v>41</v>
      </c>
      <c r="D4303" s="45" t="s">
        <v>414</v>
      </c>
    </row>
    <row r="4304" spans="1:4" s="45" customFormat="1" ht="13.5" x14ac:dyDescent="0.15">
      <c r="A4304" s="45" t="s">
        <v>41</v>
      </c>
      <c r="D4304" s="45" t="s">
        <v>415</v>
      </c>
    </row>
    <row r="4305" spans="1:4" s="45" customFormat="1" ht="13.5" x14ac:dyDescent="0.15">
      <c r="A4305" s="45" t="s">
        <v>41</v>
      </c>
      <c r="D4305" s="45" t="s">
        <v>6857</v>
      </c>
    </row>
    <row r="4306" spans="1:4" s="45" customFormat="1" ht="13.5" x14ac:dyDescent="0.15">
      <c r="A4306" s="45" t="s">
        <v>41</v>
      </c>
      <c r="D4306" s="45" t="s">
        <v>417</v>
      </c>
    </row>
    <row r="4307" spans="1:4" s="45" customFormat="1" ht="13.5" x14ac:dyDescent="0.15">
      <c r="A4307" s="45" t="s">
        <v>41</v>
      </c>
      <c r="D4307" s="45" t="s">
        <v>429</v>
      </c>
    </row>
    <row r="4308" spans="1:4" s="45" customFormat="1" ht="13.5" x14ac:dyDescent="0.15">
      <c r="A4308" s="45" t="s">
        <v>41</v>
      </c>
      <c r="D4308" s="45" t="s">
        <v>420</v>
      </c>
    </row>
    <row r="4309" spans="1:4" s="45" customFormat="1" ht="13.5" x14ac:dyDescent="0.15">
      <c r="A4309" s="45" t="s">
        <v>41</v>
      </c>
      <c r="D4309" s="45" t="s">
        <v>6858</v>
      </c>
    </row>
    <row r="4310" spans="1:4" s="45" customFormat="1" ht="13.5" x14ac:dyDescent="0.15">
      <c r="A4310" s="45" t="s">
        <v>41</v>
      </c>
      <c r="D4310" s="45" t="s">
        <v>419</v>
      </c>
    </row>
    <row r="4311" spans="1:4" s="45" customFormat="1" ht="13.5" x14ac:dyDescent="0.15">
      <c r="A4311" s="45" t="s">
        <v>41</v>
      </c>
      <c r="D4311" s="45" t="s">
        <v>421</v>
      </c>
    </row>
    <row r="4312" spans="1:4" s="45" customFormat="1" ht="13.5" x14ac:dyDescent="0.15">
      <c r="A4312" s="45" t="s">
        <v>41</v>
      </c>
      <c r="D4312" s="45" t="s">
        <v>422</v>
      </c>
    </row>
    <row r="4313" spans="1:4" s="45" customFormat="1" ht="13.5" x14ac:dyDescent="0.15">
      <c r="A4313" s="45" t="s">
        <v>41</v>
      </c>
      <c r="D4313" s="45" t="s">
        <v>423</v>
      </c>
    </row>
    <row r="4314" spans="1:4" s="45" customFormat="1" ht="13.5" x14ac:dyDescent="0.15">
      <c r="A4314" s="45" t="s">
        <v>41</v>
      </c>
      <c r="D4314" s="45" t="s">
        <v>424</v>
      </c>
    </row>
    <row r="4315" spans="1:4" s="45" customFormat="1" ht="13.5" x14ac:dyDescent="0.15">
      <c r="A4315" s="45" t="s">
        <v>41</v>
      </c>
      <c r="D4315" s="45" t="s">
        <v>6859</v>
      </c>
    </row>
    <row r="4316" spans="1:4" s="45" customFormat="1" ht="13.5" x14ac:dyDescent="0.15">
      <c r="A4316" s="45" t="s">
        <v>41</v>
      </c>
      <c r="D4316" s="45" t="s">
        <v>425</v>
      </c>
    </row>
    <row r="4317" spans="1:4" s="45" customFormat="1" ht="13.5" x14ac:dyDescent="0.15">
      <c r="A4317" s="45" t="s">
        <v>41</v>
      </c>
      <c r="D4317" s="45" t="s">
        <v>6860</v>
      </c>
    </row>
    <row r="4318" spans="1:4" s="45" customFormat="1" ht="13.5" x14ac:dyDescent="0.15">
      <c r="A4318" s="45" t="s">
        <v>41</v>
      </c>
      <c r="D4318" s="45" t="s">
        <v>359</v>
      </c>
    </row>
    <row r="4319" spans="1:4" s="45" customFormat="1" ht="13.5" x14ac:dyDescent="0.15">
      <c r="A4319" s="45" t="s">
        <v>41</v>
      </c>
      <c r="D4319" s="45" t="s">
        <v>6861</v>
      </c>
    </row>
    <row r="4320" spans="1:4" s="45" customFormat="1" ht="13.5" x14ac:dyDescent="0.15">
      <c r="A4320" s="45" t="s">
        <v>41</v>
      </c>
      <c r="D4320" s="45" t="s">
        <v>6862</v>
      </c>
    </row>
    <row r="4321" spans="1:4" s="45" customFormat="1" ht="13.5" x14ac:dyDescent="0.15">
      <c r="A4321" s="45" t="s">
        <v>41</v>
      </c>
      <c r="D4321" s="45" t="s">
        <v>6863</v>
      </c>
    </row>
    <row r="4322" spans="1:4" s="45" customFormat="1" ht="13.5" x14ac:dyDescent="0.15">
      <c r="A4322" s="45" t="s">
        <v>41</v>
      </c>
      <c r="D4322" s="45" t="s">
        <v>6864</v>
      </c>
    </row>
    <row r="4323" spans="1:4" s="45" customFormat="1" ht="13.5" x14ac:dyDescent="0.15">
      <c r="A4323" s="45" t="s">
        <v>41</v>
      </c>
      <c r="D4323" s="45" t="s">
        <v>6865</v>
      </c>
    </row>
    <row r="4324" spans="1:4" s="45" customFormat="1" ht="13.5" x14ac:dyDescent="0.15">
      <c r="A4324" s="45" t="s">
        <v>41</v>
      </c>
      <c r="D4324" s="45" t="s">
        <v>360</v>
      </c>
    </row>
    <row r="4325" spans="1:4" s="45" customFormat="1" ht="13.5" x14ac:dyDescent="0.15">
      <c r="A4325" s="45" t="s">
        <v>41</v>
      </c>
      <c r="D4325" s="45" t="s">
        <v>6866</v>
      </c>
    </row>
    <row r="4326" spans="1:4" s="45" customFormat="1" ht="13.5" x14ac:dyDescent="0.15">
      <c r="A4326" s="45" t="s">
        <v>41</v>
      </c>
      <c r="D4326" s="45" t="s">
        <v>361</v>
      </c>
    </row>
    <row r="4327" spans="1:4" s="45" customFormat="1" ht="13.5" x14ac:dyDescent="0.15">
      <c r="A4327" s="45" t="s">
        <v>41</v>
      </c>
      <c r="D4327" s="45" t="s">
        <v>6867</v>
      </c>
    </row>
    <row r="4328" spans="1:4" s="45" customFormat="1" ht="13.5" x14ac:dyDescent="0.15">
      <c r="A4328" s="45" t="s">
        <v>41</v>
      </c>
      <c r="D4328" s="45" t="s">
        <v>6868</v>
      </c>
    </row>
    <row r="4329" spans="1:4" s="45" customFormat="1" ht="13.5" x14ac:dyDescent="0.15">
      <c r="A4329" s="45" t="s">
        <v>41</v>
      </c>
      <c r="D4329" s="45" t="s">
        <v>362</v>
      </c>
    </row>
    <row r="4330" spans="1:4" s="45" customFormat="1" ht="13.5" x14ac:dyDescent="0.15">
      <c r="A4330" s="45" t="s">
        <v>41</v>
      </c>
      <c r="D4330" s="45" t="s">
        <v>6869</v>
      </c>
    </row>
    <row r="4331" spans="1:4" s="45" customFormat="1" ht="13.5" x14ac:dyDescent="0.15">
      <c r="A4331" s="45" t="s">
        <v>41</v>
      </c>
      <c r="D4331" s="45" t="s">
        <v>6870</v>
      </c>
    </row>
    <row r="4332" spans="1:4" s="45" customFormat="1" ht="13.5" x14ac:dyDescent="0.15">
      <c r="A4332" s="45" t="s">
        <v>41</v>
      </c>
      <c r="D4332" s="45" t="s">
        <v>6871</v>
      </c>
    </row>
    <row r="4333" spans="1:4" s="45" customFormat="1" ht="13.5" x14ac:dyDescent="0.15">
      <c r="A4333" s="45" t="s">
        <v>41</v>
      </c>
      <c r="D4333" s="45" t="s">
        <v>6872</v>
      </c>
    </row>
    <row r="4334" spans="1:4" s="45" customFormat="1" ht="13.5" x14ac:dyDescent="0.15">
      <c r="A4334" s="45" t="s">
        <v>41</v>
      </c>
      <c r="D4334" s="45" t="s">
        <v>6873</v>
      </c>
    </row>
    <row r="4335" spans="1:4" s="45" customFormat="1" ht="13.5" x14ac:dyDescent="0.15">
      <c r="A4335" s="45" t="s">
        <v>41</v>
      </c>
      <c r="D4335" s="45" t="s">
        <v>6874</v>
      </c>
    </row>
    <row r="4336" spans="1:4" s="45" customFormat="1" ht="13.5" x14ac:dyDescent="0.15">
      <c r="A4336" s="45" t="s">
        <v>41</v>
      </c>
      <c r="D4336" s="45" t="s">
        <v>364</v>
      </c>
    </row>
    <row r="4337" spans="1:4" s="45" customFormat="1" ht="13.5" x14ac:dyDescent="0.15">
      <c r="A4337" s="45" t="s">
        <v>41</v>
      </c>
      <c r="D4337" s="45" t="s">
        <v>6875</v>
      </c>
    </row>
    <row r="4338" spans="1:4" s="45" customFormat="1" ht="13.5" x14ac:dyDescent="0.15">
      <c r="A4338" s="45" t="s">
        <v>41</v>
      </c>
      <c r="D4338" s="45" t="s">
        <v>363</v>
      </c>
    </row>
    <row r="4339" spans="1:4" s="45" customFormat="1" ht="13.5" x14ac:dyDescent="0.15">
      <c r="A4339" s="45" t="s">
        <v>41</v>
      </c>
      <c r="D4339" s="45" t="s">
        <v>6876</v>
      </c>
    </row>
    <row r="4340" spans="1:4" s="45" customFormat="1" ht="13.5" x14ac:dyDescent="0.15">
      <c r="A4340" s="45" t="s">
        <v>41</v>
      </c>
      <c r="D4340" s="45" t="s">
        <v>6877</v>
      </c>
    </row>
    <row r="4341" spans="1:4" s="45" customFormat="1" ht="13.5" x14ac:dyDescent="0.15">
      <c r="A4341" s="45" t="s">
        <v>41</v>
      </c>
      <c r="D4341" s="45" t="s">
        <v>6878</v>
      </c>
    </row>
    <row r="4342" spans="1:4" s="45" customFormat="1" ht="13.5" x14ac:dyDescent="0.15">
      <c r="A4342" s="45" t="s">
        <v>41</v>
      </c>
      <c r="D4342" s="45" t="s">
        <v>6879</v>
      </c>
    </row>
    <row r="4343" spans="1:4" s="45" customFormat="1" ht="13.5" x14ac:dyDescent="0.15">
      <c r="A4343" s="45" t="s">
        <v>41</v>
      </c>
      <c r="D4343" s="45" t="s">
        <v>6880</v>
      </c>
    </row>
    <row r="4344" spans="1:4" s="45" customFormat="1" ht="13.5" x14ac:dyDescent="0.15">
      <c r="A4344" s="45" t="s">
        <v>41</v>
      </c>
      <c r="D4344" s="45" t="s">
        <v>6881</v>
      </c>
    </row>
    <row r="4345" spans="1:4" s="45" customFormat="1" ht="13.5" x14ac:dyDescent="0.15">
      <c r="A4345" s="45" t="s">
        <v>41</v>
      </c>
      <c r="D4345" s="45" t="s">
        <v>2563</v>
      </c>
    </row>
    <row r="4346" spans="1:4" s="45" customFormat="1" ht="13.5" x14ac:dyDescent="0.15">
      <c r="A4346" s="45" t="s">
        <v>41</v>
      </c>
      <c r="D4346" s="45" t="s">
        <v>2629</v>
      </c>
    </row>
    <row r="4347" spans="1:4" s="45" customFormat="1" ht="13.5" x14ac:dyDescent="0.15">
      <c r="A4347" s="45" t="s">
        <v>41</v>
      </c>
      <c r="D4347" s="45" t="s">
        <v>6882</v>
      </c>
    </row>
    <row r="4348" spans="1:4" s="45" customFormat="1" ht="13.5" x14ac:dyDescent="0.15">
      <c r="A4348" s="45" t="s">
        <v>41</v>
      </c>
      <c r="D4348" s="45" t="s">
        <v>2630</v>
      </c>
    </row>
    <row r="4349" spans="1:4" s="45" customFormat="1" ht="13.5" x14ac:dyDescent="0.15">
      <c r="A4349" s="45" t="s">
        <v>41</v>
      </c>
      <c r="D4349" s="45" t="s">
        <v>2628</v>
      </c>
    </row>
    <row r="4350" spans="1:4" s="45" customFormat="1" ht="13.5" x14ac:dyDescent="0.15">
      <c r="A4350" s="45" t="s">
        <v>41</v>
      </c>
      <c r="D4350" s="45" t="s">
        <v>2626</v>
      </c>
    </row>
    <row r="4351" spans="1:4" s="45" customFormat="1" ht="13.5" x14ac:dyDescent="0.15">
      <c r="A4351" s="45" t="s">
        <v>41</v>
      </c>
      <c r="D4351" s="45" t="s">
        <v>2625</v>
      </c>
    </row>
    <row r="4352" spans="1:4" s="45" customFormat="1" ht="13.5" x14ac:dyDescent="0.15">
      <c r="A4352" s="45" t="s">
        <v>41</v>
      </c>
      <c r="D4352" s="45" t="s">
        <v>6883</v>
      </c>
    </row>
    <row r="4353" spans="1:4" s="45" customFormat="1" ht="13.5" x14ac:dyDescent="0.15">
      <c r="A4353" s="45" t="s">
        <v>41</v>
      </c>
      <c r="D4353" s="45" t="s">
        <v>6884</v>
      </c>
    </row>
    <row r="4354" spans="1:4" s="45" customFormat="1" ht="13.5" x14ac:dyDescent="0.15">
      <c r="A4354" s="45" t="s">
        <v>41</v>
      </c>
      <c r="D4354" s="45" t="s">
        <v>1144</v>
      </c>
    </row>
    <row r="4355" spans="1:4" s="45" customFormat="1" ht="13.5" x14ac:dyDescent="0.15">
      <c r="A4355" s="45" t="s">
        <v>41</v>
      </c>
      <c r="D4355" s="45" t="s">
        <v>6885</v>
      </c>
    </row>
    <row r="4356" spans="1:4" s="45" customFormat="1" ht="13.5" x14ac:dyDescent="0.15">
      <c r="A4356" s="45" t="s">
        <v>41</v>
      </c>
      <c r="D4356" s="45" t="s">
        <v>1735</v>
      </c>
    </row>
    <row r="4357" spans="1:4" s="45" customFormat="1" ht="13.5" x14ac:dyDescent="0.15">
      <c r="A4357" s="45" t="s">
        <v>41</v>
      </c>
      <c r="D4357" s="45" t="s">
        <v>1736</v>
      </c>
    </row>
    <row r="4358" spans="1:4" s="45" customFormat="1" ht="13.5" x14ac:dyDescent="0.15">
      <c r="A4358" s="45" t="s">
        <v>41</v>
      </c>
      <c r="D4358" s="45" t="s">
        <v>6886</v>
      </c>
    </row>
    <row r="4359" spans="1:4" s="45" customFormat="1" ht="13.5" x14ac:dyDescent="0.15">
      <c r="A4359" s="45" t="s">
        <v>41</v>
      </c>
      <c r="D4359" s="45" t="s">
        <v>6887</v>
      </c>
    </row>
    <row r="4360" spans="1:4" s="45" customFormat="1" ht="13.5" x14ac:dyDescent="0.15">
      <c r="A4360" s="45" t="s">
        <v>41</v>
      </c>
      <c r="D4360" s="45" t="s">
        <v>6888</v>
      </c>
    </row>
    <row r="4361" spans="1:4" s="45" customFormat="1" ht="13.5" x14ac:dyDescent="0.15">
      <c r="A4361" s="45" t="s">
        <v>41</v>
      </c>
      <c r="D4361" s="45" t="s">
        <v>6889</v>
      </c>
    </row>
    <row r="4362" spans="1:4" s="45" customFormat="1" ht="13.5" x14ac:dyDescent="0.15">
      <c r="A4362" s="45" t="s">
        <v>41</v>
      </c>
      <c r="D4362" s="45" t="s">
        <v>6890</v>
      </c>
    </row>
    <row r="4363" spans="1:4" s="45" customFormat="1" ht="13.5" x14ac:dyDescent="0.15">
      <c r="A4363" s="45" t="s">
        <v>41</v>
      </c>
      <c r="D4363" s="45" t="s">
        <v>6891</v>
      </c>
    </row>
    <row r="4364" spans="1:4" s="45" customFormat="1" ht="13.5" x14ac:dyDescent="0.15">
      <c r="A4364" s="45" t="s">
        <v>41</v>
      </c>
      <c r="D4364" s="45" t="s">
        <v>6892</v>
      </c>
    </row>
    <row r="4365" spans="1:4" s="45" customFormat="1" ht="13.5" x14ac:dyDescent="0.15">
      <c r="A4365" s="45" t="s">
        <v>41</v>
      </c>
      <c r="D4365" s="45" t="s">
        <v>6893</v>
      </c>
    </row>
    <row r="4366" spans="1:4" s="45" customFormat="1" ht="13.5" x14ac:dyDescent="0.15">
      <c r="A4366" s="45" t="s">
        <v>41</v>
      </c>
      <c r="D4366" s="45" t="s">
        <v>2411</v>
      </c>
    </row>
    <row r="4367" spans="1:4" s="45" customFormat="1" ht="13.5" x14ac:dyDescent="0.15">
      <c r="A4367" s="45" t="s">
        <v>41</v>
      </c>
      <c r="D4367" s="45" t="s">
        <v>6894</v>
      </c>
    </row>
    <row r="4368" spans="1:4" s="45" customFormat="1" ht="13.5" x14ac:dyDescent="0.15">
      <c r="A4368" s="45" t="s">
        <v>41</v>
      </c>
      <c r="D4368" s="45" t="s">
        <v>6895</v>
      </c>
    </row>
    <row r="4369" spans="1:4" s="45" customFormat="1" ht="13.5" x14ac:dyDescent="0.15">
      <c r="A4369" s="45" t="s">
        <v>41</v>
      </c>
      <c r="D4369" s="45" t="s">
        <v>6896</v>
      </c>
    </row>
    <row r="4370" spans="1:4" s="45" customFormat="1" ht="13.5" x14ac:dyDescent="0.15">
      <c r="A4370" s="45" t="s">
        <v>41</v>
      </c>
      <c r="D4370" s="45" t="s">
        <v>2210</v>
      </c>
    </row>
    <row r="4371" spans="1:4" s="45" customFormat="1" ht="13.5" x14ac:dyDescent="0.15">
      <c r="A4371" s="45" t="s">
        <v>41</v>
      </c>
      <c r="D4371" s="45" t="s">
        <v>2194</v>
      </c>
    </row>
    <row r="4372" spans="1:4" s="45" customFormat="1" ht="13.5" x14ac:dyDescent="0.15">
      <c r="A4372" s="45" t="s">
        <v>41</v>
      </c>
      <c r="D4372" s="45" t="s">
        <v>6897</v>
      </c>
    </row>
    <row r="4373" spans="1:4" s="45" customFormat="1" ht="13.5" x14ac:dyDescent="0.15">
      <c r="A4373" s="45" t="s">
        <v>41</v>
      </c>
      <c r="D4373" s="45" t="s">
        <v>6898</v>
      </c>
    </row>
    <row r="4374" spans="1:4" s="45" customFormat="1" ht="13.5" x14ac:dyDescent="0.15">
      <c r="A4374" s="45" t="s">
        <v>41</v>
      </c>
      <c r="D4374" s="45" t="s">
        <v>6899</v>
      </c>
    </row>
    <row r="4375" spans="1:4" s="45" customFormat="1" ht="13.5" x14ac:dyDescent="0.15">
      <c r="A4375" s="45" t="s">
        <v>41</v>
      </c>
      <c r="D4375" s="45" t="s">
        <v>6900</v>
      </c>
    </row>
    <row r="4376" spans="1:4" s="45" customFormat="1" ht="13.5" x14ac:dyDescent="0.15">
      <c r="A4376" s="45" t="s">
        <v>41</v>
      </c>
      <c r="D4376" s="45" t="s">
        <v>6901</v>
      </c>
    </row>
    <row r="4377" spans="1:4" s="45" customFormat="1" ht="13.5" x14ac:dyDescent="0.15">
      <c r="A4377" s="45" t="s">
        <v>41</v>
      </c>
      <c r="D4377" s="45" t="s">
        <v>6902</v>
      </c>
    </row>
    <row r="4378" spans="1:4" s="45" customFormat="1" ht="13.5" x14ac:dyDescent="0.15">
      <c r="A4378" s="45" t="s">
        <v>41</v>
      </c>
      <c r="D4378" s="45" t="s">
        <v>6903</v>
      </c>
    </row>
    <row r="4379" spans="1:4" s="45" customFormat="1" ht="13.5" x14ac:dyDescent="0.15">
      <c r="A4379" s="45" t="s">
        <v>41</v>
      </c>
      <c r="D4379" s="45" t="s">
        <v>6904</v>
      </c>
    </row>
    <row r="4380" spans="1:4" s="45" customFormat="1" ht="13.5" x14ac:dyDescent="0.15">
      <c r="A4380" s="45" t="s">
        <v>41</v>
      </c>
      <c r="D4380" s="45" t="s">
        <v>6905</v>
      </c>
    </row>
    <row r="4381" spans="1:4" s="45" customFormat="1" ht="13.5" x14ac:dyDescent="0.15">
      <c r="A4381" s="45" t="s">
        <v>41</v>
      </c>
      <c r="D4381" s="45" t="s">
        <v>6906</v>
      </c>
    </row>
    <row r="4382" spans="1:4" s="45" customFormat="1" ht="13.5" x14ac:dyDescent="0.15">
      <c r="A4382" s="45" t="s">
        <v>41</v>
      </c>
      <c r="D4382" s="45" t="s">
        <v>6907</v>
      </c>
    </row>
    <row r="4383" spans="1:4" s="45" customFormat="1" ht="13.5" x14ac:dyDescent="0.15">
      <c r="A4383" s="45" t="s">
        <v>41</v>
      </c>
      <c r="D4383" s="45" t="s">
        <v>483</v>
      </c>
    </row>
    <row r="4384" spans="1:4" s="45" customFormat="1" ht="13.5" x14ac:dyDescent="0.15">
      <c r="A4384" s="45" t="s">
        <v>41</v>
      </c>
      <c r="D4384" s="45" t="s">
        <v>6908</v>
      </c>
    </row>
    <row r="4385" spans="1:4" s="45" customFormat="1" ht="13.5" x14ac:dyDescent="0.15">
      <c r="A4385" s="45" t="s">
        <v>41</v>
      </c>
      <c r="D4385" s="45" t="s">
        <v>484</v>
      </c>
    </row>
    <row r="4386" spans="1:4" s="45" customFormat="1" ht="13.5" x14ac:dyDescent="0.15">
      <c r="A4386" s="45" t="s">
        <v>41</v>
      </c>
      <c r="D4386" s="45" t="s">
        <v>189</v>
      </c>
    </row>
    <row r="4387" spans="1:4" s="45" customFormat="1" ht="13.5" x14ac:dyDescent="0.15">
      <c r="A4387" s="45" t="s">
        <v>41</v>
      </c>
      <c r="D4387" s="45" t="s">
        <v>190</v>
      </c>
    </row>
    <row r="4388" spans="1:4" s="45" customFormat="1" ht="13.5" x14ac:dyDescent="0.15">
      <c r="A4388" s="45" t="s">
        <v>41</v>
      </c>
      <c r="D4388" s="45" t="s">
        <v>6909</v>
      </c>
    </row>
    <row r="4389" spans="1:4" s="45" customFormat="1" ht="13.5" x14ac:dyDescent="0.15">
      <c r="A4389" s="45" t="s">
        <v>41</v>
      </c>
      <c r="D4389" s="45" t="s">
        <v>6910</v>
      </c>
    </row>
    <row r="4390" spans="1:4" s="45" customFormat="1" ht="13.5" x14ac:dyDescent="0.15">
      <c r="A4390" s="45" t="s">
        <v>41</v>
      </c>
      <c r="D4390" s="45" t="s">
        <v>6911</v>
      </c>
    </row>
    <row r="4391" spans="1:4" s="45" customFormat="1" ht="13.5" x14ac:dyDescent="0.15">
      <c r="A4391" s="45" t="s">
        <v>41</v>
      </c>
      <c r="D4391" s="45" t="s">
        <v>200</v>
      </c>
    </row>
    <row r="4392" spans="1:4" s="45" customFormat="1" ht="13.5" x14ac:dyDescent="0.15">
      <c r="A4392" s="45" t="s">
        <v>41</v>
      </c>
      <c r="D4392" s="45" t="s">
        <v>201</v>
      </c>
    </row>
    <row r="4393" spans="1:4" s="45" customFormat="1" ht="13.5" x14ac:dyDescent="0.15">
      <c r="A4393" s="45" t="s">
        <v>41</v>
      </c>
      <c r="D4393" s="45" t="s">
        <v>6912</v>
      </c>
    </row>
    <row r="4394" spans="1:4" s="45" customFormat="1" ht="13.5" x14ac:dyDescent="0.15">
      <c r="A4394" s="45" t="s">
        <v>41</v>
      </c>
      <c r="D4394" s="45" t="s">
        <v>202</v>
      </c>
    </row>
    <row r="4395" spans="1:4" s="45" customFormat="1" ht="13.5" x14ac:dyDescent="0.15">
      <c r="A4395" s="45" t="s">
        <v>41</v>
      </c>
      <c r="D4395" s="45" t="s">
        <v>6913</v>
      </c>
    </row>
    <row r="4396" spans="1:4" s="45" customFormat="1" ht="13.5" x14ac:dyDescent="0.15">
      <c r="A4396" s="45" t="s">
        <v>41</v>
      </c>
      <c r="D4396" s="45" t="s">
        <v>1114</v>
      </c>
    </row>
    <row r="4397" spans="1:4" s="45" customFormat="1" ht="13.5" x14ac:dyDescent="0.15">
      <c r="A4397" s="45" t="s">
        <v>41</v>
      </c>
      <c r="D4397" s="45" t="s">
        <v>6914</v>
      </c>
    </row>
    <row r="4398" spans="1:4" s="45" customFormat="1" ht="13.5" x14ac:dyDescent="0.15">
      <c r="A4398" s="45" t="s">
        <v>41</v>
      </c>
      <c r="D4398" s="45" t="s">
        <v>6915</v>
      </c>
    </row>
    <row r="4399" spans="1:4" s="45" customFormat="1" ht="13.5" x14ac:dyDescent="0.15">
      <c r="A4399" s="45" t="s">
        <v>41</v>
      </c>
      <c r="D4399" s="45" t="s">
        <v>6916</v>
      </c>
    </row>
    <row r="4400" spans="1:4" s="45" customFormat="1" ht="13.5" x14ac:dyDescent="0.15">
      <c r="A4400" s="45" t="s">
        <v>41</v>
      </c>
      <c r="D4400" s="45" t="s">
        <v>6917</v>
      </c>
    </row>
    <row r="4401" spans="1:4" s="45" customFormat="1" ht="13.5" x14ac:dyDescent="0.15">
      <c r="A4401" s="45" t="s">
        <v>41</v>
      </c>
      <c r="D4401" s="45" t="s">
        <v>6918</v>
      </c>
    </row>
    <row r="4402" spans="1:4" s="45" customFormat="1" ht="13.5" x14ac:dyDescent="0.15">
      <c r="A4402" s="45" t="s">
        <v>41</v>
      </c>
      <c r="D4402" s="45" t="s">
        <v>6919</v>
      </c>
    </row>
    <row r="4403" spans="1:4" s="45" customFormat="1" ht="13.5" x14ac:dyDescent="0.15">
      <c r="A4403" s="45" t="s">
        <v>41</v>
      </c>
      <c r="D4403" s="45" t="s">
        <v>6920</v>
      </c>
    </row>
    <row r="4404" spans="1:4" s="45" customFormat="1" ht="13.5" x14ac:dyDescent="0.15">
      <c r="A4404" s="45" t="s">
        <v>41</v>
      </c>
      <c r="D4404" s="45" t="s">
        <v>6921</v>
      </c>
    </row>
    <row r="4405" spans="1:4" s="45" customFormat="1" ht="13.5" x14ac:dyDescent="0.15">
      <c r="A4405" s="45" t="s">
        <v>41</v>
      </c>
      <c r="D4405" s="45" t="s">
        <v>6922</v>
      </c>
    </row>
    <row r="4406" spans="1:4" s="45" customFormat="1" ht="13.5" x14ac:dyDescent="0.15">
      <c r="A4406" s="45" t="s">
        <v>41</v>
      </c>
      <c r="D4406" s="45" t="s">
        <v>6923</v>
      </c>
    </row>
    <row r="4407" spans="1:4" s="45" customFormat="1" ht="13.5" x14ac:dyDescent="0.15">
      <c r="A4407" s="45" t="s">
        <v>41</v>
      </c>
      <c r="D4407" s="45" t="s">
        <v>6924</v>
      </c>
    </row>
    <row r="4408" spans="1:4" s="45" customFormat="1" ht="13.5" x14ac:dyDescent="0.15">
      <c r="A4408" s="45" t="s">
        <v>41</v>
      </c>
      <c r="D4408" s="45" t="s">
        <v>6925</v>
      </c>
    </row>
    <row r="4409" spans="1:4" s="45" customFormat="1" ht="13.5" x14ac:dyDescent="0.15">
      <c r="A4409" s="45" t="s">
        <v>41</v>
      </c>
      <c r="D4409" s="45" t="s">
        <v>2227</v>
      </c>
    </row>
    <row r="4410" spans="1:4" s="45" customFormat="1" ht="13.5" x14ac:dyDescent="0.15">
      <c r="A4410" s="45" t="s">
        <v>41</v>
      </c>
      <c r="D4410" s="45" t="s">
        <v>6926</v>
      </c>
    </row>
    <row r="4411" spans="1:4" s="45" customFormat="1" ht="13.5" x14ac:dyDescent="0.15">
      <c r="A4411" s="45" t="s">
        <v>41</v>
      </c>
      <c r="D4411" s="45" t="s">
        <v>2225</v>
      </c>
    </row>
    <row r="4412" spans="1:4" s="45" customFormat="1" ht="13.5" x14ac:dyDescent="0.15">
      <c r="A4412" s="45" t="s">
        <v>41</v>
      </c>
      <c r="D4412" s="45" t="s">
        <v>6927</v>
      </c>
    </row>
    <row r="4413" spans="1:4" s="45" customFormat="1" ht="13.5" x14ac:dyDescent="0.15">
      <c r="A4413" s="45" t="s">
        <v>41</v>
      </c>
      <c r="D4413" s="45" t="s">
        <v>2226</v>
      </c>
    </row>
    <row r="4414" spans="1:4" s="45" customFormat="1" ht="13.5" x14ac:dyDescent="0.15">
      <c r="A4414" s="45" t="s">
        <v>41</v>
      </c>
      <c r="D4414" s="45" t="s">
        <v>6928</v>
      </c>
    </row>
    <row r="4415" spans="1:4" s="45" customFormat="1" ht="13.5" x14ac:dyDescent="0.15">
      <c r="A4415" s="45" t="s">
        <v>41</v>
      </c>
      <c r="D4415" s="45" t="s">
        <v>6929</v>
      </c>
    </row>
    <row r="4416" spans="1:4" s="45" customFormat="1" ht="13.5" x14ac:dyDescent="0.15">
      <c r="A4416" s="45" t="s">
        <v>41</v>
      </c>
      <c r="D4416" s="45" t="s">
        <v>2228</v>
      </c>
    </row>
    <row r="4417" spans="1:4" s="45" customFormat="1" ht="13.5" x14ac:dyDescent="0.15">
      <c r="A4417" s="45" t="s">
        <v>41</v>
      </c>
      <c r="D4417" s="45" t="s">
        <v>2229</v>
      </c>
    </row>
    <row r="4418" spans="1:4" s="45" customFormat="1" ht="13.5" x14ac:dyDescent="0.15">
      <c r="A4418" s="45" t="s">
        <v>41</v>
      </c>
      <c r="D4418" s="45" t="s">
        <v>6930</v>
      </c>
    </row>
    <row r="4419" spans="1:4" s="45" customFormat="1" ht="13.5" x14ac:dyDescent="0.15">
      <c r="A4419" s="45" t="s">
        <v>41</v>
      </c>
      <c r="D4419" s="45" t="s">
        <v>6931</v>
      </c>
    </row>
    <row r="4420" spans="1:4" s="45" customFormat="1" ht="13.5" x14ac:dyDescent="0.15">
      <c r="A4420" s="45" t="s">
        <v>41</v>
      </c>
      <c r="D4420" s="45" t="s">
        <v>300</v>
      </c>
    </row>
    <row r="4421" spans="1:4" s="45" customFormat="1" ht="13.5" x14ac:dyDescent="0.15">
      <c r="A4421" s="45" t="s">
        <v>41</v>
      </c>
      <c r="D4421" s="45" t="s">
        <v>6932</v>
      </c>
    </row>
    <row r="4422" spans="1:4" s="45" customFormat="1" ht="13.5" x14ac:dyDescent="0.15">
      <c r="A4422" s="45" t="s">
        <v>41</v>
      </c>
      <c r="D4422" s="45" t="s">
        <v>6933</v>
      </c>
    </row>
    <row r="4423" spans="1:4" s="45" customFormat="1" ht="13.5" x14ac:dyDescent="0.15">
      <c r="A4423" s="45" t="s">
        <v>41</v>
      </c>
      <c r="D4423" s="45" t="s">
        <v>6934</v>
      </c>
    </row>
    <row r="4424" spans="1:4" s="45" customFormat="1" ht="13.5" x14ac:dyDescent="0.15">
      <c r="A4424" s="45" t="s">
        <v>41</v>
      </c>
      <c r="D4424" s="45" t="s">
        <v>6935</v>
      </c>
    </row>
    <row r="4425" spans="1:4" s="45" customFormat="1" ht="13.5" x14ac:dyDescent="0.15">
      <c r="A4425" s="45" t="s">
        <v>41</v>
      </c>
      <c r="D4425" s="45" t="s">
        <v>6936</v>
      </c>
    </row>
    <row r="4426" spans="1:4" s="45" customFormat="1" ht="13.5" x14ac:dyDescent="0.15">
      <c r="A4426" s="45" t="s">
        <v>41</v>
      </c>
      <c r="D4426" s="45" t="s">
        <v>6937</v>
      </c>
    </row>
    <row r="4427" spans="1:4" s="45" customFormat="1" ht="13.5" x14ac:dyDescent="0.15">
      <c r="A4427" s="45" t="s">
        <v>41</v>
      </c>
      <c r="D4427" s="45" t="s">
        <v>2213</v>
      </c>
    </row>
    <row r="4428" spans="1:4" s="45" customFormat="1" ht="13.5" x14ac:dyDescent="0.15">
      <c r="A4428" s="45" t="s">
        <v>41</v>
      </c>
      <c r="D4428" s="45" t="s">
        <v>6938</v>
      </c>
    </row>
    <row r="4429" spans="1:4" s="45" customFormat="1" ht="13.5" x14ac:dyDescent="0.15">
      <c r="A4429" s="45" t="s">
        <v>41</v>
      </c>
      <c r="D4429" s="45" t="s">
        <v>2212</v>
      </c>
    </row>
    <row r="4430" spans="1:4" s="45" customFormat="1" ht="13.5" x14ac:dyDescent="0.15">
      <c r="A4430" s="45" t="s">
        <v>41</v>
      </c>
      <c r="D4430" s="45" t="s">
        <v>6939</v>
      </c>
    </row>
    <row r="4431" spans="1:4" s="45" customFormat="1" ht="13.5" x14ac:dyDescent="0.15">
      <c r="A4431" s="45" t="s">
        <v>41</v>
      </c>
      <c r="D4431" s="45" t="s">
        <v>2214</v>
      </c>
    </row>
    <row r="4432" spans="1:4" s="45" customFormat="1" ht="13.5" x14ac:dyDescent="0.15">
      <c r="A4432" s="45" t="s">
        <v>41</v>
      </c>
      <c r="D4432" s="45" t="s">
        <v>6940</v>
      </c>
    </row>
    <row r="4433" spans="1:4" s="45" customFormat="1" ht="13.5" x14ac:dyDescent="0.15">
      <c r="A4433" s="45" t="s">
        <v>41</v>
      </c>
      <c r="D4433" s="45" t="s">
        <v>6941</v>
      </c>
    </row>
    <row r="4434" spans="1:4" s="45" customFormat="1" ht="13.5" x14ac:dyDescent="0.15">
      <c r="A4434" s="45" t="s">
        <v>41</v>
      </c>
      <c r="D4434" s="45" t="s">
        <v>6942</v>
      </c>
    </row>
    <row r="4435" spans="1:4" s="45" customFormat="1" ht="13.5" x14ac:dyDescent="0.15">
      <c r="A4435" s="45" t="s">
        <v>41</v>
      </c>
      <c r="D4435" s="45" t="s">
        <v>6943</v>
      </c>
    </row>
    <row r="4436" spans="1:4" s="45" customFormat="1" ht="13.5" x14ac:dyDescent="0.15">
      <c r="A4436" s="45" t="s">
        <v>41</v>
      </c>
      <c r="D4436" s="45" t="s">
        <v>6944</v>
      </c>
    </row>
    <row r="4437" spans="1:4" s="45" customFormat="1" ht="13.5" x14ac:dyDescent="0.15">
      <c r="A4437" s="45" t="s">
        <v>41</v>
      </c>
      <c r="D4437" s="45" t="s">
        <v>6945</v>
      </c>
    </row>
    <row r="4438" spans="1:4" s="45" customFormat="1" ht="13.5" x14ac:dyDescent="0.15">
      <c r="A4438" s="45" t="s">
        <v>41</v>
      </c>
      <c r="D4438" s="45" t="s">
        <v>6946</v>
      </c>
    </row>
    <row r="4439" spans="1:4" s="45" customFormat="1" ht="13.5" x14ac:dyDescent="0.15">
      <c r="A4439" s="45" t="s">
        <v>41</v>
      </c>
      <c r="D4439" s="45" t="s">
        <v>6947</v>
      </c>
    </row>
    <row r="4440" spans="1:4" s="45" customFormat="1" ht="13.5" x14ac:dyDescent="0.15">
      <c r="A4440" s="45" t="s">
        <v>41</v>
      </c>
      <c r="D4440" s="45" t="s">
        <v>6948</v>
      </c>
    </row>
    <row r="4441" spans="1:4" s="45" customFormat="1" ht="13.5" x14ac:dyDescent="0.15">
      <c r="A4441" s="45" t="s">
        <v>41</v>
      </c>
      <c r="D4441" s="45" t="s">
        <v>2102</v>
      </c>
    </row>
    <row r="4442" spans="1:4" s="45" customFormat="1" ht="13.5" x14ac:dyDescent="0.15">
      <c r="A4442" s="45" t="s">
        <v>41</v>
      </c>
      <c r="D4442" s="45" t="s">
        <v>1853</v>
      </c>
    </row>
    <row r="4443" spans="1:4" s="45" customFormat="1" ht="13.5" x14ac:dyDescent="0.15">
      <c r="A4443" s="45" t="s">
        <v>41</v>
      </c>
      <c r="D4443" s="45" t="s">
        <v>6949</v>
      </c>
    </row>
    <row r="4444" spans="1:4" s="45" customFormat="1" ht="13.5" x14ac:dyDescent="0.15">
      <c r="A4444" s="45" t="s">
        <v>41</v>
      </c>
      <c r="D4444" s="45" t="s">
        <v>1854</v>
      </c>
    </row>
    <row r="4445" spans="1:4" s="45" customFormat="1" ht="13.5" x14ac:dyDescent="0.15">
      <c r="A4445" s="45" t="s">
        <v>41</v>
      </c>
      <c r="D4445" s="45" t="s">
        <v>6950</v>
      </c>
    </row>
    <row r="4446" spans="1:4" s="45" customFormat="1" ht="13.5" x14ac:dyDescent="0.15">
      <c r="A4446" s="45" t="s">
        <v>41</v>
      </c>
      <c r="D4446" s="45" t="s">
        <v>1855</v>
      </c>
    </row>
    <row r="4447" spans="1:4" s="45" customFormat="1" ht="13.5" x14ac:dyDescent="0.15">
      <c r="A4447" s="45" t="s">
        <v>41</v>
      </c>
      <c r="D4447" s="45" t="s">
        <v>6951</v>
      </c>
    </row>
    <row r="4448" spans="1:4" s="45" customFormat="1" ht="13.5" x14ac:dyDescent="0.15">
      <c r="A4448" s="45" t="s">
        <v>41</v>
      </c>
      <c r="D4448" s="45" t="s">
        <v>1928</v>
      </c>
    </row>
    <row r="4449" spans="1:4" s="45" customFormat="1" ht="13.5" x14ac:dyDescent="0.15">
      <c r="A4449" s="45" t="s">
        <v>41</v>
      </c>
      <c r="D4449" s="45" t="s">
        <v>2502</v>
      </c>
    </row>
    <row r="4450" spans="1:4" s="45" customFormat="1" ht="13.5" x14ac:dyDescent="0.15">
      <c r="A4450" s="45" t="s">
        <v>41</v>
      </c>
      <c r="D4450" s="45" t="s">
        <v>1859</v>
      </c>
    </row>
    <row r="4451" spans="1:4" s="45" customFormat="1" ht="13.5" x14ac:dyDescent="0.15">
      <c r="A4451" s="45" t="s">
        <v>41</v>
      </c>
      <c r="D4451" s="45" t="s">
        <v>1856</v>
      </c>
    </row>
    <row r="4452" spans="1:4" s="45" customFormat="1" ht="13.5" x14ac:dyDescent="0.15">
      <c r="A4452" s="45" t="s">
        <v>41</v>
      </c>
      <c r="D4452" s="45" t="s">
        <v>1860</v>
      </c>
    </row>
    <row r="4453" spans="1:4" s="45" customFormat="1" ht="13.5" x14ac:dyDescent="0.15">
      <c r="A4453" s="45" t="s">
        <v>41</v>
      </c>
      <c r="D4453" s="45" t="s">
        <v>6952</v>
      </c>
    </row>
    <row r="4454" spans="1:4" s="45" customFormat="1" ht="13.5" x14ac:dyDescent="0.15">
      <c r="A4454" s="45" t="s">
        <v>41</v>
      </c>
      <c r="D4454" s="45" t="s">
        <v>1858</v>
      </c>
    </row>
    <row r="4455" spans="1:4" s="45" customFormat="1" ht="13.5" x14ac:dyDescent="0.15">
      <c r="A4455" s="45" t="s">
        <v>41</v>
      </c>
      <c r="D4455" s="45" t="s">
        <v>1857</v>
      </c>
    </row>
    <row r="4456" spans="1:4" s="45" customFormat="1" ht="13.5" x14ac:dyDescent="0.15">
      <c r="A4456" s="45" t="s">
        <v>41</v>
      </c>
      <c r="D4456" s="45" t="s">
        <v>6953</v>
      </c>
    </row>
    <row r="4457" spans="1:4" s="45" customFormat="1" ht="13.5" x14ac:dyDescent="0.15">
      <c r="A4457" s="45" t="s">
        <v>41</v>
      </c>
      <c r="D4457" s="45" t="s">
        <v>6954</v>
      </c>
    </row>
    <row r="4458" spans="1:4" s="45" customFormat="1" ht="13.5" x14ac:dyDescent="0.15">
      <c r="A4458" s="45" t="s">
        <v>41</v>
      </c>
      <c r="D4458" s="45" t="s">
        <v>6955</v>
      </c>
    </row>
    <row r="4459" spans="1:4" s="45" customFormat="1" ht="13.5" x14ac:dyDescent="0.15">
      <c r="A4459" s="45" t="s">
        <v>41</v>
      </c>
      <c r="D4459" s="45" t="s">
        <v>6956</v>
      </c>
    </row>
    <row r="4460" spans="1:4" s="45" customFormat="1" ht="13.5" x14ac:dyDescent="0.15">
      <c r="A4460" s="45" t="s">
        <v>41</v>
      </c>
      <c r="D4460" s="45" t="s">
        <v>6957</v>
      </c>
    </row>
    <row r="4461" spans="1:4" s="45" customFormat="1" ht="13.5" x14ac:dyDescent="0.15">
      <c r="A4461" s="45" t="s">
        <v>41</v>
      </c>
      <c r="D4461" s="45" t="s">
        <v>6958</v>
      </c>
    </row>
    <row r="4462" spans="1:4" s="45" customFormat="1" ht="13.5" x14ac:dyDescent="0.15">
      <c r="A4462" s="45" t="s">
        <v>41</v>
      </c>
      <c r="D4462" s="45" t="s">
        <v>6959</v>
      </c>
    </row>
    <row r="4463" spans="1:4" s="45" customFormat="1" ht="13.5" x14ac:dyDescent="0.15">
      <c r="A4463" s="45" t="s">
        <v>41</v>
      </c>
      <c r="D4463" s="45" t="s">
        <v>6960</v>
      </c>
    </row>
    <row r="4464" spans="1:4" s="45" customFormat="1" ht="13.5" x14ac:dyDescent="0.15">
      <c r="A4464" s="45" t="s">
        <v>41</v>
      </c>
      <c r="D4464" s="45" t="s">
        <v>6961</v>
      </c>
    </row>
    <row r="4465" spans="1:4" s="45" customFormat="1" ht="13.5" x14ac:dyDescent="0.15">
      <c r="A4465" s="45" t="s">
        <v>41</v>
      </c>
      <c r="D4465" s="45" t="s">
        <v>6962</v>
      </c>
    </row>
    <row r="4466" spans="1:4" s="45" customFormat="1" ht="13.5" x14ac:dyDescent="0.15">
      <c r="A4466" s="45" t="s">
        <v>41</v>
      </c>
      <c r="D4466" s="45" t="s">
        <v>6963</v>
      </c>
    </row>
    <row r="4467" spans="1:4" s="45" customFormat="1" ht="13.5" x14ac:dyDescent="0.15">
      <c r="A4467" s="45" t="s">
        <v>41</v>
      </c>
      <c r="D4467" s="45" t="s">
        <v>6964</v>
      </c>
    </row>
    <row r="4468" spans="1:4" s="45" customFormat="1" ht="13.5" x14ac:dyDescent="0.15">
      <c r="A4468" s="45" t="s">
        <v>41</v>
      </c>
      <c r="D4468" s="45" t="s">
        <v>6965</v>
      </c>
    </row>
    <row r="4469" spans="1:4" s="45" customFormat="1" ht="13.5" x14ac:dyDescent="0.15">
      <c r="A4469" s="45" t="s">
        <v>41</v>
      </c>
      <c r="D4469" s="45" t="s">
        <v>6966</v>
      </c>
    </row>
    <row r="4470" spans="1:4" s="45" customFormat="1" ht="13.5" x14ac:dyDescent="0.15">
      <c r="A4470" s="45" t="s">
        <v>41</v>
      </c>
      <c r="D4470" s="45" t="s">
        <v>1489</v>
      </c>
    </row>
    <row r="4471" spans="1:4" s="45" customFormat="1" ht="13.5" x14ac:dyDescent="0.15">
      <c r="A4471" s="45" t="s">
        <v>41</v>
      </c>
      <c r="D4471" s="45" t="s">
        <v>6967</v>
      </c>
    </row>
    <row r="4472" spans="1:4" s="45" customFormat="1" ht="13.5" x14ac:dyDescent="0.15">
      <c r="A4472" s="45" t="s">
        <v>41</v>
      </c>
      <c r="D4472" s="45" t="s">
        <v>6968</v>
      </c>
    </row>
    <row r="4473" spans="1:4" s="45" customFormat="1" ht="13.5" x14ac:dyDescent="0.15">
      <c r="A4473" s="45" t="s">
        <v>41</v>
      </c>
      <c r="D4473" s="45" t="s">
        <v>6969</v>
      </c>
    </row>
    <row r="4474" spans="1:4" s="45" customFormat="1" ht="13.5" x14ac:dyDescent="0.15">
      <c r="A4474" s="45" t="s">
        <v>41</v>
      </c>
      <c r="D4474" s="45" t="s">
        <v>6970</v>
      </c>
    </row>
    <row r="4475" spans="1:4" s="45" customFormat="1" ht="13.5" x14ac:dyDescent="0.15">
      <c r="A4475" s="45" t="s">
        <v>41</v>
      </c>
      <c r="D4475" s="45" t="s">
        <v>1582</v>
      </c>
    </row>
    <row r="4476" spans="1:4" s="45" customFormat="1" ht="13.5" x14ac:dyDescent="0.15">
      <c r="A4476" s="45" t="s">
        <v>41</v>
      </c>
      <c r="D4476" s="45" t="s">
        <v>6971</v>
      </c>
    </row>
    <row r="4477" spans="1:4" s="45" customFormat="1" ht="13.5" x14ac:dyDescent="0.15">
      <c r="A4477" s="45" t="s">
        <v>41</v>
      </c>
      <c r="D4477" s="45" t="s">
        <v>6972</v>
      </c>
    </row>
    <row r="4478" spans="1:4" s="45" customFormat="1" ht="13.5" x14ac:dyDescent="0.15">
      <c r="A4478" s="45" t="s">
        <v>41</v>
      </c>
      <c r="D4478" s="45" t="s">
        <v>567</v>
      </c>
    </row>
    <row r="4479" spans="1:4" s="45" customFormat="1" ht="13.5" x14ac:dyDescent="0.15">
      <c r="A4479" s="45" t="s">
        <v>41</v>
      </c>
      <c r="D4479" s="45" t="s">
        <v>595</v>
      </c>
    </row>
    <row r="4480" spans="1:4" s="45" customFormat="1" ht="13.5" x14ac:dyDescent="0.15">
      <c r="A4480" s="45" t="s">
        <v>41</v>
      </c>
      <c r="D4480" s="45" t="s">
        <v>596</v>
      </c>
    </row>
    <row r="4481" spans="1:4" s="45" customFormat="1" ht="13.5" x14ac:dyDescent="0.15">
      <c r="A4481" s="45" t="s">
        <v>41</v>
      </c>
      <c r="D4481" s="45" t="s">
        <v>6973</v>
      </c>
    </row>
    <row r="4482" spans="1:4" s="45" customFormat="1" ht="13.5" x14ac:dyDescent="0.15">
      <c r="A4482" s="45" t="s">
        <v>41</v>
      </c>
      <c r="D4482" s="45" t="s">
        <v>6974</v>
      </c>
    </row>
    <row r="4483" spans="1:4" s="45" customFormat="1" ht="13.5" x14ac:dyDescent="0.15">
      <c r="A4483" s="45" t="s">
        <v>41</v>
      </c>
      <c r="D4483" s="45" t="s">
        <v>1214</v>
      </c>
    </row>
    <row r="4484" spans="1:4" s="45" customFormat="1" ht="13.5" x14ac:dyDescent="0.15">
      <c r="A4484" s="45" t="s">
        <v>41</v>
      </c>
      <c r="D4484" s="45" t="s">
        <v>6975</v>
      </c>
    </row>
    <row r="4485" spans="1:4" s="45" customFormat="1" ht="13.5" x14ac:dyDescent="0.15">
      <c r="A4485" s="45" t="s">
        <v>41</v>
      </c>
      <c r="D4485" s="45" t="s">
        <v>6976</v>
      </c>
    </row>
    <row r="4486" spans="1:4" s="45" customFormat="1" ht="13.5" x14ac:dyDescent="0.15">
      <c r="A4486" s="45" t="s">
        <v>41</v>
      </c>
      <c r="D4486" s="45" t="s">
        <v>6977</v>
      </c>
    </row>
    <row r="4487" spans="1:4" s="45" customFormat="1" ht="13.5" x14ac:dyDescent="0.15">
      <c r="A4487" s="45" t="s">
        <v>41</v>
      </c>
      <c r="D4487" s="45" t="s">
        <v>6978</v>
      </c>
    </row>
    <row r="4488" spans="1:4" s="45" customFormat="1" ht="13.5" x14ac:dyDescent="0.15">
      <c r="A4488" s="45" t="s">
        <v>41</v>
      </c>
      <c r="D4488" s="45" t="s">
        <v>6979</v>
      </c>
    </row>
    <row r="4489" spans="1:4" s="45" customFormat="1" ht="13.5" x14ac:dyDescent="0.15">
      <c r="A4489" s="45" t="s">
        <v>41</v>
      </c>
      <c r="D4489" s="45" t="s">
        <v>2307</v>
      </c>
    </row>
    <row r="4490" spans="1:4" s="45" customFormat="1" ht="13.5" x14ac:dyDescent="0.15">
      <c r="A4490" s="45" t="s">
        <v>41</v>
      </c>
      <c r="D4490" s="45" t="s">
        <v>6980</v>
      </c>
    </row>
    <row r="4491" spans="1:4" s="45" customFormat="1" ht="13.5" x14ac:dyDescent="0.15">
      <c r="A4491" s="45" t="s">
        <v>41</v>
      </c>
      <c r="D4491" s="45" t="s">
        <v>782</v>
      </c>
    </row>
    <row r="4492" spans="1:4" s="45" customFormat="1" ht="13.5" x14ac:dyDescent="0.15">
      <c r="A4492" s="45" t="s">
        <v>41</v>
      </c>
      <c r="D4492" s="45" t="s">
        <v>6981</v>
      </c>
    </row>
    <row r="4493" spans="1:4" s="45" customFormat="1" ht="13.5" x14ac:dyDescent="0.15">
      <c r="A4493" s="45" t="s">
        <v>41</v>
      </c>
      <c r="D4493" s="45" t="s">
        <v>788</v>
      </c>
    </row>
    <row r="4494" spans="1:4" s="45" customFormat="1" ht="13.5" x14ac:dyDescent="0.15">
      <c r="A4494" s="45" t="s">
        <v>41</v>
      </c>
      <c r="D4494" s="45" t="s">
        <v>6982</v>
      </c>
    </row>
    <row r="4495" spans="1:4" s="45" customFormat="1" ht="13.5" x14ac:dyDescent="0.15">
      <c r="A4495" s="45" t="s">
        <v>41</v>
      </c>
      <c r="D4495" s="45" t="s">
        <v>785</v>
      </c>
    </row>
    <row r="4496" spans="1:4" s="45" customFormat="1" ht="13.5" x14ac:dyDescent="0.15">
      <c r="A4496" s="45" t="s">
        <v>41</v>
      </c>
      <c r="D4496" s="45" t="s">
        <v>786</v>
      </c>
    </row>
    <row r="4497" spans="1:4" s="45" customFormat="1" ht="13.5" x14ac:dyDescent="0.15">
      <c r="A4497" s="45" t="s">
        <v>41</v>
      </c>
      <c r="D4497" s="45" t="s">
        <v>6983</v>
      </c>
    </row>
    <row r="4498" spans="1:4" s="45" customFormat="1" ht="13.5" x14ac:dyDescent="0.15">
      <c r="A4498" s="45" t="s">
        <v>41</v>
      </c>
      <c r="D4498" s="45" t="s">
        <v>6984</v>
      </c>
    </row>
    <row r="4499" spans="1:4" s="45" customFormat="1" ht="13.5" x14ac:dyDescent="0.15">
      <c r="A4499" s="45" t="s">
        <v>41</v>
      </c>
      <c r="D4499" s="45" t="s">
        <v>6985</v>
      </c>
    </row>
    <row r="4500" spans="1:4" s="45" customFormat="1" ht="13.5" x14ac:dyDescent="0.15">
      <c r="A4500" s="45" t="s">
        <v>41</v>
      </c>
      <c r="D4500" s="45" t="s">
        <v>6986</v>
      </c>
    </row>
    <row r="4501" spans="1:4" s="45" customFormat="1" ht="13.5" x14ac:dyDescent="0.15">
      <c r="A4501" s="45" t="s">
        <v>41</v>
      </c>
      <c r="D4501" s="45" t="s">
        <v>783</v>
      </c>
    </row>
    <row r="4502" spans="1:4" s="45" customFormat="1" ht="13.5" x14ac:dyDescent="0.15">
      <c r="A4502" s="45" t="s">
        <v>41</v>
      </c>
      <c r="D4502" s="45" t="s">
        <v>784</v>
      </c>
    </row>
    <row r="4503" spans="1:4" s="45" customFormat="1" ht="13.5" x14ac:dyDescent="0.15">
      <c r="A4503" s="45" t="s">
        <v>41</v>
      </c>
      <c r="D4503" s="45" t="s">
        <v>787</v>
      </c>
    </row>
    <row r="4504" spans="1:4" s="45" customFormat="1" ht="13.5" x14ac:dyDescent="0.15">
      <c r="A4504" s="45" t="s">
        <v>41</v>
      </c>
      <c r="D4504" s="45" t="s">
        <v>6987</v>
      </c>
    </row>
    <row r="4505" spans="1:4" s="45" customFormat="1" ht="13.5" x14ac:dyDescent="0.15">
      <c r="A4505" s="45" t="s">
        <v>41</v>
      </c>
      <c r="D4505" s="45" t="s">
        <v>806</v>
      </c>
    </row>
    <row r="4506" spans="1:4" s="45" customFormat="1" ht="13.5" x14ac:dyDescent="0.15">
      <c r="A4506" s="45" t="s">
        <v>41</v>
      </c>
      <c r="D4506" s="45" t="s">
        <v>6988</v>
      </c>
    </row>
    <row r="4507" spans="1:4" s="45" customFormat="1" ht="13.5" x14ac:dyDescent="0.15">
      <c r="A4507" s="45" t="s">
        <v>41</v>
      </c>
      <c r="D4507" s="45" t="s">
        <v>6989</v>
      </c>
    </row>
    <row r="4508" spans="1:4" s="45" customFormat="1" ht="13.5" x14ac:dyDescent="0.15">
      <c r="A4508" s="45" t="s">
        <v>41</v>
      </c>
      <c r="D4508" s="45" t="s">
        <v>808</v>
      </c>
    </row>
    <row r="4509" spans="1:4" s="45" customFormat="1" ht="13.5" x14ac:dyDescent="0.15">
      <c r="A4509" s="45" t="s">
        <v>41</v>
      </c>
      <c r="D4509" s="45" t="s">
        <v>809</v>
      </c>
    </row>
    <row r="4510" spans="1:4" s="45" customFormat="1" ht="13.5" x14ac:dyDescent="0.15">
      <c r="A4510" s="45" t="s">
        <v>41</v>
      </c>
      <c r="D4510" s="45" t="s">
        <v>6990</v>
      </c>
    </row>
    <row r="4511" spans="1:4" s="45" customFormat="1" ht="13.5" x14ac:dyDescent="0.15">
      <c r="A4511" s="45" t="s">
        <v>41</v>
      </c>
      <c r="D4511" s="45" t="s">
        <v>6991</v>
      </c>
    </row>
    <row r="4512" spans="1:4" s="45" customFormat="1" ht="13.5" x14ac:dyDescent="0.15">
      <c r="A4512" s="45" t="s">
        <v>41</v>
      </c>
      <c r="D4512" s="45" t="s">
        <v>6992</v>
      </c>
    </row>
    <row r="4513" spans="1:4" s="45" customFormat="1" ht="13.5" x14ac:dyDescent="0.15">
      <c r="A4513" s="45" t="s">
        <v>41</v>
      </c>
      <c r="D4513" s="45" t="s">
        <v>807</v>
      </c>
    </row>
    <row r="4514" spans="1:4" s="45" customFormat="1" ht="13.5" x14ac:dyDescent="0.15">
      <c r="A4514" s="45" t="s">
        <v>41</v>
      </c>
      <c r="D4514" s="45" t="s">
        <v>6993</v>
      </c>
    </row>
    <row r="4515" spans="1:4" s="45" customFormat="1" ht="13.5" x14ac:dyDescent="0.15">
      <c r="A4515" s="45" t="s">
        <v>41</v>
      </c>
      <c r="D4515" s="45" t="s">
        <v>6994</v>
      </c>
    </row>
    <row r="4516" spans="1:4" s="45" customFormat="1" ht="13.5" x14ac:dyDescent="0.15">
      <c r="A4516" s="45" t="s">
        <v>41</v>
      </c>
      <c r="D4516" s="45" t="s">
        <v>6995</v>
      </c>
    </row>
    <row r="4517" spans="1:4" s="45" customFormat="1" ht="13.5" x14ac:dyDescent="0.15">
      <c r="A4517" s="45" t="s">
        <v>41</v>
      </c>
      <c r="D4517" s="45" t="s">
        <v>2589</v>
      </c>
    </row>
    <row r="4518" spans="1:4" s="45" customFormat="1" ht="13.5" x14ac:dyDescent="0.15">
      <c r="A4518" s="45" t="s">
        <v>41</v>
      </c>
      <c r="D4518" s="45" t="s">
        <v>6996</v>
      </c>
    </row>
    <row r="4519" spans="1:4" s="45" customFormat="1" ht="13.5" x14ac:dyDescent="0.15">
      <c r="A4519" s="45" t="s">
        <v>41</v>
      </c>
      <c r="D4519" s="45" t="s">
        <v>6997</v>
      </c>
    </row>
    <row r="4520" spans="1:4" s="45" customFormat="1" ht="13.5" x14ac:dyDescent="0.15">
      <c r="A4520" s="45" t="s">
        <v>41</v>
      </c>
      <c r="D4520" s="45" t="s">
        <v>6998</v>
      </c>
    </row>
    <row r="4521" spans="1:4" s="45" customFormat="1" ht="13.5" x14ac:dyDescent="0.15">
      <c r="A4521" s="45" t="s">
        <v>41</v>
      </c>
      <c r="D4521" s="45" t="s">
        <v>2587</v>
      </c>
    </row>
    <row r="4522" spans="1:4" s="45" customFormat="1" ht="13.5" x14ac:dyDescent="0.15">
      <c r="A4522" s="45" t="s">
        <v>41</v>
      </c>
      <c r="D4522" s="45" t="s">
        <v>6999</v>
      </c>
    </row>
    <row r="4523" spans="1:4" s="45" customFormat="1" ht="13.5" x14ac:dyDescent="0.15">
      <c r="A4523" s="45" t="s">
        <v>41</v>
      </c>
      <c r="D4523" s="45" t="s">
        <v>2588</v>
      </c>
    </row>
    <row r="4524" spans="1:4" s="45" customFormat="1" ht="13.5" x14ac:dyDescent="0.15">
      <c r="A4524" s="45" t="s">
        <v>41</v>
      </c>
      <c r="D4524" s="45" t="s">
        <v>7000</v>
      </c>
    </row>
    <row r="4525" spans="1:4" s="45" customFormat="1" ht="13.5" x14ac:dyDescent="0.15">
      <c r="A4525" s="45" t="s">
        <v>41</v>
      </c>
      <c r="D4525" s="45" t="s">
        <v>2586</v>
      </c>
    </row>
    <row r="4526" spans="1:4" s="45" customFormat="1" ht="13.5" x14ac:dyDescent="0.15">
      <c r="A4526" s="45" t="s">
        <v>41</v>
      </c>
      <c r="D4526" s="45" t="s">
        <v>622</v>
      </c>
    </row>
    <row r="4527" spans="1:4" s="45" customFormat="1" ht="13.5" x14ac:dyDescent="0.15">
      <c r="A4527" s="45" t="s">
        <v>41</v>
      </c>
      <c r="D4527" s="45" t="s">
        <v>621</v>
      </c>
    </row>
    <row r="4528" spans="1:4" s="45" customFormat="1" ht="13.5" x14ac:dyDescent="0.15">
      <c r="A4528" s="45" t="s">
        <v>41</v>
      </c>
      <c r="D4528" s="45" t="s">
        <v>7001</v>
      </c>
    </row>
    <row r="4529" spans="1:4" s="45" customFormat="1" ht="13.5" x14ac:dyDescent="0.15">
      <c r="A4529" s="45" t="s">
        <v>41</v>
      </c>
      <c r="D4529" s="45" t="s">
        <v>7002</v>
      </c>
    </row>
    <row r="4530" spans="1:4" s="45" customFormat="1" ht="13.5" x14ac:dyDescent="0.15">
      <c r="A4530" s="45" t="s">
        <v>41</v>
      </c>
      <c r="D4530" s="45" t="s">
        <v>7003</v>
      </c>
    </row>
    <row r="4531" spans="1:4" s="45" customFormat="1" ht="13.5" x14ac:dyDescent="0.15">
      <c r="A4531" s="45" t="s">
        <v>41</v>
      </c>
      <c r="D4531" s="45" t="s">
        <v>2487</v>
      </c>
    </row>
    <row r="4532" spans="1:4" s="45" customFormat="1" ht="13.5" x14ac:dyDescent="0.15">
      <c r="A4532" s="45" t="s">
        <v>41</v>
      </c>
      <c r="D4532" s="45" t="s">
        <v>7004</v>
      </c>
    </row>
    <row r="4533" spans="1:4" s="45" customFormat="1" ht="13.5" x14ac:dyDescent="0.15">
      <c r="A4533" s="45" t="s">
        <v>41</v>
      </c>
      <c r="D4533" s="45" t="s">
        <v>2483</v>
      </c>
    </row>
    <row r="4534" spans="1:4" s="45" customFormat="1" ht="13.5" x14ac:dyDescent="0.15">
      <c r="A4534" s="45" t="s">
        <v>41</v>
      </c>
      <c r="D4534" s="45" t="s">
        <v>7005</v>
      </c>
    </row>
    <row r="4535" spans="1:4" s="45" customFormat="1" ht="13.5" x14ac:dyDescent="0.15">
      <c r="A4535" s="45" t="s">
        <v>41</v>
      </c>
      <c r="D4535" s="45" t="s">
        <v>2482</v>
      </c>
    </row>
    <row r="4536" spans="1:4" s="45" customFormat="1" ht="13.5" x14ac:dyDescent="0.15">
      <c r="A4536" s="45" t="s">
        <v>41</v>
      </c>
      <c r="D4536" s="45" t="s">
        <v>2486</v>
      </c>
    </row>
    <row r="4537" spans="1:4" s="45" customFormat="1" ht="13.5" x14ac:dyDescent="0.15">
      <c r="A4537" s="45" t="s">
        <v>41</v>
      </c>
      <c r="D4537" s="45" t="s">
        <v>7006</v>
      </c>
    </row>
    <row r="4538" spans="1:4" s="45" customFormat="1" ht="13.5" x14ac:dyDescent="0.15">
      <c r="A4538" s="45" t="s">
        <v>41</v>
      </c>
      <c r="D4538" s="45" t="s">
        <v>2484</v>
      </c>
    </row>
    <row r="4539" spans="1:4" s="45" customFormat="1" ht="13.5" x14ac:dyDescent="0.15">
      <c r="A4539" s="45" t="s">
        <v>41</v>
      </c>
      <c r="D4539" s="45" t="s">
        <v>7007</v>
      </c>
    </row>
    <row r="4540" spans="1:4" s="45" customFormat="1" ht="13.5" x14ac:dyDescent="0.15">
      <c r="A4540" s="45" t="s">
        <v>41</v>
      </c>
      <c r="D4540" s="45" t="s">
        <v>2485</v>
      </c>
    </row>
    <row r="4541" spans="1:4" s="45" customFormat="1" ht="13.5" x14ac:dyDescent="0.15">
      <c r="A4541" s="45" t="s">
        <v>41</v>
      </c>
      <c r="D4541" s="45" t="s">
        <v>7008</v>
      </c>
    </row>
    <row r="4542" spans="1:4" s="45" customFormat="1" ht="13.5" x14ac:dyDescent="0.15">
      <c r="A4542" s="45" t="s">
        <v>41</v>
      </c>
      <c r="D4542" s="45" t="s">
        <v>7009</v>
      </c>
    </row>
    <row r="4543" spans="1:4" s="45" customFormat="1" ht="13.5" x14ac:dyDescent="0.15">
      <c r="A4543" s="45" t="s">
        <v>41</v>
      </c>
      <c r="D4543" s="45" t="s">
        <v>7010</v>
      </c>
    </row>
    <row r="4544" spans="1:4" s="45" customFormat="1" ht="13.5" x14ac:dyDescent="0.15">
      <c r="A4544" s="45" t="s">
        <v>41</v>
      </c>
      <c r="D4544" s="45" t="s">
        <v>7011</v>
      </c>
    </row>
    <row r="4545" spans="1:4" s="45" customFormat="1" ht="13.5" x14ac:dyDescent="0.15">
      <c r="A4545" s="45" t="s">
        <v>41</v>
      </c>
      <c r="D4545" s="45" t="s">
        <v>7012</v>
      </c>
    </row>
    <row r="4546" spans="1:4" s="45" customFormat="1" ht="13.5" x14ac:dyDescent="0.15">
      <c r="A4546" s="45" t="s">
        <v>41</v>
      </c>
      <c r="D4546" s="45" t="s">
        <v>2488</v>
      </c>
    </row>
    <row r="4547" spans="1:4" s="45" customFormat="1" ht="13.5" x14ac:dyDescent="0.15">
      <c r="A4547" s="45" t="s">
        <v>41</v>
      </c>
      <c r="D4547" s="45" t="s">
        <v>7013</v>
      </c>
    </row>
    <row r="4548" spans="1:4" s="45" customFormat="1" ht="13.5" x14ac:dyDescent="0.15">
      <c r="A4548" s="45" t="s">
        <v>41</v>
      </c>
      <c r="D4548" s="45" t="s">
        <v>7014</v>
      </c>
    </row>
    <row r="4549" spans="1:4" s="45" customFormat="1" ht="13.5" x14ac:dyDescent="0.15">
      <c r="A4549" s="45" t="s">
        <v>41</v>
      </c>
      <c r="D4549" s="45" t="s">
        <v>7015</v>
      </c>
    </row>
    <row r="4550" spans="1:4" s="45" customFormat="1" ht="13.5" x14ac:dyDescent="0.15">
      <c r="A4550" s="45" t="s">
        <v>41</v>
      </c>
      <c r="D4550" s="45" t="s">
        <v>7016</v>
      </c>
    </row>
    <row r="4551" spans="1:4" s="45" customFormat="1" ht="13.5" x14ac:dyDescent="0.15">
      <c r="A4551" s="45" t="s">
        <v>41</v>
      </c>
      <c r="D4551" s="45" t="s">
        <v>7017</v>
      </c>
    </row>
    <row r="4552" spans="1:4" s="45" customFormat="1" ht="13.5" x14ac:dyDescent="0.15">
      <c r="A4552" s="45" t="s">
        <v>41</v>
      </c>
      <c r="D4552" s="45" t="s">
        <v>2464</v>
      </c>
    </row>
    <row r="4553" spans="1:4" s="45" customFormat="1" ht="13.5" x14ac:dyDescent="0.15">
      <c r="A4553" s="45" t="s">
        <v>41</v>
      </c>
      <c r="D4553" s="45" t="s">
        <v>7018</v>
      </c>
    </row>
    <row r="4554" spans="1:4" s="45" customFormat="1" ht="13.5" x14ac:dyDescent="0.15">
      <c r="A4554" s="45" t="s">
        <v>41</v>
      </c>
      <c r="D4554" s="45" t="s">
        <v>7019</v>
      </c>
    </row>
    <row r="4555" spans="1:4" s="45" customFormat="1" ht="13.5" x14ac:dyDescent="0.15">
      <c r="A4555" s="45" t="s">
        <v>41</v>
      </c>
      <c r="D4555" s="45" t="s">
        <v>2463</v>
      </c>
    </row>
    <row r="4556" spans="1:4" s="45" customFormat="1" ht="13.5" x14ac:dyDescent="0.15">
      <c r="A4556" s="45" t="s">
        <v>41</v>
      </c>
      <c r="D4556" s="45" t="s">
        <v>2468</v>
      </c>
    </row>
    <row r="4557" spans="1:4" s="45" customFormat="1" ht="13.5" x14ac:dyDescent="0.15">
      <c r="A4557" s="45" t="s">
        <v>41</v>
      </c>
      <c r="D4557" s="45" t="s">
        <v>2462</v>
      </c>
    </row>
    <row r="4558" spans="1:4" s="45" customFormat="1" ht="13.5" x14ac:dyDescent="0.15">
      <c r="A4558" s="45" t="s">
        <v>41</v>
      </c>
      <c r="D4558" s="45" t="s">
        <v>2465</v>
      </c>
    </row>
    <row r="4559" spans="1:4" s="45" customFormat="1" ht="13.5" x14ac:dyDescent="0.15">
      <c r="A4559" s="45" t="s">
        <v>41</v>
      </c>
      <c r="D4559" s="45" t="s">
        <v>2467</v>
      </c>
    </row>
    <row r="4560" spans="1:4" s="45" customFormat="1" ht="13.5" x14ac:dyDescent="0.15">
      <c r="A4560" s="45" t="s">
        <v>41</v>
      </c>
      <c r="D4560" s="45" t="s">
        <v>2469</v>
      </c>
    </row>
    <row r="4561" spans="1:4" s="45" customFormat="1" ht="13.5" x14ac:dyDescent="0.15">
      <c r="A4561" s="45" t="s">
        <v>41</v>
      </c>
      <c r="D4561" s="45" t="s">
        <v>2466</v>
      </c>
    </row>
    <row r="4562" spans="1:4" s="45" customFormat="1" ht="13.5" x14ac:dyDescent="0.15">
      <c r="A4562" s="45" t="s">
        <v>41</v>
      </c>
      <c r="D4562" s="45" t="s">
        <v>1690</v>
      </c>
    </row>
    <row r="4563" spans="1:4" s="45" customFormat="1" ht="13.5" x14ac:dyDescent="0.15">
      <c r="A4563" s="45" t="s">
        <v>41</v>
      </c>
      <c r="D4563" s="45" t="s">
        <v>1689</v>
      </c>
    </row>
    <row r="4564" spans="1:4" s="45" customFormat="1" ht="13.5" x14ac:dyDescent="0.15">
      <c r="A4564" s="45" t="s">
        <v>41</v>
      </c>
      <c r="D4564" s="45" t="s">
        <v>7020</v>
      </c>
    </row>
    <row r="4565" spans="1:4" s="45" customFormat="1" ht="13.5" x14ac:dyDescent="0.15">
      <c r="A4565" s="45" t="s">
        <v>41</v>
      </c>
      <c r="D4565" s="45" t="s">
        <v>571</v>
      </c>
    </row>
    <row r="4566" spans="1:4" s="45" customFormat="1" ht="13.5" x14ac:dyDescent="0.15">
      <c r="A4566" s="45" t="s">
        <v>41</v>
      </c>
      <c r="D4566" s="45" t="s">
        <v>568</v>
      </c>
    </row>
    <row r="4567" spans="1:4" s="45" customFormat="1" ht="13.5" x14ac:dyDescent="0.15">
      <c r="A4567" s="45" t="s">
        <v>41</v>
      </c>
      <c r="D4567" s="45" t="s">
        <v>570</v>
      </c>
    </row>
    <row r="4568" spans="1:4" s="45" customFormat="1" ht="13.5" x14ac:dyDescent="0.15">
      <c r="A4568" s="45" t="s">
        <v>41</v>
      </c>
      <c r="D4568" s="45" t="s">
        <v>7021</v>
      </c>
    </row>
    <row r="4569" spans="1:4" s="45" customFormat="1" ht="13.5" x14ac:dyDescent="0.15">
      <c r="A4569" s="45" t="s">
        <v>41</v>
      </c>
      <c r="D4569" s="45" t="s">
        <v>569</v>
      </c>
    </row>
    <row r="4570" spans="1:4" s="45" customFormat="1" ht="13.5" x14ac:dyDescent="0.15">
      <c r="A4570" s="45" t="s">
        <v>41</v>
      </c>
      <c r="D4570" s="45" t="s">
        <v>188</v>
      </c>
    </row>
    <row r="4571" spans="1:4" s="45" customFormat="1" ht="13.5" x14ac:dyDescent="0.15">
      <c r="A4571" s="45" t="s">
        <v>41</v>
      </c>
      <c r="D4571" s="45" t="s">
        <v>7022</v>
      </c>
    </row>
    <row r="4572" spans="1:4" s="45" customFormat="1" ht="13.5" x14ac:dyDescent="0.15">
      <c r="A4572" s="45" t="s">
        <v>41</v>
      </c>
      <c r="D4572" s="45" t="s">
        <v>7023</v>
      </c>
    </row>
    <row r="4573" spans="1:4" s="45" customFormat="1" ht="13.5" x14ac:dyDescent="0.15">
      <c r="A4573" s="45" t="s">
        <v>41</v>
      </c>
      <c r="D4573" s="45" t="s">
        <v>7024</v>
      </c>
    </row>
    <row r="4574" spans="1:4" s="45" customFormat="1" ht="13.5" x14ac:dyDescent="0.15">
      <c r="A4574" s="45" t="s">
        <v>41</v>
      </c>
      <c r="D4574" s="45" t="s">
        <v>187</v>
      </c>
    </row>
    <row r="4575" spans="1:4" s="45" customFormat="1" ht="13.5" x14ac:dyDescent="0.15">
      <c r="A4575" s="45" t="s">
        <v>41</v>
      </c>
      <c r="D4575" s="45" t="s">
        <v>9765</v>
      </c>
    </row>
    <row r="4576" spans="1:4" s="45" customFormat="1" ht="13.5" x14ac:dyDescent="0.15">
      <c r="A4576" s="45" t="s">
        <v>41</v>
      </c>
      <c r="D4576" s="45" t="s">
        <v>186</v>
      </c>
    </row>
    <row r="4577" spans="1:4" s="45" customFormat="1" ht="13.5" x14ac:dyDescent="0.15">
      <c r="A4577" s="45" t="s">
        <v>41</v>
      </c>
      <c r="D4577" s="45" t="s">
        <v>7025</v>
      </c>
    </row>
    <row r="4578" spans="1:4" s="45" customFormat="1" ht="13.5" x14ac:dyDescent="0.15">
      <c r="A4578" s="45" t="s">
        <v>41</v>
      </c>
      <c r="D4578" s="45" t="s">
        <v>7026</v>
      </c>
    </row>
    <row r="4579" spans="1:4" s="45" customFormat="1" ht="13.5" x14ac:dyDescent="0.15">
      <c r="A4579" s="45" t="s">
        <v>41</v>
      </c>
      <c r="D4579" s="45" t="s">
        <v>7027</v>
      </c>
    </row>
    <row r="4580" spans="1:4" s="45" customFormat="1" ht="13.5" x14ac:dyDescent="0.15">
      <c r="A4580" s="45" t="s">
        <v>41</v>
      </c>
      <c r="D4580" s="45" t="s">
        <v>7028</v>
      </c>
    </row>
    <row r="4581" spans="1:4" s="45" customFormat="1" ht="13.5" x14ac:dyDescent="0.15">
      <c r="A4581" s="45" t="s">
        <v>41</v>
      </c>
      <c r="D4581" s="45" t="s">
        <v>2585</v>
      </c>
    </row>
    <row r="4582" spans="1:4" s="45" customFormat="1" ht="13.5" x14ac:dyDescent="0.15">
      <c r="A4582" s="45" t="s">
        <v>41</v>
      </c>
      <c r="D4582" s="45" t="s">
        <v>456</v>
      </c>
    </row>
    <row r="4583" spans="1:4" s="45" customFormat="1" ht="13.5" x14ac:dyDescent="0.15">
      <c r="A4583" s="45" t="s">
        <v>41</v>
      </c>
      <c r="D4583" s="45" t="s">
        <v>457</v>
      </c>
    </row>
    <row r="4584" spans="1:4" s="45" customFormat="1" ht="13.5" x14ac:dyDescent="0.15">
      <c r="A4584" s="45" t="s">
        <v>41</v>
      </c>
      <c r="D4584" s="45" t="s">
        <v>458</v>
      </c>
    </row>
    <row r="4585" spans="1:4" s="45" customFormat="1" ht="13.5" x14ac:dyDescent="0.15">
      <c r="A4585" s="45" t="s">
        <v>41</v>
      </c>
      <c r="D4585" s="45" t="s">
        <v>469</v>
      </c>
    </row>
    <row r="4586" spans="1:4" s="45" customFormat="1" ht="13.5" x14ac:dyDescent="0.15">
      <c r="A4586" s="45" t="s">
        <v>41</v>
      </c>
      <c r="D4586" s="45" t="s">
        <v>465</v>
      </c>
    </row>
    <row r="4587" spans="1:4" s="45" customFormat="1" ht="13.5" x14ac:dyDescent="0.15">
      <c r="A4587" s="45" t="s">
        <v>41</v>
      </c>
      <c r="D4587" s="45" t="s">
        <v>467</v>
      </c>
    </row>
    <row r="4588" spans="1:4" s="45" customFormat="1" ht="13.5" x14ac:dyDescent="0.15">
      <c r="A4588" s="45" t="s">
        <v>41</v>
      </c>
      <c r="D4588" s="45" t="s">
        <v>7029</v>
      </c>
    </row>
    <row r="4589" spans="1:4" s="45" customFormat="1" ht="13.5" x14ac:dyDescent="0.15">
      <c r="A4589" s="45" t="s">
        <v>41</v>
      </c>
      <c r="D4589" s="45" t="s">
        <v>459</v>
      </c>
    </row>
    <row r="4590" spans="1:4" s="45" customFormat="1" ht="13.5" x14ac:dyDescent="0.15">
      <c r="A4590" s="45" t="s">
        <v>41</v>
      </c>
      <c r="D4590" s="45" t="s">
        <v>464</v>
      </c>
    </row>
    <row r="4591" spans="1:4" s="45" customFormat="1" ht="13.5" x14ac:dyDescent="0.15">
      <c r="A4591" s="45" t="s">
        <v>41</v>
      </c>
      <c r="D4591" s="45" t="s">
        <v>462</v>
      </c>
    </row>
    <row r="4592" spans="1:4" s="45" customFormat="1" ht="13.5" x14ac:dyDescent="0.15">
      <c r="A4592" s="45" t="s">
        <v>41</v>
      </c>
      <c r="D4592" s="45" t="s">
        <v>463</v>
      </c>
    </row>
    <row r="4593" spans="1:4" s="45" customFormat="1" ht="13.5" x14ac:dyDescent="0.15">
      <c r="A4593" s="45" t="s">
        <v>41</v>
      </c>
      <c r="D4593" s="45" t="s">
        <v>461</v>
      </c>
    </row>
    <row r="4594" spans="1:4" s="45" customFormat="1" ht="13.5" x14ac:dyDescent="0.15">
      <c r="A4594" s="45" t="s">
        <v>41</v>
      </c>
      <c r="D4594" s="45" t="s">
        <v>460</v>
      </c>
    </row>
    <row r="4595" spans="1:4" s="45" customFormat="1" ht="13.5" x14ac:dyDescent="0.15">
      <c r="A4595" s="45" t="s">
        <v>41</v>
      </c>
      <c r="D4595" s="45" t="s">
        <v>7030</v>
      </c>
    </row>
    <row r="4596" spans="1:4" s="45" customFormat="1" ht="13.5" x14ac:dyDescent="0.15">
      <c r="A4596" s="45" t="s">
        <v>41</v>
      </c>
      <c r="D4596" s="45" t="s">
        <v>7031</v>
      </c>
    </row>
    <row r="4597" spans="1:4" s="45" customFormat="1" ht="13.5" x14ac:dyDescent="0.15">
      <c r="A4597" s="45" t="s">
        <v>41</v>
      </c>
      <c r="D4597" s="45" t="s">
        <v>468</v>
      </c>
    </row>
    <row r="4598" spans="1:4" s="45" customFormat="1" ht="13.5" x14ac:dyDescent="0.15">
      <c r="A4598" s="45" t="s">
        <v>41</v>
      </c>
      <c r="D4598" s="45" t="s">
        <v>7032</v>
      </c>
    </row>
    <row r="4599" spans="1:4" s="45" customFormat="1" ht="13.5" x14ac:dyDescent="0.15">
      <c r="A4599" s="45" t="s">
        <v>41</v>
      </c>
      <c r="D4599" s="45" t="s">
        <v>466</v>
      </c>
    </row>
    <row r="4600" spans="1:4" s="45" customFormat="1" ht="13.5" x14ac:dyDescent="0.15">
      <c r="A4600" s="45" t="s">
        <v>41</v>
      </c>
      <c r="D4600" s="45" t="s">
        <v>2584</v>
      </c>
    </row>
    <row r="4601" spans="1:4" s="45" customFormat="1" ht="13.5" x14ac:dyDescent="0.15">
      <c r="A4601" s="45" t="s">
        <v>41</v>
      </c>
      <c r="D4601" s="45" t="s">
        <v>440</v>
      </c>
    </row>
    <row r="4602" spans="1:4" s="45" customFormat="1" ht="13.5" x14ac:dyDescent="0.15">
      <c r="A4602" s="45" t="s">
        <v>41</v>
      </c>
      <c r="D4602" s="45" t="s">
        <v>2147</v>
      </c>
    </row>
    <row r="4603" spans="1:4" s="45" customFormat="1" ht="13.5" x14ac:dyDescent="0.15">
      <c r="A4603" s="45" t="s">
        <v>41</v>
      </c>
      <c r="D4603" s="45" t="s">
        <v>2145</v>
      </c>
    </row>
    <row r="4604" spans="1:4" s="45" customFormat="1" ht="13.5" x14ac:dyDescent="0.15">
      <c r="A4604" s="45" t="s">
        <v>41</v>
      </c>
      <c r="D4604" s="45" t="s">
        <v>2144</v>
      </c>
    </row>
    <row r="4605" spans="1:4" s="45" customFormat="1" ht="13.5" x14ac:dyDescent="0.15">
      <c r="A4605" s="45" t="s">
        <v>41</v>
      </c>
      <c r="D4605" s="45" t="s">
        <v>7033</v>
      </c>
    </row>
    <row r="4606" spans="1:4" s="45" customFormat="1" ht="13.5" x14ac:dyDescent="0.15">
      <c r="A4606" s="45" t="s">
        <v>41</v>
      </c>
      <c r="D4606" s="45" t="s">
        <v>2148</v>
      </c>
    </row>
    <row r="4607" spans="1:4" s="45" customFormat="1" ht="13.5" x14ac:dyDescent="0.15">
      <c r="A4607" s="45" t="s">
        <v>41</v>
      </c>
      <c r="D4607" s="45" t="s">
        <v>2146</v>
      </c>
    </row>
    <row r="4608" spans="1:4" s="45" customFormat="1" ht="13.5" x14ac:dyDescent="0.15">
      <c r="A4608" s="45" t="s">
        <v>41</v>
      </c>
      <c r="D4608" s="45" t="s">
        <v>7034</v>
      </c>
    </row>
    <row r="4609" spans="1:4" s="45" customFormat="1" ht="13.5" x14ac:dyDescent="0.15">
      <c r="A4609" s="45" t="s">
        <v>41</v>
      </c>
      <c r="D4609" s="45" t="s">
        <v>1745</v>
      </c>
    </row>
    <row r="4610" spans="1:4" s="45" customFormat="1" ht="13.5" x14ac:dyDescent="0.15">
      <c r="A4610" s="45" t="s">
        <v>41</v>
      </c>
      <c r="D4610" s="45" t="s">
        <v>7035</v>
      </c>
    </row>
    <row r="4611" spans="1:4" s="45" customFormat="1" ht="13.5" x14ac:dyDescent="0.15">
      <c r="A4611" s="45" t="s">
        <v>41</v>
      </c>
      <c r="D4611" s="45" t="s">
        <v>1264</v>
      </c>
    </row>
    <row r="4612" spans="1:4" s="45" customFormat="1" ht="13.5" x14ac:dyDescent="0.15">
      <c r="A4612" s="45" t="s">
        <v>41</v>
      </c>
      <c r="D4612" s="45" t="s">
        <v>7036</v>
      </c>
    </row>
    <row r="4613" spans="1:4" s="45" customFormat="1" ht="13.5" x14ac:dyDescent="0.15">
      <c r="A4613" s="45" t="s">
        <v>41</v>
      </c>
      <c r="D4613" s="45" t="s">
        <v>7037</v>
      </c>
    </row>
    <row r="4614" spans="1:4" s="45" customFormat="1" ht="13.5" x14ac:dyDescent="0.15">
      <c r="A4614" s="45" t="s">
        <v>41</v>
      </c>
      <c r="D4614" s="45" t="s">
        <v>7038</v>
      </c>
    </row>
    <row r="4615" spans="1:4" s="45" customFormat="1" ht="13.5" x14ac:dyDescent="0.15">
      <c r="A4615" s="45" t="s">
        <v>41</v>
      </c>
      <c r="D4615" s="45" t="s">
        <v>1399</v>
      </c>
    </row>
    <row r="4616" spans="1:4" s="45" customFormat="1" ht="13.5" x14ac:dyDescent="0.15">
      <c r="A4616" s="45" t="s">
        <v>41</v>
      </c>
      <c r="D4616" s="45" t="s">
        <v>7039</v>
      </c>
    </row>
    <row r="4617" spans="1:4" s="45" customFormat="1" ht="13.5" x14ac:dyDescent="0.15">
      <c r="A4617" s="45" t="s">
        <v>41</v>
      </c>
      <c r="D4617" s="45" t="s">
        <v>7040</v>
      </c>
    </row>
    <row r="4618" spans="1:4" s="45" customFormat="1" ht="13.5" x14ac:dyDescent="0.15">
      <c r="A4618" s="45" t="s">
        <v>41</v>
      </c>
      <c r="D4618" s="45" t="s">
        <v>7041</v>
      </c>
    </row>
    <row r="4619" spans="1:4" s="45" customFormat="1" ht="13.5" x14ac:dyDescent="0.15">
      <c r="A4619" s="45" t="s">
        <v>41</v>
      </c>
      <c r="D4619" s="45" t="s">
        <v>1402</v>
      </c>
    </row>
    <row r="4620" spans="1:4" s="45" customFormat="1" ht="13.5" x14ac:dyDescent="0.15">
      <c r="A4620" s="45" t="s">
        <v>41</v>
      </c>
      <c r="D4620" s="45" t="s">
        <v>1403</v>
      </c>
    </row>
    <row r="4621" spans="1:4" s="45" customFormat="1" ht="13.5" x14ac:dyDescent="0.15">
      <c r="A4621" s="45" t="s">
        <v>41</v>
      </c>
      <c r="D4621" s="45" t="s">
        <v>7042</v>
      </c>
    </row>
    <row r="4622" spans="1:4" s="45" customFormat="1" ht="13.5" x14ac:dyDescent="0.15">
      <c r="A4622" s="45" t="s">
        <v>41</v>
      </c>
      <c r="D4622" s="45" t="s">
        <v>7043</v>
      </c>
    </row>
    <row r="4623" spans="1:4" s="45" customFormat="1" ht="13.5" x14ac:dyDescent="0.15">
      <c r="A4623" s="45" t="s">
        <v>41</v>
      </c>
      <c r="D4623" s="45" t="s">
        <v>7044</v>
      </c>
    </row>
    <row r="4624" spans="1:4" s="45" customFormat="1" ht="13.5" x14ac:dyDescent="0.15">
      <c r="A4624" s="45" t="s">
        <v>41</v>
      </c>
      <c r="D4624" s="45" t="s">
        <v>7045</v>
      </c>
    </row>
    <row r="4625" spans="1:4" s="45" customFormat="1" ht="13.5" x14ac:dyDescent="0.15">
      <c r="A4625" s="45" t="s">
        <v>41</v>
      </c>
      <c r="D4625" s="45" t="s">
        <v>1406</v>
      </c>
    </row>
    <row r="4626" spans="1:4" s="45" customFormat="1" ht="13.5" x14ac:dyDescent="0.15">
      <c r="A4626" s="45" t="s">
        <v>41</v>
      </c>
      <c r="D4626" s="45" t="s">
        <v>1405</v>
      </c>
    </row>
    <row r="4627" spans="1:4" s="45" customFormat="1" ht="13.5" x14ac:dyDescent="0.15">
      <c r="A4627" s="45" t="s">
        <v>41</v>
      </c>
      <c r="D4627" s="45" t="s">
        <v>7046</v>
      </c>
    </row>
    <row r="4628" spans="1:4" s="45" customFormat="1" ht="13.5" x14ac:dyDescent="0.15">
      <c r="A4628" s="45" t="s">
        <v>41</v>
      </c>
      <c r="D4628" s="45" t="s">
        <v>7047</v>
      </c>
    </row>
    <row r="4629" spans="1:4" s="45" customFormat="1" ht="13.5" x14ac:dyDescent="0.15">
      <c r="A4629" s="45" t="s">
        <v>41</v>
      </c>
      <c r="D4629" s="45" t="s">
        <v>1400</v>
      </c>
    </row>
    <row r="4630" spans="1:4" s="45" customFormat="1" ht="13.5" x14ac:dyDescent="0.15">
      <c r="A4630" s="45" t="s">
        <v>41</v>
      </c>
      <c r="D4630" s="45" t="s">
        <v>7048</v>
      </c>
    </row>
    <row r="4631" spans="1:4" s="45" customFormat="1" ht="13.5" x14ac:dyDescent="0.15">
      <c r="A4631" s="45" t="s">
        <v>41</v>
      </c>
      <c r="D4631" s="45" t="s">
        <v>1404</v>
      </c>
    </row>
    <row r="4632" spans="1:4" s="45" customFormat="1" ht="13.5" x14ac:dyDescent="0.15">
      <c r="A4632" s="45" t="s">
        <v>41</v>
      </c>
      <c r="D4632" s="45" t="s">
        <v>7049</v>
      </c>
    </row>
    <row r="4633" spans="1:4" s="45" customFormat="1" ht="13.5" x14ac:dyDescent="0.15">
      <c r="A4633" s="45" t="s">
        <v>41</v>
      </c>
      <c r="D4633" s="45" t="s">
        <v>7050</v>
      </c>
    </row>
    <row r="4634" spans="1:4" s="45" customFormat="1" ht="13.5" x14ac:dyDescent="0.15">
      <c r="A4634" s="45" t="s">
        <v>41</v>
      </c>
      <c r="D4634" s="45" t="s">
        <v>7051</v>
      </c>
    </row>
    <row r="4635" spans="1:4" s="45" customFormat="1" ht="13.5" x14ac:dyDescent="0.15">
      <c r="A4635" s="45" t="s">
        <v>41</v>
      </c>
      <c r="D4635" s="45" t="s">
        <v>7052</v>
      </c>
    </row>
    <row r="4636" spans="1:4" s="45" customFormat="1" ht="13.5" x14ac:dyDescent="0.15">
      <c r="A4636" s="45" t="s">
        <v>41</v>
      </c>
      <c r="D4636" s="45" t="s">
        <v>1409</v>
      </c>
    </row>
    <row r="4637" spans="1:4" s="45" customFormat="1" ht="13.5" x14ac:dyDescent="0.15">
      <c r="A4637" s="45" t="s">
        <v>41</v>
      </c>
      <c r="D4637" s="45" t="s">
        <v>1407</v>
      </c>
    </row>
    <row r="4638" spans="1:4" s="45" customFormat="1" ht="13.5" x14ac:dyDescent="0.15">
      <c r="A4638" s="45" t="s">
        <v>41</v>
      </c>
      <c r="D4638" s="45" t="s">
        <v>1408</v>
      </c>
    </row>
    <row r="4639" spans="1:4" s="45" customFormat="1" ht="13.5" x14ac:dyDescent="0.15">
      <c r="A4639" s="45" t="s">
        <v>41</v>
      </c>
      <c r="D4639" s="45" t="s">
        <v>7053</v>
      </c>
    </row>
    <row r="4640" spans="1:4" s="45" customFormat="1" ht="13.5" x14ac:dyDescent="0.15">
      <c r="A4640" s="45" t="s">
        <v>41</v>
      </c>
      <c r="D4640" s="45" t="s">
        <v>1401</v>
      </c>
    </row>
    <row r="4641" spans="1:4" s="45" customFormat="1" ht="13.5" x14ac:dyDescent="0.15">
      <c r="A4641" s="45" t="s">
        <v>41</v>
      </c>
      <c r="D4641" s="45" t="s">
        <v>7054</v>
      </c>
    </row>
    <row r="4642" spans="1:4" s="45" customFormat="1" ht="13.5" x14ac:dyDescent="0.15">
      <c r="A4642" s="45" t="s">
        <v>41</v>
      </c>
      <c r="D4642" s="45" t="s">
        <v>7055</v>
      </c>
    </row>
    <row r="4643" spans="1:4" s="45" customFormat="1" ht="13.5" x14ac:dyDescent="0.15">
      <c r="A4643" s="45" t="s">
        <v>41</v>
      </c>
      <c r="D4643" s="45" t="s">
        <v>7056</v>
      </c>
    </row>
    <row r="4644" spans="1:4" s="45" customFormat="1" ht="13.5" x14ac:dyDescent="0.15">
      <c r="A4644" s="45" t="s">
        <v>41</v>
      </c>
      <c r="D4644" s="45" t="s">
        <v>7057</v>
      </c>
    </row>
    <row r="4645" spans="1:4" s="45" customFormat="1" ht="13.5" x14ac:dyDescent="0.15">
      <c r="A4645" s="45" t="s">
        <v>41</v>
      </c>
      <c r="D4645" s="45" t="s">
        <v>7058</v>
      </c>
    </row>
    <row r="4646" spans="1:4" s="45" customFormat="1" ht="13.5" x14ac:dyDescent="0.15">
      <c r="A4646" s="45" t="s">
        <v>41</v>
      </c>
      <c r="D4646" s="45" t="s">
        <v>7059</v>
      </c>
    </row>
    <row r="4647" spans="1:4" s="45" customFormat="1" ht="13.5" x14ac:dyDescent="0.15">
      <c r="A4647" s="45" t="s">
        <v>41</v>
      </c>
      <c r="D4647" s="45" t="s">
        <v>7060</v>
      </c>
    </row>
    <row r="4648" spans="1:4" s="45" customFormat="1" ht="13.5" x14ac:dyDescent="0.15">
      <c r="A4648" s="45" t="s">
        <v>41</v>
      </c>
      <c r="D4648" s="45" t="s">
        <v>7061</v>
      </c>
    </row>
    <row r="4649" spans="1:4" s="45" customFormat="1" ht="13.5" x14ac:dyDescent="0.15">
      <c r="A4649" s="45" t="s">
        <v>41</v>
      </c>
      <c r="D4649" s="45" t="s">
        <v>7062</v>
      </c>
    </row>
    <row r="4650" spans="1:4" s="45" customFormat="1" ht="13.5" x14ac:dyDescent="0.15">
      <c r="A4650" s="45" t="s">
        <v>41</v>
      </c>
      <c r="D4650" s="45" t="s">
        <v>7063</v>
      </c>
    </row>
    <row r="4651" spans="1:4" s="45" customFormat="1" ht="13.5" x14ac:dyDescent="0.15">
      <c r="A4651" s="45" t="s">
        <v>41</v>
      </c>
      <c r="D4651" s="45" t="s">
        <v>1367</v>
      </c>
    </row>
    <row r="4652" spans="1:4" s="45" customFormat="1" ht="13.5" x14ac:dyDescent="0.15">
      <c r="A4652" s="45" t="s">
        <v>41</v>
      </c>
      <c r="D4652" s="45" t="s">
        <v>7064</v>
      </c>
    </row>
    <row r="4653" spans="1:4" s="45" customFormat="1" ht="13.5" x14ac:dyDescent="0.15">
      <c r="A4653" s="45" t="s">
        <v>41</v>
      </c>
      <c r="D4653" s="45" t="s">
        <v>1368</v>
      </c>
    </row>
    <row r="4654" spans="1:4" s="45" customFormat="1" ht="13.5" x14ac:dyDescent="0.15">
      <c r="A4654" s="45" t="s">
        <v>41</v>
      </c>
      <c r="D4654" s="45" t="s">
        <v>7065</v>
      </c>
    </row>
    <row r="4655" spans="1:4" s="45" customFormat="1" ht="13.5" x14ac:dyDescent="0.15">
      <c r="A4655" s="45" t="s">
        <v>41</v>
      </c>
      <c r="D4655" s="45" t="s">
        <v>1864</v>
      </c>
    </row>
    <row r="4656" spans="1:4" s="45" customFormat="1" ht="13.5" x14ac:dyDescent="0.15">
      <c r="A4656" s="45" t="s">
        <v>41</v>
      </c>
      <c r="D4656" s="45" t="s">
        <v>1866</v>
      </c>
    </row>
    <row r="4657" spans="1:4" s="45" customFormat="1" ht="13.5" x14ac:dyDescent="0.15">
      <c r="A4657" s="45" t="s">
        <v>41</v>
      </c>
      <c r="D4657" s="45" t="s">
        <v>7066</v>
      </c>
    </row>
    <row r="4658" spans="1:4" s="45" customFormat="1" ht="13.5" x14ac:dyDescent="0.15">
      <c r="A4658" s="45" t="s">
        <v>41</v>
      </c>
      <c r="D4658" s="45" t="s">
        <v>1865</v>
      </c>
    </row>
    <row r="4659" spans="1:4" s="45" customFormat="1" ht="13.5" x14ac:dyDescent="0.15">
      <c r="A4659" s="45" t="s">
        <v>41</v>
      </c>
      <c r="D4659" s="45" t="s">
        <v>1867</v>
      </c>
    </row>
    <row r="4660" spans="1:4" s="45" customFormat="1" ht="13.5" x14ac:dyDescent="0.15">
      <c r="A4660" s="45" t="s">
        <v>41</v>
      </c>
      <c r="D4660" s="45" t="s">
        <v>1870</v>
      </c>
    </row>
    <row r="4661" spans="1:4" s="45" customFormat="1" ht="13.5" x14ac:dyDescent="0.15">
      <c r="A4661" s="45" t="s">
        <v>41</v>
      </c>
      <c r="D4661" s="45" t="s">
        <v>1869</v>
      </c>
    </row>
    <row r="4662" spans="1:4" s="45" customFormat="1" ht="13.5" x14ac:dyDescent="0.15">
      <c r="A4662" s="45" t="s">
        <v>41</v>
      </c>
      <c r="D4662" s="45" t="s">
        <v>1868</v>
      </c>
    </row>
    <row r="4663" spans="1:4" s="45" customFormat="1" ht="13.5" x14ac:dyDescent="0.15">
      <c r="A4663" s="45" t="s">
        <v>41</v>
      </c>
      <c r="D4663" s="45" t="s">
        <v>7067</v>
      </c>
    </row>
    <row r="4664" spans="1:4" s="45" customFormat="1" ht="13.5" x14ac:dyDescent="0.15">
      <c r="A4664" s="45" t="s">
        <v>41</v>
      </c>
      <c r="D4664" s="45" t="s">
        <v>1863</v>
      </c>
    </row>
    <row r="4665" spans="1:4" s="45" customFormat="1" ht="13.5" x14ac:dyDescent="0.15">
      <c r="A4665" s="45" t="s">
        <v>41</v>
      </c>
      <c r="D4665" s="45" t="s">
        <v>7068</v>
      </c>
    </row>
    <row r="4666" spans="1:4" s="45" customFormat="1" ht="13.5" x14ac:dyDescent="0.15">
      <c r="A4666" s="45" t="s">
        <v>41</v>
      </c>
      <c r="D4666" s="45" t="s">
        <v>7069</v>
      </c>
    </row>
    <row r="4667" spans="1:4" s="45" customFormat="1" ht="13.5" x14ac:dyDescent="0.15">
      <c r="A4667" s="45" t="s">
        <v>41</v>
      </c>
      <c r="D4667" s="45" t="s">
        <v>7070</v>
      </c>
    </row>
    <row r="4668" spans="1:4" s="45" customFormat="1" ht="13.5" x14ac:dyDescent="0.15">
      <c r="A4668" s="45" t="s">
        <v>41</v>
      </c>
      <c r="D4668" s="45" t="s">
        <v>7071</v>
      </c>
    </row>
    <row r="4669" spans="1:4" s="45" customFormat="1" ht="13.5" x14ac:dyDescent="0.15">
      <c r="A4669" s="45" t="s">
        <v>41</v>
      </c>
      <c r="D4669" s="45" t="s">
        <v>7072</v>
      </c>
    </row>
    <row r="4670" spans="1:4" s="45" customFormat="1" ht="13.5" x14ac:dyDescent="0.15">
      <c r="A4670" s="45" t="s">
        <v>41</v>
      </c>
      <c r="D4670" s="45" t="s">
        <v>7073</v>
      </c>
    </row>
    <row r="4671" spans="1:4" s="45" customFormat="1" ht="13.5" x14ac:dyDescent="0.15">
      <c r="A4671" s="45" t="s">
        <v>41</v>
      </c>
      <c r="D4671" s="45" t="s">
        <v>7074</v>
      </c>
    </row>
    <row r="4672" spans="1:4" s="45" customFormat="1" ht="13.5" x14ac:dyDescent="0.15">
      <c r="A4672" s="45" t="s">
        <v>41</v>
      </c>
      <c r="D4672" s="45" t="s">
        <v>7075</v>
      </c>
    </row>
    <row r="4673" spans="1:4" s="45" customFormat="1" ht="13.5" x14ac:dyDescent="0.15">
      <c r="A4673" s="45" t="s">
        <v>41</v>
      </c>
      <c r="D4673" s="45" t="s">
        <v>7076</v>
      </c>
    </row>
    <row r="4674" spans="1:4" s="45" customFormat="1" ht="13.5" x14ac:dyDescent="0.15">
      <c r="A4674" s="45" t="s">
        <v>41</v>
      </c>
      <c r="D4674" s="45" t="s">
        <v>7077</v>
      </c>
    </row>
    <row r="4675" spans="1:4" s="45" customFormat="1" ht="13.5" x14ac:dyDescent="0.15">
      <c r="A4675" s="45" t="s">
        <v>41</v>
      </c>
      <c r="D4675" s="45" t="s">
        <v>7078</v>
      </c>
    </row>
    <row r="4676" spans="1:4" s="45" customFormat="1" ht="13.5" x14ac:dyDescent="0.15">
      <c r="A4676" s="45" t="s">
        <v>41</v>
      </c>
      <c r="D4676" s="45" t="s">
        <v>7079</v>
      </c>
    </row>
    <row r="4677" spans="1:4" s="45" customFormat="1" ht="13.5" x14ac:dyDescent="0.15">
      <c r="A4677" s="45" t="s">
        <v>41</v>
      </c>
      <c r="D4677" s="45" t="s">
        <v>7080</v>
      </c>
    </row>
    <row r="4678" spans="1:4" s="45" customFormat="1" ht="13.5" x14ac:dyDescent="0.15">
      <c r="A4678" s="45" t="s">
        <v>41</v>
      </c>
      <c r="D4678" s="45" t="s">
        <v>7081</v>
      </c>
    </row>
    <row r="4679" spans="1:4" s="45" customFormat="1" ht="13.5" x14ac:dyDescent="0.15">
      <c r="A4679" s="45" t="s">
        <v>41</v>
      </c>
      <c r="D4679" s="45" t="s">
        <v>7082</v>
      </c>
    </row>
    <row r="4680" spans="1:4" s="45" customFormat="1" ht="13.5" x14ac:dyDescent="0.15">
      <c r="A4680" s="45" t="s">
        <v>41</v>
      </c>
      <c r="D4680" s="45" t="s">
        <v>7083</v>
      </c>
    </row>
    <row r="4681" spans="1:4" s="45" customFormat="1" ht="13.5" x14ac:dyDescent="0.15">
      <c r="A4681" s="45" t="s">
        <v>41</v>
      </c>
      <c r="D4681" s="45" t="s">
        <v>7084</v>
      </c>
    </row>
    <row r="4682" spans="1:4" s="45" customFormat="1" ht="13.5" x14ac:dyDescent="0.15">
      <c r="A4682" s="45" t="s">
        <v>41</v>
      </c>
      <c r="D4682" s="45" t="s">
        <v>7085</v>
      </c>
    </row>
    <row r="4683" spans="1:4" s="45" customFormat="1" ht="13.5" x14ac:dyDescent="0.15">
      <c r="A4683" s="45" t="s">
        <v>41</v>
      </c>
      <c r="D4683" s="45" t="s">
        <v>7086</v>
      </c>
    </row>
    <row r="4684" spans="1:4" s="45" customFormat="1" ht="13.5" x14ac:dyDescent="0.15">
      <c r="A4684" s="45" t="s">
        <v>41</v>
      </c>
      <c r="D4684" s="45" t="s">
        <v>7087</v>
      </c>
    </row>
    <row r="4685" spans="1:4" s="45" customFormat="1" ht="13.5" x14ac:dyDescent="0.15">
      <c r="A4685" s="45" t="s">
        <v>41</v>
      </c>
      <c r="D4685" s="45" t="s">
        <v>7088</v>
      </c>
    </row>
    <row r="4686" spans="1:4" s="45" customFormat="1" ht="13.5" x14ac:dyDescent="0.15">
      <c r="A4686" s="45" t="s">
        <v>41</v>
      </c>
      <c r="D4686" s="45" t="s">
        <v>7089</v>
      </c>
    </row>
    <row r="4687" spans="1:4" s="45" customFormat="1" ht="13.5" x14ac:dyDescent="0.15">
      <c r="A4687" s="45" t="s">
        <v>41</v>
      </c>
      <c r="D4687" s="45" t="s">
        <v>7090</v>
      </c>
    </row>
    <row r="4688" spans="1:4" s="45" customFormat="1" ht="13.5" x14ac:dyDescent="0.15">
      <c r="A4688" s="45" t="s">
        <v>41</v>
      </c>
      <c r="D4688" s="45" t="s">
        <v>7091</v>
      </c>
    </row>
    <row r="4689" spans="1:4" s="45" customFormat="1" ht="13.5" x14ac:dyDescent="0.15">
      <c r="A4689" s="45" t="s">
        <v>41</v>
      </c>
      <c r="D4689" s="45" t="s">
        <v>7092</v>
      </c>
    </row>
    <row r="4690" spans="1:4" s="45" customFormat="1" ht="13.5" x14ac:dyDescent="0.15">
      <c r="A4690" s="45" t="s">
        <v>41</v>
      </c>
      <c r="D4690" s="45" t="s">
        <v>7093</v>
      </c>
    </row>
    <row r="4691" spans="1:4" s="45" customFormat="1" ht="13.5" x14ac:dyDescent="0.15">
      <c r="A4691" s="45" t="s">
        <v>41</v>
      </c>
      <c r="D4691" s="45" t="s">
        <v>7094</v>
      </c>
    </row>
    <row r="4692" spans="1:4" s="45" customFormat="1" ht="13.5" x14ac:dyDescent="0.15">
      <c r="A4692" s="45" t="s">
        <v>41</v>
      </c>
      <c r="D4692" s="45" t="s">
        <v>7095</v>
      </c>
    </row>
    <row r="4693" spans="1:4" s="45" customFormat="1" ht="13.5" x14ac:dyDescent="0.15">
      <c r="A4693" s="45" t="s">
        <v>41</v>
      </c>
      <c r="D4693" s="45" t="s">
        <v>7096</v>
      </c>
    </row>
    <row r="4694" spans="1:4" s="45" customFormat="1" ht="13.5" x14ac:dyDescent="0.15">
      <c r="A4694" s="45" t="s">
        <v>41</v>
      </c>
      <c r="D4694" s="45" t="s">
        <v>7097</v>
      </c>
    </row>
    <row r="4695" spans="1:4" s="45" customFormat="1" ht="13.5" x14ac:dyDescent="0.15">
      <c r="A4695" s="45" t="s">
        <v>41</v>
      </c>
      <c r="D4695" s="45" t="s">
        <v>7098</v>
      </c>
    </row>
    <row r="4696" spans="1:4" s="45" customFormat="1" ht="13.5" x14ac:dyDescent="0.15">
      <c r="A4696" s="45" t="s">
        <v>41</v>
      </c>
      <c r="D4696" s="45" t="s">
        <v>7099</v>
      </c>
    </row>
    <row r="4697" spans="1:4" s="45" customFormat="1" ht="13.5" x14ac:dyDescent="0.15">
      <c r="A4697" s="45" t="s">
        <v>41</v>
      </c>
      <c r="D4697" s="45" t="s">
        <v>7100</v>
      </c>
    </row>
    <row r="4698" spans="1:4" s="45" customFormat="1" ht="13.5" x14ac:dyDescent="0.15">
      <c r="A4698" s="45" t="s">
        <v>41</v>
      </c>
      <c r="D4698" s="45" t="s">
        <v>7101</v>
      </c>
    </row>
    <row r="4699" spans="1:4" s="45" customFormat="1" ht="13.5" x14ac:dyDescent="0.15">
      <c r="A4699" s="45" t="s">
        <v>41</v>
      </c>
      <c r="D4699" s="45" t="s">
        <v>7102</v>
      </c>
    </row>
    <row r="4700" spans="1:4" s="45" customFormat="1" ht="13.5" x14ac:dyDescent="0.15">
      <c r="A4700" s="45" t="s">
        <v>41</v>
      </c>
      <c r="D4700" s="45" t="s">
        <v>7103</v>
      </c>
    </row>
    <row r="4701" spans="1:4" s="45" customFormat="1" ht="13.5" x14ac:dyDescent="0.15">
      <c r="A4701" s="45" t="s">
        <v>41</v>
      </c>
      <c r="D4701" s="45" t="s">
        <v>7104</v>
      </c>
    </row>
    <row r="4702" spans="1:4" s="45" customFormat="1" ht="13.5" x14ac:dyDescent="0.15">
      <c r="A4702" s="45" t="s">
        <v>41</v>
      </c>
      <c r="D4702" s="45" t="s">
        <v>7105</v>
      </c>
    </row>
    <row r="4703" spans="1:4" s="45" customFormat="1" ht="13.5" x14ac:dyDescent="0.15">
      <c r="A4703" s="45" t="s">
        <v>41</v>
      </c>
      <c r="D4703" s="45" t="s">
        <v>7106</v>
      </c>
    </row>
    <row r="4704" spans="1:4" s="45" customFormat="1" ht="13.5" x14ac:dyDescent="0.15">
      <c r="A4704" s="45" t="s">
        <v>41</v>
      </c>
      <c r="D4704" s="45" t="s">
        <v>7107</v>
      </c>
    </row>
    <row r="4705" spans="1:4" s="45" customFormat="1" ht="13.5" x14ac:dyDescent="0.15">
      <c r="A4705" s="45" t="s">
        <v>41</v>
      </c>
      <c r="D4705" s="45" t="s">
        <v>7108</v>
      </c>
    </row>
    <row r="4706" spans="1:4" s="45" customFormat="1" ht="13.5" x14ac:dyDescent="0.15">
      <c r="A4706" s="45" t="s">
        <v>41</v>
      </c>
      <c r="D4706" s="45" t="s">
        <v>7109</v>
      </c>
    </row>
    <row r="4707" spans="1:4" s="45" customFormat="1" ht="13.5" x14ac:dyDescent="0.15">
      <c r="A4707" s="45" t="s">
        <v>41</v>
      </c>
      <c r="D4707" s="45" t="s">
        <v>7110</v>
      </c>
    </row>
    <row r="4708" spans="1:4" s="45" customFormat="1" ht="13.5" x14ac:dyDescent="0.15">
      <c r="A4708" s="45" t="s">
        <v>41</v>
      </c>
      <c r="D4708" s="45" t="s">
        <v>7111</v>
      </c>
    </row>
    <row r="4709" spans="1:4" s="45" customFormat="1" ht="13.5" x14ac:dyDescent="0.15">
      <c r="A4709" s="45" t="s">
        <v>41</v>
      </c>
      <c r="D4709" s="45" t="s">
        <v>7112</v>
      </c>
    </row>
    <row r="4710" spans="1:4" s="45" customFormat="1" ht="13.5" x14ac:dyDescent="0.15">
      <c r="A4710" s="45" t="s">
        <v>41</v>
      </c>
      <c r="D4710" s="45" t="s">
        <v>7113</v>
      </c>
    </row>
    <row r="4711" spans="1:4" s="45" customFormat="1" ht="13.5" x14ac:dyDescent="0.15">
      <c r="A4711" s="45" t="s">
        <v>41</v>
      </c>
      <c r="D4711" s="45" t="s">
        <v>7114</v>
      </c>
    </row>
    <row r="4712" spans="1:4" s="45" customFormat="1" ht="13.5" x14ac:dyDescent="0.15">
      <c r="A4712" s="45" t="s">
        <v>41</v>
      </c>
      <c r="D4712" s="45" t="s">
        <v>7115</v>
      </c>
    </row>
    <row r="4713" spans="1:4" s="45" customFormat="1" ht="13.5" x14ac:dyDescent="0.15">
      <c r="A4713" s="45" t="s">
        <v>41</v>
      </c>
      <c r="D4713" s="45" t="s">
        <v>7116</v>
      </c>
    </row>
    <row r="4714" spans="1:4" s="45" customFormat="1" ht="13.5" x14ac:dyDescent="0.15">
      <c r="A4714" s="45" t="s">
        <v>41</v>
      </c>
      <c r="D4714" s="45" t="s">
        <v>7117</v>
      </c>
    </row>
    <row r="4715" spans="1:4" s="45" customFormat="1" ht="13.5" x14ac:dyDescent="0.15">
      <c r="A4715" s="45" t="s">
        <v>41</v>
      </c>
      <c r="D4715" s="45" t="s">
        <v>2020</v>
      </c>
    </row>
    <row r="4716" spans="1:4" s="45" customFormat="1" ht="13.5" x14ac:dyDescent="0.15">
      <c r="A4716" s="45" t="s">
        <v>41</v>
      </c>
      <c r="D4716" s="45" t="s">
        <v>2021</v>
      </c>
    </row>
    <row r="4717" spans="1:4" s="45" customFormat="1" ht="13.5" x14ac:dyDescent="0.15">
      <c r="A4717" s="45" t="s">
        <v>41</v>
      </c>
      <c r="D4717" s="45" t="s">
        <v>2022</v>
      </c>
    </row>
    <row r="4718" spans="1:4" s="45" customFormat="1" ht="13.5" x14ac:dyDescent="0.15">
      <c r="A4718" s="45" t="s">
        <v>41</v>
      </c>
      <c r="D4718" s="45" t="s">
        <v>2017</v>
      </c>
    </row>
    <row r="4719" spans="1:4" s="45" customFormat="1" ht="13.5" x14ac:dyDescent="0.15">
      <c r="A4719" s="45" t="s">
        <v>41</v>
      </c>
      <c r="D4719" s="45" t="s">
        <v>2018</v>
      </c>
    </row>
    <row r="4720" spans="1:4" s="45" customFormat="1" ht="13.5" x14ac:dyDescent="0.15">
      <c r="A4720" s="45" t="s">
        <v>41</v>
      </c>
      <c r="D4720" s="45" t="s">
        <v>2019</v>
      </c>
    </row>
    <row r="4721" spans="1:4" s="45" customFormat="1" ht="13.5" x14ac:dyDescent="0.15">
      <c r="A4721" s="45" t="s">
        <v>41</v>
      </c>
      <c r="D4721" s="45" t="s">
        <v>7118</v>
      </c>
    </row>
    <row r="4722" spans="1:4" s="45" customFormat="1" ht="13.5" x14ac:dyDescent="0.15">
      <c r="A4722" s="45" t="s">
        <v>41</v>
      </c>
      <c r="D4722" s="45" t="s">
        <v>7119</v>
      </c>
    </row>
    <row r="4723" spans="1:4" s="45" customFormat="1" ht="13.5" x14ac:dyDescent="0.15">
      <c r="A4723" s="45" t="s">
        <v>41</v>
      </c>
      <c r="D4723" s="45" t="s">
        <v>2014</v>
      </c>
    </row>
    <row r="4724" spans="1:4" s="45" customFormat="1" ht="13.5" x14ac:dyDescent="0.15">
      <c r="A4724" s="45" t="s">
        <v>41</v>
      </c>
      <c r="D4724" s="45" t="s">
        <v>2015</v>
      </c>
    </row>
    <row r="4725" spans="1:4" s="45" customFormat="1" ht="13.5" x14ac:dyDescent="0.15">
      <c r="A4725" s="45" t="s">
        <v>41</v>
      </c>
      <c r="D4725" s="45" t="s">
        <v>2016</v>
      </c>
    </row>
    <row r="4726" spans="1:4" s="45" customFormat="1" ht="13.5" x14ac:dyDescent="0.15">
      <c r="A4726" s="45" t="s">
        <v>41</v>
      </c>
      <c r="D4726" s="45" t="s">
        <v>7120</v>
      </c>
    </row>
    <row r="4727" spans="1:4" s="45" customFormat="1" ht="13.5" x14ac:dyDescent="0.15">
      <c r="A4727" s="45" t="s">
        <v>41</v>
      </c>
      <c r="D4727" s="45" t="s">
        <v>7121</v>
      </c>
    </row>
    <row r="4728" spans="1:4" s="45" customFormat="1" ht="13.5" x14ac:dyDescent="0.15">
      <c r="A4728" s="45" t="s">
        <v>41</v>
      </c>
      <c r="D4728" s="45" t="s">
        <v>7122</v>
      </c>
    </row>
    <row r="4729" spans="1:4" s="45" customFormat="1" ht="13.5" x14ac:dyDescent="0.15">
      <c r="A4729" s="45" t="s">
        <v>41</v>
      </c>
      <c r="D4729" s="45" t="s">
        <v>7123</v>
      </c>
    </row>
    <row r="4730" spans="1:4" s="45" customFormat="1" ht="13.5" x14ac:dyDescent="0.15">
      <c r="A4730" s="45" t="s">
        <v>41</v>
      </c>
      <c r="D4730" s="45" t="s">
        <v>7124</v>
      </c>
    </row>
    <row r="4731" spans="1:4" s="45" customFormat="1" ht="13.5" x14ac:dyDescent="0.15">
      <c r="A4731" s="45" t="s">
        <v>41</v>
      </c>
      <c r="D4731" s="45" t="s">
        <v>7125</v>
      </c>
    </row>
    <row r="4732" spans="1:4" s="45" customFormat="1" ht="13.5" x14ac:dyDescent="0.15">
      <c r="A4732" s="45" t="s">
        <v>41</v>
      </c>
      <c r="D4732" s="45" t="s">
        <v>7126</v>
      </c>
    </row>
    <row r="4733" spans="1:4" s="45" customFormat="1" ht="13.5" x14ac:dyDescent="0.15">
      <c r="A4733" s="45" t="s">
        <v>41</v>
      </c>
      <c r="D4733" s="45" t="s">
        <v>7127</v>
      </c>
    </row>
    <row r="4734" spans="1:4" s="45" customFormat="1" ht="13.5" x14ac:dyDescent="0.15">
      <c r="A4734" s="45" t="s">
        <v>41</v>
      </c>
      <c r="D4734" s="45" t="s">
        <v>7128</v>
      </c>
    </row>
    <row r="4735" spans="1:4" s="45" customFormat="1" ht="13.5" x14ac:dyDescent="0.15">
      <c r="A4735" s="45" t="s">
        <v>41</v>
      </c>
      <c r="D4735" s="45" t="s">
        <v>7129</v>
      </c>
    </row>
    <row r="4736" spans="1:4" s="45" customFormat="1" ht="13.5" x14ac:dyDescent="0.15">
      <c r="A4736" s="45" t="s">
        <v>41</v>
      </c>
      <c r="D4736" s="45" t="s">
        <v>7130</v>
      </c>
    </row>
    <row r="4737" spans="1:4" s="45" customFormat="1" ht="13.5" x14ac:dyDescent="0.15">
      <c r="A4737" s="45" t="s">
        <v>41</v>
      </c>
      <c r="D4737" s="45" t="s">
        <v>7131</v>
      </c>
    </row>
    <row r="4738" spans="1:4" s="45" customFormat="1" ht="13.5" x14ac:dyDescent="0.15">
      <c r="A4738" s="45" t="s">
        <v>41</v>
      </c>
      <c r="D4738" s="45" t="s">
        <v>7132</v>
      </c>
    </row>
    <row r="4739" spans="1:4" s="45" customFormat="1" ht="13.5" x14ac:dyDescent="0.15">
      <c r="A4739" s="45" t="s">
        <v>41</v>
      </c>
      <c r="D4739" s="45" t="s">
        <v>7133</v>
      </c>
    </row>
    <row r="4740" spans="1:4" s="45" customFormat="1" ht="13.5" x14ac:dyDescent="0.15">
      <c r="A4740" s="45" t="s">
        <v>41</v>
      </c>
      <c r="D4740" s="45" t="s">
        <v>7134</v>
      </c>
    </row>
    <row r="4741" spans="1:4" s="45" customFormat="1" ht="13.5" x14ac:dyDescent="0.15">
      <c r="A4741" s="45" t="s">
        <v>41</v>
      </c>
      <c r="D4741" s="45" t="s">
        <v>7135</v>
      </c>
    </row>
    <row r="4742" spans="1:4" s="45" customFormat="1" ht="13.5" x14ac:dyDescent="0.15">
      <c r="A4742" s="45" t="s">
        <v>41</v>
      </c>
      <c r="D4742" s="45" t="s">
        <v>7136</v>
      </c>
    </row>
    <row r="4743" spans="1:4" s="45" customFormat="1" ht="13.5" x14ac:dyDescent="0.15">
      <c r="A4743" s="45" t="s">
        <v>41</v>
      </c>
      <c r="D4743" s="45" t="s">
        <v>7137</v>
      </c>
    </row>
    <row r="4744" spans="1:4" s="45" customFormat="1" ht="13.5" x14ac:dyDescent="0.15">
      <c r="A4744" s="45" t="s">
        <v>41</v>
      </c>
      <c r="D4744" s="45" t="s">
        <v>7138</v>
      </c>
    </row>
    <row r="4745" spans="1:4" s="45" customFormat="1" ht="13.5" x14ac:dyDescent="0.15">
      <c r="A4745" s="45" t="s">
        <v>41</v>
      </c>
      <c r="D4745" s="45" t="s">
        <v>1369</v>
      </c>
    </row>
    <row r="4746" spans="1:4" s="45" customFormat="1" ht="13.5" x14ac:dyDescent="0.15">
      <c r="A4746" s="45" t="s">
        <v>41</v>
      </c>
      <c r="D4746" s="45" t="s">
        <v>7139</v>
      </c>
    </row>
    <row r="4747" spans="1:4" s="45" customFormat="1" ht="13.5" x14ac:dyDescent="0.15">
      <c r="A4747" s="45" t="s">
        <v>41</v>
      </c>
      <c r="D4747" s="45" t="s">
        <v>7140</v>
      </c>
    </row>
    <row r="4748" spans="1:4" s="45" customFormat="1" ht="13.5" x14ac:dyDescent="0.15">
      <c r="A4748" s="45" t="s">
        <v>41</v>
      </c>
      <c r="D4748" s="45" t="s">
        <v>7141</v>
      </c>
    </row>
    <row r="4749" spans="1:4" s="45" customFormat="1" ht="13.5" x14ac:dyDescent="0.15">
      <c r="A4749" s="45" t="s">
        <v>41</v>
      </c>
      <c r="D4749" s="45" t="s">
        <v>7142</v>
      </c>
    </row>
    <row r="4750" spans="1:4" s="45" customFormat="1" ht="13.5" x14ac:dyDescent="0.15">
      <c r="A4750" s="45" t="s">
        <v>41</v>
      </c>
      <c r="D4750" s="45" t="s">
        <v>7143</v>
      </c>
    </row>
    <row r="4751" spans="1:4" s="45" customFormat="1" ht="13.5" x14ac:dyDescent="0.15">
      <c r="A4751" s="45" t="s">
        <v>41</v>
      </c>
      <c r="D4751" s="45" t="s">
        <v>7144</v>
      </c>
    </row>
    <row r="4752" spans="1:4" s="45" customFormat="1" ht="13.5" x14ac:dyDescent="0.15">
      <c r="A4752" s="45" t="s">
        <v>41</v>
      </c>
      <c r="D4752" s="45" t="s">
        <v>7145</v>
      </c>
    </row>
    <row r="4753" spans="1:4" s="45" customFormat="1" ht="13.5" x14ac:dyDescent="0.15">
      <c r="A4753" s="45" t="s">
        <v>41</v>
      </c>
      <c r="D4753" s="45" t="s">
        <v>7146</v>
      </c>
    </row>
    <row r="4754" spans="1:4" s="45" customFormat="1" ht="13.5" x14ac:dyDescent="0.15">
      <c r="A4754" s="45" t="s">
        <v>41</v>
      </c>
      <c r="D4754" s="45" t="s">
        <v>7147</v>
      </c>
    </row>
    <row r="4755" spans="1:4" s="45" customFormat="1" ht="13.5" x14ac:dyDescent="0.15">
      <c r="A4755" s="45" t="s">
        <v>41</v>
      </c>
      <c r="D4755" s="45" t="s">
        <v>2241</v>
      </c>
    </row>
    <row r="4756" spans="1:4" s="45" customFormat="1" ht="13.5" x14ac:dyDescent="0.15">
      <c r="A4756" s="45" t="s">
        <v>41</v>
      </c>
      <c r="D4756" s="45" t="s">
        <v>7148</v>
      </c>
    </row>
    <row r="4757" spans="1:4" s="45" customFormat="1" ht="13.5" x14ac:dyDescent="0.15">
      <c r="A4757" s="45" t="s">
        <v>41</v>
      </c>
      <c r="D4757" s="45" t="s">
        <v>7149</v>
      </c>
    </row>
    <row r="4758" spans="1:4" s="45" customFormat="1" ht="13.5" x14ac:dyDescent="0.15">
      <c r="A4758" s="45" t="s">
        <v>41</v>
      </c>
      <c r="D4758" s="45" t="s">
        <v>7150</v>
      </c>
    </row>
    <row r="4759" spans="1:4" s="45" customFormat="1" ht="13.5" x14ac:dyDescent="0.15">
      <c r="A4759" s="45" t="s">
        <v>41</v>
      </c>
      <c r="D4759" s="45" t="s">
        <v>7151</v>
      </c>
    </row>
    <row r="4760" spans="1:4" s="45" customFormat="1" ht="13.5" x14ac:dyDescent="0.15">
      <c r="A4760" s="45" t="s">
        <v>41</v>
      </c>
      <c r="D4760" s="45" t="s">
        <v>7152</v>
      </c>
    </row>
    <row r="4761" spans="1:4" s="45" customFormat="1" ht="13.5" x14ac:dyDescent="0.15">
      <c r="A4761" s="45" t="s">
        <v>41</v>
      </c>
      <c r="D4761" s="45" t="s">
        <v>7153</v>
      </c>
    </row>
    <row r="4762" spans="1:4" s="45" customFormat="1" ht="13.5" x14ac:dyDescent="0.15">
      <c r="A4762" s="45" t="s">
        <v>41</v>
      </c>
      <c r="D4762" s="45" t="s">
        <v>7154</v>
      </c>
    </row>
    <row r="4763" spans="1:4" s="45" customFormat="1" ht="13.5" x14ac:dyDescent="0.15">
      <c r="A4763" s="45" t="s">
        <v>41</v>
      </c>
      <c r="D4763" s="45" t="s">
        <v>7155</v>
      </c>
    </row>
    <row r="4764" spans="1:4" s="45" customFormat="1" ht="13.5" x14ac:dyDescent="0.15">
      <c r="A4764" s="45" t="s">
        <v>41</v>
      </c>
      <c r="D4764" s="45" t="s">
        <v>7156</v>
      </c>
    </row>
    <row r="4765" spans="1:4" s="45" customFormat="1" ht="13.5" x14ac:dyDescent="0.15">
      <c r="A4765" s="45" t="s">
        <v>41</v>
      </c>
      <c r="D4765" s="45" t="s">
        <v>2244</v>
      </c>
    </row>
    <row r="4766" spans="1:4" s="45" customFormat="1" ht="13.5" x14ac:dyDescent="0.15">
      <c r="A4766" s="45" t="s">
        <v>41</v>
      </c>
      <c r="D4766" s="45" t="s">
        <v>7157</v>
      </c>
    </row>
    <row r="4767" spans="1:4" s="45" customFormat="1" ht="13.5" x14ac:dyDescent="0.15">
      <c r="A4767" s="45" t="s">
        <v>41</v>
      </c>
      <c r="D4767" s="45" t="s">
        <v>7158</v>
      </c>
    </row>
    <row r="4768" spans="1:4" s="45" customFormat="1" ht="13.5" x14ac:dyDescent="0.15">
      <c r="A4768" s="45" t="s">
        <v>41</v>
      </c>
      <c r="D4768" s="45" t="s">
        <v>7159</v>
      </c>
    </row>
    <row r="4769" spans="1:4" s="45" customFormat="1" ht="13.5" x14ac:dyDescent="0.15">
      <c r="A4769" s="45" t="s">
        <v>41</v>
      </c>
      <c r="D4769" s="45" t="s">
        <v>7160</v>
      </c>
    </row>
    <row r="4770" spans="1:4" s="45" customFormat="1" ht="13.5" x14ac:dyDescent="0.15">
      <c r="A4770" s="45" t="s">
        <v>41</v>
      </c>
      <c r="D4770" s="45" t="s">
        <v>7161</v>
      </c>
    </row>
    <row r="4771" spans="1:4" s="45" customFormat="1" ht="13.5" x14ac:dyDescent="0.15">
      <c r="A4771" s="45" t="s">
        <v>41</v>
      </c>
      <c r="D4771" s="45" t="s">
        <v>2240</v>
      </c>
    </row>
    <row r="4772" spans="1:4" s="45" customFormat="1" ht="13.5" x14ac:dyDescent="0.15">
      <c r="A4772" s="45" t="s">
        <v>41</v>
      </c>
      <c r="D4772" s="45" t="s">
        <v>2242</v>
      </c>
    </row>
    <row r="4773" spans="1:4" s="45" customFormat="1" ht="13.5" x14ac:dyDescent="0.15">
      <c r="A4773" s="45" t="s">
        <v>41</v>
      </c>
      <c r="D4773" s="45" t="s">
        <v>7162</v>
      </c>
    </row>
    <row r="4774" spans="1:4" s="45" customFormat="1" ht="13.5" x14ac:dyDescent="0.15">
      <c r="A4774" s="45" t="s">
        <v>41</v>
      </c>
      <c r="D4774" s="45" t="s">
        <v>7163</v>
      </c>
    </row>
    <row r="4775" spans="1:4" s="45" customFormat="1" ht="13.5" x14ac:dyDescent="0.15">
      <c r="A4775" s="45" t="s">
        <v>41</v>
      </c>
      <c r="D4775" s="45" t="s">
        <v>7164</v>
      </c>
    </row>
    <row r="4776" spans="1:4" s="45" customFormat="1" ht="13.5" x14ac:dyDescent="0.15">
      <c r="A4776" s="45" t="s">
        <v>41</v>
      </c>
      <c r="D4776" s="45" t="s">
        <v>7165</v>
      </c>
    </row>
    <row r="4777" spans="1:4" s="45" customFormat="1" ht="13.5" x14ac:dyDescent="0.15">
      <c r="A4777" s="45" t="s">
        <v>41</v>
      </c>
      <c r="D4777" s="45" t="s">
        <v>7166</v>
      </c>
    </row>
    <row r="4778" spans="1:4" s="45" customFormat="1" ht="13.5" x14ac:dyDescent="0.15">
      <c r="A4778" s="45" t="s">
        <v>41</v>
      </c>
      <c r="D4778" s="45" t="s">
        <v>7167</v>
      </c>
    </row>
    <row r="4779" spans="1:4" s="45" customFormat="1" ht="13.5" x14ac:dyDescent="0.15">
      <c r="A4779" s="45" t="s">
        <v>41</v>
      </c>
      <c r="D4779" s="45" t="s">
        <v>2243</v>
      </c>
    </row>
    <row r="4780" spans="1:4" s="45" customFormat="1" ht="13.5" x14ac:dyDescent="0.15">
      <c r="A4780" s="45" t="s">
        <v>41</v>
      </c>
      <c r="D4780" s="45" t="s">
        <v>7168</v>
      </c>
    </row>
    <row r="4781" spans="1:4" s="45" customFormat="1" ht="13.5" x14ac:dyDescent="0.15">
      <c r="A4781" s="45" t="s">
        <v>41</v>
      </c>
      <c r="D4781" s="45" t="s">
        <v>1767</v>
      </c>
    </row>
    <row r="4782" spans="1:4" s="45" customFormat="1" ht="13.5" x14ac:dyDescent="0.15">
      <c r="A4782" s="45" t="s">
        <v>41</v>
      </c>
      <c r="D4782" s="45" t="s">
        <v>1862</v>
      </c>
    </row>
    <row r="4783" spans="1:4" s="45" customFormat="1" ht="13.5" x14ac:dyDescent="0.15">
      <c r="A4783" s="45" t="s">
        <v>41</v>
      </c>
      <c r="D4783" s="45" t="s">
        <v>7169</v>
      </c>
    </row>
    <row r="4784" spans="1:4" s="45" customFormat="1" ht="13.5" x14ac:dyDescent="0.15">
      <c r="A4784" s="45" t="s">
        <v>41</v>
      </c>
      <c r="D4784" s="45" t="s">
        <v>7170</v>
      </c>
    </row>
    <row r="4785" spans="1:4" s="45" customFormat="1" ht="13.5" x14ac:dyDescent="0.15">
      <c r="A4785" s="45" t="s">
        <v>41</v>
      </c>
      <c r="D4785" s="45" t="s">
        <v>7171</v>
      </c>
    </row>
    <row r="4786" spans="1:4" s="45" customFormat="1" ht="13.5" x14ac:dyDescent="0.15">
      <c r="A4786" s="45" t="s">
        <v>41</v>
      </c>
      <c r="D4786" s="45" t="s">
        <v>7172</v>
      </c>
    </row>
    <row r="4787" spans="1:4" s="45" customFormat="1" ht="13.5" x14ac:dyDescent="0.15">
      <c r="A4787" s="45" t="s">
        <v>41</v>
      </c>
      <c r="D4787" s="45" t="s">
        <v>7173</v>
      </c>
    </row>
    <row r="4788" spans="1:4" s="45" customFormat="1" ht="13.5" x14ac:dyDescent="0.15">
      <c r="A4788" s="45" t="s">
        <v>41</v>
      </c>
      <c r="D4788" s="45" t="s">
        <v>7174</v>
      </c>
    </row>
    <row r="4789" spans="1:4" s="45" customFormat="1" ht="13.5" x14ac:dyDescent="0.15">
      <c r="A4789" s="45" t="s">
        <v>41</v>
      </c>
      <c r="D4789" s="45" t="s">
        <v>7175</v>
      </c>
    </row>
    <row r="4790" spans="1:4" s="45" customFormat="1" ht="13.5" x14ac:dyDescent="0.15">
      <c r="A4790" s="45" t="s">
        <v>41</v>
      </c>
      <c r="D4790" s="45" t="s">
        <v>7176</v>
      </c>
    </row>
    <row r="4791" spans="1:4" s="45" customFormat="1" ht="13.5" x14ac:dyDescent="0.15">
      <c r="A4791" s="45" t="s">
        <v>41</v>
      </c>
      <c r="D4791" s="45" t="s">
        <v>843</v>
      </c>
    </row>
    <row r="4792" spans="1:4" s="45" customFormat="1" ht="13.5" x14ac:dyDescent="0.15">
      <c r="A4792" s="45" t="s">
        <v>41</v>
      </c>
      <c r="D4792" s="45" t="s">
        <v>7177</v>
      </c>
    </row>
    <row r="4793" spans="1:4" s="45" customFormat="1" ht="13.5" x14ac:dyDescent="0.15">
      <c r="A4793" s="45" t="s">
        <v>41</v>
      </c>
      <c r="D4793" s="45" t="s">
        <v>7178</v>
      </c>
    </row>
    <row r="4794" spans="1:4" s="45" customFormat="1" ht="13.5" x14ac:dyDescent="0.15">
      <c r="A4794" s="45" t="s">
        <v>41</v>
      </c>
      <c r="D4794" s="45" t="s">
        <v>7179</v>
      </c>
    </row>
    <row r="4795" spans="1:4" s="45" customFormat="1" ht="13.5" x14ac:dyDescent="0.15">
      <c r="A4795" s="45" t="s">
        <v>41</v>
      </c>
      <c r="D4795" s="45" t="s">
        <v>7180</v>
      </c>
    </row>
    <row r="4796" spans="1:4" s="45" customFormat="1" ht="13.5" x14ac:dyDescent="0.15">
      <c r="A4796" s="45" t="s">
        <v>41</v>
      </c>
      <c r="D4796" s="45" t="s">
        <v>842</v>
      </c>
    </row>
    <row r="4797" spans="1:4" s="45" customFormat="1" ht="13.5" x14ac:dyDescent="0.15">
      <c r="A4797" s="45" t="s">
        <v>41</v>
      </c>
      <c r="D4797" s="45" t="s">
        <v>7181</v>
      </c>
    </row>
    <row r="4798" spans="1:4" s="45" customFormat="1" ht="13.5" x14ac:dyDescent="0.15">
      <c r="A4798" s="45" t="s">
        <v>41</v>
      </c>
      <c r="D4798" s="45" t="s">
        <v>7182</v>
      </c>
    </row>
    <row r="4799" spans="1:4" s="45" customFormat="1" ht="13.5" x14ac:dyDescent="0.15">
      <c r="A4799" s="45" t="s">
        <v>41</v>
      </c>
      <c r="D4799" s="45" t="s">
        <v>7183</v>
      </c>
    </row>
    <row r="4800" spans="1:4" s="45" customFormat="1" ht="13.5" x14ac:dyDescent="0.15">
      <c r="A4800" s="45" t="s">
        <v>41</v>
      </c>
      <c r="D4800" s="45" t="s">
        <v>7184</v>
      </c>
    </row>
    <row r="4801" spans="1:4" s="45" customFormat="1" ht="13.5" x14ac:dyDescent="0.15">
      <c r="A4801" s="45" t="s">
        <v>41</v>
      </c>
      <c r="D4801" s="45" t="s">
        <v>7185</v>
      </c>
    </row>
    <row r="4802" spans="1:4" s="45" customFormat="1" ht="13.5" x14ac:dyDescent="0.15">
      <c r="A4802" s="45" t="s">
        <v>41</v>
      </c>
      <c r="D4802" s="45" t="s">
        <v>1831</v>
      </c>
    </row>
    <row r="4803" spans="1:4" s="45" customFormat="1" ht="13.5" x14ac:dyDescent="0.15">
      <c r="A4803" s="45" t="s">
        <v>41</v>
      </c>
      <c r="D4803" s="45" t="s">
        <v>7186</v>
      </c>
    </row>
    <row r="4804" spans="1:4" s="45" customFormat="1" ht="13.5" x14ac:dyDescent="0.15">
      <c r="A4804" s="45" t="s">
        <v>41</v>
      </c>
      <c r="D4804" s="45" t="s">
        <v>7187</v>
      </c>
    </row>
    <row r="4805" spans="1:4" s="45" customFormat="1" ht="13.5" x14ac:dyDescent="0.15">
      <c r="A4805" s="45" t="s">
        <v>41</v>
      </c>
      <c r="D4805" s="45" t="s">
        <v>7188</v>
      </c>
    </row>
    <row r="4806" spans="1:4" s="45" customFormat="1" ht="13.5" x14ac:dyDescent="0.15">
      <c r="A4806" s="45" t="s">
        <v>41</v>
      </c>
      <c r="D4806" s="45" t="s">
        <v>7189</v>
      </c>
    </row>
    <row r="4807" spans="1:4" s="45" customFormat="1" ht="13.5" x14ac:dyDescent="0.15">
      <c r="A4807" s="45" t="s">
        <v>41</v>
      </c>
      <c r="D4807" s="45" t="s">
        <v>7190</v>
      </c>
    </row>
    <row r="4808" spans="1:4" s="45" customFormat="1" ht="13.5" x14ac:dyDescent="0.15">
      <c r="A4808" s="45" t="s">
        <v>41</v>
      </c>
      <c r="D4808" s="45" t="s">
        <v>7191</v>
      </c>
    </row>
    <row r="4809" spans="1:4" s="45" customFormat="1" ht="13.5" x14ac:dyDescent="0.15">
      <c r="A4809" s="45" t="s">
        <v>41</v>
      </c>
      <c r="D4809" s="45" t="s">
        <v>7192</v>
      </c>
    </row>
    <row r="4810" spans="1:4" s="45" customFormat="1" ht="13.5" x14ac:dyDescent="0.15">
      <c r="A4810" s="45" t="s">
        <v>41</v>
      </c>
      <c r="D4810" s="45" t="s">
        <v>7193</v>
      </c>
    </row>
    <row r="4811" spans="1:4" s="45" customFormat="1" ht="13.5" x14ac:dyDescent="0.15">
      <c r="A4811" s="45" t="s">
        <v>41</v>
      </c>
      <c r="D4811" s="45" t="s">
        <v>7194</v>
      </c>
    </row>
    <row r="4812" spans="1:4" s="45" customFormat="1" ht="13.5" x14ac:dyDescent="0.15">
      <c r="A4812" s="45" t="s">
        <v>41</v>
      </c>
      <c r="D4812" s="45" t="s">
        <v>7195</v>
      </c>
    </row>
    <row r="4813" spans="1:4" s="45" customFormat="1" ht="13.5" x14ac:dyDescent="0.15">
      <c r="A4813" s="45" t="s">
        <v>41</v>
      </c>
      <c r="D4813" s="45" t="s">
        <v>7196</v>
      </c>
    </row>
    <row r="4814" spans="1:4" s="45" customFormat="1" ht="13.5" x14ac:dyDescent="0.15">
      <c r="A4814" s="45" t="s">
        <v>41</v>
      </c>
      <c r="D4814" s="45" t="s">
        <v>7197</v>
      </c>
    </row>
    <row r="4815" spans="1:4" s="45" customFormat="1" ht="13.5" x14ac:dyDescent="0.15">
      <c r="A4815" s="45" t="s">
        <v>41</v>
      </c>
      <c r="D4815" s="45" t="s">
        <v>1415</v>
      </c>
    </row>
    <row r="4816" spans="1:4" s="45" customFormat="1" ht="13.5" x14ac:dyDescent="0.15">
      <c r="A4816" s="45" t="s">
        <v>41</v>
      </c>
      <c r="D4816" s="45" t="s">
        <v>1416</v>
      </c>
    </row>
    <row r="4817" spans="1:4" s="45" customFormat="1" ht="13.5" x14ac:dyDescent="0.15">
      <c r="A4817" s="45" t="s">
        <v>41</v>
      </c>
      <c r="D4817" s="45" t="s">
        <v>1420</v>
      </c>
    </row>
    <row r="4818" spans="1:4" s="45" customFormat="1" ht="13.5" x14ac:dyDescent="0.15">
      <c r="A4818" s="45" t="s">
        <v>41</v>
      </c>
      <c r="D4818" s="45" t="s">
        <v>1422</v>
      </c>
    </row>
    <row r="4819" spans="1:4" s="45" customFormat="1" ht="13.5" x14ac:dyDescent="0.15">
      <c r="A4819" s="45" t="s">
        <v>41</v>
      </c>
      <c r="D4819" s="45" t="s">
        <v>1423</v>
      </c>
    </row>
    <row r="4820" spans="1:4" s="45" customFormat="1" ht="13.5" x14ac:dyDescent="0.15">
      <c r="A4820" s="45" t="s">
        <v>41</v>
      </c>
      <c r="D4820" s="45" t="s">
        <v>7198</v>
      </c>
    </row>
    <row r="4821" spans="1:4" s="45" customFormat="1" ht="13.5" x14ac:dyDescent="0.15">
      <c r="A4821" s="45" t="s">
        <v>41</v>
      </c>
      <c r="D4821" s="45" t="s">
        <v>7199</v>
      </c>
    </row>
    <row r="4822" spans="1:4" s="45" customFormat="1" ht="13.5" x14ac:dyDescent="0.15">
      <c r="A4822" s="45" t="s">
        <v>41</v>
      </c>
      <c r="D4822" s="45" t="s">
        <v>1419</v>
      </c>
    </row>
    <row r="4823" spans="1:4" s="45" customFormat="1" ht="13.5" x14ac:dyDescent="0.15">
      <c r="A4823" s="45" t="s">
        <v>41</v>
      </c>
      <c r="D4823" s="45" t="s">
        <v>7200</v>
      </c>
    </row>
    <row r="4824" spans="1:4" s="45" customFormat="1" ht="13.5" x14ac:dyDescent="0.15">
      <c r="A4824" s="45" t="s">
        <v>41</v>
      </c>
      <c r="D4824" s="45" t="s">
        <v>7201</v>
      </c>
    </row>
    <row r="4825" spans="1:4" s="45" customFormat="1" ht="13.5" x14ac:dyDescent="0.15">
      <c r="A4825" s="45" t="s">
        <v>41</v>
      </c>
      <c r="D4825" s="45" t="s">
        <v>7202</v>
      </c>
    </row>
    <row r="4826" spans="1:4" s="45" customFormat="1" ht="13.5" x14ac:dyDescent="0.15">
      <c r="A4826" s="45" t="s">
        <v>41</v>
      </c>
      <c r="D4826" s="45" t="s">
        <v>7203</v>
      </c>
    </row>
    <row r="4827" spans="1:4" s="45" customFormat="1" ht="13.5" x14ac:dyDescent="0.15">
      <c r="A4827" s="45" t="s">
        <v>41</v>
      </c>
      <c r="D4827" s="45" t="s">
        <v>7204</v>
      </c>
    </row>
    <row r="4828" spans="1:4" s="45" customFormat="1" ht="13.5" x14ac:dyDescent="0.15">
      <c r="A4828" s="45" t="s">
        <v>41</v>
      </c>
      <c r="D4828" s="45" t="s">
        <v>1417</v>
      </c>
    </row>
    <row r="4829" spans="1:4" s="45" customFormat="1" ht="13.5" x14ac:dyDescent="0.15">
      <c r="A4829" s="45" t="s">
        <v>41</v>
      </c>
      <c r="D4829" s="45" t="s">
        <v>1421</v>
      </c>
    </row>
    <row r="4830" spans="1:4" s="45" customFormat="1" ht="13.5" x14ac:dyDescent="0.15">
      <c r="A4830" s="45" t="s">
        <v>41</v>
      </c>
      <c r="D4830" s="45" t="s">
        <v>7205</v>
      </c>
    </row>
    <row r="4831" spans="1:4" s="45" customFormat="1" ht="13.5" x14ac:dyDescent="0.15">
      <c r="A4831" s="45" t="s">
        <v>41</v>
      </c>
      <c r="D4831" s="45" t="s">
        <v>7206</v>
      </c>
    </row>
    <row r="4832" spans="1:4" s="45" customFormat="1" ht="13.5" x14ac:dyDescent="0.15">
      <c r="A4832" s="45" t="s">
        <v>41</v>
      </c>
      <c r="D4832" s="45" t="s">
        <v>7207</v>
      </c>
    </row>
    <row r="4833" spans="1:4" s="45" customFormat="1" ht="13.5" x14ac:dyDescent="0.15">
      <c r="A4833" s="45" t="s">
        <v>41</v>
      </c>
      <c r="D4833" s="45" t="s">
        <v>1424</v>
      </c>
    </row>
    <row r="4834" spans="1:4" s="45" customFormat="1" ht="13.5" x14ac:dyDescent="0.15">
      <c r="A4834" s="45" t="s">
        <v>41</v>
      </c>
      <c r="D4834" s="45" t="s">
        <v>1418</v>
      </c>
    </row>
    <row r="4835" spans="1:4" s="45" customFormat="1" ht="13.5" x14ac:dyDescent="0.15">
      <c r="A4835" s="45" t="s">
        <v>41</v>
      </c>
      <c r="D4835" s="45" t="s">
        <v>7208</v>
      </c>
    </row>
    <row r="4836" spans="1:4" s="45" customFormat="1" ht="13.5" x14ac:dyDescent="0.15">
      <c r="A4836" s="45" t="s">
        <v>41</v>
      </c>
      <c r="D4836" s="45" t="s">
        <v>1411</v>
      </c>
    </row>
    <row r="4837" spans="1:4" s="45" customFormat="1" ht="13.5" x14ac:dyDescent="0.15">
      <c r="A4837" s="45" t="s">
        <v>41</v>
      </c>
      <c r="D4837" s="45" t="s">
        <v>7209</v>
      </c>
    </row>
    <row r="4838" spans="1:4" s="45" customFormat="1" ht="13.5" x14ac:dyDescent="0.15">
      <c r="A4838" s="45" t="s">
        <v>41</v>
      </c>
      <c r="D4838" s="45" t="s">
        <v>1414</v>
      </c>
    </row>
    <row r="4839" spans="1:4" s="45" customFormat="1" ht="13.5" x14ac:dyDescent="0.15">
      <c r="A4839" s="45" t="s">
        <v>41</v>
      </c>
      <c r="D4839" s="45" t="s">
        <v>1412</v>
      </c>
    </row>
    <row r="4840" spans="1:4" s="45" customFormat="1" ht="13.5" x14ac:dyDescent="0.15">
      <c r="A4840" s="45" t="s">
        <v>41</v>
      </c>
      <c r="D4840" s="45" t="s">
        <v>7210</v>
      </c>
    </row>
    <row r="4841" spans="1:4" s="45" customFormat="1" ht="13.5" x14ac:dyDescent="0.15">
      <c r="A4841" s="45" t="s">
        <v>41</v>
      </c>
      <c r="D4841" s="45" t="s">
        <v>7211</v>
      </c>
    </row>
    <row r="4842" spans="1:4" s="45" customFormat="1" ht="13.5" x14ac:dyDescent="0.15">
      <c r="A4842" s="45" t="s">
        <v>41</v>
      </c>
      <c r="D4842" s="45" t="s">
        <v>7212</v>
      </c>
    </row>
    <row r="4843" spans="1:4" s="45" customFormat="1" ht="13.5" x14ac:dyDescent="0.15">
      <c r="A4843" s="45" t="s">
        <v>41</v>
      </c>
      <c r="D4843" s="45" t="s">
        <v>7213</v>
      </c>
    </row>
    <row r="4844" spans="1:4" s="45" customFormat="1" ht="13.5" x14ac:dyDescent="0.15">
      <c r="A4844" s="45" t="s">
        <v>41</v>
      </c>
      <c r="D4844" s="45" t="s">
        <v>1413</v>
      </c>
    </row>
    <row r="4845" spans="1:4" s="45" customFormat="1" ht="13.5" x14ac:dyDescent="0.15">
      <c r="A4845" s="45" t="s">
        <v>41</v>
      </c>
      <c r="D4845" s="45" t="s">
        <v>7214</v>
      </c>
    </row>
    <row r="4846" spans="1:4" s="45" customFormat="1" ht="13.5" x14ac:dyDescent="0.15">
      <c r="A4846" s="45" t="s">
        <v>41</v>
      </c>
      <c r="D4846" s="45" t="s">
        <v>7215</v>
      </c>
    </row>
    <row r="4847" spans="1:4" s="45" customFormat="1" ht="13.5" x14ac:dyDescent="0.15">
      <c r="A4847" s="45" t="s">
        <v>41</v>
      </c>
      <c r="D4847" s="45" t="s">
        <v>7216</v>
      </c>
    </row>
    <row r="4848" spans="1:4" s="45" customFormat="1" ht="13.5" x14ac:dyDescent="0.15">
      <c r="A4848" s="45" t="s">
        <v>41</v>
      </c>
      <c r="D4848" s="45" t="s">
        <v>7217</v>
      </c>
    </row>
    <row r="4849" spans="1:4" s="45" customFormat="1" ht="13.5" x14ac:dyDescent="0.15">
      <c r="A4849" s="45" t="s">
        <v>41</v>
      </c>
      <c r="D4849" s="45" t="s">
        <v>1834</v>
      </c>
    </row>
    <row r="4850" spans="1:4" s="45" customFormat="1" ht="13.5" x14ac:dyDescent="0.15">
      <c r="A4850" s="45" t="s">
        <v>41</v>
      </c>
      <c r="D4850" s="45" t="s">
        <v>7218</v>
      </c>
    </row>
    <row r="4851" spans="1:4" s="45" customFormat="1" ht="13.5" x14ac:dyDescent="0.15">
      <c r="A4851" s="45" t="s">
        <v>41</v>
      </c>
      <c r="D4851" s="45" t="s">
        <v>1549</v>
      </c>
    </row>
    <row r="4852" spans="1:4" s="45" customFormat="1" ht="13.5" x14ac:dyDescent="0.15">
      <c r="A4852" s="45" t="s">
        <v>41</v>
      </c>
      <c r="D4852" s="45" t="s">
        <v>2617</v>
      </c>
    </row>
    <row r="4853" spans="1:4" s="45" customFormat="1" ht="13.5" x14ac:dyDescent="0.15">
      <c r="A4853" s="45" t="s">
        <v>41</v>
      </c>
      <c r="D4853" s="45" t="s">
        <v>2538</v>
      </c>
    </row>
    <row r="4854" spans="1:4" s="45" customFormat="1" ht="13.5" x14ac:dyDescent="0.15">
      <c r="A4854" s="45" t="s">
        <v>41</v>
      </c>
      <c r="D4854" s="45" t="s">
        <v>7219</v>
      </c>
    </row>
    <row r="4855" spans="1:4" s="45" customFormat="1" ht="13.5" x14ac:dyDescent="0.15">
      <c r="A4855" s="45" t="s">
        <v>41</v>
      </c>
      <c r="D4855" s="45" t="s">
        <v>7220</v>
      </c>
    </row>
    <row r="4856" spans="1:4" s="45" customFormat="1" ht="13.5" x14ac:dyDescent="0.15">
      <c r="A4856" s="45" t="s">
        <v>41</v>
      </c>
      <c r="D4856" s="45" t="s">
        <v>7221</v>
      </c>
    </row>
    <row r="4857" spans="1:4" s="45" customFormat="1" ht="13.5" x14ac:dyDescent="0.15">
      <c r="A4857" s="45" t="s">
        <v>41</v>
      </c>
      <c r="D4857" s="45" t="s">
        <v>7222</v>
      </c>
    </row>
    <row r="4858" spans="1:4" s="45" customFormat="1" ht="13.5" x14ac:dyDescent="0.15">
      <c r="A4858" s="45" t="s">
        <v>41</v>
      </c>
      <c r="D4858" s="45" t="s">
        <v>1237</v>
      </c>
    </row>
    <row r="4859" spans="1:4" s="45" customFormat="1" ht="13.5" x14ac:dyDescent="0.15">
      <c r="A4859" s="45" t="s">
        <v>41</v>
      </c>
      <c r="D4859" s="45" t="s">
        <v>7223</v>
      </c>
    </row>
    <row r="4860" spans="1:4" s="45" customFormat="1" ht="13.5" x14ac:dyDescent="0.15">
      <c r="A4860" s="45" t="s">
        <v>41</v>
      </c>
      <c r="D4860" s="45" t="s">
        <v>7224</v>
      </c>
    </row>
    <row r="4861" spans="1:4" s="45" customFormat="1" ht="13.5" x14ac:dyDescent="0.15">
      <c r="A4861" s="45" t="s">
        <v>41</v>
      </c>
      <c r="D4861" s="45" t="s">
        <v>7225</v>
      </c>
    </row>
    <row r="4862" spans="1:4" s="45" customFormat="1" ht="13.5" x14ac:dyDescent="0.15">
      <c r="A4862" s="45" t="s">
        <v>41</v>
      </c>
      <c r="D4862" s="45" t="s">
        <v>1140</v>
      </c>
    </row>
    <row r="4863" spans="1:4" s="45" customFormat="1" ht="13.5" x14ac:dyDescent="0.15">
      <c r="A4863" s="45" t="s">
        <v>41</v>
      </c>
      <c r="D4863" s="45" t="s">
        <v>7226</v>
      </c>
    </row>
    <row r="4864" spans="1:4" s="45" customFormat="1" ht="13.5" x14ac:dyDescent="0.15">
      <c r="A4864" s="45" t="s">
        <v>41</v>
      </c>
      <c r="D4864" s="45" t="s">
        <v>1139</v>
      </c>
    </row>
    <row r="4865" spans="1:4" s="45" customFormat="1" ht="13.5" x14ac:dyDescent="0.15">
      <c r="A4865" s="45" t="s">
        <v>41</v>
      </c>
      <c r="D4865" s="45" t="s">
        <v>7227</v>
      </c>
    </row>
    <row r="4866" spans="1:4" s="45" customFormat="1" ht="13.5" x14ac:dyDescent="0.15">
      <c r="A4866" s="45" t="s">
        <v>41</v>
      </c>
      <c r="D4866" s="45" t="s">
        <v>7228</v>
      </c>
    </row>
    <row r="4867" spans="1:4" s="45" customFormat="1" ht="13.5" x14ac:dyDescent="0.15">
      <c r="A4867" s="45" t="s">
        <v>41</v>
      </c>
      <c r="D4867" s="45" t="s">
        <v>7229</v>
      </c>
    </row>
    <row r="4868" spans="1:4" s="45" customFormat="1" ht="13.5" x14ac:dyDescent="0.15">
      <c r="A4868" s="45" t="s">
        <v>41</v>
      </c>
      <c r="D4868" s="45" t="s">
        <v>7230</v>
      </c>
    </row>
    <row r="4869" spans="1:4" s="45" customFormat="1" ht="13.5" x14ac:dyDescent="0.15">
      <c r="A4869" s="45" t="s">
        <v>41</v>
      </c>
      <c r="D4869" s="45" t="s">
        <v>1137</v>
      </c>
    </row>
    <row r="4870" spans="1:4" s="45" customFormat="1" ht="13.5" x14ac:dyDescent="0.15">
      <c r="A4870" s="45" t="s">
        <v>41</v>
      </c>
      <c r="D4870" s="45" t="s">
        <v>7231</v>
      </c>
    </row>
    <row r="4871" spans="1:4" s="45" customFormat="1" ht="13.5" x14ac:dyDescent="0.15">
      <c r="A4871" s="45" t="s">
        <v>41</v>
      </c>
      <c r="D4871" s="45" t="s">
        <v>7232</v>
      </c>
    </row>
    <row r="4872" spans="1:4" s="45" customFormat="1" ht="13.5" x14ac:dyDescent="0.15">
      <c r="A4872" s="45" t="s">
        <v>41</v>
      </c>
      <c r="D4872" s="45" t="s">
        <v>7233</v>
      </c>
    </row>
    <row r="4873" spans="1:4" s="45" customFormat="1" ht="13.5" x14ac:dyDescent="0.15">
      <c r="A4873" s="45" t="s">
        <v>41</v>
      </c>
      <c r="D4873" s="45" t="s">
        <v>7234</v>
      </c>
    </row>
    <row r="4874" spans="1:4" s="45" customFormat="1" ht="13.5" x14ac:dyDescent="0.15">
      <c r="A4874" s="45" t="s">
        <v>41</v>
      </c>
      <c r="D4874" s="45" t="s">
        <v>7235</v>
      </c>
    </row>
    <row r="4875" spans="1:4" s="45" customFormat="1" ht="13.5" x14ac:dyDescent="0.15">
      <c r="A4875" s="45" t="s">
        <v>41</v>
      </c>
      <c r="D4875" s="45" t="s">
        <v>1977</v>
      </c>
    </row>
    <row r="4876" spans="1:4" s="45" customFormat="1" ht="13.5" x14ac:dyDescent="0.15">
      <c r="A4876" s="45" t="s">
        <v>41</v>
      </c>
      <c r="D4876" s="45" t="s">
        <v>1978</v>
      </c>
    </row>
    <row r="4877" spans="1:4" s="45" customFormat="1" ht="13.5" x14ac:dyDescent="0.15">
      <c r="A4877" s="45" t="s">
        <v>41</v>
      </c>
      <c r="D4877" s="45" t="s">
        <v>1992</v>
      </c>
    </row>
    <row r="4878" spans="1:4" s="45" customFormat="1" ht="13.5" x14ac:dyDescent="0.15">
      <c r="A4878" s="45" t="s">
        <v>41</v>
      </c>
      <c r="D4878" s="45" t="s">
        <v>7236</v>
      </c>
    </row>
    <row r="4879" spans="1:4" s="45" customFormat="1" ht="13.5" x14ac:dyDescent="0.15">
      <c r="A4879" s="45" t="s">
        <v>41</v>
      </c>
      <c r="D4879" s="45" t="s">
        <v>1991</v>
      </c>
    </row>
    <row r="4880" spans="1:4" s="45" customFormat="1" ht="13.5" x14ac:dyDescent="0.15">
      <c r="A4880" s="45" t="s">
        <v>41</v>
      </c>
      <c r="D4880" s="45" t="s">
        <v>693</v>
      </c>
    </row>
    <row r="4881" spans="1:4" s="45" customFormat="1" ht="13.5" x14ac:dyDescent="0.15">
      <c r="A4881" s="45" t="s">
        <v>41</v>
      </c>
      <c r="D4881" s="45" t="s">
        <v>7237</v>
      </c>
    </row>
    <row r="4882" spans="1:4" s="45" customFormat="1" ht="13.5" x14ac:dyDescent="0.15">
      <c r="A4882" s="45" t="s">
        <v>41</v>
      </c>
      <c r="D4882" s="45" t="s">
        <v>2615</v>
      </c>
    </row>
    <row r="4883" spans="1:4" s="45" customFormat="1" ht="13.5" x14ac:dyDescent="0.15">
      <c r="A4883" s="45" t="s">
        <v>41</v>
      </c>
      <c r="D4883" s="45" t="s">
        <v>7238</v>
      </c>
    </row>
    <row r="4884" spans="1:4" s="45" customFormat="1" ht="13.5" x14ac:dyDescent="0.15">
      <c r="A4884" s="45" t="s">
        <v>41</v>
      </c>
      <c r="D4884" s="45" t="s">
        <v>7239</v>
      </c>
    </row>
    <row r="4885" spans="1:4" s="45" customFormat="1" ht="13.5" x14ac:dyDescent="0.15">
      <c r="A4885" s="45" t="s">
        <v>41</v>
      </c>
      <c r="D4885" s="45" t="s">
        <v>2128</v>
      </c>
    </row>
    <row r="4886" spans="1:4" s="45" customFormat="1" ht="13.5" x14ac:dyDescent="0.15">
      <c r="A4886" s="45" t="s">
        <v>41</v>
      </c>
      <c r="D4886" s="45" t="s">
        <v>7240</v>
      </c>
    </row>
    <row r="4887" spans="1:4" s="45" customFormat="1" ht="13.5" x14ac:dyDescent="0.15">
      <c r="A4887" s="45" t="s">
        <v>41</v>
      </c>
      <c r="D4887" s="45" t="s">
        <v>7241</v>
      </c>
    </row>
    <row r="4888" spans="1:4" s="45" customFormat="1" ht="13.5" x14ac:dyDescent="0.15">
      <c r="A4888" s="45" t="s">
        <v>41</v>
      </c>
      <c r="D4888" s="45" t="s">
        <v>7242</v>
      </c>
    </row>
    <row r="4889" spans="1:4" s="45" customFormat="1" ht="13.5" x14ac:dyDescent="0.15">
      <c r="A4889" s="45" t="s">
        <v>41</v>
      </c>
      <c r="D4889" s="45" t="s">
        <v>7243</v>
      </c>
    </row>
    <row r="4890" spans="1:4" s="45" customFormat="1" ht="13.5" x14ac:dyDescent="0.15">
      <c r="A4890" s="45" t="s">
        <v>41</v>
      </c>
      <c r="D4890" s="45" t="s">
        <v>7244</v>
      </c>
    </row>
    <row r="4891" spans="1:4" s="45" customFormat="1" ht="13.5" x14ac:dyDescent="0.15">
      <c r="A4891" s="45" t="s">
        <v>41</v>
      </c>
      <c r="D4891" s="45" t="s">
        <v>7245</v>
      </c>
    </row>
    <row r="4892" spans="1:4" s="45" customFormat="1" ht="13.5" x14ac:dyDescent="0.15">
      <c r="A4892" s="45" t="s">
        <v>41</v>
      </c>
      <c r="D4892" s="45" t="s">
        <v>7246</v>
      </c>
    </row>
    <row r="4893" spans="1:4" s="45" customFormat="1" ht="13.5" x14ac:dyDescent="0.15">
      <c r="A4893" s="45" t="s">
        <v>41</v>
      </c>
      <c r="D4893" s="45" t="s">
        <v>7247</v>
      </c>
    </row>
    <row r="4894" spans="1:4" s="45" customFormat="1" ht="13.5" x14ac:dyDescent="0.15">
      <c r="A4894" s="45" t="s">
        <v>41</v>
      </c>
      <c r="D4894" s="45" t="s">
        <v>7248</v>
      </c>
    </row>
    <row r="4895" spans="1:4" s="45" customFormat="1" ht="13.5" x14ac:dyDescent="0.15">
      <c r="A4895" s="45" t="s">
        <v>41</v>
      </c>
      <c r="D4895" s="45" t="s">
        <v>7249</v>
      </c>
    </row>
    <row r="4896" spans="1:4" s="45" customFormat="1" ht="13.5" x14ac:dyDescent="0.15">
      <c r="A4896" s="45" t="s">
        <v>41</v>
      </c>
      <c r="D4896" s="45" t="s">
        <v>7250</v>
      </c>
    </row>
    <row r="4897" spans="1:4" s="45" customFormat="1" ht="13.5" x14ac:dyDescent="0.15">
      <c r="A4897" s="45" t="s">
        <v>41</v>
      </c>
      <c r="D4897" s="45" t="s">
        <v>7251</v>
      </c>
    </row>
    <row r="4898" spans="1:4" s="45" customFormat="1" ht="13.5" x14ac:dyDescent="0.15">
      <c r="A4898" s="45" t="s">
        <v>41</v>
      </c>
      <c r="D4898" s="45" t="s">
        <v>7252</v>
      </c>
    </row>
    <row r="4899" spans="1:4" s="45" customFormat="1" ht="13.5" x14ac:dyDescent="0.15">
      <c r="A4899" s="45" t="s">
        <v>41</v>
      </c>
      <c r="D4899" s="45" t="s">
        <v>7253</v>
      </c>
    </row>
    <row r="4900" spans="1:4" s="45" customFormat="1" ht="13.5" x14ac:dyDescent="0.15">
      <c r="A4900" s="45" t="s">
        <v>41</v>
      </c>
      <c r="D4900" s="45" t="s">
        <v>1272</v>
      </c>
    </row>
    <row r="4901" spans="1:4" s="45" customFormat="1" ht="13.5" x14ac:dyDescent="0.15">
      <c r="A4901" s="45" t="s">
        <v>41</v>
      </c>
      <c r="D4901" s="45" t="s">
        <v>1780</v>
      </c>
    </row>
    <row r="4902" spans="1:4" s="45" customFormat="1" ht="13.5" x14ac:dyDescent="0.15">
      <c r="A4902" s="45" t="s">
        <v>41</v>
      </c>
      <c r="D4902" s="45" t="s">
        <v>1779</v>
      </c>
    </row>
    <row r="4903" spans="1:4" s="45" customFormat="1" ht="13.5" x14ac:dyDescent="0.15">
      <c r="A4903" s="45" t="s">
        <v>41</v>
      </c>
      <c r="D4903" s="45" t="s">
        <v>1109</v>
      </c>
    </row>
    <row r="4904" spans="1:4" s="45" customFormat="1" ht="13.5" x14ac:dyDescent="0.15">
      <c r="A4904" s="45" t="s">
        <v>41</v>
      </c>
      <c r="D4904" s="45" t="s">
        <v>7254</v>
      </c>
    </row>
    <row r="4905" spans="1:4" s="45" customFormat="1" ht="13.5" x14ac:dyDescent="0.15">
      <c r="A4905" s="45" t="s">
        <v>41</v>
      </c>
      <c r="D4905" s="45" t="s">
        <v>2269</v>
      </c>
    </row>
    <row r="4906" spans="1:4" s="45" customFormat="1" ht="13.5" x14ac:dyDescent="0.15">
      <c r="A4906" s="45" t="s">
        <v>41</v>
      </c>
      <c r="D4906" s="45" t="s">
        <v>2272</v>
      </c>
    </row>
    <row r="4907" spans="1:4" s="45" customFormat="1" ht="13.5" x14ac:dyDescent="0.15">
      <c r="A4907" s="45" t="s">
        <v>41</v>
      </c>
      <c r="D4907" s="45" t="s">
        <v>2273</v>
      </c>
    </row>
    <row r="4908" spans="1:4" s="45" customFormat="1" ht="13.5" x14ac:dyDescent="0.15">
      <c r="A4908" s="45" t="s">
        <v>41</v>
      </c>
      <c r="D4908" s="45" t="s">
        <v>2271</v>
      </c>
    </row>
    <row r="4909" spans="1:4" s="45" customFormat="1" ht="13.5" x14ac:dyDescent="0.15">
      <c r="A4909" s="45" t="s">
        <v>41</v>
      </c>
      <c r="D4909" s="45" t="s">
        <v>2270</v>
      </c>
    </row>
    <row r="4910" spans="1:4" s="45" customFormat="1" ht="13.5" x14ac:dyDescent="0.15">
      <c r="A4910" s="45" t="s">
        <v>41</v>
      </c>
      <c r="D4910" s="45" t="s">
        <v>2274</v>
      </c>
    </row>
    <row r="4911" spans="1:4" s="45" customFormat="1" ht="13.5" x14ac:dyDescent="0.15">
      <c r="A4911" s="45" t="s">
        <v>41</v>
      </c>
      <c r="D4911" s="45" t="s">
        <v>1846</v>
      </c>
    </row>
    <row r="4912" spans="1:4" s="45" customFormat="1" ht="13.5" x14ac:dyDescent="0.15">
      <c r="A4912" s="45" t="s">
        <v>41</v>
      </c>
      <c r="D4912" s="45" t="s">
        <v>1818</v>
      </c>
    </row>
    <row r="4913" spans="1:4" s="45" customFormat="1" ht="13.5" x14ac:dyDescent="0.15">
      <c r="A4913" s="45" t="s">
        <v>41</v>
      </c>
      <c r="D4913" s="45" t="s">
        <v>7255</v>
      </c>
    </row>
    <row r="4914" spans="1:4" s="45" customFormat="1" ht="13.5" x14ac:dyDescent="0.15">
      <c r="A4914" s="45" t="s">
        <v>41</v>
      </c>
      <c r="D4914" s="45" t="s">
        <v>7256</v>
      </c>
    </row>
    <row r="4915" spans="1:4" s="45" customFormat="1" ht="13.5" x14ac:dyDescent="0.15">
      <c r="A4915" s="45" t="s">
        <v>41</v>
      </c>
      <c r="D4915" s="45" t="s">
        <v>7257</v>
      </c>
    </row>
    <row r="4916" spans="1:4" s="45" customFormat="1" ht="13.5" x14ac:dyDescent="0.15">
      <c r="A4916" s="45" t="s">
        <v>41</v>
      </c>
      <c r="D4916" s="45" t="s">
        <v>767</v>
      </c>
    </row>
    <row r="4917" spans="1:4" s="45" customFormat="1" ht="13.5" x14ac:dyDescent="0.15">
      <c r="A4917" s="45" t="s">
        <v>41</v>
      </c>
      <c r="D4917" s="45" t="s">
        <v>7258</v>
      </c>
    </row>
    <row r="4918" spans="1:4" s="45" customFormat="1" ht="13.5" x14ac:dyDescent="0.15">
      <c r="A4918" s="45" t="s">
        <v>41</v>
      </c>
      <c r="D4918" s="45" t="s">
        <v>7259</v>
      </c>
    </row>
    <row r="4919" spans="1:4" s="45" customFormat="1" ht="13.5" x14ac:dyDescent="0.15">
      <c r="A4919" s="45" t="s">
        <v>41</v>
      </c>
      <c r="D4919" s="45" t="s">
        <v>7260</v>
      </c>
    </row>
    <row r="4920" spans="1:4" s="45" customFormat="1" ht="13.5" x14ac:dyDescent="0.15">
      <c r="A4920" s="45" t="s">
        <v>41</v>
      </c>
      <c r="D4920" s="45" t="s">
        <v>7261</v>
      </c>
    </row>
    <row r="4921" spans="1:4" s="45" customFormat="1" ht="13.5" x14ac:dyDescent="0.15">
      <c r="A4921" s="45" t="s">
        <v>41</v>
      </c>
      <c r="D4921" s="45" t="s">
        <v>769</v>
      </c>
    </row>
    <row r="4922" spans="1:4" s="45" customFormat="1" ht="13.5" x14ac:dyDescent="0.15">
      <c r="A4922" s="45" t="s">
        <v>41</v>
      </c>
      <c r="D4922" s="45" t="s">
        <v>768</v>
      </c>
    </row>
    <row r="4923" spans="1:4" s="45" customFormat="1" ht="13.5" x14ac:dyDescent="0.15">
      <c r="A4923" s="45" t="s">
        <v>41</v>
      </c>
      <c r="D4923" s="45" t="s">
        <v>7262</v>
      </c>
    </row>
    <row r="4924" spans="1:4" s="45" customFormat="1" ht="13.5" x14ac:dyDescent="0.15">
      <c r="A4924" s="45" t="s">
        <v>41</v>
      </c>
      <c r="D4924" s="45" t="s">
        <v>7263</v>
      </c>
    </row>
    <row r="4925" spans="1:4" s="45" customFormat="1" ht="13.5" x14ac:dyDescent="0.15">
      <c r="A4925" s="45" t="s">
        <v>41</v>
      </c>
      <c r="D4925" s="45" t="s">
        <v>7264</v>
      </c>
    </row>
    <row r="4926" spans="1:4" s="45" customFormat="1" ht="13.5" x14ac:dyDescent="0.15">
      <c r="A4926" s="45" t="s">
        <v>41</v>
      </c>
      <c r="D4926" s="45" t="s">
        <v>7265</v>
      </c>
    </row>
    <row r="4927" spans="1:4" s="45" customFormat="1" ht="13.5" x14ac:dyDescent="0.15">
      <c r="A4927" s="45" t="s">
        <v>41</v>
      </c>
      <c r="D4927" s="45" t="s">
        <v>471</v>
      </c>
    </row>
    <row r="4928" spans="1:4" s="45" customFormat="1" ht="13.5" x14ac:dyDescent="0.15">
      <c r="A4928" s="45" t="s">
        <v>41</v>
      </c>
      <c r="D4928" s="45" t="s">
        <v>470</v>
      </c>
    </row>
    <row r="4929" spans="1:4" s="45" customFormat="1" ht="13.5" x14ac:dyDescent="0.15">
      <c r="A4929" s="45" t="s">
        <v>41</v>
      </c>
      <c r="D4929" s="45" t="s">
        <v>7266</v>
      </c>
    </row>
    <row r="4930" spans="1:4" s="45" customFormat="1" ht="13.5" x14ac:dyDescent="0.15">
      <c r="A4930" s="45" t="s">
        <v>41</v>
      </c>
      <c r="D4930" s="45" t="s">
        <v>472</v>
      </c>
    </row>
    <row r="4931" spans="1:4" s="45" customFormat="1" ht="13.5" x14ac:dyDescent="0.15">
      <c r="A4931" s="45" t="s">
        <v>41</v>
      </c>
      <c r="D4931" s="45" t="s">
        <v>473</v>
      </c>
    </row>
    <row r="4932" spans="1:4" s="45" customFormat="1" ht="13.5" x14ac:dyDescent="0.15">
      <c r="A4932" s="45" t="s">
        <v>41</v>
      </c>
      <c r="D4932" s="45" t="s">
        <v>474</v>
      </c>
    </row>
    <row r="4933" spans="1:4" s="45" customFormat="1" ht="13.5" x14ac:dyDescent="0.15">
      <c r="A4933" s="45" t="s">
        <v>41</v>
      </c>
      <c r="D4933" s="45" t="s">
        <v>475</v>
      </c>
    </row>
    <row r="4934" spans="1:4" s="45" customFormat="1" ht="13.5" x14ac:dyDescent="0.15">
      <c r="A4934" s="45" t="s">
        <v>41</v>
      </c>
      <c r="D4934" s="45" t="s">
        <v>7267</v>
      </c>
    </row>
    <row r="4935" spans="1:4" s="45" customFormat="1" ht="13.5" x14ac:dyDescent="0.15">
      <c r="A4935" s="45" t="s">
        <v>41</v>
      </c>
      <c r="D4935" s="45" t="s">
        <v>476</v>
      </c>
    </row>
    <row r="4936" spans="1:4" s="45" customFormat="1" ht="13.5" x14ac:dyDescent="0.15">
      <c r="A4936" s="45" t="s">
        <v>41</v>
      </c>
      <c r="D4936" s="45" t="s">
        <v>7268</v>
      </c>
    </row>
    <row r="4937" spans="1:4" s="45" customFormat="1" ht="13.5" x14ac:dyDescent="0.15">
      <c r="A4937" s="45" t="s">
        <v>41</v>
      </c>
      <c r="D4937" s="45" t="s">
        <v>7269</v>
      </c>
    </row>
    <row r="4938" spans="1:4" s="45" customFormat="1" ht="13.5" x14ac:dyDescent="0.15">
      <c r="A4938" s="45" t="s">
        <v>41</v>
      </c>
      <c r="D4938" s="45" t="s">
        <v>2519</v>
      </c>
    </row>
    <row r="4939" spans="1:4" s="45" customFormat="1" ht="13.5" x14ac:dyDescent="0.15">
      <c r="A4939" s="45" t="s">
        <v>41</v>
      </c>
      <c r="D4939" s="45" t="s">
        <v>342</v>
      </c>
    </row>
    <row r="4940" spans="1:4" s="45" customFormat="1" ht="13.5" x14ac:dyDescent="0.15">
      <c r="A4940" s="45" t="s">
        <v>41</v>
      </c>
      <c r="D4940" s="45" t="s">
        <v>7270</v>
      </c>
    </row>
    <row r="4941" spans="1:4" s="45" customFormat="1" ht="13.5" x14ac:dyDescent="0.15">
      <c r="A4941" s="45" t="s">
        <v>41</v>
      </c>
      <c r="D4941" s="45" t="s">
        <v>7271</v>
      </c>
    </row>
    <row r="4942" spans="1:4" s="45" customFormat="1" ht="13.5" x14ac:dyDescent="0.15">
      <c r="A4942" s="45" t="s">
        <v>41</v>
      </c>
      <c r="D4942" s="45" t="s">
        <v>341</v>
      </c>
    </row>
    <row r="4943" spans="1:4" s="45" customFormat="1" ht="13.5" x14ac:dyDescent="0.15">
      <c r="A4943" s="45" t="s">
        <v>41</v>
      </c>
      <c r="D4943" s="45" t="s">
        <v>7272</v>
      </c>
    </row>
    <row r="4944" spans="1:4" s="45" customFormat="1" ht="13.5" x14ac:dyDescent="0.15">
      <c r="A4944" s="45" t="s">
        <v>41</v>
      </c>
      <c r="D4944" s="45" t="s">
        <v>7273</v>
      </c>
    </row>
    <row r="4945" spans="1:4" s="45" customFormat="1" ht="13.5" x14ac:dyDescent="0.15">
      <c r="A4945" s="45" t="s">
        <v>41</v>
      </c>
      <c r="D4945" s="45" t="s">
        <v>7274</v>
      </c>
    </row>
    <row r="4946" spans="1:4" s="45" customFormat="1" ht="13.5" x14ac:dyDescent="0.15">
      <c r="A4946" s="45" t="s">
        <v>41</v>
      </c>
      <c r="D4946" s="45" t="s">
        <v>7275</v>
      </c>
    </row>
    <row r="4947" spans="1:4" s="45" customFormat="1" ht="13.5" x14ac:dyDescent="0.15">
      <c r="A4947" s="45" t="s">
        <v>41</v>
      </c>
      <c r="D4947" s="45" t="s">
        <v>7276</v>
      </c>
    </row>
    <row r="4948" spans="1:4" s="45" customFormat="1" ht="13.5" x14ac:dyDescent="0.15">
      <c r="A4948" s="45" t="s">
        <v>41</v>
      </c>
      <c r="D4948" s="45" t="s">
        <v>7277</v>
      </c>
    </row>
    <row r="4949" spans="1:4" s="45" customFormat="1" ht="13.5" x14ac:dyDescent="0.15">
      <c r="A4949" s="45" t="s">
        <v>41</v>
      </c>
      <c r="D4949" s="45" t="s">
        <v>7278</v>
      </c>
    </row>
    <row r="4950" spans="1:4" s="45" customFormat="1" ht="13.5" x14ac:dyDescent="0.15">
      <c r="A4950" s="45" t="s">
        <v>41</v>
      </c>
      <c r="D4950" s="45" t="s">
        <v>812</v>
      </c>
    </row>
    <row r="4951" spans="1:4" s="45" customFormat="1" ht="13.5" x14ac:dyDescent="0.15">
      <c r="A4951" s="45" t="s">
        <v>41</v>
      </c>
      <c r="D4951" s="45" t="s">
        <v>7279</v>
      </c>
    </row>
    <row r="4952" spans="1:4" s="45" customFormat="1" ht="13.5" x14ac:dyDescent="0.15">
      <c r="A4952" s="45" t="s">
        <v>41</v>
      </c>
      <c r="D4952" s="45" t="s">
        <v>7280</v>
      </c>
    </row>
    <row r="4953" spans="1:4" s="45" customFormat="1" ht="13.5" x14ac:dyDescent="0.15">
      <c r="A4953" s="45" t="s">
        <v>41</v>
      </c>
      <c r="D4953" s="45" t="s">
        <v>7281</v>
      </c>
    </row>
    <row r="4954" spans="1:4" s="45" customFormat="1" ht="13.5" x14ac:dyDescent="0.15">
      <c r="A4954" s="45" t="s">
        <v>41</v>
      </c>
      <c r="D4954" s="45" t="s">
        <v>7282</v>
      </c>
    </row>
    <row r="4955" spans="1:4" s="45" customFormat="1" ht="13.5" x14ac:dyDescent="0.15">
      <c r="A4955" s="45" t="s">
        <v>41</v>
      </c>
      <c r="D4955" s="45" t="s">
        <v>7283</v>
      </c>
    </row>
    <row r="4956" spans="1:4" s="45" customFormat="1" ht="13.5" x14ac:dyDescent="0.15">
      <c r="A4956" s="45" t="s">
        <v>41</v>
      </c>
      <c r="D4956" s="45" t="s">
        <v>7284</v>
      </c>
    </row>
    <row r="4957" spans="1:4" s="45" customFormat="1" ht="13.5" x14ac:dyDescent="0.15">
      <c r="A4957" s="45" t="s">
        <v>41</v>
      </c>
      <c r="D4957" s="45" t="s">
        <v>7285</v>
      </c>
    </row>
    <row r="4958" spans="1:4" s="45" customFormat="1" ht="13.5" x14ac:dyDescent="0.15">
      <c r="A4958" s="45" t="s">
        <v>41</v>
      </c>
      <c r="D4958" s="45" t="s">
        <v>7286</v>
      </c>
    </row>
    <row r="4959" spans="1:4" s="45" customFormat="1" ht="13.5" x14ac:dyDescent="0.15">
      <c r="A4959" s="45" t="s">
        <v>41</v>
      </c>
      <c r="D4959" s="45" t="s">
        <v>7287</v>
      </c>
    </row>
    <row r="4960" spans="1:4" s="45" customFormat="1" ht="13.5" x14ac:dyDescent="0.15">
      <c r="A4960" s="45" t="s">
        <v>41</v>
      </c>
      <c r="D4960" s="45" t="s">
        <v>7288</v>
      </c>
    </row>
    <row r="4961" spans="1:4" s="45" customFormat="1" ht="13.5" x14ac:dyDescent="0.15">
      <c r="A4961" s="45" t="s">
        <v>41</v>
      </c>
      <c r="D4961" s="45" t="s">
        <v>7289</v>
      </c>
    </row>
    <row r="4962" spans="1:4" s="45" customFormat="1" ht="13.5" x14ac:dyDescent="0.15">
      <c r="A4962" s="45" t="s">
        <v>41</v>
      </c>
      <c r="D4962" s="45" t="s">
        <v>7290</v>
      </c>
    </row>
    <row r="4963" spans="1:4" s="45" customFormat="1" ht="13.5" x14ac:dyDescent="0.15">
      <c r="A4963" s="45" t="s">
        <v>41</v>
      </c>
      <c r="D4963" s="45" t="s">
        <v>7291</v>
      </c>
    </row>
    <row r="4964" spans="1:4" s="45" customFormat="1" ht="13.5" x14ac:dyDescent="0.15">
      <c r="A4964" s="45" t="s">
        <v>41</v>
      </c>
      <c r="D4964" s="45" t="s">
        <v>7292</v>
      </c>
    </row>
    <row r="4965" spans="1:4" s="45" customFormat="1" ht="13.5" x14ac:dyDescent="0.15">
      <c r="A4965" s="45" t="s">
        <v>41</v>
      </c>
      <c r="D4965" s="45" t="s">
        <v>7293</v>
      </c>
    </row>
    <row r="4966" spans="1:4" s="45" customFormat="1" ht="13.5" x14ac:dyDescent="0.15">
      <c r="A4966" s="45" t="s">
        <v>41</v>
      </c>
      <c r="D4966" s="45" t="s">
        <v>1927</v>
      </c>
    </row>
    <row r="4967" spans="1:4" s="45" customFormat="1" ht="13.5" x14ac:dyDescent="0.15">
      <c r="A4967" s="45" t="s">
        <v>41</v>
      </c>
      <c r="D4967" s="45" t="s">
        <v>878</v>
      </c>
    </row>
    <row r="4968" spans="1:4" s="45" customFormat="1" ht="13.5" x14ac:dyDescent="0.15">
      <c r="A4968" s="45" t="s">
        <v>41</v>
      </c>
      <c r="D4968" s="45" t="s">
        <v>7294</v>
      </c>
    </row>
    <row r="4969" spans="1:4" s="45" customFormat="1" ht="13.5" x14ac:dyDescent="0.15">
      <c r="A4969" s="45" t="s">
        <v>41</v>
      </c>
      <c r="D4969" s="45" t="s">
        <v>877</v>
      </c>
    </row>
    <row r="4970" spans="1:4" s="45" customFormat="1" ht="13.5" x14ac:dyDescent="0.15">
      <c r="A4970" s="45" t="s">
        <v>41</v>
      </c>
      <c r="D4970" s="45" t="s">
        <v>7295</v>
      </c>
    </row>
    <row r="4971" spans="1:4" s="45" customFormat="1" ht="13.5" x14ac:dyDescent="0.15">
      <c r="A4971" s="45" t="s">
        <v>41</v>
      </c>
      <c r="D4971" s="45" t="s">
        <v>7296</v>
      </c>
    </row>
    <row r="4972" spans="1:4" s="45" customFormat="1" ht="13.5" x14ac:dyDescent="0.15">
      <c r="A4972" s="45" t="s">
        <v>41</v>
      </c>
      <c r="D4972" s="45" t="s">
        <v>7297</v>
      </c>
    </row>
    <row r="4973" spans="1:4" s="45" customFormat="1" ht="13.5" x14ac:dyDescent="0.15">
      <c r="A4973" s="45" t="s">
        <v>41</v>
      </c>
      <c r="D4973" s="45" t="s">
        <v>7298</v>
      </c>
    </row>
    <row r="4974" spans="1:4" s="45" customFormat="1" ht="13.5" x14ac:dyDescent="0.15">
      <c r="A4974" s="45" t="s">
        <v>41</v>
      </c>
      <c r="D4974" s="45" t="s">
        <v>299</v>
      </c>
    </row>
    <row r="4975" spans="1:4" s="45" customFormat="1" ht="13.5" x14ac:dyDescent="0.15">
      <c r="A4975" s="45" t="s">
        <v>41</v>
      </c>
      <c r="D4975" s="45" t="s">
        <v>7299</v>
      </c>
    </row>
    <row r="4976" spans="1:4" s="45" customFormat="1" ht="13.5" x14ac:dyDescent="0.15">
      <c r="A4976" s="45" t="s">
        <v>41</v>
      </c>
      <c r="D4976" s="45" t="s">
        <v>2533</v>
      </c>
    </row>
    <row r="4977" spans="1:4" s="45" customFormat="1" ht="13.5" x14ac:dyDescent="0.15">
      <c r="A4977" s="45" t="s">
        <v>41</v>
      </c>
      <c r="D4977" s="45" t="s">
        <v>257</v>
      </c>
    </row>
    <row r="4978" spans="1:4" s="45" customFormat="1" ht="13.5" x14ac:dyDescent="0.15">
      <c r="A4978" s="45" t="s">
        <v>41</v>
      </c>
      <c r="D4978" s="45" t="s">
        <v>282</v>
      </c>
    </row>
    <row r="4979" spans="1:4" s="45" customFormat="1" ht="13.5" x14ac:dyDescent="0.15">
      <c r="A4979" s="45" t="s">
        <v>41</v>
      </c>
      <c r="D4979" s="45" t="s">
        <v>267</v>
      </c>
    </row>
    <row r="4980" spans="1:4" s="45" customFormat="1" ht="13.5" x14ac:dyDescent="0.15">
      <c r="A4980" s="45" t="s">
        <v>41</v>
      </c>
      <c r="D4980" s="45" t="s">
        <v>7300</v>
      </c>
    </row>
    <row r="4981" spans="1:4" s="45" customFormat="1" ht="13.5" x14ac:dyDescent="0.15">
      <c r="A4981" s="45" t="s">
        <v>41</v>
      </c>
      <c r="D4981" s="45" t="s">
        <v>266</v>
      </c>
    </row>
    <row r="4982" spans="1:4" s="45" customFormat="1" ht="13.5" x14ac:dyDescent="0.15">
      <c r="A4982" s="45" t="s">
        <v>41</v>
      </c>
      <c r="D4982" s="45" t="s">
        <v>7301</v>
      </c>
    </row>
    <row r="4983" spans="1:4" s="45" customFormat="1" ht="13.5" x14ac:dyDescent="0.15">
      <c r="A4983" s="45" t="s">
        <v>41</v>
      </c>
      <c r="D4983" s="45" t="s">
        <v>285</v>
      </c>
    </row>
    <row r="4984" spans="1:4" s="45" customFormat="1" ht="13.5" x14ac:dyDescent="0.15">
      <c r="A4984" s="45" t="s">
        <v>41</v>
      </c>
      <c r="D4984" s="45" t="s">
        <v>284</v>
      </c>
    </row>
    <row r="4985" spans="1:4" s="45" customFormat="1" ht="13.5" x14ac:dyDescent="0.15">
      <c r="A4985" s="45" t="s">
        <v>41</v>
      </c>
      <c r="D4985" s="45" t="s">
        <v>273</v>
      </c>
    </row>
    <row r="4986" spans="1:4" s="45" customFormat="1" ht="13.5" x14ac:dyDescent="0.15">
      <c r="A4986" s="45" t="s">
        <v>41</v>
      </c>
      <c r="D4986" s="45" t="s">
        <v>274</v>
      </c>
    </row>
    <row r="4987" spans="1:4" s="45" customFormat="1" ht="13.5" x14ac:dyDescent="0.15">
      <c r="A4987" s="45" t="s">
        <v>41</v>
      </c>
      <c r="D4987" s="45" t="s">
        <v>269</v>
      </c>
    </row>
    <row r="4988" spans="1:4" s="45" customFormat="1" ht="13.5" x14ac:dyDescent="0.15">
      <c r="A4988" s="45" t="s">
        <v>41</v>
      </c>
      <c r="D4988" s="45" t="s">
        <v>7302</v>
      </c>
    </row>
    <row r="4989" spans="1:4" s="45" customFormat="1" ht="13.5" x14ac:dyDescent="0.15">
      <c r="A4989" s="45" t="s">
        <v>41</v>
      </c>
      <c r="D4989" s="45" t="s">
        <v>272</v>
      </c>
    </row>
    <row r="4990" spans="1:4" s="45" customFormat="1" ht="13.5" x14ac:dyDescent="0.15">
      <c r="A4990" s="45" t="s">
        <v>41</v>
      </c>
      <c r="D4990" s="45" t="s">
        <v>271</v>
      </c>
    </row>
    <row r="4991" spans="1:4" s="45" customFormat="1" ht="13.5" x14ac:dyDescent="0.15">
      <c r="A4991" s="45" t="s">
        <v>41</v>
      </c>
      <c r="D4991" s="45" t="s">
        <v>7303</v>
      </c>
    </row>
    <row r="4992" spans="1:4" s="45" customFormat="1" ht="13.5" x14ac:dyDescent="0.15">
      <c r="A4992" s="45" t="s">
        <v>41</v>
      </c>
      <c r="D4992" s="45" t="s">
        <v>270</v>
      </c>
    </row>
    <row r="4993" spans="1:4" s="45" customFormat="1" ht="13.5" x14ac:dyDescent="0.15">
      <c r="A4993" s="45" t="s">
        <v>41</v>
      </c>
      <c r="D4993" s="45" t="s">
        <v>276</v>
      </c>
    </row>
    <row r="4994" spans="1:4" s="45" customFormat="1" ht="13.5" x14ac:dyDescent="0.15">
      <c r="A4994" s="45" t="s">
        <v>41</v>
      </c>
      <c r="D4994" s="45" t="s">
        <v>280</v>
      </c>
    </row>
    <row r="4995" spans="1:4" s="45" customFormat="1" ht="13.5" x14ac:dyDescent="0.15">
      <c r="A4995" s="45" t="s">
        <v>41</v>
      </c>
      <c r="D4995" s="45" t="s">
        <v>278</v>
      </c>
    </row>
    <row r="4996" spans="1:4" s="45" customFormat="1" ht="13.5" x14ac:dyDescent="0.15">
      <c r="A4996" s="45" t="s">
        <v>41</v>
      </c>
      <c r="D4996" s="45" t="s">
        <v>279</v>
      </c>
    </row>
    <row r="4997" spans="1:4" s="45" customFormat="1" ht="13.5" x14ac:dyDescent="0.15">
      <c r="A4997" s="45" t="s">
        <v>41</v>
      </c>
      <c r="D4997" s="45" t="s">
        <v>277</v>
      </c>
    </row>
    <row r="4998" spans="1:4" s="45" customFormat="1" ht="13.5" x14ac:dyDescent="0.15">
      <c r="A4998" s="45" t="s">
        <v>41</v>
      </c>
      <c r="D4998" s="45" t="s">
        <v>3798</v>
      </c>
    </row>
    <row r="4999" spans="1:4" s="45" customFormat="1" ht="13.5" x14ac:dyDescent="0.15">
      <c r="A4999" s="45" t="s">
        <v>41</v>
      </c>
      <c r="D4999" s="45" t="s">
        <v>268</v>
      </c>
    </row>
    <row r="5000" spans="1:4" s="45" customFormat="1" ht="13.5" x14ac:dyDescent="0.15">
      <c r="A5000" s="45" t="s">
        <v>41</v>
      </c>
      <c r="D5000" s="45" t="s">
        <v>275</v>
      </c>
    </row>
    <row r="5001" spans="1:4" s="45" customFormat="1" ht="13.5" x14ac:dyDescent="0.15">
      <c r="A5001" s="45" t="s">
        <v>41</v>
      </c>
      <c r="D5001" s="45" t="s">
        <v>7304</v>
      </c>
    </row>
    <row r="5002" spans="1:4" s="45" customFormat="1" ht="13.5" x14ac:dyDescent="0.15">
      <c r="A5002" s="45" t="s">
        <v>41</v>
      </c>
      <c r="D5002" s="45" t="s">
        <v>7305</v>
      </c>
    </row>
    <row r="5003" spans="1:4" s="45" customFormat="1" ht="13.5" x14ac:dyDescent="0.15">
      <c r="A5003" s="45" t="s">
        <v>41</v>
      </c>
      <c r="D5003" s="45" t="s">
        <v>7306</v>
      </c>
    </row>
    <row r="5004" spans="1:4" s="45" customFormat="1" ht="13.5" x14ac:dyDescent="0.15">
      <c r="A5004" s="45" t="s">
        <v>41</v>
      </c>
      <c r="D5004" s="45" t="s">
        <v>7307</v>
      </c>
    </row>
    <row r="5005" spans="1:4" s="45" customFormat="1" ht="13.5" x14ac:dyDescent="0.15">
      <c r="A5005" s="45" t="s">
        <v>41</v>
      </c>
      <c r="D5005" s="45" t="s">
        <v>286</v>
      </c>
    </row>
    <row r="5006" spans="1:4" s="45" customFormat="1" ht="13.5" x14ac:dyDescent="0.15">
      <c r="A5006" s="45" t="s">
        <v>41</v>
      </c>
      <c r="D5006" s="45" t="s">
        <v>7308</v>
      </c>
    </row>
    <row r="5007" spans="1:4" s="45" customFormat="1" ht="13.5" x14ac:dyDescent="0.15">
      <c r="A5007" s="45" t="s">
        <v>41</v>
      </c>
      <c r="D5007" s="45" t="s">
        <v>281</v>
      </c>
    </row>
    <row r="5008" spans="1:4" s="45" customFormat="1" ht="13.5" x14ac:dyDescent="0.15">
      <c r="A5008" s="45" t="s">
        <v>41</v>
      </c>
      <c r="D5008" s="45" t="s">
        <v>7309</v>
      </c>
    </row>
    <row r="5009" spans="1:4" s="45" customFormat="1" ht="13.5" x14ac:dyDescent="0.15">
      <c r="A5009" s="45" t="s">
        <v>41</v>
      </c>
      <c r="D5009" s="45" t="s">
        <v>283</v>
      </c>
    </row>
    <row r="5010" spans="1:4" s="45" customFormat="1" ht="13.5" x14ac:dyDescent="0.15">
      <c r="A5010" s="45" t="s">
        <v>41</v>
      </c>
      <c r="D5010" s="45" t="s">
        <v>794</v>
      </c>
    </row>
    <row r="5011" spans="1:4" s="45" customFormat="1" ht="13.5" x14ac:dyDescent="0.15">
      <c r="A5011" s="45" t="s">
        <v>41</v>
      </c>
      <c r="D5011" s="45" t="s">
        <v>792</v>
      </c>
    </row>
    <row r="5012" spans="1:4" s="45" customFormat="1" ht="13.5" x14ac:dyDescent="0.15">
      <c r="A5012" s="45" t="s">
        <v>41</v>
      </c>
      <c r="D5012" s="45" t="s">
        <v>795</v>
      </c>
    </row>
    <row r="5013" spans="1:4" s="45" customFormat="1" ht="13.5" x14ac:dyDescent="0.15">
      <c r="A5013" s="45" t="s">
        <v>41</v>
      </c>
      <c r="D5013" s="45" t="s">
        <v>793</v>
      </c>
    </row>
    <row r="5014" spans="1:4" s="45" customFormat="1" ht="13.5" x14ac:dyDescent="0.15">
      <c r="A5014" s="45" t="s">
        <v>41</v>
      </c>
      <c r="D5014" s="45" t="s">
        <v>7310</v>
      </c>
    </row>
    <row r="5015" spans="1:4" s="45" customFormat="1" ht="13.5" x14ac:dyDescent="0.15">
      <c r="A5015" s="45" t="s">
        <v>41</v>
      </c>
      <c r="D5015" s="45" t="s">
        <v>7311</v>
      </c>
    </row>
    <row r="5016" spans="1:4" s="45" customFormat="1" ht="13.5" x14ac:dyDescent="0.15">
      <c r="A5016" s="45" t="s">
        <v>41</v>
      </c>
      <c r="D5016" s="45" t="s">
        <v>7312</v>
      </c>
    </row>
    <row r="5017" spans="1:4" s="45" customFormat="1" ht="13.5" x14ac:dyDescent="0.15">
      <c r="A5017" s="45" t="s">
        <v>41</v>
      </c>
      <c r="D5017" s="45" t="s">
        <v>803</v>
      </c>
    </row>
    <row r="5018" spans="1:4" s="45" customFormat="1" ht="13.5" x14ac:dyDescent="0.15">
      <c r="A5018" s="45" t="s">
        <v>41</v>
      </c>
      <c r="D5018" s="45" t="s">
        <v>2566</v>
      </c>
    </row>
    <row r="5019" spans="1:4" s="45" customFormat="1" ht="13.5" x14ac:dyDescent="0.15">
      <c r="A5019" s="45" t="s">
        <v>41</v>
      </c>
      <c r="D5019" s="45" t="s">
        <v>2567</v>
      </c>
    </row>
    <row r="5020" spans="1:4" s="45" customFormat="1" ht="13.5" x14ac:dyDescent="0.15">
      <c r="A5020" s="45" t="s">
        <v>41</v>
      </c>
      <c r="D5020" s="45" t="s">
        <v>880</v>
      </c>
    </row>
    <row r="5021" spans="1:4" s="45" customFormat="1" ht="13.5" x14ac:dyDescent="0.15">
      <c r="A5021" s="45" t="s">
        <v>41</v>
      </c>
      <c r="D5021" s="45" t="s">
        <v>1112</v>
      </c>
    </row>
    <row r="5022" spans="1:4" s="45" customFormat="1" ht="13.5" x14ac:dyDescent="0.15">
      <c r="A5022" s="45" t="s">
        <v>41</v>
      </c>
      <c r="D5022" s="45" t="s">
        <v>7313</v>
      </c>
    </row>
    <row r="5023" spans="1:4" s="45" customFormat="1" ht="13.5" x14ac:dyDescent="0.15">
      <c r="A5023" s="45" t="s">
        <v>41</v>
      </c>
      <c r="D5023" s="45" t="s">
        <v>1883</v>
      </c>
    </row>
    <row r="5024" spans="1:4" s="45" customFormat="1" ht="13.5" x14ac:dyDescent="0.15">
      <c r="A5024" s="45" t="s">
        <v>41</v>
      </c>
      <c r="D5024" s="45" t="s">
        <v>7314</v>
      </c>
    </row>
    <row r="5025" spans="1:4" s="45" customFormat="1" ht="13.5" x14ac:dyDescent="0.15">
      <c r="A5025" s="45" t="s">
        <v>41</v>
      </c>
      <c r="D5025" s="45" t="s">
        <v>7315</v>
      </c>
    </row>
    <row r="5026" spans="1:4" s="45" customFormat="1" ht="13.5" x14ac:dyDescent="0.15">
      <c r="A5026" s="45" t="s">
        <v>41</v>
      </c>
      <c r="D5026" s="45" t="s">
        <v>7316</v>
      </c>
    </row>
    <row r="5027" spans="1:4" s="45" customFormat="1" ht="13.5" x14ac:dyDescent="0.15">
      <c r="A5027" s="45" t="s">
        <v>41</v>
      </c>
      <c r="D5027" s="45" t="s">
        <v>7317</v>
      </c>
    </row>
    <row r="5028" spans="1:4" s="45" customFormat="1" ht="13.5" x14ac:dyDescent="0.15">
      <c r="A5028" s="45" t="s">
        <v>41</v>
      </c>
      <c r="D5028" s="45" t="s">
        <v>7318</v>
      </c>
    </row>
    <row r="5029" spans="1:4" s="45" customFormat="1" ht="13.5" x14ac:dyDescent="0.15">
      <c r="A5029" s="45" t="s">
        <v>41</v>
      </c>
      <c r="D5029" s="45" t="s">
        <v>1617</v>
      </c>
    </row>
    <row r="5030" spans="1:4" s="45" customFormat="1" ht="13.5" x14ac:dyDescent="0.15">
      <c r="A5030" s="45" t="s">
        <v>41</v>
      </c>
      <c r="D5030" s="45" t="s">
        <v>1620</v>
      </c>
    </row>
    <row r="5031" spans="1:4" s="45" customFormat="1" ht="13.5" x14ac:dyDescent="0.15">
      <c r="A5031" s="45" t="s">
        <v>41</v>
      </c>
      <c r="D5031" s="45" t="s">
        <v>1619</v>
      </c>
    </row>
    <row r="5032" spans="1:4" s="45" customFormat="1" ht="13.5" x14ac:dyDescent="0.15">
      <c r="A5032" s="45" t="s">
        <v>41</v>
      </c>
      <c r="D5032" s="45" t="s">
        <v>1618</v>
      </c>
    </row>
    <row r="5033" spans="1:4" s="45" customFormat="1" ht="13.5" x14ac:dyDescent="0.15">
      <c r="A5033" s="45" t="s">
        <v>41</v>
      </c>
      <c r="D5033" s="45" t="s">
        <v>7319</v>
      </c>
    </row>
    <row r="5034" spans="1:4" s="45" customFormat="1" ht="13.5" x14ac:dyDescent="0.15">
      <c r="A5034" s="45" t="s">
        <v>41</v>
      </c>
      <c r="D5034" s="45" t="s">
        <v>7320</v>
      </c>
    </row>
    <row r="5035" spans="1:4" s="45" customFormat="1" ht="13.5" x14ac:dyDescent="0.15">
      <c r="A5035" s="45" t="s">
        <v>41</v>
      </c>
      <c r="D5035" s="45" t="s">
        <v>7321</v>
      </c>
    </row>
    <row r="5036" spans="1:4" s="45" customFormat="1" ht="13.5" x14ac:dyDescent="0.15">
      <c r="A5036" s="45" t="s">
        <v>41</v>
      </c>
      <c r="D5036" s="45" t="s">
        <v>385</v>
      </c>
    </row>
    <row r="5037" spans="1:4" s="45" customFormat="1" ht="13.5" x14ac:dyDescent="0.15">
      <c r="A5037" s="45" t="s">
        <v>41</v>
      </c>
      <c r="D5037" s="45" t="s">
        <v>332</v>
      </c>
    </row>
    <row r="5038" spans="1:4" s="45" customFormat="1" ht="13.5" x14ac:dyDescent="0.15">
      <c r="A5038" s="45" t="s">
        <v>41</v>
      </c>
      <c r="D5038" s="45" t="s">
        <v>331</v>
      </c>
    </row>
    <row r="5039" spans="1:4" s="45" customFormat="1" ht="13.5" x14ac:dyDescent="0.15">
      <c r="A5039" s="45" t="s">
        <v>41</v>
      </c>
      <c r="D5039" s="45" t="s">
        <v>7322</v>
      </c>
    </row>
    <row r="5040" spans="1:4" s="45" customFormat="1" ht="13.5" x14ac:dyDescent="0.15">
      <c r="A5040" s="45" t="s">
        <v>41</v>
      </c>
      <c r="D5040" s="45" t="s">
        <v>7323</v>
      </c>
    </row>
    <row r="5041" spans="1:4" s="45" customFormat="1" ht="13.5" x14ac:dyDescent="0.15">
      <c r="A5041" s="45" t="s">
        <v>41</v>
      </c>
      <c r="D5041" s="45" t="s">
        <v>7324</v>
      </c>
    </row>
    <row r="5042" spans="1:4" s="45" customFormat="1" ht="13.5" x14ac:dyDescent="0.15">
      <c r="A5042" s="45" t="s">
        <v>41</v>
      </c>
      <c r="D5042" s="45" t="s">
        <v>7325</v>
      </c>
    </row>
    <row r="5043" spans="1:4" s="45" customFormat="1" ht="13.5" x14ac:dyDescent="0.15">
      <c r="A5043" s="45" t="s">
        <v>41</v>
      </c>
      <c r="D5043" s="45" t="s">
        <v>766</v>
      </c>
    </row>
    <row r="5044" spans="1:4" s="45" customFormat="1" ht="13.5" x14ac:dyDescent="0.15">
      <c r="A5044" s="45" t="s">
        <v>41</v>
      </c>
      <c r="D5044" s="45" t="s">
        <v>7326</v>
      </c>
    </row>
    <row r="5045" spans="1:4" s="45" customFormat="1" ht="13.5" x14ac:dyDescent="0.15">
      <c r="A5045" s="45" t="s">
        <v>41</v>
      </c>
      <c r="D5045" s="45" t="s">
        <v>2054</v>
      </c>
    </row>
    <row r="5046" spans="1:4" s="45" customFormat="1" ht="13.5" x14ac:dyDescent="0.15">
      <c r="A5046" s="45" t="s">
        <v>41</v>
      </c>
      <c r="D5046" s="45" t="s">
        <v>7327</v>
      </c>
    </row>
    <row r="5047" spans="1:4" s="45" customFormat="1" ht="13.5" x14ac:dyDescent="0.15">
      <c r="A5047" s="45" t="s">
        <v>41</v>
      </c>
      <c r="D5047" s="45" t="s">
        <v>7328</v>
      </c>
    </row>
    <row r="5048" spans="1:4" s="45" customFormat="1" ht="13.5" x14ac:dyDescent="0.15">
      <c r="A5048" s="45" t="s">
        <v>41</v>
      </c>
      <c r="D5048" s="45" t="s">
        <v>333</v>
      </c>
    </row>
    <row r="5049" spans="1:4" s="45" customFormat="1" ht="13.5" x14ac:dyDescent="0.15">
      <c r="A5049" s="45" t="s">
        <v>41</v>
      </c>
      <c r="D5049" s="45" t="s">
        <v>7329</v>
      </c>
    </row>
    <row r="5050" spans="1:4" s="45" customFormat="1" ht="13.5" x14ac:dyDescent="0.15">
      <c r="A5050" s="45" t="s">
        <v>41</v>
      </c>
      <c r="D5050" s="45" t="s">
        <v>7330</v>
      </c>
    </row>
    <row r="5051" spans="1:4" s="45" customFormat="1" ht="13.5" x14ac:dyDescent="0.15">
      <c r="A5051" s="45" t="s">
        <v>41</v>
      </c>
      <c r="D5051" s="45" t="s">
        <v>7331</v>
      </c>
    </row>
    <row r="5052" spans="1:4" s="45" customFormat="1" ht="13.5" x14ac:dyDescent="0.15">
      <c r="A5052" s="45" t="s">
        <v>41</v>
      </c>
      <c r="D5052" s="45" t="s">
        <v>7332</v>
      </c>
    </row>
    <row r="5053" spans="1:4" s="45" customFormat="1" ht="13.5" x14ac:dyDescent="0.15">
      <c r="A5053" s="45" t="s">
        <v>41</v>
      </c>
      <c r="D5053" s="45" t="s">
        <v>2107</v>
      </c>
    </row>
    <row r="5054" spans="1:4" s="45" customFormat="1" ht="13.5" x14ac:dyDescent="0.15">
      <c r="A5054" s="45" t="s">
        <v>41</v>
      </c>
      <c r="D5054" s="45" t="s">
        <v>7333</v>
      </c>
    </row>
    <row r="5055" spans="1:4" s="45" customFormat="1" ht="13.5" x14ac:dyDescent="0.15">
      <c r="A5055" s="45" t="s">
        <v>41</v>
      </c>
      <c r="D5055" s="45" t="s">
        <v>7334</v>
      </c>
    </row>
    <row r="5056" spans="1:4" s="45" customFormat="1" ht="13.5" x14ac:dyDescent="0.15">
      <c r="A5056" s="45" t="s">
        <v>41</v>
      </c>
      <c r="D5056" s="45" t="s">
        <v>765</v>
      </c>
    </row>
    <row r="5057" spans="1:4" s="45" customFormat="1" ht="13.5" x14ac:dyDescent="0.15">
      <c r="A5057" s="45" t="s">
        <v>41</v>
      </c>
      <c r="D5057" s="45" t="s">
        <v>7335</v>
      </c>
    </row>
    <row r="5058" spans="1:4" s="45" customFormat="1" ht="13.5" x14ac:dyDescent="0.15">
      <c r="A5058" s="45" t="s">
        <v>41</v>
      </c>
      <c r="D5058" s="45" t="s">
        <v>7336</v>
      </c>
    </row>
    <row r="5059" spans="1:4" s="45" customFormat="1" ht="13.5" x14ac:dyDescent="0.15">
      <c r="A5059" s="45" t="s">
        <v>41</v>
      </c>
      <c r="D5059" s="45" t="s">
        <v>7337</v>
      </c>
    </row>
    <row r="5060" spans="1:4" s="45" customFormat="1" ht="13.5" x14ac:dyDescent="0.15">
      <c r="A5060" s="45" t="s">
        <v>41</v>
      </c>
      <c r="D5060" s="45" t="s">
        <v>7338</v>
      </c>
    </row>
    <row r="5061" spans="1:4" s="45" customFormat="1" ht="13.5" x14ac:dyDescent="0.15">
      <c r="A5061" s="45" t="s">
        <v>41</v>
      </c>
      <c r="D5061" s="45" t="s">
        <v>7339</v>
      </c>
    </row>
    <row r="5062" spans="1:4" s="45" customFormat="1" ht="13.5" x14ac:dyDescent="0.15">
      <c r="A5062" s="45" t="s">
        <v>41</v>
      </c>
      <c r="D5062" s="45" t="s">
        <v>7340</v>
      </c>
    </row>
    <row r="5063" spans="1:4" s="45" customFormat="1" ht="13.5" x14ac:dyDescent="0.15">
      <c r="A5063" s="45" t="s">
        <v>41</v>
      </c>
      <c r="D5063" s="45" t="s">
        <v>7341</v>
      </c>
    </row>
    <row r="5064" spans="1:4" s="45" customFormat="1" ht="13.5" x14ac:dyDescent="0.15">
      <c r="A5064" s="45" t="s">
        <v>41</v>
      </c>
      <c r="D5064" s="45" t="s">
        <v>7342</v>
      </c>
    </row>
    <row r="5065" spans="1:4" s="45" customFormat="1" ht="13.5" x14ac:dyDescent="0.15">
      <c r="A5065" s="45" t="s">
        <v>41</v>
      </c>
      <c r="D5065" s="45" t="s">
        <v>7343</v>
      </c>
    </row>
    <row r="5066" spans="1:4" s="45" customFormat="1" ht="13.5" x14ac:dyDescent="0.15">
      <c r="A5066" s="45" t="s">
        <v>41</v>
      </c>
      <c r="D5066" s="45" t="s">
        <v>7344</v>
      </c>
    </row>
    <row r="5067" spans="1:4" s="45" customFormat="1" ht="13.5" x14ac:dyDescent="0.15">
      <c r="A5067" s="45" t="s">
        <v>41</v>
      </c>
      <c r="D5067" s="45" t="s">
        <v>7345</v>
      </c>
    </row>
    <row r="5068" spans="1:4" s="45" customFormat="1" ht="13.5" x14ac:dyDescent="0.15">
      <c r="A5068" s="45" t="s">
        <v>41</v>
      </c>
      <c r="D5068" s="45" t="s">
        <v>9766</v>
      </c>
    </row>
    <row r="5069" spans="1:4" s="45" customFormat="1" ht="13.5" x14ac:dyDescent="0.15">
      <c r="A5069" s="45" t="s">
        <v>41</v>
      </c>
      <c r="D5069" s="45" t="s">
        <v>7346</v>
      </c>
    </row>
    <row r="5070" spans="1:4" s="45" customFormat="1" ht="13.5" x14ac:dyDescent="0.15">
      <c r="A5070" s="45" t="s">
        <v>41</v>
      </c>
      <c r="D5070" s="45" t="s">
        <v>7347</v>
      </c>
    </row>
    <row r="5071" spans="1:4" s="45" customFormat="1" ht="13.5" x14ac:dyDescent="0.15">
      <c r="A5071" s="45" t="s">
        <v>41</v>
      </c>
      <c r="D5071" s="45" t="s">
        <v>7348</v>
      </c>
    </row>
    <row r="5072" spans="1:4" s="45" customFormat="1" ht="13.5" x14ac:dyDescent="0.15">
      <c r="A5072" s="45" t="s">
        <v>41</v>
      </c>
      <c r="D5072" s="45" t="s">
        <v>7349</v>
      </c>
    </row>
    <row r="5073" spans="1:4" s="45" customFormat="1" ht="13.5" x14ac:dyDescent="0.15">
      <c r="A5073" s="45" t="s">
        <v>41</v>
      </c>
      <c r="D5073" s="45" t="s">
        <v>7350</v>
      </c>
    </row>
    <row r="5074" spans="1:4" s="45" customFormat="1" ht="13.5" x14ac:dyDescent="0.15">
      <c r="A5074" s="45" t="s">
        <v>41</v>
      </c>
      <c r="D5074" s="45" t="s">
        <v>7351</v>
      </c>
    </row>
    <row r="5075" spans="1:4" s="45" customFormat="1" ht="13.5" x14ac:dyDescent="0.15">
      <c r="A5075" s="45" t="s">
        <v>41</v>
      </c>
      <c r="D5075" s="45" t="s">
        <v>7352</v>
      </c>
    </row>
    <row r="5076" spans="1:4" s="45" customFormat="1" ht="13.5" x14ac:dyDescent="0.15">
      <c r="A5076" s="45" t="s">
        <v>41</v>
      </c>
      <c r="D5076" s="45" t="s">
        <v>7353</v>
      </c>
    </row>
    <row r="5077" spans="1:4" s="45" customFormat="1" ht="13.5" x14ac:dyDescent="0.15">
      <c r="A5077" s="45" t="s">
        <v>41</v>
      </c>
      <c r="D5077" s="45" t="s">
        <v>764</v>
      </c>
    </row>
    <row r="5078" spans="1:4" s="45" customFormat="1" ht="13.5" x14ac:dyDescent="0.15">
      <c r="A5078" s="45" t="s">
        <v>41</v>
      </c>
      <c r="D5078" s="45" t="s">
        <v>7354</v>
      </c>
    </row>
    <row r="5079" spans="1:4" s="45" customFormat="1" ht="13.5" x14ac:dyDescent="0.15">
      <c r="A5079" s="45" t="s">
        <v>41</v>
      </c>
      <c r="D5079" s="45" t="s">
        <v>7355</v>
      </c>
    </row>
    <row r="5080" spans="1:4" s="45" customFormat="1" ht="13.5" x14ac:dyDescent="0.15">
      <c r="A5080" s="45" t="s">
        <v>41</v>
      </c>
      <c r="D5080" s="45" t="s">
        <v>7356</v>
      </c>
    </row>
    <row r="5081" spans="1:4" s="45" customFormat="1" ht="13.5" x14ac:dyDescent="0.15">
      <c r="A5081" s="45" t="s">
        <v>41</v>
      </c>
      <c r="D5081" s="45" t="s">
        <v>7357</v>
      </c>
    </row>
    <row r="5082" spans="1:4" s="45" customFormat="1" ht="13.5" x14ac:dyDescent="0.15">
      <c r="A5082" s="45" t="s">
        <v>41</v>
      </c>
      <c r="D5082" s="45" t="s">
        <v>7358</v>
      </c>
    </row>
    <row r="5083" spans="1:4" s="45" customFormat="1" ht="13.5" x14ac:dyDescent="0.15">
      <c r="A5083" s="45" t="s">
        <v>41</v>
      </c>
      <c r="D5083" s="45" t="s">
        <v>7359</v>
      </c>
    </row>
    <row r="5084" spans="1:4" s="45" customFormat="1" ht="13.5" x14ac:dyDescent="0.15">
      <c r="A5084" s="45" t="s">
        <v>41</v>
      </c>
      <c r="D5084" s="45" t="s">
        <v>7360</v>
      </c>
    </row>
    <row r="5085" spans="1:4" s="45" customFormat="1" ht="13.5" x14ac:dyDescent="0.15">
      <c r="A5085" s="45" t="s">
        <v>41</v>
      </c>
      <c r="D5085" s="45" t="s">
        <v>7361</v>
      </c>
    </row>
    <row r="5086" spans="1:4" s="45" customFormat="1" ht="13.5" x14ac:dyDescent="0.15">
      <c r="A5086" s="45" t="s">
        <v>41</v>
      </c>
      <c r="D5086" s="45" t="s">
        <v>7362</v>
      </c>
    </row>
    <row r="5087" spans="1:4" s="45" customFormat="1" ht="13.5" x14ac:dyDescent="0.15">
      <c r="A5087" s="45" t="s">
        <v>41</v>
      </c>
      <c r="D5087" s="45" t="s">
        <v>7363</v>
      </c>
    </row>
    <row r="5088" spans="1:4" s="45" customFormat="1" ht="13.5" x14ac:dyDescent="0.15">
      <c r="A5088" s="45" t="s">
        <v>41</v>
      </c>
      <c r="D5088" s="45" t="s">
        <v>1106</v>
      </c>
    </row>
    <row r="5089" spans="1:4" s="45" customFormat="1" ht="13.5" x14ac:dyDescent="0.15">
      <c r="A5089" s="45" t="s">
        <v>41</v>
      </c>
      <c r="D5089" s="45" t="s">
        <v>7364</v>
      </c>
    </row>
    <row r="5090" spans="1:4" s="45" customFormat="1" ht="13.5" x14ac:dyDescent="0.15">
      <c r="A5090" s="45" t="s">
        <v>41</v>
      </c>
      <c r="D5090" s="45" t="s">
        <v>1115</v>
      </c>
    </row>
    <row r="5091" spans="1:4" s="45" customFormat="1" ht="13.5" x14ac:dyDescent="0.15">
      <c r="A5091" s="45" t="s">
        <v>41</v>
      </c>
      <c r="D5091" s="45" t="s">
        <v>7365</v>
      </c>
    </row>
    <row r="5092" spans="1:4" s="45" customFormat="1" ht="13.5" x14ac:dyDescent="0.15">
      <c r="A5092" s="45" t="s">
        <v>41</v>
      </c>
      <c r="D5092" s="45" t="s">
        <v>7366</v>
      </c>
    </row>
    <row r="5093" spans="1:4" s="45" customFormat="1" ht="13.5" x14ac:dyDescent="0.15">
      <c r="A5093" s="45" t="s">
        <v>41</v>
      </c>
      <c r="D5093" s="45" t="s">
        <v>7367</v>
      </c>
    </row>
    <row r="5094" spans="1:4" s="45" customFormat="1" ht="13.5" x14ac:dyDescent="0.15">
      <c r="A5094" s="45" t="s">
        <v>41</v>
      </c>
      <c r="D5094" s="45" t="s">
        <v>7368</v>
      </c>
    </row>
    <row r="5095" spans="1:4" s="45" customFormat="1" ht="13.5" x14ac:dyDescent="0.15">
      <c r="A5095" s="45" t="s">
        <v>41</v>
      </c>
      <c r="D5095" s="45" t="s">
        <v>1566</v>
      </c>
    </row>
    <row r="5096" spans="1:4" s="45" customFormat="1" ht="13.5" x14ac:dyDescent="0.15">
      <c r="A5096" s="45" t="s">
        <v>41</v>
      </c>
      <c r="D5096" s="45" t="s">
        <v>7369</v>
      </c>
    </row>
    <row r="5097" spans="1:4" s="45" customFormat="1" ht="13.5" x14ac:dyDescent="0.15">
      <c r="A5097" s="45" t="s">
        <v>41</v>
      </c>
      <c r="D5097" s="45" t="s">
        <v>7370</v>
      </c>
    </row>
    <row r="5098" spans="1:4" s="45" customFormat="1" ht="13.5" x14ac:dyDescent="0.15">
      <c r="A5098" s="45" t="s">
        <v>41</v>
      </c>
      <c r="D5098" s="45" t="s">
        <v>7371</v>
      </c>
    </row>
    <row r="5099" spans="1:4" s="45" customFormat="1" ht="13.5" x14ac:dyDescent="0.15">
      <c r="A5099" s="45" t="s">
        <v>41</v>
      </c>
      <c r="D5099" s="45" t="s">
        <v>2627</v>
      </c>
    </row>
    <row r="5100" spans="1:4" s="45" customFormat="1" ht="13.5" x14ac:dyDescent="0.15">
      <c r="A5100" s="45" t="s">
        <v>41</v>
      </c>
      <c r="D5100" s="45" t="s">
        <v>7372</v>
      </c>
    </row>
    <row r="5101" spans="1:4" s="45" customFormat="1" ht="13.5" x14ac:dyDescent="0.15">
      <c r="A5101" s="45" t="s">
        <v>41</v>
      </c>
      <c r="D5101" s="45" t="s">
        <v>7373</v>
      </c>
    </row>
    <row r="5102" spans="1:4" s="45" customFormat="1" ht="13.5" x14ac:dyDescent="0.15">
      <c r="A5102" s="45" t="s">
        <v>41</v>
      </c>
      <c r="D5102" s="45" t="s">
        <v>1483</v>
      </c>
    </row>
    <row r="5103" spans="1:4" s="45" customFormat="1" ht="13.5" x14ac:dyDescent="0.15">
      <c r="A5103" s="45" t="s">
        <v>41</v>
      </c>
      <c r="D5103" s="45" t="s">
        <v>7374</v>
      </c>
    </row>
    <row r="5104" spans="1:4" s="45" customFormat="1" ht="13.5" x14ac:dyDescent="0.15">
      <c r="A5104" s="45" t="s">
        <v>41</v>
      </c>
      <c r="D5104" s="45" t="s">
        <v>7375</v>
      </c>
    </row>
    <row r="5105" spans="1:4" s="45" customFormat="1" ht="13.5" x14ac:dyDescent="0.15">
      <c r="A5105" s="45" t="s">
        <v>41</v>
      </c>
      <c r="D5105" s="45" t="s">
        <v>7376</v>
      </c>
    </row>
    <row r="5106" spans="1:4" s="45" customFormat="1" ht="13.5" x14ac:dyDescent="0.15">
      <c r="A5106" s="45" t="s">
        <v>41</v>
      </c>
      <c r="D5106" s="45" t="s">
        <v>7377</v>
      </c>
    </row>
    <row r="5107" spans="1:4" s="45" customFormat="1" ht="13.5" x14ac:dyDescent="0.15">
      <c r="A5107" s="45" t="s">
        <v>41</v>
      </c>
      <c r="D5107" s="45" t="s">
        <v>7378</v>
      </c>
    </row>
    <row r="5108" spans="1:4" s="45" customFormat="1" ht="13.5" x14ac:dyDescent="0.15">
      <c r="A5108" s="45" t="s">
        <v>41</v>
      </c>
      <c r="D5108" s="45" t="s">
        <v>7379</v>
      </c>
    </row>
    <row r="5109" spans="1:4" s="45" customFormat="1" ht="13.5" x14ac:dyDescent="0.15">
      <c r="A5109" s="45" t="s">
        <v>41</v>
      </c>
      <c r="D5109" s="45" t="s">
        <v>7380</v>
      </c>
    </row>
    <row r="5110" spans="1:4" s="45" customFormat="1" ht="13.5" x14ac:dyDescent="0.15">
      <c r="A5110" s="45" t="s">
        <v>41</v>
      </c>
      <c r="D5110" s="45" t="s">
        <v>7381</v>
      </c>
    </row>
    <row r="5111" spans="1:4" s="45" customFormat="1" ht="13.5" x14ac:dyDescent="0.15">
      <c r="A5111" s="45" t="s">
        <v>41</v>
      </c>
      <c r="D5111" s="45" t="s">
        <v>7382</v>
      </c>
    </row>
    <row r="5112" spans="1:4" s="45" customFormat="1" ht="13.5" x14ac:dyDescent="0.15">
      <c r="A5112" s="45" t="s">
        <v>41</v>
      </c>
      <c r="D5112" s="45" t="s">
        <v>2220</v>
      </c>
    </row>
    <row r="5113" spans="1:4" s="45" customFormat="1" ht="13.5" x14ac:dyDescent="0.15">
      <c r="A5113" s="45" t="s">
        <v>41</v>
      </c>
      <c r="D5113" s="45" t="s">
        <v>7383</v>
      </c>
    </row>
    <row r="5114" spans="1:4" s="45" customFormat="1" ht="13.5" x14ac:dyDescent="0.15">
      <c r="A5114" s="45" t="s">
        <v>41</v>
      </c>
      <c r="D5114" s="45" t="s">
        <v>7384</v>
      </c>
    </row>
    <row r="5115" spans="1:4" s="45" customFormat="1" ht="13.5" x14ac:dyDescent="0.15">
      <c r="A5115" s="45" t="s">
        <v>41</v>
      </c>
      <c r="D5115" s="45" t="s">
        <v>7385</v>
      </c>
    </row>
    <row r="5116" spans="1:4" s="45" customFormat="1" ht="13.5" x14ac:dyDescent="0.15">
      <c r="A5116" s="45" t="s">
        <v>41</v>
      </c>
      <c r="D5116" s="45" t="s">
        <v>620</v>
      </c>
    </row>
    <row r="5117" spans="1:4" s="45" customFormat="1" ht="13.5" x14ac:dyDescent="0.15">
      <c r="A5117" s="45" t="s">
        <v>41</v>
      </c>
      <c r="D5117" s="45" t="s">
        <v>7386</v>
      </c>
    </row>
    <row r="5118" spans="1:4" s="45" customFormat="1" ht="13.5" x14ac:dyDescent="0.15">
      <c r="A5118" s="45" t="s">
        <v>41</v>
      </c>
      <c r="D5118" s="45" t="s">
        <v>7387</v>
      </c>
    </row>
    <row r="5119" spans="1:4" s="45" customFormat="1" ht="13.5" x14ac:dyDescent="0.15">
      <c r="A5119" s="45" t="s">
        <v>41</v>
      </c>
      <c r="D5119" s="45" t="s">
        <v>7388</v>
      </c>
    </row>
    <row r="5120" spans="1:4" s="45" customFormat="1" ht="13.5" x14ac:dyDescent="0.15">
      <c r="A5120" s="45" t="s">
        <v>41</v>
      </c>
      <c r="D5120" s="45" t="s">
        <v>7389</v>
      </c>
    </row>
    <row r="5121" spans="1:4" s="45" customFormat="1" ht="13.5" x14ac:dyDescent="0.15">
      <c r="A5121" s="45" t="s">
        <v>41</v>
      </c>
      <c r="D5121" s="45" t="s">
        <v>7390</v>
      </c>
    </row>
    <row r="5122" spans="1:4" s="45" customFormat="1" ht="13.5" x14ac:dyDescent="0.15">
      <c r="A5122" s="45" t="s">
        <v>41</v>
      </c>
      <c r="D5122" s="45" t="s">
        <v>626</v>
      </c>
    </row>
    <row r="5123" spans="1:4" s="45" customFormat="1" ht="13.5" x14ac:dyDescent="0.15">
      <c r="A5123" s="45" t="s">
        <v>41</v>
      </c>
      <c r="D5123" s="45" t="s">
        <v>1019</v>
      </c>
    </row>
    <row r="5124" spans="1:4" s="45" customFormat="1" ht="13.5" x14ac:dyDescent="0.15">
      <c r="A5124" s="45" t="s">
        <v>41</v>
      </c>
      <c r="D5124" s="45" t="s">
        <v>7391</v>
      </c>
    </row>
    <row r="5125" spans="1:4" s="45" customFormat="1" ht="13.5" x14ac:dyDescent="0.15">
      <c r="A5125" s="45" t="s">
        <v>41</v>
      </c>
      <c r="D5125" s="45" t="s">
        <v>7392</v>
      </c>
    </row>
    <row r="5126" spans="1:4" s="45" customFormat="1" ht="13.5" x14ac:dyDescent="0.15">
      <c r="A5126" s="45" t="s">
        <v>41</v>
      </c>
      <c r="D5126" s="45" t="s">
        <v>1018</v>
      </c>
    </row>
    <row r="5127" spans="1:4" s="45" customFormat="1" ht="13.5" x14ac:dyDescent="0.15">
      <c r="A5127" s="45" t="s">
        <v>41</v>
      </c>
      <c r="D5127" s="45" t="s">
        <v>7393</v>
      </c>
    </row>
    <row r="5128" spans="1:4" s="45" customFormat="1" ht="13.5" x14ac:dyDescent="0.15">
      <c r="A5128" s="45" t="s">
        <v>41</v>
      </c>
      <c r="D5128" s="45" t="s">
        <v>7394</v>
      </c>
    </row>
    <row r="5129" spans="1:4" s="45" customFormat="1" ht="13.5" x14ac:dyDescent="0.15">
      <c r="A5129" s="45" t="s">
        <v>41</v>
      </c>
      <c r="D5129" s="45" t="s">
        <v>7395</v>
      </c>
    </row>
    <row r="5130" spans="1:4" s="45" customFormat="1" ht="13.5" x14ac:dyDescent="0.15">
      <c r="A5130" s="45" t="s">
        <v>41</v>
      </c>
      <c r="D5130" s="45" t="s">
        <v>1020</v>
      </c>
    </row>
    <row r="5131" spans="1:4" s="45" customFormat="1" ht="13.5" x14ac:dyDescent="0.15">
      <c r="A5131" s="45" t="s">
        <v>41</v>
      </c>
      <c r="D5131" s="45" t="s">
        <v>7396</v>
      </c>
    </row>
    <row r="5132" spans="1:4" s="45" customFormat="1" ht="13.5" x14ac:dyDescent="0.15">
      <c r="A5132" s="45" t="s">
        <v>41</v>
      </c>
      <c r="D5132" s="45" t="s">
        <v>1727</v>
      </c>
    </row>
    <row r="5133" spans="1:4" s="45" customFormat="1" ht="13.5" x14ac:dyDescent="0.15">
      <c r="A5133" s="45" t="s">
        <v>41</v>
      </c>
      <c r="D5133" s="45" t="s">
        <v>1728</v>
      </c>
    </row>
    <row r="5134" spans="1:4" s="45" customFormat="1" ht="13.5" x14ac:dyDescent="0.15">
      <c r="A5134" s="45" t="s">
        <v>41</v>
      </c>
      <c r="D5134" s="45" t="s">
        <v>7397</v>
      </c>
    </row>
    <row r="5135" spans="1:4" s="45" customFormat="1" ht="13.5" x14ac:dyDescent="0.15">
      <c r="A5135" s="45" t="s">
        <v>41</v>
      </c>
      <c r="D5135" s="45" t="s">
        <v>7398</v>
      </c>
    </row>
    <row r="5136" spans="1:4" s="45" customFormat="1" ht="13.5" x14ac:dyDescent="0.15">
      <c r="A5136" s="45" t="s">
        <v>41</v>
      </c>
      <c r="D5136" s="45" t="s">
        <v>7399</v>
      </c>
    </row>
    <row r="5137" spans="1:4" s="45" customFormat="1" ht="13.5" x14ac:dyDescent="0.15">
      <c r="A5137" s="45" t="s">
        <v>41</v>
      </c>
      <c r="D5137" s="45" t="s">
        <v>7400</v>
      </c>
    </row>
    <row r="5138" spans="1:4" s="45" customFormat="1" ht="13.5" x14ac:dyDescent="0.15">
      <c r="A5138" s="45" t="s">
        <v>41</v>
      </c>
      <c r="D5138" s="45" t="s">
        <v>7401</v>
      </c>
    </row>
    <row r="5139" spans="1:4" s="45" customFormat="1" ht="13.5" x14ac:dyDescent="0.15">
      <c r="A5139" s="45" t="s">
        <v>41</v>
      </c>
      <c r="D5139" s="45" t="s">
        <v>7402</v>
      </c>
    </row>
    <row r="5140" spans="1:4" s="45" customFormat="1" ht="13.5" x14ac:dyDescent="0.15">
      <c r="A5140" s="45" t="s">
        <v>41</v>
      </c>
      <c r="D5140" s="45" t="s">
        <v>1861</v>
      </c>
    </row>
    <row r="5141" spans="1:4" s="45" customFormat="1" ht="13.5" x14ac:dyDescent="0.15">
      <c r="A5141" s="45" t="s">
        <v>41</v>
      </c>
      <c r="D5141" s="45" t="s">
        <v>7403</v>
      </c>
    </row>
    <row r="5142" spans="1:4" s="45" customFormat="1" ht="13.5" x14ac:dyDescent="0.15">
      <c r="A5142" s="45" t="s">
        <v>41</v>
      </c>
      <c r="D5142" s="45" t="s">
        <v>7404</v>
      </c>
    </row>
    <row r="5143" spans="1:4" s="45" customFormat="1" ht="13.5" x14ac:dyDescent="0.15">
      <c r="A5143" s="45" t="s">
        <v>41</v>
      </c>
      <c r="D5143" s="45" t="s">
        <v>7405</v>
      </c>
    </row>
    <row r="5144" spans="1:4" s="45" customFormat="1" ht="13.5" x14ac:dyDescent="0.15">
      <c r="A5144" s="45" t="s">
        <v>41</v>
      </c>
      <c r="D5144" s="45" t="s">
        <v>7406</v>
      </c>
    </row>
    <row r="5145" spans="1:4" s="45" customFormat="1" ht="13.5" x14ac:dyDescent="0.15">
      <c r="A5145" s="45" t="s">
        <v>41</v>
      </c>
      <c r="D5145" s="45" t="s">
        <v>7407</v>
      </c>
    </row>
    <row r="5146" spans="1:4" s="45" customFormat="1" ht="13.5" x14ac:dyDescent="0.15">
      <c r="A5146" s="45" t="s">
        <v>41</v>
      </c>
      <c r="D5146" s="45" t="s">
        <v>881</v>
      </c>
    </row>
    <row r="5147" spans="1:4" s="45" customFormat="1" ht="13.5" x14ac:dyDescent="0.15">
      <c r="A5147" s="45" t="s">
        <v>41</v>
      </c>
      <c r="D5147" s="45" t="s">
        <v>2104</v>
      </c>
    </row>
    <row r="5148" spans="1:4" s="45" customFormat="1" ht="13.5" x14ac:dyDescent="0.15">
      <c r="A5148" s="45" t="s">
        <v>41</v>
      </c>
      <c r="D5148" s="45" t="s">
        <v>7408</v>
      </c>
    </row>
    <row r="5149" spans="1:4" s="45" customFormat="1" ht="13.5" x14ac:dyDescent="0.15">
      <c r="A5149" s="45" t="s">
        <v>41</v>
      </c>
      <c r="D5149" s="45" t="s">
        <v>7409</v>
      </c>
    </row>
    <row r="5150" spans="1:4" s="45" customFormat="1" ht="13.5" x14ac:dyDescent="0.15">
      <c r="A5150" s="45" t="s">
        <v>41</v>
      </c>
      <c r="D5150" s="45" t="s">
        <v>810</v>
      </c>
    </row>
    <row r="5151" spans="1:4" s="45" customFormat="1" ht="13.5" x14ac:dyDescent="0.15">
      <c r="A5151" s="45" t="s">
        <v>41</v>
      </c>
      <c r="D5151" s="45" t="s">
        <v>7410</v>
      </c>
    </row>
    <row r="5152" spans="1:4" s="45" customFormat="1" ht="13.5" x14ac:dyDescent="0.15">
      <c r="A5152" s="45" t="s">
        <v>41</v>
      </c>
      <c r="D5152" s="45" t="s">
        <v>7411</v>
      </c>
    </row>
    <row r="5153" spans="1:4" s="45" customFormat="1" ht="13.5" x14ac:dyDescent="0.15">
      <c r="A5153" s="45" t="s">
        <v>41</v>
      </c>
      <c r="D5153" s="45" t="s">
        <v>7412</v>
      </c>
    </row>
    <row r="5154" spans="1:4" s="45" customFormat="1" ht="13.5" x14ac:dyDescent="0.15">
      <c r="A5154" s="45" t="s">
        <v>41</v>
      </c>
      <c r="D5154" s="45" t="s">
        <v>7413</v>
      </c>
    </row>
    <row r="5155" spans="1:4" s="45" customFormat="1" ht="13.5" x14ac:dyDescent="0.15">
      <c r="A5155" s="45" t="s">
        <v>41</v>
      </c>
      <c r="D5155" s="45" t="s">
        <v>811</v>
      </c>
    </row>
    <row r="5156" spans="1:4" s="45" customFormat="1" ht="13.5" x14ac:dyDescent="0.15">
      <c r="A5156" s="45" t="s">
        <v>41</v>
      </c>
      <c r="D5156" s="45" t="s">
        <v>7414</v>
      </c>
    </row>
    <row r="5157" spans="1:4" s="45" customFormat="1" ht="13.5" x14ac:dyDescent="0.15">
      <c r="A5157" s="45" t="s">
        <v>41</v>
      </c>
      <c r="D5157" s="45" t="s">
        <v>7415</v>
      </c>
    </row>
    <row r="5158" spans="1:4" s="45" customFormat="1" ht="13.5" x14ac:dyDescent="0.15">
      <c r="A5158" s="45" t="s">
        <v>41</v>
      </c>
      <c r="D5158" s="45" t="s">
        <v>7416</v>
      </c>
    </row>
    <row r="5159" spans="1:4" s="45" customFormat="1" ht="13.5" x14ac:dyDescent="0.15">
      <c r="A5159" s="45" t="s">
        <v>41</v>
      </c>
      <c r="D5159" s="45" t="s">
        <v>7417</v>
      </c>
    </row>
    <row r="5160" spans="1:4" s="45" customFormat="1" ht="13.5" x14ac:dyDescent="0.15">
      <c r="A5160" s="45" t="s">
        <v>41</v>
      </c>
      <c r="D5160" s="45" t="s">
        <v>7418</v>
      </c>
    </row>
    <row r="5161" spans="1:4" s="45" customFormat="1" ht="13.5" x14ac:dyDescent="0.15">
      <c r="A5161" s="45" t="s">
        <v>41</v>
      </c>
      <c r="D5161" s="45" t="s">
        <v>7419</v>
      </c>
    </row>
    <row r="5162" spans="1:4" s="45" customFormat="1" ht="13.5" x14ac:dyDescent="0.15">
      <c r="A5162" s="45" t="s">
        <v>41</v>
      </c>
      <c r="D5162" s="45" t="s">
        <v>7420</v>
      </c>
    </row>
    <row r="5163" spans="1:4" s="45" customFormat="1" ht="13.5" x14ac:dyDescent="0.15">
      <c r="A5163" s="45" t="s">
        <v>41</v>
      </c>
      <c r="D5163" s="45" t="s">
        <v>1976</v>
      </c>
    </row>
    <row r="5164" spans="1:4" s="45" customFormat="1" ht="13.5" x14ac:dyDescent="0.15">
      <c r="A5164" s="45" t="s">
        <v>41</v>
      </c>
      <c r="D5164" s="45" t="s">
        <v>7421</v>
      </c>
    </row>
    <row r="5165" spans="1:4" s="45" customFormat="1" ht="13.5" x14ac:dyDescent="0.15">
      <c r="A5165" s="45" t="s">
        <v>41</v>
      </c>
      <c r="D5165" s="45" t="s">
        <v>7422</v>
      </c>
    </row>
    <row r="5166" spans="1:4" s="45" customFormat="1" ht="13.5" x14ac:dyDescent="0.15">
      <c r="A5166" s="45" t="s">
        <v>41</v>
      </c>
      <c r="D5166" s="45" t="s">
        <v>7423</v>
      </c>
    </row>
    <row r="5167" spans="1:4" s="45" customFormat="1" ht="13.5" x14ac:dyDescent="0.15">
      <c r="A5167" s="45" t="s">
        <v>41</v>
      </c>
      <c r="D5167" s="45" t="s">
        <v>7424</v>
      </c>
    </row>
    <row r="5168" spans="1:4" s="45" customFormat="1" ht="13.5" x14ac:dyDescent="0.15">
      <c r="A5168" s="45" t="s">
        <v>41</v>
      </c>
      <c r="D5168" s="45" t="s">
        <v>7425</v>
      </c>
    </row>
    <row r="5169" spans="1:4" s="45" customFormat="1" ht="13.5" x14ac:dyDescent="0.15">
      <c r="A5169" s="45" t="s">
        <v>41</v>
      </c>
      <c r="D5169" s="45" t="s">
        <v>7426</v>
      </c>
    </row>
    <row r="5170" spans="1:4" s="45" customFormat="1" ht="13.5" x14ac:dyDescent="0.15">
      <c r="A5170" s="45" t="s">
        <v>41</v>
      </c>
      <c r="D5170" s="45" t="s">
        <v>7427</v>
      </c>
    </row>
    <row r="5171" spans="1:4" s="45" customFormat="1" ht="13.5" x14ac:dyDescent="0.15">
      <c r="A5171" s="45" t="s">
        <v>41</v>
      </c>
      <c r="D5171" s="45" t="s">
        <v>7428</v>
      </c>
    </row>
    <row r="5172" spans="1:4" s="45" customFormat="1" ht="13.5" x14ac:dyDescent="0.15">
      <c r="A5172" s="45" t="s">
        <v>41</v>
      </c>
      <c r="D5172" s="45" t="s">
        <v>1750</v>
      </c>
    </row>
    <row r="5173" spans="1:4" s="45" customFormat="1" ht="13.5" x14ac:dyDescent="0.15">
      <c r="A5173" s="45" t="s">
        <v>41</v>
      </c>
      <c r="D5173" s="45" t="s">
        <v>1751</v>
      </c>
    </row>
    <row r="5174" spans="1:4" s="45" customFormat="1" ht="13.5" x14ac:dyDescent="0.15">
      <c r="A5174" s="45" t="s">
        <v>41</v>
      </c>
      <c r="D5174" s="45" t="s">
        <v>9767</v>
      </c>
    </row>
    <row r="5175" spans="1:4" s="45" customFormat="1" ht="13.5" x14ac:dyDescent="0.15">
      <c r="A5175" s="45" t="s">
        <v>41</v>
      </c>
      <c r="D5175" s="45" t="s">
        <v>235</v>
      </c>
    </row>
    <row r="5176" spans="1:4" s="45" customFormat="1" ht="13.5" x14ac:dyDescent="0.15">
      <c r="A5176" s="45" t="s">
        <v>41</v>
      </c>
      <c r="D5176" s="45" t="s">
        <v>7429</v>
      </c>
    </row>
    <row r="5177" spans="1:4" s="45" customFormat="1" ht="13.5" x14ac:dyDescent="0.15">
      <c r="A5177" s="45" t="s">
        <v>41</v>
      </c>
      <c r="D5177" s="45" t="s">
        <v>7430</v>
      </c>
    </row>
    <row r="5178" spans="1:4" s="45" customFormat="1" ht="13.5" x14ac:dyDescent="0.15">
      <c r="A5178" s="45" t="s">
        <v>41</v>
      </c>
      <c r="D5178" s="45" t="s">
        <v>7431</v>
      </c>
    </row>
    <row r="5179" spans="1:4" s="45" customFormat="1" ht="13.5" x14ac:dyDescent="0.15">
      <c r="A5179" s="45" t="s">
        <v>41</v>
      </c>
      <c r="D5179" s="45" t="s">
        <v>7432</v>
      </c>
    </row>
    <row r="5180" spans="1:4" s="45" customFormat="1" ht="13.5" x14ac:dyDescent="0.15">
      <c r="A5180" s="45" t="s">
        <v>41</v>
      </c>
      <c r="D5180" s="45" t="s">
        <v>7433</v>
      </c>
    </row>
    <row r="5181" spans="1:4" s="45" customFormat="1" ht="13.5" x14ac:dyDescent="0.15">
      <c r="A5181" s="45" t="s">
        <v>41</v>
      </c>
      <c r="D5181" s="45" t="s">
        <v>1248</v>
      </c>
    </row>
    <row r="5182" spans="1:4" s="45" customFormat="1" ht="13.5" x14ac:dyDescent="0.15">
      <c r="A5182" s="45" t="s">
        <v>41</v>
      </c>
      <c r="D5182" s="45" t="s">
        <v>7434</v>
      </c>
    </row>
    <row r="5183" spans="1:4" s="45" customFormat="1" ht="13.5" x14ac:dyDescent="0.15">
      <c r="A5183" s="45" t="s">
        <v>41</v>
      </c>
      <c r="D5183" s="45" t="s">
        <v>7435</v>
      </c>
    </row>
    <row r="5184" spans="1:4" s="45" customFormat="1" ht="13.5" x14ac:dyDescent="0.15">
      <c r="A5184" s="45" t="s">
        <v>41</v>
      </c>
      <c r="D5184" s="45" t="s">
        <v>7436</v>
      </c>
    </row>
    <row r="5185" spans="1:4" s="45" customFormat="1" ht="13.5" x14ac:dyDescent="0.15">
      <c r="A5185" s="45" t="s">
        <v>41</v>
      </c>
      <c r="D5185" s="45" t="s">
        <v>7437</v>
      </c>
    </row>
    <row r="5186" spans="1:4" s="45" customFormat="1" ht="13.5" x14ac:dyDescent="0.15">
      <c r="A5186" s="45" t="s">
        <v>41</v>
      </c>
      <c r="D5186" s="45" t="s">
        <v>7438</v>
      </c>
    </row>
    <row r="5187" spans="1:4" s="45" customFormat="1" ht="13.5" x14ac:dyDescent="0.15">
      <c r="A5187" s="45" t="s">
        <v>41</v>
      </c>
      <c r="D5187" s="45" t="s">
        <v>7439</v>
      </c>
    </row>
    <row r="5188" spans="1:4" s="45" customFormat="1" ht="13.5" x14ac:dyDescent="0.15">
      <c r="A5188" s="45" t="s">
        <v>41</v>
      </c>
      <c r="D5188" s="45" t="s">
        <v>7440</v>
      </c>
    </row>
    <row r="5189" spans="1:4" s="45" customFormat="1" ht="13.5" x14ac:dyDescent="0.15">
      <c r="A5189" s="45" t="s">
        <v>41</v>
      </c>
      <c r="D5189" s="45" t="s">
        <v>7441</v>
      </c>
    </row>
    <row r="5190" spans="1:4" s="45" customFormat="1" ht="13.5" x14ac:dyDescent="0.15">
      <c r="A5190" s="45" t="s">
        <v>41</v>
      </c>
      <c r="D5190" s="45" t="s">
        <v>7442</v>
      </c>
    </row>
    <row r="5191" spans="1:4" s="45" customFormat="1" ht="13.5" x14ac:dyDescent="0.15">
      <c r="A5191" s="45" t="s">
        <v>41</v>
      </c>
      <c r="D5191" s="45" t="s">
        <v>7443</v>
      </c>
    </row>
    <row r="5192" spans="1:4" s="45" customFormat="1" ht="13.5" x14ac:dyDescent="0.15">
      <c r="A5192" s="45" t="s">
        <v>41</v>
      </c>
      <c r="D5192" s="45" t="s">
        <v>7444</v>
      </c>
    </row>
    <row r="5193" spans="1:4" s="45" customFormat="1" ht="13.5" x14ac:dyDescent="0.15">
      <c r="A5193" s="45" t="s">
        <v>41</v>
      </c>
      <c r="D5193" s="45" t="s">
        <v>2496</v>
      </c>
    </row>
    <row r="5194" spans="1:4" s="45" customFormat="1" ht="13.5" x14ac:dyDescent="0.15">
      <c r="A5194" s="45" t="s">
        <v>41</v>
      </c>
      <c r="D5194" s="45" t="s">
        <v>2495</v>
      </c>
    </row>
    <row r="5195" spans="1:4" s="45" customFormat="1" ht="13.5" x14ac:dyDescent="0.15">
      <c r="A5195" s="45" t="s">
        <v>41</v>
      </c>
      <c r="D5195" s="45" t="s">
        <v>2497</v>
      </c>
    </row>
    <row r="5196" spans="1:4" s="45" customFormat="1" ht="13.5" x14ac:dyDescent="0.15">
      <c r="A5196" s="45" t="s">
        <v>41</v>
      </c>
      <c r="D5196" s="45" t="s">
        <v>2619</v>
      </c>
    </row>
    <row r="5197" spans="1:4" s="45" customFormat="1" ht="13.5" x14ac:dyDescent="0.15">
      <c r="A5197" s="45" t="s">
        <v>41</v>
      </c>
      <c r="D5197" s="45" t="s">
        <v>2620</v>
      </c>
    </row>
    <row r="5198" spans="1:4" s="45" customFormat="1" ht="13.5" x14ac:dyDescent="0.15">
      <c r="A5198" s="45" t="s">
        <v>41</v>
      </c>
      <c r="D5198" s="45" t="s">
        <v>2472</v>
      </c>
    </row>
    <row r="5199" spans="1:4" s="45" customFormat="1" ht="13.5" x14ac:dyDescent="0.15">
      <c r="A5199" s="45" t="s">
        <v>41</v>
      </c>
      <c r="D5199" s="45" t="s">
        <v>7445</v>
      </c>
    </row>
    <row r="5200" spans="1:4" s="45" customFormat="1" ht="13.5" x14ac:dyDescent="0.15">
      <c r="A5200" s="45" t="s">
        <v>41</v>
      </c>
      <c r="D5200" s="45" t="s">
        <v>7446</v>
      </c>
    </row>
    <row r="5201" spans="1:4" s="45" customFormat="1" ht="13.5" x14ac:dyDescent="0.15">
      <c r="A5201" s="45" t="s">
        <v>41</v>
      </c>
      <c r="D5201" s="45" t="s">
        <v>7447</v>
      </c>
    </row>
    <row r="5202" spans="1:4" s="45" customFormat="1" ht="13.5" x14ac:dyDescent="0.15">
      <c r="A5202" s="45" t="s">
        <v>41</v>
      </c>
      <c r="D5202" s="45" t="s">
        <v>2186</v>
      </c>
    </row>
    <row r="5203" spans="1:4" s="45" customFormat="1" ht="13.5" x14ac:dyDescent="0.15">
      <c r="A5203" s="45" t="s">
        <v>41</v>
      </c>
      <c r="D5203" s="45" t="s">
        <v>7448</v>
      </c>
    </row>
    <row r="5204" spans="1:4" s="45" customFormat="1" ht="13.5" x14ac:dyDescent="0.15">
      <c r="A5204" s="45" t="s">
        <v>41</v>
      </c>
      <c r="D5204" s="45" t="s">
        <v>7449</v>
      </c>
    </row>
    <row r="5205" spans="1:4" s="45" customFormat="1" ht="13.5" x14ac:dyDescent="0.15">
      <c r="A5205" s="45" t="s">
        <v>41</v>
      </c>
      <c r="D5205" s="45" t="s">
        <v>1425</v>
      </c>
    </row>
    <row r="5206" spans="1:4" s="45" customFormat="1" ht="13.5" x14ac:dyDescent="0.15">
      <c r="A5206" s="45" t="s">
        <v>41</v>
      </c>
      <c r="D5206" s="45" t="s">
        <v>7450</v>
      </c>
    </row>
    <row r="5207" spans="1:4" s="45" customFormat="1" ht="13.5" x14ac:dyDescent="0.15">
      <c r="A5207" s="45" t="s">
        <v>41</v>
      </c>
      <c r="D5207" s="45" t="s">
        <v>7451</v>
      </c>
    </row>
    <row r="5208" spans="1:4" s="45" customFormat="1" ht="13.5" x14ac:dyDescent="0.15">
      <c r="A5208" s="45" t="s">
        <v>41</v>
      </c>
      <c r="D5208" s="45" t="s">
        <v>7452</v>
      </c>
    </row>
    <row r="5209" spans="1:4" s="45" customFormat="1" ht="13.5" x14ac:dyDescent="0.15">
      <c r="A5209" s="45" t="s">
        <v>41</v>
      </c>
      <c r="D5209" s="45" t="s">
        <v>7453</v>
      </c>
    </row>
    <row r="5210" spans="1:4" s="45" customFormat="1" ht="13.5" x14ac:dyDescent="0.15">
      <c r="A5210" s="45" t="s">
        <v>41</v>
      </c>
      <c r="D5210" s="45" t="s">
        <v>7454</v>
      </c>
    </row>
    <row r="5211" spans="1:4" s="45" customFormat="1" ht="13.5" x14ac:dyDescent="0.15">
      <c r="A5211" s="45" t="s">
        <v>41</v>
      </c>
      <c r="D5211" s="45" t="s">
        <v>1756</v>
      </c>
    </row>
    <row r="5212" spans="1:4" s="45" customFormat="1" ht="13.5" x14ac:dyDescent="0.15">
      <c r="A5212" s="45" t="s">
        <v>41</v>
      </c>
      <c r="D5212" s="45" t="s">
        <v>7455</v>
      </c>
    </row>
    <row r="5213" spans="1:4" s="45" customFormat="1" ht="13.5" x14ac:dyDescent="0.15">
      <c r="A5213" s="45" t="s">
        <v>41</v>
      </c>
      <c r="D5213" s="45" t="s">
        <v>7456</v>
      </c>
    </row>
    <row r="5214" spans="1:4" s="45" customFormat="1" ht="13.5" x14ac:dyDescent="0.15">
      <c r="A5214" s="45" t="s">
        <v>41</v>
      </c>
      <c r="D5214" s="45" t="s">
        <v>7457</v>
      </c>
    </row>
    <row r="5215" spans="1:4" s="45" customFormat="1" ht="13.5" x14ac:dyDescent="0.15">
      <c r="A5215" s="45" t="s">
        <v>41</v>
      </c>
      <c r="D5215" s="45" t="s">
        <v>7458</v>
      </c>
    </row>
    <row r="5216" spans="1:4" s="45" customFormat="1" ht="13.5" x14ac:dyDescent="0.15">
      <c r="A5216" s="45" t="s">
        <v>41</v>
      </c>
      <c r="D5216" s="45" t="s">
        <v>7459</v>
      </c>
    </row>
    <row r="5217" spans="1:4" s="45" customFormat="1" ht="13.5" x14ac:dyDescent="0.15">
      <c r="A5217" s="45" t="s">
        <v>41</v>
      </c>
      <c r="D5217" s="45" t="s">
        <v>7460</v>
      </c>
    </row>
    <row r="5218" spans="1:4" s="45" customFormat="1" ht="13.5" x14ac:dyDescent="0.15">
      <c r="A5218" s="45" t="s">
        <v>41</v>
      </c>
      <c r="D5218" s="45" t="s">
        <v>327</v>
      </c>
    </row>
    <row r="5219" spans="1:4" s="45" customFormat="1" ht="13.5" x14ac:dyDescent="0.15">
      <c r="A5219" s="45" t="s">
        <v>41</v>
      </c>
      <c r="D5219" s="45" t="s">
        <v>7461</v>
      </c>
    </row>
    <row r="5220" spans="1:4" s="45" customFormat="1" ht="13.5" x14ac:dyDescent="0.15">
      <c r="A5220" s="45" t="s">
        <v>41</v>
      </c>
      <c r="D5220" s="45" t="s">
        <v>7462</v>
      </c>
    </row>
    <row r="5221" spans="1:4" s="45" customFormat="1" ht="13.5" x14ac:dyDescent="0.15">
      <c r="A5221" s="45" t="s">
        <v>41</v>
      </c>
      <c r="D5221" s="45" t="s">
        <v>7463</v>
      </c>
    </row>
    <row r="5222" spans="1:4" s="45" customFormat="1" ht="13.5" x14ac:dyDescent="0.15">
      <c r="A5222" s="45" t="s">
        <v>41</v>
      </c>
      <c r="D5222" s="45" t="s">
        <v>7464</v>
      </c>
    </row>
    <row r="5223" spans="1:4" s="45" customFormat="1" ht="13.5" x14ac:dyDescent="0.15">
      <c r="A5223" s="45" t="s">
        <v>41</v>
      </c>
      <c r="D5223" s="45" t="s">
        <v>7465</v>
      </c>
    </row>
    <row r="5224" spans="1:4" s="45" customFormat="1" ht="13.5" x14ac:dyDescent="0.15">
      <c r="A5224" s="45" t="s">
        <v>41</v>
      </c>
      <c r="D5224" s="45" t="s">
        <v>7466</v>
      </c>
    </row>
    <row r="5225" spans="1:4" s="45" customFormat="1" ht="13.5" x14ac:dyDescent="0.15">
      <c r="A5225" s="45" t="s">
        <v>41</v>
      </c>
      <c r="D5225" s="45" t="s">
        <v>7467</v>
      </c>
    </row>
    <row r="5226" spans="1:4" s="45" customFormat="1" ht="13.5" x14ac:dyDescent="0.15">
      <c r="A5226" s="45" t="s">
        <v>41</v>
      </c>
      <c r="D5226" s="45" t="s">
        <v>2330</v>
      </c>
    </row>
    <row r="5227" spans="1:4" s="45" customFormat="1" ht="13.5" x14ac:dyDescent="0.15">
      <c r="A5227" s="45" t="s">
        <v>41</v>
      </c>
      <c r="D5227" s="45" t="s">
        <v>7468</v>
      </c>
    </row>
    <row r="5228" spans="1:4" s="45" customFormat="1" ht="13.5" x14ac:dyDescent="0.15">
      <c r="A5228" s="45" t="s">
        <v>41</v>
      </c>
      <c r="D5228" s="45" t="s">
        <v>7469</v>
      </c>
    </row>
    <row r="5229" spans="1:4" s="45" customFormat="1" ht="13.5" x14ac:dyDescent="0.15">
      <c r="A5229" s="45" t="s">
        <v>41</v>
      </c>
      <c r="D5229" s="45" t="s">
        <v>7470</v>
      </c>
    </row>
    <row r="5230" spans="1:4" s="45" customFormat="1" ht="13.5" x14ac:dyDescent="0.15">
      <c r="A5230" s="45" t="s">
        <v>41</v>
      </c>
      <c r="D5230" s="45" t="s">
        <v>2305</v>
      </c>
    </row>
    <row r="5231" spans="1:4" s="45" customFormat="1" ht="13.5" x14ac:dyDescent="0.15">
      <c r="A5231" s="45" t="s">
        <v>41</v>
      </c>
      <c r="D5231" s="45" t="s">
        <v>1567</v>
      </c>
    </row>
    <row r="5232" spans="1:4" s="45" customFormat="1" ht="13.5" x14ac:dyDescent="0.15">
      <c r="A5232" s="45" t="s">
        <v>41</v>
      </c>
      <c r="D5232" s="45" t="s">
        <v>7471</v>
      </c>
    </row>
    <row r="5233" spans="1:4" s="45" customFormat="1" ht="13.5" x14ac:dyDescent="0.15">
      <c r="A5233" s="45" t="s">
        <v>41</v>
      </c>
      <c r="D5233" s="45" t="s">
        <v>2313</v>
      </c>
    </row>
    <row r="5234" spans="1:4" s="45" customFormat="1" ht="13.5" x14ac:dyDescent="0.15">
      <c r="A5234" s="45" t="s">
        <v>41</v>
      </c>
      <c r="D5234" s="45" t="s">
        <v>2312</v>
      </c>
    </row>
    <row r="5235" spans="1:4" s="45" customFormat="1" ht="13.5" x14ac:dyDescent="0.15">
      <c r="A5235" s="45" t="s">
        <v>41</v>
      </c>
      <c r="D5235" s="45" t="s">
        <v>2311</v>
      </c>
    </row>
    <row r="5236" spans="1:4" s="45" customFormat="1" ht="13.5" x14ac:dyDescent="0.15">
      <c r="A5236" s="45" t="s">
        <v>41</v>
      </c>
      <c r="D5236" s="45" t="s">
        <v>7472</v>
      </c>
    </row>
    <row r="5237" spans="1:4" s="45" customFormat="1" ht="13.5" x14ac:dyDescent="0.15">
      <c r="A5237" s="45" t="s">
        <v>41</v>
      </c>
      <c r="D5237" s="45" t="s">
        <v>7473</v>
      </c>
    </row>
    <row r="5238" spans="1:4" s="45" customFormat="1" ht="13.5" x14ac:dyDescent="0.15">
      <c r="A5238" s="45" t="s">
        <v>41</v>
      </c>
      <c r="D5238" s="45" t="s">
        <v>7474</v>
      </c>
    </row>
    <row r="5239" spans="1:4" s="45" customFormat="1" ht="13.5" x14ac:dyDescent="0.15">
      <c r="A5239" s="45" t="s">
        <v>41</v>
      </c>
      <c r="D5239" s="45" t="s">
        <v>1381</v>
      </c>
    </row>
    <row r="5240" spans="1:4" s="45" customFormat="1" ht="13.5" x14ac:dyDescent="0.15">
      <c r="A5240" s="45" t="s">
        <v>41</v>
      </c>
      <c r="D5240" s="45" t="s">
        <v>7475</v>
      </c>
    </row>
    <row r="5241" spans="1:4" s="45" customFormat="1" ht="13.5" x14ac:dyDescent="0.15">
      <c r="A5241" s="45" t="s">
        <v>41</v>
      </c>
      <c r="D5241" s="45" t="s">
        <v>1382</v>
      </c>
    </row>
    <row r="5242" spans="1:4" s="45" customFormat="1" ht="13.5" x14ac:dyDescent="0.15">
      <c r="A5242" s="45" t="s">
        <v>41</v>
      </c>
      <c r="D5242" s="45" t="s">
        <v>1380</v>
      </c>
    </row>
    <row r="5243" spans="1:4" s="45" customFormat="1" ht="13.5" x14ac:dyDescent="0.15">
      <c r="A5243" s="45" t="s">
        <v>41</v>
      </c>
      <c r="D5243" s="45" t="s">
        <v>7476</v>
      </c>
    </row>
    <row r="5244" spans="1:4" s="45" customFormat="1" ht="13.5" x14ac:dyDescent="0.15">
      <c r="A5244" s="45" t="s">
        <v>41</v>
      </c>
      <c r="D5244" s="45" t="s">
        <v>7477</v>
      </c>
    </row>
    <row r="5245" spans="1:4" s="45" customFormat="1" ht="13.5" x14ac:dyDescent="0.15">
      <c r="A5245" s="45" t="s">
        <v>41</v>
      </c>
      <c r="D5245" s="45" t="s">
        <v>1376</v>
      </c>
    </row>
    <row r="5246" spans="1:4" s="45" customFormat="1" ht="13.5" x14ac:dyDescent="0.15">
      <c r="A5246" s="45" t="s">
        <v>41</v>
      </c>
      <c r="D5246" s="45" t="s">
        <v>7478</v>
      </c>
    </row>
    <row r="5247" spans="1:4" s="45" customFormat="1" ht="13.5" x14ac:dyDescent="0.15">
      <c r="A5247" s="45" t="s">
        <v>41</v>
      </c>
      <c r="D5247" s="45" t="s">
        <v>7479</v>
      </c>
    </row>
    <row r="5248" spans="1:4" s="45" customFormat="1" ht="13.5" x14ac:dyDescent="0.15">
      <c r="A5248" s="45" t="s">
        <v>41</v>
      </c>
      <c r="D5248" s="45" t="s">
        <v>7480</v>
      </c>
    </row>
    <row r="5249" spans="1:4" s="45" customFormat="1" ht="13.5" x14ac:dyDescent="0.15">
      <c r="A5249" s="45" t="s">
        <v>41</v>
      </c>
      <c r="D5249" s="45" t="s">
        <v>7481</v>
      </c>
    </row>
    <row r="5250" spans="1:4" s="45" customFormat="1" ht="13.5" x14ac:dyDescent="0.15">
      <c r="A5250" s="45" t="s">
        <v>41</v>
      </c>
      <c r="D5250" s="45" t="s">
        <v>7482</v>
      </c>
    </row>
    <row r="5251" spans="1:4" s="45" customFormat="1" ht="13.5" x14ac:dyDescent="0.15">
      <c r="A5251" s="45" t="s">
        <v>41</v>
      </c>
      <c r="D5251" s="45" t="s">
        <v>1356</v>
      </c>
    </row>
    <row r="5252" spans="1:4" s="45" customFormat="1" ht="13.5" x14ac:dyDescent="0.15">
      <c r="A5252" s="45" t="s">
        <v>41</v>
      </c>
      <c r="D5252" s="45" t="s">
        <v>1357</v>
      </c>
    </row>
    <row r="5253" spans="1:4" s="45" customFormat="1" ht="13.5" x14ac:dyDescent="0.15">
      <c r="A5253" s="45" t="s">
        <v>41</v>
      </c>
      <c r="D5253" s="45" t="s">
        <v>7483</v>
      </c>
    </row>
    <row r="5254" spans="1:4" s="45" customFormat="1" ht="13.5" x14ac:dyDescent="0.15">
      <c r="A5254" s="45" t="s">
        <v>41</v>
      </c>
      <c r="D5254" s="45" t="s">
        <v>7484</v>
      </c>
    </row>
    <row r="5255" spans="1:4" s="45" customFormat="1" ht="13.5" x14ac:dyDescent="0.15">
      <c r="A5255" s="45" t="s">
        <v>41</v>
      </c>
      <c r="D5255" s="45" t="s">
        <v>7485</v>
      </c>
    </row>
    <row r="5256" spans="1:4" s="45" customFormat="1" ht="13.5" x14ac:dyDescent="0.15">
      <c r="A5256" s="45" t="s">
        <v>41</v>
      </c>
      <c r="D5256" s="45" t="s">
        <v>7486</v>
      </c>
    </row>
    <row r="5257" spans="1:4" s="45" customFormat="1" ht="13.5" x14ac:dyDescent="0.15">
      <c r="A5257" s="45" t="s">
        <v>41</v>
      </c>
      <c r="D5257" s="45" t="s">
        <v>1358</v>
      </c>
    </row>
    <row r="5258" spans="1:4" s="45" customFormat="1" ht="13.5" x14ac:dyDescent="0.15">
      <c r="A5258" s="45" t="s">
        <v>41</v>
      </c>
      <c r="D5258" s="45" t="s">
        <v>7487</v>
      </c>
    </row>
    <row r="5259" spans="1:4" s="45" customFormat="1" ht="13.5" x14ac:dyDescent="0.15">
      <c r="A5259" s="45" t="s">
        <v>41</v>
      </c>
      <c r="D5259" s="45" t="s">
        <v>7488</v>
      </c>
    </row>
    <row r="5260" spans="1:4" s="45" customFormat="1" ht="13.5" x14ac:dyDescent="0.15">
      <c r="A5260" s="45" t="s">
        <v>41</v>
      </c>
      <c r="D5260" s="45" t="s">
        <v>7489</v>
      </c>
    </row>
    <row r="5261" spans="1:4" s="45" customFormat="1" ht="13.5" x14ac:dyDescent="0.15">
      <c r="A5261" s="45" t="s">
        <v>41</v>
      </c>
      <c r="D5261" s="45" t="s">
        <v>7490</v>
      </c>
    </row>
    <row r="5262" spans="1:4" s="45" customFormat="1" ht="13.5" x14ac:dyDescent="0.15">
      <c r="A5262" s="45" t="s">
        <v>41</v>
      </c>
      <c r="D5262" s="45" t="s">
        <v>7491</v>
      </c>
    </row>
    <row r="5263" spans="1:4" s="45" customFormat="1" ht="13.5" x14ac:dyDescent="0.15">
      <c r="A5263" s="45" t="s">
        <v>41</v>
      </c>
      <c r="D5263" s="45" t="s">
        <v>2310</v>
      </c>
    </row>
    <row r="5264" spans="1:4" s="45" customFormat="1" ht="13.5" x14ac:dyDescent="0.15">
      <c r="A5264" s="45" t="s">
        <v>41</v>
      </c>
      <c r="D5264" s="45" t="s">
        <v>7492</v>
      </c>
    </row>
    <row r="5265" spans="1:4" s="45" customFormat="1" ht="13.5" x14ac:dyDescent="0.15">
      <c r="A5265" s="45" t="s">
        <v>41</v>
      </c>
      <c r="D5265" s="45" t="s">
        <v>7493</v>
      </c>
    </row>
    <row r="5266" spans="1:4" s="45" customFormat="1" ht="13.5" x14ac:dyDescent="0.15">
      <c r="A5266" s="45" t="s">
        <v>41</v>
      </c>
      <c r="D5266" s="45" t="s">
        <v>7494</v>
      </c>
    </row>
    <row r="5267" spans="1:4" s="45" customFormat="1" ht="13.5" x14ac:dyDescent="0.15">
      <c r="A5267" s="45" t="s">
        <v>41</v>
      </c>
      <c r="D5267" s="45" t="s">
        <v>7495</v>
      </c>
    </row>
    <row r="5268" spans="1:4" s="45" customFormat="1" ht="13.5" x14ac:dyDescent="0.15">
      <c r="A5268" s="45" t="s">
        <v>41</v>
      </c>
      <c r="D5268" s="45" t="s">
        <v>7496</v>
      </c>
    </row>
    <row r="5269" spans="1:4" s="45" customFormat="1" ht="13.5" x14ac:dyDescent="0.15">
      <c r="A5269" s="45" t="s">
        <v>41</v>
      </c>
      <c r="D5269" s="45" t="s">
        <v>7497</v>
      </c>
    </row>
    <row r="5270" spans="1:4" s="45" customFormat="1" ht="13.5" x14ac:dyDescent="0.15">
      <c r="A5270" s="45" t="s">
        <v>41</v>
      </c>
      <c r="D5270" s="45" t="s">
        <v>1015</v>
      </c>
    </row>
    <row r="5271" spans="1:4" s="45" customFormat="1" ht="13.5" x14ac:dyDescent="0.15">
      <c r="A5271" s="45" t="s">
        <v>41</v>
      </c>
      <c r="D5271" s="45" t="s">
        <v>1012</v>
      </c>
    </row>
    <row r="5272" spans="1:4" s="45" customFormat="1" ht="13.5" x14ac:dyDescent="0.15">
      <c r="A5272" s="45" t="s">
        <v>41</v>
      </c>
      <c r="D5272" s="45" t="s">
        <v>7498</v>
      </c>
    </row>
    <row r="5273" spans="1:4" s="45" customFormat="1" ht="13.5" x14ac:dyDescent="0.15">
      <c r="A5273" s="45" t="s">
        <v>41</v>
      </c>
      <c r="D5273" s="45" t="s">
        <v>1013</v>
      </c>
    </row>
    <row r="5274" spans="1:4" s="45" customFormat="1" ht="13.5" x14ac:dyDescent="0.15">
      <c r="A5274" s="45" t="s">
        <v>41</v>
      </c>
      <c r="D5274" s="45" t="s">
        <v>7499</v>
      </c>
    </row>
    <row r="5275" spans="1:4" s="45" customFormat="1" ht="13.5" x14ac:dyDescent="0.15">
      <c r="A5275" s="45" t="s">
        <v>41</v>
      </c>
      <c r="D5275" s="45" t="s">
        <v>7500</v>
      </c>
    </row>
    <row r="5276" spans="1:4" s="45" customFormat="1" ht="13.5" x14ac:dyDescent="0.15">
      <c r="A5276" s="45" t="s">
        <v>41</v>
      </c>
      <c r="D5276" s="45" t="s">
        <v>7501</v>
      </c>
    </row>
    <row r="5277" spans="1:4" s="45" customFormat="1" ht="13.5" x14ac:dyDescent="0.15">
      <c r="A5277" s="45" t="s">
        <v>41</v>
      </c>
      <c r="D5277" s="45" t="s">
        <v>1011</v>
      </c>
    </row>
    <row r="5278" spans="1:4" s="45" customFormat="1" ht="13.5" x14ac:dyDescent="0.15">
      <c r="A5278" s="45" t="s">
        <v>41</v>
      </c>
      <c r="D5278" s="45" t="s">
        <v>7502</v>
      </c>
    </row>
    <row r="5279" spans="1:4" s="45" customFormat="1" ht="13.5" x14ac:dyDescent="0.15">
      <c r="A5279" s="45" t="s">
        <v>41</v>
      </c>
      <c r="D5279" s="45" t="s">
        <v>1014</v>
      </c>
    </row>
    <row r="5280" spans="1:4" s="45" customFormat="1" ht="13.5" x14ac:dyDescent="0.15">
      <c r="A5280" s="45" t="s">
        <v>41</v>
      </c>
      <c r="D5280" s="45" t="s">
        <v>1016</v>
      </c>
    </row>
    <row r="5281" spans="1:4" s="45" customFormat="1" ht="13.5" x14ac:dyDescent="0.15">
      <c r="A5281" s="45" t="s">
        <v>41</v>
      </c>
      <c r="D5281" s="45" t="s">
        <v>7503</v>
      </c>
    </row>
    <row r="5282" spans="1:4" s="45" customFormat="1" ht="13.5" x14ac:dyDescent="0.15">
      <c r="A5282" s="45" t="s">
        <v>41</v>
      </c>
      <c r="D5282" s="45" t="s">
        <v>7504</v>
      </c>
    </row>
    <row r="5283" spans="1:4" s="45" customFormat="1" ht="13.5" x14ac:dyDescent="0.15">
      <c r="A5283" s="45" t="s">
        <v>41</v>
      </c>
      <c r="D5283" s="45" t="s">
        <v>9768</v>
      </c>
    </row>
    <row r="5284" spans="1:4" s="45" customFormat="1" ht="13.5" x14ac:dyDescent="0.15">
      <c r="A5284" s="45" t="s">
        <v>41</v>
      </c>
      <c r="D5284" s="45" t="s">
        <v>7505</v>
      </c>
    </row>
    <row r="5285" spans="1:4" s="45" customFormat="1" ht="13.5" x14ac:dyDescent="0.15">
      <c r="A5285" s="45" t="s">
        <v>41</v>
      </c>
      <c r="D5285" s="45" t="s">
        <v>1095</v>
      </c>
    </row>
    <row r="5286" spans="1:4" s="45" customFormat="1" ht="13.5" x14ac:dyDescent="0.15">
      <c r="A5286" s="45" t="s">
        <v>41</v>
      </c>
      <c r="D5286" s="45" t="s">
        <v>7506</v>
      </c>
    </row>
    <row r="5287" spans="1:4" s="45" customFormat="1" ht="13.5" x14ac:dyDescent="0.15">
      <c r="A5287" s="45" t="s">
        <v>41</v>
      </c>
      <c r="D5287" s="45" t="s">
        <v>7507</v>
      </c>
    </row>
    <row r="5288" spans="1:4" s="45" customFormat="1" ht="13.5" x14ac:dyDescent="0.15">
      <c r="A5288" s="45" t="s">
        <v>41</v>
      </c>
      <c r="D5288" s="45" t="s">
        <v>7508</v>
      </c>
    </row>
    <row r="5289" spans="1:4" s="45" customFormat="1" ht="13.5" x14ac:dyDescent="0.15">
      <c r="A5289" s="45" t="s">
        <v>41</v>
      </c>
      <c r="D5289" s="45" t="s">
        <v>7509</v>
      </c>
    </row>
    <row r="5290" spans="1:4" s="45" customFormat="1" ht="13.5" x14ac:dyDescent="0.15">
      <c r="A5290" s="45" t="s">
        <v>41</v>
      </c>
      <c r="D5290" s="45" t="s">
        <v>7510</v>
      </c>
    </row>
    <row r="5291" spans="1:4" s="45" customFormat="1" ht="13.5" x14ac:dyDescent="0.15">
      <c r="A5291" s="45" t="s">
        <v>41</v>
      </c>
      <c r="D5291" s="45" t="s">
        <v>181</v>
      </c>
    </row>
    <row r="5292" spans="1:4" s="45" customFormat="1" ht="13.5" x14ac:dyDescent="0.15">
      <c r="A5292" s="45" t="s">
        <v>41</v>
      </c>
      <c r="D5292" s="45" t="s">
        <v>291</v>
      </c>
    </row>
    <row r="5293" spans="1:4" s="45" customFormat="1" ht="13.5" x14ac:dyDescent="0.15">
      <c r="A5293" s="45" t="s">
        <v>41</v>
      </c>
      <c r="D5293" s="45" t="s">
        <v>619</v>
      </c>
    </row>
    <row r="5294" spans="1:4" s="45" customFormat="1" ht="13.5" x14ac:dyDescent="0.15">
      <c r="A5294" s="45" t="s">
        <v>41</v>
      </c>
      <c r="D5294" s="45" t="s">
        <v>618</v>
      </c>
    </row>
    <row r="5295" spans="1:4" s="45" customFormat="1" ht="13.5" x14ac:dyDescent="0.15">
      <c r="A5295" s="45" t="s">
        <v>41</v>
      </c>
      <c r="D5295" s="45" t="s">
        <v>904</v>
      </c>
    </row>
    <row r="5296" spans="1:4" s="45" customFormat="1" ht="13.5" x14ac:dyDescent="0.15">
      <c r="A5296" s="45" t="s">
        <v>41</v>
      </c>
      <c r="D5296" s="45" t="s">
        <v>1377</v>
      </c>
    </row>
    <row r="5297" spans="1:4" s="45" customFormat="1" ht="13.5" x14ac:dyDescent="0.15">
      <c r="A5297" s="45" t="s">
        <v>41</v>
      </c>
      <c r="D5297" s="45" t="s">
        <v>2116</v>
      </c>
    </row>
    <row r="5298" spans="1:4" s="45" customFormat="1" ht="13.5" x14ac:dyDescent="0.15">
      <c r="A5298" s="45" t="s">
        <v>41</v>
      </c>
      <c r="D5298" s="45" t="s">
        <v>2432</v>
      </c>
    </row>
    <row r="5299" spans="1:4" s="45" customFormat="1" ht="13.5" x14ac:dyDescent="0.15">
      <c r="A5299" s="45" t="s">
        <v>41</v>
      </c>
      <c r="D5299" s="45" t="s">
        <v>7511</v>
      </c>
    </row>
    <row r="5300" spans="1:4" s="45" customFormat="1" ht="13.5" x14ac:dyDescent="0.15">
      <c r="A5300" s="45" t="s">
        <v>41</v>
      </c>
      <c r="D5300" s="45" t="s">
        <v>7512</v>
      </c>
    </row>
    <row r="5301" spans="1:4" s="45" customFormat="1" ht="13.5" x14ac:dyDescent="0.15">
      <c r="A5301" s="45" t="s">
        <v>41</v>
      </c>
      <c r="D5301" s="45" t="s">
        <v>7513</v>
      </c>
    </row>
    <row r="5302" spans="1:4" s="45" customFormat="1" ht="13.5" x14ac:dyDescent="0.15">
      <c r="A5302" s="45" t="s">
        <v>41</v>
      </c>
      <c r="D5302" s="45" t="s">
        <v>7514</v>
      </c>
    </row>
    <row r="5303" spans="1:4" s="45" customFormat="1" ht="13.5" x14ac:dyDescent="0.15">
      <c r="A5303" s="45" t="s">
        <v>41</v>
      </c>
      <c r="D5303" s="45" t="s">
        <v>7515</v>
      </c>
    </row>
    <row r="5304" spans="1:4" s="45" customFormat="1" ht="13.5" x14ac:dyDescent="0.15">
      <c r="A5304" s="45" t="s">
        <v>41</v>
      </c>
      <c r="D5304" s="45" t="s">
        <v>7516</v>
      </c>
    </row>
    <row r="5305" spans="1:4" s="45" customFormat="1" ht="13.5" x14ac:dyDescent="0.15">
      <c r="A5305" s="45" t="s">
        <v>41</v>
      </c>
      <c r="D5305" s="45" t="s">
        <v>7517</v>
      </c>
    </row>
    <row r="5306" spans="1:4" s="45" customFormat="1" ht="13.5" x14ac:dyDescent="0.15">
      <c r="A5306" s="45" t="s">
        <v>41</v>
      </c>
      <c r="D5306" s="45" t="s">
        <v>7518</v>
      </c>
    </row>
    <row r="5307" spans="1:4" s="45" customFormat="1" ht="13.5" x14ac:dyDescent="0.15">
      <c r="A5307" s="45" t="s">
        <v>41</v>
      </c>
      <c r="D5307" s="45" t="s">
        <v>402</v>
      </c>
    </row>
    <row r="5308" spans="1:4" s="45" customFormat="1" ht="13.5" x14ac:dyDescent="0.15">
      <c r="A5308" s="45" t="s">
        <v>41</v>
      </c>
      <c r="D5308" s="45" t="s">
        <v>7519</v>
      </c>
    </row>
    <row r="5309" spans="1:4" s="45" customFormat="1" ht="13.5" x14ac:dyDescent="0.15">
      <c r="A5309" s="45" t="s">
        <v>41</v>
      </c>
      <c r="D5309" s="45" t="s">
        <v>1788</v>
      </c>
    </row>
    <row r="5310" spans="1:4" s="45" customFormat="1" ht="13.5" x14ac:dyDescent="0.15">
      <c r="A5310" s="45" t="s">
        <v>41</v>
      </c>
      <c r="D5310" s="45" t="s">
        <v>1789</v>
      </c>
    </row>
    <row r="5311" spans="1:4" s="45" customFormat="1" ht="13.5" x14ac:dyDescent="0.15">
      <c r="A5311" s="45" t="s">
        <v>41</v>
      </c>
      <c r="D5311" s="45" t="s">
        <v>7520</v>
      </c>
    </row>
    <row r="5312" spans="1:4" s="45" customFormat="1" ht="13.5" x14ac:dyDescent="0.15">
      <c r="A5312" s="45" t="s">
        <v>41</v>
      </c>
      <c r="D5312" s="45" t="s">
        <v>7521</v>
      </c>
    </row>
    <row r="5313" spans="1:4" s="45" customFormat="1" ht="13.5" x14ac:dyDescent="0.15">
      <c r="A5313" s="45" t="s">
        <v>41</v>
      </c>
      <c r="D5313" s="45" t="s">
        <v>1795</v>
      </c>
    </row>
    <row r="5314" spans="1:4" s="45" customFormat="1" ht="13.5" x14ac:dyDescent="0.15">
      <c r="A5314" s="45" t="s">
        <v>41</v>
      </c>
      <c r="D5314" s="45" t="s">
        <v>7522</v>
      </c>
    </row>
    <row r="5315" spans="1:4" s="45" customFormat="1" ht="13.5" x14ac:dyDescent="0.15">
      <c r="A5315" s="45" t="s">
        <v>41</v>
      </c>
      <c r="D5315" s="45" t="s">
        <v>7523</v>
      </c>
    </row>
    <row r="5316" spans="1:4" s="45" customFormat="1" ht="13.5" x14ac:dyDescent="0.15">
      <c r="A5316" s="45" t="s">
        <v>41</v>
      </c>
      <c r="D5316" s="45" t="s">
        <v>7524</v>
      </c>
    </row>
    <row r="5317" spans="1:4" s="45" customFormat="1" ht="13.5" x14ac:dyDescent="0.15">
      <c r="A5317" s="45" t="s">
        <v>41</v>
      </c>
      <c r="D5317" s="45" t="s">
        <v>7525</v>
      </c>
    </row>
    <row r="5318" spans="1:4" s="45" customFormat="1" ht="13.5" x14ac:dyDescent="0.15">
      <c r="A5318" s="45" t="s">
        <v>41</v>
      </c>
      <c r="D5318" s="45" t="s">
        <v>7526</v>
      </c>
    </row>
    <row r="5319" spans="1:4" s="45" customFormat="1" ht="13.5" x14ac:dyDescent="0.15">
      <c r="A5319" s="45" t="s">
        <v>41</v>
      </c>
      <c r="D5319" s="45" t="s">
        <v>7527</v>
      </c>
    </row>
    <row r="5320" spans="1:4" s="45" customFormat="1" ht="13.5" x14ac:dyDescent="0.15">
      <c r="A5320" s="45" t="s">
        <v>41</v>
      </c>
      <c r="D5320" s="45" t="s">
        <v>7528</v>
      </c>
    </row>
    <row r="5321" spans="1:4" s="45" customFormat="1" ht="13.5" x14ac:dyDescent="0.15">
      <c r="A5321" s="45" t="s">
        <v>41</v>
      </c>
      <c r="D5321" s="45" t="s">
        <v>7529</v>
      </c>
    </row>
    <row r="5322" spans="1:4" s="45" customFormat="1" ht="13.5" x14ac:dyDescent="0.15">
      <c r="A5322" s="45" t="s">
        <v>41</v>
      </c>
      <c r="D5322" s="45" t="s">
        <v>7530</v>
      </c>
    </row>
    <row r="5323" spans="1:4" s="45" customFormat="1" ht="13.5" x14ac:dyDescent="0.15">
      <c r="A5323" s="45" t="s">
        <v>41</v>
      </c>
      <c r="D5323" s="45" t="s">
        <v>7531</v>
      </c>
    </row>
    <row r="5324" spans="1:4" s="45" customFormat="1" ht="13.5" x14ac:dyDescent="0.15">
      <c r="A5324" s="45" t="s">
        <v>41</v>
      </c>
      <c r="D5324" s="45" t="s">
        <v>7532</v>
      </c>
    </row>
    <row r="5325" spans="1:4" s="45" customFormat="1" ht="13.5" x14ac:dyDescent="0.15">
      <c r="A5325" s="45" t="s">
        <v>41</v>
      </c>
      <c r="D5325" s="45" t="s">
        <v>217</v>
      </c>
    </row>
    <row r="5326" spans="1:4" s="45" customFormat="1" ht="13.5" x14ac:dyDescent="0.15">
      <c r="A5326" s="45" t="s">
        <v>41</v>
      </c>
      <c r="D5326" s="45" t="s">
        <v>7533</v>
      </c>
    </row>
    <row r="5327" spans="1:4" s="45" customFormat="1" ht="13.5" x14ac:dyDescent="0.15">
      <c r="A5327" s="45" t="s">
        <v>41</v>
      </c>
      <c r="D5327" s="45" t="s">
        <v>7534</v>
      </c>
    </row>
    <row r="5328" spans="1:4" s="45" customFormat="1" ht="13.5" x14ac:dyDescent="0.15">
      <c r="A5328" s="45" t="s">
        <v>41</v>
      </c>
      <c r="D5328" s="45" t="s">
        <v>7535</v>
      </c>
    </row>
    <row r="5329" spans="1:4" s="45" customFormat="1" ht="13.5" x14ac:dyDescent="0.15">
      <c r="A5329" s="45" t="s">
        <v>41</v>
      </c>
      <c r="D5329" s="45" t="s">
        <v>7536</v>
      </c>
    </row>
    <row r="5330" spans="1:4" s="45" customFormat="1" ht="13.5" x14ac:dyDescent="0.15">
      <c r="A5330" s="45" t="s">
        <v>41</v>
      </c>
      <c r="D5330" s="45" t="s">
        <v>1769</v>
      </c>
    </row>
    <row r="5331" spans="1:4" s="45" customFormat="1" ht="13.5" x14ac:dyDescent="0.15">
      <c r="A5331" s="45" t="s">
        <v>41</v>
      </c>
      <c r="D5331" s="45" t="s">
        <v>7537</v>
      </c>
    </row>
    <row r="5332" spans="1:4" s="45" customFormat="1" ht="13.5" x14ac:dyDescent="0.15">
      <c r="A5332" s="45" t="s">
        <v>41</v>
      </c>
      <c r="D5332" s="45" t="s">
        <v>611</v>
      </c>
    </row>
    <row r="5333" spans="1:4" s="45" customFormat="1" ht="13.5" x14ac:dyDescent="0.15">
      <c r="A5333" s="45" t="s">
        <v>41</v>
      </c>
      <c r="D5333" s="45" t="s">
        <v>7538</v>
      </c>
    </row>
    <row r="5334" spans="1:4" s="45" customFormat="1" ht="13.5" x14ac:dyDescent="0.15">
      <c r="A5334" s="45" t="s">
        <v>41</v>
      </c>
      <c r="D5334" s="45" t="s">
        <v>7539</v>
      </c>
    </row>
    <row r="5335" spans="1:4" s="45" customFormat="1" ht="13.5" x14ac:dyDescent="0.15">
      <c r="A5335" s="45" t="s">
        <v>41</v>
      </c>
      <c r="D5335" s="45" t="s">
        <v>2422</v>
      </c>
    </row>
    <row r="5336" spans="1:4" s="45" customFormat="1" ht="13.5" x14ac:dyDescent="0.15">
      <c r="A5336" s="45" t="s">
        <v>41</v>
      </c>
      <c r="D5336" s="45" t="s">
        <v>7540</v>
      </c>
    </row>
    <row r="5337" spans="1:4" s="45" customFormat="1" ht="13.5" x14ac:dyDescent="0.15">
      <c r="A5337" s="45" t="s">
        <v>41</v>
      </c>
      <c r="D5337" s="45" t="s">
        <v>7541</v>
      </c>
    </row>
    <row r="5338" spans="1:4" s="45" customFormat="1" ht="13.5" x14ac:dyDescent="0.15">
      <c r="A5338" s="45" t="s">
        <v>41</v>
      </c>
      <c r="D5338" s="45" t="s">
        <v>7542</v>
      </c>
    </row>
    <row r="5339" spans="1:4" s="45" customFormat="1" ht="13.5" x14ac:dyDescent="0.15">
      <c r="A5339" s="45" t="s">
        <v>41</v>
      </c>
      <c r="D5339" s="45" t="s">
        <v>1426</v>
      </c>
    </row>
    <row r="5340" spans="1:4" s="45" customFormat="1" ht="13.5" x14ac:dyDescent="0.15">
      <c r="A5340" s="45" t="s">
        <v>41</v>
      </c>
      <c r="D5340" s="45" t="s">
        <v>7543</v>
      </c>
    </row>
    <row r="5341" spans="1:4" s="45" customFormat="1" ht="13.5" x14ac:dyDescent="0.15">
      <c r="A5341" s="45" t="s">
        <v>41</v>
      </c>
      <c r="D5341" s="45" t="s">
        <v>7544</v>
      </c>
    </row>
    <row r="5342" spans="1:4" s="45" customFormat="1" ht="13.5" x14ac:dyDescent="0.15">
      <c r="A5342" s="45" t="s">
        <v>41</v>
      </c>
      <c r="D5342" s="45" t="s">
        <v>7545</v>
      </c>
    </row>
    <row r="5343" spans="1:4" s="45" customFormat="1" ht="13.5" x14ac:dyDescent="0.15">
      <c r="A5343" s="45" t="s">
        <v>41</v>
      </c>
      <c r="D5343" s="45" t="s">
        <v>7546</v>
      </c>
    </row>
    <row r="5344" spans="1:4" s="45" customFormat="1" ht="13.5" x14ac:dyDescent="0.15">
      <c r="A5344" s="45" t="s">
        <v>41</v>
      </c>
      <c r="D5344" s="45" t="s">
        <v>7547</v>
      </c>
    </row>
    <row r="5345" spans="1:4" s="45" customFormat="1" ht="13.5" x14ac:dyDescent="0.15">
      <c r="A5345" s="45" t="s">
        <v>41</v>
      </c>
      <c r="D5345" s="45" t="s">
        <v>7548</v>
      </c>
    </row>
    <row r="5346" spans="1:4" s="45" customFormat="1" ht="13.5" x14ac:dyDescent="0.15">
      <c r="A5346" s="45" t="s">
        <v>41</v>
      </c>
      <c r="D5346" s="45" t="s">
        <v>7549</v>
      </c>
    </row>
    <row r="5347" spans="1:4" s="45" customFormat="1" ht="13.5" x14ac:dyDescent="0.15">
      <c r="A5347" s="45" t="s">
        <v>41</v>
      </c>
      <c r="D5347" s="45" t="s">
        <v>7550</v>
      </c>
    </row>
    <row r="5348" spans="1:4" s="45" customFormat="1" ht="13.5" x14ac:dyDescent="0.15">
      <c r="A5348" s="45" t="s">
        <v>41</v>
      </c>
      <c r="D5348" s="45" t="s">
        <v>7551</v>
      </c>
    </row>
    <row r="5349" spans="1:4" s="45" customFormat="1" ht="13.5" x14ac:dyDescent="0.15">
      <c r="A5349" s="45" t="s">
        <v>41</v>
      </c>
      <c r="D5349" s="45" t="s">
        <v>3796</v>
      </c>
    </row>
    <row r="5350" spans="1:4" s="45" customFormat="1" ht="13.5" x14ac:dyDescent="0.15">
      <c r="A5350" s="45" t="s">
        <v>41</v>
      </c>
      <c r="D5350" s="45" t="s">
        <v>2211</v>
      </c>
    </row>
    <row r="5351" spans="1:4" s="45" customFormat="1" ht="13.5" x14ac:dyDescent="0.15">
      <c r="A5351" s="45" t="s">
        <v>41</v>
      </c>
      <c r="D5351" s="45" t="s">
        <v>7552</v>
      </c>
    </row>
    <row r="5352" spans="1:4" s="45" customFormat="1" ht="13.5" x14ac:dyDescent="0.15">
      <c r="A5352" s="45" t="s">
        <v>41</v>
      </c>
      <c r="D5352" s="45" t="s">
        <v>1046</v>
      </c>
    </row>
    <row r="5353" spans="1:4" s="45" customFormat="1" ht="13.5" x14ac:dyDescent="0.15">
      <c r="A5353" s="45" t="s">
        <v>41</v>
      </c>
      <c r="D5353" s="45" t="s">
        <v>1048</v>
      </c>
    </row>
    <row r="5354" spans="1:4" s="45" customFormat="1" ht="13.5" x14ac:dyDescent="0.15">
      <c r="A5354" s="45" t="s">
        <v>41</v>
      </c>
      <c r="D5354" s="45" t="s">
        <v>7553</v>
      </c>
    </row>
    <row r="5355" spans="1:4" s="45" customFormat="1" ht="13.5" x14ac:dyDescent="0.15">
      <c r="A5355" s="45" t="s">
        <v>41</v>
      </c>
      <c r="D5355" s="45" t="s">
        <v>7554</v>
      </c>
    </row>
    <row r="5356" spans="1:4" s="45" customFormat="1" ht="13.5" x14ac:dyDescent="0.15">
      <c r="A5356" s="45" t="s">
        <v>41</v>
      </c>
      <c r="D5356" s="45" t="s">
        <v>7555</v>
      </c>
    </row>
    <row r="5357" spans="1:4" s="45" customFormat="1" ht="13.5" x14ac:dyDescent="0.15">
      <c r="A5357" s="45" t="s">
        <v>41</v>
      </c>
      <c r="D5357" s="45" t="s">
        <v>7556</v>
      </c>
    </row>
    <row r="5358" spans="1:4" s="45" customFormat="1" ht="13.5" x14ac:dyDescent="0.15">
      <c r="A5358" s="45" t="s">
        <v>41</v>
      </c>
      <c r="D5358" s="45" t="s">
        <v>7557</v>
      </c>
    </row>
    <row r="5359" spans="1:4" s="45" customFormat="1" ht="13.5" x14ac:dyDescent="0.15">
      <c r="A5359" s="45" t="s">
        <v>41</v>
      </c>
      <c r="D5359" s="45" t="s">
        <v>7558</v>
      </c>
    </row>
    <row r="5360" spans="1:4" s="45" customFormat="1" ht="13.5" x14ac:dyDescent="0.15">
      <c r="A5360" s="45" t="s">
        <v>41</v>
      </c>
      <c r="D5360" s="45" t="s">
        <v>7559</v>
      </c>
    </row>
    <row r="5361" spans="1:4" s="45" customFormat="1" ht="13.5" x14ac:dyDescent="0.15">
      <c r="A5361" s="45" t="s">
        <v>41</v>
      </c>
      <c r="D5361" s="45" t="s">
        <v>7560</v>
      </c>
    </row>
    <row r="5362" spans="1:4" s="45" customFormat="1" ht="13.5" x14ac:dyDescent="0.15">
      <c r="A5362" s="45" t="s">
        <v>41</v>
      </c>
      <c r="D5362" s="45" t="s">
        <v>7561</v>
      </c>
    </row>
    <row r="5363" spans="1:4" s="45" customFormat="1" ht="13.5" x14ac:dyDescent="0.15">
      <c r="A5363" s="45" t="s">
        <v>41</v>
      </c>
      <c r="D5363" s="45" t="s">
        <v>7562</v>
      </c>
    </row>
    <row r="5364" spans="1:4" s="45" customFormat="1" ht="13.5" x14ac:dyDescent="0.15">
      <c r="A5364" s="45" t="s">
        <v>41</v>
      </c>
      <c r="D5364" s="45" t="s">
        <v>7563</v>
      </c>
    </row>
    <row r="5365" spans="1:4" s="45" customFormat="1" ht="13.5" x14ac:dyDescent="0.15">
      <c r="A5365" s="45" t="s">
        <v>41</v>
      </c>
      <c r="D5365" s="45" t="s">
        <v>7564</v>
      </c>
    </row>
    <row r="5366" spans="1:4" s="45" customFormat="1" ht="13.5" x14ac:dyDescent="0.15">
      <c r="A5366" s="45" t="s">
        <v>41</v>
      </c>
      <c r="D5366" s="45" t="s">
        <v>7565</v>
      </c>
    </row>
    <row r="5367" spans="1:4" s="45" customFormat="1" ht="13.5" x14ac:dyDescent="0.15">
      <c r="A5367" s="45" t="s">
        <v>41</v>
      </c>
      <c r="D5367" s="45" t="s">
        <v>7566</v>
      </c>
    </row>
    <row r="5368" spans="1:4" s="45" customFormat="1" ht="13.5" x14ac:dyDescent="0.15">
      <c r="A5368" s="45" t="s">
        <v>41</v>
      </c>
      <c r="D5368" s="45" t="s">
        <v>7567</v>
      </c>
    </row>
    <row r="5369" spans="1:4" s="45" customFormat="1" ht="13.5" x14ac:dyDescent="0.15">
      <c r="A5369" s="45" t="s">
        <v>41</v>
      </c>
      <c r="D5369" s="45" t="s">
        <v>7568</v>
      </c>
    </row>
    <row r="5370" spans="1:4" s="45" customFormat="1" ht="13.5" x14ac:dyDescent="0.15">
      <c r="A5370" s="45" t="s">
        <v>41</v>
      </c>
      <c r="D5370" s="45" t="s">
        <v>7569</v>
      </c>
    </row>
    <row r="5371" spans="1:4" s="45" customFormat="1" ht="13.5" x14ac:dyDescent="0.15">
      <c r="A5371" s="45" t="s">
        <v>41</v>
      </c>
      <c r="D5371" s="45" t="s">
        <v>1047</v>
      </c>
    </row>
    <row r="5372" spans="1:4" s="45" customFormat="1" ht="13.5" x14ac:dyDescent="0.15">
      <c r="A5372" s="45" t="s">
        <v>41</v>
      </c>
      <c r="D5372" s="45" t="s">
        <v>7570</v>
      </c>
    </row>
    <row r="5373" spans="1:4" s="45" customFormat="1" ht="13.5" x14ac:dyDescent="0.15">
      <c r="A5373" s="45" t="s">
        <v>41</v>
      </c>
      <c r="D5373" s="45" t="s">
        <v>7571</v>
      </c>
    </row>
    <row r="5374" spans="1:4" s="45" customFormat="1" ht="13.5" x14ac:dyDescent="0.15">
      <c r="A5374" s="45" t="s">
        <v>41</v>
      </c>
      <c r="D5374" s="45" t="s">
        <v>7572</v>
      </c>
    </row>
    <row r="5375" spans="1:4" s="45" customFormat="1" ht="13.5" x14ac:dyDescent="0.15">
      <c r="A5375" s="45" t="s">
        <v>41</v>
      </c>
      <c r="D5375" s="45" t="s">
        <v>7573</v>
      </c>
    </row>
    <row r="5376" spans="1:4" s="45" customFormat="1" ht="13.5" x14ac:dyDescent="0.15">
      <c r="A5376" s="45" t="s">
        <v>41</v>
      </c>
      <c r="D5376" s="45" t="s">
        <v>1378</v>
      </c>
    </row>
    <row r="5377" spans="1:4" s="45" customFormat="1" ht="13.5" x14ac:dyDescent="0.15">
      <c r="A5377" s="45" t="s">
        <v>41</v>
      </c>
      <c r="D5377" s="45" t="s">
        <v>7574</v>
      </c>
    </row>
    <row r="5378" spans="1:4" s="45" customFormat="1" ht="13.5" x14ac:dyDescent="0.15">
      <c r="A5378" s="45" t="s">
        <v>41</v>
      </c>
      <c r="D5378" s="45" t="s">
        <v>1055</v>
      </c>
    </row>
    <row r="5379" spans="1:4" s="45" customFormat="1" ht="13.5" x14ac:dyDescent="0.15">
      <c r="A5379" s="45" t="s">
        <v>41</v>
      </c>
      <c r="D5379" s="45" t="s">
        <v>2082</v>
      </c>
    </row>
    <row r="5380" spans="1:4" s="45" customFormat="1" ht="13.5" x14ac:dyDescent="0.15">
      <c r="A5380" s="45" t="s">
        <v>41</v>
      </c>
      <c r="D5380" s="45" t="s">
        <v>2081</v>
      </c>
    </row>
    <row r="5381" spans="1:4" s="45" customFormat="1" ht="13.5" x14ac:dyDescent="0.15">
      <c r="A5381" s="45" t="s">
        <v>41</v>
      </c>
      <c r="D5381" s="45" t="s">
        <v>2080</v>
      </c>
    </row>
    <row r="5382" spans="1:4" s="45" customFormat="1" ht="13.5" x14ac:dyDescent="0.15">
      <c r="A5382" s="45" t="s">
        <v>41</v>
      </c>
      <c r="D5382" s="45" t="s">
        <v>7575</v>
      </c>
    </row>
    <row r="5383" spans="1:4" s="45" customFormat="1" ht="13.5" x14ac:dyDescent="0.15">
      <c r="A5383" s="45" t="s">
        <v>41</v>
      </c>
      <c r="D5383" s="45" t="s">
        <v>7576</v>
      </c>
    </row>
    <row r="5384" spans="1:4" s="45" customFormat="1" ht="13.5" x14ac:dyDescent="0.15">
      <c r="A5384" s="45" t="s">
        <v>41</v>
      </c>
      <c r="D5384" s="45" t="s">
        <v>7577</v>
      </c>
    </row>
    <row r="5385" spans="1:4" s="45" customFormat="1" ht="13.5" x14ac:dyDescent="0.15">
      <c r="A5385" s="45" t="s">
        <v>41</v>
      </c>
      <c r="D5385" s="45" t="s">
        <v>7578</v>
      </c>
    </row>
    <row r="5386" spans="1:4" s="45" customFormat="1" ht="13.5" x14ac:dyDescent="0.15">
      <c r="A5386" s="45" t="s">
        <v>41</v>
      </c>
      <c r="D5386" s="45" t="s">
        <v>7579</v>
      </c>
    </row>
    <row r="5387" spans="1:4" s="45" customFormat="1" ht="13.5" x14ac:dyDescent="0.15">
      <c r="A5387" s="45" t="s">
        <v>41</v>
      </c>
      <c r="D5387" s="45" t="s">
        <v>7580</v>
      </c>
    </row>
    <row r="5388" spans="1:4" s="45" customFormat="1" ht="13.5" x14ac:dyDescent="0.15">
      <c r="A5388" s="45" t="s">
        <v>41</v>
      </c>
      <c r="D5388" s="45" t="s">
        <v>7581</v>
      </c>
    </row>
    <row r="5389" spans="1:4" s="45" customFormat="1" ht="13.5" x14ac:dyDescent="0.15">
      <c r="A5389" s="45" t="s">
        <v>41</v>
      </c>
      <c r="D5389" s="45" t="s">
        <v>125</v>
      </c>
    </row>
    <row r="5390" spans="1:4" s="45" customFormat="1" ht="13.5" x14ac:dyDescent="0.15">
      <c r="A5390" s="45" t="s">
        <v>41</v>
      </c>
      <c r="D5390" s="45" t="s">
        <v>7582</v>
      </c>
    </row>
    <row r="5391" spans="1:4" s="45" customFormat="1" ht="13.5" x14ac:dyDescent="0.15">
      <c r="A5391" s="45" t="s">
        <v>41</v>
      </c>
      <c r="D5391" s="45" t="s">
        <v>7583</v>
      </c>
    </row>
    <row r="5392" spans="1:4" s="45" customFormat="1" ht="13.5" x14ac:dyDescent="0.15">
      <c r="A5392" s="45" t="s">
        <v>41</v>
      </c>
      <c r="D5392" s="45" t="s">
        <v>2095</v>
      </c>
    </row>
    <row r="5393" spans="1:4" s="45" customFormat="1" ht="13.5" x14ac:dyDescent="0.15">
      <c r="A5393" s="45" t="s">
        <v>41</v>
      </c>
      <c r="D5393" s="45" t="s">
        <v>7584</v>
      </c>
    </row>
    <row r="5394" spans="1:4" s="45" customFormat="1" ht="13.5" x14ac:dyDescent="0.15">
      <c r="A5394" s="45" t="s">
        <v>41</v>
      </c>
      <c r="D5394" s="45" t="s">
        <v>7585</v>
      </c>
    </row>
    <row r="5395" spans="1:4" s="45" customFormat="1" ht="13.5" x14ac:dyDescent="0.15">
      <c r="A5395" s="45" t="s">
        <v>41</v>
      </c>
      <c r="D5395" s="45" t="s">
        <v>7586</v>
      </c>
    </row>
    <row r="5396" spans="1:4" s="45" customFormat="1" ht="13.5" x14ac:dyDescent="0.15">
      <c r="A5396" s="45" t="s">
        <v>41</v>
      </c>
      <c r="D5396" s="45" t="s">
        <v>7587</v>
      </c>
    </row>
    <row r="5397" spans="1:4" s="45" customFormat="1" ht="13.5" x14ac:dyDescent="0.15">
      <c r="A5397" s="45" t="s">
        <v>41</v>
      </c>
      <c r="D5397" s="45" t="s">
        <v>7588</v>
      </c>
    </row>
    <row r="5398" spans="1:4" s="45" customFormat="1" ht="13.5" x14ac:dyDescent="0.15">
      <c r="A5398" s="45" t="s">
        <v>41</v>
      </c>
      <c r="D5398" s="45" t="s">
        <v>7589</v>
      </c>
    </row>
    <row r="5399" spans="1:4" s="45" customFormat="1" ht="13.5" x14ac:dyDescent="0.15">
      <c r="A5399" s="45" t="s">
        <v>41</v>
      </c>
      <c r="D5399" s="45" t="s">
        <v>7590</v>
      </c>
    </row>
    <row r="5400" spans="1:4" s="45" customFormat="1" ht="13.5" x14ac:dyDescent="0.15">
      <c r="A5400" s="45" t="s">
        <v>41</v>
      </c>
      <c r="D5400" s="45" t="s">
        <v>7591</v>
      </c>
    </row>
    <row r="5401" spans="1:4" s="45" customFormat="1" ht="13.5" x14ac:dyDescent="0.15">
      <c r="A5401" s="45" t="s">
        <v>41</v>
      </c>
      <c r="D5401" s="45" t="s">
        <v>7592</v>
      </c>
    </row>
    <row r="5402" spans="1:4" s="45" customFormat="1" ht="13.5" x14ac:dyDescent="0.15">
      <c r="A5402" s="45" t="s">
        <v>41</v>
      </c>
      <c r="D5402" s="45" t="s">
        <v>7593</v>
      </c>
    </row>
    <row r="5403" spans="1:4" s="45" customFormat="1" ht="13.5" x14ac:dyDescent="0.15">
      <c r="A5403" s="45" t="s">
        <v>41</v>
      </c>
      <c r="D5403" s="45" t="s">
        <v>7594</v>
      </c>
    </row>
    <row r="5404" spans="1:4" s="45" customFormat="1" ht="13.5" x14ac:dyDescent="0.15">
      <c r="A5404" s="45" t="s">
        <v>41</v>
      </c>
      <c r="D5404" s="45" t="s">
        <v>7595</v>
      </c>
    </row>
    <row r="5405" spans="1:4" s="45" customFormat="1" ht="13.5" x14ac:dyDescent="0.15">
      <c r="A5405" s="45" t="s">
        <v>41</v>
      </c>
      <c r="D5405" s="45" t="s">
        <v>7596</v>
      </c>
    </row>
    <row r="5406" spans="1:4" s="45" customFormat="1" ht="13.5" x14ac:dyDescent="0.15">
      <c r="A5406" s="45" t="s">
        <v>41</v>
      </c>
      <c r="D5406" s="45" t="s">
        <v>7597</v>
      </c>
    </row>
    <row r="5407" spans="1:4" s="45" customFormat="1" ht="13.5" x14ac:dyDescent="0.15">
      <c r="A5407" s="45" t="s">
        <v>41</v>
      </c>
      <c r="D5407" s="45" t="s">
        <v>492</v>
      </c>
    </row>
    <row r="5408" spans="1:4" s="45" customFormat="1" ht="13.5" x14ac:dyDescent="0.15">
      <c r="A5408" s="45" t="s">
        <v>41</v>
      </c>
      <c r="D5408" s="45" t="s">
        <v>489</v>
      </c>
    </row>
    <row r="5409" spans="1:4" s="45" customFormat="1" ht="13.5" x14ac:dyDescent="0.15">
      <c r="A5409" s="45" t="s">
        <v>41</v>
      </c>
      <c r="D5409" s="45" t="s">
        <v>490</v>
      </c>
    </row>
    <row r="5410" spans="1:4" s="45" customFormat="1" ht="13.5" x14ac:dyDescent="0.15">
      <c r="A5410" s="45" t="s">
        <v>41</v>
      </c>
      <c r="D5410" s="45" t="s">
        <v>491</v>
      </c>
    </row>
    <row r="5411" spans="1:4" s="45" customFormat="1" ht="13.5" x14ac:dyDescent="0.15">
      <c r="A5411" s="45" t="s">
        <v>41</v>
      </c>
      <c r="D5411" s="45" t="s">
        <v>495</v>
      </c>
    </row>
    <row r="5412" spans="1:4" s="45" customFormat="1" ht="13.5" x14ac:dyDescent="0.15">
      <c r="A5412" s="45" t="s">
        <v>41</v>
      </c>
      <c r="D5412" s="45" t="s">
        <v>494</v>
      </c>
    </row>
    <row r="5413" spans="1:4" s="45" customFormat="1" ht="13.5" x14ac:dyDescent="0.15">
      <c r="A5413" s="45" t="s">
        <v>41</v>
      </c>
      <c r="D5413" s="45" t="s">
        <v>496</v>
      </c>
    </row>
    <row r="5414" spans="1:4" s="45" customFormat="1" ht="13.5" x14ac:dyDescent="0.15">
      <c r="A5414" s="45" t="s">
        <v>41</v>
      </c>
      <c r="D5414" s="45" t="s">
        <v>488</v>
      </c>
    </row>
    <row r="5415" spans="1:4" s="45" customFormat="1" ht="13.5" x14ac:dyDescent="0.15">
      <c r="A5415" s="45" t="s">
        <v>41</v>
      </c>
      <c r="D5415" s="45" t="s">
        <v>7598</v>
      </c>
    </row>
    <row r="5416" spans="1:4" s="45" customFormat="1" ht="13.5" x14ac:dyDescent="0.15">
      <c r="A5416" s="45" t="s">
        <v>41</v>
      </c>
      <c r="D5416" s="45" t="s">
        <v>493</v>
      </c>
    </row>
    <row r="5417" spans="1:4" s="45" customFormat="1" ht="13.5" x14ac:dyDescent="0.15">
      <c r="A5417" s="45" t="s">
        <v>41</v>
      </c>
      <c r="D5417" s="45" t="s">
        <v>2340</v>
      </c>
    </row>
    <row r="5418" spans="1:4" s="45" customFormat="1" ht="13.5" x14ac:dyDescent="0.15">
      <c r="A5418" s="45" t="s">
        <v>41</v>
      </c>
      <c r="D5418" s="45" t="s">
        <v>7599</v>
      </c>
    </row>
    <row r="5419" spans="1:4" s="45" customFormat="1" ht="13.5" x14ac:dyDescent="0.15">
      <c r="A5419" s="45" t="s">
        <v>41</v>
      </c>
      <c r="D5419" s="45" t="s">
        <v>1370</v>
      </c>
    </row>
    <row r="5420" spans="1:4" s="45" customFormat="1" ht="13.5" x14ac:dyDescent="0.15">
      <c r="A5420" s="45" t="s">
        <v>41</v>
      </c>
      <c r="D5420" s="45" t="s">
        <v>7600</v>
      </c>
    </row>
    <row r="5421" spans="1:4" s="45" customFormat="1" ht="13.5" x14ac:dyDescent="0.15">
      <c r="A5421" s="45" t="s">
        <v>41</v>
      </c>
      <c r="D5421" s="45" t="s">
        <v>7601</v>
      </c>
    </row>
    <row r="5422" spans="1:4" s="45" customFormat="1" ht="13.5" x14ac:dyDescent="0.15">
      <c r="A5422" s="45" t="s">
        <v>41</v>
      </c>
      <c r="D5422" s="45" t="s">
        <v>7602</v>
      </c>
    </row>
    <row r="5423" spans="1:4" s="45" customFormat="1" ht="13.5" x14ac:dyDescent="0.15">
      <c r="A5423" s="45" t="s">
        <v>41</v>
      </c>
      <c r="D5423" s="45" t="s">
        <v>347</v>
      </c>
    </row>
    <row r="5424" spans="1:4" s="45" customFormat="1" ht="13.5" x14ac:dyDescent="0.15">
      <c r="A5424" s="45" t="s">
        <v>41</v>
      </c>
      <c r="D5424" s="45" t="s">
        <v>9769</v>
      </c>
    </row>
    <row r="5425" spans="1:4" s="45" customFormat="1" ht="13.5" x14ac:dyDescent="0.15">
      <c r="A5425" s="45" t="s">
        <v>41</v>
      </c>
      <c r="D5425" s="45" t="s">
        <v>7603</v>
      </c>
    </row>
    <row r="5426" spans="1:4" s="45" customFormat="1" ht="13.5" x14ac:dyDescent="0.15">
      <c r="A5426" s="45" t="s">
        <v>41</v>
      </c>
      <c r="D5426" s="45" t="s">
        <v>7604</v>
      </c>
    </row>
    <row r="5427" spans="1:4" s="45" customFormat="1" ht="13.5" x14ac:dyDescent="0.15">
      <c r="A5427" s="45" t="s">
        <v>41</v>
      </c>
      <c r="D5427" s="45" t="s">
        <v>343</v>
      </c>
    </row>
    <row r="5428" spans="1:4" s="45" customFormat="1" ht="13.5" x14ac:dyDescent="0.15">
      <c r="A5428" s="45" t="s">
        <v>41</v>
      </c>
      <c r="D5428" s="45" t="s">
        <v>7605</v>
      </c>
    </row>
    <row r="5429" spans="1:4" s="45" customFormat="1" ht="13.5" x14ac:dyDescent="0.15">
      <c r="A5429" s="45" t="s">
        <v>41</v>
      </c>
      <c r="D5429" s="45" t="s">
        <v>345</v>
      </c>
    </row>
    <row r="5430" spans="1:4" s="45" customFormat="1" ht="13.5" x14ac:dyDescent="0.15">
      <c r="A5430" s="45" t="s">
        <v>41</v>
      </c>
      <c r="D5430" s="45" t="s">
        <v>344</v>
      </c>
    </row>
    <row r="5431" spans="1:4" s="45" customFormat="1" ht="13.5" x14ac:dyDescent="0.15">
      <c r="A5431" s="45" t="s">
        <v>41</v>
      </c>
      <c r="D5431" s="45" t="s">
        <v>7606</v>
      </c>
    </row>
    <row r="5432" spans="1:4" s="45" customFormat="1" ht="13.5" x14ac:dyDescent="0.15">
      <c r="A5432" s="45" t="s">
        <v>41</v>
      </c>
      <c r="D5432" s="45" t="s">
        <v>9770</v>
      </c>
    </row>
    <row r="5433" spans="1:4" s="45" customFormat="1" ht="13.5" x14ac:dyDescent="0.15">
      <c r="A5433" s="45" t="s">
        <v>41</v>
      </c>
      <c r="D5433" s="45" t="s">
        <v>346</v>
      </c>
    </row>
    <row r="5434" spans="1:4" s="45" customFormat="1" ht="13.5" x14ac:dyDescent="0.15">
      <c r="A5434" s="45" t="s">
        <v>41</v>
      </c>
      <c r="D5434" s="45" t="s">
        <v>9771</v>
      </c>
    </row>
    <row r="5435" spans="1:4" s="45" customFormat="1" ht="13.5" x14ac:dyDescent="0.15">
      <c r="A5435" s="45" t="s">
        <v>41</v>
      </c>
      <c r="D5435" s="45" t="s">
        <v>7607</v>
      </c>
    </row>
    <row r="5436" spans="1:4" s="45" customFormat="1" ht="13.5" x14ac:dyDescent="0.15">
      <c r="A5436" s="45" t="s">
        <v>41</v>
      </c>
      <c r="D5436" s="45" t="s">
        <v>7608</v>
      </c>
    </row>
    <row r="5437" spans="1:4" s="45" customFormat="1" ht="13.5" x14ac:dyDescent="0.15">
      <c r="A5437" s="45" t="s">
        <v>41</v>
      </c>
      <c r="D5437" s="45" t="s">
        <v>7609</v>
      </c>
    </row>
    <row r="5438" spans="1:4" s="45" customFormat="1" ht="13.5" x14ac:dyDescent="0.15">
      <c r="A5438" s="45" t="s">
        <v>41</v>
      </c>
      <c r="D5438" s="45" t="s">
        <v>1621</v>
      </c>
    </row>
    <row r="5439" spans="1:4" s="45" customFormat="1" ht="13.5" x14ac:dyDescent="0.15">
      <c r="A5439" s="45" t="s">
        <v>41</v>
      </c>
      <c r="D5439" s="45" t="s">
        <v>1827</v>
      </c>
    </row>
    <row r="5440" spans="1:4" s="45" customFormat="1" ht="13.5" x14ac:dyDescent="0.15">
      <c r="A5440" s="45" t="s">
        <v>41</v>
      </c>
      <c r="D5440" s="45" t="s">
        <v>1705</v>
      </c>
    </row>
    <row r="5441" spans="1:4" s="45" customFormat="1" ht="13.5" x14ac:dyDescent="0.15">
      <c r="A5441" s="45" t="s">
        <v>41</v>
      </c>
      <c r="D5441" s="45" t="s">
        <v>1706</v>
      </c>
    </row>
    <row r="5442" spans="1:4" s="45" customFormat="1" ht="13.5" x14ac:dyDescent="0.15">
      <c r="A5442" s="45" t="s">
        <v>41</v>
      </c>
      <c r="D5442" s="45" t="s">
        <v>7610</v>
      </c>
    </row>
    <row r="5443" spans="1:4" s="45" customFormat="1" ht="13.5" x14ac:dyDescent="0.15">
      <c r="A5443" s="45" t="s">
        <v>41</v>
      </c>
      <c r="D5443" s="45" t="s">
        <v>1054</v>
      </c>
    </row>
    <row r="5444" spans="1:4" s="45" customFormat="1" ht="13.5" x14ac:dyDescent="0.15">
      <c r="A5444" s="45" t="s">
        <v>41</v>
      </c>
      <c r="D5444" s="45" t="s">
        <v>7611</v>
      </c>
    </row>
    <row r="5445" spans="1:4" s="45" customFormat="1" ht="13.5" x14ac:dyDescent="0.15">
      <c r="A5445" s="45" t="s">
        <v>41</v>
      </c>
      <c r="D5445" s="45" t="s">
        <v>7612</v>
      </c>
    </row>
    <row r="5446" spans="1:4" s="45" customFormat="1" ht="13.5" x14ac:dyDescent="0.15">
      <c r="A5446" s="45" t="s">
        <v>41</v>
      </c>
      <c r="D5446" s="45" t="s">
        <v>7613</v>
      </c>
    </row>
    <row r="5447" spans="1:4" s="45" customFormat="1" ht="13.5" x14ac:dyDescent="0.15">
      <c r="A5447" s="45" t="s">
        <v>41</v>
      </c>
      <c r="D5447" s="45" t="s">
        <v>7614</v>
      </c>
    </row>
    <row r="5448" spans="1:4" s="45" customFormat="1" ht="13.5" x14ac:dyDescent="0.15">
      <c r="A5448" s="45" t="s">
        <v>41</v>
      </c>
      <c r="D5448" s="45" t="s">
        <v>7615</v>
      </c>
    </row>
    <row r="5449" spans="1:4" s="45" customFormat="1" ht="13.5" x14ac:dyDescent="0.15">
      <c r="A5449" s="45" t="s">
        <v>41</v>
      </c>
      <c r="D5449" s="45" t="s">
        <v>1871</v>
      </c>
    </row>
    <row r="5450" spans="1:4" s="45" customFormat="1" ht="13.5" x14ac:dyDescent="0.15">
      <c r="A5450" s="45" t="s">
        <v>41</v>
      </c>
      <c r="D5450" s="45" t="s">
        <v>7616</v>
      </c>
    </row>
    <row r="5451" spans="1:4" s="45" customFormat="1" ht="13.5" x14ac:dyDescent="0.15">
      <c r="A5451" s="45" t="s">
        <v>41</v>
      </c>
      <c r="D5451" s="45" t="s">
        <v>7617</v>
      </c>
    </row>
    <row r="5452" spans="1:4" s="45" customFormat="1" ht="13.5" x14ac:dyDescent="0.15">
      <c r="A5452" s="45" t="s">
        <v>41</v>
      </c>
      <c r="D5452" s="45" t="s">
        <v>7618</v>
      </c>
    </row>
    <row r="5453" spans="1:4" s="45" customFormat="1" ht="13.5" x14ac:dyDescent="0.15">
      <c r="A5453" s="45" t="s">
        <v>41</v>
      </c>
      <c r="D5453" s="45" t="s">
        <v>7619</v>
      </c>
    </row>
    <row r="5454" spans="1:4" s="45" customFormat="1" ht="13.5" x14ac:dyDescent="0.15">
      <c r="A5454" s="45" t="s">
        <v>41</v>
      </c>
      <c r="D5454" s="45" t="s">
        <v>7620</v>
      </c>
    </row>
    <row r="5455" spans="1:4" s="45" customFormat="1" ht="13.5" x14ac:dyDescent="0.15">
      <c r="A5455" s="45" t="s">
        <v>41</v>
      </c>
      <c r="D5455" s="45" t="s">
        <v>7621</v>
      </c>
    </row>
    <row r="5456" spans="1:4" s="45" customFormat="1" ht="13.5" x14ac:dyDescent="0.15">
      <c r="A5456" s="45" t="s">
        <v>41</v>
      </c>
      <c r="D5456" s="45" t="s">
        <v>7622</v>
      </c>
    </row>
    <row r="5457" spans="1:4" s="45" customFormat="1" ht="13.5" x14ac:dyDescent="0.15">
      <c r="A5457" s="45" t="s">
        <v>41</v>
      </c>
      <c r="D5457" s="45" t="s">
        <v>1872</v>
      </c>
    </row>
    <row r="5458" spans="1:4" s="45" customFormat="1" ht="13.5" x14ac:dyDescent="0.15">
      <c r="A5458" s="45" t="s">
        <v>41</v>
      </c>
      <c r="D5458" s="45" t="s">
        <v>7623</v>
      </c>
    </row>
    <row r="5459" spans="1:4" s="45" customFormat="1" ht="13.5" x14ac:dyDescent="0.15">
      <c r="A5459" s="45" t="s">
        <v>41</v>
      </c>
      <c r="D5459" s="45" t="s">
        <v>7624</v>
      </c>
    </row>
    <row r="5460" spans="1:4" s="45" customFormat="1" ht="13.5" x14ac:dyDescent="0.15">
      <c r="A5460" s="45" t="s">
        <v>41</v>
      </c>
      <c r="D5460" s="45" t="s">
        <v>7625</v>
      </c>
    </row>
    <row r="5461" spans="1:4" s="45" customFormat="1" ht="13.5" x14ac:dyDescent="0.15">
      <c r="A5461" s="45" t="s">
        <v>41</v>
      </c>
      <c r="D5461" s="45" t="s">
        <v>7626</v>
      </c>
    </row>
    <row r="5462" spans="1:4" s="45" customFormat="1" ht="13.5" x14ac:dyDescent="0.15">
      <c r="A5462" s="45" t="s">
        <v>41</v>
      </c>
      <c r="D5462" s="45" t="s">
        <v>7627</v>
      </c>
    </row>
    <row r="5463" spans="1:4" s="45" customFormat="1" ht="13.5" x14ac:dyDescent="0.15">
      <c r="A5463" s="45" t="s">
        <v>41</v>
      </c>
      <c r="D5463" s="45" t="s">
        <v>7628</v>
      </c>
    </row>
    <row r="5464" spans="1:4" s="45" customFormat="1" ht="13.5" x14ac:dyDescent="0.15">
      <c r="A5464" s="45" t="s">
        <v>41</v>
      </c>
      <c r="D5464" s="45" t="s">
        <v>7629</v>
      </c>
    </row>
    <row r="5465" spans="1:4" s="45" customFormat="1" ht="13.5" x14ac:dyDescent="0.15">
      <c r="A5465" s="45" t="s">
        <v>41</v>
      </c>
      <c r="D5465" s="45" t="s">
        <v>7630</v>
      </c>
    </row>
    <row r="5466" spans="1:4" s="45" customFormat="1" ht="13.5" x14ac:dyDescent="0.15">
      <c r="A5466" s="45" t="s">
        <v>41</v>
      </c>
      <c r="D5466" s="45" t="s">
        <v>7631</v>
      </c>
    </row>
    <row r="5467" spans="1:4" s="45" customFormat="1" ht="13.5" x14ac:dyDescent="0.15">
      <c r="A5467" s="45" t="s">
        <v>41</v>
      </c>
      <c r="D5467" s="45" t="s">
        <v>7632</v>
      </c>
    </row>
    <row r="5468" spans="1:4" s="45" customFormat="1" ht="13.5" x14ac:dyDescent="0.15">
      <c r="A5468" s="45" t="s">
        <v>41</v>
      </c>
      <c r="D5468" s="45" t="s">
        <v>7633</v>
      </c>
    </row>
    <row r="5469" spans="1:4" s="45" customFormat="1" ht="13.5" x14ac:dyDescent="0.15">
      <c r="A5469" s="45" t="s">
        <v>41</v>
      </c>
      <c r="D5469" s="45" t="s">
        <v>2121</v>
      </c>
    </row>
    <row r="5470" spans="1:4" s="45" customFormat="1" ht="13.5" x14ac:dyDescent="0.15">
      <c r="A5470" s="45" t="s">
        <v>41</v>
      </c>
      <c r="D5470" s="45" t="s">
        <v>7634</v>
      </c>
    </row>
    <row r="5471" spans="1:4" s="45" customFormat="1" ht="13.5" x14ac:dyDescent="0.15">
      <c r="A5471" s="45" t="s">
        <v>41</v>
      </c>
      <c r="D5471" s="45" t="s">
        <v>7635</v>
      </c>
    </row>
    <row r="5472" spans="1:4" s="45" customFormat="1" ht="13.5" x14ac:dyDescent="0.15">
      <c r="A5472" s="45" t="s">
        <v>41</v>
      </c>
      <c r="D5472" s="45" t="s">
        <v>7636</v>
      </c>
    </row>
    <row r="5473" spans="1:4" s="45" customFormat="1" ht="13.5" x14ac:dyDescent="0.15">
      <c r="A5473" s="45" t="s">
        <v>41</v>
      </c>
      <c r="D5473" s="45" t="s">
        <v>1598</v>
      </c>
    </row>
    <row r="5474" spans="1:4" s="45" customFormat="1" ht="13.5" x14ac:dyDescent="0.15">
      <c r="A5474" s="45" t="s">
        <v>41</v>
      </c>
      <c r="D5474" s="45" t="s">
        <v>1599</v>
      </c>
    </row>
    <row r="5475" spans="1:4" s="45" customFormat="1" ht="13.5" x14ac:dyDescent="0.15">
      <c r="A5475" s="45" t="s">
        <v>41</v>
      </c>
      <c r="D5475" s="45" t="s">
        <v>7637</v>
      </c>
    </row>
    <row r="5476" spans="1:4" s="45" customFormat="1" ht="13.5" x14ac:dyDescent="0.15">
      <c r="A5476" s="45" t="s">
        <v>41</v>
      </c>
      <c r="D5476" s="45" t="s">
        <v>7638</v>
      </c>
    </row>
    <row r="5477" spans="1:4" s="45" customFormat="1" ht="13.5" x14ac:dyDescent="0.15">
      <c r="A5477" s="45" t="s">
        <v>41</v>
      </c>
      <c r="D5477" s="45" t="s">
        <v>1605</v>
      </c>
    </row>
    <row r="5478" spans="1:4" s="45" customFormat="1" ht="13.5" x14ac:dyDescent="0.15">
      <c r="A5478" s="45" t="s">
        <v>41</v>
      </c>
      <c r="D5478" s="45" t="s">
        <v>7639</v>
      </c>
    </row>
    <row r="5479" spans="1:4" s="45" customFormat="1" ht="13.5" x14ac:dyDescent="0.15">
      <c r="A5479" s="45" t="s">
        <v>41</v>
      </c>
      <c r="D5479" s="45" t="s">
        <v>1606</v>
      </c>
    </row>
    <row r="5480" spans="1:4" s="45" customFormat="1" ht="13.5" x14ac:dyDescent="0.15">
      <c r="A5480" s="45" t="s">
        <v>41</v>
      </c>
      <c r="D5480" s="45" t="s">
        <v>220</v>
      </c>
    </row>
    <row r="5481" spans="1:4" s="45" customFormat="1" ht="13.5" x14ac:dyDescent="0.15">
      <c r="A5481" s="45" t="s">
        <v>41</v>
      </c>
      <c r="D5481" s="45" t="s">
        <v>221</v>
      </c>
    </row>
    <row r="5482" spans="1:4" s="45" customFormat="1" ht="13.5" x14ac:dyDescent="0.15">
      <c r="A5482" s="45" t="s">
        <v>41</v>
      </c>
      <c r="D5482" s="45" t="s">
        <v>218</v>
      </c>
    </row>
    <row r="5483" spans="1:4" s="45" customFormat="1" ht="13.5" x14ac:dyDescent="0.15">
      <c r="A5483" s="45" t="s">
        <v>41</v>
      </c>
      <c r="D5483" s="45" t="s">
        <v>222</v>
      </c>
    </row>
    <row r="5484" spans="1:4" s="45" customFormat="1" ht="13.5" x14ac:dyDescent="0.15">
      <c r="A5484" s="45" t="s">
        <v>41</v>
      </c>
      <c r="D5484" s="45" t="s">
        <v>7640</v>
      </c>
    </row>
    <row r="5485" spans="1:4" s="45" customFormat="1" ht="13.5" x14ac:dyDescent="0.15">
      <c r="A5485" s="45" t="s">
        <v>41</v>
      </c>
      <c r="D5485" s="45" t="s">
        <v>7641</v>
      </c>
    </row>
    <row r="5486" spans="1:4" s="45" customFormat="1" ht="13.5" x14ac:dyDescent="0.15">
      <c r="A5486" s="45" t="s">
        <v>41</v>
      </c>
      <c r="D5486" s="45" t="s">
        <v>224</v>
      </c>
    </row>
    <row r="5487" spans="1:4" s="45" customFormat="1" ht="13.5" x14ac:dyDescent="0.15">
      <c r="A5487" s="45" t="s">
        <v>41</v>
      </c>
      <c r="D5487" s="45" t="s">
        <v>231</v>
      </c>
    </row>
    <row r="5488" spans="1:4" s="45" customFormat="1" ht="13.5" x14ac:dyDescent="0.15">
      <c r="A5488" s="45" t="s">
        <v>41</v>
      </c>
      <c r="D5488" s="45" t="s">
        <v>7642</v>
      </c>
    </row>
    <row r="5489" spans="1:4" s="45" customFormat="1" ht="13.5" x14ac:dyDescent="0.15">
      <c r="A5489" s="45" t="s">
        <v>41</v>
      </c>
      <c r="D5489" s="45" t="s">
        <v>227</v>
      </c>
    </row>
    <row r="5490" spans="1:4" s="45" customFormat="1" ht="13.5" x14ac:dyDescent="0.15">
      <c r="A5490" s="45" t="s">
        <v>41</v>
      </c>
      <c r="D5490" s="45" t="s">
        <v>7643</v>
      </c>
    </row>
    <row r="5491" spans="1:4" s="45" customFormat="1" ht="13.5" x14ac:dyDescent="0.15">
      <c r="A5491" s="45" t="s">
        <v>41</v>
      </c>
      <c r="D5491" s="45" t="s">
        <v>228</v>
      </c>
    </row>
    <row r="5492" spans="1:4" s="45" customFormat="1" ht="13.5" x14ac:dyDescent="0.15">
      <c r="A5492" s="45" t="s">
        <v>41</v>
      </c>
      <c r="D5492" s="45" t="s">
        <v>229</v>
      </c>
    </row>
    <row r="5493" spans="1:4" s="45" customFormat="1" ht="13.5" x14ac:dyDescent="0.15">
      <c r="A5493" s="45" t="s">
        <v>41</v>
      </c>
      <c r="D5493" s="45" t="s">
        <v>7644</v>
      </c>
    </row>
    <row r="5494" spans="1:4" s="45" customFormat="1" ht="13.5" x14ac:dyDescent="0.15">
      <c r="A5494" s="45" t="s">
        <v>41</v>
      </c>
      <c r="D5494" s="45" t="s">
        <v>7645</v>
      </c>
    </row>
    <row r="5495" spans="1:4" s="45" customFormat="1" ht="13.5" x14ac:dyDescent="0.15">
      <c r="A5495" s="45" t="s">
        <v>41</v>
      </c>
      <c r="D5495" s="45" t="s">
        <v>230</v>
      </c>
    </row>
    <row r="5496" spans="1:4" s="45" customFormat="1" ht="13.5" x14ac:dyDescent="0.15">
      <c r="A5496" s="45" t="s">
        <v>41</v>
      </c>
      <c r="D5496" s="45" t="s">
        <v>226</v>
      </c>
    </row>
    <row r="5497" spans="1:4" s="45" customFormat="1" ht="13.5" x14ac:dyDescent="0.15">
      <c r="A5497" s="45" t="s">
        <v>41</v>
      </c>
      <c r="D5497" s="45" t="s">
        <v>7646</v>
      </c>
    </row>
    <row r="5498" spans="1:4" s="45" customFormat="1" ht="13.5" x14ac:dyDescent="0.15">
      <c r="A5498" s="45" t="s">
        <v>41</v>
      </c>
      <c r="D5498" s="45" t="s">
        <v>232</v>
      </c>
    </row>
    <row r="5499" spans="1:4" s="45" customFormat="1" ht="13.5" x14ac:dyDescent="0.15">
      <c r="A5499" s="45" t="s">
        <v>41</v>
      </c>
      <c r="D5499" s="45" t="s">
        <v>234</v>
      </c>
    </row>
    <row r="5500" spans="1:4" s="45" customFormat="1" ht="13.5" x14ac:dyDescent="0.15">
      <c r="A5500" s="45" t="s">
        <v>41</v>
      </c>
      <c r="D5500" s="45" t="s">
        <v>233</v>
      </c>
    </row>
    <row r="5501" spans="1:4" s="45" customFormat="1" ht="13.5" x14ac:dyDescent="0.15">
      <c r="A5501" s="45" t="s">
        <v>41</v>
      </c>
      <c r="D5501" s="45" t="s">
        <v>225</v>
      </c>
    </row>
    <row r="5502" spans="1:4" s="45" customFormat="1" ht="13.5" x14ac:dyDescent="0.15">
      <c r="A5502" s="45" t="s">
        <v>41</v>
      </c>
      <c r="D5502" s="45" t="s">
        <v>7647</v>
      </c>
    </row>
    <row r="5503" spans="1:4" s="45" customFormat="1" ht="13.5" x14ac:dyDescent="0.15">
      <c r="A5503" s="45" t="s">
        <v>41</v>
      </c>
      <c r="D5503" s="45" t="s">
        <v>7648</v>
      </c>
    </row>
    <row r="5504" spans="1:4" s="45" customFormat="1" ht="13.5" x14ac:dyDescent="0.15">
      <c r="A5504" s="45" t="s">
        <v>41</v>
      </c>
      <c r="D5504" s="45" t="s">
        <v>7649</v>
      </c>
    </row>
    <row r="5505" spans="1:4" s="45" customFormat="1" ht="13.5" x14ac:dyDescent="0.15">
      <c r="A5505" s="45" t="s">
        <v>41</v>
      </c>
      <c r="D5505" s="45" t="s">
        <v>7650</v>
      </c>
    </row>
    <row r="5506" spans="1:4" s="45" customFormat="1" ht="13.5" x14ac:dyDescent="0.15">
      <c r="A5506" s="45" t="s">
        <v>41</v>
      </c>
      <c r="D5506" s="45" t="s">
        <v>7651</v>
      </c>
    </row>
    <row r="5507" spans="1:4" s="45" customFormat="1" ht="13.5" x14ac:dyDescent="0.15">
      <c r="A5507" s="45" t="s">
        <v>41</v>
      </c>
      <c r="D5507" s="45" t="s">
        <v>7652</v>
      </c>
    </row>
    <row r="5508" spans="1:4" s="45" customFormat="1" ht="13.5" x14ac:dyDescent="0.15">
      <c r="A5508" s="45" t="s">
        <v>41</v>
      </c>
      <c r="D5508" s="45" t="s">
        <v>7653</v>
      </c>
    </row>
    <row r="5509" spans="1:4" s="45" customFormat="1" ht="13.5" x14ac:dyDescent="0.15">
      <c r="A5509" s="45" t="s">
        <v>41</v>
      </c>
      <c r="D5509" s="45" t="s">
        <v>7654</v>
      </c>
    </row>
    <row r="5510" spans="1:4" s="45" customFormat="1" ht="13.5" x14ac:dyDescent="0.15">
      <c r="A5510" s="45" t="s">
        <v>41</v>
      </c>
      <c r="D5510" s="45" t="s">
        <v>7655</v>
      </c>
    </row>
    <row r="5511" spans="1:4" s="45" customFormat="1" ht="13.5" x14ac:dyDescent="0.15">
      <c r="A5511" s="45" t="s">
        <v>41</v>
      </c>
      <c r="D5511" s="45" t="s">
        <v>7656</v>
      </c>
    </row>
    <row r="5512" spans="1:4" s="45" customFormat="1" ht="13.5" x14ac:dyDescent="0.15">
      <c r="A5512" s="45" t="s">
        <v>41</v>
      </c>
      <c r="D5512" s="45" t="s">
        <v>7657</v>
      </c>
    </row>
    <row r="5513" spans="1:4" s="45" customFormat="1" ht="13.5" x14ac:dyDescent="0.15">
      <c r="A5513" s="45" t="s">
        <v>41</v>
      </c>
      <c r="D5513" s="45" t="s">
        <v>7658</v>
      </c>
    </row>
    <row r="5514" spans="1:4" s="45" customFormat="1" ht="13.5" x14ac:dyDescent="0.15">
      <c r="A5514" s="45" t="s">
        <v>41</v>
      </c>
      <c r="D5514" s="45" t="s">
        <v>7659</v>
      </c>
    </row>
    <row r="5515" spans="1:4" s="45" customFormat="1" ht="13.5" x14ac:dyDescent="0.15">
      <c r="A5515" s="45" t="s">
        <v>41</v>
      </c>
      <c r="D5515" s="45" t="s">
        <v>7660</v>
      </c>
    </row>
    <row r="5516" spans="1:4" s="45" customFormat="1" ht="13.5" x14ac:dyDescent="0.15">
      <c r="A5516" s="45" t="s">
        <v>41</v>
      </c>
      <c r="D5516" s="45" t="s">
        <v>223</v>
      </c>
    </row>
    <row r="5517" spans="1:4" s="45" customFormat="1" ht="13.5" x14ac:dyDescent="0.15">
      <c r="A5517" s="45" t="s">
        <v>41</v>
      </c>
      <c r="D5517" s="45" t="s">
        <v>7661</v>
      </c>
    </row>
    <row r="5518" spans="1:4" s="45" customFormat="1" ht="13.5" x14ac:dyDescent="0.15">
      <c r="A5518" s="45" t="s">
        <v>41</v>
      </c>
      <c r="D5518" s="45" t="s">
        <v>7662</v>
      </c>
    </row>
    <row r="5519" spans="1:4" s="45" customFormat="1" ht="13.5" x14ac:dyDescent="0.15">
      <c r="A5519" s="45" t="s">
        <v>41</v>
      </c>
      <c r="D5519" s="45" t="s">
        <v>219</v>
      </c>
    </row>
    <row r="5520" spans="1:4" s="45" customFormat="1" ht="13.5" x14ac:dyDescent="0.15">
      <c r="A5520" s="45" t="s">
        <v>41</v>
      </c>
      <c r="D5520" s="45" t="s">
        <v>7663</v>
      </c>
    </row>
    <row r="5521" spans="1:4" s="45" customFormat="1" ht="13.5" x14ac:dyDescent="0.15">
      <c r="A5521" s="45" t="s">
        <v>41</v>
      </c>
      <c r="D5521" s="45" t="s">
        <v>7664</v>
      </c>
    </row>
    <row r="5522" spans="1:4" s="45" customFormat="1" ht="13.5" x14ac:dyDescent="0.15">
      <c r="A5522" s="45" t="s">
        <v>41</v>
      </c>
      <c r="D5522" s="45" t="s">
        <v>7665</v>
      </c>
    </row>
    <row r="5523" spans="1:4" s="45" customFormat="1" ht="13.5" x14ac:dyDescent="0.15">
      <c r="A5523" s="45" t="s">
        <v>41</v>
      </c>
      <c r="D5523" s="45" t="s">
        <v>7666</v>
      </c>
    </row>
    <row r="5524" spans="1:4" s="45" customFormat="1" ht="13.5" x14ac:dyDescent="0.15">
      <c r="A5524" s="45" t="s">
        <v>41</v>
      </c>
      <c r="D5524" s="45" t="s">
        <v>7667</v>
      </c>
    </row>
    <row r="5525" spans="1:4" s="45" customFormat="1" ht="13.5" x14ac:dyDescent="0.15">
      <c r="A5525" s="45" t="s">
        <v>41</v>
      </c>
      <c r="D5525" s="45" t="s">
        <v>7668</v>
      </c>
    </row>
    <row r="5526" spans="1:4" s="45" customFormat="1" ht="13.5" x14ac:dyDescent="0.15">
      <c r="A5526" s="45" t="s">
        <v>41</v>
      </c>
      <c r="D5526" s="45" t="s">
        <v>7669</v>
      </c>
    </row>
    <row r="5527" spans="1:4" s="45" customFormat="1" ht="13.5" x14ac:dyDescent="0.15">
      <c r="A5527" s="45" t="s">
        <v>41</v>
      </c>
      <c r="D5527" s="45" t="s">
        <v>1219</v>
      </c>
    </row>
    <row r="5528" spans="1:4" s="45" customFormat="1" ht="13.5" x14ac:dyDescent="0.15">
      <c r="A5528" s="45" t="s">
        <v>41</v>
      </c>
      <c r="D5528" s="45" t="s">
        <v>1220</v>
      </c>
    </row>
    <row r="5529" spans="1:4" s="45" customFormat="1" ht="13.5" x14ac:dyDescent="0.15">
      <c r="A5529" s="45" t="s">
        <v>41</v>
      </c>
      <c r="D5529" s="45" t="s">
        <v>1221</v>
      </c>
    </row>
    <row r="5530" spans="1:4" s="45" customFormat="1" ht="13.5" x14ac:dyDescent="0.15">
      <c r="A5530" s="45" t="s">
        <v>41</v>
      </c>
      <c r="D5530" s="45" t="s">
        <v>7670</v>
      </c>
    </row>
    <row r="5531" spans="1:4" s="45" customFormat="1" ht="13.5" x14ac:dyDescent="0.15">
      <c r="A5531" s="45" t="s">
        <v>41</v>
      </c>
      <c r="D5531" s="45" t="s">
        <v>7671</v>
      </c>
    </row>
    <row r="5532" spans="1:4" s="45" customFormat="1" ht="13.5" x14ac:dyDescent="0.15">
      <c r="A5532" s="45" t="s">
        <v>41</v>
      </c>
      <c r="D5532" s="45" t="s">
        <v>7672</v>
      </c>
    </row>
    <row r="5533" spans="1:4" s="45" customFormat="1" ht="13.5" x14ac:dyDescent="0.15">
      <c r="A5533" s="45" t="s">
        <v>41</v>
      </c>
      <c r="D5533" s="45" t="s">
        <v>1229</v>
      </c>
    </row>
    <row r="5534" spans="1:4" s="45" customFormat="1" ht="13.5" x14ac:dyDescent="0.15">
      <c r="A5534" s="45" t="s">
        <v>41</v>
      </c>
      <c r="D5534" s="45" t="s">
        <v>7673</v>
      </c>
    </row>
    <row r="5535" spans="1:4" s="45" customFormat="1" ht="13.5" x14ac:dyDescent="0.15">
      <c r="A5535" s="45" t="s">
        <v>41</v>
      </c>
      <c r="D5535" s="45" t="s">
        <v>1230</v>
      </c>
    </row>
    <row r="5536" spans="1:4" s="45" customFormat="1" ht="13.5" x14ac:dyDescent="0.15">
      <c r="A5536" s="45" t="s">
        <v>41</v>
      </c>
      <c r="D5536" s="45" t="s">
        <v>7674</v>
      </c>
    </row>
    <row r="5537" spans="1:4" s="45" customFormat="1" ht="13.5" x14ac:dyDescent="0.15">
      <c r="A5537" s="45" t="s">
        <v>41</v>
      </c>
      <c r="D5537" s="45" t="s">
        <v>7675</v>
      </c>
    </row>
    <row r="5538" spans="1:4" s="45" customFormat="1" ht="13.5" x14ac:dyDescent="0.15">
      <c r="A5538" s="45" t="s">
        <v>41</v>
      </c>
      <c r="D5538" s="45" t="s">
        <v>1231</v>
      </c>
    </row>
    <row r="5539" spans="1:4" s="45" customFormat="1" ht="13.5" x14ac:dyDescent="0.15">
      <c r="A5539" s="45" t="s">
        <v>41</v>
      </c>
      <c r="D5539" s="45" t="s">
        <v>7676</v>
      </c>
    </row>
    <row r="5540" spans="1:4" s="45" customFormat="1" ht="13.5" x14ac:dyDescent="0.15">
      <c r="A5540" s="45" t="s">
        <v>41</v>
      </c>
      <c r="D5540" s="45" t="s">
        <v>7677</v>
      </c>
    </row>
    <row r="5541" spans="1:4" s="45" customFormat="1" ht="13.5" x14ac:dyDescent="0.15">
      <c r="A5541" s="45" t="s">
        <v>41</v>
      </c>
      <c r="D5541" s="45" t="s">
        <v>7678</v>
      </c>
    </row>
    <row r="5542" spans="1:4" s="45" customFormat="1" ht="13.5" x14ac:dyDescent="0.15">
      <c r="A5542" s="45" t="s">
        <v>41</v>
      </c>
      <c r="D5542" s="45" t="s">
        <v>7679</v>
      </c>
    </row>
    <row r="5543" spans="1:4" s="45" customFormat="1" ht="13.5" x14ac:dyDescent="0.15">
      <c r="A5543" s="45" t="s">
        <v>41</v>
      </c>
      <c r="D5543" s="45" t="s">
        <v>7680</v>
      </c>
    </row>
    <row r="5544" spans="1:4" s="45" customFormat="1" ht="13.5" x14ac:dyDescent="0.15">
      <c r="A5544" s="45" t="s">
        <v>41</v>
      </c>
      <c r="D5544" s="45" t="s">
        <v>7681</v>
      </c>
    </row>
    <row r="5545" spans="1:4" s="45" customFormat="1" ht="13.5" x14ac:dyDescent="0.15">
      <c r="A5545" s="45" t="s">
        <v>41</v>
      </c>
      <c r="D5545" s="45" t="s">
        <v>7682</v>
      </c>
    </row>
    <row r="5546" spans="1:4" s="45" customFormat="1" ht="13.5" x14ac:dyDescent="0.15">
      <c r="A5546" s="45" t="s">
        <v>41</v>
      </c>
      <c r="D5546" s="45" t="s">
        <v>7683</v>
      </c>
    </row>
    <row r="5547" spans="1:4" s="45" customFormat="1" ht="13.5" x14ac:dyDescent="0.15">
      <c r="A5547" s="45" t="s">
        <v>41</v>
      </c>
      <c r="D5547" s="45" t="s">
        <v>7684</v>
      </c>
    </row>
    <row r="5548" spans="1:4" s="45" customFormat="1" ht="13.5" x14ac:dyDescent="0.15">
      <c r="A5548" s="45" t="s">
        <v>41</v>
      </c>
      <c r="D5548" s="45" t="s">
        <v>1234</v>
      </c>
    </row>
    <row r="5549" spans="1:4" s="45" customFormat="1" ht="13.5" x14ac:dyDescent="0.15">
      <c r="A5549" s="45" t="s">
        <v>41</v>
      </c>
      <c r="D5549" s="45" t="s">
        <v>1228</v>
      </c>
    </row>
    <row r="5550" spans="1:4" s="45" customFormat="1" ht="13.5" x14ac:dyDescent="0.15">
      <c r="A5550" s="45" t="s">
        <v>41</v>
      </c>
      <c r="D5550" s="45" t="s">
        <v>7685</v>
      </c>
    </row>
    <row r="5551" spans="1:4" s="45" customFormat="1" ht="13.5" x14ac:dyDescent="0.15">
      <c r="A5551" s="45" t="s">
        <v>41</v>
      </c>
      <c r="D5551" s="45" t="s">
        <v>1223</v>
      </c>
    </row>
    <row r="5552" spans="1:4" s="45" customFormat="1" ht="13.5" x14ac:dyDescent="0.15">
      <c r="A5552" s="45" t="s">
        <v>41</v>
      </c>
      <c r="D5552" s="45" t="s">
        <v>1224</v>
      </c>
    </row>
    <row r="5553" spans="1:4" s="45" customFormat="1" ht="13.5" x14ac:dyDescent="0.15">
      <c r="A5553" s="45" t="s">
        <v>41</v>
      </c>
      <c r="D5553" s="45" t="s">
        <v>7686</v>
      </c>
    </row>
    <row r="5554" spans="1:4" s="45" customFormat="1" ht="13.5" x14ac:dyDescent="0.15">
      <c r="A5554" s="45" t="s">
        <v>41</v>
      </c>
      <c r="D5554" s="45" t="s">
        <v>1226</v>
      </c>
    </row>
    <row r="5555" spans="1:4" s="45" customFormat="1" ht="13.5" x14ac:dyDescent="0.15">
      <c r="A5555" s="45" t="s">
        <v>41</v>
      </c>
      <c r="D5555" s="45" t="s">
        <v>1225</v>
      </c>
    </row>
    <row r="5556" spans="1:4" s="45" customFormat="1" ht="13.5" x14ac:dyDescent="0.15">
      <c r="A5556" s="45" t="s">
        <v>41</v>
      </c>
      <c r="D5556" s="45" t="s">
        <v>1227</v>
      </c>
    </row>
    <row r="5557" spans="1:4" s="45" customFormat="1" ht="13.5" x14ac:dyDescent="0.15">
      <c r="A5557" s="45" t="s">
        <v>41</v>
      </c>
      <c r="D5557" s="45" t="s">
        <v>7687</v>
      </c>
    </row>
    <row r="5558" spans="1:4" s="45" customFormat="1" ht="13.5" x14ac:dyDescent="0.15">
      <c r="A5558" s="45" t="s">
        <v>41</v>
      </c>
      <c r="D5558" s="45" t="s">
        <v>7688</v>
      </c>
    </row>
    <row r="5559" spans="1:4" s="45" customFormat="1" ht="13.5" x14ac:dyDescent="0.15">
      <c r="A5559" s="45" t="s">
        <v>41</v>
      </c>
      <c r="D5559" s="45" t="s">
        <v>1233</v>
      </c>
    </row>
    <row r="5560" spans="1:4" s="45" customFormat="1" ht="13.5" x14ac:dyDescent="0.15">
      <c r="A5560" s="45" t="s">
        <v>41</v>
      </c>
      <c r="D5560" s="45" t="s">
        <v>7689</v>
      </c>
    </row>
    <row r="5561" spans="1:4" s="45" customFormat="1" ht="13.5" x14ac:dyDescent="0.15">
      <c r="A5561" s="45" t="s">
        <v>41</v>
      </c>
      <c r="D5561" s="45" t="s">
        <v>7690</v>
      </c>
    </row>
    <row r="5562" spans="1:4" s="45" customFormat="1" ht="13.5" x14ac:dyDescent="0.15">
      <c r="A5562" s="45" t="s">
        <v>41</v>
      </c>
      <c r="D5562" s="45" t="s">
        <v>1222</v>
      </c>
    </row>
    <row r="5563" spans="1:4" s="45" customFormat="1" ht="13.5" x14ac:dyDescent="0.15">
      <c r="A5563" s="45" t="s">
        <v>41</v>
      </c>
      <c r="D5563" s="45" t="s">
        <v>1232</v>
      </c>
    </row>
    <row r="5564" spans="1:4" s="45" customFormat="1" ht="13.5" x14ac:dyDescent="0.15">
      <c r="A5564" s="45" t="s">
        <v>41</v>
      </c>
      <c r="D5564" s="45" t="s">
        <v>7691</v>
      </c>
    </row>
    <row r="5565" spans="1:4" s="45" customFormat="1" ht="13.5" x14ac:dyDescent="0.15">
      <c r="A5565" s="45" t="s">
        <v>41</v>
      </c>
      <c r="D5565" s="45" t="s">
        <v>7692</v>
      </c>
    </row>
    <row r="5566" spans="1:4" s="45" customFormat="1" ht="13.5" x14ac:dyDescent="0.15">
      <c r="A5566" s="45" t="s">
        <v>41</v>
      </c>
      <c r="D5566" s="45" t="s">
        <v>1897</v>
      </c>
    </row>
    <row r="5567" spans="1:4" s="45" customFormat="1" ht="13.5" x14ac:dyDescent="0.15">
      <c r="A5567" s="45" t="s">
        <v>41</v>
      </c>
      <c r="D5567" s="45" t="s">
        <v>7693</v>
      </c>
    </row>
    <row r="5568" spans="1:4" s="45" customFormat="1" ht="13.5" x14ac:dyDescent="0.15">
      <c r="A5568" s="45" t="s">
        <v>41</v>
      </c>
      <c r="D5568" s="45" t="s">
        <v>7694</v>
      </c>
    </row>
    <row r="5569" spans="1:4" s="45" customFormat="1" ht="13.5" x14ac:dyDescent="0.15">
      <c r="A5569" s="45" t="s">
        <v>41</v>
      </c>
      <c r="D5569" s="45" t="s">
        <v>1893</v>
      </c>
    </row>
    <row r="5570" spans="1:4" s="45" customFormat="1" ht="13.5" x14ac:dyDescent="0.15">
      <c r="A5570" s="45" t="s">
        <v>41</v>
      </c>
      <c r="D5570" s="45" t="s">
        <v>7695</v>
      </c>
    </row>
    <row r="5571" spans="1:4" s="45" customFormat="1" ht="13.5" x14ac:dyDescent="0.15">
      <c r="A5571" s="45" t="s">
        <v>41</v>
      </c>
      <c r="D5571" s="45" t="s">
        <v>7696</v>
      </c>
    </row>
    <row r="5572" spans="1:4" s="45" customFormat="1" ht="13.5" x14ac:dyDescent="0.15">
      <c r="A5572" s="45" t="s">
        <v>41</v>
      </c>
      <c r="D5572" s="45" t="s">
        <v>1899</v>
      </c>
    </row>
    <row r="5573" spans="1:4" s="45" customFormat="1" ht="13.5" x14ac:dyDescent="0.15">
      <c r="A5573" s="45" t="s">
        <v>41</v>
      </c>
      <c r="D5573" s="45" t="s">
        <v>1901</v>
      </c>
    </row>
    <row r="5574" spans="1:4" s="45" customFormat="1" ht="13.5" x14ac:dyDescent="0.15">
      <c r="A5574" s="45" t="s">
        <v>41</v>
      </c>
      <c r="D5574" s="45" t="s">
        <v>7697</v>
      </c>
    </row>
    <row r="5575" spans="1:4" s="45" customFormat="1" ht="13.5" x14ac:dyDescent="0.15">
      <c r="A5575" s="45" t="s">
        <v>41</v>
      </c>
      <c r="D5575" s="45" t="s">
        <v>7698</v>
      </c>
    </row>
    <row r="5576" spans="1:4" s="45" customFormat="1" ht="13.5" x14ac:dyDescent="0.15">
      <c r="A5576" s="45" t="s">
        <v>41</v>
      </c>
      <c r="D5576" s="45" t="s">
        <v>7699</v>
      </c>
    </row>
    <row r="5577" spans="1:4" s="45" customFormat="1" ht="13.5" x14ac:dyDescent="0.15">
      <c r="A5577" s="45" t="s">
        <v>41</v>
      </c>
      <c r="D5577" s="45" t="s">
        <v>7700</v>
      </c>
    </row>
    <row r="5578" spans="1:4" s="45" customFormat="1" ht="13.5" x14ac:dyDescent="0.15">
      <c r="A5578" s="45" t="s">
        <v>41</v>
      </c>
      <c r="D5578" s="45" t="s">
        <v>7701</v>
      </c>
    </row>
    <row r="5579" spans="1:4" s="45" customFormat="1" ht="13.5" x14ac:dyDescent="0.15">
      <c r="A5579" s="45" t="s">
        <v>41</v>
      </c>
      <c r="D5579" s="45" t="s">
        <v>1895</v>
      </c>
    </row>
    <row r="5580" spans="1:4" s="45" customFormat="1" ht="13.5" x14ac:dyDescent="0.15">
      <c r="A5580" s="45" t="s">
        <v>41</v>
      </c>
      <c r="D5580" s="45" t="s">
        <v>7702</v>
      </c>
    </row>
    <row r="5581" spans="1:4" s="45" customFormat="1" ht="13.5" x14ac:dyDescent="0.15">
      <c r="A5581" s="45" t="s">
        <v>41</v>
      </c>
      <c r="D5581" s="45" t="s">
        <v>7703</v>
      </c>
    </row>
    <row r="5582" spans="1:4" s="45" customFormat="1" ht="13.5" x14ac:dyDescent="0.15">
      <c r="A5582" s="45" t="s">
        <v>41</v>
      </c>
      <c r="D5582" s="45" t="s">
        <v>1896</v>
      </c>
    </row>
    <row r="5583" spans="1:4" s="45" customFormat="1" ht="13.5" x14ac:dyDescent="0.15">
      <c r="A5583" s="45" t="s">
        <v>41</v>
      </c>
      <c r="D5583" s="45" t="s">
        <v>1894</v>
      </c>
    </row>
    <row r="5584" spans="1:4" s="45" customFormat="1" ht="13.5" x14ac:dyDescent="0.15">
      <c r="A5584" s="45" t="s">
        <v>41</v>
      </c>
      <c r="D5584" s="45" t="s">
        <v>7704</v>
      </c>
    </row>
    <row r="5585" spans="1:4" s="45" customFormat="1" ht="13.5" x14ac:dyDescent="0.15">
      <c r="A5585" s="45" t="s">
        <v>41</v>
      </c>
      <c r="D5585" s="45" t="s">
        <v>7705</v>
      </c>
    </row>
    <row r="5586" spans="1:4" s="45" customFormat="1" ht="13.5" x14ac:dyDescent="0.15">
      <c r="A5586" s="45" t="s">
        <v>41</v>
      </c>
      <c r="D5586" s="45" t="s">
        <v>7706</v>
      </c>
    </row>
    <row r="5587" spans="1:4" s="45" customFormat="1" ht="13.5" x14ac:dyDescent="0.15">
      <c r="A5587" s="45" t="s">
        <v>41</v>
      </c>
      <c r="D5587" s="45" t="s">
        <v>7707</v>
      </c>
    </row>
    <row r="5588" spans="1:4" s="45" customFormat="1" ht="13.5" x14ac:dyDescent="0.15">
      <c r="A5588" s="45" t="s">
        <v>41</v>
      </c>
      <c r="D5588" s="45" t="s">
        <v>7708</v>
      </c>
    </row>
    <row r="5589" spans="1:4" s="45" customFormat="1" ht="13.5" x14ac:dyDescent="0.15">
      <c r="A5589" s="45" t="s">
        <v>41</v>
      </c>
      <c r="D5589" s="45" t="s">
        <v>7709</v>
      </c>
    </row>
    <row r="5590" spans="1:4" s="45" customFormat="1" ht="13.5" x14ac:dyDescent="0.15">
      <c r="A5590" s="45" t="s">
        <v>41</v>
      </c>
      <c r="D5590" s="45" t="s">
        <v>7710</v>
      </c>
    </row>
    <row r="5591" spans="1:4" s="45" customFormat="1" ht="13.5" x14ac:dyDescent="0.15">
      <c r="A5591" s="45" t="s">
        <v>41</v>
      </c>
      <c r="D5591" s="45" t="s">
        <v>7711</v>
      </c>
    </row>
    <row r="5592" spans="1:4" s="45" customFormat="1" ht="13.5" x14ac:dyDescent="0.15">
      <c r="A5592" s="45" t="s">
        <v>41</v>
      </c>
      <c r="D5592" s="45" t="s">
        <v>7712</v>
      </c>
    </row>
    <row r="5593" spans="1:4" s="45" customFormat="1" ht="13.5" x14ac:dyDescent="0.15">
      <c r="A5593" s="45" t="s">
        <v>41</v>
      </c>
      <c r="D5593" s="45" t="s">
        <v>7713</v>
      </c>
    </row>
    <row r="5594" spans="1:4" s="45" customFormat="1" ht="13.5" x14ac:dyDescent="0.15">
      <c r="A5594" s="45" t="s">
        <v>41</v>
      </c>
      <c r="D5594" s="45" t="s">
        <v>7714</v>
      </c>
    </row>
    <row r="5595" spans="1:4" s="45" customFormat="1" ht="13.5" x14ac:dyDescent="0.15">
      <c r="A5595" s="45" t="s">
        <v>41</v>
      </c>
      <c r="D5595" s="45" t="s">
        <v>7715</v>
      </c>
    </row>
    <row r="5596" spans="1:4" s="45" customFormat="1" ht="13.5" x14ac:dyDescent="0.15">
      <c r="A5596" s="45" t="s">
        <v>41</v>
      </c>
      <c r="D5596" s="45" t="s">
        <v>1892</v>
      </c>
    </row>
    <row r="5597" spans="1:4" s="45" customFormat="1" ht="13.5" x14ac:dyDescent="0.15">
      <c r="A5597" s="45" t="s">
        <v>41</v>
      </c>
      <c r="D5597" s="45" t="s">
        <v>7716</v>
      </c>
    </row>
    <row r="5598" spans="1:4" s="45" customFormat="1" ht="13.5" x14ac:dyDescent="0.15">
      <c r="A5598" s="45" t="s">
        <v>41</v>
      </c>
      <c r="D5598" s="45" t="s">
        <v>7717</v>
      </c>
    </row>
    <row r="5599" spans="1:4" s="45" customFormat="1" ht="13.5" x14ac:dyDescent="0.15">
      <c r="A5599" s="45" t="s">
        <v>41</v>
      </c>
      <c r="D5599" s="45" t="s">
        <v>7718</v>
      </c>
    </row>
    <row r="5600" spans="1:4" s="45" customFormat="1" ht="13.5" x14ac:dyDescent="0.15">
      <c r="A5600" s="45" t="s">
        <v>41</v>
      </c>
      <c r="D5600" s="45" t="s">
        <v>7719</v>
      </c>
    </row>
    <row r="5601" spans="1:4" s="45" customFormat="1" ht="13.5" x14ac:dyDescent="0.15">
      <c r="A5601" s="45" t="s">
        <v>41</v>
      </c>
      <c r="D5601" s="45" t="s">
        <v>7720</v>
      </c>
    </row>
    <row r="5602" spans="1:4" s="45" customFormat="1" ht="13.5" x14ac:dyDescent="0.15">
      <c r="A5602" s="45" t="s">
        <v>41</v>
      </c>
      <c r="D5602" s="45" t="s">
        <v>1900</v>
      </c>
    </row>
    <row r="5603" spans="1:4" s="45" customFormat="1" ht="13.5" x14ac:dyDescent="0.15">
      <c r="A5603" s="45" t="s">
        <v>41</v>
      </c>
      <c r="D5603" s="45" t="s">
        <v>7721</v>
      </c>
    </row>
    <row r="5604" spans="1:4" s="45" customFormat="1" ht="13.5" x14ac:dyDescent="0.15">
      <c r="A5604" s="45" t="s">
        <v>41</v>
      </c>
      <c r="D5604" s="45" t="s">
        <v>7722</v>
      </c>
    </row>
    <row r="5605" spans="1:4" s="45" customFormat="1" ht="13.5" x14ac:dyDescent="0.15">
      <c r="A5605" s="45" t="s">
        <v>41</v>
      </c>
      <c r="D5605" s="45" t="s">
        <v>7723</v>
      </c>
    </row>
    <row r="5606" spans="1:4" s="45" customFormat="1" ht="13.5" x14ac:dyDescent="0.15">
      <c r="A5606" s="45" t="s">
        <v>41</v>
      </c>
      <c r="D5606" s="45" t="s">
        <v>1898</v>
      </c>
    </row>
    <row r="5607" spans="1:4" s="45" customFormat="1" ht="13.5" x14ac:dyDescent="0.15">
      <c r="A5607" s="45" t="s">
        <v>41</v>
      </c>
      <c r="D5607" s="45" t="s">
        <v>7724</v>
      </c>
    </row>
    <row r="5608" spans="1:4" s="45" customFormat="1" ht="13.5" x14ac:dyDescent="0.15">
      <c r="A5608" s="45" t="s">
        <v>41</v>
      </c>
      <c r="D5608" s="45" t="s">
        <v>7725</v>
      </c>
    </row>
    <row r="5609" spans="1:4" s="45" customFormat="1" ht="13.5" x14ac:dyDescent="0.15">
      <c r="A5609" s="45" t="s">
        <v>41</v>
      </c>
      <c r="D5609" s="45" t="s">
        <v>7726</v>
      </c>
    </row>
    <row r="5610" spans="1:4" s="45" customFormat="1" ht="13.5" x14ac:dyDescent="0.15">
      <c r="A5610" s="45" t="s">
        <v>41</v>
      </c>
      <c r="D5610" s="45" t="s">
        <v>7727</v>
      </c>
    </row>
    <row r="5611" spans="1:4" s="45" customFormat="1" ht="13.5" x14ac:dyDescent="0.15">
      <c r="A5611" s="45" t="s">
        <v>41</v>
      </c>
      <c r="D5611" s="45" t="s">
        <v>7728</v>
      </c>
    </row>
    <row r="5612" spans="1:4" s="45" customFormat="1" ht="13.5" x14ac:dyDescent="0.15">
      <c r="A5612" s="45" t="s">
        <v>41</v>
      </c>
      <c r="D5612" s="45" t="s">
        <v>2450</v>
      </c>
    </row>
    <row r="5613" spans="1:4" s="45" customFormat="1" ht="13.5" x14ac:dyDescent="0.15">
      <c r="A5613" s="45" t="s">
        <v>41</v>
      </c>
      <c r="D5613" s="45" t="s">
        <v>191</v>
      </c>
    </row>
    <row r="5614" spans="1:4" s="45" customFormat="1" ht="13.5" x14ac:dyDescent="0.15">
      <c r="A5614" s="45" t="s">
        <v>41</v>
      </c>
      <c r="D5614" s="45" t="s">
        <v>7729</v>
      </c>
    </row>
    <row r="5615" spans="1:4" s="45" customFormat="1" ht="13.5" x14ac:dyDescent="0.15">
      <c r="A5615" s="45" t="s">
        <v>41</v>
      </c>
      <c r="D5615" s="45" t="s">
        <v>7730</v>
      </c>
    </row>
    <row r="5616" spans="1:4" s="45" customFormat="1" ht="13.5" x14ac:dyDescent="0.15">
      <c r="A5616" s="45" t="s">
        <v>41</v>
      </c>
      <c r="D5616" s="45" t="s">
        <v>7731</v>
      </c>
    </row>
    <row r="5617" spans="1:4" s="45" customFormat="1" ht="13.5" x14ac:dyDescent="0.15">
      <c r="A5617" s="45" t="s">
        <v>41</v>
      </c>
      <c r="D5617" s="45" t="s">
        <v>198</v>
      </c>
    </row>
    <row r="5618" spans="1:4" s="45" customFormat="1" ht="13.5" x14ac:dyDescent="0.15">
      <c r="A5618" s="45" t="s">
        <v>41</v>
      </c>
      <c r="D5618" s="45" t="s">
        <v>7732</v>
      </c>
    </row>
    <row r="5619" spans="1:4" s="45" customFormat="1" ht="13.5" x14ac:dyDescent="0.15">
      <c r="A5619" s="45" t="s">
        <v>41</v>
      </c>
      <c r="D5619" s="45" t="s">
        <v>7733</v>
      </c>
    </row>
    <row r="5620" spans="1:4" s="45" customFormat="1" ht="13.5" x14ac:dyDescent="0.15">
      <c r="A5620" s="45" t="s">
        <v>41</v>
      </c>
      <c r="D5620" s="45" t="s">
        <v>7734</v>
      </c>
    </row>
    <row r="5621" spans="1:4" s="45" customFormat="1" ht="13.5" x14ac:dyDescent="0.15">
      <c r="A5621" s="45" t="s">
        <v>41</v>
      </c>
      <c r="D5621" s="45" t="s">
        <v>7735</v>
      </c>
    </row>
    <row r="5622" spans="1:4" s="45" customFormat="1" ht="13.5" x14ac:dyDescent="0.15">
      <c r="A5622" s="45" t="s">
        <v>41</v>
      </c>
      <c r="D5622" s="45" t="s">
        <v>7736</v>
      </c>
    </row>
    <row r="5623" spans="1:4" s="45" customFormat="1" ht="13.5" x14ac:dyDescent="0.15">
      <c r="A5623" s="45" t="s">
        <v>41</v>
      </c>
      <c r="D5623" s="45" t="s">
        <v>7737</v>
      </c>
    </row>
    <row r="5624" spans="1:4" s="45" customFormat="1" ht="13.5" x14ac:dyDescent="0.15">
      <c r="A5624" s="45" t="s">
        <v>41</v>
      </c>
      <c r="D5624" s="45" t="s">
        <v>195</v>
      </c>
    </row>
    <row r="5625" spans="1:4" s="45" customFormat="1" ht="13.5" x14ac:dyDescent="0.15">
      <c r="A5625" s="45" t="s">
        <v>41</v>
      </c>
      <c r="D5625" s="45" t="s">
        <v>194</v>
      </c>
    </row>
    <row r="5626" spans="1:4" s="45" customFormat="1" ht="13.5" x14ac:dyDescent="0.15">
      <c r="A5626" s="45" t="s">
        <v>41</v>
      </c>
      <c r="D5626" s="45" t="s">
        <v>7738</v>
      </c>
    </row>
    <row r="5627" spans="1:4" s="45" customFormat="1" ht="13.5" x14ac:dyDescent="0.15">
      <c r="A5627" s="45" t="s">
        <v>41</v>
      </c>
      <c r="D5627" s="45" t="s">
        <v>7739</v>
      </c>
    </row>
    <row r="5628" spans="1:4" s="45" customFormat="1" ht="13.5" x14ac:dyDescent="0.15">
      <c r="A5628" s="45" t="s">
        <v>41</v>
      </c>
      <c r="D5628" s="45" t="s">
        <v>192</v>
      </c>
    </row>
    <row r="5629" spans="1:4" s="45" customFormat="1" ht="13.5" x14ac:dyDescent="0.15">
      <c r="A5629" s="45" t="s">
        <v>41</v>
      </c>
      <c r="D5629" s="45" t="s">
        <v>7740</v>
      </c>
    </row>
    <row r="5630" spans="1:4" s="45" customFormat="1" ht="13.5" x14ac:dyDescent="0.15">
      <c r="A5630" s="45" t="s">
        <v>41</v>
      </c>
      <c r="D5630" s="45" t="s">
        <v>7741</v>
      </c>
    </row>
    <row r="5631" spans="1:4" s="45" customFormat="1" ht="13.5" x14ac:dyDescent="0.15">
      <c r="A5631" s="45" t="s">
        <v>41</v>
      </c>
      <c r="D5631" s="45" t="s">
        <v>7742</v>
      </c>
    </row>
    <row r="5632" spans="1:4" s="45" customFormat="1" ht="13.5" x14ac:dyDescent="0.15">
      <c r="A5632" s="45" t="s">
        <v>41</v>
      </c>
      <c r="D5632" s="45" t="s">
        <v>7743</v>
      </c>
    </row>
    <row r="5633" spans="1:4" s="45" customFormat="1" ht="13.5" x14ac:dyDescent="0.15">
      <c r="A5633" s="45" t="s">
        <v>41</v>
      </c>
      <c r="D5633" s="45" t="s">
        <v>193</v>
      </c>
    </row>
    <row r="5634" spans="1:4" s="45" customFormat="1" ht="13.5" x14ac:dyDescent="0.15">
      <c r="A5634" s="45" t="s">
        <v>41</v>
      </c>
      <c r="D5634" s="45" t="s">
        <v>199</v>
      </c>
    </row>
    <row r="5635" spans="1:4" s="45" customFormat="1" ht="13.5" x14ac:dyDescent="0.15">
      <c r="A5635" s="45" t="s">
        <v>41</v>
      </c>
      <c r="D5635" s="45" t="s">
        <v>196</v>
      </c>
    </row>
    <row r="5636" spans="1:4" s="45" customFormat="1" ht="13.5" x14ac:dyDescent="0.15">
      <c r="A5636" s="45" t="s">
        <v>41</v>
      </c>
      <c r="D5636" s="45" t="s">
        <v>197</v>
      </c>
    </row>
    <row r="5637" spans="1:4" s="45" customFormat="1" ht="13.5" x14ac:dyDescent="0.15">
      <c r="A5637" s="45" t="s">
        <v>41</v>
      </c>
      <c r="D5637" s="45" t="s">
        <v>7744</v>
      </c>
    </row>
    <row r="5638" spans="1:4" s="45" customFormat="1" ht="13.5" x14ac:dyDescent="0.15">
      <c r="A5638" s="45" t="s">
        <v>41</v>
      </c>
      <c r="D5638" s="45" t="s">
        <v>7745</v>
      </c>
    </row>
    <row r="5639" spans="1:4" s="45" customFormat="1" ht="13.5" x14ac:dyDescent="0.15">
      <c r="A5639" s="45" t="s">
        <v>41</v>
      </c>
      <c r="D5639" s="45" t="s">
        <v>7746</v>
      </c>
    </row>
    <row r="5640" spans="1:4" s="45" customFormat="1" ht="13.5" x14ac:dyDescent="0.15">
      <c r="A5640" s="45" t="s">
        <v>41</v>
      </c>
      <c r="D5640" s="45" t="s">
        <v>7747</v>
      </c>
    </row>
    <row r="5641" spans="1:4" s="45" customFormat="1" ht="13.5" x14ac:dyDescent="0.15">
      <c r="A5641" s="45" t="s">
        <v>41</v>
      </c>
      <c r="D5641" s="45" t="s">
        <v>7748</v>
      </c>
    </row>
    <row r="5642" spans="1:4" s="45" customFormat="1" ht="13.5" x14ac:dyDescent="0.15">
      <c r="A5642" s="45" t="s">
        <v>41</v>
      </c>
      <c r="D5642" s="45" t="s">
        <v>7749</v>
      </c>
    </row>
    <row r="5643" spans="1:4" s="45" customFormat="1" ht="13.5" x14ac:dyDescent="0.15">
      <c r="A5643" s="45" t="s">
        <v>41</v>
      </c>
      <c r="D5643" s="45" t="s">
        <v>1688</v>
      </c>
    </row>
    <row r="5644" spans="1:4" s="45" customFormat="1" ht="13.5" x14ac:dyDescent="0.15">
      <c r="A5644" s="45" t="s">
        <v>41</v>
      </c>
      <c r="D5644" s="45" t="s">
        <v>1142</v>
      </c>
    </row>
    <row r="5645" spans="1:4" s="45" customFormat="1" ht="13.5" x14ac:dyDescent="0.15">
      <c r="A5645" s="45" t="s">
        <v>41</v>
      </c>
      <c r="D5645" s="45" t="s">
        <v>1141</v>
      </c>
    </row>
    <row r="5646" spans="1:4" s="45" customFormat="1" ht="13.5" x14ac:dyDescent="0.15">
      <c r="A5646" s="45" t="s">
        <v>41</v>
      </c>
      <c r="D5646" s="45" t="s">
        <v>2000</v>
      </c>
    </row>
    <row r="5647" spans="1:4" s="45" customFormat="1" ht="13.5" x14ac:dyDescent="0.15">
      <c r="A5647" s="45" t="s">
        <v>41</v>
      </c>
      <c r="D5647" s="45" t="s">
        <v>2001</v>
      </c>
    </row>
    <row r="5648" spans="1:4" s="45" customFormat="1" ht="13.5" x14ac:dyDescent="0.15">
      <c r="A5648" s="45" t="s">
        <v>41</v>
      </c>
      <c r="D5648" s="45" t="s">
        <v>7750</v>
      </c>
    </row>
    <row r="5649" spans="1:4" s="45" customFormat="1" ht="13.5" x14ac:dyDescent="0.15">
      <c r="A5649" s="45" t="s">
        <v>41</v>
      </c>
      <c r="D5649" s="45" t="s">
        <v>2034</v>
      </c>
    </row>
    <row r="5650" spans="1:4" s="45" customFormat="1" ht="13.5" x14ac:dyDescent="0.15">
      <c r="A5650" s="45" t="s">
        <v>41</v>
      </c>
      <c r="D5650" s="45" t="s">
        <v>7751</v>
      </c>
    </row>
    <row r="5651" spans="1:4" s="45" customFormat="1" ht="13.5" x14ac:dyDescent="0.15">
      <c r="A5651" s="45" t="s">
        <v>41</v>
      </c>
      <c r="D5651" s="45" t="s">
        <v>692</v>
      </c>
    </row>
    <row r="5652" spans="1:4" s="45" customFormat="1" ht="13.5" x14ac:dyDescent="0.15">
      <c r="A5652" s="45" t="s">
        <v>41</v>
      </c>
      <c r="D5652" s="45" t="s">
        <v>689</v>
      </c>
    </row>
    <row r="5653" spans="1:4" s="45" customFormat="1" ht="13.5" x14ac:dyDescent="0.15">
      <c r="A5653" s="45" t="s">
        <v>41</v>
      </c>
      <c r="D5653" s="45" t="s">
        <v>686</v>
      </c>
    </row>
    <row r="5654" spans="1:4" s="45" customFormat="1" ht="13.5" x14ac:dyDescent="0.15">
      <c r="A5654" s="45" t="s">
        <v>41</v>
      </c>
      <c r="D5654" s="45" t="s">
        <v>691</v>
      </c>
    </row>
    <row r="5655" spans="1:4" s="45" customFormat="1" ht="13.5" x14ac:dyDescent="0.15">
      <c r="A5655" s="45" t="s">
        <v>41</v>
      </c>
      <c r="D5655" s="45" t="s">
        <v>690</v>
      </c>
    </row>
    <row r="5656" spans="1:4" s="45" customFormat="1" ht="13.5" x14ac:dyDescent="0.15">
      <c r="A5656" s="45" t="s">
        <v>41</v>
      </c>
      <c r="D5656" s="45" t="s">
        <v>688</v>
      </c>
    </row>
    <row r="5657" spans="1:4" s="45" customFormat="1" ht="13.5" x14ac:dyDescent="0.15">
      <c r="A5657" s="45" t="s">
        <v>41</v>
      </c>
      <c r="D5657" s="45" t="s">
        <v>687</v>
      </c>
    </row>
    <row r="5658" spans="1:4" s="45" customFormat="1" ht="13.5" x14ac:dyDescent="0.15">
      <c r="A5658" s="45" t="s">
        <v>41</v>
      </c>
      <c r="D5658" s="45" t="s">
        <v>7752</v>
      </c>
    </row>
    <row r="5659" spans="1:4" s="45" customFormat="1" ht="13.5" x14ac:dyDescent="0.15">
      <c r="A5659" s="45" t="s">
        <v>41</v>
      </c>
      <c r="D5659" s="45" t="s">
        <v>7753</v>
      </c>
    </row>
    <row r="5660" spans="1:4" s="45" customFormat="1" ht="13.5" x14ac:dyDescent="0.15">
      <c r="A5660" s="45" t="s">
        <v>41</v>
      </c>
      <c r="D5660" s="45" t="s">
        <v>7754</v>
      </c>
    </row>
    <row r="5661" spans="1:4" s="45" customFormat="1" ht="13.5" x14ac:dyDescent="0.15">
      <c r="A5661" s="45" t="s">
        <v>41</v>
      </c>
      <c r="D5661" s="45" t="s">
        <v>2176</v>
      </c>
    </row>
    <row r="5662" spans="1:4" s="45" customFormat="1" ht="13.5" x14ac:dyDescent="0.15">
      <c r="A5662" s="45" t="s">
        <v>41</v>
      </c>
      <c r="D5662" s="45" t="s">
        <v>2178</v>
      </c>
    </row>
    <row r="5663" spans="1:4" s="45" customFormat="1" ht="13.5" x14ac:dyDescent="0.15">
      <c r="A5663" s="45" t="s">
        <v>41</v>
      </c>
      <c r="D5663" s="45" t="s">
        <v>2175</v>
      </c>
    </row>
    <row r="5664" spans="1:4" s="45" customFormat="1" ht="13.5" x14ac:dyDescent="0.15">
      <c r="A5664" s="45" t="s">
        <v>41</v>
      </c>
      <c r="D5664" s="45" t="s">
        <v>2177</v>
      </c>
    </row>
    <row r="5665" spans="1:4" s="45" customFormat="1" ht="13.5" x14ac:dyDescent="0.15">
      <c r="A5665" s="45" t="s">
        <v>41</v>
      </c>
      <c r="D5665" s="45" t="s">
        <v>96</v>
      </c>
    </row>
    <row r="5666" spans="1:4" s="45" customFormat="1" ht="13.5" x14ac:dyDescent="0.15">
      <c r="A5666" s="45" t="s">
        <v>41</v>
      </c>
      <c r="D5666" s="45" t="s">
        <v>7755</v>
      </c>
    </row>
    <row r="5667" spans="1:4" s="45" customFormat="1" ht="13.5" x14ac:dyDescent="0.15">
      <c r="A5667" s="45" t="s">
        <v>41</v>
      </c>
      <c r="D5667" s="45" t="s">
        <v>7756</v>
      </c>
    </row>
    <row r="5668" spans="1:4" s="45" customFormat="1" ht="13.5" x14ac:dyDescent="0.15">
      <c r="A5668" s="45" t="s">
        <v>41</v>
      </c>
      <c r="D5668" s="45" t="s">
        <v>104</v>
      </c>
    </row>
    <row r="5669" spans="1:4" s="45" customFormat="1" ht="13.5" x14ac:dyDescent="0.15">
      <c r="A5669" s="45" t="s">
        <v>41</v>
      </c>
      <c r="D5669" s="45" t="s">
        <v>7757</v>
      </c>
    </row>
    <row r="5670" spans="1:4" s="45" customFormat="1" ht="13.5" x14ac:dyDescent="0.15">
      <c r="A5670" s="45" t="s">
        <v>41</v>
      </c>
      <c r="D5670" s="45" t="s">
        <v>7758</v>
      </c>
    </row>
    <row r="5671" spans="1:4" s="45" customFormat="1" ht="13.5" x14ac:dyDescent="0.15">
      <c r="A5671" s="45" t="s">
        <v>41</v>
      </c>
      <c r="D5671" s="45" t="s">
        <v>7759</v>
      </c>
    </row>
    <row r="5672" spans="1:4" s="45" customFormat="1" ht="13.5" x14ac:dyDescent="0.15">
      <c r="A5672" s="45" t="s">
        <v>41</v>
      </c>
      <c r="D5672" s="45" t="s">
        <v>7760</v>
      </c>
    </row>
    <row r="5673" spans="1:4" s="45" customFormat="1" ht="13.5" x14ac:dyDescent="0.15">
      <c r="A5673" s="45" t="s">
        <v>41</v>
      </c>
      <c r="D5673" s="45" t="s">
        <v>98</v>
      </c>
    </row>
    <row r="5674" spans="1:4" s="45" customFormat="1" ht="13.5" x14ac:dyDescent="0.15">
      <c r="A5674" s="45" t="s">
        <v>41</v>
      </c>
      <c r="D5674" s="45" t="s">
        <v>97</v>
      </c>
    </row>
    <row r="5675" spans="1:4" s="45" customFormat="1" ht="13.5" x14ac:dyDescent="0.15">
      <c r="A5675" s="45" t="s">
        <v>41</v>
      </c>
      <c r="D5675" s="45" t="s">
        <v>99</v>
      </c>
    </row>
    <row r="5676" spans="1:4" s="45" customFormat="1" ht="13.5" x14ac:dyDescent="0.15">
      <c r="A5676" s="45" t="s">
        <v>41</v>
      </c>
      <c r="D5676" s="45" t="s">
        <v>106</v>
      </c>
    </row>
    <row r="5677" spans="1:4" s="45" customFormat="1" ht="13.5" x14ac:dyDescent="0.15">
      <c r="A5677" s="45" t="s">
        <v>41</v>
      </c>
      <c r="D5677" s="45" t="s">
        <v>105</v>
      </c>
    </row>
    <row r="5678" spans="1:4" s="45" customFormat="1" ht="13.5" x14ac:dyDescent="0.15">
      <c r="A5678" s="45" t="s">
        <v>41</v>
      </c>
      <c r="D5678" s="45" t="s">
        <v>7761</v>
      </c>
    </row>
    <row r="5679" spans="1:4" s="45" customFormat="1" ht="13.5" x14ac:dyDescent="0.15">
      <c r="A5679" s="45" t="s">
        <v>41</v>
      </c>
      <c r="D5679" s="45" t="s">
        <v>7762</v>
      </c>
    </row>
    <row r="5680" spans="1:4" s="45" customFormat="1" ht="13.5" x14ac:dyDescent="0.15">
      <c r="A5680" s="45" t="s">
        <v>41</v>
      </c>
      <c r="D5680" s="45" t="s">
        <v>103</v>
      </c>
    </row>
    <row r="5681" spans="1:4" s="45" customFormat="1" ht="13.5" x14ac:dyDescent="0.15">
      <c r="A5681" s="45" t="s">
        <v>41</v>
      </c>
      <c r="D5681" s="45" t="s">
        <v>107</v>
      </c>
    </row>
    <row r="5682" spans="1:4" s="45" customFormat="1" ht="13.5" x14ac:dyDescent="0.15">
      <c r="A5682" s="45" t="s">
        <v>41</v>
      </c>
      <c r="D5682" s="45" t="s">
        <v>108</v>
      </c>
    </row>
    <row r="5683" spans="1:4" s="45" customFormat="1" ht="13.5" x14ac:dyDescent="0.15">
      <c r="A5683" s="45" t="s">
        <v>41</v>
      </c>
      <c r="D5683" s="45" t="s">
        <v>7763</v>
      </c>
    </row>
    <row r="5684" spans="1:4" s="45" customFormat="1" ht="13.5" x14ac:dyDescent="0.15">
      <c r="A5684" s="45" t="s">
        <v>41</v>
      </c>
      <c r="D5684" s="45" t="s">
        <v>101</v>
      </c>
    </row>
    <row r="5685" spans="1:4" s="45" customFormat="1" ht="13.5" x14ac:dyDescent="0.15">
      <c r="A5685" s="45" t="s">
        <v>41</v>
      </c>
      <c r="D5685" s="45" t="s">
        <v>7764</v>
      </c>
    </row>
    <row r="5686" spans="1:4" s="45" customFormat="1" ht="13.5" x14ac:dyDescent="0.15">
      <c r="A5686" s="45" t="s">
        <v>41</v>
      </c>
      <c r="D5686" s="45" t="s">
        <v>100</v>
      </c>
    </row>
    <row r="5687" spans="1:4" s="45" customFormat="1" ht="13.5" x14ac:dyDescent="0.15">
      <c r="A5687" s="45" t="s">
        <v>41</v>
      </c>
      <c r="D5687" s="45" t="s">
        <v>7765</v>
      </c>
    </row>
    <row r="5688" spans="1:4" s="45" customFormat="1" ht="13.5" x14ac:dyDescent="0.15">
      <c r="A5688" s="45" t="s">
        <v>41</v>
      </c>
      <c r="D5688" s="45" t="s">
        <v>7766</v>
      </c>
    </row>
    <row r="5689" spans="1:4" s="45" customFormat="1" ht="13.5" x14ac:dyDescent="0.15">
      <c r="A5689" s="45" t="s">
        <v>41</v>
      </c>
      <c r="D5689" s="45" t="s">
        <v>7767</v>
      </c>
    </row>
    <row r="5690" spans="1:4" s="45" customFormat="1" ht="13.5" x14ac:dyDescent="0.15">
      <c r="A5690" s="45" t="s">
        <v>41</v>
      </c>
      <c r="D5690" s="45" t="s">
        <v>7768</v>
      </c>
    </row>
    <row r="5691" spans="1:4" s="45" customFormat="1" ht="13.5" x14ac:dyDescent="0.15">
      <c r="A5691" s="45" t="s">
        <v>41</v>
      </c>
      <c r="D5691" s="45" t="s">
        <v>7769</v>
      </c>
    </row>
    <row r="5692" spans="1:4" s="45" customFormat="1" ht="13.5" x14ac:dyDescent="0.15">
      <c r="A5692" s="45" t="s">
        <v>41</v>
      </c>
      <c r="D5692" s="45" t="s">
        <v>102</v>
      </c>
    </row>
    <row r="5693" spans="1:4" s="45" customFormat="1" ht="13.5" x14ac:dyDescent="0.15">
      <c r="A5693" s="45" t="s">
        <v>41</v>
      </c>
      <c r="D5693" s="45" t="s">
        <v>7770</v>
      </c>
    </row>
    <row r="5694" spans="1:4" s="45" customFormat="1" ht="13.5" x14ac:dyDescent="0.15">
      <c r="A5694" s="45" t="s">
        <v>41</v>
      </c>
      <c r="D5694" s="45" t="s">
        <v>7771</v>
      </c>
    </row>
    <row r="5695" spans="1:4" s="45" customFormat="1" ht="13.5" x14ac:dyDescent="0.15">
      <c r="A5695" s="45" t="s">
        <v>41</v>
      </c>
      <c r="D5695" s="45" t="s">
        <v>1429</v>
      </c>
    </row>
    <row r="5696" spans="1:4" s="45" customFormat="1" ht="13.5" x14ac:dyDescent="0.15">
      <c r="A5696" s="45" t="s">
        <v>41</v>
      </c>
      <c r="D5696" s="45" t="s">
        <v>7772</v>
      </c>
    </row>
    <row r="5697" spans="1:4" s="45" customFormat="1" ht="13.5" x14ac:dyDescent="0.15">
      <c r="A5697" s="45" t="s">
        <v>41</v>
      </c>
      <c r="D5697" s="45" t="s">
        <v>1430</v>
      </c>
    </row>
    <row r="5698" spans="1:4" s="45" customFormat="1" ht="13.5" x14ac:dyDescent="0.15">
      <c r="A5698" s="45" t="s">
        <v>41</v>
      </c>
      <c r="D5698" s="45" t="s">
        <v>1410</v>
      </c>
    </row>
    <row r="5699" spans="1:4" s="45" customFormat="1" ht="13.5" x14ac:dyDescent="0.15">
      <c r="A5699" s="45" t="s">
        <v>41</v>
      </c>
      <c r="D5699" s="45" t="s">
        <v>7773</v>
      </c>
    </row>
    <row r="5700" spans="1:4" s="45" customFormat="1" ht="13.5" x14ac:dyDescent="0.15">
      <c r="A5700" s="45" t="s">
        <v>41</v>
      </c>
      <c r="D5700" s="45" t="s">
        <v>1806</v>
      </c>
    </row>
    <row r="5701" spans="1:4" s="45" customFormat="1" ht="13.5" x14ac:dyDescent="0.15">
      <c r="A5701" s="45" t="s">
        <v>41</v>
      </c>
      <c r="D5701" s="45" t="s">
        <v>7774</v>
      </c>
    </row>
    <row r="5702" spans="1:4" s="45" customFormat="1" ht="13.5" x14ac:dyDescent="0.15">
      <c r="A5702" s="45" t="s">
        <v>41</v>
      </c>
      <c r="D5702" s="45" t="s">
        <v>2498</v>
      </c>
    </row>
    <row r="5703" spans="1:4" s="45" customFormat="1" ht="13.5" x14ac:dyDescent="0.15">
      <c r="A5703" s="45" t="s">
        <v>41</v>
      </c>
      <c r="D5703" s="45" t="s">
        <v>2499</v>
      </c>
    </row>
    <row r="5704" spans="1:4" s="45" customFormat="1" ht="13.5" x14ac:dyDescent="0.15">
      <c r="A5704" s="45" t="s">
        <v>41</v>
      </c>
      <c r="D5704" s="45" t="s">
        <v>7775</v>
      </c>
    </row>
    <row r="5705" spans="1:4" s="45" customFormat="1" ht="13.5" x14ac:dyDescent="0.15">
      <c r="A5705" s="45" t="s">
        <v>41</v>
      </c>
      <c r="D5705" s="45" t="s">
        <v>7776</v>
      </c>
    </row>
    <row r="5706" spans="1:4" s="45" customFormat="1" ht="13.5" x14ac:dyDescent="0.15">
      <c r="A5706" s="45" t="s">
        <v>41</v>
      </c>
      <c r="D5706" s="45" t="s">
        <v>2501</v>
      </c>
    </row>
    <row r="5707" spans="1:4" s="45" customFormat="1" ht="13.5" x14ac:dyDescent="0.15">
      <c r="A5707" s="45" t="s">
        <v>41</v>
      </c>
      <c r="D5707" s="45" t="s">
        <v>7777</v>
      </c>
    </row>
    <row r="5708" spans="1:4" s="45" customFormat="1" ht="13.5" x14ac:dyDescent="0.15">
      <c r="A5708" s="45" t="s">
        <v>41</v>
      </c>
      <c r="D5708" s="45" t="s">
        <v>7778</v>
      </c>
    </row>
    <row r="5709" spans="1:4" s="45" customFormat="1" ht="13.5" x14ac:dyDescent="0.15">
      <c r="A5709" s="45" t="s">
        <v>41</v>
      </c>
      <c r="D5709" s="45" t="s">
        <v>7779</v>
      </c>
    </row>
    <row r="5710" spans="1:4" s="45" customFormat="1" ht="13.5" x14ac:dyDescent="0.15">
      <c r="A5710" s="45" t="s">
        <v>41</v>
      </c>
      <c r="D5710" s="45" t="s">
        <v>7780</v>
      </c>
    </row>
    <row r="5711" spans="1:4" s="45" customFormat="1" ht="13.5" x14ac:dyDescent="0.15">
      <c r="A5711" s="45" t="s">
        <v>41</v>
      </c>
      <c r="D5711" s="45" t="s">
        <v>7781</v>
      </c>
    </row>
    <row r="5712" spans="1:4" s="45" customFormat="1" ht="13.5" x14ac:dyDescent="0.15">
      <c r="A5712" s="45" t="s">
        <v>41</v>
      </c>
      <c r="D5712" s="45" t="s">
        <v>7782</v>
      </c>
    </row>
    <row r="5713" spans="1:4" s="45" customFormat="1" ht="13.5" x14ac:dyDescent="0.15">
      <c r="A5713" s="45" t="s">
        <v>41</v>
      </c>
      <c r="D5713" s="45" t="s">
        <v>2500</v>
      </c>
    </row>
    <row r="5714" spans="1:4" s="45" customFormat="1" ht="13.5" x14ac:dyDescent="0.15">
      <c r="A5714" s="45" t="s">
        <v>41</v>
      </c>
      <c r="D5714" s="45" t="s">
        <v>7783</v>
      </c>
    </row>
    <row r="5715" spans="1:4" s="45" customFormat="1" ht="13.5" x14ac:dyDescent="0.15">
      <c r="A5715" s="45" t="s">
        <v>41</v>
      </c>
      <c r="D5715" s="45" t="s">
        <v>7784</v>
      </c>
    </row>
    <row r="5716" spans="1:4" s="45" customFormat="1" ht="13.5" x14ac:dyDescent="0.15">
      <c r="A5716" s="45" t="s">
        <v>41</v>
      </c>
      <c r="D5716" s="45" t="s">
        <v>7785</v>
      </c>
    </row>
    <row r="5717" spans="1:4" s="45" customFormat="1" ht="13.5" x14ac:dyDescent="0.15">
      <c r="A5717" s="45" t="s">
        <v>41</v>
      </c>
      <c r="D5717" s="45" t="s">
        <v>7786</v>
      </c>
    </row>
    <row r="5718" spans="1:4" s="45" customFormat="1" ht="13.5" x14ac:dyDescent="0.15">
      <c r="A5718" s="45" t="s">
        <v>41</v>
      </c>
      <c r="D5718" s="45" t="s">
        <v>7787</v>
      </c>
    </row>
    <row r="5719" spans="1:4" s="45" customFormat="1" ht="13.5" x14ac:dyDescent="0.15">
      <c r="A5719" s="45" t="s">
        <v>41</v>
      </c>
      <c r="D5719" s="45" t="s">
        <v>7788</v>
      </c>
    </row>
    <row r="5720" spans="1:4" s="45" customFormat="1" ht="13.5" x14ac:dyDescent="0.15">
      <c r="A5720" s="45" t="s">
        <v>41</v>
      </c>
      <c r="D5720" s="45" t="s">
        <v>7789</v>
      </c>
    </row>
    <row r="5721" spans="1:4" s="45" customFormat="1" ht="13.5" x14ac:dyDescent="0.15">
      <c r="A5721" s="45" t="s">
        <v>41</v>
      </c>
      <c r="D5721" s="45" t="s">
        <v>7790</v>
      </c>
    </row>
    <row r="5722" spans="1:4" s="45" customFormat="1" ht="13.5" x14ac:dyDescent="0.15">
      <c r="A5722" s="45" t="s">
        <v>41</v>
      </c>
      <c r="D5722" s="45" t="s">
        <v>7791</v>
      </c>
    </row>
    <row r="5723" spans="1:4" s="45" customFormat="1" ht="13.5" x14ac:dyDescent="0.15">
      <c r="A5723" s="45" t="s">
        <v>41</v>
      </c>
      <c r="D5723" s="45" t="s">
        <v>7792</v>
      </c>
    </row>
    <row r="5724" spans="1:4" s="45" customFormat="1" ht="13.5" x14ac:dyDescent="0.15">
      <c r="A5724" s="45" t="s">
        <v>41</v>
      </c>
      <c r="D5724" s="45" t="s">
        <v>7793</v>
      </c>
    </row>
    <row r="5725" spans="1:4" s="45" customFormat="1" ht="13.5" x14ac:dyDescent="0.15">
      <c r="A5725" s="45" t="s">
        <v>41</v>
      </c>
      <c r="D5725" s="45" t="s">
        <v>7794</v>
      </c>
    </row>
    <row r="5726" spans="1:4" s="45" customFormat="1" ht="13.5" x14ac:dyDescent="0.15">
      <c r="A5726" s="45" t="s">
        <v>41</v>
      </c>
      <c r="D5726" s="45" t="s">
        <v>7795</v>
      </c>
    </row>
    <row r="5727" spans="1:4" s="45" customFormat="1" ht="13.5" x14ac:dyDescent="0.15">
      <c r="A5727" s="45" t="s">
        <v>41</v>
      </c>
      <c r="D5727" s="45" t="s">
        <v>7796</v>
      </c>
    </row>
    <row r="5728" spans="1:4" s="45" customFormat="1" ht="13.5" x14ac:dyDescent="0.15">
      <c r="A5728" s="45" t="s">
        <v>41</v>
      </c>
      <c r="D5728" s="45" t="s">
        <v>7797</v>
      </c>
    </row>
    <row r="5729" spans="1:4" s="45" customFormat="1" ht="13.5" x14ac:dyDescent="0.15">
      <c r="A5729" s="45" t="s">
        <v>41</v>
      </c>
      <c r="D5729" s="45" t="s">
        <v>7798</v>
      </c>
    </row>
    <row r="5730" spans="1:4" s="45" customFormat="1" ht="13.5" x14ac:dyDescent="0.15">
      <c r="A5730" s="45" t="s">
        <v>41</v>
      </c>
      <c r="D5730" s="45" t="s">
        <v>7799</v>
      </c>
    </row>
    <row r="5731" spans="1:4" s="45" customFormat="1" ht="13.5" x14ac:dyDescent="0.15">
      <c r="A5731" s="45" t="s">
        <v>41</v>
      </c>
      <c r="D5731" s="45" t="s">
        <v>7800</v>
      </c>
    </row>
    <row r="5732" spans="1:4" s="45" customFormat="1" ht="13.5" x14ac:dyDescent="0.15">
      <c r="A5732" s="45" t="s">
        <v>41</v>
      </c>
      <c r="D5732" s="45" t="s">
        <v>7801</v>
      </c>
    </row>
    <row r="5733" spans="1:4" s="45" customFormat="1" ht="13.5" x14ac:dyDescent="0.15">
      <c r="A5733" s="45" t="s">
        <v>41</v>
      </c>
      <c r="D5733" s="45" t="s">
        <v>2474</v>
      </c>
    </row>
    <row r="5734" spans="1:4" s="45" customFormat="1" ht="13.5" x14ac:dyDescent="0.15">
      <c r="A5734" s="45" t="s">
        <v>41</v>
      </c>
      <c r="D5734" s="45" t="s">
        <v>7802</v>
      </c>
    </row>
    <row r="5735" spans="1:4" s="45" customFormat="1" ht="13.5" x14ac:dyDescent="0.15">
      <c r="A5735" s="45" t="s">
        <v>41</v>
      </c>
      <c r="D5735" s="45" t="s">
        <v>2477</v>
      </c>
    </row>
    <row r="5736" spans="1:4" s="45" customFormat="1" ht="13.5" x14ac:dyDescent="0.15">
      <c r="A5736" s="45" t="s">
        <v>41</v>
      </c>
      <c r="D5736" s="45" t="s">
        <v>2475</v>
      </c>
    </row>
    <row r="5737" spans="1:4" s="45" customFormat="1" ht="13.5" x14ac:dyDescent="0.15">
      <c r="A5737" s="45" t="s">
        <v>41</v>
      </c>
      <c r="D5737" s="45" t="s">
        <v>7803</v>
      </c>
    </row>
    <row r="5738" spans="1:4" s="45" customFormat="1" ht="13.5" x14ac:dyDescent="0.15">
      <c r="A5738" s="45" t="s">
        <v>41</v>
      </c>
      <c r="D5738" s="45" t="s">
        <v>2479</v>
      </c>
    </row>
    <row r="5739" spans="1:4" s="45" customFormat="1" ht="13.5" x14ac:dyDescent="0.15">
      <c r="A5739" s="45" t="s">
        <v>41</v>
      </c>
      <c r="D5739" s="45" t="s">
        <v>7804</v>
      </c>
    </row>
    <row r="5740" spans="1:4" s="45" customFormat="1" ht="13.5" x14ac:dyDescent="0.15">
      <c r="A5740" s="45" t="s">
        <v>41</v>
      </c>
      <c r="D5740" s="45" t="s">
        <v>7805</v>
      </c>
    </row>
    <row r="5741" spans="1:4" s="45" customFormat="1" ht="13.5" x14ac:dyDescent="0.15">
      <c r="A5741" s="45" t="s">
        <v>41</v>
      </c>
      <c r="D5741" s="45" t="s">
        <v>7806</v>
      </c>
    </row>
    <row r="5742" spans="1:4" s="45" customFormat="1" ht="13.5" x14ac:dyDescent="0.15">
      <c r="A5742" s="45" t="s">
        <v>41</v>
      </c>
      <c r="D5742" s="45" t="s">
        <v>2476</v>
      </c>
    </row>
    <row r="5743" spans="1:4" s="45" customFormat="1" ht="13.5" x14ac:dyDescent="0.15">
      <c r="A5743" s="45" t="s">
        <v>41</v>
      </c>
      <c r="D5743" s="45" t="s">
        <v>2478</v>
      </c>
    </row>
    <row r="5744" spans="1:4" s="45" customFormat="1" ht="13.5" x14ac:dyDescent="0.15">
      <c r="A5744" s="45" t="s">
        <v>41</v>
      </c>
      <c r="D5744" s="45" t="s">
        <v>2480</v>
      </c>
    </row>
    <row r="5745" spans="1:4" s="45" customFormat="1" ht="13.5" x14ac:dyDescent="0.15">
      <c r="A5745" s="45" t="s">
        <v>41</v>
      </c>
      <c r="D5745" s="45" t="s">
        <v>7807</v>
      </c>
    </row>
    <row r="5746" spans="1:4" s="45" customFormat="1" ht="13.5" x14ac:dyDescent="0.15">
      <c r="A5746" s="45" t="s">
        <v>41</v>
      </c>
      <c r="D5746" s="45" t="s">
        <v>7808</v>
      </c>
    </row>
    <row r="5747" spans="1:4" s="45" customFormat="1" ht="13.5" x14ac:dyDescent="0.15">
      <c r="A5747" s="45" t="s">
        <v>41</v>
      </c>
      <c r="D5747" s="45" t="s">
        <v>7809</v>
      </c>
    </row>
    <row r="5748" spans="1:4" s="45" customFormat="1" ht="13.5" x14ac:dyDescent="0.15">
      <c r="A5748" s="45" t="s">
        <v>41</v>
      </c>
      <c r="D5748" s="45" t="s">
        <v>7810</v>
      </c>
    </row>
    <row r="5749" spans="1:4" s="45" customFormat="1" ht="13.5" x14ac:dyDescent="0.15">
      <c r="A5749" s="45" t="s">
        <v>41</v>
      </c>
      <c r="D5749" s="45" t="s">
        <v>7811</v>
      </c>
    </row>
    <row r="5750" spans="1:4" s="45" customFormat="1" ht="13.5" x14ac:dyDescent="0.15">
      <c r="A5750" s="45" t="s">
        <v>41</v>
      </c>
      <c r="D5750" s="45" t="s">
        <v>7812</v>
      </c>
    </row>
    <row r="5751" spans="1:4" s="45" customFormat="1" ht="13.5" x14ac:dyDescent="0.15">
      <c r="A5751" s="45" t="s">
        <v>41</v>
      </c>
      <c r="D5751" s="45" t="s">
        <v>7813</v>
      </c>
    </row>
    <row r="5752" spans="1:4" s="45" customFormat="1" ht="13.5" x14ac:dyDescent="0.15">
      <c r="A5752" s="45" t="s">
        <v>41</v>
      </c>
      <c r="D5752" s="45" t="s">
        <v>7814</v>
      </c>
    </row>
    <row r="5753" spans="1:4" s="45" customFormat="1" ht="13.5" x14ac:dyDescent="0.15">
      <c r="A5753" s="45" t="s">
        <v>41</v>
      </c>
      <c r="D5753" s="45" t="s">
        <v>7815</v>
      </c>
    </row>
    <row r="5754" spans="1:4" s="45" customFormat="1" ht="13.5" x14ac:dyDescent="0.15">
      <c r="A5754" s="45" t="s">
        <v>41</v>
      </c>
      <c r="D5754" s="45" t="s">
        <v>7816</v>
      </c>
    </row>
    <row r="5755" spans="1:4" s="45" customFormat="1" ht="13.5" x14ac:dyDescent="0.15">
      <c r="A5755" s="45" t="s">
        <v>41</v>
      </c>
      <c r="D5755" s="45" t="s">
        <v>7817</v>
      </c>
    </row>
    <row r="5756" spans="1:4" s="45" customFormat="1" ht="13.5" x14ac:dyDescent="0.15">
      <c r="A5756" s="45" t="s">
        <v>41</v>
      </c>
      <c r="D5756" s="45" t="s">
        <v>7818</v>
      </c>
    </row>
    <row r="5757" spans="1:4" s="45" customFormat="1" ht="13.5" x14ac:dyDescent="0.15">
      <c r="A5757" s="45" t="s">
        <v>41</v>
      </c>
      <c r="D5757" s="45" t="s">
        <v>7819</v>
      </c>
    </row>
    <row r="5758" spans="1:4" s="45" customFormat="1" ht="13.5" x14ac:dyDescent="0.15">
      <c r="A5758" s="45" t="s">
        <v>41</v>
      </c>
      <c r="D5758" s="45" t="s">
        <v>7820</v>
      </c>
    </row>
    <row r="5759" spans="1:4" s="45" customFormat="1" ht="13.5" x14ac:dyDescent="0.15">
      <c r="A5759" s="45" t="s">
        <v>41</v>
      </c>
      <c r="D5759" s="45" t="s">
        <v>7821</v>
      </c>
    </row>
    <row r="5760" spans="1:4" s="45" customFormat="1" ht="13.5" x14ac:dyDescent="0.15">
      <c r="A5760" s="45" t="s">
        <v>41</v>
      </c>
      <c r="D5760" s="45" t="s">
        <v>7822</v>
      </c>
    </row>
    <row r="5761" spans="1:4" s="45" customFormat="1" ht="13.5" x14ac:dyDescent="0.15">
      <c r="A5761" s="45" t="s">
        <v>41</v>
      </c>
      <c r="D5761" s="45" t="s">
        <v>7823</v>
      </c>
    </row>
    <row r="5762" spans="1:4" s="45" customFormat="1" ht="13.5" x14ac:dyDescent="0.15">
      <c r="A5762" s="45" t="s">
        <v>41</v>
      </c>
      <c r="D5762" s="45" t="s">
        <v>7824</v>
      </c>
    </row>
    <row r="5763" spans="1:4" s="45" customFormat="1" ht="13.5" x14ac:dyDescent="0.15">
      <c r="A5763" s="45" t="s">
        <v>41</v>
      </c>
      <c r="D5763" s="45" t="s">
        <v>7825</v>
      </c>
    </row>
    <row r="5764" spans="1:4" s="45" customFormat="1" ht="13.5" x14ac:dyDescent="0.15">
      <c r="A5764" s="45" t="s">
        <v>41</v>
      </c>
      <c r="D5764" s="45" t="s">
        <v>7826</v>
      </c>
    </row>
    <row r="5765" spans="1:4" s="45" customFormat="1" ht="13.5" x14ac:dyDescent="0.15">
      <c r="A5765" s="45" t="s">
        <v>41</v>
      </c>
      <c r="D5765" s="45" t="s">
        <v>7827</v>
      </c>
    </row>
    <row r="5766" spans="1:4" s="45" customFormat="1" ht="13.5" x14ac:dyDescent="0.15">
      <c r="A5766" s="45" t="s">
        <v>41</v>
      </c>
      <c r="D5766" s="45" t="s">
        <v>7828</v>
      </c>
    </row>
    <row r="5767" spans="1:4" s="45" customFormat="1" ht="13.5" x14ac:dyDescent="0.15">
      <c r="A5767" s="45" t="s">
        <v>41</v>
      </c>
      <c r="D5767" s="45" t="s">
        <v>7829</v>
      </c>
    </row>
    <row r="5768" spans="1:4" s="45" customFormat="1" ht="13.5" x14ac:dyDescent="0.15">
      <c r="A5768" s="45" t="s">
        <v>41</v>
      </c>
      <c r="D5768" s="45" t="s">
        <v>7830</v>
      </c>
    </row>
    <row r="5769" spans="1:4" s="45" customFormat="1" ht="13.5" x14ac:dyDescent="0.15">
      <c r="A5769" s="45" t="s">
        <v>41</v>
      </c>
      <c r="D5769" s="45" t="s">
        <v>7831</v>
      </c>
    </row>
    <row r="5770" spans="1:4" s="45" customFormat="1" ht="13.5" x14ac:dyDescent="0.15">
      <c r="A5770" s="45" t="s">
        <v>41</v>
      </c>
      <c r="D5770" s="45" t="s">
        <v>7832</v>
      </c>
    </row>
    <row r="5771" spans="1:4" s="45" customFormat="1" ht="13.5" x14ac:dyDescent="0.15">
      <c r="A5771" s="45" t="s">
        <v>41</v>
      </c>
      <c r="D5771" s="45" t="s">
        <v>7833</v>
      </c>
    </row>
    <row r="5772" spans="1:4" s="45" customFormat="1" ht="13.5" x14ac:dyDescent="0.15">
      <c r="A5772" s="45" t="s">
        <v>41</v>
      </c>
      <c r="D5772" s="45" t="s">
        <v>7834</v>
      </c>
    </row>
    <row r="5773" spans="1:4" s="45" customFormat="1" ht="13.5" x14ac:dyDescent="0.15">
      <c r="A5773" s="45" t="s">
        <v>41</v>
      </c>
      <c r="D5773" s="45" t="s">
        <v>7835</v>
      </c>
    </row>
    <row r="5774" spans="1:4" s="45" customFormat="1" ht="13.5" x14ac:dyDescent="0.15">
      <c r="A5774" s="45" t="s">
        <v>41</v>
      </c>
      <c r="D5774" s="45" t="s">
        <v>7836</v>
      </c>
    </row>
    <row r="5775" spans="1:4" s="45" customFormat="1" ht="13.5" x14ac:dyDescent="0.15">
      <c r="A5775" s="45" t="s">
        <v>41</v>
      </c>
      <c r="D5775" s="45" t="s">
        <v>7837</v>
      </c>
    </row>
    <row r="5776" spans="1:4" s="45" customFormat="1" ht="13.5" x14ac:dyDescent="0.15">
      <c r="A5776" s="45" t="s">
        <v>41</v>
      </c>
      <c r="D5776" s="45" t="s">
        <v>7838</v>
      </c>
    </row>
    <row r="5777" spans="1:4" s="45" customFormat="1" ht="13.5" x14ac:dyDescent="0.15">
      <c r="A5777" s="45" t="s">
        <v>41</v>
      </c>
      <c r="D5777" s="45" t="s">
        <v>7839</v>
      </c>
    </row>
    <row r="5778" spans="1:4" s="45" customFormat="1" ht="13.5" x14ac:dyDescent="0.15">
      <c r="A5778" s="45" t="s">
        <v>41</v>
      </c>
      <c r="D5778" s="45" t="s">
        <v>7840</v>
      </c>
    </row>
    <row r="5779" spans="1:4" s="45" customFormat="1" ht="13.5" x14ac:dyDescent="0.15">
      <c r="A5779" s="45" t="s">
        <v>41</v>
      </c>
      <c r="D5779" s="45" t="s">
        <v>7841</v>
      </c>
    </row>
    <row r="5780" spans="1:4" s="45" customFormat="1" ht="13.5" x14ac:dyDescent="0.15">
      <c r="A5780" s="45" t="s">
        <v>41</v>
      </c>
      <c r="D5780" s="45" t="s">
        <v>1965</v>
      </c>
    </row>
    <row r="5781" spans="1:4" s="45" customFormat="1" ht="13.5" x14ac:dyDescent="0.15">
      <c r="A5781" s="45" t="s">
        <v>41</v>
      </c>
      <c r="D5781" s="45" t="s">
        <v>7842</v>
      </c>
    </row>
    <row r="5782" spans="1:4" s="45" customFormat="1" ht="13.5" x14ac:dyDescent="0.15">
      <c r="A5782" s="45" t="s">
        <v>41</v>
      </c>
      <c r="D5782" s="45" t="s">
        <v>7843</v>
      </c>
    </row>
    <row r="5783" spans="1:4" s="45" customFormat="1" ht="13.5" x14ac:dyDescent="0.15">
      <c r="A5783" s="45" t="s">
        <v>41</v>
      </c>
      <c r="D5783" s="45" t="s">
        <v>1968</v>
      </c>
    </row>
    <row r="5784" spans="1:4" s="45" customFormat="1" ht="13.5" x14ac:dyDescent="0.15">
      <c r="A5784" s="45" t="s">
        <v>41</v>
      </c>
      <c r="D5784" s="45" t="s">
        <v>7844</v>
      </c>
    </row>
    <row r="5785" spans="1:4" s="45" customFormat="1" ht="13.5" x14ac:dyDescent="0.15">
      <c r="A5785" s="45" t="s">
        <v>41</v>
      </c>
      <c r="D5785" s="45" t="s">
        <v>7845</v>
      </c>
    </row>
    <row r="5786" spans="1:4" s="45" customFormat="1" ht="13.5" x14ac:dyDescent="0.15">
      <c r="A5786" s="45" t="s">
        <v>41</v>
      </c>
      <c r="D5786" s="45" t="s">
        <v>7846</v>
      </c>
    </row>
    <row r="5787" spans="1:4" s="45" customFormat="1" ht="13.5" x14ac:dyDescent="0.15">
      <c r="A5787" s="45" t="s">
        <v>41</v>
      </c>
      <c r="D5787" s="45" t="s">
        <v>1967</v>
      </c>
    </row>
    <row r="5788" spans="1:4" s="45" customFormat="1" ht="13.5" x14ac:dyDescent="0.15">
      <c r="A5788" s="45" t="s">
        <v>41</v>
      </c>
      <c r="D5788" s="45" t="s">
        <v>7847</v>
      </c>
    </row>
    <row r="5789" spans="1:4" s="45" customFormat="1" ht="13.5" x14ac:dyDescent="0.15">
      <c r="A5789" s="45" t="s">
        <v>41</v>
      </c>
      <c r="D5789" s="45" t="s">
        <v>7848</v>
      </c>
    </row>
    <row r="5790" spans="1:4" s="45" customFormat="1" ht="13.5" x14ac:dyDescent="0.15">
      <c r="A5790" s="45" t="s">
        <v>41</v>
      </c>
      <c r="D5790" s="45" t="s">
        <v>7849</v>
      </c>
    </row>
    <row r="5791" spans="1:4" s="45" customFormat="1" ht="13.5" x14ac:dyDescent="0.15">
      <c r="A5791" s="45" t="s">
        <v>41</v>
      </c>
      <c r="D5791" s="45" t="s">
        <v>7850</v>
      </c>
    </row>
    <row r="5792" spans="1:4" s="45" customFormat="1" ht="13.5" x14ac:dyDescent="0.15">
      <c r="A5792" s="45" t="s">
        <v>41</v>
      </c>
      <c r="D5792" s="45" t="s">
        <v>7851</v>
      </c>
    </row>
    <row r="5793" spans="1:4" s="45" customFormat="1" ht="13.5" x14ac:dyDescent="0.15">
      <c r="A5793" s="45" t="s">
        <v>41</v>
      </c>
      <c r="D5793" s="45" t="s">
        <v>7852</v>
      </c>
    </row>
    <row r="5794" spans="1:4" s="45" customFormat="1" ht="13.5" x14ac:dyDescent="0.15">
      <c r="A5794" s="45" t="s">
        <v>41</v>
      </c>
      <c r="D5794" s="45" t="s">
        <v>7853</v>
      </c>
    </row>
    <row r="5795" spans="1:4" s="45" customFormat="1" ht="13.5" x14ac:dyDescent="0.15">
      <c r="A5795" s="45" t="s">
        <v>41</v>
      </c>
      <c r="D5795" s="45" t="s">
        <v>7854</v>
      </c>
    </row>
    <row r="5796" spans="1:4" s="45" customFormat="1" ht="13.5" x14ac:dyDescent="0.15">
      <c r="A5796" s="45" t="s">
        <v>41</v>
      </c>
      <c r="D5796" s="45" t="s">
        <v>7855</v>
      </c>
    </row>
    <row r="5797" spans="1:4" s="45" customFormat="1" ht="13.5" x14ac:dyDescent="0.15">
      <c r="A5797" s="45" t="s">
        <v>41</v>
      </c>
      <c r="D5797" s="45" t="s">
        <v>1966</v>
      </c>
    </row>
    <row r="5798" spans="1:4" s="45" customFormat="1" ht="13.5" x14ac:dyDescent="0.15">
      <c r="A5798" s="45" t="s">
        <v>41</v>
      </c>
      <c r="D5798" s="45" t="s">
        <v>7856</v>
      </c>
    </row>
    <row r="5799" spans="1:4" s="45" customFormat="1" ht="13.5" x14ac:dyDescent="0.15">
      <c r="A5799" s="45" t="s">
        <v>41</v>
      </c>
      <c r="D5799" s="45" t="s">
        <v>7857</v>
      </c>
    </row>
    <row r="5800" spans="1:4" s="45" customFormat="1" ht="13.5" x14ac:dyDescent="0.15">
      <c r="A5800" s="45" t="s">
        <v>41</v>
      </c>
      <c r="D5800" s="45" t="s">
        <v>7858</v>
      </c>
    </row>
    <row r="5801" spans="1:4" s="45" customFormat="1" ht="13.5" x14ac:dyDescent="0.15">
      <c r="A5801" s="45" t="s">
        <v>41</v>
      </c>
      <c r="D5801" s="45" t="s">
        <v>7859</v>
      </c>
    </row>
    <row r="5802" spans="1:4" s="45" customFormat="1" ht="13.5" x14ac:dyDescent="0.15">
      <c r="A5802" s="45" t="s">
        <v>41</v>
      </c>
      <c r="D5802" s="45" t="s">
        <v>7860</v>
      </c>
    </row>
    <row r="5803" spans="1:4" s="45" customFormat="1" ht="13.5" x14ac:dyDescent="0.15">
      <c r="A5803" s="45" t="s">
        <v>41</v>
      </c>
      <c r="D5803" s="45" t="s">
        <v>7861</v>
      </c>
    </row>
    <row r="5804" spans="1:4" s="45" customFormat="1" ht="13.5" x14ac:dyDescent="0.15">
      <c r="A5804" s="45" t="s">
        <v>41</v>
      </c>
      <c r="D5804" s="45" t="s">
        <v>7862</v>
      </c>
    </row>
    <row r="5805" spans="1:4" s="45" customFormat="1" ht="13.5" x14ac:dyDescent="0.15">
      <c r="A5805" s="45" t="s">
        <v>41</v>
      </c>
      <c r="D5805" s="45" t="s">
        <v>7863</v>
      </c>
    </row>
    <row r="5806" spans="1:4" s="45" customFormat="1" ht="13.5" x14ac:dyDescent="0.15">
      <c r="A5806" s="45" t="s">
        <v>41</v>
      </c>
      <c r="D5806" s="45" t="s">
        <v>7864</v>
      </c>
    </row>
    <row r="5807" spans="1:4" s="45" customFormat="1" ht="13.5" x14ac:dyDescent="0.15">
      <c r="A5807" s="45" t="s">
        <v>41</v>
      </c>
      <c r="D5807" s="45" t="s">
        <v>7865</v>
      </c>
    </row>
    <row r="5808" spans="1:4" s="45" customFormat="1" ht="13.5" x14ac:dyDescent="0.15">
      <c r="A5808" s="45" t="s">
        <v>41</v>
      </c>
      <c r="D5808" s="45" t="s">
        <v>7866</v>
      </c>
    </row>
    <row r="5809" spans="1:4" s="45" customFormat="1" ht="13.5" x14ac:dyDescent="0.15">
      <c r="A5809" s="45" t="s">
        <v>41</v>
      </c>
      <c r="D5809" s="45" t="s">
        <v>7867</v>
      </c>
    </row>
    <row r="5810" spans="1:4" s="45" customFormat="1" ht="13.5" x14ac:dyDescent="0.15">
      <c r="A5810" s="45" t="s">
        <v>41</v>
      </c>
      <c r="D5810" s="45" t="s">
        <v>7868</v>
      </c>
    </row>
    <row r="5811" spans="1:4" s="45" customFormat="1" ht="13.5" x14ac:dyDescent="0.15">
      <c r="A5811" s="45" t="s">
        <v>41</v>
      </c>
      <c r="D5811" s="45" t="s">
        <v>7869</v>
      </c>
    </row>
    <row r="5812" spans="1:4" s="45" customFormat="1" ht="13.5" x14ac:dyDescent="0.15">
      <c r="A5812" s="45" t="s">
        <v>41</v>
      </c>
      <c r="D5812" s="45" t="s">
        <v>7870</v>
      </c>
    </row>
    <row r="5813" spans="1:4" s="45" customFormat="1" ht="13.5" x14ac:dyDescent="0.15">
      <c r="A5813" s="45" t="s">
        <v>41</v>
      </c>
      <c r="D5813" s="45" t="s">
        <v>7871</v>
      </c>
    </row>
    <row r="5814" spans="1:4" s="45" customFormat="1" ht="13.5" x14ac:dyDescent="0.15">
      <c r="A5814" s="45" t="s">
        <v>41</v>
      </c>
      <c r="D5814" s="45" t="s">
        <v>7872</v>
      </c>
    </row>
    <row r="5815" spans="1:4" s="45" customFormat="1" ht="13.5" x14ac:dyDescent="0.15">
      <c r="A5815" s="45" t="s">
        <v>41</v>
      </c>
      <c r="D5815" s="45" t="s">
        <v>7873</v>
      </c>
    </row>
    <row r="5816" spans="1:4" s="45" customFormat="1" ht="13.5" x14ac:dyDescent="0.15">
      <c r="A5816" s="45" t="s">
        <v>41</v>
      </c>
      <c r="D5816" s="45" t="s">
        <v>1289</v>
      </c>
    </row>
    <row r="5817" spans="1:4" s="45" customFormat="1" ht="13.5" x14ac:dyDescent="0.15">
      <c r="A5817" s="45" t="s">
        <v>41</v>
      </c>
      <c r="D5817" s="45" t="s">
        <v>1290</v>
      </c>
    </row>
    <row r="5818" spans="1:4" s="45" customFormat="1" ht="13.5" x14ac:dyDescent="0.15">
      <c r="A5818" s="45" t="s">
        <v>41</v>
      </c>
      <c r="D5818" s="45" t="s">
        <v>7874</v>
      </c>
    </row>
    <row r="5819" spans="1:4" s="45" customFormat="1" ht="13.5" x14ac:dyDescent="0.15">
      <c r="A5819" s="45" t="s">
        <v>41</v>
      </c>
      <c r="D5819" s="45" t="s">
        <v>7875</v>
      </c>
    </row>
    <row r="5820" spans="1:4" s="45" customFormat="1" ht="13.5" x14ac:dyDescent="0.15">
      <c r="A5820" s="45" t="s">
        <v>41</v>
      </c>
      <c r="D5820" s="45" t="s">
        <v>1393</v>
      </c>
    </row>
    <row r="5821" spans="1:4" s="45" customFormat="1" ht="13.5" x14ac:dyDescent="0.15">
      <c r="A5821" s="45" t="s">
        <v>41</v>
      </c>
      <c r="D5821" s="45" t="s">
        <v>1392</v>
      </c>
    </row>
    <row r="5822" spans="1:4" s="45" customFormat="1" ht="13.5" x14ac:dyDescent="0.15">
      <c r="A5822" s="45" t="s">
        <v>41</v>
      </c>
      <c r="D5822" s="45" t="s">
        <v>7876</v>
      </c>
    </row>
    <row r="5823" spans="1:4" s="45" customFormat="1" ht="13.5" x14ac:dyDescent="0.15">
      <c r="A5823" s="45" t="s">
        <v>41</v>
      </c>
      <c r="D5823" s="45" t="s">
        <v>1391</v>
      </c>
    </row>
    <row r="5824" spans="1:4" s="45" customFormat="1" ht="13.5" x14ac:dyDescent="0.15">
      <c r="A5824" s="45" t="s">
        <v>41</v>
      </c>
      <c r="D5824" s="45" t="s">
        <v>319</v>
      </c>
    </row>
    <row r="5825" spans="1:4" s="45" customFormat="1" ht="13.5" x14ac:dyDescent="0.15">
      <c r="A5825" s="45" t="s">
        <v>41</v>
      </c>
      <c r="D5825" s="45" t="s">
        <v>7877</v>
      </c>
    </row>
    <row r="5826" spans="1:4" s="45" customFormat="1" ht="13.5" x14ac:dyDescent="0.15">
      <c r="A5826" s="45" t="s">
        <v>41</v>
      </c>
      <c r="D5826" s="45" t="s">
        <v>323</v>
      </c>
    </row>
    <row r="5827" spans="1:4" s="45" customFormat="1" ht="13.5" x14ac:dyDescent="0.15">
      <c r="A5827" s="45" t="s">
        <v>41</v>
      </c>
      <c r="D5827" s="45" t="s">
        <v>325</v>
      </c>
    </row>
    <row r="5828" spans="1:4" s="45" customFormat="1" ht="13.5" x14ac:dyDescent="0.15">
      <c r="A5828" s="45" t="s">
        <v>41</v>
      </c>
      <c r="D5828" s="45" t="s">
        <v>324</v>
      </c>
    </row>
    <row r="5829" spans="1:4" s="45" customFormat="1" ht="13.5" x14ac:dyDescent="0.15">
      <c r="A5829" s="45" t="s">
        <v>41</v>
      </c>
      <c r="D5829" s="45" t="s">
        <v>321</v>
      </c>
    </row>
    <row r="5830" spans="1:4" s="45" customFormat="1" ht="13.5" x14ac:dyDescent="0.15">
      <c r="A5830" s="45" t="s">
        <v>41</v>
      </c>
      <c r="D5830" s="45" t="s">
        <v>320</v>
      </c>
    </row>
    <row r="5831" spans="1:4" s="45" customFormat="1" ht="13.5" x14ac:dyDescent="0.15">
      <c r="A5831" s="45" t="s">
        <v>41</v>
      </c>
      <c r="D5831" s="45" t="s">
        <v>326</v>
      </c>
    </row>
    <row r="5832" spans="1:4" s="45" customFormat="1" ht="13.5" x14ac:dyDescent="0.15">
      <c r="A5832" s="45" t="s">
        <v>41</v>
      </c>
      <c r="D5832" s="45" t="s">
        <v>322</v>
      </c>
    </row>
    <row r="5833" spans="1:4" s="45" customFormat="1" ht="13.5" x14ac:dyDescent="0.15">
      <c r="A5833" s="45" t="s">
        <v>41</v>
      </c>
      <c r="D5833" s="45" t="s">
        <v>1604</v>
      </c>
    </row>
    <row r="5834" spans="1:4" s="45" customFormat="1" ht="13.5" x14ac:dyDescent="0.15">
      <c r="A5834" s="45" t="s">
        <v>41</v>
      </c>
      <c r="D5834" s="45" t="s">
        <v>1602</v>
      </c>
    </row>
    <row r="5835" spans="1:4" s="45" customFormat="1" ht="13.5" x14ac:dyDescent="0.15">
      <c r="A5835" s="45" t="s">
        <v>41</v>
      </c>
      <c r="D5835" s="45" t="s">
        <v>1603</v>
      </c>
    </row>
    <row r="5836" spans="1:4" s="45" customFormat="1" ht="13.5" x14ac:dyDescent="0.15">
      <c r="A5836" s="45" t="s">
        <v>41</v>
      </c>
      <c r="D5836" s="45" t="s">
        <v>2295</v>
      </c>
    </row>
    <row r="5837" spans="1:4" s="45" customFormat="1" ht="13.5" x14ac:dyDescent="0.15">
      <c r="A5837" s="45" t="s">
        <v>41</v>
      </c>
      <c r="D5837" s="45" t="s">
        <v>900</v>
      </c>
    </row>
    <row r="5838" spans="1:4" s="45" customFormat="1" ht="13.5" x14ac:dyDescent="0.15">
      <c r="A5838" s="45" t="s">
        <v>41</v>
      </c>
      <c r="D5838" s="45" t="s">
        <v>899</v>
      </c>
    </row>
    <row r="5839" spans="1:4" s="45" customFormat="1" ht="13.5" x14ac:dyDescent="0.15">
      <c r="A5839" s="45" t="s">
        <v>41</v>
      </c>
      <c r="D5839" s="45" t="s">
        <v>7878</v>
      </c>
    </row>
    <row r="5840" spans="1:4" s="45" customFormat="1" ht="13.5" x14ac:dyDescent="0.15">
      <c r="A5840" s="45" t="s">
        <v>41</v>
      </c>
      <c r="D5840" s="45" t="s">
        <v>410</v>
      </c>
    </row>
    <row r="5841" spans="1:4" s="45" customFormat="1" ht="13.5" x14ac:dyDescent="0.15">
      <c r="A5841" s="45" t="s">
        <v>41</v>
      </c>
      <c r="D5841" s="45" t="s">
        <v>7879</v>
      </c>
    </row>
    <row r="5842" spans="1:4" s="45" customFormat="1" ht="13.5" x14ac:dyDescent="0.15">
      <c r="A5842" s="45" t="s">
        <v>41</v>
      </c>
      <c r="D5842" s="45" t="s">
        <v>7880</v>
      </c>
    </row>
    <row r="5843" spans="1:4" s="45" customFormat="1" ht="13.5" x14ac:dyDescent="0.15">
      <c r="A5843" s="45" t="s">
        <v>41</v>
      </c>
      <c r="D5843" s="45" t="s">
        <v>617</v>
      </c>
    </row>
    <row r="5844" spans="1:4" s="45" customFormat="1" ht="13.5" x14ac:dyDescent="0.15">
      <c r="A5844" s="45" t="s">
        <v>41</v>
      </c>
      <c r="D5844" s="45" t="s">
        <v>615</v>
      </c>
    </row>
    <row r="5845" spans="1:4" s="45" customFormat="1" ht="13.5" x14ac:dyDescent="0.15">
      <c r="A5845" s="45" t="s">
        <v>41</v>
      </c>
      <c r="D5845" s="45" t="s">
        <v>7881</v>
      </c>
    </row>
    <row r="5846" spans="1:4" s="45" customFormat="1" ht="13.5" x14ac:dyDescent="0.15">
      <c r="A5846" s="45" t="s">
        <v>41</v>
      </c>
      <c r="D5846" s="45" t="s">
        <v>7882</v>
      </c>
    </row>
    <row r="5847" spans="1:4" s="45" customFormat="1" ht="13.5" x14ac:dyDescent="0.15">
      <c r="A5847" s="45" t="s">
        <v>41</v>
      </c>
      <c r="D5847" s="45" t="s">
        <v>7883</v>
      </c>
    </row>
    <row r="5848" spans="1:4" s="45" customFormat="1" ht="13.5" x14ac:dyDescent="0.15">
      <c r="A5848" s="45" t="s">
        <v>41</v>
      </c>
      <c r="D5848" s="45" t="s">
        <v>113</v>
      </c>
    </row>
    <row r="5849" spans="1:4" s="45" customFormat="1" ht="13.5" x14ac:dyDescent="0.15">
      <c r="A5849" s="45" t="s">
        <v>41</v>
      </c>
      <c r="D5849" s="45" t="s">
        <v>7884</v>
      </c>
    </row>
    <row r="5850" spans="1:4" s="45" customFormat="1" ht="13.5" x14ac:dyDescent="0.15">
      <c r="A5850" s="45" t="s">
        <v>41</v>
      </c>
      <c r="D5850" s="45" t="s">
        <v>7885</v>
      </c>
    </row>
    <row r="5851" spans="1:4" s="45" customFormat="1" ht="13.5" x14ac:dyDescent="0.15">
      <c r="A5851" s="45" t="s">
        <v>41</v>
      </c>
      <c r="D5851" s="45" t="s">
        <v>112</v>
      </c>
    </row>
    <row r="5852" spans="1:4" s="45" customFormat="1" ht="13.5" x14ac:dyDescent="0.15">
      <c r="A5852" s="45" t="s">
        <v>41</v>
      </c>
      <c r="D5852" s="45" t="s">
        <v>7886</v>
      </c>
    </row>
    <row r="5853" spans="1:4" s="45" customFormat="1" ht="13.5" x14ac:dyDescent="0.15">
      <c r="A5853" s="45" t="s">
        <v>41</v>
      </c>
      <c r="D5853" s="45" t="s">
        <v>7887</v>
      </c>
    </row>
    <row r="5854" spans="1:4" s="45" customFormat="1" ht="13.5" x14ac:dyDescent="0.15">
      <c r="A5854" s="45" t="s">
        <v>41</v>
      </c>
      <c r="D5854" s="45" t="s">
        <v>111</v>
      </c>
    </row>
    <row r="5855" spans="1:4" s="45" customFormat="1" ht="13.5" x14ac:dyDescent="0.15">
      <c r="A5855" s="45" t="s">
        <v>41</v>
      </c>
      <c r="D5855" s="45" t="s">
        <v>7888</v>
      </c>
    </row>
    <row r="5856" spans="1:4" s="45" customFormat="1" ht="13.5" x14ac:dyDescent="0.15">
      <c r="A5856" s="45" t="s">
        <v>41</v>
      </c>
      <c r="D5856" s="45" t="s">
        <v>109</v>
      </c>
    </row>
    <row r="5857" spans="1:4" s="45" customFormat="1" ht="13.5" x14ac:dyDescent="0.15">
      <c r="A5857" s="45" t="s">
        <v>41</v>
      </c>
      <c r="D5857" s="45" t="s">
        <v>110</v>
      </c>
    </row>
    <row r="5858" spans="1:4" s="45" customFormat="1" ht="13.5" x14ac:dyDescent="0.15">
      <c r="A5858" s="45" t="s">
        <v>41</v>
      </c>
      <c r="D5858" s="45" t="s">
        <v>7889</v>
      </c>
    </row>
    <row r="5859" spans="1:4" s="45" customFormat="1" ht="13.5" x14ac:dyDescent="0.15">
      <c r="A5859" s="45" t="s">
        <v>41</v>
      </c>
      <c r="D5859" s="45" t="s">
        <v>7890</v>
      </c>
    </row>
    <row r="5860" spans="1:4" s="45" customFormat="1" ht="13.5" x14ac:dyDescent="0.15">
      <c r="A5860" s="45" t="s">
        <v>41</v>
      </c>
      <c r="D5860" s="45" t="s">
        <v>7891</v>
      </c>
    </row>
    <row r="5861" spans="1:4" s="45" customFormat="1" ht="13.5" x14ac:dyDescent="0.15">
      <c r="A5861" s="45" t="s">
        <v>41</v>
      </c>
      <c r="D5861" s="45" t="s">
        <v>7892</v>
      </c>
    </row>
    <row r="5862" spans="1:4" s="45" customFormat="1" ht="13.5" x14ac:dyDescent="0.15">
      <c r="A5862" s="45" t="s">
        <v>41</v>
      </c>
      <c r="D5862" s="45" t="s">
        <v>7893</v>
      </c>
    </row>
    <row r="5863" spans="1:4" s="45" customFormat="1" ht="13.5" x14ac:dyDescent="0.15">
      <c r="A5863" s="45" t="s">
        <v>41</v>
      </c>
      <c r="D5863" s="45" t="s">
        <v>7894</v>
      </c>
    </row>
    <row r="5864" spans="1:4" s="45" customFormat="1" ht="13.5" x14ac:dyDescent="0.15">
      <c r="A5864" s="45" t="s">
        <v>41</v>
      </c>
      <c r="D5864" s="45" t="s">
        <v>7895</v>
      </c>
    </row>
    <row r="5865" spans="1:4" s="45" customFormat="1" ht="13.5" x14ac:dyDescent="0.15">
      <c r="A5865" s="45" t="s">
        <v>41</v>
      </c>
      <c r="D5865" s="45" t="s">
        <v>7896</v>
      </c>
    </row>
    <row r="5866" spans="1:4" s="45" customFormat="1" ht="13.5" x14ac:dyDescent="0.15">
      <c r="A5866" s="45" t="s">
        <v>41</v>
      </c>
      <c r="D5866" s="45" t="s">
        <v>7897</v>
      </c>
    </row>
    <row r="5867" spans="1:4" s="45" customFormat="1" ht="13.5" x14ac:dyDescent="0.15">
      <c r="A5867" s="45" t="s">
        <v>41</v>
      </c>
      <c r="D5867" s="45" t="s">
        <v>7898</v>
      </c>
    </row>
    <row r="5868" spans="1:4" s="45" customFormat="1" ht="13.5" x14ac:dyDescent="0.15">
      <c r="A5868" s="45" t="s">
        <v>41</v>
      </c>
      <c r="D5868" s="45" t="s">
        <v>7899</v>
      </c>
    </row>
    <row r="5869" spans="1:4" s="45" customFormat="1" ht="13.5" x14ac:dyDescent="0.15">
      <c r="A5869" s="45" t="s">
        <v>41</v>
      </c>
      <c r="D5869" s="45" t="s">
        <v>7900</v>
      </c>
    </row>
    <row r="5870" spans="1:4" s="45" customFormat="1" ht="13.5" x14ac:dyDescent="0.15">
      <c r="A5870" s="45" t="s">
        <v>41</v>
      </c>
      <c r="D5870" s="45" t="s">
        <v>7901</v>
      </c>
    </row>
    <row r="5871" spans="1:4" s="45" customFormat="1" ht="13.5" x14ac:dyDescent="0.15">
      <c r="A5871" s="45" t="s">
        <v>41</v>
      </c>
      <c r="D5871" s="45" t="s">
        <v>7902</v>
      </c>
    </row>
    <row r="5872" spans="1:4" s="45" customFormat="1" ht="13.5" x14ac:dyDescent="0.15">
      <c r="A5872" s="45" t="s">
        <v>41</v>
      </c>
      <c r="D5872" s="45" t="s">
        <v>7903</v>
      </c>
    </row>
    <row r="5873" spans="1:4" s="45" customFormat="1" ht="13.5" x14ac:dyDescent="0.15">
      <c r="A5873" s="45" t="s">
        <v>41</v>
      </c>
      <c r="D5873" s="45" t="s">
        <v>7904</v>
      </c>
    </row>
    <row r="5874" spans="1:4" s="45" customFormat="1" ht="13.5" x14ac:dyDescent="0.15">
      <c r="A5874" s="45" t="s">
        <v>41</v>
      </c>
      <c r="D5874" s="45" t="s">
        <v>7905</v>
      </c>
    </row>
    <row r="5875" spans="1:4" s="45" customFormat="1" ht="13.5" x14ac:dyDescent="0.15">
      <c r="A5875" s="45" t="s">
        <v>41</v>
      </c>
      <c r="D5875" s="45" t="s">
        <v>7906</v>
      </c>
    </row>
    <row r="5876" spans="1:4" s="45" customFormat="1" ht="13.5" x14ac:dyDescent="0.15">
      <c r="A5876" s="45" t="s">
        <v>41</v>
      </c>
      <c r="D5876" s="45" t="s">
        <v>7907</v>
      </c>
    </row>
    <row r="5877" spans="1:4" s="45" customFormat="1" ht="13.5" x14ac:dyDescent="0.15">
      <c r="A5877" s="45" t="s">
        <v>41</v>
      </c>
      <c r="D5877" s="45" t="s">
        <v>7908</v>
      </c>
    </row>
    <row r="5878" spans="1:4" s="45" customFormat="1" ht="13.5" x14ac:dyDescent="0.15">
      <c r="A5878" s="45" t="s">
        <v>41</v>
      </c>
      <c r="D5878" s="45" t="s">
        <v>7909</v>
      </c>
    </row>
    <row r="5879" spans="1:4" s="45" customFormat="1" ht="13.5" x14ac:dyDescent="0.15">
      <c r="A5879" s="45" t="s">
        <v>41</v>
      </c>
      <c r="D5879" s="45" t="s">
        <v>7910</v>
      </c>
    </row>
    <row r="5880" spans="1:4" s="45" customFormat="1" ht="13.5" x14ac:dyDescent="0.15">
      <c r="A5880" s="45" t="s">
        <v>41</v>
      </c>
      <c r="D5880" s="45" t="s">
        <v>7911</v>
      </c>
    </row>
    <row r="5881" spans="1:4" s="45" customFormat="1" ht="13.5" x14ac:dyDescent="0.15">
      <c r="A5881" s="45" t="s">
        <v>41</v>
      </c>
      <c r="D5881" s="45" t="s">
        <v>7912</v>
      </c>
    </row>
    <row r="5882" spans="1:4" s="45" customFormat="1" ht="13.5" x14ac:dyDescent="0.15">
      <c r="A5882" s="45" t="s">
        <v>41</v>
      </c>
      <c r="D5882" s="45" t="s">
        <v>1758</v>
      </c>
    </row>
    <row r="5883" spans="1:4" s="45" customFormat="1" ht="13.5" x14ac:dyDescent="0.15">
      <c r="A5883" s="45" t="s">
        <v>41</v>
      </c>
      <c r="D5883" s="45" t="s">
        <v>1759</v>
      </c>
    </row>
    <row r="5884" spans="1:4" s="45" customFormat="1" ht="13.5" x14ac:dyDescent="0.15">
      <c r="A5884" s="45" t="s">
        <v>41</v>
      </c>
      <c r="D5884" s="45" t="s">
        <v>7913</v>
      </c>
    </row>
    <row r="5885" spans="1:4" s="45" customFormat="1" ht="13.5" x14ac:dyDescent="0.15">
      <c r="A5885" s="45" t="s">
        <v>41</v>
      </c>
      <c r="D5885" s="45" t="s">
        <v>485</v>
      </c>
    </row>
    <row r="5886" spans="1:4" s="45" customFormat="1" ht="13.5" x14ac:dyDescent="0.15">
      <c r="A5886" s="45" t="s">
        <v>41</v>
      </c>
      <c r="D5886" s="45" t="s">
        <v>7914</v>
      </c>
    </row>
    <row r="5887" spans="1:4" s="45" customFormat="1" ht="13.5" x14ac:dyDescent="0.15">
      <c r="A5887" s="45" t="s">
        <v>41</v>
      </c>
      <c r="D5887" s="45" t="s">
        <v>852</v>
      </c>
    </row>
    <row r="5888" spans="1:4" s="45" customFormat="1" ht="13.5" x14ac:dyDescent="0.15">
      <c r="A5888" s="45" t="s">
        <v>41</v>
      </c>
      <c r="D5888" s="45" t="s">
        <v>851</v>
      </c>
    </row>
    <row r="5889" spans="1:4" s="45" customFormat="1" ht="13.5" x14ac:dyDescent="0.15">
      <c r="A5889" s="45" t="s">
        <v>41</v>
      </c>
      <c r="D5889" s="45" t="s">
        <v>7915</v>
      </c>
    </row>
    <row r="5890" spans="1:4" s="45" customFormat="1" ht="13.5" x14ac:dyDescent="0.15">
      <c r="A5890" s="45" t="s">
        <v>41</v>
      </c>
      <c r="D5890" s="45" t="s">
        <v>7916</v>
      </c>
    </row>
    <row r="5891" spans="1:4" s="45" customFormat="1" ht="13.5" x14ac:dyDescent="0.15">
      <c r="A5891" s="45" t="s">
        <v>41</v>
      </c>
      <c r="D5891" s="45" t="s">
        <v>7917</v>
      </c>
    </row>
    <row r="5892" spans="1:4" s="45" customFormat="1" ht="13.5" x14ac:dyDescent="0.15">
      <c r="A5892" s="45" t="s">
        <v>41</v>
      </c>
      <c r="D5892" s="45" t="s">
        <v>7918</v>
      </c>
    </row>
    <row r="5893" spans="1:4" s="45" customFormat="1" ht="13.5" x14ac:dyDescent="0.15">
      <c r="A5893" s="45" t="s">
        <v>41</v>
      </c>
      <c r="D5893" s="45" t="s">
        <v>7919</v>
      </c>
    </row>
    <row r="5894" spans="1:4" s="45" customFormat="1" ht="13.5" x14ac:dyDescent="0.15">
      <c r="A5894" s="45" t="s">
        <v>41</v>
      </c>
      <c r="D5894" s="45" t="s">
        <v>7920</v>
      </c>
    </row>
    <row r="5895" spans="1:4" s="45" customFormat="1" ht="13.5" x14ac:dyDescent="0.15">
      <c r="A5895" s="45" t="s">
        <v>41</v>
      </c>
      <c r="D5895" s="45" t="s">
        <v>7921</v>
      </c>
    </row>
    <row r="5896" spans="1:4" s="45" customFormat="1" ht="13.5" x14ac:dyDescent="0.15">
      <c r="A5896" s="45" t="s">
        <v>41</v>
      </c>
      <c r="D5896" s="45" t="s">
        <v>7922</v>
      </c>
    </row>
    <row r="5897" spans="1:4" s="45" customFormat="1" ht="13.5" x14ac:dyDescent="0.15">
      <c r="A5897" s="45" t="s">
        <v>41</v>
      </c>
      <c r="D5897" s="45" t="s">
        <v>7923</v>
      </c>
    </row>
    <row r="5898" spans="1:4" s="45" customFormat="1" ht="13.5" x14ac:dyDescent="0.15">
      <c r="A5898" s="45" t="s">
        <v>41</v>
      </c>
      <c r="D5898" s="45" t="s">
        <v>7924</v>
      </c>
    </row>
    <row r="5899" spans="1:4" s="45" customFormat="1" ht="13.5" x14ac:dyDescent="0.15">
      <c r="A5899" s="45" t="s">
        <v>41</v>
      </c>
      <c r="D5899" s="45" t="s">
        <v>7925</v>
      </c>
    </row>
    <row r="5900" spans="1:4" s="45" customFormat="1" ht="13.5" x14ac:dyDescent="0.15">
      <c r="A5900" s="45" t="s">
        <v>41</v>
      </c>
      <c r="D5900" s="45" t="s">
        <v>1583</v>
      </c>
    </row>
    <row r="5901" spans="1:4" s="45" customFormat="1" ht="13.5" x14ac:dyDescent="0.15">
      <c r="A5901" s="45" t="s">
        <v>41</v>
      </c>
      <c r="D5901" s="45" t="s">
        <v>7926</v>
      </c>
    </row>
    <row r="5902" spans="1:4" s="45" customFormat="1" ht="13.5" x14ac:dyDescent="0.15">
      <c r="A5902" s="45" t="s">
        <v>41</v>
      </c>
      <c r="D5902" s="45" t="s">
        <v>2205</v>
      </c>
    </row>
    <row r="5903" spans="1:4" s="45" customFormat="1" ht="13.5" x14ac:dyDescent="0.15">
      <c r="A5903" s="45" t="s">
        <v>41</v>
      </c>
      <c r="D5903" s="45" t="s">
        <v>7927</v>
      </c>
    </row>
    <row r="5904" spans="1:4" s="45" customFormat="1" ht="13.5" x14ac:dyDescent="0.15">
      <c r="A5904" s="45" t="s">
        <v>41</v>
      </c>
      <c r="D5904" s="45" t="s">
        <v>7928</v>
      </c>
    </row>
    <row r="5905" spans="1:4" s="45" customFormat="1" ht="13.5" x14ac:dyDescent="0.15">
      <c r="A5905" s="45" t="s">
        <v>41</v>
      </c>
      <c r="D5905" s="45" t="s">
        <v>7929</v>
      </c>
    </row>
    <row r="5906" spans="1:4" s="45" customFormat="1" ht="13.5" x14ac:dyDescent="0.15">
      <c r="A5906" s="45" t="s">
        <v>41</v>
      </c>
      <c r="D5906" s="45" t="s">
        <v>7930</v>
      </c>
    </row>
    <row r="5907" spans="1:4" s="45" customFormat="1" ht="13.5" x14ac:dyDescent="0.15">
      <c r="A5907" s="45" t="s">
        <v>41</v>
      </c>
      <c r="D5907" s="45" t="s">
        <v>7931</v>
      </c>
    </row>
    <row r="5908" spans="1:4" s="45" customFormat="1" ht="13.5" x14ac:dyDescent="0.15">
      <c r="A5908" s="45" t="s">
        <v>41</v>
      </c>
      <c r="D5908" s="45" t="s">
        <v>2096</v>
      </c>
    </row>
    <row r="5909" spans="1:4" s="45" customFormat="1" ht="13.5" x14ac:dyDescent="0.15">
      <c r="A5909" s="45" t="s">
        <v>41</v>
      </c>
      <c r="D5909" s="45" t="s">
        <v>7932</v>
      </c>
    </row>
    <row r="5910" spans="1:4" s="45" customFormat="1" ht="13.5" x14ac:dyDescent="0.15">
      <c r="A5910" s="45" t="s">
        <v>41</v>
      </c>
      <c r="D5910" s="45" t="s">
        <v>7933</v>
      </c>
    </row>
    <row r="5911" spans="1:4" s="45" customFormat="1" ht="13.5" x14ac:dyDescent="0.15">
      <c r="A5911" s="45" t="s">
        <v>41</v>
      </c>
      <c r="D5911" s="45" t="s">
        <v>1762</v>
      </c>
    </row>
    <row r="5912" spans="1:4" s="45" customFormat="1" ht="13.5" x14ac:dyDescent="0.15">
      <c r="A5912" s="45" t="s">
        <v>41</v>
      </c>
      <c r="D5912" s="45" t="s">
        <v>7934</v>
      </c>
    </row>
    <row r="5913" spans="1:4" s="45" customFormat="1" ht="13.5" x14ac:dyDescent="0.15">
      <c r="A5913" s="45" t="s">
        <v>41</v>
      </c>
      <c r="D5913" s="45" t="s">
        <v>1764</v>
      </c>
    </row>
    <row r="5914" spans="1:4" s="45" customFormat="1" ht="13.5" x14ac:dyDescent="0.15">
      <c r="A5914" s="45" t="s">
        <v>41</v>
      </c>
      <c r="D5914" s="45" t="s">
        <v>1763</v>
      </c>
    </row>
    <row r="5915" spans="1:4" s="45" customFormat="1" ht="13.5" x14ac:dyDescent="0.15">
      <c r="A5915" s="45" t="s">
        <v>41</v>
      </c>
      <c r="D5915" s="45" t="s">
        <v>1761</v>
      </c>
    </row>
    <row r="5916" spans="1:4" s="45" customFormat="1" ht="13.5" x14ac:dyDescent="0.15">
      <c r="A5916" s="45" t="s">
        <v>41</v>
      </c>
      <c r="D5916" s="45" t="s">
        <v>1765</v>
      </c>
    </row>
    <row r="5917" spans="1:4" s="45" customFormat="1" ht="13.5" x14ac:dyDescent="0.15">
      <c r="A5917" s="45" t="s">
        <v>41</v>
      </c>
      <c r="D5917" s="45" t="s">
        <v>7935</v>
      </c>
    </row>
    <row r="5918" spans="1:4" s="45" customFormat="1" ht="13.5" x14ac:dyDescent="0.15">
      <c r="A5918" s="45" t="s">
        <v>41</v>
      </c>
      <c r="D5918" s="45" t="s">
        <v>7936</v>
      </c>
    </row>
    <row r="5919" spans="1:4" s="45" customFormat="1" ht="13.5" x14ac:dyDescent="0.15">
      <c r="A5919" s="45" t="s">
        <v>41</v>
      </c>
      <c r="D5919" s="45" t="s">
        <v>7937</v>
      </c>
    </row>
    <row r="5920" spans="1:4" s="45" customFormat="1" ht="13.5" x14ac:dyDescent="0.15">
      <c r="A5920" s="45" t="s">
        <v>41</v>
      </c>
      <c r="D5920" s="45" t="s">
        <v>7938</v>
      </c>
    </row>
    <row r="5921" spans="1:4" s="45" customFormat="1" ht="13.5" x14ac:dyDescent="0.15">
      <c r="A5921" s="45" t="s">
        <v>41</v>
      </c>
      <c r="D5921" s="45" t="s">
        <v>7939</v>
      </c>
    </row>
    <row r="5922" spans="1:4" s="45" customFormat="1" ht="13.5" x14ac:dyDescent="0.15">
      <c r="A5922" s="45" t="s">
        <v>41</v>
      </c>
      <c r="D5922" s="45" t="s">
        <v>7940</v>
      </c>
    </row>
    <row r="5923" spans="1:4" s="45" customFormat="1" ht="13.5" x14ac:dyDescent="0.15">
      <c r="A5923" s="45" t="s">
        <v>41</v>
      </c>
      <c r="D5923" s="45" t="s">
        <v>7941</v>
      </c>
    </row>
    <row r="5924" spans="1:4" s="45" customFormat="1" ht="13.5" x14ac:dyDescent="0.15">
      <c r="A5924" s="45" t="s">
        <v>41</v>
      </c>
      <c r="D5924" s="45" t="s">
        <v>7942</v>
      </c>
    </row>
    <row r="5925" spans="1:4" s="45" customFormat="1" ht="13.5" x14ac:dyDescent="0.15">
      <c r="A5925" s="45" t="s">
        <v>41</v>
      </c>
      <c r="D5925" s="45" t="s">
        <v>7943</v>
      </c>
    </row>
    <row r="5926" spans="1:4" s="45" customFormat="1" ht="13.5" x14ac:dyDescent="0.15">
      <c r="A5926" s="45" t="s">
        <v>41</v>
      </c>
      <c r="D5926" s="45" t="s">
        <v>7944</v>
      </c>
    </row>
    <row r="5927" spans="1:4" s="45" customFormat="1" ht="13.5" x14ac:dyDescent="0.15">
      <c r="A5927" s="45" t="s">
        <v>41</v>
      </c>
      <c r="D5927" s="45" t="s">
        <v>7945</v>
      </c>
    </row>
    <row r="5928" spans="1:4" s="45" customFormat="1" ht="13.5" x14ac:dyDescent="0.15">
      <c r="A5928" s="45" t="s">
        <v>41</v>
      </c>
      <c r="D5928" s="45" t="s">
        <v>2103</v>
      </c>
    </row>
    <row r="5929" spans="1:4" s="45" customFormat="1" ht="13.5" x14ac:dyDescent="0.15">
      <c r="A5929" s="45" t="s">
        <v>41</v>
      </c>
      <c r="D5929" s="45" t="s">
        <v>7946</v>
      </c>
    </row>
    <row r="5930" spans="1:4" s="45" customFormat="1" ht="13.5" x14ac:dyDescent="0.15">
      <c r="A5930" s="45" t="s">
        <v>41</v>
      </c>
      <c r="D5930" s="45" t="s">
        <v>7947</v>
      </c>
    </row>
    <row r="5931" spans="1:4" s="45" customFormat="1" ht="13.5" x14ac:dyDescent="0.15">
      <c r="A5931" s="45" t="s">
        <v>41</v>
      </c>
      <c r="D5931" s="45" t="s">
        <v>7948</v>
      </c>
    </row>
    <row r="5932" spans="1:4" s="45" customFormat="1" ht="13.5" x14ac:dyDescent="0.15">
      <c r="A5932" s="45" t="s">
        <v>41</v>
      </c>
      <c r="D5932" s="45" t="s">
        <v>7949</v>
      </c>
    </row>
    <row r="5933" spans="1:4" s="45" customFormat="1" ht="13.5" x14ac:dyDescent="0.15">
      <c r="A5933" s="45" t="s">
        <v>41</v>
      </c>
      <c r="D5933" s="45" t="s">
        <v>7950</v>
      </c>
    </row>
    <row r="5934" spans="1:4" s="45" customFormat="1" ht="13.5" x14ac:dyDescent="0.15">
      <c r="A5934" s="45" t="s">
        <v>41</v>
      </c>
      <c r="D5934" s="45" t="s">
        <v>7951</v>
      </c>
    </row>
    <row r="5935" spans="1:4" s="45" customFormat="1" ht="13.5" x14ac:dyDescent="0.15">
      <c r="A5935" s="45" t="s">
        <v>41</v>
      </c>
      <c r="D5935" s="45" t="s">
        <v>7952</v>
      </c>
    </row>
    <row r="5936" spans="1:4" s="45" customFormat="1" ht="13.5" x14ac:dyDescent="0.15">
      <c r="A5936" s="45" t="s">
        <v>41</v>
      </c>
      <c r="D5936" s="45" t="s">
        <v>7953</v>
      </c>
    </row>
    <row r="5937" spans="1:4" s="45" customFormat="1" ht="13.5" x14ac:dyDescent="0.15">
      <c r="A5937" s="45" t="s">
        <v>41</v>
      </c>
      <c r="D5937" s="45" t="s">
        <v>1692</v>
      </c>
    </row>
    <row r="5938" spans="1:4" s="45" customFormat="1" ht="13.5" x14ac:dyDescent="0.15">
      <c r="A5938" s="45" t="s">
        <v>41</v>
      </c>
      <c r="D5938" s="45" t="s">
        <v>7954</v>
      </c>
    </row>
    <row r="5939" spans="1:4" s="45" customFormat="1" ht="13.5" x14ac:dyDescent="0.15">
      <c r="A5939" s="45" t="s">
        <v>41</v>
      </c>
      <c r="D5939" s="45" t="s">
        <v>7955</v>
      </c>
    </row>
    <row r="5940" spans="1:4" s="45" customFormat="1" ht="13.5" x14ac:dyDescent="0.15">
      <c r="A5940" s="45" t="s">
        <v>41</v>
      </c>
      <c r="D5940" s="45" t="s">
        <v>7956</v>
      </c>
    </row>
    <row r="5941" spans="1:4" s="45" customFormat="1" ht="13.5" x14ac:dyDescent="0.15">
      <c r="A5941" s="45" t="s">
        <v>41</v>
      </c>
      <c r="D5941" s="45" t="s">
        <v>7957</v>
      </c>
    </row>
    <row r="5942" spans="1:4" s="45" customFormat="1" ht="13.5" x14ac:dyDescent="0.15">
      <c r="A5942" s="45" t="s">
        <v>41</v>
      </c>
      <c r="D5942" s="45" t="s">
        <v>1691</v>
      </c>
    </row>
    <row r="5943" spans="1:4" s="45" customFormat="1" ht="13.5" x14ac:dyDescent="0.15">
      <c r="A5943" s="45" t="s">
        <v>41</v>
      </c>
      <c r="D5943" s="45" t="s">
        <v>7958</v>
      </c>
    </row>
    <row r="5944" spans="1:4" s="45" customFormat="1" ht="13.5" x14ac:dyDescent="0.15">
      <c r="A5944" s="45" t="s">
        <v>41</v>
      </c>
      <c r="D5944" s="45" t="s">
        <v>7959</v>
      </c>
    </row>
    <row r="5945" spans="1:4" s="45" customFormat="1" ht="13.5" x14ac:dyDescent="0.15">
      <c r="A5945" s="45" t="s">
        <v>41</v>
      </c>
      <c r="D5945" s="45" t="s">
        <v>7960</v>
      </c>
    </row>
    <row r="5946" spans="1:4" s="45" customFormat="1" ht="13.5" x14ac:dyDescent="0.15">
      <c r="A5946" s="45" t="s">
        <v>41</v>
      </c>
      <c r="D5946" s="45" t="s">
        <v>7961</v>
      </c>
    </row>
    <row r="5947" spans="1:4" s="45" customFormat="1" ht="13.5" x14ac:dyDescent="0.15">
      <c r="A5947" s="45" t="s">
        <v>41</v>
      </c>
      <c r="D5947" s="45" t="s">
        <v>7962</v>
      </c>
    </row>
    <row r="5948" spans="1:4" s="45" customFormat="1" ht="13.5" x14ac:dyDescent="0.15">
      <c r="A5948" s="45" t="s">
        <v>41</v>
      </c>
      <c r="D5948" s="45" t="s">
        <v>1693</v>
      </c>
    </row>
    <row r="5949" spans="1:4" s="45" customFormat="1" ht="13.5" x14ac:dyDescent="0.15">
      <c r="A5949" s="45" t="s">
        <v>41</v>
      </c>
      <c r="D5949" s="45" t="s">
        <v>7963</v>
      </c>
    </row>
    <row r="5950" spans="1:4" s="45" customFormat="1" ht="13.5" x14ac:dyDescent="0.15">
      <c r="A5950" s="45" t="s">
        <v>41</v>
      </c>
      <c r="D5950" s="45" t="s">
        <v>7964</v>
      </c>
    </row>
    <row r="5951" spans="1:4" s="45" customFormat="1" ht="13.5" x14ac:dyDescent="0.15">
      <c r="A5951" s="45" t="s">
        <v>41</v>
      </c>
      <c r="D5951" s="45" t="s">
        <v>7965</v>
      </c>
    </row>
    <row r="5952" spans="1:4" s="45" customFormat="1" ht="13.5" x14ac:dyDescent="0.15">
      <c r="A5952" s="45" t="s">
        <v>41</v>
      </c>
      <c r="D5952" s="45" t="s">
        <v>1568</v>
      </c>
    </row>
    <row r="5953" spans="1:4" s="45" customFormat="1" ht="13.5" x14ac:dyDescent="0.15">
      <c r="A5953" s="45" t="s">
        <v>41</v>
      </c>
      <c r="D5953" s="45" t="s">
        <v>7966</v>
      </c>
    </row>
    <row r="5954" spans="1:4" s="45" customFormat="1" ht="13.5" x14ac:dyDescent="0.15">
      <c r="A5954" s="45" t="s">
        <v>41</v>
      </c>
      <c r="D5954" s="45" t="s">
        <v>7967</v>
      </c>
    </row>
    <row r="5955" spans="1:4" s="45" customFormat="1" ht="13.5" x14ac:dyDescent="0.15">
      <c r="A5955" s="45" t="s">
        <v>41</v>
      </c>
      <c r="D5955" s="45" t="s">
        <v>7968</v>
      </c>
    </row>
    <row r="5956" spans="1:4" s="45" customFormat="1" ht="13.5" x14ac:dyDescent="0.15">
      <c r="A5956" s="45" t="s">
        <v>41</v>
      </c>
      <c r="D5956" s="45" t="s">
        <v>7969</v>
      </c>
    </row>
    <row r="5957" spans="1:4" s="45" customFormat="1" ht="13.5" x14ac:dyDescent="0.15">
      <c r="A5957" s="45" t="s">
        <v>41</v>
      </c>
      <c r="D5957" s="45" t="s">
        <v>7970</v>
      </c>
    </row>
    <row r="5958" spans="1:4" s="45" customFormat="1" ht="13.5" x14ac:dyDescent="0.15">
      <c r="A5958" s="45" t="s">
        <v>41</v>
      </c>
      <c r="D5958" s="45" t="s">
        <v>670</v>
      </c>
    </row>
    <row r="5959" spans="1:4" s="45" customFormat="1" ht="13.5" x14ac:dyDescent="0.15">
      <c r="A5959" s="45" t="s">
        <v>41</v>
      </c>
      <c r="D5959" s="45" t="s">
        <v>7971</v>
      </c>
    </row>
    <row r="5960" spans="1:4" s="45" customFormat="1" ht="13.5" x14ac:dyDescent="0.15">
      <c r="A5960" s="45" t="s">
        <v>41</v>
      </c>
      <c r="D5960" s="45" t="s">
        <v>671</v>
      </c>
    </row>
    <row r="5961" spans="1:4" s="45" customFormat="1" ht="13.5" x14ac:dyDescent="0.15">
      <c r="A5961" s="45" t="s">
        <v>41</v>
      </c>
      <c r="D5961" s="45" t="s">
        <v>7972</v>
      </c>
    </row>
    <row r="5962" spans="1:4" s="45" customFormat="1" ht="13.5" x14ac:dyDescent="0.15">
      <c r="A5962" s="45" t="s">
        <v>41</v>
      </c>
      <c r="D5962" s="45" t="s">
        <v>7973</v>
      </c>
    </row>
    <row r="5963" spans="1:4" s="45" customFormat="1" ht="13.5" x14ac:dyDescent="0.15">
      <c r="A5963" s="45" t="s">
        <v>41</v>
      </c>
      <c r="D5963" s="45" t="s">
        <v>1730</v>
      </c>
    </row>
    <row r="5964" spans="1:4" s="45" customFormat="1" ht="13.5" x14ac:dyDescent="0.15">
      <c r="A5964" s="45" t="s">
        <v>41</v>
      </c>
      <c r="D5964" s="45" t="s">
        <v>7974</v>
      </c>
    </row>
    <row r="5965" spans="1:4" s="45" customFormat="1" ht="13.5" x14ac:dyDescent="0.15">
      <c r="A5965" s="45" t="s">
        <v>41</v>
      </c>
      <c r="D5965" s="45" t="s">
        <v>7975</v>
      </c>
    </row>
    <row r="5966" spans="1:4" s="45" customFormat="1" ht="13.5" x14ac:dyDescent="0.15">
      <c r="A5966" s="45" t="s">
        <v>41</v>
      </c>
      <c r="D5966" s="45" t="s">
        <v>7976</v>
      </c>
    </row>
    <row r="5967" spans="1:4" s="45" customFormat="1" ht="13.5" x14ac:dyDescent="0.15">
      <c r="A5967" s="45" t="s">
        <v>41</v>
      </c>
      <c r="D5967" s="45" t="s">
        <v>1889</v>
      </c>
    </row>
    <row r="5968" spans="1:4" s="45" customFormat="1" ht="13.5" x14ac:dyDescent="0.15">
      <c r="A5968" s="45" t="s">
        <v>41</v>
      </c>
      <c r="D5968" s="45" t="s">
        <v>1890</v>
      </c>
    </row>
    <row r="5969" spans="1:4" s="45" customFormat="1" ht="13.5" x14ac:dyDescent="0.15">
      <c r="A5969" s="45" t="s">
        <v>41</v>
      </c>
      <c r="D5969" s="45" t="s">
        <v>7977</v>
      </c>
    </row>
    <row r="5970" spans="1:4" s="45" customFormat="1" ht="13.5" x14ac:dyDescent="0.15">
      <c r="A5970" s="45" t="s">
        <v>41</v>
      </c>
      <c r="D5970" s="45" t="s">
        <v>7978</v>
      </c>
    </row>
    <row r="5971" spans="1:4" s="45" customFormat="1" ht="13.5" x14ac:dyDescent="0.15">
      <c r="A5971" s="45" t="s">
        <v>41</v>
      </c>
      <c r="D5971" s="45" t="s">
        <v>7979</v>
      </c>
    </row>
    <row r="5972" spans="1:4" s="45" customFormat="1" ht="13.5" x14ac:dyDescent="0.15">
      <c r="A5972" s="45" t="s">
        <v>41</v>
      </c>
      <c r="D5972" s="45" t="s">
        <v>7980</v>
      </c>
    </row>
    <row r="5973" spans="1:4" s="45" customFormat="1" ht="13.5" x14ac:dyDescent="0.15">
      <c r="A5973" s="45" t="s">
        <v>41</v>
      </c>
      <c r="D5973" s="45" t="s">
        <v>7981</v>
      </c>
    </row>
    <row r="5974" spans="1:4" s="45" customFormat="1" ht="13.5" x14ac:dyDescent="0.15">
      <c r="A5974" s="45" t="s">
        <v>41</v>
      </c>
      <c r="D5974" s="45" t="s">
        <v>7982</v>
      </c>
    </row>
    <row r="5975" spans="1:4" s="45" customFormat="1" ht="13.5" x14ac:dyDescent="0.15">
      <c r="A5975" s="45" t="s">
        <v>41</v>
      </c>
      <c r="D5975" s="45" t="s">
        <v>7983</v>
      </c>
    </row>
    <row r="5976" spans="1:4" s="45" customFormat="1" ht="13.5" x14ac:dyDescent="0.15">
      <c r="A5976" s="45" t="s">
        <v>41</v>
      </c>
      <c r="D5976" s="45" t="s">
        <v>1551</v>
      </c>
    </row>
    <row r="5977" spans="1:4" s="45" customFormat="1" ht="13.5" x14ac:dyDescent="0.15">
      <c r="A5977" s="45" t="s">
        <v>41</v>
      </c>
      <c r="D5977" s="45" t="s">
        <v>7984</v>
      </c>
    </row>
    <row r="5978" spans="1:4" s="45" customFormat="1" ht="13.5" x14ac:dyDescent="0.15">
      <c r="A5978" s="45" t="s">
        <v>41</v>
      </c>
      <c r="D5978" s="45" t="s">
        <v>7985</v>
      </c>
    </row>
    <row r="5979" spans="1:4" s="45" customFormat="1" ht="13.5" x14ac:dyDescent="0.15">
      <c r="A5979" s="45" t="s">
        <v>41</v>
      </c>
      <c r="D5979" s="45" t="s">
        <v>7986</v>
      </c>
    </row>
    <row r="5980" spans="1:4" s="45" customFormat="1" ht="13.5" x14ac:dyDescent="0.15">
      <c r="A5980" s="45" t="s">
        <v>41</v>
      </c>
      <c r="D5980" s="45" t="s">
        <v>1575</v>
      </c>
    </row>
    <row r="5981" spans="1:4" s="45" customFormat="1" ht="13.5" x14ac:dyDescent="0.15">
      <c r="A5981" s="45" t="s">
        <v>41</v>
      </c>
      <c r="D5981" s="45" t="s">
        <v>1576</v>
      </c>
    </row>
    <row r="5982" spans="1:4" s="45" customFormat="1" ht="13.5" x14ac:dyDescent="0.15">
      <c r="A5982" s="45" t="s">
        <v>41</v>
      </c>
      <c r="D5982" s="45" t="s">
        <v>7987</v>
      </c>
    </row>
    <row r="5983" spans="1:4" s="45" customFormat="1" ht="13.5" x14ac:dyDescent="0.15">
      <c r="A5983" s="45" t="s">
        <v>41</v>
      </c>
      <c r="D5983" s="45" t="s">
        <v>7988</v>
      </c>
    </row>
    <row r="5984" spans="1:4" s="45" customFormat="1" ht="13.5" x14ac:dyDescent="0.15">
      <c r="A5984" s="45" t="s">
        <v>41</v>
      </c>
      <c r="D5984" s="45" t="s">
        <v>2534</v>
      </c>
    </row>
    <row r="5985" spans="1:4" s="45" customFormat="1" ht="13.5" x14ac:dyDescent="0.15">
      <c r="A5985" s="45" t="s">
        <v>41</v>
      </c>
      <c r="D5985" s="45" t="s">
        <v>448</v>
      </c>
    </row>
    <row r="5986" spans="1:4" s="45" customFormat="1" ht="13.5" x14ac:dyDescent="0.15">
      <c r="A5986" s="45" t="s">
        <v>41</v>
      </c>
      <c r="D5986" s="45" t="s">
        <v>7989</v>
      </c>
    </row>
    <row r="5987" spans="1:4" s="45" customFormat="1" ht="13.5" x14ac:dyDescent="0.15">
      <c r="A5987" s="45" t="s">
        <v>41</v>
      </c>
      <c r="D5987" s="45" t="s">
        <v>449</v>
      </c>
    </row>
    <row r="5988" spans="1:4" s="45" customFormat="1" ht="13.5" x14ac:dyDescent="0.15">
      <c r="A5988" s="45" t="s">
        <v>41</v>
      </c>
      <c r="D5988" s="45" t="s">
        <v>7990</v>
      </c>
    </row>
    <row r="5989" spans="1:4" s="45" customFormat="1" ht="13.5" x14ac:dyDescent="0.15">
      <c r="A5989" s="45" t="s">
        <v>41</v>
      </c>
      <c r="D5989" s="45" t="s">
        <v>7991</v>
      </c>
    </row>
    <row r="5990" spans="1:4" s="45" customFormat="1" ht="13.5" x14ac:dyDescent="0.15">
      <c r="A5990" s="45" t="s">
        <v>41</v>
      </c>
      <c r="D5990" s="45" t="s">
        <v>7992</v>
      </c>
    </row>
    <row r="5991" spans="1:4" s="45" customFormat="1" ht="13.5" x14ac:dyDescent="0.15">
      <c r="A5991" s="45" t="s">
        <v>41</v>
      </c>
      <c r="D5991" s="45" t="s">
        <v>7993</v>
      </c>
    </row>
    <row r="5992" spans="1:4" s="45" customFormat="1" ht="13.5" x14ac:dyDescent="0.15">
      <c r="A5992" s="45" t="s">
        <v>41</v>
      </c>
      <c r="D5992" s="45" t="s">
        <v>7994</v>
      </c>
    </row>
    <row r="5993" spans="1:4" s="45" customFormat="1" ht="13.5" x14ac:dyDescent="0.15">
      <c r="A5993" s="45" t="s">
        <v>41</v>
      </c>
      <c r="D5993" s="45" t="s">
        <v>1747</v>
      </c>
    </row>
    <row r="5994" spans="1:4" s="45" customFormat="1" ht="13.5" x14ac:dyDescent="0.15">
      <c r="A5994" s="45" t="s">
        <v>41</v>
      </c>
      <c r="D5994" s="45" t="s">
        <v>7995</v>
      </c>
    </row>
    <row r="5995" spans="1:4" s="45" customFormat="1" ht="13.5" x14ac:dyDescent="0.15">
      <c r="A5995" s="45" t="s">
        <v>41</v>
      </c>
      <c r="D5995" s="45" t="s">
        <v>1748</v>
      </c>
    </row>
    <row r="5996" spans="1:4" s="45" customFormat="1" ht="13.5" x14ac:dyDescent="0.15">
      <c r="A5996" s="45" t="s">
        <v>41</v>
      </c>
      <c r="D5996" s="45" t="s">
        <v>7996</v>
      </c>
    </row>
    <row r="5997" spans="1:4" s="45" customFormat="1" ht="13.5" x14ac:dyDescent="0.15">
      <c r="A5997" s="45" t="s">
        <v>41</v>
      </c>
      <c r="D5997" s="45" t="s">
        <v>7997</v>
      </c>
    </row>
    <row r="5998" spans="1:4" s="45" customFormat="1" ht="13.5" x14ac:dyDescent="0.15">
      <c r="A5998" s="45" t="s">
        <v>41</v>
      </c>
      <c r="D5998" s="45" t="s">
        <v>7998</v>
      </c>
    </row>
    <row r="5999" spans="1:4" s="45" customFormat="1" ht="13.5" x14ac:dyDescent="0.15">
      <c r="A5999" s="45" t="s">
        <v>41</v>
      </c>
      <c r="D5999" s="45" t="s">
        <v>7999</v>
      </c>
    </row>
    <row r="6000" spans="1:4" s="45" customFormat="1" ht="13.5" x14ac:dyDescent="0.15">
      <c r="A6000" s="45" t="s">
        <v>41</v>
      </c>
      <c r="D6000" s="45" t="s">
        <v>8000</v>
      </c>
    </row>
    <row r="6001" spans="1:4" s="45" customFormat="1" ht="13.5" x14ac:dyDescent="0.15">
      <c r="A6001" s="45" t="s">
        <v>41</v>
      </c>
      <c r="D6001" s="45" t="s">
        <v>8001</v>
      </c>
    </row>
    <row r="6002" spans="1:4" s="45" customFormat="1" ht="13.5" x14ac:dyDescent="0.15">
      <c r="A6002" s="45" t="s">
        <v>41</v>
      </c>
      <c r="D6002" s="45" t="s">
        <v>839</v>
      </c>
    </row>
    <row r="6003" spans="1:4" s="45" customFormat="1" ht="13.5" x14ac:dyDescent="0.15">
      <c r="A6003" s="45" t="s">
        <v>41</v>
      </c>
      <c r="D6003" s="45" t="s">
        <v>8002</v>
      </c>
    </row>
    <row r="6004" spans="1:4" s="45" customFormat="1" ht="13.5" x14ac:dyDescent="0.15">
      <c r="A6004" s="45" t="s">
        <v>41</v>
      </c>
      <c r="D6004" s="45" t="s">
        <v>2459</v>
      </c>
    </row>
    <row r="6005" spans="1:4" s="45" customFormat="1" ht="13.5" x14ac:dyDescent="0.15">
      <c r="A6005" s="45" t="s">
        <v>41</v>
      </c>
      <c r="D6005" s="45" t="s">
        <v>2458</v>
      </c>
    </row>
    <row r="6006" spans="1:4" s="45" customFormat="1" ht="13.5" x14ac:dyDescent="0.15">
      <c r="A6006" s="45" t="s">
        <v>41</v>
      </c>
      <c r="D6006" s="45" t="s">
        <v>1245</v>
      </c>
    </row>
    <row r="6007" spans="1:4" s="45" customFormat="1" ht="13.5" x14ac:dyDescent="0.15">
      <c r="A6007" s="45" t="s">
        <v>41</v>
      </c>
      <c r="D6007" s="45" t="s">
        <v>1244</v>
      </c>
    </row>
    <row r="6008" spans="1:4" s="45" customFormat="1" ht="13.5" x14ac:dyDescent="0.15">
      <c r="A6008" s="45" t="s">
        <v>41</v>
      </c>
      <c r="D6008" s="45" t="s">
        <v>2535</v>
      </c>
    </row>
    <row r="6009" spans="1:4" s="45" customFormat="1" ht="13.5" x14ac:dyDescent="0.15">
      <c r="A6009" s="45" t="s">
        <v>41</v>
      </c>
      <c r="D6009" s="45" t="s">
        <v>8003</v>
      </c>
    </row>
    <row r="6010" spans="1:4" s="45" customFormat="1" ht="13.5" x14ac:dyDescent="0.15">
      <c r="A6010" s="45" t="s">
        <v>41</v>
      </c>
      <c r="D6010" s="45" t="s">
        <v>552</v>
      </c>
    </row>
    <row r="6011" spans="1:4" s="45" customFormat="1" ht="13.5" x14ac:dyDescent="0.15">
      <c r="A6011" s="45" t="s">
        <v>41</v>
      </c>
      <c r="D6011" s="45" t="s">
        <v>553</v>
      </c>
    </row>
    <row r="6012" spans="1:4" s="45" customFormat="1" ht="13.5" x14ac:dyDescent="0.15">
      <c r="A6012" s="45" t="s">
        <v>41</v>
      </c>
      <c r="D6012" s="45" t="s">
        <v>2492</v>
      </c>
    </row>
    <row r="6013" spans="1:4" s="45" customFormat="1" ht="13.5" x14ac:dyDescent="0.15">
      <c r="A6013" s="45" t="s">
        <v>41</v>
      </c>
      <c r="D6013" s="45" t="s">
        <v>2489</v>
      </c>
    </row>
    <row r="6014" spans="1:4" s="45" customFormat="1" ht="13.5" x14ac:dyDescent="0.15">
      <c r="A6014" s="45" t="s">
        <v>41</v>
      </c>
      <c r="D6014" s="45" t="s">
        <v>2494</v>
      </c>
    </row>
    <row r="6015" spans="1:4" s="45" customFormat="1" ht="13.5" x14ac:dyDescent="0.15">
      <c r="A6015" s="45" t="s">
        <v>41</v>
      </c>
      <c r="D6015" s="45" t="s">
        <v>2493</v>
      </c>
    </row>
    <row r="6016" spans="1:4" s="45" customFormat="1" ht="13.5" x14ac:dyDescent="0.15">
      <c r="A6016" s="45" t="s">
        <v>41</v>
      </c>
      <c r="D6016" s="45" t="s">
        <v>2491</v>
      </c>
    </row>
    <row r="6017" spans="1:4" s="45" customFormat="1" ht="13.5" x14ac:dyDescent="0.15">
      <c r="A6017" s="45" t="s">
        <v>41</v>
      </c>
      <c r="D6017" s="45" t="s">
        <v>2490</v>
      </c>
    </row>
    <row r="6018" spans="1:4" s="45" customFormat="1" ht="13.5" x14ac:dyDescent="0.15">
      <c r="A6018" s="45" t="s">
        <v>41</v>
      </c>
      <c r="D6018" s="45" t="s">
        <v>892</v>
      </c>
    </row>
    <row r="6019" spans="1:4" s="45" customFormat="1" ht="13.5" x14ac:dyDescent="0.15">
      <c r="A6019" s="45" t="s">
        <v>41</v>
      </c>
      <c r="D6019" s="45" t="s">
        <v>893</v>
      </c>
    </row>
    <row r="6020" spans="1:4" s="45" customFormat="1" ht="13.5" x14ac:dyDescent="0.15">
      <c r="A6020" s="45" t="s">
        <v>41</v>
      </c>
      <c r="D6020" s="45" t="s">
        <v>894</v>
      </c>
    </row>
    <row r="6021" spans="1:4" s="45" customFormat="1" ht="13.5" x14ac:dyDescent="0.15">
      <c r="A6021" s="45" t="s">
        <v>41</v>
      </c>
      <c r="D6021" s="45" t="s">
        <v>694</v>
      </c>
    </row>
    <row r="6022" spans="1:4" s="45" customFormat="1" ht="13.5" x14ac:dyDescent="0.15">
      <c r="A6022" s="45" t="s">
        <v>41</v>
      </c>
      <c r="D6022" s="45" t="s">
        <v>1757</v>
      </c>
    </row>
    <row r="6023" spans="1:4" s="45" customFormat="1" ht="13.5" x14ac:dyDescent="0.15">
      <c r="A6023" s="45" t="s">
        <v>41</v>
      </c>
      <c r="D6023" s="45" t="s">
        <v>8004</v>
      </c>
    </row>
    <row r="6024" spans="1:4" s="45" customFormat="1" ht="13.5" x14ac:dyDescent="0.15">
      <c r="A6024" s="45" t="s">
        <v>41</v>
      </c>
      <c r="D6024" s="45" t="s">
        <v>8005</v>
      </c>
    </row>
    <row r="6025" spans="1:4" s="45" customFormat="1" ht="13.5" x14ac:dyDescent="0.15">
      <c r="A6025" s="45" t="s">
        <v>41</v>
      </c>
      <c r="D6025" s="45" t="s">
        <v>123</v>
      </c>
    </row>
    <row r="6026" spans="1:4" s="45" customFormat="1" ht="13.5" x14ac:dyDescent="0.15">
      <c r="A6026" s="45" t="s">
        <v>41</v>
      </c>
      <c r="D6026" s="45" t="s">
        <v>8006</v>
      </c>
    </row>
    <row r="6027" spans="1:4" s="45" customFormat="1" ht="13.5" x14ac:dyDescent="0.15">
      <c r="A6027" s="45" t="s">
        <v>41</v>
      </c>
      <c r="D6027" s="45" t="s">
        <v>8007</v>
      </c>
    </row>
    <row r="6028" spans="1:4" s="45" customFormat="1" ht="13.5" x14ac:dyDescent="0.15">
      <c r="A6028" s="45" t="s">
        <v>41</v>
      </c>
      <c r="D6028" s="45" t="s">
        <v>124</v>
      </c>
    </row>
    <row r="6029" spans="1:4" s="45" customFormat="1" ht="13.5" x14ac:dyDescent="0.15">
      <c r="A6029" s="45" t="s">
        <v>41</v>
      </c>
      <c r="D6029" s="45" t="s">
        <v>122</v>
      </c>
    </row>
    <row r="6030" spans="1:4" s="45" customFormat="1" ht="13.5" x14ac:dyDescent="0.15">
      <c r="A6030" s="45" t="s">
        <v>41</v>
      </c>
      <c r="D6030" s="45" t="s">
        <v>8008</v>
      </c>
    </row>
    <row r="6031" spans="1:4" s="45" customFormat="1" ht="13.5" x14ac:dyDescent="0.15">
      <c r="A6031" s="45" t="s">
        <v>41</v>
      </c>
      <c r="D6031" s="45" t="s">
        <v>8009</v>
      </c>
    </row>
    <row r="6032" spans="1:4" s="45" customFormat="1" ht="13.5" x14ac:dyDescent="0.15">
      <c r="A6032" s="45" t="s">
        <v>41</v>
      </c>
      <c r="D6032" s="45" t="s">
        <v>8010</v>
      </c>
    </row>
    <row r="6033" spans="1:4" s="45" customFormat="1" ht="13.5" x14ac:dyDescent="0.15">
      <c r="A6033" s="45" t="s">
        <v>41</v>
      </c>
      <c r="D6033" s="45" t="s">
        <v>8011</v>
      </c>
    </row>
    <row r="6034" spans="1:4" s="45" customFormat="1" ht="13.5" x14ac:dyDescent="0.15">
      <c r="A6034" s="45" t="s">
        <v>41</v>
      </c>
      <c r="D6034" s="45" t="s">
        <v>203</v>
      </c>
    </row>
    <row r="6035" spans="1:4" s="45" customFormat="1" ht="13.5" x14ac:dyDescent="0.15">
      <c r="A6035" s="45" t="s">
        <v>41</v>
      </c>
      <c r="D6035" s="45" t="s">
        <v>288</v>
      </c>
    </row>
    <row r="6036" spans="1:4" s="45" customFormat="1" ht="13.5" x14ac:dyDescent="0.15">
      <c r="A6036" s="45" t="s">
        <v>41</v>
      </c>
      <c r="D6036" s="45" t="s">
        <v>287</v>
      </c>
    </row>
    <row r="6037" spans="1:4" s="45" customFormat="1" ht="13.5" x14ac:dyDescent="0.15">
      <c r="A6037" s="45" t="s">
        <v>41</v>
      </c>
      <c r="D6037" s="45" t="s">
        <v>8012</v>
      </c>
    </row>
    <row r="6038" spans="1:4" s="45" customFormat="1" ht="13.5" x14ac:dyDescent="0.15">
      <c r="A6038" s="45" t="s">
        <v>41</v>
      </c>
      <c r="D6038" s="45" t="s">
        <v>1243</v>
      </c>
    </row>
    <row r="6039" spans="1:4" s="45" customFormat="1" ht="13.5" x14ac:dyDescent="0.15">
      <c r="A6039" s="45" t="s">
        <v>41</v>
      </c>
      <c r="D6039" s="45" t="s">
        <v>8013</v>
      </c>
    </row>
    <row r="6040" spans="1:4" s="45" customFormat="1" ht="13.5" x14ac:dyDescent="0.15">
      <c r="A6040" s="45" t="s">
        <v>41</v>
      </c>
      <c r="D6040" s="45" t="s">
        <v>8014</v>
      </c>
    </row>
    <row r="6041" spans="1:4" s="45" customFormat="1" ht="13.5" x14ac:dyDescent="0.15">
      <c r="A6041" s="45" t="s">
        <v>41</v>
      </c>
      <c r="D6041" s="45" t="s">
        <v>2133</v>
      </c>
    </row>
    <row r="6042" spans="1:4" s="45" customFormat="1" ht="13.5" x14ac:dyDescent="0.15">
      <c r="A6042" s="45" t="s">
        <v>41</v>
      </c>
      <c r="D6042" s="45" t="s">
        <v>2296</v>
      </c>
    </row>
    <row r="6043" spans="1:4" s="45" customFormat="1" ht="13.5" x14ac:dyDescent="0.15">
      <c r="A6043" s="45" t="s">
        <v>41</v>
      </c>
      <c r="D6043" s="45" t="s">
        <v>8015</v>
      </c>
    </row>
    <row r="6044" spans="1:4" s="45" customFormat="1" ht="13.5" x14ac:dyDescent="0.15">
      <c r="A6044" s="45" t="s">
        <v>41</v>
      </c>
      <c r="D6044" s="45" t="s">
        <v>8016</v>
      </c>
    </row>
    <row r="6045" spans="1:4" s="45" customFormat="1" ht="13.5" x14ac:dyDescent="0.15">
      <c r="A6045" s="45" t="s">
        <v>41</v>
      </c>
      <c r="D6045" s="45" t="s">
        <v>8017</v>
      </c>
    </row>
    <row r="6046" spans="1:4" s="45" customFormat="1" ht="13.5" x14ac:dyDescent="0.15">
      <c r="A6046" s="45" t="s">
        <v>41</v>
      </c>
      <c r="D6046" s="45" t="s">
        <v>8018</v>
      </c>
    </row>
    <row r="6047" spans="1:4" s="45" customFormat="1" ht="13.5" x14ac:dyDescent="0.15">
      <c r="A6047" s="45" t="s">
        <v>41</v>
      </c>
      <c r="D6047" s="45" t="s">
        <v>8019</v>
      </c>
    </row>
    <row r="6048" spans="1:4" s="45" customFormat="1" ht="13.5" x14ac:dyDescent="0.15">
      <c r="A6048" s="45" t="s">
        <v>41</v>
      </c>
      <c r="D6048" s="45" t="s">
        <v>8020</v>
      </c>
    </row>
    <row r="6049" spans="1:4" s="45" customFormat="1" ht="13.5" x14ac:dyDescent="0.15">
      <c r="A6049" s="45" t="s">
        <v>41</v>
      </c>
      <c r="D6049" s="45" t="s">
        <v>8021</v>
      </c>
    </row>
    <row r="6050" spans="1:4" s="45" customFormat="1" ht="13.5" x14ac:dyDescent="0.15">
      <c r="A6050" s="45" t="s">
        <v>41</v>
      </c>
      <c r="D6050" s="45" t="s">
        <v>8022</v>
      </c>
    </row>
    <row r="6051" spans="1:4" s="45" customFormat="1" ht="13.5" x14ac:dyDescent="0.15">
      <c r="A6051" s="45" t="s">
        <v>41</v>
      </c>
      <c r="D6051" s="45" t="s">
        <v>8023</v>
      </c>
    </row>
    <row r="6052" spans="1:4" s="45" customFormat="1" ht="13.5" x14ac:dyDescent="0.15">
      <c r="A6052" s="45" t="s">
        <v>41</v>
      </c>
      <c r="D6052" s="45" t="s">
        <v>8024</v>
      </c>
    </row>
    <row r="6053" spans="1:4" s="45" customFormat="1" ht="13.5" x14ac:dyDescent="0.15">
      <c r="A6053" s="45" t="s">
        <v>41</v>
      </c>
      <c r="D6053" s="45" t="s">
        <v>8025</v>
      </c>
    </row>
    <row r="6054" spans="1:4" s="45" customFormat="1" ht="13.5" x14ac:dyDescent="0.15">
      <c r="A6054" s="45" t="s">
        <v>41</v>
      </c>
      <c r="D6054" s="45" t="s">
        <v>8026</v>
      </c>
    </row>
    <row r="6055" spans="1:4" s="45" customFormat="1" ht="13.5" x14ac:dyDescent="0.15">
      <c r="A6055" s="45" t="s">
        <v>41</v>
      </c>
      <c r="D6055" s="45" t="s">
        <v>8027</v>
      </c>
    </row>
    <row r="6056" spans="1:4" s="45" customFormat="1" ht="13.5" x14ac:dyDescent="0.15">
      <c r="A6056" s="45" t="s">
        <v>41</v>
      </c>
      <c r="D6056" s="45" t="s">
        <v>8028</v>
      </c>
    </row>
    <row r="6057" spans="1:4" s="45" customFormat="1" ht="13.5" x14ac:dyDescent="0.15">
      <c r="A6057" s="45" t="s">
        <v>41</v>
      </c>
      <c r="D6057" s="45" t="s">
        <v>8029</v>
      </c>
    </row>
    <row r="6058" spans="1:4" s="45" customFormat="1" ht="13.5" x14ac:dyDescent="0.15">
      <c r="A6058" s="45" t="s">
        <v>41</v>
      </c>
      <c r="D6058" s="45" t="s">
        <v>8030</v>
      </c>
    </row>
    <row r="6059" spans="1:4" s="45" customFormat="1" ht="13.5" x14ac:dyDescent="0.15">
      <c r="A6059" s="45" t="s">
        <v>41</v>
      </c>
      <c r="D6059" s="45" t="s">
        <v>8031</v>
      </c>
    </row>
    <row r="6060" spans="1:4" s="45" customFormat="1" ht="13.5" x14ac:dyDescent="0.15">
      <c r="A6060" s="45" t="s">
        <v>41</v>
      </c>
      <c r="D6060" s="45" t="s">
        <v>8032</v>
      </c>
    </row>
    <row r="6061" spans="1:4" s="45" customFormat="1" ht="13.5" x14ac:dyDescent="0.15">
      <c r="A6061" s="45" t="s">
        <v>41</v>
      </c>
      <c r="D6061" s="45" t="s">
        <v>8033</v>
      </c>
    </row>
    <row r="6062" spans="1:4" s="45" customFormat="1" ht="13.5" x14ac:dyDescent="0.15">
      <c r="A6062" s="45" t="s">
        <v>41</v>
      </c>
      <c r="D6062" s="45" t="s">
        <v>8034</v>
      </c>
    </row>
    <row r="6063" spans="1:4" s="45" customFormat="1" ht="13.5" x14ac:dyDescent="0.15">
      <c r="A6063" s="45" t="s">
        <v>41</v>
      </c>
      <c r="D6063" s="45" t="s">
        <v>8035</v>
      </c>
    </row>
    <row r="6064" spans="1:4" s="45" customFormat="1" ht="13.5" x14ac:dyDescent="0.15">
      <c r="A6064" s="45" t="s">
        <v>41</v>
      </c>
      <c r="D6064" s="45" t="s">
        <v>8036</v>
      </c>
    </row>
    <row r="6065" spans="1:4" s="45" customFormat="1" ht="13.5" x14ac:dyDescent="0.15">
      <c r="A6065" s="45" t="s">
        <v>41</v>
      </c>
      <c r="D6065" s="45" t="s">
        <v>8037</v>
      </c>
    </row>
    <row r="6066" spans="1:4" s="45" customFormat="1" ht="13.5" x14ac:dyDescent="0.15">
      <c r="A6066" s="45" t="s">
        <v>41</v>
      </c>
      <c r="D6066" s="45" t="s">
        <v>8038</v>
      </c>
    </row>
    <row r="6067" spans="1:4" s="45" customFormat="1" ht="13.5" x14ac:dyDescent="0.15">
      <c r="A6067" s="45" t="s">
        <v>41</v>
      </c>
      <c r="D6067" s="45" t="s">
        <v>8039</v>
      </c>
    </row>
    <row r="6068" spans="1:4" s="45" customFormat="1" ht="13.5" x14ac:dyDescent="0.15">
      <c r="A6068" s="45" t="s">
        <v>41</v>
      </c>
      <c r="D6068" s="45" t="s">
        <v>1086</v>
      </c>
    </row>
    <row r="6069" spans="1:4" s="45" customFormat="1" ht="13.5" x14ac:dyDescent="0.15">
      <c r="A6069" s="45" t="s">
        <v>41</v>
      </c>
      <c r="D6069" s="45" t="s">
        <v>8040</v>
      </c>
    </row>
    <row r="6070" spans="1:4" s="45" customFormat="1" ht="13.5" x14ac:dyDescent="0.15">
      <c r="A6070" s="45" t="s">
        <v>41</v>
      </c>
      <c r="D6070" s="45" t="s">
        <v>526</v>
      </c>
    </row>
    <row r="6071" spans="1:4" s="45" customFormat="1" ht="13.5" x14ac:dyDescent="0.15">
      <c r="A6071" s="45" t="s">
        <v>41</v>
      </c>
      <c r="D6071" s="45" t="s">
        <v>612</v>
      </c>
    </row>
    <row r="6072" spans="1:4" s="45" customFormat="1" ht="13.5" x14ac:dyDescent="0.15">
      <c r="A6072" s="45" t="s">
        <v>41</v>
      </c>
      <c r="D6072" s="45" t="s">
        <v>613</v>
      </c>
    </row>
    <row r="6073" spans="1:4" s="45" customFormat="1" ht="13.5" x14ac:dyDescent="0.15">
      <c r="A6073" s="45" t="s">
        <v>41</v>
      </c>
      <c r="D6073" s="45" t="s">
        <v>8041</v>
      </c>
    </row>
    <row r="6074" spans="1:4" s="45" customFormat="1" ht="13.5" x14ac:dyDescent="0.15">
      <c r="A6074" s="45" t="s">
        <v>41</v>
      </c>
      <c r="D6074" s="45" t="s">
        <v>8042</v>
      </c>
    </row>
    <row r="6075" spans="1:4" s="45" customFormat="1" ht="13.5" x14ac:dyDescent="0.15">
      <c r="A6075" s="45" t="s">
        <v>41</v>
      </c>
      <c r="D6075" s="45" t="s">
        <v>614</v>
      </c>
    </row>
    <row r="6076" spans="1:4" s="45" customFormat="1" ht="13.5" x14ac:dyDescent="0.15">
      <c r="A6076" s="45" t="s">
        <v>41</v>
      </c>
      <c r="D6076" s="45" t="s">
        <v>8043</v>
      </c>
    </row>
    <row r="6077" spans="1:4" s="45" customFormat="1" ht="13.5" x14ac:dyDescent="0.15">
      <c r="A6077" s="45" t="s">
        <v>41</v>
      </c>
      <c r="D6077" s="45" t="s">
        <v>8044</v>
      </c>
    </row>
    <row r="6078" spans="1:4" s="45" customFormat="1" ht="13.5" x14ac:dyDescent="0.15">
      <c r="A6078" s="45" t="s">
        <v>41</v>
      </c>
      <c r="D6078" s="45" t="s">
        <v>8045</v>
      </c>
    </row>
    <row r="6079" spans="1:4" s="45" customFormat="1" ht="13.5" x14ac:dyDescent="0.15">
      <c r="A6079" s="45" t="s">
        <v>41</v>
      </c>
      <c r="D6079" s="45" t="s">
        <v>8046</v>
      </c>
    </row>
    <row r="6080" spans="1:4" s="45" customFormat="1" ht="13.5" x14ac:dyDescent="0.15">
      <c r="A6080" s="45" t="s">
        <v>41</v>
      </c>
      <c r="D6080" s="45" t="s">
        <v>8047</v>
      </c>
    </row>
    <row r="6081" spans="1:4" s="45" customFormat="1" ht="13.5" x14ac:dyDescent="0.15">
      <c r="A6081" s="45" t="s">
        <v>41</v>
      </c>
      <c r="D6081" s="45" t="s">
        <v>8048</v>
      </c>
    </row>
    <row r="6082" spans="1:4" s="45" customFormat="1" ht="13.5" x14ac:dyDescent="0.15">
      <c r="A6082" s="45" t="s">
        <v>41</v>
      </c>
      <c r="D6082" s="45" t="s">
        <v>8049</v>
      </c>
    </row>
    <row r="6083" spans="1:4" s="45" customFormat="1" ht="13.5" x14ac:dyDescent="0.15">
      <c r="A6083" s="45" t="s">
        <v>41</v>
      </c>
      <c r="D6083" s="45" t="s">
        <v>8050</v>
      </c>
    </row>
    <row r="6084" spans="1:4" s="45" customFormat="1" ht="13.5" x14ac:dyDescent="0.15">
      <c r="A6084" s="45" t="s">
        <v>41</v>
      </c>
      <c r="D6084" s="45" t="s">
        <v>8051</v>
      </c>
    </row>
    <row r="6085" spans="1:4" s="45" customFormat="1" ht="13.5" x14ac:dyDescent="0.15">
      <c r="A6085" s="45" t="s">
        <v>41</v>
      </c>
      <c r="D6085" s="45" t="s">
        <v>1172</v>
      </c>
    </row>
    <row r="6086" spans="1:4" s="45" customFormat="1" ht="13.5" x14ac:dyDescent="0.15">
      <c r="A6086" s="45" t="s">
        <v>41</v>
      </c>
      <c r="D6086" s="45" t="s">
        <v>8052</v>
      </c>
    </row>
    <row r="6087" spans="1:4" s="45" customFormat="1" ht="13.5" x14ac:dyDescent="0.15">
      <c r="A6087" s="45" t="s">
        <v>41</v>
      </c>
      <c r="D6087" s="45" t="s">
        <v>8053</v>
      </c>
    </row>
    <row r="6088" spans="1:4" s="45" customFormat="1" ht="13.5" x14ac:dyDescent="0.15">
      <c r="A6088" s="45" t="s">
        <v>41</v>
      </c>
      <c r="D6088" s="45" t="s">
        <v>8054</v>
      </c>
    </row>
    <row r="6089" spans="1:4" s="45" customFormat="1" ht="13.5" x14ac:dyDescent="0.15">
      <c r="A6089" s="45" t="s">
        <v>41</v>
      </c>
      <c r="D6089" s="45" t="s">
        <v>8055</v>
      </c>
    </row>
    <row r="6090" spans="1:4" s="45" customFormat="1" ht="13.5" x14ac:dyDescent="0.15">
      <c r="A6090" s="45" t="s">
        <v>41</v>
      </c>
      <c r="D6090" s="45" t="s">
        <v>8056</v>
      </c>
    </row>
    <row r="6091" spans="1:4" s="45" customFormat="1" ht="13.5" x14ac:dyDescent="0.15">
      <c r="A6091" s="45" t="s">
        <v>41</v>
      </c>
      <c r="D6091" s="45" t="s">
        <v>8057</v>
      </c>
    </row>
    <row r="6092" spans="1:4" s="45" customFormat="1" ht="13.5" x14ac:dyDescent="0.15">
      <c r="A6092" s="45" t="s">
        <v>41</v>
      </c>
      <c r="D6092" s="45" t="s">
        <v>8058</v>
      </c>
    </row>
    <row r="6093" spans="1:4" s="45" customFormat="1" ht="13.5" x14ac:dyDescent="0.15">
      <c r="A6093" s="45" t="s">
        <v>41</v>
      </c>
      <c r="D6093" s="45" t="s">
        <v>8059</v>
      </c>
    </row>
    <row r="6094" spans="1:4" s="45" customFormat="1" ht="13.5" x14ac:dyDescent="0.15">
      <c r="A6094" s="45" t="s">
        <v>41</v>
      </c>
      <c r="D6094" s="45" t="s">
        <v>8060</v>
      </c>
    </row>
    <row r="6095" spans="1:4" s="45" customFormat="1" ht="13.5" x14ac:dyDescent="0.15">
      <c r="A6095" s="45" t="s">
        <v>41</v>
      </c>
      <c r="D6095" s="45" t="s">
        <v>8061</v>
      </c>
    </row>
    <row r="6096" spans="1:4" s="45" customFormat="1" ht="13.5" x14ac:dyDescent="0.15">
      <c r="A6096" s="45" t="s">
        <v>41</v>
      </c>
      <c r="D6096" s="45" t="s">
        <v>8062</v>
      </c>
    </row>
    <row r="6097" spans="1:4" s="45" customFormat="1" ht="13.5" x14ac:dyDescent="0.15">
      <c r="A6097" s="45" t="s">
        <v>41</v>
      </c>
      <c r="D6097" s="45" t="s">
        <v>8063</v>
      </c>
    </row>
    <row r="6098" spans="1:4" s="45" customFormat="1" ht="13.5" x14ac:dyDescent="0.15">
      <c r="A6098" s="45" t="s">
        <v>41</v>
      </c>
      <c r="D6098" s="45" t="s">
        <v>8064</v>
      </c>
    </row>
    <row r="6099" spans="1:4" s="45" customFormat="1" ht="13.5" x14ac:dyDescent="0.15">
      <c r="A6099" s="45" t="s">
        <v>41</v>
      </c>
      <c r="D6099" s="45" t="s">
        <v>8065</v>
      </c>
    </row>
    <row r="6100" spans="1:4" s="45" customFormat="1" ht="13.5" x14ac:dyDescent="0.15">
      <c r="A6100" s="45" t="s">
        <v>41</v>
      </c>
      <c r="D6100" s="45" t="s">
        <v>8066</v>
      </c>
    </row>
    <row r="6101" spans="1:4" s="45" customFormat="1" ht="13.5" x14ac:dyDescent="0.15">
      <c r="A6101" s="45" t="s">
        <v>41</v>
      </c>
      <c r="D6101" s="45" t="s">
        <v>8067</v>
      </c>
    </row>
    <row r="6102" spans="1:4" s="45" customFormat="1" ht="13.5" x14ac:dyDescent="0.15">
      <c r="A6102" s="45" t="s">
        <v>41</v>
      </c>
      <c r="D6102" s="45" t="s">
        <v>8068</v>
      </c>
    </row>
    <row r="6103" spans="1:4" s="45" customFormat="1" ht="13.5" x14ac:dyDescent="0.15">
      <c r="A6103" s="45" t="s">
        <v>41</v>
      </c>
      <c r="D6103" s="45" t="s">
        <v>1185</v>
      </c>
    </row>
    <row r="6104" spans="1:4" s="45" customFormat="1" ht="13.5" x14ac:dyDescent="0.15">
      <c r="A6104" s="45" t="s">
        <v>41</v>
      </c>
      <c r="D6104" s="45" t="s">
        <v>500</v>
      </c>
    </row>
    <row r="6105" spans="1:4" s="45" customFormat="1" ht="13.5" x14ac:dyDescent="0.15">
      <c r="A6105" s="45" t="s">
        <v>41</v>
      </c>
      <c r="D6105" s="45" t="s">
        <v>499</v>
      </c>
    </row>
    <row r="6106" spans="1:4" s="45" customFormat="1" ht="13.5" x14ac:dyDescent="0.15">
      <c r="A6106" s="45" t="s">
        <v>41</v>
      </c>
      <c r="D6106" s="45" t="s">
        <v>8069</v>
      </c>
    </row>
    <row r="6107" spans="1:4" s="45" customFormat="1" ht="13.5" x14ac:dyDescent="0.15">
      <c r="A6107" s="45" t="s">
        <v>41</v>
      </c>
      <c r="D6107" s="45" t="s">
        <v>8070</v>
      </c>
    </row>
    <row r="6108" spans="1:4" s="45" customFormat="1" ht="13.5" x14ac:dyDescent="0.15">
      <c r="A6108" s="45" t="s">
        <v>41</v>
      </c>
      <c r="D6108" s="45" t="s">
        <v>8071</v>
      </c>
    </row>
    <row r="6109" spans="1:4" s="45" customFormat="1" ht="13.5" x14ac:dyDescent="0.15">
      <c r="A6109" s="45" t="s">
        <v>41</v>
      </c>
      <c r="D6109" s="45" t="s">
        <v>8072</v>
      </c>
    </row>
    <row r="6110" spans="1:4" s="45" customFormat="1" ht="13.5" x14ac:dyDescent="0.15">
      <c r="A6110" s="45" t="s">
        <v>41</v>
      </c>
      <c r="D6110" s="45" t="s">
        <v>8073</v>
      </c>
    </row>
    <row r="6111" spans="1:4" s="45" customFormat="1" ht="13.5" x14ac:dyDescent="0.15">
      <c r="A6111" s="45" t="s">
        <v>41</v>
      </c>
      <c r="D6111" s="45" t="s">
        <v>8074</v>
      </c>
    </row>
    <row r="6112" spans="1:4" s="45" customFormat="1" ht="13.5" x14ac:dyDescent="0.15">
      <c r="A6112" s="45" t="s">
        <v>41</v>
      </c>
      <c r="D6112" s="45" t="s">
        <v>8075</v>
      </c>
    </row>
    <row r="6113" spans="1:4" s="45" customFormat="1" ht="13.5" x14ac:dyDescent="0.15">
      <c r="A6113" s="45" t="s">
        <v>41</v>
      </c>
      <c r="D6113" s="45" t="s">
        <v>8076</v>
      </c>
    </row>
    <row r="6114" spans="1:4" s="45" customFormat="1" ht="13.5" x14ac:dyDescent="0.15">
      <c r="A6114" s="45" t="s">
        <v>41</v>
      </c>
      <c r="D6114" s="45" t="s">
        <v>8077</v>
      </c>
    </row>
    <row r="6115" spans="1:4" s="45" customFormat="1" ht="13.5" x14ac:dyDescent="0.15">
      <c r="A6115" s="45" t="s">
        <v>41</v>
      </c>
      <c r="D6115" s="45" t="s">
        <v>2418</v>
      </c>
    </row>
    <row r="6116" spans="1:4" s="45" customFormat="1" ht="13.5" x14ac:dyDescent="0.15">
      <c r="A6116" s="45" t="s">
        <v>41</v>
      </c>
      <c r="D6116" s="45" t="s">
        <v>8078</v>
      </c>
    </row>
    <row r="6117" spans="1:4" s="45" customFormat="1" ht="13.5" x14ac:dyDescent="0.15">
      <c r="A6117" s="45" t="s">
        <v>41</v>
      </c>
      <c r="D6117" s="45" t="s">
        <v>1616</v>
      </c>
    </row>
    <row r="6118" spans="1:4" s="45" customFormat="1" ht="13.5" x14ac:dyDescent="0.15">
      <c r="A6118" s="45" t="s">
        <v>41</v>
      </c>
      <c r="D6118" s="45" t="s">
        <v>8079</v>
      </c>
    </row>
    <row r="6119" spans="1:4" s="45" customFormat="1" ht="13.5" x14ac:dyDescent="0.15">
      <c r="A6119" s="45" t="s">
        <v>41</v>
      </c>
      <c r="D6119" s="45" t="s">
        <v>8080</v>
      </c>
    </row>
    <row r="6120" spans="1:4" s="45" customFormat="1" ht="13.5" x14ac:dyDescent="0.15">
      <c r="A6120" s="45" t="s">
        <v>41</v>
      </c>
      <c r="D6120" s="45" t="s">
        <v>8081</v>
      </c>
    </row>
    <row r="6121" spans="1:4" s="45" customFormat="1" ht="13.5" x14ac:dyDescent="0.15">
      <c r="A6121" s="45" t="s">
        <v>41</v>
      </c>
      <c r="D6121" s="45" t="s">
        <v>8082</v>
      </c>
    </row>
    <row r="6122" spans="1:4" s="45" customFormat="1" ht="13.5" x14ac:dyDescent="0.15">
      <c r="A6122" s="45" t="s">
        <v>41</v>
      </c>
      <c r="D6122" s="45" t="s">
        <v>8083</v>
      </c>
    </row>
    <row r="6123" spans="1:4" s="45" customFormat="1" ht="13.5" x14ac:dyDescent="0.15">
      <c r="A6123" s="45" t="s">
        <v>41</v>
      </c>
      <c r="D6123" s="45" t="s">
        <v>8084</v>
      </c>
    </row>
    <row r="6124" spans="1:4" s="45" customFormat="1" ht="13.5" x14ac:dyDescent="0.15">
      <c r="A6124" s="45" t="s">
        <v>41</v>
      </c>
      <c r="D6124" s="45" t="s">
        <v>8085</v>
      </c>
    </row>
    <row r="6125" spans="1:4" s="45" customFormat="1" ht="13.5" x14ac:dyDescent="0.15">
      <c r="A6125" s="45" t="s">
        <v>41</v>
      </c>
      <c r="D6125" s="45" t="s">
        <v>8086</v>
      </c>
    </row>
    <row r="6126" spans="1:4" s="45" customFormat="1" ht="13.5" x14ac:dyDescent="0.15">
      <c r="A6126" s="45" t="s">
        <v>41</v>
      </c>
      <c r="D6126" s="45" t="s">
        <v>1427</v>
      </c>
    </row>
    <row r="6127" spans="1:4" s="45" customFormat="1" ht="13.5" x14ac:dyDescent="0.15">
      <c r="A6127" s="45" t="s">
        <v>41</v>
      </c>
      <c r="D6127" s="45" t="s">
        <v>1428</v>
      </c>
    </row>
    <row r="6128" spans="1:4" s="45" customFormat="1" ht="13.5" x14ac:dyDescent="0.15">
      <c r="A6128" s="45" t="s">
        <v>41</v>
      </c>
      <c r="D6128" s="45" t="s">
        <v>1775</v>
      </c>
    </row>
    <row r="6129" spans="1:4" s="45" customFormat="1" ht="13.5" x14ac:dyDescent="0.15">
      <c r="A6129" s="45" t="s">
        <v>41</v>
      </c>
      <c r="D6129" s="45" t="s">
        <v>8087</v>
      </c>
    </row>
    <row r="6130" spans="1:4" s="45" customFormat="1" ht="13.5" x14ac:dyDescent="0.15">
      <c r="A6130" s="45" t="s">
        <v>41</v>
      </c>
      <c r="D6130" s="45" t="s">
        <v>1778</v>
      </c>
    </row>
    <row r="6131" spans="1:4" s="45" customFormat="1" ht="13.5" x14ac:dyDescent="0.15">
      <c r="A6131" s="45" t="s">
        <v>41</v>
      </c>
      <c r="D6131" s="45" t="s">
        <v>8088</v>
      </c>
    </row>
    <row r="6132" spans="1:4" s="45" customFormat="1" ht="13.5" x14ac:dyDescent="0.15">
      <c r="A6132" s="45" t="s">
        <v>41</v>
      </c>
      <c r="D6132" s="45" t="s">
        <v>8089</v>
      </c>
    </row>
    <row r="6133" spans="1:4" s="45" customFormat="1" ht="13.5" x14ac:dyDescent="0.15">
      <c r="A6133" s="45" t="s">
        <v>41</v>
      </c>
      <c r="D6133" s="45" t="s">
        <v>556</v>
      </c>
    </row>
    <row r="6134" spans="1:4" s="45" customFormat="1" ht="13.5" x14ac:dyDescent="0.15">
      <c r="A6134" s="45" t="s">
        <v>41</v>
      </c>
      <c r="D6134" s="45" t="s">
        <v>8090</v>
      </c>
    </row>
    <row r="6135" spans="1:4" s="45" customFormat="1" ht="13.5" x14ac:dyDescent="0.15">
      <c r="A6135" s="45" t="s">
        <v>41</v>
      </c>
      <c r="D6135" s="45" t="s">
        <v>8091</v>
      </c>
    </row>
    <row r="6136" spans="1:4" s="45" customFormat="1" ht="13.5" x14ac:dyDescent="0.15">
      <c r="A6136" s="45" t="s">
        <v>41</v>
      </c>
      <c r="D6136" s="45" t="s">
        <v>8092</v>
      </c>
    </row>
    <row r="6137" spans="1:4" s="45" customFormat="1" ht="13.5" x14ac:dyDescent="0.15">
      <c r="A6137" s="45" t="s">
        <v>41</v>
      </c>
      <c r="D6137" s="45" t="s">
        <v>8093</v>
      </c>
    </row>
    <row r="6138" spans="1:4" s="45" customFormat="1" ht="13.5" x14ac:dyDescent="0.15">
      <c r="A6138" s="45" t="s">
        <v>41</v>
      </c>
      <c r="D6138" s="45" t="s">
        <v>8094</v>
      </c>
    </row>
    <row r="6139" spans="1:4" s="45" customFormat="1" ht="13.5" x14ac:dyDescent="0.15">
      <c r="A6139" s="45" t="s">
        <v>41</v>
      </c>
      <c r="D6139" s="45" t="s">
        <v>8095</v>
      </c>
    </row>
    <row r="6140" spans="1:4" s="45" customFormat="1" ht="13.5" x14ac:dyDescent="0.15">
      <c r="A6140" s="45" t="s">
        <v>41</v>
      </c>
      <c r="D6140" s="45" t="s">
        <v>8096</v>
      </c>
    </row>
    <row r="6141" spans="1:4" s="45" customFormat="1" ht="13.5" x14ac:dyDescent="0.15">
      <c r="A6141" s="45" t="s">
        <v>41</v>
      </c>
      <c r="D6141" s="45" t="s">
        <v>557</v>
      </c>
    </row>
    <row r="6142" spans="1:4" s="45" customFormat="1" ht="13.5" x14ac:dyDescent="0.15">
      <c r="A6142" s="45" t="s">
        <v>41</v>
      </c>
      <c r="D6142" s="45" t="s">
        <v>558</v>
      </c>
    </row>
    <row r="6143" spans="1:4" s="45" customFormat="1" ht="13.5" x14ac:dyDescent="0.15">
      <c r="A6143" s="45" t="s">
        <v>41</v>
      </c>
      <c r="D6143" s="45" t="s">
        <v>8097</v>
      </c>
    </row>
    <row r="6144" spans="1:4" s="45" customFormat="1" ht="13.5" x14ac:dyDescent="0.15">
      <c r="A6144" s="45" t="s">
        <v>41</v>
      </c>
      <c r="D6144" s="45" t="s">
        <v>555</v>
      </c>
    </row>
    <row r="6145" spans="1:4" s="45" customFormat="1" ht="13.5" x14ac:dyDescent="0.15">
      <c r="A6145" s="45" t="s">
        <v>41</v>
      </c>
      <c r="D6145" s="45" t="s">
        <v>8098</v>
      </c>
    </row>
    <row r="6146" spans="1:4" s="45" customFormat="1" ht="13.5" x14ac:dyDescent="0.15">
      <c r="A6146" s="45" t="s">
        <v>41</v>
      </c>
      <c r="D6146" s="45" t="s">
        <v>8099</v>
      </c>
    </row>
    <row r="6147" spans="1:4" s="45" customFormat="1" ht="13.5" x14ac:dyDescent="0.15">
      <c r="A6147" s="45" t="s">
        <v>41</v>
      </c>
      <c r="D6147" s="45" t="s">
        <v>8100</v>
      </c>
    </row>
    <row r="6148" spans="1:4" s="45" customFormat="1" ht="13.5" x14ac:dyDescent="0.15">
      <c r="A6148" s="45" t="s">
        <v>41</v>
      </c>
      <c r="D6148" s="45" t="s">
        <v>8101</v>
      </c>
    </row>
    <row r="6149" spans="1:4" s="45" customFormat="1" ht="13.5" x14ac:dyDescent="0.15">
      <c r="A6149" s="45" t="s">
        <v>41</v>
      </c>
      <c r="D6149" s="45" t="s">
        <v>8102</v>
      </c>
    </row>
    <row r="6150" spans="1:4" s="45" customFormat="1" ht="13.5" x14ac:dyDescent="0.15">
      <c r="A6150" s="45" t="s">
        <v>41</v>
      </c>
      <c r="D6150" s="45" t="s">
        <v>8103</v>
      </c>
    </row>
    <row r="6151" spans="1:4" s="45" customFormat="1" ht="13.5" x14ac:dyDescent="0.15">
      <c r="A6151" s="45" t="s">
        <v>41</v>
      </c>
      <c r="D6151" s="45" t="s">
        <v>8104</v>
      </c>
    </row>
    <row r="6152" spans="1:4" s="45" customFormat="1" ht="13.5" x14ac:dyDescent="0.15">
      <c r="A6152" s="45" t="s">
        <v>41</v>
      </c>
      <c r="D6152" s="45" t="s">
        <v>8105</v>
      </c>
    </row>
    <row r="6153" spans="1:4" s="45" customFormat="1" ht="13.5" x14ac:dyDescent="0.15">
      <c r="A6153" s="45" t="s">
        <v>41</v>
      </c>
      <c r="D6153" s="45" t="s">
        <v>1772</v>
      </c>
    </row>
    <row r="6154" spans="1:4" s="45" customFormat="1" ht="13.5" x14ac:dyDescent="0.15">
      <c r="A6154" s="45" t="s">
        <v>41</v>
      </c>
      <c r="D6154" s="45" t="s">
        <v>1770</v>
      </c>
    </row>
    <row r="6155" spans="1:4" s="45" customFormat="1" ht="13.5" x14ac:dyDescent="0.15">
      <c r="A6155" s="45" t="s">
        <v>41</v>
      </c>
      <c r="D6155" s="45" t="s">
        <v>1771</v>
      </c>
    </row>
    <row r="6156" spans="1:4" s="45" customFormat="1" ht="13.5" x14ac:dyDescent="0.15">
      <c r="A6156" s="45" t="s">
        <v>41</v>
      </c>
      <c r="D6156" s="45" t="s">
        <v>8106</v>
      </c>
    </row>
    <row r="6157" spans="1:4" s="45" customFormat="1" ht="13.5" x14ac:dyDescent="0.15">
      <c r="A6157" s="45" t="s">
        <v>41</v>
      </c>
      <c r="D6157" s="45" t="s">
        <v>8107</v>
      </c>
    </row>
    <row r="6158" spans="1:4" s="45" customFormat="1" ht="13.5" x14ac:dyDescent="0.15">
      <c r="A6158" s="45" t="s">
        <v>41</v>
      </c>
      <c r="D6158" s="45" t="s">
        <v>8108</v>
      </c>
    </row>
    <row r="6159" spans="1:4" s="45" customFormat="1" ht="13.5" x14ac:dyDescent="0.15">
      <c r="A6159" s="45" t="s">
        <v>41</v>
      </c>
      <c r="D6159" s="45" t="s">
        <v>1026</v>
      </c>
    </row>
    <row r="6160" spans="1:4" s="45" customFormat="1" ht="13.5" x14ac:dyDescent="0.15">
      <c r="A6160" s="45" t="s">
        <v>41</v>
      </c>
      <c r="D6160" s="45" t="s">
        <v>1190</v>
      </c>
    </row>
    <row r="6161" spans="1:4" s="45" customFormat="1" ht="13.5" x14ac:dyDescent="0.15">
      <c r="A6161" s="45" t="s">
        <v>41</v>
      </c>
      <c r="D6161" s="45" t="s">
        <v>1192</v>
      </c>
    </row>
    <row r="6162" spans="1:4" s="45" customFormat="1" ht="13.5" x14ac:dyDescent="0.15">
      <c r="A6162" s="45" t="s">
        <v>41</v>
      </c>
      <c r="D6162" s="45" t="s">
        <v>1191</v>
      </c>
    </row>
    <row r="6163" spans="1:4" s="45" customFormat="1" ht="13.5" x14ac:dyDescent="0.15">
      <c r="A6163" s="45" t="s">
        <v>41</v>
      </c>
      <c r="D6163" s="45" t="s">
        <v>8109</v>
      </c>
    </row>
    <row r="6164" spans="1:4" s="45" customFormat="1" ht="13.5" x14ac:dyDescent="0.15">
      <c r="A6164" s="45" t="s">
        <v>41</v>
      </c>
      <c r="D6164" s="45" t="s">
        <v>8110</v>
      </c>
    </row>
    <row r="6165" spans="1:4" s="45" customFormat="1" ht="13.5" x14ac:dyDescent="0.15">
      <c r="A6165" s="45" t="s">
        <v>41</v>
      </c>
      <c r="D6165" s="45" t="s">
        <v>8111</v>
      </c>
    </row>
    <row r="6166" spans="1:4" s="45" customFormat="1" ht="13.5" x14ac:dyDescent="0.15">
      <c r="A6166" s="45" t="s">
        <v>41</v>
      </c>
      <c r="D6166" s="45" t="s">
        <v>8112</v>
      </c>
    </row>
    <row r="6167" spans="1:4" s="45" customFormat="1" ht="13.5" x14ac:dyDescent="0.15">
      <c r="A6167" s="45" t="s">
        <v>41</v>
      </c>
      <c r="D6167" s="45" t="s">
        <v>8113</v>
      </c>
    </row>
    <row r="6168" spans="1:4" s="45" customFormat="1" ht="13.5" x14ac:dyDescent="0.15">
      <c r="A6168" s="45" t="s">
        <v>41</v>
      </c>
      <c r="D6168" s="45" t="s">
        <v>8114</v>
      </c>
    </row>
    <row r="6169" spans="1:4" s="45" customFormat="1" ht="13.5" x14ac:dyDescent="0.15">
      <c r="A6169" s="45" t="s">
        <v>41</v>
      </c>
      <c r="D6169" s="45" t="s">
        <v>8115</v>
      </c>
    </row>
    <row r="6170" spans="1:4" s="45" customFormat="1" ht="13.5" x14ac:dyDescent="0.15">
      <c r="A6170" s="45" t="s">
        <v>41</v>
      </c>
      <c r="D6170" s="45" t="s">
        <v>1388</v>
      </c>
    </row>
    <row r="6171" spans="1:4" s="45" customFormat="1" ht="13.5" x14ac:dyDescent="0.15">
      <c r="A6171" s="45" t="s">
        <v>41</v>
      </c>
      <c r="D6171" s="45" t="s">
        <v>1389</v>
      </c>
    </row>
    <row r="6172" spans="1:4" s="45" customFormat="1" ht="13.5" x14ac:dyDescent="0.15">
      <c r="A6172" s="45" t="s">
        <v>41</v>
      </c>
      <c r="D6172" s="45" t="s">
        <v>1390</v>
      </c>
    </row>
    <row r="6173" spans="1:4" s="45" customFormat="1" ht="13.5" x14ac:dyDescent="0.15">
      <c r="A6173" s="45" t="s">
        <v>41</v>
      </c>
      <c r="D6173" s="45" t="s">
        <v>8116</v>
      </c>
    </row>
    <row r="6174" spans="1:4" s="45" customFormat="1" ht="13.5" x14ac:dyDescent="0.15">
      <c r="A6174" s="45" t="s">
        <v>41</v>
      </c>
      <c r="D6174" s="45" t="s">
        <v>8117</v>
      </c>
    </row>
    <row r="6175" spans="1:4" s="45" customFormat="1" ht="13.5" x14ac:dyDescent="0.15">
      <c r="A6175" s="45" t="s">
        <v>41</v>
      </c>
      <c r="D6175" s="45" t="s">
        <v>8118</v>
      </c>
    </row>
    <row r="6176" spans="1:4" s="45" customFormat="1" ht="13.5" x14ac:dyDescent="0.15">
      <c r="A6176" s="45" t="s">
        <v>41</v>
      </c>
      <c r="D6176" s="45" t="s">
        <v>8119</v>
      </c>
    </row>
    <row r="6177" spans="1:4" s="45" customFormat="1" ht="13.5" x14ac:dyDescent="0.15">
      <c r="A6177" s="45" t="s">
        <v>41</v>
      </c>
      <c r="D6177" s="45" t="s">
        <v>8120</v>
      </c>
    </row>
    <row r="6178" spans="1:4" s="45" customFormat="1" ht="13.5" x14ac:dyDescent="0.15">
      <c r="A6178" s="45" t="s">
        <v>41</v>
      </c>
      <c r="D6178" s="45" t="s">
        <v>8121</v>
      </c>
    </row>
    <row r="6179" spans="1:4" s="45" customFormat="1" ht="13.5" x14ac:dyDescent="0.15">
      <c r="A6179" s="45" t="s">
        <v>41</v>
      </c>
      <c r="D6179" s="45" t="s">
        <v>8122</v>
      </c>
    </row>
    <row r="6180" spans="1:4" s="45" customFormat="1" ht="13.5" x14ac:dyDescent="0.15">
      <c r="A6180" s="45" t="s">
        <v>41</v>
      </c>
      <c r="D6180" s="45" t="s">
        <v>8123</v>
      </c>
    </row>
    <row r="6181" spans="1:4" s="45" customFormat="1" ht="13.5" x14ac:dyDescent="0.15">
      <c r="A6181" s="45" t="s">
        <v>41</v>
      </c>
      <c r="D6181" s="45" t="s">
        <v>633</v>
      </c>
    </row>
    <row r="6182" spans="1:4" s="45" customFormat="1" ht="13.5" x14ac:dyDescent="0.15">
      <c r="A6182" s="45" t="s">
        <v>41</v>
      </c>
      <c r="D6182" s="45" t="s">
        <v>634</v>
      </c>
    </row>
    <row r="6183" spans="1:4" s="45" customFormat="1" ht="13.5" x14ac:dyDescent="0.15">
      <c r="A6183" s="45" t="s">
        <v>41</v>
      </c>
      <c r="D6183" s="45" t="s">
        <v>635</v>
      </c>
    </row>
    <row r="6184" spans="1:4" s="45" customFormat="1" ht="13.5" x14ac:dyDescent="0.15">
      <c r="A6184" s="45" t="s">
        <v>41</v>
      </c>
      <c r="D6184" s="45" t="s">
        <v>8124</v>
      </c>
    </row>
    <row r="6185" spans="1:4" s="45" customFormat="1" ht="13.5" x14ac:dyDescent="0.15">
      <c r="A6185" s="45" t="s">
        <v>41</v>
      </c>
      <c r="D6185" s="45" t="s">
        <v>8125</v>
      </c>
    </row>
    <row r="6186" spans="1:4" s="45" customFormat="1" ht="13.5" x14ac:dyDescent="0.15">
      <c r="A6186" s="45" t="s">
        <v>41</v>
      </c>
      <c r="D6186" s="45" t="s">
        <v>8126</v>
      </c>
    </row>
    <row r="6187" spans="1:4" s="45" customFormat="1" ht="13.5" x14ac:dyDescent="0.15">
      <c r="A6187" s="45" t="s">
        <v>41</v>
      </c>
      <c r="D6187" s="45" t="s">
        <v>8127</v>
      </c>
    </row>
    <row r="6188" spans="1:4" s="45" customFormat="1" ht="13.5" x14ac:dyDescent="0.15">
      <c r="A6188" s="45" t="s">
        <v>41</v>
      </c>
      <c r="D6188" s="45" t="s">
        <v>8128</v>
      </c>
    </row>
    <row r="6189" spans="1:4" s="45" customFormat="1" ht="13.5" x14ac:dyDescent="0.15">
      <c r="A6189" s="45" t="s">
        <v>41</v>
      </c>
      <c r="D6189" s="45" t="s">
        <v>631</v>
      </c>
    </row>
    <row r="6190" spans="1:4" s="45" customFormat="1" ht="13.5" x14ac:dyDescent="0.15">
      <c r="A6190" s="45" t="s">
        <v>41</v>
      </c>
      <c r="D6190" s="45" t="s">
        <v>8129</v>
      </c>
    </row>
    <row r="6191" spans="1:4" s="45" customFormat="1" ht="13.5" x14ac:dyDescent="0.15">
      <c r="A6191" s="45" t="s">
        <v>41</v>
      </c>
      <c r="D6191" s="45" t="s">
        <v>632</v>
      </c>
    </row>
    <row r="6192" spans="1:4" s="45" customFormat="1" ht="13.5" x14ac:dyDescent="0.15">
      <c r="A6192" s="45" t="s">
        <v>41</v>
      </c>
      <c r="D6192" s="45" t="s">
        <v>8130</v>
      </c>
    </row>
    <row r="6193" spans="1:4" s="45" customFormat="1" ht="13.5" x14ac:dyDescent="0.15">
      <c r="A6193" s="45" t="s">
        <v>41</v>
      </c>
      <c r="D6193" s="45" t="s">
        <v>8131</v>
      </c>
    </row>
    <row r="6194" spans="1:4" s="45" customFormat="1" ht="13.5" x14ac:dyDescent="0.15">
      <c r="A6194" s="45" t="s">
        <v>41</v>
      </c>
      <c r="D6194" s="45" t="s">
        <v>8132</v>
      </c>
    </row>
    <row r="6195" spans="1:4" s="45" customFormat="1" ht="13.5" x14ac:dyDescent="0.15">
      <c r="A6195" s="45" t="s">
        <v>41</v>
      </c>
      <c r="D6195" s="45" t="s">
        <v>8133</v>
      </c>
    </row>
    <row r="6196" spans="1:4" s="45" customFormat="1" ht="13.5" x14ac:dyDescent="0.15">
      <c r="A6196" s="45" t="s">
        <v>41</v>
      </c>
      <c r="D6196" s="45" t="s">
        <v>8134</v>
      </c>
    </row>
    <row r="6197" spans="1:4" s="45" customFormat="1" ht="13.5" x14ac:dyDescent="0.15">
      <c r="A6197" s="45" t="s">
        <v>41</v>
      </c>
      <c r="D6197" s="45" t="s">
        <v>834</v>
      </c>
    </row>
    <row r="6198" spans="1:4" s="45" customFormat="1" ht="13.5" x14ac:dyDescent="0.15">
      <c r="A6198" s="45" t="s">
        <v>41</v>
      </c>
      <c r="D6198" s="45" t="s">
        <v>8135</v>
      </c>
    </row>
    <row r="6199" spans="1:4" s="45" customFormat="1" ht="13.5" x14ac:dyDescent="0.15">
      <c r="A6199" s="45" t="s">
        <v>41</v>
      </c>
      <c r="D6199" s="45" t="s">
        <v>8136</v>
      </c>
    </row>
    <row r="6200" spans="1:4" s="45" customFormat="1" ht="13.5" x14ac:dyDescent="0.15">
      <c r="A6200" s="45" t="s">
        <v>41</v>
      </c>
      <c r="D6200" s="45" t="s">
        <v>8137</v>
      </c>
    </row>
    <row r="6201" spans="1:4" s="45" customFormat="1" ht="13.5" x14ac:dyDescent="0.15">
      <c r="A6201" s="45" t="s">
        <v>41</v>
      </c>
      <c r="D6201" s="45" t="s">
        <v>8138</v>
      </c>
    </row>
    <row r="6202" spans="1:4" s="45" customFormat="1" ht="13.5" x14ac:dyDescent="0.15">
      <c r="A6202" s="45" t="s">
        <v>41</v>
      </c>
      <c r="D6202" s="45" t="s">
        <v>8139</v>
      </c>
    </row>
    <row r="6203" spans="1:4" s="45" customFormat="1" ht="13.5" x14ac:dyDescent="0.15">
      <c r="A6203" s="45" t="s">
        <v>41</v>
      </c>
      <c r="D6203" s="45" t="s">
        <v>8140</v>
      </c>
    </row>
    <row r="6204" spans="1:4" s="45" customFormat="1" ht="13.5" x14ac:dyDescent="0.15">
      <c r="A6204" s="45" t="s">
        <v>41</v>
      </c>
      <c r="D6204" s="45" t="s">
        <v>833</v>
      </c>
    </row>
    <row r="6205" spans="1:4" s="45" customFormat="1" ht="13.5" x14ac:dyDescent="0.15">
      <c r="A6205" s="45" t="s">
        <v>41</v>
      </c>
      <c r="D6205" s="45" t="s">
        <v>8141</v>
      </c>
    </row>
    <row r="6206" spans="1:4" s="45" customFormat="1" ht="13.5" x14ac:dyDescent="0.15">
      <c r="A6206" s="45" t="s">
        <v>41</v>
      </c>
      <c r="D6206" s="45" t="s">
        <v>8142</v>
      </c>
    </row>
    <row r="6207" spans="1:4" s="45" customFormat="1" ht="13.5" x14ac:dyDescent="0.15">
      <c r="A6207" s="45" t="s">
        <v>41</v>
      </c>
      <c r="D6207" s="45" t="s">
        <v>835</v>
      </c>
    </row>
    <row r="6208" spans="1:4" s="45" customFormat="1" ht="13.5" x14ac:dyDescent="0.15">
      <c r="A6208" s="45" t="s">
        <v>41</v>
      </c>
      <c r="D6208" s="45" t="s">
        <v>2040</v>
      </c>
    </row>
    <row r="6209" spans="1:4" s="45" customFormat="1" ht="13.5" x14ac:dyDescent="0.15">
      <c r="A6209" s="45" t="s">
        <v>41</v>
      </c>
      <c r="D6209" s="45" t="s">
        <v>8143</v>
      </c>
    </row>
    <row r="6210" spans="1:4" s="45" customFormat="1" ht="13.5" x14ac:dyDescent="0.15">
      <c r="A6210" s="45" t="s">
        <v>41</v>
      </c>
      <c r="D6210" s="45" t="s">
        <v>8144</v>
      </c>
    </row>
    <row r="6211" spans="1:4" s="45" customFormat="1" ht="13.5" x14ac:dyDescent="0.15">
      <c r="A6211" s="45" t="s">
        <v>41</v>
      </c>
      <c r="D6211" s="45" t="s">
        <v>1973</v>
      </c>
    </row>
    <row r="6212" spans="1:4" s="45" customFormat="1" ht="13.5" x14ac:dyDescent="0.15">
      <c r="A6212" s="45" t="s">
        <v>41</v>
      </c>
      <c r="D6212" s="45" t="s">
        <v>8145</v>
      </c>
    </row>
    <row r="6213" spans="1:4" s="45" customFormat="1" ht="13.5" x14ac:dyDescent="0.15">
      <c r="A6213" s="45" t="s">
        <v>41</v>
      </c>
      <c r="D6213" s="45" t="s">
        <v>8146</v>
      </c>
    </row>
    <row r="6214" spans="1:4" s="45" customFormat="1" ht="13.5" x14ac:dyDescent="0.15">
      <c r="A6214" s="45" t="s">
        <v>41</v>
      </c>
      <c r="D6214" s="45" t="s">
        <v>8147</v>
      </c>
    </row>
    <row r="6215" spans="1:4" s="45" customFormat="1" ht="13.5" x14ac:dyDescent="0.15">
      <c r="A6215" s="45" t="s">
        <v>41</v>
      </c>
      <c r="D6215" s="45" t="s">
        <v>8148</v>
      </c>
    </row>
    <row r="6216" spans="1:4" s="45" customFormat="1" ht="13.5" x14ac:dyDescent="0.15">
      <c r="A6216" s="45" t="s">
        <v>41</v>
      </c>
      <c r="D6216" s="45" t="s">
        <v>8149</v>
      </c>
    </row>
    <row r="6217" spans="1:4" s="45" customFormat="1" ht="13.5" x14ac:dyDescent="0.15">
      <c r="A6217" s="45" t="s">
        <v>41</v>
      </c>
      <c r="D6217" s="45" t="s">
        <v>8150</v>
      </c>
    </row>
    <row r="6218" spans="1:4" s="45" customFormat="1" ht="13.5" x14ac:dyDescent="0.15">
      <c r="A6218" s="45" t="s">
        <v>41</v>
      </c>
      <c r="D6218" s="45" t="s">
        <v>8151</v>
      </c>
    </row>
    <row r="6219" spans="1:4" s="45" customFormat="1" ht="13.5" x14ac:dyDescent="0.15">
      <c r="A6219" s="45" t="s">
        <v>41</v>
      </c>
      <c r="D6219" s="45" t="s">
        <v>8152</v>
      </c>
    </row>
    <row r="6220" spans="1:4" s="45" customFormat="1" ht="13.5" x14ac:dyDescent="0.15">
      <c r="A6220" s="45" t="s">
        <v>41</v>
      </c>
      <c r="D6220" s="45" t="s">
        <v>8153</v>
      </c>
    </row>
    <row r="6221" spans="1:4" s="45" customFormat="1" ht="13.5" x14ac:dyDescent="0.15">
      <c r="A6221" s="45" t="s">
        <v>41</v>
      </c>
      <c r="D6221" s="45" t="s">
        <v>8154</v>
      </c>
    </row>
    <row r="6222" spans="1:4" s="45" customFormat="1" ht="13.5" x14ac:dyDescent="0.15">
      <c r="A6222" s="45" t="s">
        <v>41</v>
      </c>
      <c r="D6222" s="45" t="s">
        <v>2050</v>
      </c>
    </row>
    <row r="6223" spans="1:4" s="45" customFormat="1" ht="13.5" x14ac:dyDescent="0.15">
      <c r="A6223" s="45" t="s">
        <v>41</v>
      </c>
      <c r="D6223" s="45" t="s">
        <v>8155</v>
      </c>
    </row>
    <row r="6224" spans="1:4" s="45" customFormat="1" ht="13.5" x14ac:dyDescent="0.15">
      <c r="A6224" s="45" t="s">
        <v>41</v>
      </c>
      <c r="D6224" s="45" t="s">
        <v>2042</v>
      </c>
    </row>
    <row r="6225" spans="1:4" s="45" customFormat="1" ht="13.5" x14ac:dyDescent="0.15">
      <c r="A6225" s="45" t="s">
        <v>41</v>
      </c>
      <c r="D6225" s="45" t="s">
        <v>2041</v>
      </c>
    </row>
    <row r="6226" spans="1:4" s="45" customFormat="1" ht="13.5" x14ac:dyDescent="0.15">
      <c r="A6226" s="45" t="s">
        <v>41</v>
      </c>
      <c r="D6226" s="45" t="s">
        <v>2049</v>
      </c>
    </row>
    <row r="6227" spans="1:4" s="45" customFormat="1" ht="13.5" x14ac:dyDescent="0.15">
      <c r="A6227" s="45" t="s">
        <v>41</v>
      </c>
      <c r="D6227" s="45" t="s">
        <v>2044</v>
      </c>
    </row>
    <row r="6228" spans="1:4" s="45" customFormat="1" ht="13.5" x14ac:dyDescent="0.15">
      <c r="A6228" s="45" t="s">
        <v>41</v>
      </c>
      <c r="D6228" s="45" t="s">
        <v>2045</v>
      </c>
    </row>
    <row r="6229" spans="1:4" s="45" customFormat="1" ht="13.5" x14ac:dyDescent="0.15">
      <c r="A6229" s="45" t="s">
        <v>41</v>
      </c>
      <c r="D6229" s="45" t="s">
        <v>2046</v>
      </c>
    </row>
    <row r="6230" spans="1:4" s="45" customFormat="1" ht="13.5" x14ac:dyDescent="0.15">
      <c r="A6230" s="45" t="s">
        <v>41</v>
      </c>
      <c r="D6230" s="45" t="s">
        <v>2047</v>
      </c>
    </row>
    <row r="6231" spans="1:4" s="45" customFormat="1" ht="13.5" x14ac:dyDescent="0.15">
      <c r="A6231" s="45" t="s">
        <v>41</v>
      </c>
      <c r="D6231" s="45" t="s">
        <v>2043</v>
      </c>
    </row>
    <row r="6232" spans="1:4" s="45" customFormat="1" ht="13.5" x14ac:dyDescent="0.15">
      <c r="A6232" s="45" t="s">
        <v>41</v>
      </c>
      <c r="D6232" s="45" t="s">
        <v>2048</v>
      </c>
    </row>
    <row r="6233" spans="1:4" s="45" customFormat="1" ht="13.5" x14ac:dyDescent="0.15">
      <c r="A6233" s="45" t="s">
        <v>41</v>
      </c>
      <c r="D6233" s="45" t="s">
        <v>2051</v>
      </c>
    </row>
    <row r="6234" spans="1:4" s="45" customFormat="1" ht="13.5" x14ac:dyDescent="0.15">
      <c r="A6234" s="45" t="s">
        <v>41</v>
      </c>
      <c r="D6234" s="45" t="s">
        <v>8156</v>
      </c>
    </row>
    <row r="6235" spans="1:4" s="45" customFormat="1" ht="13.5" x14ac:dyDescent="0.15">
      <c r="A6235" s="45" t="s">
        <v>41</v>
      </c>
      <c r="D6235" s="45" t="s">
        <v>8157</v>
      </c>
    </row>
    <row r="6236" spans="1:4" s="45" customFormat="1" ht="13.5" x14ac:dyDescent="0.15">
      <c r="A6236" s="45" t="s">
        <v>41</v>
      </c>
      <c r="D6236" s="45" t="s">
        <v>8158</v>
      </c>
    </row>
    <row r="6237" spans="1:4" s="45" customFormat="1" ht="13.5" x14ac:dyDescent="0.15">
      <c r="A6237" s="45" t="s">
        <v>41</v>
      </c>
      <c r="D6237" s="45" t="s">
        <v>1755</v>
      </c>
    </row>
    <row r="6238" spans="1:4" s="45" customFormat="1" ht="13.5" x14ac:dyDescent="0.15">
      <c r="A6238" s="45" t="s">
        <v>41</v>
      </c>
      <c r="D6238" s="45" t="s">
        <v>1754</v>
      </c>
    </row>
    <row r="6239" spans="1:4" s="45" customFormat="1" ht="13.5" x14ac:dyDescent="0.15">
      <c r="A6239" s="45" t="s">
        <v>41</v>
      </c>
      <c r="D6239" s="45" t="s">
        <v>2099</v>
      </c>
    </row>
    <row r="6240" spans="1:4" s="45" customFormat="1" ht="13.5" x14ac:dyDescent="0.15">
      <c r="A6240" s="45" t="s">
        <v>41</v>
      </c>
      <c r="D6240" s="45" t="s">
        <v>8159</v>
      </c>
    </row>
    <row r="6241" spans="1:4" s="45" customFormat="1" ht="13.5" x14ac:dyDescent="0.15">
      <c r="A6241" s="45" t="s">
        <v>41</v>
      </c>
      <c r="D6241" s="45" t="s">
        <v>8160</v>
      </c>
    </row>
    <row r="6242" spans="1:4" s="45" customFormat="1" ht="13.5" x14ac:dyDescent="0.15">
      <c r="A6242" s="45" t="s">
        <v>41</v>
      </c>
      <c r="D6242" s="45" t="s">
        <v>8161</v>
      </c>
    </row>
    <row r="6243" spans="1:4" s="45" customFormat="1" ht="13.5" x14ac:dyDescent="0.15">
      <c r="A6243" s="45" t="s">
        <v>41</v>
      </c>
      <c r="D6243" s="45" t="s">
        <v>8162</v>
      </c>
    </row>
    <row r="6244" spans="1:4" s="45" customFormat="1" ht="13.5" x14ac:dyDescent="0.15">
      <c r="A6244" s="45" t="s">
        <v>41</v>
      </c>
      <c r="D6244" s="45" t="s">
        <v>818</v>
      </c>
    </row>
    <row r="6245" spans="1:4" s="45" customFormat="1" ht="13.5" x14ac:dyDescent="0.15">
      <c r="A6245" s="45" t="s">
        <v>41</v>
      </c>
      <c r="D6245" s="45" t="s">
        <v>8163</v>
      </c>
    </row>
    <row r="6246" spans="1:4" s="45" customFormat="1" ht="13.5" x14ac:dyDescent="0.15">
      <c r="A6246" s="45" t="s">
        <v>41</v>
      </c>
      <c r="D6246" s="45" t="s">
        <v>819</v>
      </c>
    </row>
    <row r="6247" spans="1:4" s="45" customFormat="1" ht="13.5" x14ac:dyDescent="0.15">
      <c r="A6247" s="45" t="s">
        <v>41</v>
      </c>
      <c r="D6247" s="45" t="s">
        <v>8164</v>
      </c>
    </row>
    <row r="6248" spans="1:4" s="45" customFormat="1" ht="13.5" x14ac:dyDescent="0.15">
      <c r="A6248" s="45" t="s">
        <v>41</v>
      </c>
      <c r="D6248" s="45" t="s">
        <v>817</v>
      </c>
    </row>
    <row r="6249" spans="1:4" s="45" customFormat="1" ht="13.5" x14ac:dyDescent="0.15">
      <c r="A6249" s="45" t="s">
        <v>41</v>
      </c>
      <c r="D6249" s="45" t="s">
        <v>823</v>
      </c>
    </row>
    <row r="6250" spans="1:4" s="45" customFormat="1" ht="13.5" x14ac:dyDescent="0.15">
      <c r="A6250" s="45" t="s">
        <v>41</v>
      </c>
      <c r="D6250" s="45" t="s">
        <v>8165</v>
      </c>
    </row>
    <row r="6251" spans="1:4" s="45" customFormat="1" ht="13.5" x14ac:dyDescent="0.15">
      <c r="A6251" s="45" t="s">
        <v>41</v>
      </c>
      <c r="D6251" s="45" t="s">
        <v>8166</v>
      </c>
    </row>
    <row r="6252" spans="1:4" s="45" customFormat="1" ht="13.5" x14ac:dyDescent="0.15">
      <c r="A6252" s="45" t="s">
        <v>41</v>
      </c>
      <c r="D6252" s="45" t="s">
        <v>822</v>
      </c>
    </row>
    <row r="6253" spans="1:4" s="45" customFormat="1" ht="13.5" x14ac:dyDescent="0.15">
      <c r="A6253" s="45" t="s">
        <v>41</v>
      </c>
      <c r="D6253" s="45" t="s">
        <v>245</v>
      </c>
    </row>
    <row r="6254" spans="1:4" s="45" customFormat="1" ht="13.5" x14ac:dyDescent="0.15">
      <c r="A6254" s="45" t="s">
        <v>41</v>
      </c>
      <c r="D6254" s="45" t="s">
        <v>242</v>
      </c>
    </row>
    <row r="6255" spans="1:4" s="45" customFormat="1" ht="13.5" x14ac:dyDescent="0.15">
      <c r="A6255" s="45" t="s">
        <v>41</v>
      </c>
      <c r="D6255" s="45" t="s">
        <v>237</v>
      </c>
    </row>
    <row r="6256" spans="1:4" s="45" customFormat="1" ht="13.5" x14ac:dyDescent="0.15">
      <c r="A6256" s="45" t="s">
        <v>41</v>
      </c>
      <c r="D6256" s="45" t="s">
        <v>238</v>
      </c>
    </row>
    <row r="6257" spans="1:4" s="45" customFormat="1" ht="13.5" x14ac:dyDescent="0.15">
      <c r="A6257" s="45" t="s">
        <v>41</v>
      </c>
      <c r="D6257" s="45" t="s">
        <v>8167</v>
      </c>
    </row>
    <row r="6258" spans="1:4" s="45" customFormat="1" ht="13.5" x14ac:dyDescent="0.15">
      <c r="A6258" s="45" t="s">
        <v>41</v>
      </c>
      <c r="D6258" s="45" t="s">
        <v>240</v>
      </c>
    </row>
    <row r="6259" spans="1:4" s="45" customFormat="1" ht="13.5" x14ac:dyDescent="0.15">
      <c r="A6259" s="45" t="s">
        <v>41</v>
      </c>
      <c r="D6259" s="45" t="s">
        <v>241</v>
      </c>
    </row>
    <row r="6260" spans="1:4" s="45" customFormat="1" ht="13.5" x14ac:dyDescent="0.15">
      <c r="A6260" s="45" t="s">
        <v>41</v>
      </c>
      <c r="D6260" s="45" t="s">
        <v>8168</v>
      </c>
    </row>
    <row r="6261" spans="1:4" s="45" customFormat="1" ht="13.5" x14ac:dyDescent="0.15">
      <c r="A6261" s="45" t="s">
        <v>41</v>
      </c>
      <c r="D6261" s="45" t="s">
        <v>236</v>
      </c>
    </row>
    <row r="6262" spans="1:4" s="45" customFormat="1" ht="13.5" x14ac:dyDescent="0.15">
      <c r="A6262" s="45" t="s">
        <v>41</v>
      </c>
      <c r="D6262" s="45" t="s">
        <v>247</v>
      </c>
    </row>
    <row r="6263" spans="1:4" s="45" customFormat="1" ht="13.5" x14ac:dyDescent="0.15">
      <c r="A6263" s="45" t="s">
        <v>41</v>
      </c>
      <c r="D6263" s="45" t="s">
        <v>243</v>
      </c>
    </row>
    <row r="6264" spans="1:4" s="45" customFormat="1" ht="13.5" x14ac:dyDescent="0.15">
      <c r="A6264" s="45" t="s">
        <v>41</v>
      </c>
      <c r="D6264" s="45" t="s">
        <v>244</v>
      </c>
    </row>
    <row r="6265" spans="1:4" s="45" customFormat="1" ht="13.5" x14ac:dyDescent="0.15">
      <c r="A6265" s="45" t="s">
        <v>41</v>
      </c>
      <c r="D6265" s="45" t="s">
        <v>239</v>
      </c>
    </row>
    <row r="6266" spans="1:4" s="45" customFormat="1" ht="13.5" x14ac:dyDescent="0.15">
      <c r="A6266" s="45" t="s">
        <v>41</v>
      </c>
      <c r="D6266" s="45" t="s">
        <v>8169</v>
      </c>
    </row>
    <row r="6267" spans="1:4" s="45" customFormat="1" ht="13.5" x14ac:dyDescent="0.15">
      <c r="A6267" s="45" t="s">
        <v>41</v>
      </c>
      <c r="D6267" s="45" t="s">
        <v>246</v>
      </c>
    </row>
    <row r="6268" spans="1:4" s="45" customFormat="1" ht="13.5" x14ac:dyDescent="0.15">
      <c r="A6268" s="45" t="s">
        <v>41</v>
      </c>
      <c r="D6268" s="45" t="s">
        <v>8170</v>
      </c>
    </row>
    <row r="6269" spans="1:4" s="45" customFormat="1" ht="13.5" x14ac:dyDescent="0.15">
      <c r="A6269" s="45" t="s">
        <v>41</v>
      </c>
      <c r="D6269" s="45" t="s">
        <v>778</v>
      </c>
    </row>
    <row r="6270" spans="1:4" s="45" customFormat="1" ht="13.5" x14ac:dyDescent="0.15">
      <c r="A6270" s="45" t="s">
        <v>41</v>
      </c>
      <c r="D6270" s="45" t="s">
        <v>8171</v>
      </c>
    </row>
    <row r="6271" spans="1:4" s="45" customFormat="1" ht="13.5" x14ac:dyDescent="0.15">
      <c r="A6271" s="45" t="s">
        <v>41</v>
      </c>
      <c r="D6271" s="45" t="s">
        <v>779</v>
      </c>
    </row>
    <row r="6272" spans="1:4" s="45" customFormat="1" ht="13.5" x14ac:dyDescent="0.15">
      <c r="A6272" s="45" t="s">
        <v>41</v>
      </c>
      <c r="D6272" s="45" t="s">
        <v>781</v>
      </c>
    </row>
    <row r="6273" spans="1:4" s="45" customFormat="1" ht="13.5" x14ac:dyDescent="0.15">
      <c r="A6273" s="45" t="s">
        <v>41</v>
      </c>
      <c r="D6273" s="45" t="s">
        <v>8172</v>
      </c>
    </row>
    <row r="6274" spans="1:4" s="45" customFormat="1" ht="13.5" x14ac:dyDescent="0.15">
      <c r="A6274" s="45" t="s">
        <v>41</v>
      </c>
      <c r="D6274" s="45" t="s">
        <v>8173</v>
      </c>
    </row>
    <row r="6275" spans="1:4" s="45" customFormat="1" ht="13.5" x14ac:dyDescent="0.15">
      <c r="A6275" s="45" t="s">
        <v>41</v>
      </c>
      <c r="D6275" s="45" t="s">
        <v>780</v>
      </c>
    </row>
    <row r="6276" spans="1:4" s="45" customFormat="1" ht="13.5" x14ac:dyDescent="0.15">
      <c r="A6276" s="45" t="s">
        <v>41</v>
      </c>
      <c r="D6276" s="45" t="s">
        <v>8174</v>
      </c>
    </row>
    <row r="6277" spans="1:4" s="45" customFormat="1" ht="13.5" x14ac:dyDescent="0.15">
      <c r="A6277" s="45" t="s">
        <v>41</v>
      </c>
      <c r="D6277" s="45" t="s">
        <v>684</v>
      </c>
    </row>
    <row r="6278" spans="1:4" s="45" customFormat="1" ht="13.5" x14ac:dyDescent="0.15">
      <c r="A6278" s="45" t="s">
        <v>41</v>
      </c>
      <c r="D6278" s="45" t="s">
        <v>683</v>
      </c>
    </row>
    <row r="6279" spans="1:4" s="45" customFormat="1" ht="13.5" x14ac:dyDescent="0.15">
      <c r="A6279" s="45" t="s">
        <v>41</v>
      </c>
      <c r="D6279" s="45" t="s">
        <v>685</v>
      </c>
    </row>
    <row r="6280" spans="1:4" s="45" customFormat="1" ht="13.5" x14ac:dyDescent="0.15">
      <c r="A6280" s="45" t="s">
        <v>41</v>
      </c>
      <c r="D6280" s="45" t="s">
        <v>2536</v>
      </c>
    </row>
    <row r="6281" spans="1:4" s="45" customFormat="1" ht="13.5" x14ac:dyDescent="0.15">
      <c r="A6281" s="45" t="s">
        <v>41</v>
      </c>
      <c r="D6281" s="45" t="s">
        <v>2343</v>
      </c>
    </row>
    <row r="6282" spans="1:4" s="45" customFormat="1" ht="13.5" x14ac:dyDescent="0.15">
      <c r="A6282" s="45" t="s">
        <v>41</v>
      </c>
      <c r="D6282" s="45" t="s">
        <v>538</v>
      </c>
    </row>
    <row r="6283" spans="1:4" s="45" customFormat="1" ht="13.5" x14ac:dyDescent="0.15">
      <c r="A6283" s="45" t="s">
        <v>41</v>
      </c>
      <c r="D6283" s="45" t="s">
        <v>548</v>
      </c>
    </row>
    <row r="6284" spans="1:4" s="45" customFormat="1" ht="13.5" x14ac:dyDescent="0.15">
      <c r="A6284" s="45" t="s">
        <v>41</v>
      </c>
      <c r="D6284" s="45" t="s">
        <v>550</v>
      </c>
    </row>
    <row r="6285" spans="1:4" s="45" customFormat="1" ht="13.5" x14ac:dyDescent="0.15">
      <c r="A6285" s="45" t="s">
        <v>41</v>
      </c>
      <c r="D6285" s="45" t="s">
        <v>8175</v>
      </c>
    </row>
    <row r="6286" spans="1:4" s="45" customFormat="1" ht="13.5" x14ac:dyDescent="0.15">
      <c r="A6286" s="45" t="s">
        <v>41</v>
      </c>
      <c r="D6286" s="45" t="s">
        <v>549</v>
      </c>
    </row>
    <row r="6287" spans="1:4" s="45" customFormat="1" ht="13.5" x14ac:dyDescent="0.15">
      <c r="A6287" s="45" t="s">
        <v>41</v>
      </c>
      <c r="D6287" s="45" t="s">
        <v>8176</v>
      </c>
    </row>
    <row r="6288" spans="1:4" s="45" customFormat="1" ht="13.5" x14ac:dyDescent="0.15">
      <c r="A6288" s="45" t="s">
        <v>41</v>
      </c>
      <c r="D6288" s="45" t="s">
        <v>8177</v>
      </c>
    </row>
    <row r="6289" spans="1:4" s="45" customFormat="1" ht="13.5" x14ac:dyDescent="0.15">
      <c r="A6289" s="45" t="s">
        <v>41</v>
      </c>
      <c r="D6289" s="45" t="s">
        <v>8178</v>
      </c>
    </row>
    <row r="6290" spans="1:4" s="45" customFormat="1" ht="13.5" x14ac:dyDescent="0.15">
      <c r="A6290" s="45" t="s">
        <v>41</v>
      </c>
      <c r="D6290" s="45" t="s">
        <v>8179</v>
      </c>
    </row>
    <row r="6291" spans="1:4" s="45" customFormat="1" ht="13.5" x14ac:dyDescent="0.15">
      <c r="A6291" s="45" t="s">
        <v>41</v>
      </c>
      <c r="D6291" s="45" t="s">
        <v>8180</v>
      </c>
    </row>
    <row r="6292" spans="1:4" s="45" customFormat="1" ht="13.5" x14ac:dyDescent="0.15">
      <c r="A6292" s="45" t="s">
        <v>41</v>
      </c>
      <c r="D6292" s="45" t="s">
        <v>551</v>
      </c>
    </row>
    <row r="6293" spans="1:4" s="45" customFormat="1" ht="13.5" x14ac:dyDescent="0.15">
      <c r="A6293" s="45" t="s">
        <v>41</v>
      </c>
      <c r="D6293" s="45" t="s">
        <v>8181</v>
      </c>
    </row>
    <row r="6294" spans="1:4" s="45" customFormat="1" ht="13.5" x14ac:dyDescent="0.15">
      <c r="A6294" s="45" t="s">
        <v>41</v>
      </c>
      <c r="D6294" s="45" t="s">
        <v>8182</v>
      </c>
    </row>
    <row r="6295" spans="1:4" s="45" customFormat="1" ht="13.5" x14ac:dyDescent="0.15">
      <c r="A6295" s="45" t="s">
        <v>41</v>
      </c>
      <c r="D6295" s="45" t="s">
        <v>8183</v>
      </c>
    </row>
    <row r="6296" spans="1:4" s="45" customFormat="1" ht="13.5" x14ac:dyDescent="0.15">
      <c r="A6296" s="45" t="s">
        <v>41</v>
      </c>
      <c r="D6296" s="45" t="s">
        <v>8184</v>
      </c>
    </row>
    <row r="6297" spans="1:4" s="45" customFormat="1" ht="13.5" x14ac:dyDescent="0.15">
      <c r="A6297" s="45" t="s">
        <v>41</v>
      </c>
      <c r="D6297" s="45" t="s">
        <v>539</v>
      </c>
    </row>
    <row r="6298" spans="1:4" s="45" customFormat="1" ht="13.5" x14ac:dyDescent="0.15">
      <c r="A6298" s="45" t="s">
        <v>41</v>
      </c>
      <c r="D6298" s="45" t="s">
        <v>543</v>
      </c>
    </row>
    <row r="6299" spans="1:4" s="45" customFormat="1" ht="13.5" x14ac:dyDescent="0.15">
      <c r="A6299" s="45" t="s">
        <v>41</v>
      </c>
      <c r="D6299" s="45" t="s">
        <v>544</v>
      </c>
    </row>
    <row r="6300" spans="1:4" s="45" customFormat="1" ht="13.5" x14ac:dyDescent="0.15">
      <c r="A6300" s="45" t="s">
        <v>41</v>
      </c>
      <c r="D6300" s="45" t="s">
        <v>8185</v>
      </c>
    </row>
    <row r="6301" spans="1:4" s="45" customFormat="1" ht="13.5" x14ac:dyDescent="0.15">
      <c r="A6301" s="45" t="s">
        <v>41</v>
      </c>
      <c r="D6301" s="45" t="s">
        <v>547</v>
      </c>
    </row>
    <row r="6302" spans="1:4" s="45" customFormat="1" ht="13.5" x14ac:dyDescent="0.15">
      <c r="A6302" s="45" t="s">
        <v>41</v>
      </c>
      <c r="D6302" s="45" t="s">
        <v>540</v>
      </c>
    </row>
    <row r="6303" spans="1:4" s="45" customFormat="1" ht="13.5" x14ac:dyDescent="0.15">
      <c r="A6303" s="45" t="s">
        <v>41</v>
      </c>
      <c r="D6303" s="45" t="s">
        <v>8186</v>
      </c>
    </row>
    <row r="6304" spans="1:4" s="45" customFormat="1" ht="13.5" x14ac:dyDescent="0.15">
      <c r="A6304" s="45" t="s">
        <v>41</v>
      </c>
      <c r="D6304" s="45" t="s">
        <v>541</v>
      </c>
    </row>
    <row r="6305" spans="1:4" s="45" customFormat="1" ht="13.5" x14ac:dyDescent="0.15">
      <c r="A6305" s="45" t="s">
        <v>41</v>
      </c>
      <c r="D6305" s="45" t="s">
        <v>546</v>
      </c>
    </row>
    <row r="6306" spans="1:4" s="45" customFormat="1" ht="13.5" x14ac:dyDescent="0.15">
      <c r="A6306" s="45" t="s">
        <v>41</v>
      </c>
      <c r="D6306" s="45" t="s">
        <v>542</v>
      </c>
    </row>
    <row r="6307" spans="1:4" s="45" customFormat="1" ht="13.5" x14ac:dyDescent="0.15">
      <c r="A6307" s="45" t="s">
        <v>41</v>
      </c>
      <c r="D6307" s="45" t="s">
        <v>8187</v>
      </c>
    </row>
    <row r="6308" spans="1:4" s="45" customFormat="1" ht="13.5" x14ac:dyDescent="0.15">
      <c r="A6308" s="45" t="s">
        <v>41</v>
      </c>
      <c r="D6308" s="45" t="s">
        <v>545</v>
      </c>
    </row>
    <row r="6309" spans="1:4" s="45" customFormat="1" ht="13.5" x14ac:dyDescent="0.15">
      <c r="A6309" s="45" t="s">
        <v>41</v>
      </c>
      <c r="D6309" s="45" t="s">
        <v>8188</v>
      </c>
    </row>
    <row r="6310" spans="1:4" s="45" customFormat="1" ht="13.5" x14ac:dyDescent="0.15">
      <c r="A6310" s="45" t="s">
        <v>41</v>
      </c>
      <c r="D6310" s="45" t="s">
        <v>8189</v>
      </c>
    </row>
    <row r="6311" spans="1:4" s="45" customFormat="1" ht="13.5" x14ac:dyDescent="0.15">
      <c r="A6311" s="45" t="s">
        <v>41</v>
      </c>
      <c r="D6311" s="45" t="s">
        <v>8190</v>
      </c>
    </row>
    <row r="6312" spans="1:4" s="45" customFormat="1" ht="13.5" x14ac:dyDescent="0.15">
      <c r="A6312" s="45" t="s">
        <v>41</v>
      </c>
      <c r="D6312" s="45" t="s">
        <v>8191</v>
      </c>
    </row>
    <row r="6313" spans="1:4" s="45" customFormat="1" ht="13.5" x14ac:dyDescent="0.15">
      <c r="A6313" s="45" t="s">
        <v>41</v>
      </c>
      <c r="D6313" s="45" t="s">
        <v>8192</v>
      </c>
    </row>
    <row r="6314" spans="1:4" s="45" customFormat="1" ht="13.5" x14ac:dyDescent="0.15">
      <c r="A6314" s="45" t="s">
        <v>41</v>
      </c>
      <c r="D6314" s="45" t="s">
        <v>8193</v>
      </c>
    </row>
    <row r="6315" spans="1:4" s="45" customFormat="1" ht="13.5" x14ac:dyDescent="0.15">
      <c r="A6315" s="45" t="s">
        <v>41</v>
      </c>
      <c r="D6315" s="45" t="s">
        <v>1960</v>
      </c>
    </row>
    <row r="6316" spans="1:4" s="45" customFormat="1" ht="13.5" x14ac:dyDescent="0.15">
      <c r="A6316" s="45" t="s">
        <v>41</v>
      </c>
      <c r="D6316" s="45" t="s">
        <v>8194</v>
      </c>
    </row>
    <row r="6317" spans="1:4" s="45" customFormat="1" ht="13.5" x14ac:dyDescent="0.15">
      <c r="A6317" s="45" t="s">
        <v>41</v>
      </c>
      <c r="D6317" s="45" t="s">
        <v>1951</v>
      </c>
    </row>
    <row r="6318" spans="1:4" s="45" customFormat="1" ht="13.5" x14ac:dyDescent="0.15">
      <c r="A6318" s="45" t="s">
        <v>41</v>
      </c>
      <c r="D6318" s="45" t="s">
        <v>1956</v>
      </c>
    </row>
    <row r="6319" spans="1:4" s="45" customFormat="1" ht="13.5" x14ac:dyDescent="0.15">
      <c r="A6319" s="45" t="s">
        <v>41</v>
      </c>
      <c r="D6319" s="45" t="s">
        <v>1957</v>
      </c>
    </row>
    <row r="6320" spans="1:4" s="45" customFormat="1" ht="13.5" x14ac:dyDescent="0.15">
      <c r="A6320" s="45" t="s">
        <v>41</v>
      </c>
      <c r="D6320" s="45" t="s">
        <v>1950</v>
      </c>
    </row>
    <row r="6321" spans="1:4" s="45" customFormat="1" ht="13.5" x14ac:dyDescent="0.15">
      <c r="A6321" s="45" t="s">
        <v>41</v>
      </c>
      <c r="D6321" s="45" t="s">
        <v>1955</v>
      </c>
    </row>
    <row r="6322" spans="1:4" s="45" customFormat="1" ht="13.5" x14ac:dyDescent="0.15">
      <c r="A6322" s="45" t="s">
        <v>41</v>
      </c>
      <c r="D6322" s="45" t="s">
        <v>8195</v>
      </c>
    </row>
    <row r="6323" spans="1:4" s="45" customFormat="1" ht="13.5" x14ac:dyDescent="0.15">
      <c r="A6323" s="45" t="s">
        <v>41</v>
      </c>
      <c r="D6323" s="45" t="s">
        <v>1952</v>
      </c>
    </row>
    <row r="6324" spans="1:4" s="45" customFormat="1" ht="13.5" x14ac:dyDescent="0.15">
      <c r="A6324" s="45" t="s">
        <v>41</v>
      </c>
      <c r="D6324" s="45" t="s">
        <v>1954</v>
      </c>
    </row>
    <row r="6325" spans="1:4" s="45" customFormat="1" ht="13.5" x14ac:dyDescent="0.15">
      <c r="A6325" s="45" t="s">
        <v>41</v>
      </c>
      <c r="D6325" s="45" t="s">
        <v>1959</v>
      </c>
    </row>
    <row r="6326" spans="1:4" s="45" customFormat="1" ht="13.5" x14ac:dyDescent="0.15">
      <c r="A6326" s="45" t="s">
        <v>41</v>
      </c>
      <c r="D6326" s="45" t="s">
        <v>1953</v>
      </c>
    </row>
    <row r="6327" spans="1:4" s="45" customFormat="1" ht="13.5" x14ac:dyDescent="0.15">
      <c r="A6327" s="45" t="s">
        <v>41</v>
      </c>
      <c r="D6327" s="45" t="s">
        <v>1958</v>
      </c>
    </row>
    <row r="6328" spans="1:4" s="45" customFormat="1" ht="13.5" x14ac:dyDescent="0.15">
      <c r="A6328" s="45" t="s">
        <v>41</v>
      </c>
      <c r="D6328" s="45" t="s">
        <v>2521</v>
      </c>
    </row>
    <row r="6329" spans="1:4" s="45" customFormat="1" ht="13.5" x14ac:dyDescent="0.15">
      <c r="A6329" s="45" t="s">
        <v>41</v>
      </c>
      <c r="D6329" s="45" t="s">
        <v>751</v>
      </c>
    </row>
    <row r="6330" spans="1:4" s="45" customFormat="1" ht="13.5" x14ac:dyDescent="0.15">
      <c r="A6330" s="45" t="s">
        <v>41</v>
      </c>
      <c r="D6330" s="45" t="s">
        <v>752</v>
      </c>
    </row>
    <row r="6331" spans="1:4" s="45" customFormat="1" ht="13.5" x14ac:dyDescent="0.15">
      <c r="A6331" s="45" t="s">
        <v>41</v>
      </c>
      <c r="D6331" s="45" t="s">
        <v>8196</v>
      </c>
    </row>
    <row r="6332" spans="1:4" s="45" customFormat="1" ht="13.5" x14ac:dyDescent="0.15">
      <c r="A6332" s="45" t="s">
        <v>41</v>
      </c>
      <c r="D6332" s="45" t="s">
        <v>8197</v>
      </c>
    </row>
    <row r="6333" spans="1:4" s="45" customFormat="1" ht="13.5" x14ac:dyDescent="0.15">
      <c r="A6333" s="45" t="s">
        <v>41</v>
      </c>
      <c r="D6333" s="45" t="s">
        <v>8198</v>
      </c>
    </row>
    <row r="6334" spans="1:4" s="45" customFormat="1" ht="13.5" x14ac:dyDescent="0.15">
      <c r="A6334" s="45" t="s">
        <v>41</v>
      </c>
      <c r="D6334" s="45" t="s">
        <v>750</v>
      </c>
    </row>
    <row r="6335" spans="1:4" s="45" customFormat="1" ht="13.5" x14ac:dyDescent="0.15">
      <c r="A6335" s="45" t="s">
        <v>41</v>
      </c>
      <c r="D6335" s="45" t="s">
        <v>8199</v>
      </c>
    </row>
    <row r="6336" spans="1:4" s="45" customFormat="1" ht="13.5" x14ac:dyDescent="0.15">
      <c r="A6336" s="45" t="s">
        <v>41</v>
      </c>
      <c r="D6336" s="45" t="s">
        <v>1486</v>
      </c>
    </row>
    <row r="6337" spans="1:4" s="45" customFormat="1" ht="13.5" x14ac:dyDescent="0.15">
      <c r="A6337" s="45" t="s">
        <v>41</v>
      </c>
      <c r="D6337" s="45" t="s">
        <v>1485</v>
      </c>
    </row>
    <row r="6338" spans="1:4" s="45" customFormat="1" ht="13.5" x14ac:dyDescent="0.15">
      <c r="A6338" s="45" t="s">
        <v>41</v>
      </c>
      <c r="D6338" s="45" t="s">
        <v>8200</v>
      </c>
    </row>
    <row r="6339" spans="1:4" s="45" customFormat="1" ht="13.5" x14ac:dyDescent="0.15">
      <c r="A6339" s="45" t="s">
        <v>41</v>
      </c>
      <c r="D6339" s="45" t="s">
        <v>8201</v>
      </c>
    </row>
    <row r="6340" spans="1:4" s="45" customFormat="1" ht="13.5" x14ac:dyDescent="0.15">
      <c r="A6340" s="45" t="s">
        <v>41</v>
      </c>
      <c r="D6340" s="45" t="s">
        <v>8202</v>
      </c>
    </row>
    <row r="6341" spans="1:4" s="45" customFormat="1" ht="13.5" x14ac:dyDescent="0.15">
      <c r="A6341" s="45" t="s">
        <v>41</v>
      </c>
      <c r="D6341" s="45" t="s">
        <v>8203</v>
      </c>
    </row>
    <row r="6342" spans="1:4" s="45" customFormat="1" ht="13.5" x14ac:dyDescent="0.15">
      <c r="A6342" s="45" t="s">
        <v>41</v>
      </c>
      <c r="D6342" s="45" t="s">
        <v>8204</v>
      </c>
    </row>
    <row r="6343" spans="1:4" s="45" customFormat="1" ht="13.5" x14ac:dyDescent="0.15">
      <c r="A6343" s="45" t="s">
        <v>41</v>
      </c>
      <c r="D6343" s="45" t="s">
        <v>8205</v>
      </c>
    </row>
    <row r="6344" spans="1:4" s="45" customFormat="1" ht="13.5" x14ac:dyDescent="0.15">
      <c r="A6344" s="45" t="s">
        <v>41</v>
      </c>
      <c r="D6344" s="45" t="s">
        <v>8206</v>
      </c>
    </row>
    <row r="6345" spans="1:4" s="45" customFormat="1" ht="13.5" x14ac:dyDescent="0.15">
      <c r="A6345" s="45" t="s">
        <v>41</v>
      </c>
      <c r="D6345" s="45" t="s">
        <v>1550</v>
      </c>
    </row>
    <row r="6346" spans="1:4" s="45" customFormat="1" ht="13.5" x14ac:dyDescent="0.15">
      <c r="A6346" s="45" t="s">
        <v>41</v>
      </c>
      <c r="D6346" s="45" t="s">
        <v>8207</v>
      </c>
    </row>
    <row r="6347" spans="1:4" s="45" customFormat="1" ht="13.5" x14ac:dyDescent="0.15">
      <c r="A6347" s="45" t="s">
        <v>41</v>
      </c>
      <c r="D6347" s="45" t="s">
        <v>610</v>
      </c>
    </row>
    <row r="6348" spans="1:4" s="45" customFormat="1" ht="13.5" x14ac:dyDescent="0.15">
      <c r="A6348" s="45" t="s">
        <v>41</v>
      </c>
      <c r="D6348" s="45" t="s">
        <v>609</v>
      </c>
    </row>
    <row r="6349" spans="1:4" s="45" customFormat="1" ht="13.5" x14ac:dyDescent="0.15">
      <c r="A6349" s="45" t="s">
        <v>41</v>
      </c>
      <c r="D6349" s="45" t="s">
        <v>8208</v>
      </c>
    </row>
    <row r="6350" spans="1:4" s="45" customFormat="1" ht="13.5" x14ac:dyDescent="0.15">
      <c r="A6350" s="45" t="s">
        <v>41</v>
      </c>
      <c r="D6350" s="45" t="s">
        <v>8209</v>
      </c>
    </row>
    <row r="6351" spans="1:4" s="45" customFormat="1" ht="13.5" x14ac:dyDescent="0.15">
      <c r="A6351" s="45" t="s">
        <v>41</v>
      </c>
      <c r="D6351" s="45" t="s">
        <v>8210</v>
      </c>
    </row>
    <row r="6352" spans="1:4" s="45" customFormat="1" ht="13.5" x14ac:dyDescent="0.15">
      <c r="A6352" s="45" t="s">
        <v>41</v>
      </c>
      <c r="D6352" s="45" t="s">
        <v>8211</v>
      </c>
    </row>
    <row r="6353" spans="1:4" s="45" customFormat="1" ht="13.5" x14ac:dyDescent="0.15">
      <c r="A6353" s="45" t="s">
        <v>41</v>
      </c>
      <c r="D6353" s="45" t="s">
        <v>8212</v>
      </c>
    </row>
    <row r="6354" spans="1:4" s="45" customFormat="1" ht="13.5" x14ac:dyDescent="0.15">
      <c r="A6354" s="45" t="s">
        <v>41</v>
      </c>
      <c r="D6354" s="45" t="s">
        <v>8213</v>
      </c>
    </row>
    <row r="6355" spans="1:4" s="45" customFormat="1" ht="13.5" x14ac:dyDescent="0.15">
      <c r="A6355" s="45" t="s">
        <v>41</v>
      </c>
      <c r="D6355" s="45" t="s">
        <v>8214</v>
      </c>
    </row>
    <row r="6356" spans="1:4" s="45" customFormat="1" ht="13.5" x14ac:dyDescent="0.15">
      <c r="A6356" s="45" t="s">
        <v>41</v>
      </c>
      <c r="D6356" s="45" t="s">
        <v>8215</v>
      </c>
    </row>
    <row r="6357" spans="1:4" s="45" customFormat="1" ht="13.5" x14ac:dyDescent="0.15">
      <c r="A6357" s="45" t="s">
        <v>41</v>
      </c>
      <c r="D6357" s="45" t="s">
        <v>8216</v>
      </c>
    </row>
    <row r="6358" spans="1:4" s="45" customFormat="1" ht="13.5" x14ac:dyDescent="0.15">
      <c r="A6358" s="45" t="s">
        <v>41</v>
      </c>
      <c r="D6358" s="45" t="s">
        <v>1502</v>
      </c>
    </row>
    <row r="6359" spans="1:4" s="45" customFormat="1" ht="13.5" x14ac:dyDescent="0.15">
      <c r="A6359" s="45" t="s">
        <v>41</v>
      </c>
      <c r="D6359" s="45" t="s">
        <v>2431</v>
      </c>
    </row>
    <row r="6360" spans="1:4" s="45" customFormat="1" ht="13.5" x14ac:dyDescent="0.15">
      <c r="A6360" s="45" t="s">
        <v>41</v>
      </c>
      <c r="D6360" s="45" t="s">
        <v>8217</v>
      </c>
    </row>
    <row r="6361" spans="1:4" s="45" customFormat="1" ht="13.5" x14ac:dyDescent="0.15">
      <c r="A6361" s="45" t="s">
        <v>41</v>
      </c>
      <c r="D6361" s="45" t="s">
        <v>8218</v>
      </c>
    </row>
    <row r="6362" spans="1:4" s="45" customFormat="1" ht="13.5" x14ac:dyDescent="0.15">
      <c r="A6362" s="45" t="s">
        <v>41</v>
      </c>
      <c r="D6362" s="45" t="s">
        <v>8219</v>
      </c>
    </row>
    <row r="6363" spans="1:4" s="45" customFormat="1" ht="13.5" x14ac:dyDescent="0.15">
      <c r="A6363" s="45" t="s">
        <v>41</v>
      </c>
      <c r="D6363" s="45" t="s">
        <v>8220</v>
      </c>
    </row>
    <row r="6364" spans="1:4" s="45" customFormat="1" ht="13.5" x14ac:dyDescent="0.15">
      <c r="A6364" s="45" t="s">
        <v>41</v>
      </c>
      <c r="D6364" s="45" t="s">
        <v>9772</v>
      </c>
    </row>
    <row r="6365" spans="1:4" s="45" customFormat="1" ht="13.5" x14ac:dyDescent="0.15">
      <c r="A6365" s="45" t="s">
        <v>41</v>
      </c>
      <c r="D6365" s="45" t="s">
        <v>8221</v>
      </c>
    </row>
    <row r="6366" spans="1:4" s="45" customFormat="1" ht="13.5" x14ac:dyDescent="0.15">
      <c r="A6366" s="45" t="s">
        <v>41</v>
      </c>
      <c r="D6366" s="45" t="s">
        <v>8222</v>
      </c>
    </row>
    <row r="6367" spans="1:4" s="45" customFormat="1" ht="13.5" x14ac:dyDescent="0.15">
      <c r="A6367" s="45" t="s">
        <v>41</v>
      </c>
      <c r="D6367" s="45" t="s">
        <v>8223</v>
      </c>
    </row>
    <row r="6368" spans="1:4" s="45" customFormat="1" ht="13.5" x14ac:dyDescent="0.15">
      <c r="A6368" s="45" t="s">
        <v>41</v>
      </c>
      <c r="D6368" s="45" t="s">
        <v>8224</v>
      </c>
    </row>
    <row r="6369" spans="1:4" s="45" customFormat="1" ht="13.5" x14ac:dyDescent="0.15">
      <c r="A6369" s="45" t="s">
        <v>41</v>
      </c>
      <c r="D6369" s="45" t="s">
        <v>8225</v>
      </c>
    </row>
    <row r="6370" spans="1:4" s="45" customFormat="1" ht="13.5" x14ac:dyDescent="0.15">
      <c r="A6370" s="45" t="s">
        <v>41</v>
      </c>
      <c r="D6370" s="45" t="s">
        <v>8226</v>
      </c>
    </row>
    <row r="6371" spans="1:4" s="45" customFormat="1" ht="13.5" x14ac:dyDescent="0.15">
      <c r="A6371" s="45" t="s">
        <v>41</v>
      </c>
      <c r="D6371" s="45" t="s">
        <v>8227</v>
      </c>
    </row>
    <row r="6372" spans="1:4" s="45" customFormat="1" ht="13.5" x14ac:dyDescent="0.15">
      <c r="A6372" s="45" t="s">
        <v>41</v>
      </c>
      <c r="D6372" s="45" t="s">
        <v>2108</v>
      </c>
    </row>
    <row r="6373" spans="1:4" s="45" customFormat="1" ht="13.5" x14ac:dyDescent="0.15">
      <c r="A6373" s="45" t="s">
        <v>41</v>
      </c>
      <c r="D6373" s="45" t="s">
        <v>8228</v>
      </c>
    </row>
    <row r="6374" spans="1:4" s="45" customFormat="1" ht="13.5" x14ac:dyDescent="0.15">
      <c r="A6374" s="45" t="s">
        <v>41</v>
      </c>
      <c r="D6374" s="45" t="s">
        <v>8229</v>
      </c>
    </row>
    <row r="6375" spans="1:4" s="45" customFormat="1" ht="13.5" x14ac:dyDescent="0.15">
      <c r="A6375" s="45" t="s">
        <v>41</v>
      </c>
      <c r="D6375" s="45" t="s">
        <v>8230</v>
      </c>
    </row>
    <row r="6376" spans="1:4" s="45" customFormat="1" ht="13.5" x14ac:dyDescent="0.15">
      <c r="A6376" s="45" t="s">
        <v>41</v>
      </c>
      <c r="D6376" s="45" t="s">
        <v>8231</v>
      </c>
    </row>
    <row r="6377" spans="1:4" s="45" customFormat="1" ht="13.5" x14ac:dyDescent="0.15">
      <c r="A6377" s="45" t="s">
        <v>41</v>
      </c>
      <c r="D6377" s="45" t="s">
        <v>8232</v>
      </c>
    </row>
    <row r="6378" spans="1:4" s="45" customFormat="1" ht="13.5" x14ac:dyDescent="0.15">
      <c r="A6378" s="45" t="s">
        <v>41</v>
      </c>
      <c r="D6378" s="45" t="s">
        <v>8233</v>
      </c>
    </row>
    <row r="6379" spans="1:4" s="45" customFormat="1" ht="13.5" x14ac:dyDescent="0.15">
      <c r="A6379" s="45" t="s">
        <v>41</v>
      </c>
      <c r="D6379" s="45" t="s">
        <v>8234</v>
      </c>
    </row>
    <row r="6380" spans="1:4" s="45" customFormat="1" ht="13.5" x14ac:dyDescent="0.15">
      <c r="A6380" s="45" t="s">
        <v>41</v>
      </c>
      <c r="D6380" s="45" t="s">
        <v>8235</v>
      </c>
    </row>
    <row r="6381" spans="1:4" s="45" customFormat="1" ht="13.5" x14ac:dyDescent="0.15">
      <c r="A6381" s="45" t="s">
        <v>41</v>
      </c>
      <c r="D6381" s="45" t="s">
        <v>8236</v>
      </c>
    </row>
    <row r="6382" spans="1:4" s="45" customFormat="1" ht="13.5" x14ac:dyDescent="0.15">
      <c r="A6382" s="45" t="s">
        <v>41</v>
      </c>
      <c r="D6382" s="45" t="s">
        <v>8237</v>
      </c>
    </row>
    <row r="6383" spans="1:4" s="45" customFormat="1" ht="13.5" x14ac:dyDescent="0.15">
      <c r="A6383" s="45" t="s">
        <v>41</v>
      </c>
      <c r="D6383" s="45" t="s">
        <v>745</v>
      </c>
    </row>
    <row r="6384" spans="1:4" s="45" customFormat="1" ht="13.5" x14ac:dyDescent="0.15">
      <c r="A6384" s="45" t="s">
        <v>41</v>
      </c>
      <c r="D6384" s="45" t="s">
        <v>8238</v>
      </c>
    </row>
    <row r="6385" spans="1:4" s="45" customFormat="1" ht="13.5" x14ac:dyDescent="0.15">
      <c r="A6385" s="45" t="s">
        <v>41</v>
      </c>
      <c r="D6385" s="45" t="s">
        <v>8239</v>
      </c>
    </row>
    <row r="6386" spans="1:4" s="45" customFormat="1" ht="13.5" x14ac:dyDescent="0.15">
      <c r="A6386" s="45" t="s">
        <v>41</v>
      </c>
      <c r="D6386" s="45" t="s">
        <v>746</v>
      </c>
    </row>
    <row r="6387" spans="1:4" s="45" customFormat="1" ht="13.5" x14ac:dyDescent="0.15">
      <c r="A6387" s="45" t="s">
        <v>41</v>
      </c>
      <c r="D6387" s="45" t="s">
        <v>740</v>
      </c>
    </row>
    <row r="6388" spans="1:4" s="45" customFormat="1" ht="13.5" x14ac:dyDescent="0.15">
      <c r="A6388" s="45" t="s">
        <v>41</v>
      </c>
      <c r="D6388" s="45" t="s">
        <v>744</v>
      </c>
    </row>
    <row r="6389" spans="1:4" s="45" customFormat="1" ht="13.5" x14ac:dyDescent="0.15">
      <c r="A6389" s="45" t="s">
        <v>41</v>
      </c>
      <c r="D6389" s="45" t="s">
        <v>742</v>
      </c>
    </row>
    <row r="6390" spans="1:4" s="45" customFormat="1" ht="13.5" x14ac:dyDescent="0.15">
      <c r="A6390" s="45" t="s">
        <v>41</v>
      </c>
      <c r="D6390" s="45" t="s">
        <v>743</v>
      </c>
    </row>
    <row r="6391" spans="1:4" s="45" customFormat="1" ht="13.5" x14ac:dyDescent="0.15">
      <c r="A6391" s="45" t="s">
        <v>41</v>
      </c>
      <c r="D6391" s="45" t="s">
        <v>741</v>
      </c>
    </row>
    <row r="6392" spans="1:4" s="45" customFormat="1" ht="13.5" x14ac:dyDescent="0.15">
      <c r="A6392" s="45" t="s">
        <v>41</v>
      </c>
      <c r="D6392" s="45" t="s">
        <v>8240</v>
      </c>
    </row>
    <row r="6393" spans="1:4" s="45" customFormat="1" ht="13.5" x14ac:dyDescent="0.15">
      <c r="A6393" s="45" t="s">
        <v>41</v>
      </c>
      <c r="D6393" s="45" t="s">
        <v>8241</v>
      </c>
    </row>
    <row r="6394" spans="1:4" s="45" customFormat="1" ht="13.5" x14ac:dyDescent="0.15">
      <c r="A6394" s="45" t="s">
        <v>41</v>
      </c>
      <c r="D6394" s="45" t="s">
        <v>8242</v>
      </c>
    </row>
    <row r="6395" spans="1:4" s="45" customFormat="1" ht="13.5" x14ac:dyDescent="0.15">
      <c r="A6395" s="45" t="s">
        <v>41</v>
      </c>
      <c r="D6395" s="45" t="s">
        <v>747</v>
      </c>
    </row>
    <row r="6396" spans="1:4" s="45" customFormat="1" ht="13.5" x14ac:dyDescent="0.15">
      <c r="A6396" s="45" t="s">
        <v>41</v>
      </c>
      <c r="D6396" s="45" t="s">
        <v>8243</v>
      </c>
    </row>
    <row r="6397" spans="1:4" s="45" customFormat="1" ht="13.5" x14ac:dyDescent="0.15">
      <c r="A6397" s="45" t="s">
        <v>41</v>
      </c>
      <c r="D6397" s="45" t="s">
        <v>8244</v>
      </c>
    </row>
    <row r="6398" spans="1:4" s="45" customFormat="1" ht="13.5" x14ac:dyDescent="0.15">
      <c r="A6398" s="45" t="s">
        <v>41</v>
      </c>
      <c r="D6398" s="45" t="s">
        <v>8245</v>
      </c>
    </row>
    <row r="6399" spans="1:4" s="45" customFormat="1" ht="13.5" x14ac:dyDescent="0.15">
      <c r="A6399" s="45" t="s">
        <v>41</v>
      </c>
      <c r="D6399" s="45" t="s">
        <v>748</v>
      </c>
    </row>
    <row r="6400" spans="1:4" s="45" customFormat="1" ht="13.5" x14ac:dyDescent="0.15">
      <c r="A6400" s="45" t="s">
        <v>41</v>
      </c>
      <c r="D6400" s="45" t="s">
        <v>8246</v>
      </c>
    </row>
    <row r="6401" spans="1:4" s="45" customFormat="1" ht="13.5" x14ac:dyDescent="0.15">
      <c r="A6401" s="45" t="s">
        <v>41</v>
      </c>
      <c r="D6401" s="45" t="s">
        <v>8247</v>
      </c>
    </row>
    <row r="6402" spans="1:4" s="45" customFormat="1" ht="13.5" x14ac:dyDescent="0.15">
      <c r="A6402" s="45" t="s">
        <v>41</v>
      </c>
      <c r="D6402" s="45" t="s">
        <v>8248</v>
      </c>
    </row>
    <row r="6403" spans="1:4" s="45" customFormat="1" ht="13.5" x14ac:dyDescent="0.15">
      <c r="A6403" s="45" t="s">
        <v>41</v>
      </c>
      <c r="D6403" s="45" t="s">
        <v>8249</v>
      </c>
    </row>
    <row r="6404" spans="1:4" s="45" customFormat="1" ht="13.5" x14ac:dyDescent="0.15">
      <c r="A6404" s="45" t="s">
        <v>41</v>
      </c>
      <c r="D6404" s="45" t="s">
        <v>8250</v>
      </c>
    </row>
    <row r="6405" spans="1:4" s="45" customFormat="1" ht="13.5" x14ac:dyDescent="0.15">
      <c r="A6405" s="45" t="s">
        <v>41</v>
      </c>
      <c r="D6405" s="45" t="s">
        <v>8251</v>
      </c>
    </row>
    <row r="6406" spans="1:4" s="45" customFormat="1" ht="13.5" x14ac:dyDescent="0.15">
      <c r="A6406" s="45" t="s">
        <v>41</v>
      </c>
      <c r="D6406" s="45" t="s">
        <v>8252</v>
      </c>
    </row>
    <row r="6407" spans="1:4" s="45" customFormat="1" ht="13.5" x14ac:dyDescent="0.15">
      <c r="A6407" s="45" t="s">
        <v>41</v>
      </c>
      <c r="D6407" s="45" t="s">
        <v>8253</v>
      </c>
    </row>
    <row r="6408" spans="1:4" s="45" customFormat="1" ht="13.5" x14ac:dyDescent="0.15">
      <c r="A6408" s="45" t="s">
        <v>41</v>
      </c>
      <c r="D6408" s="45" t="s">
        <v>8254</v>
      </c>
    </row>
    <row r="6409" spans="1:4" s="45" customFormat="1" ht="13.5" x14ac:dyDescent="0.15">
      <c r="A6409" s="45" t="s">
        <v>41</v>
      </c>
      <c r="D6409" s="45" t="s">
        <v>8255</v>
      </c>
    </row>
    <row r="6410" spans="1:4" s="45" customFormat="1" ht="13.5" x14ac:dyDescent="0.15">
      <c r="A6410" s="45" t="s">
        <v>41</v>
      </c>
      <c r="D6410" s="45" t="s">
        <v>749</v>
      </c>
    </row>
    <row r="6411" spans="1:4" s="45" customFormat="1" ht="13.5" x14ac:dyDescent="0.15">
      <c r="A6411" s="45" t="s">
        <v>41</v>
      </c>
      <c r="D6411" s="45" t="s">
        <v>8256</v>
      </c>
    </row>
    <row r="6412" spans="1:4" s="45" customFormat="1" ht="13.5" x14ac:dyDescent="0.15">
      <c r="A6412" s="45" t="s">
        <v>41</v>
      </c>
      <c r="D6412" s="45" t="s">
        <v>8257</v>
      </c>
    </row>
    <row r="6413" spans="1:4" s="45" customFormat="1" ht="13.5" x14ac:dyDescent="0.15">
      <c r="A6413" s="45" t="s">
        <v>41</v>
      </c>
      <c r="D6413" s="45" t="s">
        <v>8258</v>
      </c>
    </row>
    <row r="6414" spans="1:4" s="45" customFormat="1" ht="13.5" x14ac:dyDescent="0.15">
      <c r="A6414" s="45" t="s">
        <v>41</v>
      </c>
      <c r="D6414" s="45" t="s">
        <v>8259</v>
      </c>
    </row>
    <row r="6415" spans="1:4" s="45" customFormat="1" ht="13.5" x14ac:dyDescent="0.15">
      <c r="A6415" s="45" t="s">
        <v>41</v>
      </c>
      <c r="D6415" s="45" t="s">
        <v>8260</v>
      </c>
    </row>
    <row r="6416" spans="1:4" s="45" customFormat="1" ht="13.5" x14ac:dyDescent="0.15">
      <c r="A6416" s="45" t="s">
        <v>41</v>
      </c>
      <c r="D6416" s="45" t="s">
        <v>739</v>
      </c>
    </row>
    <row r="6417" spans="1:4" s="45" customFormat="1" ht="13.5" x14ac:dyDescent="0.15">
      <c r="A6417" s="45" t="s">
        <v>41</v>
      </c>
      <c r="D6417" s="45" t="s">
        <v>8261</v>
      </c>
    </row>
    <row r="6418" spans="1:4" s="45" customFormat="1" ht="13.5" x14ac:dyDescent="0.15">
      <c r="A6418" s="45" t="s">
        <v>41</v>
      </c>
      <c r="D6418" s="45" t="s">
        <v>8262</v>
      </c>
    </row>
    <row r="6419" spans="1:4" s="45" customFormat="1" ht="13.5" x14ac:dyDescent="0.15">
      <c r="A6419" s="45" t="s">
        <v>41</v>
      </c>
      <c r="D6419" s="45" t="s">
        <v>8263</v>
      </c>
    </row>
    <row r="6420" spans="1:4" s="45" customFormat="1" ht="13.5" x14ac:dyDescent="0.15">
      <c r="A6420" s="45" t="s">
        <v>41</v>
      </c>
      <c r="D6420" s="45" t="s">
        <v>8264</v>
      </c>
    </row>
    <row r="6421" spans="1:4" s="45" customFormat="1" ht="13.5" x14ac:dyDescent="0.15">
      <c r="A6421" s="45" t="s">
        <v>41</v>
      </c>
      <c r="D6421" s="45" t="s">
        <v>1695</v>
      </c>
    </row>
    <row r="6422" spans="1:4" s="45" customFormat="1" ht="13.5" x14ac:dyDescent="0.15">
      <c r="A6422" s="45" t="s">
        <v>41</v>
      </c>
      <c r="D6422" s="45" t="s">
        <v>1694</v>
      </c>
    </row>
    <row r="6423" spans="1:4" s="45" customFormat="1" ht="13.5" x14ac:dyDescent="0.15">
      <c r="A6423" s="45" t="s">
        <v>41</v>
      </c>
      <c r="D6423" s="45" t="s">
        <v>8265</v>
      </c>
    </row>
    <row r="6424" spans="1:4" s="45" customFormat="1" ht="13.5" x14ac:dyDescent="0.15">
      <c r="A6424" s="45" t="s">
        <v>41</v>
      </c>
      <c r="D6424" s="45" t="s">
        <v>8266</v>
      </c>
    </row>
    <row r="6425" spans="1:4" s="45" customFormat="1" ht="13.5" x14ac:dyDescent="0.15">
      <c r="A6425" s="45" t="s">
        <v>41</v>
      </c>
      <c r="D6425" s="45" t="s">
        <v>8267</v>
      </c>
    </row>
    <row r="6426" spans="1:4" s="45" customFormat="1" ht="13.5" x14ac:dyDescent="0.15">
      <c r="A6426" s="45" t="s">
        <v>41</v>
      </c>
      <c r="D6426" s="45" t="s">
        <v>8268</v>
      </c>
    </row>
    <row r="6427" spans="1:4" s="45" customFormat="1" ht="13.5" x14ac:dyDescent="0.15">
      <c r="A6427" s="45" t="s">
        <v>41</v>
      </c>
      <c r="D6427" s="45" t="s">
        <v>8269</v>
      </c>
    </row>
    <row r="6428" spans="1:4" s="45" customFormat="1" ht="13.5" x14ac:dyDescent="0.15">
      <c r="A6428" s="45" t="s">
        <v>41</v>
      </c>
      <c r="D6428" s="45" t="s">
        <v>8270</v>
      </c>
    </row>
    <row r="6429" spans="1:4" s="45" customFormat="1" ht="13.5" x14ac:dyDescent="0.15">
      <c r="A6429" s="45" t="s">
        <v>41</v>
      </c>
      <c r="D6429" s="45" t="s">
        <v>8271</v>
      </c>
    </row>
    <row r="6430" spans="1:4" s="45" customFormat="1" ht="13.5" x14ac:dyDescent="0.15">
      <c r="A6430" s="45" t="s">
        <v>41</v>
      </c>
      <c r="D6430" s="45" t="s">
        <v>8272</v>
      </c>
    </row>
    <row r="6431" spans="1:4" s="45" customFormat="1" ht="13.5" x14ac:dyDescent="0.15">
      <c r="A6431" s="45" t="s">
        <v>41</v>
      </c>
      <c r="D6431" s="45" t="s">
        <v>8273</v>
      </c>
    </row>
    <row r="6432" spans="1:4" s="45" customFormat="1" ht="13.5" x14ac:dyDescent="0.15">
      <c r="A6432" s="45" t="s">
        <v>41</v>
      </c>
      <c r="D6432" s="45" t="s">
        <v>8274</v>
      </c>
    </row>
    <row r="6433" spans="1:4" s="45" customFormat="1" ht="13.5" x14ac:dyDescent="0.15">
      <c r="A6433" s="45" t="s">
        <v>41</v>
      </c>
      <c r="D6433" s="45" t="s">
        <v>8275</v>
      </c>
    </row>
    <row r="6434" spans="1:4" s="45" customFormat="1" ht="13.5" x14ac:dyDescent="0.15">
      <c r="A6434" s="45" t="s">
        <v>41</v>
      </c>
      <c r="D6434" s="45" t="s">
        <v>8276</v>
      </c>
    </row>
    <row r="6435" spans="1:4" s="45" customFormat="1" ht="13.5" x14ac:dyDescent="0.15">
      <c r="A6435" s="45" t="s">
        <v>41</v>
      </c>
      <c r="D6435" s="45" t="s">
        <v>8277</v>
      </c>
    </row>
    <row r="6436" spans="1:4" s="45" customFormat="1" ht="13.5" x14ac:dyDescent="0.15">
      <c r="A6436" s="45" t="s">
        <v>41</v>
      </c>
      <c r="D6436" s="45" t="s">
        <v>8278</v>
      </c>
    </row>
    <row r="6437" spans="1:4" s="45" customFormat="1" ht="13.5" x14ac:dyDescent="0.15">
      <c r="A6437" s="45" t="s">
        <v>41</v>
      </c>
      <c r="D6437" s="45" t="s">
        <v>8279</v>
      </c>
    </row>
    <row r="6438" spans="1:4" s="45" customFormat="1" ht="13.5" x14ac:dyDescent="0.15">
      <c r="A6438" s="45" t="s">
        <v>41</v>
      </c>
      <c r="D6438" s="45" t="s">
        <v>8280</v>
      </c>
    </row>
    <row r="6439" spans="1:4" s="45" customFormat="1" ht="13.5" x14ac:dyDescent="0.15">
      <c r="A6439" s="45" t="s">
        <v>41</v>
      </c>
      <c r="D6439" s="45" t="s">
        <v>8281</v>
      </c>
    </row>
    <row r="6440" spans="1:4" s="45" customFormat="1" ht="13.5" x14ac:dyDescent="0.15">
      <c r="A6440" s="45" t="s">
        <v>41</v>
      </c>
      <c r="D6440" s="45" t="s">
        <v>8282</v>
      </c>
    </row>
    <row r="6441" spans="1:4" s="45" customFormat="1" ht="13.5" x14ac:dyDescent="0.15">
      <c r="A6441" s="45" t="s">
        <v>41</v>
      </c>
      <c r="D6441" s="45" t="s">
        <v>8283</v>
      </c>
    </row>
    <row r="6442" spans="1:4" s="45" customFormat="1" ht="13.5" x14ac:dyDescent="0.15">
      <c r="A6442" s="45" t="s">
        <v>41</v>
      </c>
      <c r="D6442" s="45" t="s">
        <v>8284</v>
      </c>
    </row>
    <row r="6443" spans="1:4" s="45" customFormat="1" ht="13.5" x14ac:dyDescent="0.15">
      <c r="A6443" s="45" t="s">
        <v>41</v>
      </c>
      <c r="D6443" s="45" t="s">
        <v>8285</v>
      </c>
    </row>
    <row r="6444" spans="1:4" s="45" customFormat="1" ht="13.5" x14ac:dyDescent="0.15">
      <c r="A6444" s="45" t="s">
        <v>41</v>
      </c>
      <c r="D6444" s="45" t="s">
        <v>1963</v>
      </c>
    </row>
    <row r="6445" spans="1:4" s="45" customFormat="1" ht="13.5" x14ac:dyDescent="0.15">
      <c r="A6445" s="45" t="s">
        <v>41</v>
      </c>
      <c r="D6445" s="45" t="s">
        <v>8286</v>
      </c>
    </row>
    <row r="6446" spans="1:4" s="45" customFormat="1" ht="13.5" x14ac:dyDescent="0.15">
      <c r="A6446" s="45" t="s">
        <v>41</v>
      </c>
      <c r="D6446" s="45" t="s">
        <v>8287</v>
      </c>
    </row>
    <row r="6447" spans="1:4" s="45" customFormat="1" ht="13.5" x14ac:dyDescent="0.15">
      <c r="A6447" s="45" t="s">
        <v>41</v>
      </c>
      <c r="D6447" s="45" t="s">
        <v>8288</v>
      </c>
    </row>
    <row r="6448" spans="1:4" s="45" customFormat="1" ht="13.5" x14ac:dyDescent="0.15">
      <c r="A6448" s="45" t="s">
        <v>41</v>
      </c>
      <c r="D6448" s="45" t="s">
        <v>8289</v>
      </c>
    </row>
    <row r="6449" spans="1:4" s="45" customFormat="1" ht="13.5" x14ac:dyDescent="0.15">
      <c r="A6449" s="45" t="s">
        <v>41</v>
      </c>
      <c r="D6449" s="45" t="s">
        <v>8290</v>
      </c>
    </row>
    <row r="6450" spans="1:4" s="45" customFormat="1" ht="13.5" x14ac:dyDescent="0.15">
      <c r="A6450" s="45" t="s">
        <v>41</v>
      </c>
      <c r="D6450" s="45" t="s">
        <v>8291</v>
      </c>
    </row>
    <row r="6451" spans="1:4" s="45" customFormat="1" ht="13.5" x14ac:dyDescent="0.15">
      <c r="A6451" s="45" t="s">
        <v>41</v>
      </c>
      <c r="D6451" s="45" t="s">
        <v>8292</v>
      </c>
    </row>
    <row r="6452" spans="1:4" s="45" customFormat="1" ht="13.5" x14ac:dyDescent="0.15">
      <c r="A6452" s="45" t="s">
        <v>41</v>
      </c>
      <c r="D6452" s="45" t="s">
        <v>2623</v>
      </c>
    </row>
    <row r="6453" spans="1:4" s="45" customFormat="1" ht="13.5" x14ac:dyDescent="0.15">
      <c r="A6453" s="45" t="s">
        <v>41</v>
      </c>
      <c r="D6453" s="45" t="s">
        <v>2539</v>
      </c>
    </row>
    <row r="6454" spans="1:4" s="45" customFormat="1" ht="13.5" x14ac:dyDescent="0.15">
      <c r="A6454" s="45" t="s">
        <v>41</v>
      </c>
      <c r="D6454" s="45" t="s">
        <v>2195</v>
      </c>
    </row>
    <row r="6455" spans="1:4" s="45" customFormat="1" ht="13.5" x14ac:dyDescent="0.15">
      <c r="A6455" s="45" t="s">
        <v>41</v>
      </c>
      <c r="D6455" s="45" t="s">
        <v>8293</v>
      </c>
    </row>
    <row r="6456" spans="1:4" s="45" customFormat="1" ht="13.5" x14ac:dyDescent="0.15">
      <c r="A6456" s="45" t="s">
        <v>41</v>
      </c>
      <c r="D6456" s="45" t="s">
        <v>8294</v>
      </c>
    </row>
    <row r="6457" spans="1:4" s="45" customFormat="1" ht="13.5" x14ac:dyDescent="0.15">
      <c r="A6457" s="45" t="s">
        <v>41</v>
      </c>
      <c r="D6457" s="45" t="s">
        <v>981</v>
      </c>
    </row>
    <row r="6458" spans="1:4" s="45" customFormat="1" ht="13.5" x14ac:dyDescent="0.15">
      <c r="A6458" s="45" t="s">
        <v>41</v>
      </c>
      <c r="D6458" s="45" t="s">
        <v>8295</v>
      </c>
    </row>
    <row r="6459" spans="1:4" s="45" customFormat="1" ht="13.5" x14ac:dyDescent="0.15">
      <c r="A6459" s="45" t="s">
        <v>41</v>
      </c>
      <c r="D6459" s="45" t="s">
        <v>8296</v>
      </c>
    </row>
    <row r="6460" spans="1:4" s="45" customFormat="1" ht="13.5" x14ac:dyDescent="0.15">
      <c r="A6460" s="45" t="s">
        <v>41</v>
      </c>
      <c r="D6460" s="45" t="s">
        <v>8297</v>
      </c>
    </row>
    <row r="6461" spans="1:4" s="45" customFormat="1" ht="13.5" x14ac:dyDescent="0.15">
      <c r="A6461" s="45" t="s">
        <v>41</v>
      </c>
      <c r="D6461" s="45" t="s">
        <v>8298</v>
      </c>
    </row>
    <row r="6462" spans="1:4" s="45" customFormat="1" ht="13.5" x14ac:dyDescent="0.15">
      <c r="A6462" s="45" t="s">
        <v>41</v>
      </c>
      <c r="D6462" s="45" t="s">
        <v>8299</v>
      </c>
    </row>
    <row r="6463" spans="1:4" s="45" customFormat="1" ht="13.5" x14ac:dyDescent="0.15">
      <c r="A6463" s="45" t="s">
        <v>41</v>
      </c>
      <c r="D6463" s="45" t="s">
        <v>8300</v>
      </c>
    </row>
    <row r="6464" spans="1:4" s="45" customFormat="1" ht="13.5" x14ac:dyDescent="0.15">
      <c r="A6464" s="45" t="s">
        <v>41</v>
      </c>
      <c r="D6464" s="45" t="s">
        <v>8301</v>
      </c>
    </row>
    <row r="6465" spans="1:4" s="45" customFormat="1" ht="13.5" x14ac:dyDescent="0.15">
      <c r="A6465" s="45" t="s">
        <v>41</v>
      </c>
      <c r="D6465" s="45" t="s">
        <v>565</v>
      </c>
    </row>
    <row r="6466" spans="1:4" s="45" customFormat="1" ht="13.5" x14ac:dyDescent="0.15">
      <c r="A6466" s="45" t="s">
        <v>41</v>
      </c>
      <c r="D6466" s="45" t="s">
        <v>8302</v>
      </c>
    </row>
    <row r="6467" spans="1:4" s="45" customFormat="1" ht="13.5" x14ac:dyDescent="0.15">
      <c r="A6467" s="45" t="s">
        <v>41</v>
      </c>
      <c r="D6467" s="45" t="s">
        <v>8303</v>
      </c>
    </row>
    <row r="6468" spans="1:4" s="45" customFormat="1" ht="13.5" x14ac:dyDescent="0.15">
      <c r="A6468" s="45" t="s">
        <v>41</v>
      </c>
      <c r="D6468" s="45" t="s">
        <v>8304</v>
      </c>
    </row>
    <row r="6469" spans="1:4" s="45" customFormat="1" ht="13.5" x14ac:dyDescent="0.15">
      <c r="A6469" s="45" t="s">
        <v>41</v>
      </c>
      <c r="D6469" s="45" t="s">
        <v>8305</v>
      </c>
    </row>
    <row r="6470" spans="1:4" s="45" customFormat="1" ht="13.5" x14ac:dyDescent="0.15">
      <c r="A6470" s="45" t="s">
        <v>41</v>
      </c>
      <c r="D6470" s="45" t="s">
        <v>8306</v>
      </c>
    </row>
    <row r="6471" spans="1:4" s="45" customFormat="1" ht="13.5" x14ac:dyDescent="0.15">
      <c r="A6471" s="45" t="s">
        <v>41</v>
      </c>
      <c r="D6471" s="45" t="s">
        <v>8307</v>
      </c>
    </row>
    <row r="6472" spans="1:4" s="45" customFormat="1" ht="13.5" x14ac:dyDescent="0.15">
      <c r="A6472" s="45" t="s">
        <v>41</v>
      </c>
      <c r="D6472" s="45" t="s">
        <v>8308</v>
      </c>
    </row>
    <row r="6473" spans="1:4" s="45" customFormat="1" ht="13.5" x14ac:dyDescent="0.15">
      <c r="A6473" s="45" t="s">
        <v>41</v>
      </c>
      <c r="D6473" s="45" t="s">
        <v>8309</v>
      </c>
    </row>
    <row r="6474" spans="1:4" s="45" customFormat="1" ht="13.5" x14ac:dyDescent="0.15">
      <c r="A6474" s="45" t="s">
        <v>41</v>
      </c>
      <c r="D6474" s="45" t="s">
        <v>8310</v>
      </c>
    </row>
    <row r="6475" spans="1:4" s="45" customFormat="1" ht="13.5" x14ac:dyDescent="0.15">
      <c r="A6475" s="45" t="s">
        <v>41</v>
      </c>
      <c r="D6475" s="45" t="s">
        <v>8311</v>
      </c>
    </row>
    <row r="6476" spans="1:4" s="45" customFormat="1" ht="13.5" x14ac:dyDescent="0.15">
      <c r="A6476" s="45" t="s">
        <v>41</v>
      </c>
      <c r="D6476" s="45" t="s">
        <v>8312</v>
      </c>
    </row>
    <row r="6477" spans="1:4" s="45" customFormat="1" ht="13.5" x14ac:dyDescent="0.15">
      <c r="A6477" s="45" t="s">
        <v>41</v>
      </c>
      <c r="D6477" s="45" t="s">
        <v>8313</v>
      </c>
    </row>
    <row r="6478" spans="1:4" s="45" customFormat="1" ht="13.5" x14ac:dyDescent="0.15">
      <c r="A6478" s="45" t="s">
        <v>41</v>
      </c>
      <c r="D6478" s="45" t="s">
        <v>1823</v>
      </c>
    </row>
    <row r="6479" spans="1:4" s="45" customFormat="1" ht="13.5" x14ac:dyDescent="0.15">
      <c r="A6479" s="45" t="s">
        <v>41</v>
      </c>
      <c r="D6479" s="45" t="s">
        <v>1824</v>
      </c>
    </row>
    <row r="6480" spans="1:4" s="45" customFormat="1" ht="13.5" x14ac:dyDescent="0.15">
      <c r="A6480" s="45" t="s">
        <v>41</v>
      </c>
      <c r="D6480" s="45" t="s">
        <v>1822</v>
      </c>
    </row>
    <row r="6481" spans="1:4" s="45" customFormat="1" ht="13.5" x14ac:dyDescent="0.15">
      <c r="A6481" s="45" t="s">
        <v>41</v>
      </c>
      <c r="D6481" s="45" t="s">
        <v>8314</v>
      </c>
    </row>
    <row r="6482" spans="1:4" s="45" customFormat="1" ht="13.5" x14ac:dyDescent="0.15">
      <c r="A6482" s="45" t="s">
        <v>41</v>
      </c>
      <c r="D6482" s="45" t="s">
        <v>8315</v>
      </c>
    </row>
    <row r="6483" spans="1:4" s="45" customFormat="1" ht="13.5" x14ac:dyDescent="0.15">
      <c r="A6483" s="45" t="s">
        <v>41</v>
      </c>
      <c r="D6483" s="45" t="s">
        <v>309</v>
      </c>
    </row>
    <row r="6484" spans="1:4" s="45" customFormat="1" ht="13.5" x14ac:dyDescent="0.15">
      <c r="A6484" s="45" t="s">
        <v>41</v>
      </c>
      <c r="D6484" s="45" t="s">
        <v>311</v>
      </c>
    </row>
    <row r="6485" spans="1:4" s="45" customFormat="1" ht="13.5" x14ac:dyDescent="0.15">
      <c r="A6485" s="45" t="s">
        <v>41</v>
      </c>
      <c r="D6485" s="45" t="s">
        <v>310</v>
      </c>
    </row>
    <row r="6486" spans="1:4" s="45" customFormat="1" ht="13.5" x14ac:dyDescent="0.15">
      <c r="A6486" s="45" t="s">
        <v>41</v>
      </c>
      <c r="D6486" s="45" t="s">
        <v>8316</v>
      </c>
    </row>
    <row r="6487" spans="1:4" s="45" customFormat="1" ht="13.5" x14ac:dyDescent="0.15">
      <c r="A6487" s="45" t="s">
        <v>41</v>
      </c>
      <c r="D6487" s="45" t="s">
        <v>8317</v>
      </c>
    </row>
    <row r="6488" spans="1:4" s="45" customFormat="1" ht="13.5" x14ac:dyDescent="0.15">
      <c r="A6488" s="45" t="s">
        <v>41</v>
      </c>
      <c r="D6488" s="45" t="s">
        <v>8318</v>
      </c>
    </row>
    <row r="6489" spans="1:4" s="45" customFormat="1" ht="13.5" x14ac:dyDescent="0.15">
      <c r="A6489" s="45" t="s">
        <v>41</v>
      </c>
      <c r="D6489" s="45" t="s">
        <v>8319</v>
      </c>
    </row>
    <row r="6490" spans="1:4" s="45" customFormat="1" ht="13.5" x14ac:dyDescent="0.15">
      <c r="A6490" s="45" t="s">
        <v>41</v>
      </c>
      <c r="D6490" s="45" t="s">
        <v>8320</v>
      </c>
    </row>
    <row r="6491" spans="1:4" s="45" customFormat="1" ht="13.5" x14ac:dyDescent="0.15">
      <c r="A6491" s="45" t="s">
        <v>41</v>
      </c>
      <c r="D6491" s="45" t="s">
        <v>8321</v>
      </c>
    </row>
    <row r="6492" spans="1:4" s="45" customFormat="1" ht="13.5" x14ac:dyDescent="0.15">
      <c r="A6492" s="45" t="s">
        <v>41</v>
      </c>
      <c r="D6492" s="45" t="s">
        <v>8322</v>
      </c>
    </row>
    <row r="6493" spans="1:4" s="45" customFormat="1" ht="13.5" x14ac:dyDescent="0.15">
      <c r="A6493" s="45" t="s">
        <v>41</v>
      </c>
      <c r="D6493" s="45" t="s">
        <v>1094</v>
      </c>
    </row>
    <row r="6494" spans="1:4" s="45" customFormat="1" ht="13.5" x14ac:dyDescent="0.15">
      <c r="A6494" s="45" t="s">
        <v>41</v>
      </c>
      <c r="D6494" s="45" t="s">
        <v>8323</v>
      </c>
    </row>
    <row r="6495" spans="1:4" s="45" customFormat="1" ht="13.5" x14ac:dyDescent="0.15">
      <c r="A6495" s="45" t="s">
        <v>41</v>
      </c>
      <c r="D6495" s="45" t="s">
        <v>8324</v>
      </c>
    </row>
    <row r="6496" spans="1:4" s="45" customFormat="1" ht="13.5" x14ac:dyDescent="0.15">
      <c r="A6496" s="45" t="s">
        <v>41</v>
      </c>
      <c r="D6496" s="45" t="s">
        <v>8325</v>
      </c>
    </row>
    <row r="6497" spans="1:4" s="45" customFormat="1" ht="13.5" x14ac:dyDescent="0.15">
      <c r="A6497" s="45" t="s">
        <v>41</v>
      </c>
      <c r="D6497" s="45" t="s">
        <v>2444</v>
      </c>
    </row>
    <row r="6498" spans="1:4" s="45" customFormat="1" ht="13.5" x14ac:dyDescent="0.15">
      <c r="A6498" s="45" t="s">
        <v>41</v>
      </c>
      <c r="D6498" s="45" t="s">
        <v>2443</v>
      </c>
    </row>
    <row r="6499" spans="1:4" s="45" customFormat="1" ht="13.5" x14ac:dyDescent="0.15">
      <c r="A6499" s="45" t="s">
        <v>41</v>
      </c>
      <c r="D6499" s="45" t="s">
        <v>8326</v>
      </c>
    </row>
    <row r="6500" spans="1:4" s="45" customFormat="1" ht="13.5" x14ac:dyDescent="0.15">
      <c r="A6500" s="45" t="s">
        <v>41</v>
      </c>
      <c r="D6500" s="45" t="s">
        <v>8327</v>
      </c>
    </row>
    <row r="6501" spans="1:4" s="45" customFormat="1" ht="13.5" x14ac:dyDescent="0.15">
      <c r="A6501" s="45" t="s">
        <v>41</v>
      </c>
      <c r="D6501" s="45" t="s">
        <v>8328</v>
      </c>
    </row>
    <row r="6502" spans="1:4" s="45" customFormat="1" ht="13.5" x14ac:dyDescent="0.15">
      <c r="A6502" s="45" t="s">
        <v>41</v>
      </c>
      <c r="D6502" s="45" t="s">
        <v>2246</v>
      </c>
    </row>
    <row r="6503" spans="1:4" s="45" customFormat="1" ht="13.5" x14ac:dyDescent="0.15">
      <c r="A6503" s="45" t="s">
        <v>41</v>
      </c>
      <c r="D6503" s="45" t="s">
        <v>8329</v>
      </c>
    </row>
    <row r="6504" spans="1:4" s="45" customFormat="1" ht="13.5" x14ac:dyDescent="0.15">
      <c r="A6504" s="45" t="s">
        <v>41</v>
      </c>
      <c r="D6504" s="45" t="s">
        <v>8330</v>
      </c>
    </row>
    <row r="6505" spans="1:4" s="45" customFormat="1" ht="13.5" x14ac:dyDescent="0.15">
      <c r="A6505" s="45" t="s">
        <v>41</v>
      </c>
      <c r="D6505" s="45" t="s">
        <v>8331</v>
      </c>
    </row>
    <row r="6506" spans="1:4" s="45" customFormat="1" ht="13.5" x14ac:dyDescent="0.15">
      <c r="A6506" s="45" t="s">
        <v>41</v>
      </c>
      <c r="D6506" s="45" t="s">
        <v>8332</v>
      </c>
    </row>
    <row r="6507" spans="1:4" s="45" customFormat="1" ht="13.5" x14ac:dyDescent="0.15">
      <c r="A6507" s="45" t="s">
        <v>41</v>
      </c>
      <c r="D6507" s="45" t="s">
        <v>8333</v>
      </c>
    </row>
    <row r="6508" spans="1:4" s="45" customFormat="1" ht="13.5" x14ac:dyDescent="0.15">
      <c r="A6508" s="45" t="s">
        <v>41</v>
      </c>
      <c r="D6508" s="45" t="s">
        <v>8334</v>
      </c>
    </row>
    <row r="6509" spans="1:4" s="45" customFormat="1" ht="13.5" x14ac:dyDescent="0.15">
      <c r="A6509" s="45" t="s">
        <v>41</v>
      </c>
      <c r="D6509" s="45" t="s">
        <v>8335</v>
      </c>
    </row>
    <row r="6510" spans="1:4" s="45" customFormat="1" ht="13.5" x14ac:dyDescent="0.15">
      <c r="A6510" s="45" t="s">
        <v>41</v>
      </c>
      <c r="D6510" s="45" t="s">
        <v>8336</v>
      </c>
    </row>
    <row r="6511" spans="1:4" s="45" customFormat="1" ht="13.5" x14ac:dyDescent="0.15">
      <c r="A6511" s="45" t="s">
        <v>41</v>
      </c>
      <c r="D6511" s="45" t="s">
        <v>8337</v>
      </c>
    </row>
    <row r="6512" spans="1:4" s="45" customFormat="1" ht="13.5" x14ac:dyDescent="0.15">
      <c r="A6512" s="45" t="s">
        <v>41</v>
      </c>
      <c r="D6512" s="45" t="s">
        <v>8338</v>
      </c>
    </row>
    <row r="6513" spans="1:4" s="45" customFormat="1" ht="13.5" x14ac:dyDescent="0.15">
      <c r="A6513" s="45" t="s">
        <v>41</v>
      </c>
      <c r="D6513" s="45" t="s">
        <v>8339</v>
      </c>
    </row>
    <row r="6514" spans="1:4" s="45" customFormat="1" ht="13.5" x14ac:dyDescent="0.15">
      <c r="A6514" s="45" t="s">
        <v>41</v>
      </c>
      <c r="D6514" s="45" t="s">
        <v>8340</v>
      </c>
    </row>
    <row r="6515" spans="1:4" s="45" customFormat="1" ht="13.5" x14ac:dyDescent="0.15">
      <c r="A6515" s="45" t="s">
        <v>41</v>
      </c>
      <c r="D6515" s="45" t="s">
        <v>8341</v>
      </c>
    </row>
    <row r="6516" spans="1:4" s="45" customFormat="1" ht="13.5" x14ac:dyDescent="0.15">
      <c r="A6516" s="45" t="s">
        <v>41</v>
      </c>
      <c r="D6516" s="45" t="s">
        <v>1787</v>
      </c>
    </row>
    <row r="6517" spans="1:4" s="45" customFormat="1" ht="13.5" x14ac:dyDescent="0.15">
      <c r="A6517" s="45" t="s">
        <v>41</v>
      </c>
      <c r="D6517" s="45" t="s">
        <v>8342</v>
      </c>
    </row>
    <row r="6518" spans="1:4" s="45" customFormat="1" ht="13.5" x14ac:dyDescent="0.15">
      <c r="A6518" s="45" t="s">
        <v>41</v>
      </c>
      <c r="D6518" s="45" t="s">
        <v>8343</v>
      </c>
    </row>
    <row r="6519" spans="1:4" s="45" customFormat="1" ht="13.5" x14ac:dyDescent="0.15">
      <c r="A6519" s="45" t="s">
        <v>41</v>
      </c>
      <c r="D6519" s="45" t="s">
        <v>8344</v>
      </c>
    </row>
    <row r="6520" spans="1:4" s="45" customFormat="1" ht="13.5" x14ac:dyDescent="0.15">
      <c r="A6520" s="45" t="s">
        <v>41</v>
      </c>
      <c r="D6520" s="45" t="s">
        <v>8345</v>
      </c>
    </row>
    <row r="6521" spans="1:4" s="45" customFormat="1" ht="13.5" x14ac:dyDescent="0.15">
      <c r="A6521" s="45" t="s">
        <v>41</v>
      </c>
      <c r="D6521" s="45" t="s">
        <v>1024</v>
      </c>
    </row>
    <row r="6522" spans="1:4" s="45" customFormat="1" ht="13.5" x14ac:dyDescent="0.15">
      <c r="A6522" s="45" t="s">
        <v>41</v>
      </c>
      <c r="D6522" s="45" t="s">
        <v>8346</v>
      </c>
    </row>
    <row r="6523" spans="1:4" s="45" customFormat="1" ht="13.5" x14ac:dyDescent="0.15">
      <c r="A6523" s="45" t="s">
        <v>41</v>
      </c>
      <c r="D6523" s="45" t="s">
        <v>8347</v>
      </c>
    </row>
    <row r="6524" spans="1:4" s="45" customFormat="1" ht="13.5" x14ac:dyDescent="0.15">
      <c r="A6524" s="45" t="s">
        <v>41</v>
      </c>
      <c r="D6524" s="45" t="s">
        <v>9773</v>
      </c>
    </row>
    <row r="6525" spans="1:4" s="45" customFormat="1" ht="13.5" x14ac:dyDescent="0.15">
      <c r="A6525" s="45" t="s">
        <v>41</v>
      </c>
      <c r="D6525" s="45" t="s">
        <v>896</v>
      </c>
    </row>
    <row r="6526" spans="1:4" s="45" customFormat="1" ht="13.5" x14ac:dyDescent="0.15">
      <c r="A6526" s="45" t="s">
        <v>41</v>
      </c>
      <c r="D6526" s="45" t="s">
        <v>897</v>
      </c>
    </row>
    <row r="6527" spans="1:4" s="45" customFormat="1" ht="13.5" x14ac:dyDescent="0.15">
      <c r="A6527" s="45" t="s">
        <v>41</v>
      </c>
      <c r="D6527" s="45" t="s">
        <v>667</v>
      </c>
    </row>
    <row r="6528" spans="1:4" s="45" customFormat="1" ht="13.5" x14ac:dyDescent="0.15">
      <c r="A6528" s="45" t="s">
        <v>41</v>
      </c>
      <c r="D6528" s="45" t="s">
        <v>8348</v>
      </c>
    </row>
    <row r="6529" spans="1:4" s="45" customFormat="1" ht="13.5" x14ac:dyDescent="0.15">
      <c r="A6529" s="45" t="s">
        <v>41</v>
      </c>
      <c r="D6529" s="45" t="s">
        <v>8349</v>
      </c>
    </row>
    <row r="6530" spans="1:4" s="45" customFormat="1" ht="13.5" x14ac:dyDescent="0.15">
      <c r="A6530" s="45" t="s">
        <v>41</v>
      </c>
      <c r="D6530" s="45" t="s">
        <v>8350</v>
      </c>
    </row>
    <row r="6531" spans="1:4" s="45" customFormat="1" ht="13.5" x14ac:dyDescent="0.15">
      <c r="A6531" s="45" t="s">
        <v>41</v>
      </c>
      <c r="D6531" s="45" t="s">
        <v>1138</v>
      </c>
    </row>
    <row r="6532" spans="1:4" s="45" customFormat="1" ht="13.5" x14ac:dyDescent="0.15">
      <c r="A6532" s="45" t="s">
        <v>41</v>
      </c>
      <c r="D6532" s="45" t="s">
        <v>669</v>
      </c>
    </row>
    <row r="6533" spans="1:4" s="45" customFormat="1" ht="13.5" x14ac:dyDescent="0.15">
      <c r="A6533" s="45" t="s">
        <v>41</v>
      </c>
      <c r="D6533" s="45" t="s">
        <v>668</v>
      </c>
    </row>
    <row r="6534" spans="1:4" s="45" customFormat="1" ht="13.5" x14ac:dyDescent="0.15">
      <c r="A6534" s="45" t="s">
        <v>41</v>
      </c>
      <c r="D6534" s="45" t="s">
        <v>8351</v>
      </c>
    </row>
    <row r="6535" spans="1:4" s="45" customFormat="1" ht="13.5" x14ac:dyDescent="0.15">
      <c r="A6535" s="45" t="s">
        <v>41</v>
      </c>
      <c r="D6535" s="45" t="s">
        <v>8352</v>
      </c>
    </row>
    <row r="6536" spans="1:4" s="45" customFormat="1" ht="13.5" x14ac:dyDescent="0.15">
      <c r="A6536" s="45" t="s">
        <v>41</v>
      </c>
      <c r="D6536" s="45" t="s">
        <v>1116</v>
      </c>
    </row>
    <row r="6537" spans="1:4" s="45" customFormat="1" ht="13.5" x14ac:dyDescent="0.15">
      <c r="A6537" s="45" t="s">
        <v>41</v>
      </c>
      <c r="D6537" s="45" t="s">
        <v>8353</v>
      </c>
    </row>
    <row r="6538" spans="1:4" s="45" customFormat="1" ht="13.5" x14ac:dyDescent="0.15">
      <c r="A6538" s="45" t="s">
        <v>41</v>
      </c>
      <c r="D6538" s="45" t="s">
        <v>8354</v>
      </c>
    </row>
    <row r="6539" spans="1:4" s="45" customFormat="1" ht="13.5" x14ac:dyDescent="0.15">
      <c r="A6539" s="45" t="s">
        <v>41</v>
      </c>
      <c r="D6539" s="45" t="s">
        <v>8355</v>
      </c>
    </row>
    <row r="6540" spans="1:4" s="45" customFormat="1" ht="13.5" x14ac:dyDescent="0.15">
      <c r="A6540" s="45" t="s">
        <v>41</v>
      </c>
      <c r="D6540" s="45" t="s">
        <v>8356</v>
      </c>
    </row>
    <row r="6541" spans="1:4" s="45" customFormat="1" ht="13.5" x14ac:dyDescent="0.15">
      <c r="A6541" s="45" t="s">
        <v>41</v>
      </c>
      <c r="D6541" s="45" t="s">
        <v>8357</v>
      </c>
    </row>
    <row r="6542" spans="1:4" s="45" customFormat="1" ht="13.5" x14ac:dyDescent="0.15">
      <c r="A6542" s="45" t="s">
        <v>41</v>
      </c>
      <c r="D6542" s="45" t="s">
        <v>8358</v>
      </c>
    </row>
    <row r="6543" spans="1:4" s="45" customFormat="1" ht="13.5" x14ac:dyDescent="0.15">
      <c r="A6543" s="45" t="s">
        <v>41</v>
      </c>
      <c r="D6543" s="45" t="s">
        <v>8359</v>
      </c>
    </row>
    <row r="6544" spans="1:4" s="45" customFormat="1" ht="13.5" x14ac:dyDescent="0.15">
      <c r="A6544" s="45" t="s">
        <v>41</v>
      </c>
      <c r="D6544" s="45" t="s">
        <v>8360</v>
      </c>
    </row>
    <row r="6545" spans="1:4" s="45" customFormat="1" ht="13.5" x14ac:dyDescent="0.15">
      <c r="A6545" s="45" t="s">
        <v>41</v>
      </c>
      <c r="D6545" s="45" t="s">
        <v>8361</v>
      </c>
    </row>
    <row r="6546" spans="1:4" s="45" customFormat="1" ht="13.5" x14ac:dyDescent="0.15">
      <c r="A6546" s="45" t="s">
        <v>41</v>
      </c>
      <c r="D6546" s="45" t="s">
        <v>8362</v>
      </c>
    </row>
    <row r="6547" spans="1:4" s="45" customFormat="1" ht="13.5" x14ac:dyDescent="0.15">
      <c r="A6547" s="45" t="s">
        <v>41</v>
      </c>
      <c r="D6547" s="45" t="s">
        <v>8363</v>
      </c>
    </row>
    <row r="6548" spans="1:4" s="45" customFormat="1" ht="13.5" x14ac:dyDescent="0.15">
      <c r="A6548" s="45" t="s">
        <v>41</v>
      </c>
      <c r="D6548" s="45" t="s">
        <v>8364</v>
      </c>
    </row>
    <row r="6549" spans="1:4" s="45" customFormat="1" ht="13.5" x14ac:dyDescent="0.15">
      <c r="A6549" s="45" t="s">
        <v>41</v>
      </c>
      <c r="D6549" s="45" t="s">
        <v>8365</v>
      </c>
    </row>
    <row r="6550" spans="1:4" s="45" customFormat="1" ht="13.5" x14ac:dyDescent="0.15">
      <c r="A6550" s="45" t="s">
        <v>41</v>
      </c>
      <c r="D6550" s="45" t="s">
        <v>8366</v>
      </c>
    </row>
    <row r="6551" spans="1:4" s="45" customFormat="1" ht="13.5" x14ac:dyDescent="0.15">
      <c r="A6551" s="45" t="s">
        <v>41</v>
      </c>
      <c r="D6551" s="45" t="s">
        <v>8367</v>
      </c>
    </row>
    <row r="6552" spans="1:4" s="45" customFormat="1" ht="13.5" x14ac:dyDescent="0.15">
      <c r="A6552" s="45" t="s">
        <v>41</v>
      </c>
      <c r="D6552" s="45" t="s">
        <v>8368</v>
      </c>
    </row>
    <row r="6553" spans="1:4" s="45" customFormat="1" ht="13.5" x14ac:dyDescent="0.15">
      <c r="A6553" s="45" t="s">
        <v>41</v>
      </c>
      <c r="D6553" s="45" t="s">
        <v>8369</v>
      </c>
    </row>
    <row r="6554" spans="1:4" s="45" customFormat="1" ht="13.5" x14ac:dyDescent="0.15">
      <c r="A6554" s="45" t="s">
        <v>41</v>
      </c>
      <c r="D6554" s="45" t="s">
        <v>8370</v>
      </c>
    </row>
    <row r="6555" spans="1:4" s="45" customFormat="1" ht="13.5" x14ac:dyDescent="0.15">
      <c r="A6555" s="45" t="s">
        <v>41</v>
      </c>
      <c r="D6555" s="45" t="s">
        <v>8371</v>
      </c>
    </row>
    <row r="6556" spans="1:4" s="45" customFormat="1" ht="13.5" x14ac:dyDescent="0.15">
      <c r="A6556" s="45" t="s">
        <v>41</v>
      </c>
      <c r="D6556" s="45" t="s">
        <v>8372</v>
      </c>
    </row>
    <row r="6557" spans="1:4" s="45" customFormat="1" ht="13.5" x14ac:dyDescent="0.15">
      <c r="A6557" s="45" t="s">
        <v>41</v>
      </c>
      <c r="D6557" s="45" t="s">
        <v>8373</v>
      </c>
    </row>
    <row r="6558" spans="1:4" s="45" customFormat="1" ht="13.5" x14ac:dyDescent="0.15">
      <c r="A6558" s="45" t="s">
        <v>41</v>
      </c>
      <c r="D6558" s="45" t="s">
        <v>8374</v>
      </c>
    </row>
    <row r="6559" spans="1:4" s="45" customFormat="1" ht="13.5" x14ac:dyDescent="0.15">
      <c r="A6559" s="45" t="s">
        <v>41</v>
      </c>
      <c r="D6559" s="45" t="s">
        <v>8375</v>
      </c>
    </row>
    <row r="6560" spans="1:4" s="45" customFormat="1" ht="13.5" x14ac:dyDescent="0.15">
      <c r="A6560" s="45" t="s">
        <v>41</v>
      </c>
      <c r="D6560" s="45" t="s">
        <v>8376</v>
      </c>
    </row>
    <row r="6561" spans="1:4" s="45" customFormat="1" ht="13.5" x14ac:dyDescent="0.15">
      <c r="A6561" s="45" t="s">
        <v>41</v>
      </c>
      <c r="D6561" s="45" t="s">
        <v>8377</v>
      </c>
    </row>
    <row r="6562" spans="1:4" s="45" customFormat="1" ht="13.5" x14ac:dyDescent="0.15">
      <c r="A6562" s="45" t="s">
        <v>41</v>
      </c>
      <c r="D6562" s="45" t="s">
        <v>2618</v>
      </c>
    </row>
    <row r="6563" spans="1:4" s="45" customFormat="1" ht="13.5" x14ac:dyDescent="0.15">
      <c r="A6563" s="45" t="s">
        <v>41</v>
      </c>
      <c r="D6563" s="45" t="s">
        <v>1798</v>
      </c>
    </row>
    <row r="6564" spans="1:4" s="45" customFormat="1" ht="13.5" x14ac:dyDescent="0.15">
      <c r="A6564" s="45" t="s">
        <v>41</v>
      </c>
      <c r="D6564" s="45" t="s">
        <v>8378</v>
      </c>
    </row>
    <row r="6565" spans="1:4" s="45" customFormat="1" ht="13.5" x14ac:dyDescent="0.15">
      <c r="A6565" s="45" t="s">
        <v>41</v>
      </c>
      <c r="D6565" s="45" t="s">
        <v>1930</v>
      </c>
    </row>
    <row r="6566" spans="1:4" s="45" customFormat="1" ht="13.5" x14ac:dyDescent="0.15">
      <c r="A6566" s="45" t="s">
        <v>41</v>
      </c>
      <c r="D6566" s="45" t="s">
        <v>607</v>
      </c>
    </row>
    <row r="6567" spans="1:4" s="45" customFormat="1" ht="13.5" x14ac:dyDescent="0.15">
      <c r="A6567" s="45" t="s">
        <v>41</v>
      </c>
      <c r="D6567" s="45" t="s">
        <v>700</v>
      </c>
    </row>
    <row r="6568" spans="1:4" s="45" customFormat="1" ht="13.5" x14ac:dyDescent="0.15">
      <c r="A6568" s="45" t="s">
        <v>41</v>
      </c>
      <c r="D6568" s="45" t="s">
        <v>698</v>
      </c>
    </row>
    <row r="6569" spans="1:4" s="45" customFormat="1" ht="13.5" x14ac:dyDescent="0.15">
      <c r="A6569" s="45" t="s">
        <v>41</v>
      </c>
      <c r="D6569" s="45" t="s">
        <v>697</v>
      </c>
    </row>
    <row r="6570" spans="1:4" s="45" customFormat="1" ht="13.5" x14ac:dyDescent="0.15">
      <c r="A6570" s="45" t="s">
        <v>41</v>
      </c>
      <c r="D6570" s="45" t="s">
        <v>699</v>
      </c>
    </row>
    <row r="6571" spans="1:4" s="45" customFormat="1" ht="13.5" x14ac:dyDescent="0.15">
      <c r="A6571" s="45" t="s">
        <v>41</v>
      </c>
      <c r="D6571" s="45" t="s">
        <v>8379</v>
      </c>
    </row>
    <row r="6572" spans="1:4" s="45" customFormat="1" ht="13.5" x14ac:dyDescent="0.15">
      <c r="A6572" s="45" t="s">
        <v>41</v>
      </c>
      <c r="D6572" s="45" t="s">
        <v>705</v>
      </c>
    </row>
    <row r="6573" spans="1:4" s="45" customFormat="1" ht="13.5" x14ac:dyDescent="0.15">
      <c r="A6573" s="45" t="s">
        <v>41</v>
      </c>
      <c r="D6573" s="45" t="s">
        <v>704</v>
      </c>
    </row>
    <row r="6574" spans="1:4" s="45" customFormat="1" ht="13.5" x14ac:dyDescent="0.15">
      <c r="A6574" s="45" t="s">
        <v>41</v>
      </c>
      <c r="D6574" s="45" t="s">
        <v>8380</v>
      </c>
    </row>
    <row r="6575" spans="1:4" s="45" customFormat="1" ht="13.5" x14ac:dyDescent="0.15">
      <c r="A6575" s="45" t="s">
        <v>41</v>
      </c>
      <c r="D6575" s="45" t="s">
        <v>703</v>
      </c>
    </row>
    <row r="6576" spans="1:4" s="45" customFormat="1" ht="13.5" x14ac:dyDescent="0.15">
      <c r="A6576" s="45" t="s">
        <v>41</v>
      </c>
      <c r="D6576" s="45" t="s">
        <v>8381</v>
      </c>
    </row>
    <row r="6577" spans="1:4" s="45" customFormat="1" ht="13.5" x14ac:dyDescent="0.15">
      <c r="A6577" s="45" t="s">
        <v>41</v>
      </c>
      <c r="D6577" s="45" t="s">
        <v>702</v>
      </c>
    </row>
    <row r="6578" spans="1:4" s="45" customFormat="1" ht="13.5" x14ac:dyDescent="0.15">
      <c r="A6578" s="45" t="s">
        <v>41</v>
      </c>
      <c r="D6578" s="45" t="s">
        <v>8382</v>
      </c>
    </row>
    <row r="6579" spans="1:4" s="45" customFormat="1" ht="13.5" x14ac:dyDescent="0.15">
      <c r="A6579" s="45" t="s">
        <v>41</v>
      </c>
      <c r="D6579" s="45" t="s">
        <v>8383</v>
      </c>
    </row>
    <row r="6580" spans="1:4" s="45" customFormat="1" ht="13.5" x14ac:dyDescent="0.15">
      <c r="A6580" s="45" t="s">
        <v>41</v>
      </c>
      <c r="D6580" s="45" t="s">
        <v>8384</v>
      </c>
    </row>
    <row r="6581" spans="1:4" s="45" customFormat="1" ht="13.5" x14ac:dyDescent="0.15">
      <c r="A6581" s="45" t="s">
        <v>41</v>
      </c>
      <c r="D6581" s="45" t="s">
        <v>701</v>
      </c>
    </row>
    <row r="6582" spans="1:4" s="45" customFormat="1" ht="13.5" x14ac:dyDescent="0.15">
      <c r="A6582" s="45" t="s">
        <v>41</v>
      </c>
      <c r="D6582" s="45" t="s">
        <v>8385</v>
      </c>
    </row>
    <row r="6583" spans="1:4" s="45" customFormat="1" ht="13.5" x14ac:dyDescent="0.15">
      <c r="A6583" s="45" t="s">
        <v>41</v>
      </c>
      <c r="D6583" s="45" t="s">
        <v>8386</v>
      </c>
    </row>
    <row r="6584" spans="1:4" s="45" customFormat="1" ht="13.5" x14ac:dyDescent="0.15">
      <c r="A6584" s="45" t="s">
        <v>41</v>
      </c>
      <c r="D6584" s="45" t="s">
        <v>8387</v>
      </c>
    </row>
    <row r="6585" spans="1:4" s="45" customFormat="1" ht="13.5" x14ac:dyDescent="0.15">
      <c r="A6585" s="45" t="s">
        <v>41</v>
      </c>
      <c r="D6585" s="45" t="s">
        <v>1247</v>
      </c>
    </row>
    <row r="6586" spans="1:4" s="45" customFormat="1" ht="13.5" x14ac:dyDescent="0.15">
      <c r="A6586" s="45" t="s">
        <v>41</v>
      </c>
      <c r="D6586" s="45" t="s">
        <v>1246</v>
      </c>
    </row>
    <row r="6587" spans="1:4" s="45" customFormat="1" ht="13.5" x14ac:dyDescent="0.15">
      <c r="A6587" s="45" t="s">
        <v>41</v>
      </c>
      <c r="D6587" s="45" t="s">
        <v>1828</v>
      </c>
    </row>
    <row r="6588" spans="1:4" s="45" customFormat="1" ht="13.5" x14ac:dyDescent="0.15">
      <c r="A6588" s="45" t="s">
        <v>41</v>
      </c>
      <c r="D6588" s="45" t="s">
        <v>8388</v>
      </c>
    </row>
    <row r="6589" spans="1:4" s="45" customFormat="1" ht="13.5" x14ac:dyDescent="0.15">
      <c r="A6589" s="45" t="s">
        <v>41</v>
      </c>
      <c r="D6589" s="45" t="s">
        <v>8389</v>
      </c>
    </row>
    <row r="6590" spans="1:4" s="45" customFormat="1" ht="13.5" x14ac:dyDescent="0.15">
      <c r="A6590" s="45" t="s">
        <v>41</v>
      </c>
      <c r="D6590" s="45" t="s">
        <v>8390</v>
      </c>
    </row>
    <row r="6591" spans="1:4" s="45" customFormat="1" ht="13.5" x14ac:dyDescent="0.15">
      <c r="A6591" s="45" t="s">
        <v>41</v>
      </c>
      <c r="D6591" s="45" t="s">
        <v>95</v>
      </c>
    </row>
    <row r="6592" spans="1:4" s="45" customFormat="1" ht="13.5" x14ac:dyDescent="0.15">
      <c r="A6592" s="45" t="s">
        <v>41</v>
      </c>
      <c r="D6592" s="45" t="s">
        <v>8391</v>
      </c>
    </row>
    <row r="6593" spans="1:4" s="45" customFormat="1" ht="13.5" x14ac:dyDescent="0.15">
      <c r="A6593" s="45" t="s">
        <v>41</v>
      </c>
      <c r="D6593" s="45" t="s">
        <v>8392</v>
      </c>
    </row>
    <row r="6594" spans="1:4" s="45" customFormat="1" ht="13.5" x14ac:dyDescent="0.15">
      <c r="A6594" s="45" t="s">
        <v>41</v>
      </c>
      <c r="D6594" s="45" t="s">
        <v>8393</v>
      </c>
    </row>
    <row r="6595" spans="1:4" s="45" customFormat="1" ht="13.5" x14ac:dyDescent="0.15">
      <c r="A6595" s="45" t="s">
        <v>41</v>
      </c>
      <c r="D6595" s="45" t="s">
        <v>8394</v>
      </c>
    </row>
    <row r="6596" spans="1:4" s="45" customFormat="1" ht="13.5" x14ac:dyDescent="0.15">
      <c r="A6596" s="45" t="s">
        <v>41</v>
      </c>
      <c r="D6596" s="45" t="s">
        <v>8395</v>
      </c>
    </row>
    <row r="6597" spans="1:4" s="45" customFormat="1" ht="13.5" x14ac:dyDescent="0.15">
      <c r="A6597" s="45" t="s">
        <v>41</v>
      </c>
      <c r="D6597" s="45" t="s">
        <v>451</v>
      </c>
    </row>
    <row r="6598" spans="1:4" s="45" customFormat="1" ht="13.5" x14ac:dyDescent="0.15">
      <c r="A6598" s="45" t="s">
        <v>41</v>
      </c>
      <c r="D6598" s="45" t="s">
        <v>2005</v>
      </c>
    </row>
    <row r="6599" spans="1:4" s="45" customFormat="1" ht="13.5" x14ac:dyDescent="0.15">
      <c r="A6599" s="45" t="s">
        <v>41</v>
      </c>
      <c r="D6599" s="45" t="s">
        <v>2003</v>
      </c>
    </row>
    <row r="6600" spans="1:4" s="45" customFormat="1" ht="13.5" x14ac:dyDescent="0.15">
      <c r="A6600" s="45" t="s">
        <v>41</v>
      </c>
      <c r="D6600" s="45" t="s">
        <v>2004</v>
      </c>
    </row>
    <row r="6601" spans="1:4" s="45" customFormat="1" ht="13.5" x14ac:dyDescent="0.15">
      <c r="A6601" s="45" t="s">
        <v>41</v>
      </c>
      <c r="D6601" s="45" t="s">
        <v>2002</v>
      </c>
    </row>
    <row r="6602" spans="1:4" s="45" customFormat="1" ht="13.5" x14ac:dyDescent="0.15">
      <c r="A6602" s="45" t="s">
        <v>41</v>
      </c>
      <c r="D6602" s="45" t="s">
        <v>8396</v>
      </c>
    </row>
    <row r="6603" spans="1:4" s="45" customFormat="1" ht="13.5" x14ac:dyDescent="0.15">
      <c r="A6603" s="45" t="s">
        <v>41</v>
      </c>
      <c r="D6603" s="45" t="s">
        <v>8397</v>
      </c>
    </row>
    <row r="6604" spans="1:4" s="45" customFormat="1" ht="13.5" x14ac:dyDescent="0.15">
      <c r="A6604" s="45" t="s">
        <v>41</v>
      </c>
      <c r="D6604" s="45" t="s">
        <v>8398</v>
      </c>
    </row>
    <row r="6605" spans="1:4" s="45" customFormat="1" ht="13.5" x14ac:dyDescent="0.15">
      <c r="A6605" s="45" t="s">
        <v>41</v>
      </c>
      <c r="D6605" s="45" t="s">
        <v>8399</v>
      </c>
    </row>
    <row r="6606" spans="1:4" s="45" customFormat="1" ht="13.5" x14ac:dyDescent="0.15">
      <c r="A6606" s="45" t="s">
        <v>41</v>
      </c>
      <c r="D6606" s="45" t="s">
        <v>8400</v>
      </c>
    </row>
    <row r="6607" spans="1:4" s="45" customFormat="1" ht="13.5" x14ac:dyDescent="0.15">
      <c r="A6607" s="45" t="s">
        <v>41</v>
      </c>
      <c r="D6607" s="45" t="s">
        <v>8401</v>
      </c>
    </row>
    <row r="6608" spans="1:4" s="45" customFormat="1" ht="13.5" x14ac:dyDescent="0.15">
      <c r="A6608" s="45" t="s">
        <v>41</v>
      </c>
      <c r="D6608" s="45" t="s">
        <v>8402</v>
      </c>
    </row>
    <row r="6609" spans="1:4" s="45" customFormat="1" ht="13.5" x14ac:dyDescent="0.15">
      <c r="A6609" s="45" t="s">
        <v>41</v>
      </c>
      <c r="D6609" s="45" t="s">
        <v>8403</v>
      </c>
    </row>
    <row r="6610" spans="1:4" s="45" customFormat="1" ht="13.5" x14ac:dyDescent="0.15">
      <c r="A6610" s="45" t="s">
        <v>41</v>
      </c>
      <c r="D6610" s="45" t="s">
        <v>8404</v>
      </c>
    </row>
    <row r="6611" spans="1:4" s="45" customFormat="1" ht="13.5" x14ac:dyDescent="0.15">
      <c r="A6611" s="45" t="s">
        <v>41</v>
      </c>
      <c r="D6611" s="45" t="s">
        <v>8405</v>
      </c>
    </row>
    <row r="6612" spans="1:4" s="45" customFormat="1" ht="13.5" x14ac:dyDescent="0.15">
      <c r="A6612" s="45" t="s">
        <v>41</v>
      </c>
      <c r="D6612" s="45" t="s">
        <v>1666</v>
      </c>
    </row>
    <row r="6613" spans="1:4" s="45" customFormat="1" ht="13.5" x14ac:dyDescent="0.15">
      <c r="A6613" s="45" t="s">
        <v>41</v>
      </c>
      <c r="D6613" s="45" t="s">
        <v>1670</v>
      </c>
    </row>
    <row r="6614" spans="1:4" s="45" customFormat="1" ht="13.5" x14ac:dyDescent="0.15">
      <c r="A6614" s="45" t="s">
        <v>41</v>
      </c>
      <c r="D6614" s="45" t="s">
        <v>1671</v>
      </c>
    </row>
    <row r="6615" spans="1:4" s="45" customFormat="1" ht="13.5" x14ac:dyDescent="0.15">
      <c r="A6615" s="45" t="s">
        <v>41</v>
      </c>
      <c r="D6615" s="45" t="s">
        <v>8406</v>
      </c>
    </row>
    <row r="6616" spans="1:4" s="45" customFormat="1" ht="13.5" x14ac:dyDescent="0.15">
      <c r="A6616" s="45" t="s">
        <v>41</v>
      </c>
      <c r="D6616" s="45" t="s">
        <v>8407</v>
      </c>
    </row>
    <row r="6617" spans="1:4" s="45" customFormat="1" ht="13.5" x14ac:dyDescent="0.15">
      <c r="A6617" s="45" t="s">
        <v>41</v>
      </c>
      <c r="D6617" s="45" t="s">
        <v>8408</v>
      </c>
    </row>
    <row r="6618" spans="1:4" s="45" customFormat="1" ht="13.5" x14ac:dyDescent="0.15">
      <c r="A6618" s="45" t="s">
        <v>41</v>
      </c>
      <c r="D6618" s="45" t="s">
        <v>8409</v>
      </c>
    </row>
    <row r="6619" spans="1:4" s="45" customFormat="1" ht="13.5" x14ac:dyDescent="0.15">
      <c r="A6619" s="45" t="s">
        <v>41</v>
      </c>
      <c r="D6619" s="45" t="s">
        <v>1680</v>
      </c>
    </row>
    <row r="6620" spans="1:4" s="45" customFormat="1" ht="13.5" x14ac:dyDescent="0.15">
      <c r="A6620" s="45" t="s">
        <v>41</v>
      </c>
      <c r="D6620" s="45" t="s">
        <v>8410</v>
      </c>
    </row>
    <row r="6621" spans="1:4" s="45" customFormat="1" ht="13.5" x14ac:dyDescent="0.15">
      <c r="A6621" s="45" t="s">
        <v>41</v>
      </c>
      <c r="D6621" s="45" t="s">
        <v>1662</v>
      </c>
    </row>
    <row r="6622" spans="1:4" s="45" customFormat="1" ht="13.5" x14ac:dyDescent="0.15">
      <c r="A6622" s="45" t="s">
        <v>41</v>
      </c>
      <c r="D6622" s="45" t="s">
        <v>8411</v>
      </c>
    </row>
    <row r="6623" spans="1:4" s="45" customFormat="1" ht="13.5" x14ac:dyDescent="0.15">
      <c r="A6623" s="45" t="s">
        <v>41</v>
      </c>
      <c r="D6623" s="45" t="s">
        <v>8412</v>
      </c>
    </row>
    <row r="6624" spans="1:4" s="45" customFormat="1" ht="13.5" x14ac:dyDescent="0.15">
      <c r="A6624" s="45" t="s">
        <v>41</v>
      </c>
      <c r="D6624" s="45" t="s">
        <v>8413</v>
      </c>
    </row>
    <row r="6625" spans="1:4" s="45" customFormat="1" ht="13.5" x14ac:dyDescent="0.15">
      <c r="A6625" s="45" t="s">
        <v>41</v>
      </c>
      <c r="D6625" s="45" t="s">
        <v>1682</v>
      </c>
    </row>
    <row r="6626" spans="1:4" s="45" customFormat="1" ht="13.5" x14ac:dyDescent="0.15">
      <c r="A6626" s="45" t="s">
        <v>41</v>
      </c>
      <c r="D6626" s="45" t="s">
        <v>1667</v>
      </c>
    </row>
    <row r="6627" spans="1:4" s="45" customFormat="1" ht="13.5" x14ac:dyDescent="0.15">
      <c r="A6627" s="45" t="s">
        <v>41</v>
      </c>
      <c r="D6627" s="45" t="s">
        <v>1668</v>
      </c>
    </row>
    <row r="6628" spans="1:4" s="45" customFormat="1" ht="13.5" x14ac:dyDescent="0.15">
      <c r="A6628" s="45" t="s">
        <v>41</v>
      </c>
      <c r="D6628" s="45" t="s">
        <v>8414</v>
      </c>
    </row>
    <row r="6629" spans="1:4" s="45" customFormat="1" ht="13.5" x14ac:dyDescent="0.15">
      <c r="A6629" s="45" t="s">
        <v>41</v>
      </c>
      <c r="D6629" s="45" t="s">
        <v>8415</v>
      </c>
    </row>
    <row r="6630" spans="1:4" s="45" customFormat="1" ht="13.5" x14ac:dyDescent="0.15">
      <c r="A6630" s="45" t="s">
        <v>41</v>
      </c>
      <c r="D6630" s="45" t="s">
        <v>8416</v>
      </c>
    </row>
    <row r="6631" spans="1:4" s="45" customFormat="1" ht="13.5" x14ac:dyDescent="0.15">
      <c r="A6631" s="45" t="s">
        <v>41</v>
      </c>
      <c r="D6631" s="45" t="s">
        <v>8417</v>
      </c>
    </row>
    <row r="6632" spans="1:4" s="45" customFormat="1" ht="13.5" x14ac:dyDescent="0.15">
      <c r="A6632" s="45" t="s">
        <v>41</v>
      </c>
      <c r="D6632" s="45" t="s">
        <v>1676</v>
      </c>
    </row>
    <row r="6633" spans="1:4" s="45" customFormat="1" ht="13.5" x14ac:dyDescent="0.15">
      <c r="A6633" s="45" t="s">
        <v>41</v>
      </c>
      <c r="D6633" s="45" t="s">
        <v>1673</v>
      </c>
    </row>
    <row r="6634" spans="1:4" s="45" customFormat="1" ht="13.5" x14ac:dyDescent="0.15">
      <c r="A6634" s="45" t="s">
        <v>41</v>
      </c>
      <c r="D6634" s="45" t="s">
        <v>8418</v>
      </c>
    </row>
    <row r="6635" spans="1:4" s="45" customFormat="1" ht="13.5" x14ac:dyDescent="0.15">
      <c r="A6635" s="45" t="s">
        <v>41</v>
      </c>
      <c r="D6635" s="45" t="s">
        <v>1675</v>
      </c>
    </row>
    <row r="6636" spans="1:4" s="45" customFormat="1" ht="13.5" x14ac:dyDescent="0.15">
      <c r="A6636" s="45" t="s">
        <v>41</v>
      </c>
      <c r="D6636" s="45" t="s">
        <v>8419</v>
      </c>
    </row>
    <row r="6637" spans="1:4" s="45" customFormat="1" ht="13.5" x14ac:dyDescent="0.15">
      <c r="A6637" s="45" t="s">
        <v>41</v>
      </c>
      <c r="D6637" s="45" t="s">
        <v>8420</v>
      </c>
    </row>
    <row r="6638" spans="1:4" s="45" customFormat="1" ht="13.5" x14ac:dyDescent="0.15">
      <c r="A6638" s="45" t="s">
        <v>41</v>
      </c>
      <c r="D6638" s="45" t="s">
        <v>1677</v>
      </c>
    </row>
    <row r="6639" spans="1:4" s="45" customFormat="1" ht="13.5" x14ac:dyDescent="0.15">
      <c r="A6639" s="45" t="s">
        <v>41</v>
      </c>
      <c r="D6639" s="45" t="s">
        <v>8421</v>
      </c>
    </row>
    <row r="6640" spans="1:4" s="45" customFormat="1" ht="13.5" x14ac:dyDescent="0.15">
      <c r="A6640" s="45" t="s">
        <v>41</v>
      </c>
      <c r="D6640" s="45" t="s">
        <v>8422</v>
      </c>
    </row>
    <row r="6641" spans="1:4" s="45" customFormat="1" ht="13.5" x14ac:dyDescent="0.15">
      <c r="A6641" s="45" t="s">
        <v>41</v>
      </c>
      <c r="D6641" s="45" t="s">
        <v>8423</v>
      </c>
    </row>
    <row r="6642" spans="1:4" s="45" customFormat="1" ht="13.5" x14ac:dyDescent="0.15">
      <c r="A6642" s="45" t="s">
        <v>41</v>
      </c>
      <c r="D6642" s="45" t="s">
        <v>8424</v>
      </c>
    </row>
    <row r="6643" spans="1:4" s="45" customFormat="1" ht="13.5" x14ac:dyDescent="0.15">
      <c r="A6643" s="45" t="s">
        <v>41</v>
      </c>
      <c r="D6643" s="45" t="s">
        <v>8425</v>
      </c>
    </row>
    <row r="6644" spans="1:4" s="45" customFormat="1" ht="13.5" x14ac:dyDescent="0.15">
      <c r="A6644" s="45" t="s">
        <v>41</v>
      </c>
      <c r="D6644" s="45" t="s">
        <v>8426</v>
      </c>
    </row>
    <row r="6645" spans="1:4" s="45" customFormat="1" ht="13.5" x14ac:dyDescent="0.15">
      <c r="A6645" s="45" t="s">
        <v>41</v>
      </c>
      <c r="D6645" s="45" t="s">
        <v>8427</v>
      </c>
    </row>
    <row r="6646" spans="1:4" s="45" customFormat="1" ht="13.5" x14ac:dyDescent="0.15">
      <c r="A6646" s="45" t="s">
        <v>41</v>
      </c>
      <c r="D6646" s="45" t="s">
        <v>8428</v>
      </c>
    </row>
    <row r="6647" spans="1:4" s="45" customFormat="1" ht="13.5" x14ac:dyDescent="0.15">
      <c r="A6647" s="45" t="s">
        <v>41</v>
      </c>
      <c r="D6647" s="45" t="s">
        <v>8429</v>
      </c>
    </row>
    <row r="6648" spans="1:4" s="45" customFormat="1" ht="13.5" x14ac:dyDescent="0.15">
      <c r="A6648" s="45" t="s">
        <v>41</v>
      </c>
      <c r="D6648" s="45" t="s">
        <v>1681</v>
      </c>
    </row>
    <row r="6649" spans="1:4" s="45" customFormat="1" ht="13.5" x14ac:dyDescent="0.15">
      <c r="A6649" s="45" t="s">
        <v>41</v>
      </c>
      <c r="D6649" s="45" t="s">
        <v>1663</v>
      </c>
    </row>
    <row r="6650" spans="1:4" s="45" customFormat="1" ht="13.5" x14ac:dyDescent="0.15">
      <c r="A6650" s="45" t="s">
        <v>41</v>
      </c>
      <c r="D6650" s="45" t="s">
        <v>8430</v>
      </c>
    </row>
    <row r="6651" spans="1:4" s="45" customFormat="1" ht="13.5" x14ac:dyDescent="0.15">
      <c r="A6651" s="45" t="s">
        <v>41</v>
      </c>
      <c r="D6651" s="45" t="s">
        <v>8431</v>
      </c>
    </row>
    <row r="6652" spans="1:4" s="45" customFormat="1" ht="13.5" x14ac:dyDescent="0.15">
      <c r="A6652" s="45" t="s">
        <v>41</v>
      </c>
      <c r="D6652" s="45" t="s">
        <v>8432</v>
      </c>
    </row>
    <row r="6653" spans="1:4" s="45" customFormat="1" ht="13.5" x14ac:dyDescent="0.15">
      <c r="A6653" s="45" t="s">
        <v>41</v>
      </c>
      <c r="D6653" s="45" t="s">
        <v>8433</v>
      </c>
    </row>
    <row r="6654" spans="1:4" s="45" customFormat="1" ht="13.5" x14ac:dyDescent="0.15">
      <c r="A6654" s="45" t="s">
        <v>41</v>
      </c>
      <c r="D6654" s="45" t="s">
        <v>8434</v>
      </c>
    </row>
    <row r="6655" spans="1:4" s="45" customFormat="1" ht="13.5" x14ac:dyDescent="0.15">
      <c r="A6655" s="45" t="s">
        <v>41</v>
      </c>
      <c r="D6655" s="45" t="s">
        <v>1672</v>
      </c>
    </row>
    <row r="6656" spans="1:4" s="45" customFormat="1" ht="13.5" x14ac:dyDescent="0.15">
      <c r="A6656" s="45" t="s">
        <v>41</v>
      </c>
      <c r="D6656" s="45" t="s">
        <v>8435</v>
      </c>
    </row>
    <row r="6657" spans="1:4" s="45" customFormat="1" ht="13.5" x14ac:dyDescent="0.15">
      <c r="A6657" s="45" t="s">
        <v>41</v>
      </c>
      <c r="D6657" s="45" t="s">
        <v>8436</v>
      </c>
    </row>
    <row r="6658" spans="1:4" s="45" customFormat="1" ht="13.5" x14ac:dyDescent="0.15">
      <c r="A6658" s="45" t="s">
        <v>41</v>
      </c>
      <c r="D6658" s="45" t="s">
        <v>8437</v>
      </c>
    </row>
    <row r="6659" spans="1:4" s="45" customFormat="1" ht="13.5" x14ac:dyDescent="0.15">
      <c r="A6659" s="45" t="s">
        <v>41</v>
      </c>
      <c r="D6659" s="45" t="s">
        <v>8438</v>
      </c>
    </row>
    <row r="6660" spans="1:4" s="45" customFormat="1" ht="13.5" x14ac:dyDescent="0.15">
      <c r="A6660" s="45" t="s">
        <v>41</v>
      </c>
      <c r="D6660" s="45" t="s">
        <v>1678</v>
      </c>
    </row>
    <row r="6661" spans="1:4" s="45" customFormat="1" ht="13.5" x14ac:dyDescent="0.15">
      <c r="A6661" s="45" t="s">
        <v>41</v>
      </c>
      <c r="D6661" s="45" t="s">
        <v>8439</v>
      </c>
    </row>
    <row r="6662" spans="1:4" s="45" customFormat="1" ht="13.5" x14ac:dyDescent="0.15">
      <c r="A6662" s="45" t="s">
        <v>41</v>
      </c>
      <c r="D6662" s="45" t="s">
        <v>8440</v>
      </c>
    </row>
    <row r="6663" spans="1:4" s="45" customFormat="1" ht="13.5" x14ac:dyDescent="0.15">
      <c r="A6663" s="45" t="s">
        <v>41</v>
      </c>
      <c r="D6663" s="45" t="s">
        <v>8441</v>
      </c>
    </row>
    <row r="6664" spans="1:4" s="45" customFormat="1" ht="13.5" x14ac:dyDescent="0.15">
      <c r="A6664" s="45" t="s">
        <v>41</v>
      </c>
      <c r="D6664" s="45" t="s">
        <v>8442</v>
      </c>
    </row>
    <row r="6665" spans="1:4" s="45" customFormat="1" ht="13.5" x14ac:dyDescent="0.15">
      <c r="A6665" s="45" t="s">
        <v>41</v>
      </c>
      <c r="D6665" s="45" t="s">
        <v>1661</v>
      </c>
    </row>
    <row r="6666" spans="1:4" s="45" customFormat="1" ht="13.5" x14ac:dyDescent="0.15">
      <c r="A6666" s="45" t="s">
        <v>41</v>
      </c>
      <c r="D6666" s="45" t="s">
        <v>1660</v>
      </c>
    </row>
    <row r="6667" spans="1:4" s="45" customFormat="1" ht="13.5" x14ac:dyDescent="0.15">
      <c r="A6667" s="45" t="s">
        <v>41</v>
      </c>
      <c r="D6667" s="45" t="s">
        <v>1669</v>
      </c>
    </row>
    <row r="6668" spans="1:4" s="45" customFormat="1" ht="13.5" x14ac:dyDescent="0.15">
      <c r="A6668" s="45" t="s">
        <v>41</v>
      </c>
      <c r="D6668" s="45" t="s">
        <v>8443</v>
      </c>
    </row>
    <row r="6669" spans="1:4" s="45" customFormat="1" ht="13.5" x14ac:dyDescent="0.15">
      <c r="A6669" s="45" t="s">
        <v>41</v>
      </c>
      <c r="D6669" s="45" t="s">
        <v>8444</v>
      </c>
    </row>
    <row r="6670" spans="1:4" s="45" customFormat="1" ht="13.5" x14ac:dyDescent="0.15">
      <c r="A6670" s="45" t="s">
        <v>41</v>
      </c>
      <c r="D6670" s="45" t="s">
        <v>8445</v>
      </c>
    </row>
    <row r="6671" spans="1:4" s="45" customFormat="1" ht="13.5" x14ac:dyDescent="0.15">
      <c r="A6671" s="45" t="s">
        <v>41</v>
      </c>
      <c r="D6671" s="45" t="s">
        <v>8446</v>
      </c>
    </row>
    <row r="6672" spans="1:4" s="45" customFormat="1" ht="13.5" x14ac:dyDescent="0.15">
      <c r="A6672" s="45" t="s">
        <v>41</v>
      </c>
      <c r="D6672" s="45" t="s">
        <v>8447</v>
      </c>
    </row>
    <row r="6673" spans="1:4" s="45" customFormat="1" ht="13.5" x14ac:dyDescent="0.15">
      <c r="A6673" s="45" t="s">
        <v>41</v>
      </c>
      <c r="D6673" s="45" t="s">
        <v>8448</v>
      </c>
    </row>
    <row r="6674" spans="1:4" s="45" customFormat="1" ht="13.5" x14ac:dyDescent="0.15">
      <c r="A6674" s="45" t="s">
        <v>41</v>
      </c>
      <c r="D6674" s="45" t="s">
        <v>8449</v>
      </c>
    </row>
    <row r="6675" spans="1:4" s="45" customFormat="1" ht="13.5" x14ac:dyDescent="0.15">
      <c r="A6675" s="45" t="s">
        <v>41</v>
      </c>
      <c r="D6675" s="45" t="s">
        <v>8450</v>
      </c>
    </row>
    <row r="6676" spans="1:4" s="45" customFormat="1" ht="13.5" x14ac:dyDescent="0.15">
      <c r="A6676" s="45" t="s">
        <v>41</v>
      </c>
      <c r="D6676" s="45" t="s">
        <v>8451</v>
      </c>
    </row>
    <row r="6677" spans="1:4" s="45" customFormat="1" ht="13.5" x14ac:dyDescent="0.15">
      <c r="A6677" s="45" t="s">
        <v>41</v>
      </c>
      <c r="D6677" s="45" t="s">
        <v>8452</v>
      </c>
    </row>
    <row r="6678" spans="1:4" s="45" customFormat="1" ht="13.5" x14ac:dyDescent="0.15">
      <c r="A6678" s="45" t="s">
        <v>41</v>
      </c>
      <c r="D6678" s="45" t="s">
        <v>8453</v>
      </c>
    </row>
    <row r="6679" spans="1:4" s="45" customFormat="1" ht="13.5" x14ac:dyDescent="0.15">
      <c r="A6679" s="45" t="s">
        <v>41</v>
      </c>
      <c r="D6679" s="45" t="s">
        <v>1679</v>
      </c>
    </row>
    <row r="6680" spans="1:4" s="45" customFormat="1" ht="13.5" x14ac:dyDescent="0.15">
      <c r="A6680" s="45" t="s">
        <v>41</v>
      </c>
      <c r="D6680" s="45" t="s">
        <v>8454</v>
      </c>
    </row>
    <row r="6681" spans="1:4" s="45" customFormat="1" ht="13.5" x14ac:dyDescent="0.15">
      <c r="A6681" s="45" t="s">
        <v>41</v>
      </c>
      <c r="D6681" s="45" t="s">
        <v>8455</v>
      </c>
    </row>
    <row r="6682" spans="1:4" s="45" customFormat="1" ht="13.5" x14ac:dyDescent="0.15">
      <c r="A6682" s="45" t="s">
        <v>41</v>
      </c>
      <c r="D6682" s="45" t="s">
        <v>8456</v>
      </c>
    </row>
    <row r="6683" spans="1:4" s="45" customFormat="1" ht="13.5" x14ac:dyDescent="0.15">
      <c r="A6683" s="45" t="s">
        <v>41</v>
      </c>
      <c r="D6683" s="45" t="s">
        <v>8457</v>
      </c>
    </row>
    <row r="6684" spans="1:4" s="45" customFormat="1" ht="13.5" x14ac:dyDescent="0.15">
      <c r="A6684" s="45" t="s">
        <v>41</v>
      </c>
      <c r="D6684" s="45" t="s">
        <v>8458</v>
      </c>
    </row>
    <row r="6685" spans="1:4" s="45" customFormat="1" ht="13.5" x14ac:dyDescent="0.15">
      <c r="A6685" s="45" t="s">
        <v>41</v>
      </c>
      <c r="D6685" s="45" t="s">
        <v>8459</v>
      </c>
    </row>
    <row r="6686" spans="1:4" s="45" customFormat="1" ht="13.5" x14ac:dyDescent="0.15">
      <c r="A6686" s="45" t="s">
        <v>41</v>
      </c>
      <c r="D6686" s="45" t="s">
        <v>1674</v>
      </c>
    </row>
    <row r="6687" spans="1:4" s="45" customFormat="1" ht="13.5" x14ac:dyDescent="0.15">
      <c r="A6687" s="45" t="s">
        <v>41</v>
      </c>
      <c r="D6687" s="45" t="s">
        <v>8460</v>
      </c>
    </row>
    <row r="6688" spans="1:4" s="45" customFormat="1" ht="13.5" x14ac:dyDescent="0.15">
      <c r="A6688" s="45" t="s">
        <v>41</v>
      </c>
      <c r="D6688" s="45" t="s">
        <v>1664</v>
      </c>
    </row>
    <row r="6689" spans="1:4" s="45" customFormat="1" ht="13.5" x14ac:dyDescent="0.15">
      <c r="A6689" s="45" t="s">
        <v>41</v>
      </c>
      <c r="D6689" s="45" t="s">
        <v>1665</v>
      </c>
    </row>
    <row r="6690" spans="1:4" s="45" customFormat="1" ht="13.5" x14ac:dyDescent="0.15">
      <c r="A6690" s="45" t="s">
        <v>41</v>
      </c>
      <c r="D6690" s="45" t="s">
        <v>1683</v>
      </c>
    </row>
    <row r="6691" spans="1:4" s="45" customFormat="1" ht="13.5" x14ac:dyDescent="0.15">
      <c r="A6691" s="45" t="s">
        <v>41</v>
      </c>
      <c r="D6691" s="45" t="s">
        <v>8461</v>
      </c>
    </row>
    <row r="6692" spans="1:4" s="45" customFormat="1" ht="13.5" x14ac:dyDescent="0.15">
      <c r="A6692" s="45" t="s">
        <v>41</v>
      </c>
      <c r="D6692" s="45" t="s">
        <v>8462</v>
      </c>
    </row>
    <row r="6693" spans="1:4" s="45" customFormat="1" ht="13.5" x14ac:dyDescent="0.15">
      <c r="A6693" s="45" t="s">
        <v>41</v>
      </c>
      <c r="D6693" s="45" t="s">
        <v>8463</v>
      </c>
    </row>
    <row r="6694" spans="1:4" s="45" customFormat="1" ht="13.5" x14ac:dyDescent="0.15">
      <c r="A6694" s="45" t="s">
        <v>41</v>
      </c>
      <c r="D6694" s="45" t="s">
        <v>8464</v>
      </c>
    </row>
    <row r="6695" spans="1:4" s="45" customFormat="1" ht="13.5" x14ac:dyDescent="0.15">
      <c r="A6695" s="45" t="s">
        <v>41</v>
      </c>
      <c r="D6695" s="45" t="s">
        <v>8465</v>
      </c>
    </row>
    <row r="6696" spans="1:4" s="45" customFormat="1" ht="13.5" x14ac:dyDescent="0.15">
      <c r="A6696" s="45" t="s">
        <v>41</v>
      </c>
      <c r="D6696" s="45" t="s">
        <v>1852</v>
      </c>
    </row>
    <row r="6697" spans="1:4" s="45" customFormat="1" ht="13.5" x14ac:dyDescent="0.15">
      <c r="A6697" s="45" t="s">
        <v>41</v>
      </c>
      <c r="D6697" s="45" t="s">
        <v>8466</v>
      </c>
    </row>
    <row r="6698" spans="1:4" s="45" customFormat="1" ht="13.5" x14ac:dyDescent="0.15">
      <c r="A6698" s="45" t="s">
        <v>41</v>
      </c>
      <c r="D6698" s="45" t="s">
        <v>8467</v>
      </c>
    </row>
    <row r="6699" spans="1:4" s="45" customFormat="1" ht="13.5" x14ac:dyDescent="0.15">
      <c r="A6699" s="45" t="s">
        <v>41</v>
      </c>
      <c r="D6699" s="45" t="s">
        <v>8468</v>
      </c>
    </row>
    <row r="6700" spans="1:4" s="45" customFormat="1" ht="13.5" x14ac:dyDescent="0.15">
      <c r="A6700" s="45" t="s">
        <v>41</v>
      </c>
      <c r="D6700" s="45" t="s">
        <v>8469</v>
      </c>
    </row>
    <row r="6701" spans="1:4" s="45" customFormat="1" ht="13.5" x14ac:dyDescent="0.15">
      <c r="A6701" s="45" t="s">
        <v>41</v>
      </c>
      <c r="D6701" s="45" t="s">
        <v>8470</v>
      </c>
    </row>
    <row r="6702" spans="1:4" s="45" customFormat="1" ht="13.5" x14ac:dyDescent="0.15">
      <c r="A6702" s="45" t="s">
        <v>41</v>
      </c>
      <c r="D6702" s="45" t="s">
        <v>8471</v>
      </c>
    </row>
    <row r="6703" spans="1:4" s="45" customFormat="1" ht="13.5" x14ac:dyDescent="0.15">
      <c r="A6703" s="45" t="s">
        <v>41</v>
      </c>
      <c r="D6703" s="45" t="s">
        <v>8472</v>
      </c>
    </row>
    <row r="6704" spans="1:4" s="45" customFormat="1" ht="13.5" x14ac:dyDescent="0.15">
      <c r="A6704" s="45" t="s">
        <v>41</v>
      </c>
      <c r="D6704" s="45" t="s">
        <v>8473</v>
      </c>
    </row>
    <row r="6705" spans="1:4" s="45" customFormat="1" ht="13.5" x14ac:dyDescent="0.15">
      <c r="A6705" s="45" t="s">
        <v>41</v>
      </c>
      <c r="D6705" s="45" t="s">
        <v>8474</v>
      </c>
    </row>
    <row r="6706" spans="1:4" s="45" customFormat="1" ht="13.5" x14ac:dyDescent="0.15">
      <c r="A6706" s="45" t="s">
        <v>41</v>
      </c>
      <c r="D6706" s="45" t="s">
        <v>8475</v>
      </c>
    </row>
    <row r="6707" spans="1:4" s="45" customFormat="1" ht="13.5" x14ac:dyDescent="0.15">
      <c r="A6707" s="45" t="s">
        <v>41</v>
      </c>
      <c r="D6707" s="45" t="s">
        <v>1830</v>
      </c>
    </row>
    <row r="6708" spans="1:4" s="45" customFormat="1" ht="13.5" x14ac:dyDescent="0.15">
      <c r="A6708" s="45" t="s">
        <v>41</v>
      </c>
      <c r="D6708" s="45" t="s">
        <v>1829</v>
      </c>
    </row>
    <row r="6709" spans="1:4" s="45" customFormat="1" ht="13.5" x14ac:dyDescent="0.15">
      <c r="A6709" s="45" t="s">
        <v>41</v>
      </c>
      <c r="D6709" s="45" t="s">
        <v>8476</v>
      </c>
    </row>
    <row r="6710" spans="1:4" s="45" customFormat="1" ht="13.5" x14ac:dyDescent="0.15">
      <c r="A6710" s="45" t="s">
        <v>41</v>
      </c>
      <c r="D6710" s="45" t="s">
        <v>802</v>
      </c>
    </row>
    <row r="6711" spans="1:4" s="45" customFormat="1" ht="13.5" x14ac:dyDescent="0.15">
      <c r="A6711" s="45" t="s">
        <v>41</v>
      </c>
      <c r="D6711" s="45" t="s">
        <v>801</v>
      </c>
    </row>
    <row r="6712" spans="1:4" s="45" customFormat="1" ht="13.5" x14ac:dyDescent="0.15">
      <c r="A6712" s="45" t="s">
        <v>41</v>
      </c>
      <c r="D6712" s="45" t="s">
        <v>8477</v>
      </c>
    </row>
    <row r="6713" spans="1:4" s="45" customFormat="1" ht="13.5" x14ac:dyDescent="0.15">
      <c r="A6713" s="45" t="s">
        <v>41</v>
      </c>
      <c r="D6713" s="45" t="s">
        <v>8478</v>
      </c>
    </row>
    <row r="6714" spans="1:4" s="45" customFormat="1" ht="13.5" x14ac:dyDescent="0.15">
      <c r="A6714" s="45" t="s">
        <v>41</v>
      </c>
      <c r="D6714" s="45" t="s">
        <v>8479</v>
      </c>
    </row>
    <row r="6715" spans="1:4" s="45" customFormat="1" ht="13.5" x14ac:dyDescent="0.15">
      <c r="A6715" s="45" t="s">
        <v>41</v>
      </c>
      <c r="D6715" s="45" t="s">
        <v>8480</v>
      </c>
    </row>
    <row r="6716" spans="1:4" s="45" customFormat="1" ht="13.5" x14ac:dyDescent="0.15">
      <c r="A6716" s="45" t="s">
        <v>41</v>
      </c>
      <c r="D6716" s="45" t="s">
        <v>8481</v>
      </c>
    </row>
    <row r="6717" spans="1:4" s="45" customFormat="1" ht="13.5" x14ac:dyDescent="0.15">
      <c r="A6717" s="45" t="s">
        <v>41</v>
      </c>
      <c r="D6717" s="45" t="s">
        <v>8482</v>
      </c>
    </row>
    <row r="6718" spans="1:4" s="45" customFormat="1" ht="13.5" x14ac:dyDescent="0.15">
      <c r="A6718" s="45" t="s">
        <v>41</v>
      </c>
      <c r="D6718" s="45" t="s">
        <v>8483</v>
      </c>
    </row>
    <row r="6719" spans="1:4" s="45" customFormat="1" ht="13.5" x14ac:dyDescent="0.15">
      <c r="A6719" s="45" t="s">
        <v>41</v>
      </c>
      <c r="D6719" s="45" t="s">
        <v>8484</v>
      </c>
    </row>
    <row r="6720" spans="1:4" s="45" customFormat="1" ht="13.5" x14ac:dyDescent="0.15">
      <c r="A6720" s="45" t="s">
        <v>41</v>
      </c>
      <c r="D6720" s="45" t="s">
        <v>8485</v>
      </c>
    </row>
    <row r="6721" spans="1:4" s="45" customFormat="1" ht="13.5" x14ac:dyDescent="0.15">
      <c r="A6721" s="45" t="s">
        <v>41</v>
      </c>
      <c r="D6721" s="45" t="s">
        <v>8486</v>
      </c>
    </row>
    <row r="6722" spans="1:4" s="45" customFormat="1" ht="13.5" x14ac:dyDescent="0.15">
      <c r="A6722" s="45" t="s">
        <v>41</v>
      </c>
      <c r="D6722" s="45" t="s">
        <v>8487</v>
      </c>
    </row>
    <row r="6723" spans="1:4" s="45" customFormat="1" ht="13.5" x14ac:dyDescent="0.15">
      <c r="A6723" s="45" t="s">
        <v>41</v>
      </c>
      <c r="D6723" s="45" t="s">
        <v>8488</v>
      </c>
    </row>
    <row r="6724" spans="1:4" s="45" customFormat="1" ht="13.5" x14ac:dyDescent="0.15">
      <c r="A6724" s="45" t="s">
        <v>41</v>
      </c>
      <c r="D6724" s="45" t="s">
        <v>8489</v>
      </c>
    </row>
    <row r="6725" spans="1:4" s="45" customFormat="1" ht="13.5" x14ac:dyDescent="0.15">
      <c r="A6725" s="45" t="s">
        <v>41</v>
      </c>
      <c r="D6725" s="45" t="s">
        <v>256</v>
      </c>
    </row>
    <row r="6726" spans="1:4" s="45" customFormat="1" ht="13.5" x14ac:dyDescent="0.15">
      <c r="A6726" s="45" t="s">
        <v>41</v>
      </c>
      <c r="D6726" s="45" t="s">
        <v>8490</v>
      </c>
    </row>
    <row r="6727" spans="1:4" s="45" customFormat="1" ht="13.5" x14ac:dyDescent="0.15">
      <c r="A6727" s="45" t="s">
        <v>41</v>
      </c>
      <c r="D6727" s="45" t="s">
        <v>8491</v>
      </c>
    </row>
    <row r="6728" spans="1:4" s="45" customFormat="1" ht="13.5" x14ac:dyDescent="0.15">
      <c r="A6728" s="45" t="s">
        <v>41</v>
      </c>
      <c r="D6728" s="45" t="s">
        <v>8492</v>
      </c>
    </row>
    <row r="6729" spans="1:4" s="45" customFormat="1" ht="13.5" x14ac:dyDescent="0.15">
      <c r="A6729" s="45" t="s">
        <v>41</v>
      </c>
      <c r="D6729" s="45" t="s">
        <v>8493</v>
      </c>
    </row>
    <row r="6730" spans="1:4" s="45" customFormat="1" ht="13.5" x14ac:dyDescent="0.15">
      <c r="A6730" s="45" t="s">
        <v>41</v>
      </c>
      <c r="D6730" s="45" t="s">
        <v>8494</v>
      </c>
    </row>
    <row r="6731" spans="1:4" s="45" customFormat="1" ht="13.5" x14ac:dyDescent="0.15">
      <c r="A6731" s="45" t="s">
        <v>41</v>
      </c>
      <c r="D6731" s="45" t="s">
        <v>879</v>
      </c>
    </row>
    <row r="6732" spans="1:4" s="45" customFormat="1" ht="13.5" x14ac:dyDescent="0.15">
      <c r="A6732" s="45" t="s">
        <v>41</v>
      </c>
      <c r="D6732" s="45" t="s">
        <v>8495</v>
      </c>
    </row>
    <row r="6733" spans="1:4" s="45" customFormat="1" ht="13.5" x14ac:dyDescent="0.15">
      <c r="A6733" s="45" t="s">
        <v>41</v>
      </c>
      <c r="D6733" s="45" t="s">
        <v>8496</v>
      </c>
    </row>
    <row r="6734" spans="1:4" s="45" customFormat="1" ht="13.5" x14ac:dyDescent="0.15">
      <c r="A6734" s="45" t="s">
        <v>41</v>
      </c>
      <c r="D6734" s="45" t="s">
        <v>1644</v>
      </c>
    </row>
    <row r="6735" spans="1:4" s="45" customFormat="1" ht="13.5" x14ac:dyDescent="0.15">
      <c r="A6735" s="45" t="s">
        <v>41</v>
      </c>
      <c r="D6735" s="45" t="s">
        <v>8497</v>
      </c>
    </row>
    <row r="6736" spans="1:4" s="45" customFormat="1" ht="13.5" x14ac:dyDescent="0.15">
      <c r="A6736" s="45" t="s">
        <v>41</v>
      </c>
      <c r="D6736" s="45" t="s">
        <v>1643</v>
      </c>
    </row>
    <row r="6737" spans="1:4" s="45" customFormat="1" ht="13.5" x14ac:dyDescent="0.15">
      <c r="A6737" s="45" t="s">
        <v>41</v>
      </c>
      <c r="D6737" s="45" t="s">
        <v>1645</v>
      </c>
    </row>
    <row r="6738" spans="1:4" s="45" customFormat="1" ht="13.5" x14ac:dyDescent="0.15">
      <c r="A6738" s="45" t="s">
        <v>41</v>
      </c>
      <c r="D6738" s="45" t="s">
        <v>2526</v>
      </c>
    </row>
    <row r="6739" spans="1:4" s="45" customFormat="1" ht="13.5" x14ac:dyDescent="0.15">
      <c r="A6739" s="45" t="s">
        <v>41</v>
      </c>
      <c r="D6739" s="45" t="s">
        <v>482</v>
      </c>
    </row>
    <row r="6740" spans="1:4" s="45" customFormat="1" ht="13.5" x14ac:dyDescent="0.15">
      <c r="A6740" s="45" t="s">
        <v>41</v>
      </c>
      <c r="D6740" s="45" t="s">
        <v>8498</v>
      </c>
    </row>
    <row r="6741" spans="1:4" s="45" customFormat="1" ht="13.5" x14ac:dyDescent="0.15">
      <c r="A6741" s="45" t="s">
        <v>41</v>
      </c>
      <c r="D6741" s="45" t="s">
        <v>8499</v>
      </c>
    </row>
    <row r="6742" spans="1:4" s="45" customFormat="1" ht="13.5" x14ac:dyDescent="0.15">
      <c r="A6742" s="45" t="s">
        <v>41</v>
      </c>
      <c r="D6742" s="45" t="s">
        <v>8500</v>
      </c>
    </row>
    <row r="6743" spans="1:4" s="45" customFormat="1" ht="13.5" x14ac:dyDescent="0.15">
      <c r="A6743" s="45" t="s">
        <v>41</v>
      </c>
      <c r="D6743" s="45" t="s">
        <v>8501</v>
      </c>
    </row>
    <row r="6744" spans="1:4" s="45" customFormat="1" ht="13.5" x14ac:dyDescent="0.15">
      <c r="A6744" s="45" t="s">
        <v>41</v>
      </c>
      <c r="D6744" s="45" t="s">
        <v>856</v>
      </c>
    </row>
    <row r="6745" spans="1:4" s="45" customFormat="1" ht="13.5" x14ac:dyDescent="0.15">
      <c r="A6745" s="45" t="s">
        <v>41</v>
      </c>
      <c r="D6745" s="45" t="s">
        <v>8502</v>
      </c>
    </row>
    <row r="6746" spans="1:4" s="45" customFormat="1" ht="13.5" x14ac:dyDescent="0.15">
      <c r="A6746" s="45" t="s">
        <v>41</v>
      </c>
      <c r="D6746" s="45" t="s">
        <v>8503</v>
      </c>
    </row>
    <row r="6747" spans="1:4" s="45" customFormat="1" ht="13.5" x14ac:dyDescent="0.15">
      <c r="A6747" s="45" t="s">
        <v>41</v>
      </c>
      <c r="D6747" s="45" t="s">
        <v>8504</v>
      </c>
    </row>
    <row r="6748" spans="1:4" s="45" customFormat="1" ht="13.5" x14ac:dyDescent="0.15">
      <c r="A6748" s="45" t="s">
        <v>41</v>
      </c>
      <c r="D6748" s="45" t="s">
        <v>8505</v>
      </c>
    </row>
    <row r="6749" spans="1:4" s="45" customFormat="1" ht="13.5" x14ac:dyDescent="0.15">
      <c r="A6749" s="45" t="s">
        <v>41</v>
      </c>
      <c r="D6749" s="45" t="s">
        <v>8506</v>
      </c>
    </row>
    <row r="6750" spans="1:4" s="45" customFormat="1" ht="13.5" x14ac:dyDescent="0.15">
      <c r="A6750" s="45" t="s">
        <v>41</v>
      </c>
      <c r="D6750" s="45" t="s">
        <v>8507</v>
      </c>
    </row>
    <row r="6751" spans="1:4" s="45" customFormat="1" ht="13.5" x14ac:dyDescent="0.15">
      <c r="A6751" s="45" t="s">
        <v>41</v>
      </c>
      <c r="D6751" s="45" t="s">
        <v>8508</v>
      </c>
    </row>
    <row r="6752" spans="1:4" s="45" customFormat="1" ht="13.5" x14ac:dyDescent="0.15">
      <c r="A6752" s="45" t="s">
        <v>41</v>
      </c>
      <c r="D6752" s="45" t="s">
        <v>8509</v>
      </c>
    </row>
    <row r="6753" spans="1:4" s="45" customFormat="1" ht="13.5" x14ac:dyDescent="0.15">
      <c r="A6753" s="45" t="s">
        <v>41</v>
      </c>
      <c r="D6753" s="45" t="s">
        <v>8510</v>
      </c>
    </row>
    <row r="6754" spans="1:4" s="45" customFormat="1" ht="13.5" x14ac:dyDescent="0.15">
      <c r="A6754" s="45" t="s">
        <v>41</v>
      </c>
      <c r="D6754" s="45" t="s">
        <v>8511</v>
      </c>
    </row>
    <row r="6755" spans="1:4" s="45" customFormat="1" ht="13.5" x14ac:dyDescent="0.15">
      <c r="A6755" s="45" t="s">
        <v>41</v>
      </c>
      <c r="D6755" s="45" t="s">
        <v>1530</v>
      </c>
    </row>
    <row r="6756" spans="1:4" s="45" customFormat="1" ht="13.5" x14ac:dyDescent="0.15">
      <c r="A6756" s="45" t="s">
        <v>41</v>
      </c>
      <c r="D6756" s="45" t="s">
        <v>1533</v>
      </c>
    </row>
    <row r="6757" spans="1:4" s="45" customFormat="1" ht="13.5" x14ac:dyDescent="0.15">
      <c r="A6757" s="45" t="s">
        <v>41</v>
      </c>
      <c r="D6757" s="45" t="s">
        <v>1532</v>
      </c>
    </row>
    <row r="6758" spans="1:4" s="45" customFormat="1" ht="13.5" x14ac:dyDescent="0.15">
      <c r="A6758" s="45" t="s">
        <v>41</v>
      </c>
      <c r="D6758" s="45" t="s">
        <v>1531</v>
      </c>
    </row>
    <row r="6759" spans="1:4" s="45" customFormat="1" ht="13.5" x14ac:dyDescent="0.15">
      <c r="A6759" s="45" t="s">
        <v>41</v>
      </c>
      <c r="D6759" s="45" t="s">
        <v>8512</v>
      </c>
    </row>
    <row r="6760" spans="1:4" s="45" customFormat="1" ht="13.5" x14ac:dyDescent="0.15">
      <c r="A6760" s="45" t="s">
        <v>41</v>
      </c>
      <c r="D6760" s="45" t="s">
        <v>1529</v>
      </c>
    </row>
    <row r="6761" spans="1:4" s="45" customFormat="1" ht="13.5" x14ac:dyDescent="0.15">
      <c r="A6761" s="45" t="s">
        <v>41</v>
      </c>
      <c r="D6761" s="45" t="s">
        <v>8513</v>
      </c>
    </row>
    <row r="6762" spans="1:4" s="45" customFormat="1" ht="13.5" x14ac:dyDescent="0.15">
      <c r="A6762" s="45" t="s">
        <v>41</v>
      </c>
      <c r="D6762" s="45" t="s">
        <v>1535</v>
      </c>
    </row>
    <row r="6763" spans="1:4" s="45" customFormat="1" ht="13.5" x14ac:dyDescent="0.15">
      <c r="A6763" s="45" t="s">
        <v>41</v>
      </c>
      <c r="D6763" s="45" t="s">
        <v>8514</v>
      </c>
    </row>
    <row r="6764" spans="1:4" s="45" customFormat="1" ht="13.5" x14ac:dyDescent="0.15">
      <c r="A6764" s="45" t="s">
        <v>41</v>
      </c>
      <c r="D6764" s="45" t="s">
        <v>8515</v>
      </c>
    </row>
    <row r="6765" spans="1:4" s="45" customFormat="1" ht="13.5" x14ac:dyDescent="0.15">
      <c r="A6765" s="45" t="s">
        <v>41</v>
      </c>
      <c r="D6765" s="45" t="s">
        <v>8516</v>
      </c>
    </row>
    <row r="6766" spans="1:4" s="45" customFormat="1" ht="13.5" x14ac:dyDescent="0.15">
      <c r="A6766" s="45" t="s">
        <v>41</v>
      </c>
      <c r="D6766" s="45" t="s">
        <v>1534</v>
      </c>
    </row>
    <row r="6767" spans="1:4" s="45" customFormat="1" ht="13.5" x14ac:dyDescent="0.15">
      <c r="A6767" s="45" t="s">
        <v>41</v>
      </c>
      <c r="D6767" s="45" t="s">
        <v>1552</v>
      </c>
    </row>
    <row r="6768" spans="1:4" s="45" customFormat="1" ht="13.5" x14ac:dyDescent="0.15">
      <c r="A6768" s="45" t="s">
        <v>41</v>
      </c>
      <c r="D6768" s="45" t="s">
        <v>1556</v>
      </c>
    </row>
    <row r="6769" spans="1:4" s="45" customFormat="1" ht="13.5" x14ac:dyDescent="0.15">
      <c r="A6769" s="45" t="s">
        <v>41</v>
      </c>
      <c r="D6769" s="45" t="s">
        <v>1555</v>
      </c>
    </row>
    <row r="6770" spans="1:4" s="45" customFormat="1" ht="13.5" x14ac:dyDescent="0.15">
      <c r="A6770" s="45" t="s">
        <v>41</v>
      </c>
      <c r="D6770" s="45" t="s">
        <v>1554</v>
      </c>
    </row>
    <row r="6771" spans="1:4" s="45" customFormat="1" ht="13.5" x14ac:dyDescent="0.15">
      <c r="A6771" s="45" t="s">
        <v>41</v>
      </c>
      <c r="D6771" s="45" t="s">
        <v>1553</v>
      </c>
    </row>
    <row r="6772" spans="1:4" s="45" customFormat="1" ht="13.5" x14ac:dyDescent="0.15">
      <c r="A6772" s="45" t="s">
        <v>41</v>
      </c>
      <c r="D6772" s="45" t="s">
        <v>8517</v>
      </c>
    </row>
    <row r="6773" spans="1:4" s="45" customFormat="1" ht="13.5" x14ac:dyDescent="0.15">
      <c r="A6773" s="45" t="s">
        <v>41</v>
      </c>
      <c r="D6773" s="45" t="s">
        <v>1704</v>
      </c>
    </row>
    <row r="6774" spans="1:4" s="45" customFormat="1" ht="13.5" x14ac:dyDescent="0.15">
      <c r="A6774" s="45" t="s">
        <v>41</v>
      </c>
      <c r="D6774" s="45" t="s">
        <v>8518</v>
      </c>
    </row>
    <row r="6775" spans="1:4" s="45" customFormat="1" ht="13.5" x14ac:dyDescent="0.15">
      <c r="A6775" s="45" t="s">
        <v>41</v>
      </c>
      <c r="D6775" s="45" t="s">
        <v>8519</v>
      </c>
    </row>
    <row r="6776" spans="1:4" s="45" customFormat="1" ht="13.5" x14ac:dyDescent="0.15">
      <c r="A6776" s="45" t="s">
        <v>41</v>
      </c>
      <c r="D6776" s="45" t="s">
        <v>8520</v>
      </c>
    </row>
    <row r="6777" spans="1:4" s="45" customFormat="1" ht="13.5" x14ac:dyDescent="0.15">
      <c r="A6777" s="45" t="s">
        <v>41</v>
      </c>
      <c r="D6777" s="45" t="s">
        <v>8521</v>
      </c>
    </row>
    <row r="6778" spans="1:4" s="45" customFormat="1" ht="13.5" x14ac:dyDescent="0.15">
      <c r="A6778" s="45" t="s">
        <v>41</v>
      </c>
      <c r="D6778" s="45" t="s">
        <v>8522</v>
      </c>
    </row>
    <row r="6779" spans="1:4" s="45" customFormat="1" ht="13.5" x14ac:dyDescent="0.15">
      <c r="A6779" s="45" t="s">
        <v>41</v>
      </c>
      <c r="D6779" s="45" t="s">
        <v>8523</v>
      </c>
    </row>
    <row r="6780" spans="1:4" s="45" customFormat="1" ht="13.5" x14ac:dyDescent="0.15">
      <c r="A6780" s="45" t="s">
        <v>41</v>
      </c>
      <c r="D6780" s="45" t="s">
        <v>1186</v>
      </c>
    </row>
    <row r="6781" spans="1:4" s="45" customFormat="1" ht="13.5" x14ac:dyDescent="0.15">
      <c r="A6781" s="45" t="s">
        <v>41</v>
      </c>
      <c r="D6781" s="45" t="s">
        <v>8524</v>
      </c>
    </row>
    <row r="6782" spans="1:4" s="45" customFormat="1" ht="13.5" x14ac:dyDescent="0.15">
      <c r="A6782" s="45" t="s">
        <v>41</v>
      </c>
      <c r="D6782" s="45" t="s">
        <v>8525</v>
      </c>
    </row>
    <row r="6783" spans="1:4" s="45" customFormat="1" ht="13.5" x14ac:dyDescent="0.15">
      <c r="A6783" s="45" t="s">
        <v>41</v>
      </c>
      <c r="D6783" s="45" t="s">
        <v>8526</v>
      </c>
    </row>
    <row r="6784" spans="1:4" s="45" customFormat="1" ht="13.5" x14ac:dyDescent="0.15">
      <c r="A6784" s="45" t="s">
        <v>41</v>
      </c>
      <c r="D6784" s="45" t="s">
        <v>1187</v>
      </c>
    </row>
    <row r="6785" spans="1:4" s="45" customFormat="1" ht="13.5" x14ac:dyDescent="0.15">
      <c r="A6785" s="45" t="s">
        <v>41</v>
      </c>
      <c r="D6785" s="45" t="s">
        <v>8527</v>
      </c>
    </row>
    <row r="6786" spans="1:4" s="45" customFormat="1" ht="13.5" x14ac:dyDescent="0.15">
      <c r="A6786" s="45" t="s">
        <v>41</v>
      </c>
      <c r="D6786" s="45" t="s">
        <v>8528</v>
      </c>
    </row>
    <row r="6787" spans="1:4" s="45" customFormat="1" ht="13.5" x14ac:dyDescent="0.15">
      <c r="A6787" s="45" t="s">
        <v>41</v>
      </c>
      <c r="D6787" s="45" t="s">
        <v>2339</v>
      </c>
    </row>
    <row r="6788" spans="1:4" s="45" customFormat="1" ht="13.5" x14ac:dyDescent="0.15">
      <c r="A6788" s="45" t="s">
        <v>41</v>
      </c>
      <c r="D6788" s="45" t="s">
        <v>8529</v>
      </c>
    </row>
    <row r="6789" spans="1:4" s="45" customFormat="1" ht="13.5" x14ac:dyDescent="0.15">
      <c r="A6789" s="45" t="s">
        <v>41</v>
      </c>
      <c r="D6789" s="45" t="s">
        <v>8530</v>
      </c>
    </row>
    <row r="6790" spans="1:4" s="45" customFormat="1" ht="13.5" x14ac:dyDescent="0.15">
      <c r="A6790" s="45" t="s">
        <v>41</v>
      </c>
      <c r="D6790" s="45" t="s">
        <v>8531</v>
      </c>
    </row>
    <row r="6791" spans="1:4" s="45" customFormat="1" ht="13.5" x14ac:dyDescent="0.15">
      <c r="A6791" s="45" t="s">
        <v>41</v>
      </c>
      <c r="D6791" s="45" t="s">
        <v>8532</v>
      </c>
    </row>
    <row r="6792" spans="1:4" s="45" customFormat="1" ht="13.5" x14ac:dyDescent="0.15">
      <c r="A6792" s="45" t="s">
        <v>41</v>
      </c>
      <c r="D6792" s="45" t="s">
        <v>302</v>
      </c>
    </row>
    <row r="6793" spans="1:4" s="45" customFormat="1" ht="13.5" x14ac:dyDescent="0.15">
      <c r="A6793" s="45" t="s">
        <v>41</v>
      </c>
      <c r="D6793" s="45" t="s">
        <v>303</v>
      </c>
    </row>
    <row r="6794" spans="1:4" s="45" customFormat="1" ht="13.5" x14ac:dyDescent="0.15">
      <c r="A6794" s="45" t="s">
        <v>41</v>
      </c>
      <c r="D6794" s="45" t="s">
        <v>8533</v>
      </c>
    </row>
    <row r="6795" spans="1:4" s="45" customFormat="1" ht="13.5" x14ac:dyDescent="0.15">
      <c r="A6795" s="45" t="s">
        <v>41</v>
      </c>
      <c r="D6795" s="45" t="s">
        <v>8534</v>
      </c>
    </row>
    <row r="6796" spans="1:4" s="45" customFormat="1" ht="13.5" x14ac:dyDescent="0.15">
      <c r="A6796" s="45" t="s">
        <v>41</v>
      </c>
      <c r="D6796" s="45" t="s">
        <v>8535</v>
      </c>
    </row>
    <row r="6797" spans="1:4" s="45" customFormat="1" ht="13.5" x14ac:dyDescent="0.15">
      <c r="A6797" s="45" t="s">
        <v>41</v>
      </c>
      <c r="D6797" s="45" t="s">
        <v>8536</v>
      </c>
    </row>
    <row r="6798" spans="1:4" s="45" customFormat="1" ht="13.5" x14ac:dyDescent="0.15">
      <c r="A6798" s="45" t="s">
        <v>41</v>
      </c>
      <c r="D6798" s="45" t="s">
        <v>8537</v>
      </c>
    </row>
    <row r="6799" spans="1:4" s="45" customFormat="1" ht="13.5" x14ac:dyDescent="0.15">
      <c r="A6799" s="45" t="s">
        <v>41</v>
      </c>
      <c r="D6799" s="45" t="s">
        <v>1069</v>
      </c>
    </row>
    <row r="6800" spans="1:4" s="45" customFormat="1" ht="13.5" x14ac:dyDescent="0.15">
      <c r="A6800" s="45" t="s">
        <v>41</v>
      </c>
      <c r="D6800" s="45" t="s">
        <v>1070</v>
      </c>
    </row>
    <row r="6801" spans="1:4" s="45" customFormat="1" ht="13.5" x14ac:dyDescent="0.15">
      <c r="A6801" s="45" t="s">
        <v>41</v>
      </c>
      <c r="D6801" s="45" t="s">
        <v>8538</v>
      </c>
    </row>
    <row r="6802" spans="1:4" s="45" customFormat="1" ht="13.5" x14ac:dyDescent="0.15">
      <c r="A6802" s="45" t="s">
        <v>41</v>
      </c>
      <c r="D6802" s="45" t="s">
        <v>8539</v>
      </c>
    </row>
    <row r="6803" spans="1:4" s="45" customFormat="1" ht="13.5" x14ac:dyDescent="0.15">
      <c r="A6803" s="45" t="s">
        <v>41</v>
      </c>
      <c r="D6803" s="45" t="s">
        <v>8540</v>
      </c>
    </row>
    <row r="6804" spans="1:4" s="45" customFormat="1" ht="13.5" x14ac:dyDescent="0.15">
      <c r="A6804" s="45" t="s">
        <v>41</v>
      </c>
      <c r="D6804" s="45" t="s">
        <v>8541</v>
      </c>
    </row>
    <row r="6805" spans="1:4" s="45" customFormat="1" ht="13.5" x14ac:dyDescent="0.15">
      <c r="A6805" s="45" t="s">
        <v>41</v>
      </c>
      <c r="D6805" s="45" t="s">
        <v>8542</v>
      </c>
    </row>
    <row r="6806" spans="1:4" s="45" customFormat="1" ht="13.5" x14ac:dyDescent="0.15">
      <c r="A6806" s="45" t="s">
        <v>41</v>
      </c>
      <c r="D6806" s="45" t="s">
        <v>1068</v>
      </c>
    </row>
    <row r="6807" spans="1:4" s="45" customFormat="1" ht="13.5" x14ac:dyDescent="0.15">
      <c r="A6807" s="45" t="s">
        <v>41</v>
      </c>
      <c r="D6807" s="45" t="s">
        <v>1066</v>
      </c>
    </row>
    <row r="6808" spans="1:4" s="45" customFormat="1" ht="13.5" x14ac:dyDescent="0.15">
      <c r="A6808" s="45" t="s">
        <v>41</v>
      </c>
      <c r="D6808" s="45" t="s">
        <v>8543</v>
      </c>
    </row>
    <row r="6809" spans="1:4" s="45" customFormat="1" ht="13.5" x14ac:dyDescent="0.15">
      <c r="A6809" s="45" t="s">
        <v>41</v>
      </c>
      <c r="D6809" s="45" t="s">
        <v>8544</v>
      </c>
    </row>
    <row r="6810" spans="1:4" s="45" customFormat="1" ht="13.5" x14ac:dyDescent="0.15">
      <c r="A6810" s="45" t="s">
        <v>41</v>
      </c>
      <c r="D6810" s="45" t="s">
        <v>8545</v>
      </c>
    </row>
    <row r="6811" spans="1:4" s="45" customFormat="1" ht="13.5" x14ac:dyDescent="0.15">
      <c r="A6811" s="45" t="s">
        <v>41</v>
      </c>
      <c r="D6811" s="45" t="s">
        <v>8546</v>
      </c>
    </row>
    <row r="6812" spans="1:4" s="45" customFormat="1" ht="13.5" x14ac:dyDescent="0.15">
      <c r="A6812" s="45" t="s">
        <v>41</v>
      </c>
      <c r="D6812" s="45" t="s">
        <v>1065</v>
      </c>
    </row>
    <row r="6813" spans="1:4" s="45" customFormat="1" ht="13.5" x14ac:dyDescent="0.15">
      <c r="A6813" s="45" t="s">
        <v>41</v>
      </c>
      <c r="D6813" s="45" t="s">
        <v>8547</v>
      </c>
    </row>
    <row r="6814" spans="1:4" s="45" customFormat="1" ht="13.5" x14ac:dyDescent="0.15">
      <c r="A6814" s="45" t="s">
        <v>41</v>
      </c>
      <c r="D6814" s="45" t="s">
        <v>1067</v>
      </c>
    </row>
    <row r="6815" spans="1:4" s="45" customFormat="1" ht="13.5" x14ac:dyDescent="0.15">
      <c r="A6815" s="45" t="s">
        <v>41</v>
      </c>
      <c r="D6815" s="45" t="s">
        <v>1071</v>
      </c>
    </row>
    <row r="6816" spans="1:4" s="45" customFormat="1" ht="13.5" x14ac:dyDescent="0.15">
      <c r="A6816" s="45" t="s">
        <v>41</v>
      </c>
      <c r="D6816" s="45" t="s">
        <v>1072</v>
      </c>
    </row>
    <row r="6817" spans="1:4" s="45" customFormat="1" ht="13.5" x14ac:dyDescent="0.15">
      <c r="A6817" s="45" t="s">
        <v>41</v>
      </c>
      <c r="D6817" s="45" t="s">
        <v>8548</v>
      </c>
    </row>
    <row r="6818" spans="1:4" s="45" customFormat="1" ht="13.5" x14ac:dyDescent="0.15">
      <c r="A6818" s="45" t="s">
        <v>41</v>
      </c>
      <c r="D6818" s="45" t="s">
        <v>8549</v>
      </c>
    </row>
    <row r="6819" spans="1:4" s="45" customFormat="1" ht="13.5" x14ac:dyDescent="0.15">
      <c r="A6819" s="45" t="s">
        <v>41</v>
      </c>
      <c r="D6819" s="45" t="s">
        <v>8550</v>
      </c>
    </row>
    <row r="6820" spans="1:4" s="45" customFormat="1" ht="13.5" x14ac:dyDescent="0.15">
      <c r="A6820" s="45" t="s">
        <v>41</v>
      </c>
      <c r="D6820" s="45" t="s">
        <v>8551</v>
      </c>
    </row>
    <row r="6821" spans="1:4" s="45" customFormat="1" ht="13.5" x14ac:dyDescent="0.15">
      <c r="A6821" s="45" t="s">
        <v>41</v>
      </c>
      <c r="D6821" s="45" t="s">
        <v>8552</v>
      </c>
    </row>
    <row r="6822" spans="1:4" s="45" customFormat="1" ht="13.5" x14ac:dyDescent="0.15">
      <c r="A6822" s="45" t="s">
        <v>41</v>
      </c>
      <c r="D6822" s="45" t="s">
        <v>1454</v>
      </c>
    </row>
    <row r="6823" spans="1:4" s="45" customFormat="1" ht="13.5" x14ac:dyDescent="0.15">
      <c r="A6823" s="45" t="s">
        <v>41</v>
      </c>
      <c r="D6823" s="45" t="s">
        <v>8553</v>
      </c>
    </row>
    <row r="6824" spans="1:4" s="45" customFormat="1" ht="13.5" x14ac:dyDescent="0.15">
      <c r="A6824" s="45" t="s">
        <v>41</v>
      </c>
      <c r="D6824" s="45" t="s">
        <v>180</v>
      </c>
    </row>
    <row r="6825" spans="1:4" s="45" customFormat="1" ht="13.5" x14ac:dyDescent="0.15">
      <c r="A6825" s="45" t="s">
        <v>41</v>
      </c>
      <c r="D6825" s="45" t="s">
        <v>8554</v>
      </c>
    </row>
    <row r="6826" spans="1:4" s="45" customFormat="1" ht="13.5" x14ac:dyDescent="0.15">
      <c r="A6826" s="45" t="s">
        <v>41</v>
      </c>
      <c r="D6826" s="45" t="s">
        <v>8555</v>
      </c>
    </row>
    <row r="6827" spans="1:4" s="45" customFormat="1" ht="13.5" x14ac:dyDescent="0.15">
      <c r="A6827" s="45" t="s">
        <v>41</v>
      </c>
      <c r="D6827" s="45" t="s">
        <v>8556</v>
      </c>
    </row>
    <row r="6828" spans="1:4" s="45" customFormat="1" ht="13.5" x14ac:dyDescent="0.15">
      <c r="A6828" s="45" t="s">
        <v>41</v>
      </c>
      <c r="D6828" s="45" t="s">
        <v>8557</v>
      </c>
    </row>
    <row r="6829" spans="1:4" s="45" customFormat="1" ht="13.5" x14ac:dyDescent="0.15">
      <c r="A6829" s="45" t="s">
        <v>41</v>
      </c>
      <c r="D6829" s="45" t="s">
        <v>1218</v>
      </c>
    </row>
    <row r="6830" spans="1:4" s="45" customFormat="1" ht="13.5" x14ac:dyDescent="0.15">
      <c r="A6830" s="45" t="s">
        <v>41</v>
      </c>
      <c r="D6830" s="45" t="s">
        <v>1215</v>
      </c>
    </row>
    <row r="6831" spans="1:4" s="45" customFormat="1" ht="13.5" x14ac:dyDescent="0.15">
      <c r="A6831" s="45" t="s">
        <v>41</v>
      </c>
      <c r="D6831" s="45" t="s">
        <v>1216</v>
      </c>
    </row>
    <row r="6832" spans="1:4" s="45" customFormat="1" ht="13.5" x14ac:dyDescent="0.15">
      <c r="A6832" s="45" t="s">
        <v>41</v>
      </c>
      <c r="D6832" s="45" t="s">
        <v>8558</v>
      </c>
    </row>
    <row r="6833" spans="1:4" s="45" customFormat="1" ht="13.5" x14ac:dyDescent="0.15">
      <c r="A6833" s="45" t="s">
        <v>41</v>
      </c>
      <c r="D6833" s="45" t="s">
        <v>8559</v>
      </c>
    </row>
    <row r="6834" spans="1:4" s="45" customFormat="1" ht="13.5" x14ac:dyDescent="0.15">
      <c r="A6834" s="45" t="s">
        <v>41</v>
      </c>
      <c r="D6834" s="45" t="s">
        <v>8560</v>
      </c>
    </row>
    <row r="6835" spans="1:4" s="45" customFormat="1" ht="13.5" x14ac:dyDescent="0.15">
      <c r="A6835" s="45" t="s">
        <v>41</v>
      </c>
      <c r="D6835" s="45" t="s">
        <v>8561</v>
      </c>
    </row>
    <row r="6836" spans="1:4" s="45" customFormat="1" ht="13.5" x14ac:dyDescent="0.15">
      <c r="A6836" s="45" t="s">
        <v>41</v>
      </c>
      <c r="D6836" s="45" t="s">
        <v>1217</v>
      </c>
    </row>
    <row r="6837" spans="1:4" s="45" customFormat="1" ht="13.5" x14ac:dyDescent="0.15">
      <c r="A6837" s="45" t="s">
        <v>41</v>
      </c>
      <c r="D6837" s="45" t="s">
        <v>8562</v>
      </c>
    </row>
    <row r="6838" spans="1:4" s="45" customFormat="1" ht="13.5" x14ac:dyDescent="0.15">
      <c r="A6838" s="45" t="s">
        <v>41</v>
      </c>
      <c r="D6838" s="45" t="s">
        <v>8563</v>
      </c>
    </row>
    <row r="6839" spans="1:4" s="45" customFormat="1" ht="13.5" x14ac:dyDescent="0.15">
      <c r="A6839" s="45" t="s">
        <v>41</v>
      </c>
      <c r="D6839" s="45" t="s">
        <v>8564</v>
      </c>
    </row>
    <row r="6840" spans="1:4" s="45" customFormat="1" ht="13.5" x14ac:dyDescent="0.15">
      <c r="A6840" s="45" t="s">
        <v>41</v>
      </c>
      <c r="D6840" s="45" t="s">
        <v>8565</v>
      </c>
    </row>
    <row r="6841" spans="1:4" s="45" customFormat="1" ht="13.5" x14ac:dyDescent="0.15">
      <c r="A6841" s="45" t="s">
        <v>41</v>
      </c>
      <c r="D6841" s="45" t="s">
        <v>8566</v>
      </c>
    </row>
    <row r="6842" spans="1:4" s="45" customFormat="1" ht="13.5" x14ac:dyDescent="0.15">
      <c r="A6842" s="45" t="s">
        <v>41</v>
      </c>
      <c r="D6842" s="45" t="s">
        <v>8567</v>
      </c>
    </row>
    <row r="6843" spans="1:4" s="45" customFormat="1" ht="13.5" x14ac:dyDescent="0.15">
      <c r="A6843" s="45" t="s">
        <v>41</v>
      </c>
      <c r="D6843" s="45" t="s">
        <v>8568</v>
      </c>
    </row>
    <row r="6844" spans="1:4" s="45" customFormat="1" ht="13.5" x14ac:dyDescent="0.15">
      <c r="A6844" s="45" t="s">
        <v>41</v>
      </c>
      <c r="D6844" s="45" t="s">
        <v>8569</v>
      </c>
    </row>
    <row r="6845" spans="1:4" s="45" customFormat="1" ht="13.5" x14ac:dyDescent="0.15">
      <c r="A6845" s="45" t="s">
        <v>41</v>
      </c>
      <c r="D6845" s="45" t="s">
        <v>8570</v>
      </c>
    </row>
    <row r="6846" spans="1:4" s="45" customFormat="1" ht="13.5" x14ac:dyDescent="0.15">
      <c r="A6846" s="45" t="s">
        <v>41</v>
      </c>
      <c r="D6846" s="45" t="s">
        <v>8571</v>
      </c>
    </row>
    <row r="6847" spans="1:4" s="45" customFormat="1" ht="13.5" x14ac:dyDescent="0.15">
      <c r="A6847" s="45" t="s">
        <v>41</v>
      </c>
      <c r="D6847" s="45" t="s">
        <v>8572</v>
      </c>
    </row>
    <row r="6848" spans="1:4" s="45" customFormat="1" ht="13.5" x14ac:dyDescent="0.15">
      <c r="A6848" s="45" t="s">
        <v>41</v>
      </c>
      <c r="D6848" s="45" t="s">
        <v>8573</v>
      </c>
    </row>
    <row r="6849" spans="1:4" s="45" customFormat="1" ht="13.5" x14ac:dyDescent="0.15">
      <c r="A6849" s="45" t="s">
        <v>41</v>
      </c>
      <c r="D6849" s="45" t="s">
        <v>8574</v>
      </c>
    </row>
    <row r="6850" spans="1:4" s="45" customFormat="1" ht="13.5" x14ac:dyDescent="0.15">
      <c r="A6850" s="45" t="s">
        <v>41</v>
      </c>
      <c r="D6850" s="45" t="s">
        <v>8575</v>
      </c>
    </row>
    <row r="6851" spans="1:4" s="45" customFormat="1" ht="13.5" x14ac:dyDescent="0.15">
      <c r="A6851" s="45" t="s">
        <v>41</v>
      </c>
      <c r="D6851" s="45" t="s">
        <v>8576</v>
      </c>
    </row>
    <row r="6852" spans="1:4" s="45" customFormat="1" ht="13.5" x14ac:dyDescent="0.15">
      <c r="A6852" s="45" t="s">
        <v>41</v>
      </c>
      <c r="D6852" s="45" t="s">
        <v>8577</v>
      </c>
    </row>
    <row r="6853" spans="1:4" s="45" customFormat="1" ht="13.5" x14ac:dyDescent="0.15">
      <c r="A6853" s="45" t="s">
        <v>41</v>
      </c>
      <c r="D6853" s="45" t="s">
        <v>8578</v>
      </c>
    </row>
    <row r="6854" spans="1:4" s="45" customFormat="1" ht="13.5" x14ac:dyDescent="0.15">
      <c r="A6854" s="45" t="s">
        <v>41</v>
      </c>
      <c r="D6854" s="45" t="s">
        <v>8579</v>
      </c>
    </row>
    <row r="6855" spans="1:4" s="45" customFormat="1" ht="13.5" x14ac:dyDescent="0.15">
      <c r="A6855" s="45" t="s">
        <v>41</v>
      </c>
      <c r="D6855" s="45" t="s">
        <v>8580</v>
      </c>
    </row>
    <row r="6856" spans="1:4" s="45" customFormat="1" ht="13.5" x14ac:dyDescent="0.15">
      <c r="A6856" s="45" t="s">
        <v>41</v>
      </c>
      <c r="D6856" s="45" t="s">
        <v>8581</v>
      </c>
    </row>
    <row r="6857" spans="1:4" s="45" customFormat="1" ht="13.5" x14ac:dyDescent="0.15">
      <c r="A6857" s="45" t="s">
        <v>41</v>
      </c>
      <c r="D6857" s="45" t="s">
        <v>8582</v>
      </c>
    </row>
    <row r="6858" spans="1:4" s="45" customFormat="1" ht="13.5" x14ac:dyDescent="0.15">
      <c r="A6858" s="45" t="s">
        <v>41</v>
      </c>
      <c r="D6858" s="45" t="s">
        <v>8583</v>
      </c>
    </row>
    <row r="6859" spans="1:4" s="45" customFormat="1" ht="13.5" x14ac:dyDescent="0.15">
      <c r="A6859" s="45" t="s">
        <v>41</v>
      </c>
      <c r="D6859" s="45" t="s">
        <v>8584</v>
      </c>
    </row>
    <row r="6860" spans="1:4" s="45" customFormat="1" ht="13.5" x14ac:dyDescent="0.15">
      <c r="A6860" s="45" t="s">
        <v>41</v>
      </c>
      <c r="D6860" s="45" t="s">
        <v>8585</v>
      </c>
    </row>
    <row r="6861" spans="1:4" s="45" customFormat="1" ht="13.5" x14ac:dyDescent="0.15">
      <c r="A6861" s="45" t="s">
        <v>41</v>
      </c>
      <c r="D6861" s="45" t="s">
        <v>8586</v>
      </c>
    </row>
    <row r="6862" spans="1:4" s="45" customFormat="1" ht="13.5" x14ac:dyDescent="0.15">
      <c r="A6862" s="45" t="s">
        <v>41</v>
      </c>
      <c r="D6862" s="45" t="s">
        <v>8587</v>
      </c>
    </row>
    <row r="6863" spans="1:4" s="45" customFormat="1" ht="13.5" x14ac:dyDescent="0.15">
      <c r="A6863" s="45" t="s">
        <v>41</v>
      </c>
      <c r="D6863" s="45" t="s">
        <v>8588</v>
      </c>
    </row>
    <row r="6864" spans="1:4" s="45" customFormat="1" ht="13.5" x14ac:dyDescent="0.15">
      <c r="A6864" s="45" t="s">
        <v>41</v>
      </c>
      <c r="D6864" s="45" t="s">
        <v>584</v>
      </c>
    </row>
    <row r="6865" spans="1:4" s="45" customFormat="1" ht="13.5" x14ac:dyDescent="0.15">
      <c r="A6865" s="45" t="s">
        <v>41</v>
      </c>
      <c r="D6865" s="45" t="s">
        <v>8589</v>
      </c>
    </row>
    <row r="6866" spans="1:4" s="45" customFormat="1" ht="13.5" x14ac:dyDescent="0.15">
      <c r="A6866" s="45" t="s">
        <v>41</v>
      </c>
      <c r="D6866" s="45" t="s">
        <v>8590</v>
      </c>
    </row>
    <row r="6867" spans="1:4" s="45" customFormat="1" ht="13.5" x14ac:dyDescent="0.15">
      <c r="A6867" s="45" t="s">
        <v>41</v>
      </c>
      <c r="D6867" s="45" t="s">
        <v>588</v>
      </c>
    </row>
    <row r="6868" spans="1:4" s="45" customFormat="1" ht="13.5" x14ac:dyDescent="0.15">
      <c r="A6868" s="45" t="s">
        <v>41</v>
      </c>
      <c r="D6868" s="45" t="s">
        <v>587</v>
      </c>
    </row>
    <row r="6869" spans="1:4" s="45" customFormat="1" ht="13.5" x14ac:dyDescent="0.15">
      <c r="A6869" s="45" t="s">
        <v>41</v>
      </c>
      <c r="D6869" s="45" t="s">
        <v>8591</v>
      </c>
    </row>
    <row r="6870" spans="1:4" s="45" customFormat="1" ht="13.5" x14ac:dyDescent="0.15">
      <c r="A6870" s="45" t="s">
        <v>41</v>
      </c>
      <c r="D6870" s="45" t="s">
        <v>8592</v>
      </c>
    </row>
    <row r="6871" spans="1:4" s="45" customFormat="1" ht="13.5" x14ac:dyDescent="0.15">
      <c r="A6871" s="45" t="s">
        <v>41</v>
      </c>
      <c r="D6871" s="45" t="s">
        <v>8593</v>
      </c>
    </row>
    <row r="6872" spans="1:4" s="45" customFormat="1" ht="13.5" x14ac:dyDescent="0.15">
      <c r="A6872" s="45" t="s">
        <v>41</v>
      </c>
      <c r="D6872" s="45" t="s">
        <v>586</v>
      </c>
    </row>
    <row r="6873" spans="1:4" s="45" customFormat="1" ht="13.5" x14ac:dyDescent="0.15">
      <c r="A6873" s="45" t="s">
        <v>41</v>
      </c>
      <c r="D6873" s="45" t="s">
        <v>8594</v>
      </c>
    </row>
    <row r="6874" spans="1:4" s="45" customFormat="1" ht="13.5" x14ac:dyDescent="0.15">
      <c r="A6874" s="45" t="s">
        <v>41</v>
      </c>
      <c r="D6874" s="45" t="s">
        <v>8595</v>
      </c>
    </row>
    <row r="6875" spans="1:4" s="45" customFormat="1" ht="13.5" x14ac:dyDescent="0.15">
      <c r="A6875" s="45" t="s">
        <v>41</v>
      </c>
      <c r="D6875" s="45" t="s">
        <v>8596</v>
      </c>
    </row>
    <row r="6876" spans="1:4" s="45" customFormat="1" ht="13.5" x14ac:dyDescent="0.15">
      <c r="A6876" s="45" t="s">
        <v>41</v>
      </c>
      <c r="D6876" s="45" t="s">
        <v>8597</v>
      </c>
    </row>
    <row r="6877" spans="1:4" s="45" customFormat="1" ht="13.5" x14ac:dyDescent="0.15">
      <c r="A6877" s="45" t="s">
        <v>41</v>
      </c>
      <c r="D6877" s="45" t="s">
        <v>8598</v>
      </c>
    </row>
    <row r="6878" spans="1:4" s="45" customFormat="1" ht="13.5" x14ac:dyDescent="0.15">
      <c r="A6878" s="45" t="s">
        <v>41</v>
      </c>
      <c r="D6878" s="45" t="s">
        <v>8599</v>
      </c>
    </row>
    <row r="6879" spans="1:4" s="45" customFormat="1" ht="13.5" x14ac:dyDescent="0.15">
      <c r="A6879" s="45" t="s">
        <v>41</v>
      </c>
      <c r="D6879" s="45" t="s">
        <v>8600</v>
      </c>
    </row>
    <row r="6880" spans="1:4" s="45" customFormat="1" ht="13.5" x14ac:dyDescent="0.15">
      <c r="A6880" s="45" t="s">
        <v>41</v>
      </c>
      <c r="D6880" s="45" t="s">
        <v>8601</v>
      </c>
    </row>
    <row r="6881" spans="1:4" s="45" customFormat="1" ht="13.5" x14ac:dyDescent="0.15">
      <c r="A6881" s="45" t="s">
        <v>41</v>
      </c>
      <c r="D6881" s="45" t="s">
        <v>8602</v>
      </c>
    </row>
    <row r="6882" spans="1:4" s="45" customFormat="1" ht="13.5" x14ac:dyDescent="0.15">
      <c r="A6882" s="45" t="s">
        <v>41</v>
      </c>
      <c r="D6882" s="45" t="s">
        <v>8603</v>
      </c>
    </row>
    <row r="6883" spans="1:4" s="45" customFormat="1" ht="13.5" x14ac:dyDescent="0.15">
      <c r="A6883" s="45" t="s">
        <v>41</v>
      </c>
      <c r="D6883" s="45" t="s">
        <v>8604</v>
      </c>
    </row>
    <row r="6884" spans="1:4" s="45" customFormat="1" ht="13.5" x14ac:dyDescent="0.15">
      <c r="A6884" s="45" t="s">
        <v>41</v>
      </c>
      <c r="D6884" s="45" t="s">
        <v>585</v>
      </c>
    </row>
    <row r="6885" spans="1:4" s="45" customFormat="1" ht="13.5" x14ac:dyDescent="0.15">
      <c r="A6885" s="45" t="s">
        <v>41</v>
      </c>
      <c r="D6885" s="45" t="s">
        <v>8605</v>
      </c>
    </row>
    <row r="6886" spans="1:4" s="45" customFormat="1" ht="13.5" x14ac:dyDescent="0.15">
      <c r="A6886" s="45" t="s">
        <v>41</v>
      </c>
      <c r="D6886" s="45" t="s">
        <v>582</v>
      </c>
    </row>
    <row r="6887" spans="1:4" s="45" customFormat="1" ht="13.5" x14ac:dyDescent="0.15">
      <c r="A6887" s="45" t="s">
        <v>41</v>
      </c>
      <c r="D6887" s="45" t="s">
        <v>8606</v>
      </c>
    </row>
    <row r="6888" spans="1:4" s="45" customFormat="1" ht="13.5" x14ac:dyDescent="0.15">
      <c r="A6888" s="45" t="s">
        <v>41</v>
      </c>
      <c r="D6888" s="45" t="s">
        <v>8607</v>
      </c>
    </row>
    <row r="6889" spans="1:4" s="45" customFormat="1" ht="13.5" x14ac:dyDescent="0.15">
      <c r="A6889" s="45" t="s">
        <v>41</v>
      </c>
      <c r="D6889" s="45" t="s">
        <v>579</v>
      </c>
    </row>
    <row r="6890" spans="1:4" s="45" customFormat="1" ht="13.5" x14ac:dyDescent="0.15">
      <c r="A6890" s="45" t="s">
        <v>41</v>
      </c>
      <c r="D6890" s="45" t="s">
        <v>580</v>
      </c>
    </row>
    <row r="6891" spans="1:4" s="45" customFormat="1" ht="13.5" x14ac:dyDescent="0.15">
      <c r="A6891" s="45" t="s">
        <v>41</v>
      </c>
      <c r="D6891" s="45" t="s">
        <v>8608</v>
      </c>
    </row>
    <row r="6892" spans="1:4" s="45" customFormat="1" ht="13.5" x14ac:dyDescent="0.15">
      <c r="A6892" s="45" t="s">
        <v>41</v>
      </c>
      <c r="D6892" s="45" t="s">
        <v>577</v>
      </c>
    </row>
    <row r="6893" spans="1:4" s="45" customFormat="1" ht="13.5" x14ac:dyDescent="0.15">
      <c r="A6893" s="45" t="s">
        <v>41</v>
      </c>
      <c r="D6893" s="45" t="s">
        <v>576</v>
      </c>
    </row>
    <row r="6894" spans="1:4" s="45" customFormat="1" ht="13.5" x14ac:dyDescent="0.15">
      <c r="A6894" s="45" t="s">
        <v>41</v>
      </c>
      <c r="D6894" s="45" t="s">
        <v>8609</v>
      </c>
    </row>
    <row r="6895" spans="1:4" s="45" customFormat="1" ht="13.5" x14ac:dyDescent="0.15">
      <c r="A6895" s="45" t="s">
        <v>41</v>
      </c>
      <c r="D6895" s="45" t="s">
        <v>573</v>
      </c>
    </row>
    <row r="6896" spans="1:4" s="45" customFormat="1" ht="13.5" x14ac:dyDescent="0.15">
      <c r="A6896" s="45" t="s">
        <v>41</v>
      </c>
      <c r="D6896" s="45" t="s">
        <v>581</v>
      </c>
    </row>
    <row r="6897" spans="1:4" s="45" customFormat="1" ht="13.5" x14ac:dyDescent="0.15">
      <c r="A6897" s="45" t="s">
        <v>41</v>
      </c>
      <c r="D6897" s="45" t="s">
        <v>575</v>
      </c>
    </row>
    <row r="6898" spans="1:4" s="45" customFormat="1" ht="13.5" x14ac:dyDescent="0.15">
      <c r="A6898" s="45" t="s">
        <v>41</v>
      </c>
      <c r="D6898" s="45" t="s">
        <v>574</v>
      </c>
    </row>
    <row r="6899" spans="1:4" s="45" customFormat="1" ht="13.5" x14ac:dyDescent="0.15">
      <c r="A6899" s="45" t="s">
        <v>41</v>
      </c>
      <c r="D6899" s="45" t="s">
        <v>8610</v>
      </c>
    </row>
    <row r="6900" spans="1:4" s="45" customFormat="1" ht="13.5" x14ac:dyDescent="0.15">
      <c r="A6900" s="45" t="s">
        <v>41</v>
      </c>
      <c r="D6900" s="45" t="s">
        <v>583</v>
      </c>
    </row>
    <row r="6901" spans="1:4" s="45" customFormat="1" ht="13.5" x14ac:dyDescent="0.15">
      <c r="A6901" s="45" t="s">
        <v>41</v>
      </c>
      <c r="D6901" s="45" t="s">
        <v>578</v>
      </c>
    </row>
    <row r="6902" spans="1:4" s="45" customFormat="1" ht="13.5" x14ac:dyDescent="0.15">
      <c r="A6902" s="45" t="s">
        <v>41</v>
      </c>
      <c r="D6902" s="45" t="s">
        <v>8611</v>
      </c>
    </row>
    <row r="6903" spans="1:4" s="45" customFormat="1" ht="13.5" x14ac:dyDescent="0.15">
      <c r="A6903" s="45" t="s">
        <v>41</v>
      </c>
      <c r="D6903" s="45" t="s">
        <v>8612</v>
      </c>
    </row>
    <row r="6904" spans="1:4" s="45" customFormat="1" ht="13.5" x14ac:dyDescent="0.15">
      <c r="A6904" s="45" t="s">
        <v>41</v>
      </c>
      <c r="D6904" s="45" t="s">
        <v>8613</v>
      </c>
    </row>
    <row r="6905" spans="1:4" s="45" customFormat="1" ht="13.5" x14ac:dyDescent="0.15">
      <c r="A6905" s="45" t="s">
        <v>41</v>
      </c>
      <c r="D6905" s="45" t="s">
        <v>8614</v>
      </c>
    </row>
    <row r="6906" spans="1:4" s="45" customFormat="1" ht="13.5" x14ac:dyDescent="0.15">
      <c r="A6906" s="45" t="s">
        <v>41</v>
      </c>
      <c r="D6906" s="45" t="s">
        <v>8615</v>
      </c>
    </row>
    <row r="6907" spans="1:4" s="45" customFormat="1" ht="13.5" x14ac:dyDescent="0.15">
      <c r="A6907" s="45" t="s">
        <v>41</v>
      </c>
      <c r="D6907" s="45" t="s">
        <v>1600</v>
      </c>
    </row>
    <row r="6908" spans="1:4" s="45" customFormat="1" ht="13.5" x14ac:dyDescent="0.15">
      <c r="A6908" s="45" t="s">
        <v>41</v>
      </c>
      <c r="D6908" s="45" t="s">
        <v>8616</v>
      </c>
    </row>
    <row r="6909" spans="1:4" s="45" customFormat="1" ht="13.5" x14ac:dyDescent="0.15">
      <c r="A6909" s="45" t="s">
        <v>41</v>
      </c>
      <c r="D6909" s="45" t="s">
        <v>8617</v>
      </c>
    </row>
    <row r="6910" spans="1:4" s="45" customFormat="1" ht="13.5" x14ac:dyDescent="0.15">
      <c r="A6910" s="45" t="s">
        <v>41</v>
      </c>
      <c r="D6910" s="45" t="s">
        <v>8618</v>
      </c>
    </row>
    <row r="6911" spans="1:4" s="45" customFormat="1" ht="13.5" x14ac:dyDescent="0.15">
      <c r="A6911" s="45" t="s">
        <v>41</v>
      </c>
      <c r="D6911" s="45" t="s">
        <v>8619</v>
      </c>
    </row>
    <row r="6912" spans="1:4" s="45" customFormat="1" ht="13.5" x14ac:dyDescent="0.15">
      <c r="A6912" s="45" t="s">
        <v>41</v>
      </c>
      <c r="D6912" s="45" t="s">
        <v>8620</v>
      </c>
    </row>
    <row r="6913" spans="1:4" s="45" customFormat="1" ht="13.5" x14ac:dyDescent="0.15">
      <c r="A6913" s="45" t="s">
        <v>41</v>
      </c>
      <c r="D6913" s="45" t="s">
        <v>8621</v>
      </c>
    </row>
    <row r="6914" spans="1:4" s="45" customFormat="1" ht="13.5" x14ac:dyDescent="0.15">
      <c r="A6914" s="45" t="s">
        <v>41</v>
      </c>
      <c r="D6914" s="45" t="s">
        <v>8622</v>
      </c>
    </row>
    <row r="6915" spans="1:4" s="45" customFormat="1" ht="13.5" x14ac:dyDescent="0.15">
      <c r="A6915" s="45" t="s">
        <v>41</v>
      </c>
      <c r="D6915" s="45" t="s">
        <v>8623</v>
      </c>
    </row>
    <row r="6916" spans="1:4" s="45" customFormat="1" ht="13.5" x14ac:dyDescent="0.15">
      <c r="A6916" s="45" t="s">
        <v>41</v>
      </c>
      <c r="D6916" s="45" t="s">
        <v>8624</v>
      </c>
    </row>
    <row r="6917" spans="1:4" s="45" customFormat="1" ht="13.5" x14ac:dyDescent="0.15">
      <c r="A6917" s="45" t="s">
        <v>41</v>
      </c>
      <c r="D6917" s="45" t="s">
        <v>8625</v>
      </c>
    </row>
    <row r="6918" spans="1:4" s="45" customFormat="1" ht="13.5" x14ac:dyDescent="0.15">
      <c r="A6918" s="45" t="s">
        <v>41</v>
      </c>
      <c r="D6918" s="45" t="s">
        <v>8626</v>
      </c>
    </row>
    <row r="6919" spans="1:4" s="45" customFormat="1" ht="13.5" x14ac:dyDescent="0.15">
      <c r="A6919" s="45" t="s">
        <v>41</v>
      </c>
      <c r="D6919" s="45" t="s">
        <v>8627</v>
      </c>
    </row>
    <row r="6920" spans="1:4" s="45" customFormat="1" ht="13.5" x14ac:dyDescent="0.15">
      <c r="A6920" s="45" t="s">
        <v>41</v>
      </c>
      <c r="D6920" s="45" t="s">
        <v>8628</v>
      </c>
    </row>
    <row r="6921" spans="1:4" s="45" customFormat="1" ht="13.5" x14ac:dyDescent="0.15">
      <c r="A6921" s="45" t="s">
        <v>41</v>
      </c>
      <c r="D6921" s="45" t="s">
        <v>8629</v>
      </c>
    </row>
    <row r="6922" spans="1:4" s="45" customFormat="1" ht="13.5" x14ac:dyDescent="0.15">
      <c r="A6922" s="45" t="s">
        <v>41</v>
      </c>
      <c r="D6922" s="45" t="s">
        <v>8630</v>
      </c>
    </row>
    <row r="6923" spans="1:4" s="45" customFormat="1" ht="13.5" x14ac:dyDescent="0.15">
      <c r="A6923" s="45" t="s">
        <v>41</v>
      </c>
      <c r="D6923" s="45" t="s">
        <v>8631</v>
      </c>
    </row>
    <row r="6924" spans="1:4" s="45" customFormat="1" ht="13.5" x14ac:dyDescent="0.15">
      <c r="A6924" s="45" t="s">
        <v>41</v>
      </c>
      <c r="D6924" s="45" t="s">
        <v>8632</v>
      </c>
    </row>
    <row r="6925" spans="1:4" s="45" customFormat="1" ht="13.5" x14ac:dyDescent="0.15">
      <c r="A6925" s="45" t="s">
        <v>41</v>
      </c>
      <c r="D6925" s="45" t="s">
        <v>8633</v>
      </c>
    </row>
    <row r="6926" spans="1:4" s="45" customFormat="1" ht="13.5" x14ac:dyDescent="0.15">
      <c r="A6926" s="45" t="s">
        <v>41</v>
      </c>
      <c r="D6926" s="45" t="s">
        <v>8634</v>
      </c>
    </row>
    <row r="6927" spans="1:4" s="45" customFormat="1" ht="13.5" x14ac:dyDescent="0.15">
      <c r="A6927" s="45" t="s">
        <v>41</v>
      </c>
      <c r="D6927" s="45" t="s">
        <v>8635</v>
      </c>
    </row>
    <row r="6928" spans="1:4" s="45" customFormat="1" ht="13.5" x14ac:dyDescent="0.15">
      <c r="A6928" s="45" t="s">
        <v>41</v>
      </c>
      <c r="D6928" s="45" t="s">
        <v>8636</v>
      </c>
    </row>
    <row r="6929" spans="1:4" s="45" customFormat="1" ht="13.5" x14ac:dyDescent="0.15">
      <c r="A6929" s="45" t="s">
        <v>41</v>
      </c>
      <c r="D6929" s="45" t="s">
        <v>8637</v>
      </c>
    </row>
    <row r="6930" spans="1:4" s="45" customFormat="1" ht="13.5" x14ac:dyDescent="0.15">
      <c r="A6930" s="45" t="s">
        <v>41</v>
      </c>
      <c r="D6930" s="45" t="s">
        <v>8638</v>
      </c>
    </row>
    <row r="6931" spans="1:4" s="45" customFormat="1" ht="13.5" x14ac:dyDescent="0.15">
      <c r="A6931" s="45" t="s">
        <v>41</v>
      </c>
      <c r="D6931" s="45" t="s">
        <v>8639</v>
      </c>
    </row>
    <row r="6932" spans="1:4" s="45" customFormat="1" ht="13.5" x14ac:dyDescent="0.15">
      <c r="A6932" s="45" t="s">
        <v>41</v>
      </c>
      <c r="D6932" s="45" t="s">
        <v>8640</v>
      </c>
    </row>
    <row r="6933" spans="1:4" s="45" customFormat="1" ht="13.5" x14ac:dyDescent="0.15">
      <c r="A6933" s="45" t="s">
        <v>41</v>
      </c>
      <c r="D6933" s="45" t="s">
        <v>210</v>
      </c>
    </row>
    <row r="6934" spans="1:4" s="45" customFormat="1" ht="13.5" x14ac:dyDescent="0.15">
      <c r="A6934" s="45" t="s">
        <v>41</v>
      </c>
      <c r="D6934" s="45" t="s">
        <v>8641</v>
      </c>
    </row>
    <row r="6935" spans="1:4" s="45" customFormat="1" ht="13.5" x14ac:dyDescent="0.15">
      <c r="A6935" s="45" t="s">
        <v>41</v>
      </c>
      <c r="D6935" s="45" t="s">
        <v>211</v>
      </c>
    </row>
    <row r="6936" spans="1:4" s="45" customFormat="1" ht="13.5" x14ac:dyDescent="0.15">
      <c r="A6936" s="45" t="s">
        <v>41</v>
      </c>
      <c r="D6936" s="45" t="s">
        <v>8642</v>
      </c>
    </row>
    <row r="6937" spans="1:4" s="45" customFormat="1" ht="13.5" x14ac:dyDescent="0.15">
      <c r="A6937" s="45" t="s">
        <v>41</v>
      </c>
      <c r="D6937" s="45" t="s">
        <v>8643</v>
      </c>
    </row>
    <row r="6938" spans="1:4" s="45" customFormat="1" ht="13.5" x14ac:dyDescent="0.15">
      <c r="A6938" s="45" t="s">
        <v>41</v>
      </c>
      <c r="D6938" s="45" t="s">
        <v>450</v>
      </c>
    </row>
    <row r="6939" spans="1:4" s="45" customFormat="1" ht="13.5" x14ac:dyDescent="0.15">
      <c r="A6939" s="45" t="s">
        <v>41</v>
      </c>
      <c r="D6939" s="45" t="s">
        <v>8644</v>
      </c>
    </row>
    <row r="6940" spans="1:4" s="45" customFormat="1" ht="13.5" x14ac:dyDescent="0.15">
      <c r="A6940" s="45" t="s">
        <v>41</v>
      </c>
      <c r="D6940" s="45" t="s">
        <v>8645</v>
      </c>
    </row>
    <row r="6941" spans="1:4" s="45" customFormat="1" ht="13.5" x14ac:dyDescent="0.15">
      <c r="A6941" s="45" t="s">
        <v>41</v>
      </c>
      <c r="D6941" s="45" t="s">
        <v>8646</v>
      </c>
    </row>
    <row r="6942" spans="1:4" s="45" customFormat="1" ht="13.5" x14ac:dyDescent="0.15">
      <c r="A6942" s="45" t="s">
        <v>41</v>
      </c>
      <c r="D6942" s="45" t="s">
        <v>8647</v>
      </c>
    </row>
    <row r="6943" spans="1:4" s="45" customFormat="1" ht="13.5" x14ac:dyDescent="0.15">
      <c r="A6943" s="45" t="s">
        <v>41</v>
      </c>
      <c r="D6943" s="45" t="s">
        <v>8648</v>
      </c>
    </row>
    <row r="6944" spans="1:4" s="45" customFormat="1" ht="13.5" x14ac:dyDescent="0.15">
      <c r="A6944" s="45" t="s">
        <v>41</v>
      </c>
      <c r="D6944" s="45" t="s">
        <v>8649</v>
      </c>
    </row>
    <row r="6945" spans="1:4" s="45" customFormat="1" ht="13.5" x14ac:dyDescent="0.15">
      <c r="A6945" s="45" t="s">
        <v>41</v>
      </c>
      <c r="D6945" s="45" t="s">
        <v>8650</v>
      </c>
    </row>
    <row r="6946" spans="1:4" s="45" customFormat="1" ht="13.5" x14ac:dyDescent="0.15">
      <c r="A6946" s="45" t="s">
        <v>41</v>
      </c>
      <c r="D6946" s="45" t="s">
        <v>8651</v>
      </c>
    </row>
    <row r="6947" spans="1:4" s="45" customFormat="1" ht="13.5" x14ac:dyDescent="0.15">
      <c r="A6947" s="45" t="s">
        <v>41</v>
      </c>
      <c r="D6947" s="45" t="s">
        <v>8652</v>
      </c>
    </row>
    <row r="6948" spans="1:4" s="45" customFormat="1" ht="13.5" x14ac:dyDescent="0.15">
      <c r="A6948" s="45" t="s">
        <v>41</v>
      </c>
      <c r="D6948" s="45" t="s">
        <v>8653</v>
      </c>
    </row>
    <row r="6949" spans="1:4" s="45" customFormat="1" ht="13.5" x14ac:dyDescent="0.15">
      <c r="A6949" s="45" t="s">
        <v>41</v>
      </c>
      <c r="D6949" s="45" t="s">
        <v>8654</v>
      </c>
    </row>
    <row r="6950" spans="1:4" s="45" customFormat="1" ht="13.5" x14ac:dyDescent="0.15">
      <c r="A6950" s="45" t="s">
        <v>41</v>
      </c>
      <c r="D6950" s="45" t="s">
        <v>9774</v>
      </c>
    </row>
    <row r="6951" spans="1:4" s="45" customFormat="1" ht="13.5" x14ac:dyDescent="0.15">
      <c r="A6951" s="45" t="s">
        <v>41</v>
      </c>
      <c r="D6951" s="45" t="s">
        <v>8655</v>
      </c>
    </row>
    <row r="6952" spans="1:4" s="45" customFormat="1" ht="13.5" x14ac:dyDescent="0.15">
      <c r="A6952" s="45" t="s">
        <v>41</v>
      </c>
      <c r="D6952" s="45" t="s">
        <v>8656</v>
      </c>
    </row>
    <row r="6953" spans="1:4" s="45" customFormat="1" ht="13.5" x14ac:dyDescent="0.15">
      <c r="A6953" s="45" t="s">
        <v>41</v>
      </c>
      <c r="D6953" s="45" t="s">
        <v>8657</v>
      </c>
    </row>
    <row r="6954" spans="1:4" s="45" customFormat="1" ht="13.5" x14ac:dyDescent="0.15">
      <c r="A6954" s="45" t="s">
        <v>41</v>
      </c>
      <c r="D6954" s="45" t="s">
        <v>8658</v>
      </c>
    </row>
    <row r="6955" spans="1:4" s="45" customFormat="1" ht="13.5" x14ac:dyDescent="0.15">
      <c r="A6955" s="45" t="s">
        <v>41</v>
      </c>
      <c r="D6955" s="45" t="s">
        <v>8659</v>
      </c>
    </row>
    <row r="6956" spans="1:4" s="45" customFormat="1" ht="13.5" x14ac:dyDescent="0.15">
      <c r="A6956" s="45" t="s">
        <v>41</v>
      </c>
      <c r="D6956" s="45" t="s">
        <v>2071</v>
      </c>
    </row>
    <row r="6957" spans="1:4" s="45" customFormat="1" ht="13.5" x14ac:dyDescent="0.15">
      <c r="A6957" s="45" t="s">
        <v>41</v>
      </c>
      <c r="D6957" s="45" t="s">
        <v>8660</v>
      </c>
    </row>
    <row r="6958" spans="1:4" s="45" customFormat="1" ht="13.5" x14ac:dyDescent="0.15">
      <c r="A6958" s="45" t="s">
        <v>41</v>
      </c>
      <c r="D6958" s="45" t="s">
        <v>8661</v>
      </c>
    </row>
    <row r="6959" spans="1:4" s="45" customFormat="1" ht="13.5" x14ac:dyDescent="0.15">
      <c r="A6959" s="45" t="s">
        <v>41</v>
      </c>
      <c r="D6959" s="45" t="s">
        <v>2075</v>
      </c>
    </row>
    <row r="6960" spans="1:4" s="45" customFormat="1" ht="13.5" x14ac:dyDescent="0.15">
      <c r="A6960" s="45" t="s">
        <v>41</v>
      </c>
      <c r="D6960" s="45" t="s">
        <v>2076</v>
      </c>
    </row>
    <row r="6961" spans="1:4" s="45" customFormat="1" ht="13.5" x14ac:dyDescent="0.15">
      <c r="A6961" s="45" t="s">
        <v>41</v>
      </c>
      <c r="D6961" s="45" t="s">
        <v>8662</v>
      </c>
    </row>
    <row r="6962" spans="1:4" s="45" customFormat="1" ht="13.5" x14ac:dyDescent="0.15">
      <c r="A6962" s="45" t="s">
        <v>41</v>
      </c>
      <c r="D6962" s="45" t="s">
        <v>2072</v>
      </c>
    </row>
    <row r="6963" spans="1:4" s="45" customFormat="1" ht="13.5" x14ac:dyDescent="0.15">
      <c r="A6963" s="45" t="s">
        <v>41</v>
      </c>
      <c r="D6963" s="45" t="s">
        <v>2073</v>
      </c>
    </row>
    <row r="6964" spans="1:4" s="45" customFormat="1" ht="13.5" x14ac:dyDescent="0.15">
      <c r="A6964" s="45" t="s">
        <v>41</v>
      </c>
      <c r="D6964" s="45" t="s">
        <v>8663</v>
      </c>
    </row>
    <row r="6965" spans="1:4" s="45" customFormat="1" ht="13.5" x14ac:dyDescent="0.15">
      <c r="A6965" s="45" t="s">
        <v>41</v>
      </c>
      <c r="D6965" s="45" t="s">
        <v>8664</v>
      </c>
    </row>
    <row r="6966" spans="1:4" s="45" customFormat="1" ht="13.5" x14ac:dyDescent="0.15">
      <c r="A6966" s="45" t="s">
        <v>41</v>
      </c>
      <c r="D6966" s="45" t="s">
        <v>8665</v>
      </c>
    </row>
    <row r="6967" spans="1:4" s="45" customFormat="1" ht="13.5" x14ac:dyDescent="0.15">
      <c r="A6967" s="45" t="s">
        <v>41</v>
      </c>
      <c r="D6967" s="45" t="s">
        <v>8666</v>
      </c>
    </row>
    <row r="6968" spans="1:4" s="45" customFormat="1" ht="13.5" x14ac:dyDescent="0.15">
      <c r="A6968" s="45" t="s">
        <v>41</v>
      </c>
      <c r="D6968" s="45" t="s">
        <v>8667</v>
      </c>
    </row>
    <row r="6969" spans="1:4" s="45" customFormat="1" ht="13.5" x14ac:dyDescent="0.15">
      <c r="A6969" s="45" t="s">
        <v>41</v>
      </c>
      <c r="D6969" s="45" t="s">
        <v>8668</v>
      </c>
    </row>
    <row r="6970" spans="1:4" s="45" customFormat="1" ht="13.5" x14ac:dyDescent="0.15">
      <c r="A6970" s="45" t="s">
        <v>41</v>
      </c>
      <c r="D6970" s="45" t="s">
        <v>8669</v>
      </c>
    </row>
    <row r="6971" spans="1:4" s="45" customFormat="1" ht="13.5" x14ac:dyDescent="0.15">
      <c r="A6971" s="45" t="s">
        <v>41</v>
      </c>
      <c r="D6971" s="45" t="s">
        <v>8670</v>
      </c>
    </row>
    <row r="6972" spans="1:4" s="45" customFormat="1" ht="13.5" x14ac:dyDescent="0.15">
      <c r="A6972" s="45" t="s">
        <v>41</v>
      </c>
      <c r="D6972" s="45" t="s">
        <v>8671</v>
      </c>
    </row>
    <row r="6973" spans="1:4" s="45" customFormat="1" ht="13.5" x14ac:dyDescent="0.15">
      <c r="A6973" s="45" t="s">
        <v>41</v>
      </c>
      <c r="D6973" s="45" t="s">
        <v>2074</v>
      </c>
    </row>
    <row r="6974" spans="1:4" s="45" customFormat="1" ht="13.5" x14ac:dyDescent="0.15">
      <c r="A6974" s="45" t="s">
        <v>41</v>
      </c>
      <c r="D6974" s="45" t="s">
        <v>8672</v>
      </c>
    </row>
    <row r="6975" spans="1:4" s="45" customFormat="1" ht="13.5" x14ac:dyDescent="0.15">
      <c r="A6975" s="45" t="s">
        <v>41</v>
      </c>
      <c r="D6975" s="45" t="s">
        <v>8673</v>
      </c>
    </row>
    <row r="6976" spans="1:4" s="45" customFormat="1" ht="13.5" x14ac:dyDescent="0.15">
      <c r="A6976" s="45" t="s">
        <v>41</v>
      </c>
      <c r="D6976" s="45" t="s">
        <v>8674</v>
      </c>
    </row>
    <row r="6977" spans="1:4" s="45" customFormat="1" ht="13.5" x14ac:dyDescent="0.15">
      <c r="A6977" s="45" t="s">
        <v>41</v>
      </c>
      <c r="D6977" s="45" t="s">
        <v>8675</v>
      </c>
    </row>
    <row r="6978" spans="1:4" s="45" customFormat="1" ht="13.5" x14ac:dyDescent="0.15">
      <c r="A6978" s="45" t="s">
        <v>41</v>
      </c>
      <c r="D6978" s="45" t="s">
        <v>8676</v>
      </c>
    </row>
    <row r="6979" spans="1:4" s="45" customFormat="1" ht="13.5" x14ac:dyDescent="0.15">
      <c r="A6979" s="45" t="s">
        <v>41</v>
      </c>
      <c r="D6979" s="45" t="s">
        <v>2077</v>
      </c>
    </row>
    <row r="6980" spans="1:4" s="45" customFormat="1" ht="13.5" x14ac:dyDescent="0.15">
      <c r="A6980" s="45" t="s">
        <v>41</v>
      </c>
      <c r="D6980" s="45" t="s">
        <v>8677</v>
      </c>
    </row>
    <row r="6981" spans="1:4" s="45" customFormat="1" ht="13.5" x14ac:dyDescent="0.15">
      <c r="A6981" s="45" t="s">
        <v>41</v>
      </c>
      <c r="D6981" s="45" t="s">
        <v>8678</v>
      </c>
    </row>
    <row r="6982" spans="1:4" s="45" customFormat="1" ht="13.5" x14ac:dyDescent="0.15">
      <c r="A6982" s="45" t="s">
        <v>41</v>
      </c>
      <c r="D6982" s="45" t="s">
        <v>2070</v>
      </c>
    </row>
    <row r="6983" spans="1:4" s="45" customFormat="1" ht="13.5" x14ac:dyDescent="0.15">
      <c r="A6983" s="45" t="s">
        <v>41</v>
      </c>
      <c r="D6983" s="45" t="s">
        <v>8679</v>
      </c>
    </row>
    <row r="6984" spans="1:4" s="45" customFormat="1" ht="13.5" x14ac:dyDescent="0.15">
      <c r="A6984" s="45" t="s">
        <v>41</v>
      </c>
      <c r="D6984" s="45" t="s">
        <v>8680</v>
      </c>
    </row>
    <row r="6985" spans="1:4" s="45" customFormat="1" ht="13.5" x14ac:dyDescent="0.15">
      <c r="A6985" s="45" t="s">
        <v>41</v>
      </c>
      <c r="D6985" s="45" t="s">
        <v>8681</v>
      </c>
    </row>
    <row r="6986" spans="1:4" s="45" customFormat="1" ht="13.5" x14ac:dyDescent="0.15">
      <c r="A6986" s="45" t="s">
        <v>41</v>
      </c>
      <c r="D6986" s="45" t="s">
        <v>8682</v>
      </c>
    </row>
    <row r="6987" spans="1:4" s="45" customFormat="1" ht="13.5" x14ac:dyDescent="0.15">
      <c r="A6987" s="45" t="s">
        <v>41</v>
      </c>
      <c r="D6987" s="45" t="s">
        <v>590</v>
      </c>
    </row>
    <row r="6988" spans="1:4" s="45" customFormat="1" ht="13.5" x14ac:dyDescent="0.15">
      <c r="A6988" s="45" t="s">
        <v>41</v>
      </c>
      <c r="D6988" s="45" t="s">
        <v>8683</v>
      </c>
    </row>
    <row r="6989" spans="1:4" s="45" customFormat="1" ht="13.5" x14ac:dyDescent="0.15">
      <c r="A6989" s="45" t="s">
        <v>41</v>
      </c>
      <c r="D6989" s="45" t="s">
        <v>8684</v>
      </c>
    </row>
    <row r="6990" spans="1:4" s="45" customFormat="1" ht="13.5" x14ac:dyDescent="0.15">
      <c r="A6990" s="45" t="s">
        <v>41</v>
      </c>
      <c r="D6990" s="45" t="s">
        <v>8685</v>
      </c>
    </row>
    <row r="6991" spans="1:4" s="45" customFormat="1" ht="13.5" x14ac:dyDescent="0.15">
      <c r="A6991" s="45" t="s">
        <v>41</v>
      </c>
      <c r="D6991" s="45" t="s">
        <v>589</v>
      </c>
    </row>
    <row r="6992" spans="1:4" s="45" customFormat="1" ht="13.5" x14ac:dyDescent="0.15">
      <c r="A6992" s="45" t="s">
        <v>41</v>
      </c>
      <c r="D6992" s="45" t="s">
        <v>8686</v>
      </c>
    </row>
    <row r="6993" spans="1:4" s="45" customFormat="1" ht="13.5" x14ac:dyDescent="0.15">
      <c r="A6993" s="45" t="s">
        <v>41</v>
      </c>
      <c r="D6993" s="45" t="s">
        <v>8687</v>
      </c>
    </row>
    <row r="6994" spans="1:4" s="45" customFormat="1" ht="13.5" x14ac:dyDescent="0.15">
      <c r="A6994" s="45" t="s">
        <v>41</v>
      </c>
      <c r="D6994" s="45" t="s">
        <v>591</v>
      </c>
    </row>
    <row r="6995" spans="1:4" s="45" customFormat="1" ht="13.5" x14ac:dyDescent="0.15">
      <c r="A6995" s="45" t="s">
        <v>41</v>
      </c>
      <c r="D6995" s="45" t="s">
        <v>917</v>
      </c>
    </row>
    <row r="6996" spans="1:4" s="45" customFormat="1" ht="13.5" x14ac:dyDescent="0.15">
      <c r="A6996" s="45" t="s">
        <v>41</v>
      </c>
      <c r="D6996" s="45" t="s">
        <v>919</v>
      </c>
    </row>
    <row r="6997" spans="1:4" s="45" customFormat="1" ht="13.5" x14ac:dyDescent="0.15">
      <c r="A6997" s="45" t="s">
        <v>41</v>
      </c>
      <c r="D6997" s="45" t="s">
        <v>918</v>
      </c>
    </row>
    <row r="6998" spans="1:4" s="45" customFormat="1" ht="13.5" x14ac:dyDescent="0.15">
      <c r="A6998" s="45" t="s">
        <v>41</v>
      </c>
      <c r="D6998" s="45" t="s">
        <v>8688</v>
      </c>
    </row>
    <row r="6999" spans="1:4" s="45" customFormat="1" ht="13.5" x14ac:dyDescent="0.15">
      <c r="A6999" s="45" t="s">
        <v>41</v>
      </c>
      <c r="D6999" s="45" t="s">
        <v>8689</v>
      </c>
    </row>
    <row r="7000" spans="1:4" s="45" customFormat="1" ht="13.5" x14ac:dyDescent="0.15">
      <c r="A7000" s="45" t="s">
        <v>41</v>
      </c>
      <c r="D7000" s="45" t="s">
        <v>8690</v>
      </c>
    </row>
    <row r="7001" spans="1:4" s="45" customFormat="1" ht="13.5" x14ac:dyDescent="0.15">
      <c r="A7001" s="45" t="s">
        <v>41</v>
      </c>
      <c r="D7001" s="45" t="s">
        <v>8691</v>
      </c>
    </row>
    <row r="7002" spans="1:4" s="45" customFormat="1" ht="13.5" x14ac:dyDescent="0.15">
      <c r="A7002" s="45" t="s">
        <v>41</v>
      </c>
      <c r="D7002" s="45" t="s">
        <v>8692</v>
      </c>
    </row>
    <row r="7003" spans="1:4" s="45" customFormat="1" ht="13.5" x14ac:dyDescent="0.15">
      <c r="A7003" s="45" t="s">
        <v>41</v>
      </c>
      <c r="D7003" s="45" t="s">
        <v>183</v>
      </c>
    </row>
    <row r="7004" spans="1:4" s="45" customFormat="1" ht="13.5" x14ac:dyDescent="0.15">
      <c r="A7004" s="45" t="s">
        <v>41</v>
      </c>
      <c r="D7004" s="45" t="s">
        <v>184</v>
      </c>
    </row>
    <row r="7005" spans="1:4" s="45" customFormat="1" ht="13.5" x14ac:dyDescent="0.15">
      <c r="A7005" s="45" t="s">
        <v>41</v>
      </c>
      <c r="D7005" s="45" t="s">
        <v>182</v>
      </c>
    </row>
    <row r="7006" spans="1:4" s="45" customFormat="1" ht="13.5" x14ac:dyDescent="0.15">
      <c r="A7006" s="45" t="s">
        <v>41</v>
      </c>
      <c r="D7006" s="45" t="s">
        <v>8693</v>
      </c>
    </row>
    <row r="7007" spans="1:4" s="45" customFormat="1" ht="13.5" x14ac:dyDescent="0.15">
      <c r="A7007" s="45" t="s">
        <v>41</v>
      </c>
      <c r="D7007" s="45" t="s">
        <v>8694</v>
      </c>
    </row>
    <row r="7008" spans="1:4" s="45" customFormat="1" ht="13.5" x14ac:dyDescent="0.15">
      <c r="A7008" s="45" t="s">
        <v>41</v>
      </c>
      <c r="D7008" s="45" t="s">
        <v>2064</v>
      </c>
    </row>
    <row r="7009" spans="1:4" s="45" customFormat="1" ht="13.5" x14ac:dyDescent="0.15">
      <c r="A7009" s="45" t="s">
        <v>41</v>
      </c>
      <c r="D7009" s="45" t="s">
        <v>8695</v>
      </c>
    </row>
    <row r="7010" spans="1:4" s="45" customFormat="1" ht="13.5" x14ac:dyDescent="0.15">
      <c r="A7010" s="45" t="s">
        <v>41</v>
      </c>
      <c r="D7010" s="45" t="s">
        <v>8696</v>
      </c>
    </row>
    <row r="7011" spans="1:4" s="45" customFormat="1" ht="13.5" x14ac:dyDescent="0.15">
      <c r="A7011" s="45" t="s">
        <v>41</v>
      </c>
      <c r="D7011" s="45" t="s">
        <v>8697</v>
      </c>
    </row>
    <row r="7012" spans="1:4" s="45" customFormat="1" ht="13.5" x14ac:dyDescent="0.15">
      <c r="A7012" s="45" t="s">
        <v>41</v>
      </c>
      <c r="D7012" s="45" t="s">
        <v>8698</v>
      </c>
    </row>
    <row r="7013" spans="1:4" s="45" customFormat="1" ht="13.5" x14ac:dyDescent="0.15">
      <c r="A7013" s="45" t="s">
        <v>41</v>
      </c>
      <c r="D7013" s="45" t="s">
        <v>2079</v>
      </c>
    </row>
    <row r="7014" spans="1:4" s="45" customFormat="1" ht="13.5" x14ac:dyDescent="0.15">
      <c r="A7014" s="45" t="s">
        <v>41</v>
      </c>
      <c r="D7014" s="45" t="s">
        <v>8699</v>
      </c>
    </row>
    <row r="7015" spans="1:4" s="45" customFormat="1" ht="13.5" x14ac:dyDescent="0.15">
      <c r="A7015" s="45" t="s">
        <v>41</v>
      </c>
      <c r="D7015" s="45" t="s">
        <v>8700</v>
      </c>
    </row>
    <row r="7016" spans="1:4" s="45" customFormat="1" ht="13.5" x14ac:dyDescent="0.15">
      <c r="A7016" s="45" t="s">
        <v>41</v>
      </c>
      <c r="D7016" s="45" t="s">
        <v>8701</v>
      </c>
    </row>
    <row r="7017" spans="1:4" s="45" customFormat="1" ht="13.5" x14ac:dyDescent="0.15">
      <c r="A7017" s="45" t="s">
        <v>41</v>
      </c>
      <c r="D7017" s="45" t="s">
        <v>8702</v>
      </c>
    </row>
    <row r="7018" spans="1:4" s="45" customFormat="1" ht="13.5" x14ac:dyDescent="0.15">
      <c r="A7018" s="45" t="s">
        <v>41</v>
      </c>
      <c r="D7018" s="45" t="s">
        <v>1487</v>
      </c>
    </row>
    <row r="7019" spans="1:4" s="45" customFormat="1" ht="13.5" x14ac:dyDescent="0.15">
      <c r="A7019" s="45" t="s">
        <v>41</v>
      </c>
      <c r="D7019" s="45" t="s">
        <v>8703</v>
      </c>
    </row>
    <row r="7020" spans="1:4" s="45" customFormat="1" ht="13.5" x14ac:dyDescent="0.15">
      <c r="A7020" s="45" t="s">
        <v>41</v>
      </c>
      <c r="D7020" s="45" t="s">
        <v>1488</v>
      </c>
    </row>
    <row r="7021" spans="1:4" s="45" customFormat="1" ht="13.5" x14ac:dyDescent="0.15">
      <c r="A7021" s="45" t="s">
        <v>41</v>
      </c>
      <c r="D7021" s="45" t="s">
        <v>1811</v>
      </c>
    </row>
    <row r="7022" spans="1:4" s="45" customFormat="1" ht="13.5" x14ac:dyDescent="0.15">
      <c r="A7022" s="45" t="s">
        <v>41</v>
      </c>
      <c r="D7022" s="45" t="s">
        <v>1812</v>
      </c>
    </row>
    <row r="7023" spans="1:4" s="45" customFormat="1" ht="13.5" x14ac:dyDescent="0.15">
      <c r="A7023" s="45" t="s">
        <v>41</v>
      </c>
      <c r="D7023" s="45" t="s">
        <v>1813</v>
      </c>
    </row>
    <row r="7024" spans="1:4" s="45" customFormat="1" ht="13.5" x14ac:dyDescent="0.15">
      <c r="A7024" s="45" t="s">
        <v>41</v>
      </c>
      <c r="D7024" s="45" t="s">
        <v>1814</v>
      </c>
    </row>
    <row r="7025" spans="1:4" s="45" customFormat="1" ht="13.5" x14ac:dyDescent="0.15">
      <c r="A7025" s="45" t="s">
        <v>41</v>
      </c>
      <c r="D7025" s="45" t="s">
        <v>1809</v>
      </c>
    </row>
    <row r="7026" spans="1:4" s="45" customFormat="1" ht="13.5" x14ac:dyDescent="0.15">
      <c r="A7026" s="45" t="s">
        <v>41</v>
      </c>
      <c r="D7026" s="45" t="s">
        <v>1810</v>
      </c>
    </row>
    <row r="7027" spans="1:4" s="45" customFormat="1" ht="13.5" x14ac:dyDescent="0.15">
      <c r="A7027" s="45" t="s">
        <v>41</v>
      </c>
      <c r="D7027" s="45" t="s">
        <v>2279</v>
      </c>
    </row>
    <row r="7028" spans="1:4" s="45" customFormat="1" ht="13.5" x14ac:dyDescent="0.15">
      <c r="A7028" s="45" t="s">
        <v>41</v>
      </c>
      <c r="D7028" s="45" t="s">
        <v>2461</v>
      </c>
    </row>
    <row r="7029" spans="1:4" s="45" customFormat="1" ht="13.5" x14ac:dyDescent="0.15">
      <c r="A7029" s="45" t="s">
        <v>41</v>
      </c>
      <c r="D7029" s="45" t="s">
        <v>8704</v>
      </c>
    </row>
    <row r="7030" spans="1:4" s="45" customFormat="1" ht="13.5" x14ac:dyDescent="0.15">
      <c r="A7030" s="45" t="s">
        <v>41</v>
      </c>
      <c r="D7030" s="45" t="s">
        <v>8705</v>
      </c>
    </row>
    <row r="7031" spans="1:4" s="45" customFormat="1" ht="13.5" x14ac:dyDescent="0.15">
      <c r="A7031" s="45" t="s">
        <v>41</v>
      </c>
      <c r="D7031" s="45" t="s">
        <v>115</v>
      </c>
    </row>
    <row r="7032" spans="1:4" s="45" customFormat="1" ht="13.5" x14ac:dyDescent="0.15">
      <c r="A7032" s="45" t="s">
        <v>41</v>
      </c>
      <c r="D7032" s="45" t="s">
        <v>8706</v>
      </c>
    </row>
    <row r="7033" spans="1:4" s="45" customFormat="1" ht="13.5" x14ac:dyDescent="0.15">
      <c r="A7033" s="45" t="s">
        <v>41</v>
      </c>
      <c r="D7033" s="45" t="s">
        <v>8707</v>
      </c>
    </row>
    <row r="7034" spans="1:4" s="45" customFormat="1" ht="13.5" x14ac:dyDescent="0.15">
      <c r="A7034" s="45" t="s">
        <v>41</v>
      </c>
      <c r="D7034" s="45" t="s">
        <v>8708</v>
      </c>
    </row>
    <row r="7035" spans="1:4" s="45" customFormat="1" ht="13.5" x14ac:dyDescent="0.15">
      <c r="A7035" s="45" t="s">
        <v>41</v>
      </c>
      <c r="D7035" s="45" t="s">
        <v>8709</v>
      </c>
    </row>
    <row r="7036" spans="1:4" s="45" customFormat="1" ht="13.5" x14ac:dyDescent="0.15">
      <c r="A7036" s="45" t="s">
        <v>41</v>
      </c>
      <c r="D7036" s="45" t="s">
        <v>116</v>
      </c>
    </row>
    <row r="7037" spans="1:4" s="45" customFormat="1" ht="13.5" x14ac:dyDescent="0.15">
      <c r="A7037" s="45" t="s">
        <v>41</v>
      </c>
      <c r="D7037" s="45" t="s">
        <v>114</v>
      </c>
    </row>
    <row r="7038" spans="1:4" s="45" customFormat="1" ht="13.5" x14ac:dyDescent="0.15">
      <c r="A7038" s="45" t="s">
        <v>41</v>
      </c>
      <c r="D7038" s="45" t="s">
        <v>8710</v>
      </c>
    </row>
    <row r="7039" spans="1:4" s="45" customFormat="1" ht="13.5" x14ac:dyDescent="0.15">
      <c r="A7039" s="45" t="s">
        <v>41</v>
      </c>
      <c r="D7039" s="45" t="s">
        <v>334</v>
      </c>
    </row>
    <row r="7040" spans="1:4" s="45" customFormat="1" ht="13.5" x14ac:dyDescent="0.15">
      <c r="A7040" s="45" t="s">
        <v>41</v>
      </c>
      <c r="D7040" s="45" t="s">
        <v>8711</v>
      </c>
    </row>
    <row r="7041" spans="1:4" s="45" customFormat="1" ht="13.5" x14ac:dyDescent="0.15">
      <c r="A7041" s="45" t="s">
        <v>41</v>
      </c>
      <c r="D7041" s="45" t="s">
        <v>8712</v>
      </c>
    </row>
    <row r="7042" spans="1:4" s="45" customFormat="1" ht="13.5" x14ac:dyDescent="0.15">
      <c r="A7042" s="45" t="s">
        <v>41</v>
      </c>
      <c r="D7042" s="45" t="s">
        <v>2547</v>
      </c>
    </row>
    <row r="7043" spans="1:4" s="45" customFormat="1" ht="13.5" x14ac:dyDescent="0.15">
      <c r="A7043" s="45" t="s">
        <v>41</v>
      </c>
      <c r="D7043" s="45" t="s">
        <v>2033</v>
      </c>
    </row>
    <row r="7044" spans="1:4" s="45" customFormat="1" ht="13.5" x14ac:dyDescent="0.15">
      <c r="A7044" s="45" t="s">
        <v>41</v>
      </c>
      <c r="D7044" s="45" t="s">
        <v>2527</v>
      </c>
    </row>
    <row r="7045" spans="1:4" s="45" customFormat="1" ht="13.5" x14ac:dyDescent="0.15">
      <c r="A7045" s="45" t="s">
        <v>41</v>
      </c>
      <c r="D7045" s="45" t="s">
        <v>2201</v>
      </c>
    </row>
    <row r="7046" spans="1:4" s="45" customFormat="1" ht="13.5" x14ac:dyDescent="0.15">
      <c r="A7046" s="45" t="s">
        <v>41</v>
      </c>
      <c r="D7046" s="45" t="s">
        <v>8713</v>
      </c>
    </row>
    <row r="7047" spans="1:4" s="45" customFormat="1" ht="13.5" x14ac:dyDescent="0.15">
      <c r="A7047" s="45" t="s">
        <v>41</v>
      </c>
      <c r="D7047" s="45" t="s">
        <v>2058</v>
      </c>
    </row>
    <row r="7048" spans="1:4" s="45" customFormat="1" ht="13.5" x14ac:dyDescent="0.15">
      <c r="A7048" s="45" t="s">
        <v>41</v>
      </c>
      <c r="D7048" s="45" t="s">
        <v>1657</v>
      </c>
    </row>
    <row r="7049" spans="1:4" s="45" customFormat="1" ht="13.5" x14ac:dyDescent="0.15">
      <c r="A7049" s="45" t="s">
        <v>41</v>
      </c>
      <c r="D7049" s="45" t="s">
        <v>8714</v>
      </c>
    </row>
    <row r="7050" spans="1:4" s="45" customFormat="1" ht="13.5" x14ac:dyDescent="0.15">
      <c r="A7050" s="45" t="s">
        <v>41</v>
      </c>
      <c r="D7050" s="45" t="s">
        <v>8715</v>
      </c>
    </row>
    <row r="7051" spans="1:4" s="45" customFormat="1" ht="13.5" x14ac:dyDescent="0.15">
      <c r="A7051" s="45" t="s">
        <v>41</v>
      </c>
      <c r="D7051" s="45" t="s">
        <v>8716</v>
      </c>
    </row>
    <row r="7052" spans="1:4" s="45" customFormat="1" ht="13.5" x14ac:dyDescent="0.15">
      <c r="A7052" s="45" t="s">
        <v>41</v>
      </c>
      <c r="D7052" s="45" t="s">
        <v>8717</v>
      </c>
    </row>
    <row r="7053" spans="1:4" s="45" customFormat="1" ht="13.5" x14ac:dyDescent="0.15">
      <c r="A7053" s="45" t="s">
        <v>41</v>
      </c>
      <c r="D7053" s="45" t="s">
        <v>8718</v>
      </c>
    </row>
    <row r="7054" spans="1:4" s="45" customFormat="1" ht="13.5" x14ac:dyDescent="0.15">
      <c r="A7054" s="45" t="s">
        <v>41</v>
      </c>
      <c r="D7054" s="45" t="s">
        <v>8719</v>
      </c>
    </row>
    <row r="7055" spans="1:4" s="45" customFormat="1" ht="13.5" x14ac:dyDescent="0.15">
      <c r="A7055" s="45" t="s">
        <v>41</v>
      </c>
      <c r="D7055" s="45" t="s">
        <v>902</v>
      </c>
    </row>
    <row r="7056" spans="1:4" s="45" customFormat="1" ht="13.5" x14ac:dyDescent="0.15">
      <c r="A7056" s="45" t="s">
        <v>41</v>
      </c>
      <c r="D7056" s="45" t="s">
        <v>8720</v>
      </c>
    </row>
    <row r="7057" spans="1:4" s="45" customFormat="1" ht="13.5" x14ac:dyDescent="0.15">
      <c r="A7057" s="45" t="s">
        <v>41</v>
      </c>
      <c r="D7057" s="45" t="s">
        <v>1686</v>
      </c>
    </row>
    <row r="7058" spans="1:4" s="45" customFormat="1" ht="13.5" x14ac:dyDescent="0.15">
      <c r="A7058" s="45" t="s">
        <v>41</v>
      </c>
      <c r="D7058" s="45" t="s">
        <v>1687</v>
      </c>
    </row>
    <row r="7059" spans="1:4" s="45" customFormat="1" ht="13.5" x14ac:dyDescent="0.15">
      <c r="A7059" s="45" t="s">
        <v>41</v>
      </c>
      <c r="D7059" s="45" t="s">
        <v>1929</v>
      </c>
    </row>
    <row r="7060" spans="1:4" s="45" customFormat="1" ht="13.5" x14ac:dyDescent="0.15">
      <c r="A7060" s="45" t="s">
        <v>41</v>
      </c>
      <c r="D7060" s="45" t="s">
        <v>1658</v>
      </c>
    </row>
    <row r="7061" spans="1:4" s="45" customFormat="1" ht="13.5" x14ac:dyDescent="0.15">
      <c r="A7061" s="45" t="s">
        <v>41</v>
      </c>
      <c r="D7061" s="45" t="s">
        <v>185</v>
      </c>
    </row>
    <row r="7062" spans="1:4" s="45" customFormat="1" ht="13.5" x14ac:dyDescent="0.15">
      <c r="A7062" s="45" t="s">
        <v>41</v>
      </c>
      <c r="D7062" s="45" t="s">
        <v>8721</v>
      </c>
    </row>
    <row r="7063" spans="1:4" s="45" customFormat="1" ht="13.5" x14ac:dyDescent="0.15">
      <c r="A7063" s="45" t="s">
        <v>41</v>
      </c>
      <c r="D7063" s="45" t="s">
        <v>8722</v>
      </c>
    </row>
    <row r="7064" spans="1:4" s="45" customFormat="1" ht="13.5" x14ac:dyDescent="0.15">
      <c r="A7064" s="45" t="s">
        <v>41</v>
      </c>
      <c r="D7064" s="45" t="s">
        <v>8723</v>
      </c>
    </row>
    <row r="7065" spans="1:4" s="45" customFormat="1" ht="13.5" x14ac:dyDescent="0.15">
      <c r="A7065" s="45" t="s">
        <v>41</v>
      </c>
      <c r="D7065" s="45" t="s">
        <v>8724</v>
      </c>
    </row>
    <row r="7066" spans="1:4" s="45" customFormat="1" ht="13.5" x14ac:dyDescent="0.15">
      <c r="A7066" s="45" t="s">
        <v>41</v>
      </c>
      <c r="D7066" s="45" t="s">
        <v>8725</v>
      </c>
    </row>
    <row r="7067" spans="1:4" s="45" customFormat="1" ht="13.5" x14ac:dyDescent="0.15">
      <c r="A7067" s="45" t="s">
        <v>41</v>
      </c>
      <c r="D7067" s="45" t="s">
        <v>8726</v>
      </c>
    </row>
    <row r="7068" spans="1:4" s="45" customFormat="1" ht="13.5" x14ac:dyDescent="0.15">
      <c r="A7068" s="45" t="s">
        <v>41</v>
      </c>
      <c r="D7068" s="45" t="s">
        <v>3794</v>
      </c>
    </row>
    <row r="7069" spans="1:4" s="45" customFormat="1" ht="13.5" x14ac:dyDescent="0.15">
      <c r="A7069" s="45" t="s">
        <v>41</v>
      </c>
      <c r="D7069" s="45" t="s">
        <v>8727</v>
      </c>
    </row>
    <row r="7070" spans="1:4" s="45" customFormat="1" ht="13.5" x14ac:dyDescent="0.15">
      <c r="A7070" s="45" t="s">
        <v>41</v>
      </c>
      <c r="D7070" s="45" t="s">
        <v>3793</v>
      </c>
    </row>
    <row r="7071" spans="1:4" s="45" customFormat="1" ht="13.5" x14ac:dyDescent="0.15">
      <c r="A7071" s="45" t="s">
        <v>41</v>
      </c>
      <c r="D7071" s="45" t="s">
        <v>8728</v>
      </c>
    </row>
    <row r="7072" spans="1:4" s="45" customFormat="1" ht="13.5" x14ac:dyDescent="0.15">
      <c r="A7072" s="45" t="s">
        <v>41</v>
      </c>
      <c r="D7072" s="45" t="s">
        <v>8729</v>
      </c>
    </row>
    <row r="7073" spans="1:4" s="45" customFormat="1" ht="13.5" x14ac:dyDescent="0.15">
      <c r="A7073" s="45" t="s">
        <v>41</v>
      </c>
      <c r="D7073" s="45" t="s">
        <v>8730</v>
      </c>
    </row>
    <row r="7074" spans="1:4" s="45" customFormat="1" ht="13.5" x14ac:dyDescent="0.15">
      <c r="A7074" s="45" t="s">
        <v>41</v>
      </c>
      <c r="D7074" s="45" t="s">
        <v>3791</v>
      </c>
    </row>
    <row r="7075" spans="1:4" s="45" customFormat="1" ht="13.5" x14ac:dyDescent="0.15">
      <c r="A7075" s="45" t="s">
        <v>41</v>
      </c>
      <c r="D7075" s="45" t="s">
        <v>8731</v>
      </c>
    </row>
    <row r="7076" spans="1:4" s="45" customFormat="1" ht="13.5" x14ac:dyDescent="0.15">
      <c r="A7076" s="45" t="s">
        <v>41</v>
      </c>
      <c r="D7076" s="45" t="s">
        <v>8732</v>
      </c>
    </row>
    <row r="7077" spans="1:4" s="45" customFormat="1" ht="13.5" x14ac:dyDescent="0.15">
      <c r="A7077" s="45" t="s">
        <v>41</v>
      </c>
      <c r="D7077" s="45" t="s">
        <v>8733</v>
      </c>
    </row>
    <row r="7078" spans="1:4" s="45" customFormat="1" ht="13.5" x14ac:dyDescent="0.15">
      <c r="A7078" s="45" t="s">
        <v>41</v>
      </c>
      <c r="D7078" s="45" t="s">
        <v>8734</v>
      </c>
    </row>
    <row r="7079" spans="1:4" s="45" customFormat="1" ht="13.5" x14ac:dyDescent="0.15">
      <c r="A7079" s="45" t="s">
        <v>41</v>
      </c>
      <c r="D7079" s="45" t="s">
        <v>8735</v>
      </c>
    </row>
    <row r="7080" spans="1:4" s="45" customFormat="1" ht="13.5" x14ac:dyDescent="0.15">
      <c r="A7080" s="45" t="s">
        <v>41</v>
      </c>
      <c r="D7080" s="45" t="s">
        <v>8736</v>
      </c>
    </row>
    <row r="7081" spans="1:4" s="45" customFormat="1" ht="13.5" x14ac:dyDescent="0.15">
      <c r="A7081" s="45" t="s">
        <v>41</v>
      </c>
      <c r="D7081" s="45" t="s">
        <v>8737</v>
      </c>
    </row>
    <row r="7082" spans="1:4" s="45" customFormat="1" ht="13.5" x14ac:dyDescent="0.15">
      <c r="A7082" s="45" t="s">
        <v>41</v>
      </c>
      <c r="D7082" s="45" t="s">
        <v>8738</v>
      </c>
    </row>
    <row r="7083" spans="1:4" s="45" customFormat="1" ht="13.5" x14ac:dyDescent="0.15">
      <c r="A7083" s="45" t="s">
        <v>41</v>
      </c>
      <c r="D7083" s="45" t="s">
        <v>1049</v>
      </c>
    </row>
    <row r="7084" spans="1:4" s="45" customFormat="1" ht="13.5" x14ac:dyDescent="0.15">
      <c r="A7084" s="45" t="s">
        <v>41</v>
      </c>
      <c r="D7084" s="45" t="s">
        <v>2531</v>
      </c>
    </row>
    <row r="7085" spans="1:4" s="45" customFormat="1" ht="13.5" x14ac:dyDescent="0.15">
      <c r="A7085" s="45" t="s">
        <v>41</v>
      </c>
      <c r="D7085" s="45" t="s">
        <v>8739</v>
      </c>
    </row>
    <row r="7086" spans="1:4" s="45" customFormat="1" ht="13.5" x14ac:dyDescent="0.15">
      <c r="A7086" s="45" t="s">
        <v>41</v>
      </c>
      <c r="D7086" s="45" t="s">
        <v>8740</v>
      </c>
    </row>
    <row r="7087" spans="1:4" s="45" customFormat="1" ht="13.5" x14ac:dyDescent="0.15">
      <c r="A7087" s="45" t="s">
        <v>41</v>
      </c>
      <c r="D7087" s="45" t="s">
        <v>8741</v>
      </c>
    </row>
    <row r="7088" spans="1:4" s="45" customFormat="1" ht="13.5" x14ac:dyDescent="0.15">
      <c r="A7088" s="45" t="s">
        <v>41</v>
      </c>
      <c r="D7088" s="45" t="s">
        <v>8742</v>
      </c>
    </row>
    <row r="7089" spans="1:4" s="45" customFormat="1" ht="13.5" x14ac:dyDescent="0.15">
      <c r="A7089" s="45" t="s">
        <v>41</v>
      </c>
      <c r="D7089" s="45" t="s">
        <v>8743</v>
      </c>
    </row>
    <row r="7090" spans="1:4" s="45" customFormat="1" ht="13.5" x14ac:dyDescent="0.15">
      <c r="A7090" s="45" t="s">
        <v>41</v>
      </c>
      <c r="D7090" s="45" t="s">
        <v>2440</v>
      </c>
    </row>
    <row r="7091" spans="1:4" s="45" customFormat="1" ht="13.5" x14ac:dyDescent="0.15">
      <c r="A7091" s="45" t="s">
        <v>41</v>
      </c>
      <c r="D7091" s="45" t="s">
        <v>2439</v>
      </c>
    </row>
    <row r="7092" spans="1:4" s="45" customFormat="1" ht="13.5" x14ac:dyDescent="0.15">
      <c r="A7092" s="45" t="s">
        <v>41</v>
      </c>
      <c r="D7092" s="45" t="s">
        <v>8744</v>
      </c>
    </row>
    <row r="7093" spans="1:4" s="45" customFormat="1" ht="13.5" x14ac:dyDescent="0.15">
      <c r="A7093" s="45" t="s">
        <v>41</v>
      </c>
      <c r="D7093" s="45" t="s">
        <v>8745</v>
      </c>
    </row>
    <row r="7094" spans="1:4" s="45" customFormat="1" ht="13.5" x14ac:dyDescent="0.15">
      <c r="A7094" s="45" t="s">
        <v>41</v>
      </c>
      <c r="D7094" s="45" t="s">
        <v>8746</v>
      </c>
    </row>
    <row r="7095" spans="1:4" s="45" customFormat="1" ht="13.5" x14ac:dyDescent="0.15">
      <c r="A7095" s="45" t="s">
        <v>41</v>
      </c>
      <c r="D7095" s="45" t="s">
        <v>8747</v>
      </c>
    </row>
    <row r="7096" spans="1:4" s="45" customFormat="1" ht="13.5" x14ac:dyDescent="0.15">
      <c r="A7096" s="45" t="s">
        <v>41</v>
      </c>
      <c r="D7096" s="45" t="s">
        <v>8748</v>
      </c>
    </row>
    <row r="7097" spans="1:4" s="45" customFormat="1" ht="13.5" x14ac:dyDescent="0.15">
      <c r="A7097" s="45" t="s">
        <v>41</v>
      </c>
      <c r="D7097" s="45" t="s">
        <v>8749</v>
      </c>
    </row>
    <row r="7098" spans="1:4" s="45" customFormat="1" ht="13.5" x14ac:dyDescent="0.15">
      <c r="A7098" s="45" t="s">
        <v>41</v>
      </c>
      <c r="D7098" s="45" t="s">
        <v>8750</v>
      </c>
    </row>
    <row r="7099" spans="1:4" s="45" customFormat="1" ht="13.5" x14ac:dyDescent="0.15">
      <c r="A7099" s="45" t="s">
        <v>41</v>
      </c>
      <c r="D7099" s="45" t="s">
        <v>8751</v>
      </c>
    </row>
    <row r="7100" spans="1:4" s="45" customFormat="1" ht="13.5" x14ac:dyDescent="0.15">
      <c r="A7100" s="45" t="s">
        <v>41</v>
      </c>
      <c r="D7100" s="45" t="s">
        <v>8752</v>
      </c>
    </row>
    <row r="7101" spans="1:4" s="45" customFormat="1" ht="13.5" x14ac:dyDescent="0.15">
      <c r="A7101" s="45" t="s">
        <v>41</v>
      </c>
      <c r="D7101" s="45" t="s">
        <v>8753</v>
      </c>
    </row>
    <row r="7102" spans="1:4" s="45" customFormat="1" ht="13.5" x14ac:dyDescent="0.15">
      <c r="A7102" s="45" t="s">
        <v>41</v>
      </c>
      <c r="D7102" s="45" t="s">
        <v>8754</v>
      </c>
    </row>
    <row r="7103" spans="1:4" s="45" customFormat="1" ht="13.5" x14ac:dyDescent="0.15">
      <c r="A7103" s="45" t="s">
        <v>41</v>
      </c>
      <c r="D7103" s="45" t="s">
        <v>624</v>
      </c>
    </row>
    <row r="7104" spans="1:4" s="45" customFormat="1" ht="13.5" x14ac:dyDescent="0.15">
      <c r="A7104" s="45" t="s">
        <v>41</v>
      </c>
      <c r="D7104" s="45" t="s">
        <v>8755</v>
      </c>
    </row>
    <row r="7105" spans="1:4" s="45" customFormat="1" ht="13.5" x14ac:dyDescent="0.15">
      <c r="A7105" s="45" t="s">
        <v>41</v>
      </c>
      <c r="D7105" s="45" t="s">
        <v>8756</v>
      </c>
    </row>
    <row r="7106" spans="1:4" s="45" customFormat="1" ht="13.5" x14ac:dyDescent="0.15">
      <c r="A7106" s="45" t="s">
        <v>41</v>
      </c>
      <c r="D7106" s="45" t="s">
        <v>858</v>
      </c>
    </row>
    <row r="7107" spans="1:4" s="45" customFormat="1" ht="13.5" x14ac:dyDescent="0.15">
      <c r="A7107" s="45" t="s">
        <v>41</v>
      </c>
      <c r="D7107" s="45" t="s">
        <v>8757</v>
      </c>
    </row>
    <row r="7108" spans="1:4" s="45" customFormat="1" ht="13.5" x14ac:dyDescent="0.15">
      <c r="A7108" s="45" t="s">
        <v>41</v>
      </c>
      <c r="D7108" s="45" t="s">
        <v>8758</v>
      </c>
    </row>
    <row r="7109" spans="1:4" s="45" customFormat="1" ht="13.5" x14ac:dyDescent="0.15">
      <c r="A7109" s="45" t="s">
        <v>41</v>
      </c>
      <c r="D7109" s="45" t="s">
        <v>864</v>
      </c>
    </row>
    <row r="7110" spans="1:4" s="45" customFormat="1" ht="13.5" x14ac:dyDescent="0.15">
      <c r="A7110" s="45" t="s">
        <v>41</v>
      </c>
      <c r="D7110" s="45" t="s">
        <v>8759</v>
      </c>
    </row>
    <row r="7111" spans="1:4" s="45" customFormat="1" ht="13.5" x14ac:dyDescent="0.15">
      <c r="A7111" s="45" t="s">
        <v>41</v>
      </c>
      <c r="D7111" s="45" t="s">
        <v>860</v>
      </c>
    </row>
    <row r="7112" spans="1:4" s="45" customFormat="1" ht="13.5" x14ac:dyDescent="0.15">
      <c r="A7112" s="45" t="s">
        <v>41</v>
      </c>
      <c r="D7112" s="45" t="s">
        <v>861</v>
      </c>
    </row>
    <row r="7113" spans="1:4" s="45" customFormat="1" ht="13.5" x14ac:dyDescent="0.15">
      <c r="A7113" s="45" t="s">
        <v>41</v>
      </c>
      <c r="D7113" s="45" t="s">
        <v>8760</v>
      </c>
    </row>
    <row r="7114" spans="1:4" s="45" customFormat="1" ht="13.5" x14ac:dyDescent="0.15">
      <c r="A7114" s="45" t="s">
        <v>41</v>
      </c>
      <c r="D7114" s="45" t="s">
        <v>8761</v>
      </c>
    </row>
    <row r="7115" spans="1:4" s="45" customFormat="1" ht="13.5" x14ac:dyDescent="0.15">
      <c r="A7115" s="45" t="s">
        <v>41</v>
      </c>
      <c r="D7115" s="45" t="s">
        <v>8762</v>
      </c>
    </row>
    <row r="7116" spans="1:4" s="45" customFormat="1" ht="13.5" x14ac:dyDescent="0.15">
      <c r="A7116" s="45" t="s">
        <v>41</v>
      </c>
      <c r="D7116" s="45" t="s">
        <v>8763</v>
      </c>
    </row>
    <row r="7117" spans="1:4" s="45" customFormat="1" ht="13.5" x14ac:dyDescent="0.15">
      <c r="A7117" s="45" t="s">
        <v>41</v>
      </c>
      <c r="D7117" s="45" t="s">
        <v>872</v>
      </c>
    </row>
    <row r="7118" spans="1:4" s="45" customFormat="1" ht="13.5" x14ac:dyDescent="0.15">
      <c r="A7118" s="45" t="s">
        <v>41</v>
      </c>
      <c r="D7118" s="45" t="s">
        <v>8764</v>
      </c>
    </row>
    <row r="7119" spans="1:4" s="45" customFormat="1" ht="13.5" x14ac:dyDescent="0.15">
      <c r="A7119" s="45" t="s">
        <v>41</v>
      </c>
      <c r="D7119" s="45" t="s">
        <v>871</v>
      </c>
    </row>
    <row r="7120" spans="1:4" s="45" customFormat="1" ht="13.5" x14ac:dyDescent="0.15">
      <c r="A7120" s="45" t="s">
        <v>41</v>
      </c>
      <c r="D7120" s="45" t="s">
        <v>8765</v>
      </c>
    </row>
    <row r="7121" spans="1:4" s="45" customFormat="1" ht="13.5" x14ac:dyDescent="0.15">
      <c r="A7121" s="45" t="s">
        <v>41</v>
      </c>
      <c r="D7121" s="45" t="s">
        <v>8766</v>
      </c>
    </row>
    <row r="7122" spans="1:4" s="45" customFormat="1" ht="13.5" x14ac:dyDescent="0.15">
      <c r="A7122" s="45" t="s">
        <v>41</v>
      </c>
      <c r="D7122" s="45" t="s">
        <v>8767</v>
      </c>
    </row>
    <row r="7123" spans="1:4" s="45" customFormat="1" ht="13.5" x14ac:dyDescent="0.15">
      <c r="A7123" s="45" t="s">
        <v>41</v>
      </c>
      <c r="D7123" s="45" t="s">
        <v>862</v>
      </c>
    </row>
    <row r="7124" spans="1:4" s="45" customFormat="1" ht="13.5" x14ac:dyDescent="0.15">
      <c r="A7124" s="45" t="s">
        <v>41</v>
      </c>
      <c r="D7124" s="45" t="s">
        <v>8768</v>
      </c>
    </row>
    <row r="7125" spans="1:4" s="45" customFormat="1" ht="13.5" x14ac:dyDescent="0.15">
      <c r="A7125" s="45" t="s">
        <v>41</v>
      </c>
      <c r="D7125" s="45" t="s">
        <v>8769</v>
      </c>
    </row>
    <row r="7126" spans="1:4" s="45" customFormat="1" ht="13.5" x14ac:dyDescent="0.15">
      <c r="A7126" s="45" t="s">
        <v>41</v>
      </c>
      <c r="D7126" s="45" t="s">
        <v>870</v>
      </c>
    </row>
    <row r="7127" spans="1:4" s="45" customFormat="1" ht="13.5" x14ac:dyDescent="0.15">
      <c r="A7127" s="45" t="s">
        <v>41</v>
      </c>
      <c r="D7127" s="45" t="s">
        <v>8770</v>
      </c>
    </row>
    <row r="7128" spans="1:4" s="45" customFormat="1" ht="13.5" x14ac:dyDescent="0.15">
      <c r="A7128" s="45" t="s">
        <v>41</v>
      </c>
      <c r="D7128" s="45" t="s">
        <v>8771</v>
      </c>
    </row>
    <row r="7129" spans="1:4" s="45" customFormat="1" ht="13.5" x14ac:dyDescent="0.15">
      <c r="A7129" s="45" t="s">
        <v>41</v>
      </c>
      <c r="D7129" s="45" t="s">
        <v>865</v>
      </c>
    </row>
    <row r="7130" spans="1:4" s="45" customFormat="1" ht="13.5" x14ac:dyDescent="0.15">
      <c r="A7130" s="45" t="s">
        <v>41</v>
      </c>
      <c r="D7130" s="45" t="s">
        <v>867</v>
      </c>
    </row>
    <row r="7131" spans="1:4" s="45" customFormat="1" ht="13.5" x14ac:dyDescent="0.15">
      <c r="A7131" s="45" t="s">
        <v>41</v>
      </c>
      <c r="D7131" s="45" t="s">
        <v>866</v>
      </c>
    </row>
    <row r="7132" spans="1:4" s="45" customFormat="1" ht="13.5" x14ac:dyDescent="0.15">
      <c r="A7132" s="45" t="s">
        <v>41</v>
      </c>
      <c r="D7132" s="45" t="s">
        <v>8772</v>
      </c>
    </row>
    <row r="7133" spans="1:4" s="45" customFormat="1" ht="13.5" x14ac:dyDescent="0.15">
      <c r="A7133" s="45" t="s">
        <v>41</v>
      </c>
      <c r="D7133" s="45" t="s">
        <v>863</v>
      </c>
    </row>
    <row r="7134" spans="1:4" s="45" customFormat="1" ht="13.5" x14ac:dyDescent="0.15">
      <c r="A7134" s="45" t="s">
        <v>41</v>
      </c>
      <c r="D7134" s="45" t="s">
        <v>869</v>
      </c>
    </row>
    <row r="7135" spans="1:4" s="45" customFormat="1" ht="13.5" x14ac:dyDescent="0.15">
      <c r="A7135" s="45" t="s">
        <v>41</v>
      </c>
      <c r="D7135" s="45" t="s">
        <v>859</v>
      </c>
    </row>
    <row r="7136" spans="1:4" s="45" customFormat="1" ht="13.5" x14ac:dyDescent="0.15">
      <c r="A7136" s="45" t="s">
        <v>41</v>
      </c>
      <c r="D7136" s="45" t="s">
        <v>868</v>
      </c>
    </row>
    <row r="7137" spans="1:4" s="45" customFormat="1" ht="13.5" x14ac:dyDescent="0.15">
      <c r="A7137" s="45" t="s">
        <v>41</v>
      </c>
      <c r="D7137" s="45" t="s">
        <v>8773</v>
      </c>
    </row>
    <row r="7138" spans="1:4" s="45" customFormat="1" ht="13.5" x14ac:dyDescent="0.15">
      <c r="A7138" s="45" t="s">
        <v>41</v>
      </c>
      <c r="D7138" s="45" t="s">
        <v>8774</v>
      </c>
    </row>
    <row r="7139" spans="1:4" s="45" customFormat="1" ht="13.5" x14ac:dyDescent="0.15">
      <c r="A7139" s="45" t="s">
        <v>41</v>
      </c>
      <c r="D7139" s="45" t="s">
        <v>9775</v>
      </c>
    </row>
    <row r="7140" spans="1:4" s="45" customFormat="1" ht="13.5" x14ac:dyDescent="0.15">
      <c r="A7140" s="45" t="s">
        <v>41</v>
      </c>
      <c r="D7140" s="45" t="s">
        <v>8775</v>
      </c>
    </row>
    <row r="7141" spans="1:4" s="45" customFormat="1" ht="13.5" x14ac:dyDescent="0.15">
      <c r="A7141" s="45" t="s">
        <v>41</v>
      </c>
      <c r="D7141" s="45" t="s">
        <v>8776</v>
      </c>
    </row>
    <row r="7142" spans="1:4" s="45" customFormat="1" ht="13.5" x14ac:dyDescent="0.15">
      <c r="A7142" s="45" t="s">
        <v>41</v>
      </c>
      <c r="D7142" s="45" t="s">
        <v>8777</v>
      </c>
    </row>
    <row r="7143" spans="1:4" s="45" customFormat="1" ht="13.5" x14ac:dyDescent="0.15">
      <c r="A7143" s="45" t="s">
        <v>41</v>
      </c>
      <c r="D7143" s="45" t="s">
        <v>8778</v>
      </c>
    </row>
    <row r="7144" spans="1:4" s="45" customFormat="1" ht="13.5" x14ac:dyDescent="0.15">
      <c r="A7144" s="45" t="s">
        <v>41</v>
      </c>
      <c r="D7144" s="45" t="s">
        <v>8779</v>
      </c>
    </row>
    <row r="7145" spans="1:4" s="45" customFormat="1" ht="13.5" x14ac:dyDescent="0.15">
      <c r="A7145" s="45" t="s">
        <v>41</v>
      </c>
      <c r="D7145" s="45" t="s">
        <v>8780</v>
      </c>
    </row>
    <row r="7146" spans="1:4" s="45" customFormat="1" ht="13.5" x14ac:dyDescent="0.15">
      <c r="A7146" s="45" t="s">
        <v>41</v>
      </c>
      <c r="D7146" s="45" t="s">
        <v>8781</v>
      </c>
    </row>
    <row r="7147" spans="1:4" s="45" customFormat="1" ht="13.5" x14ac:dyDescent="0.15">
      <c r="A7147" s="45" t="s">
        <v>41</v>
      </c>
      <c r="D7147" s="45" t="s">
        <v>8782</v>
      </c>
    </row>
    <row r="7148" spans="1:4" s="45" customFormat="1" ht="13.5" x14ac:dyDescent="0.15">
      <c r="A7148" s="45" t="s">
        <v>41</v>
      </c>
      <c r="D7148" s="45" t="s">
        <v>8783</v>
      </c>
    </row>
    <row r="7149" spans="1:4" s="45" customFormat="1" ht="13.5" x14ac:dyDescent="0.15">
      <c r="A7149" s="45" t="s">
        <v>41</v>
      </c>
      <c r="D7149" s="45" t="s">
        <v>8784</v>
      </c>
    </row>
    <row r="7150" spans="1:4" s="45" customFormat="1" ht="13.5" x14ac:dyDescent="0.15">
      <c r="A7150" s="45" t="s">
        <v>41</v>
      </c>
      <c r="D7150" s="45" t="s">
        <v>8785</v>
      </c>
    </row>
    <row r="7151" spans="1:4" s="45" customFormat="1" ht="13.5" x14ac:dyDescent="0.15">
      <c r="A7151" s="45" t="s">
        <v>41</v>
      </c>
      <c r="D7151" s="45" t="s">
        <v>8786</v>
      </c>
    </row>
    <row r="7152" spans="1:4" s="45" customFormat="1" ht="13.5" x14ac:dyDescent="0.15">
      <c r="A7152" s="45" t="s">
        <v>41</v>
      </c>
      <c r="D7152" s="45" t="s">
        <v>8787</v>
      </c>
    </row>
    <row r="7153" spans="1:4" s="45" customFormat="1" ht="13.5" x14ac:dyDescent="0.15">
      <c r="A7153" s="45" t="s">
        <v>41</v>
      </c>
      <c r="D7153" s="45" t="s">
        <v>2275</v>
      </c>
    </row>
    <row r="7154" spans="1:4" s="45" customFormat="1" ht="13.5" x14ac:dyDescent="0.15">
      <c r="A7154" s="45" t="s">
        <v>41</v>
      </c>
      <c r="D7154" s="45" t="s">
        <v>8788</v>
      </c>
    </row>
    <row r="7155" spans="1:4" s="45" customFormat="1" ht="13.5" x14ac:dyDescent="0.15">
      <c r="A7155" s="45" t="s">
        <v>41</v>
      </c>
      <c r="D7155" s="45" t="s">
        <v>8789</v>
      </c>
    </row>
    <row r="7156" spans="1:4" s="45" customFormat="1" ht="13.5" x14ac:dyDescent="0.15">
      <c r="A7156" s="45" t="s">
        <v>41</v>
      </c>
      <c r="D7156" s="45" t="s">
        <v>8790</v>
      </c>
    </row>
    <row r="7157" spans="1:4" s="45" customFormat="1" ht="13.5" x14ac:dyDescent="0.15">
      <c r="A7157" s="45" t="s">
        <v>41</v>
      </c>
      <c r="D7157" s="45" t="s">
        <v>8791</v>
      </c>
    </row>
    <row r="7158" spans="1:4" s="45" customFormat="1" ht="13.5" x14ac:dyDescent="0.15">
      <c r="A7158" s="45" t="s">
        <v>41</v>
      </c>
      <c r="D7158" s="45" t="s">
        <v>8792</v>
      </c>
    </row>
    <row r="7159" spans="1:4" s="45" customFormat="1" ht="13.5" x14ac:dyDescent="0.15">
      <c r="A7159" s="45" t="s">
        <v>41</v>
      </c>
      <c r="D7159" s="45" t="s">
        <v>8793</v>
      </c>
    </row>
    <row r="7160" spans="1:4" s="45" customFormat="1" ht="13.5" x14ac:dyDescent="0.15">
      <c r="A7160" s="45" t="s">
        <v>41</v>
      </c>
      <c r="D7160" s="45" t="s">
        <v>8794</v>
      </c>
    </row>
    <row r="7161" spans="1:4" s="45" customFormat="1" ht="13.5" x14ac:dyDescent="0.15">
      <c r="A7161" s="45" t="s">
        <v>41</v>
      </c>
      <c r="D7161" s="45" t="s">
        <v>8795</v>
      </c>
    </row>
    <row r="7162" spans="1:4" s="45" customFormat="1" ht="13.5" x14ac:dyDescent="0.15">
      <c r="A7162" s="45" t="s">
        <v>41</v>
      </c>
      <c r="D7162" s="45" t="s">
        <v>2113</v>
      </c>
    </row>
    <row r="7163" spans="1:4" s="45" customFormat="1" ht="13.5" x14ac:dyDescent="0.15">
      <c r="A7163" s="45" t="s">
        <v>41</v>
      </c>
      <c r="D7163" s="45" t="s">
        <v>2111</v>
      </c>
    </row>
    <row r="7164" spans="1:4" s="45" customFormat="1" ht="13.5" x14ac:dyDescent="0.15">
      <c r="A7164" s="45" t="s">
        <v>41</v>
      </c>
      <c r="D7164" s="45" t="s">
        <v>2112</v>
      </c>
    </row>
    <row r="7165" spans="1:4" s="45" customFormat="1" ht="13.5" x14ac:dyDescent="0.15">
      <c r="A7165" s="45" t="s">
        <v>41</v>
      </c>
      <c r="D7165" s="45" t="s">
        <v>2110</v>
      </c>
    </row>
    <row r="7166" spans="1:4" s="45" customFormat="1" ht="13.5" x14ac:dyDescent="0.15">
      <c r="A7166" s="45" t="s">
        <v>41</v>
      </c>
      <c r="D7166" s="45" t="s">
        <v>8796</v>
      </c>
    </row>
    <row r="7167" spans="1:4" s="45" customFormat="1" ht="13.5" x14ac:dyDescent="0.15">
      <c r="A7167" s="45" t="s">
        <v>41</v>
      </c>
      <c r="D7167" s="45" t="s">
        <v>8797</v>
      </c>
    </row>
    <row r="7168" spans="1:4" s="45" customFormat="1" ht="13.5" x14ac:dyDescent="0.15">
      <c r="A7168" s="45" t="s">
        <v>41</v>
      </c>
      <c r="D7168" s="45" t="s">
        <v>2231</v>
      </c>
    </row>
    <row r="7169" spans="1:4" s="45" customFormat="1" ht="13.5" x14ac:dyDescent="0.15">
      <c r="A7169" s="45" t="s">
        <v>41</v>
      </c>
      <c r="D7169" s="45" t="s">
        <v>8798</v>
      </c>
    </row>
    <row r="7170" spans="1:4" s="45" customFormat="1" ht="13.5" x14ac:dyDescent="0.15">
      <c r="A7170" s="45" t="s">
        <v>41</v>
      </c>
      <c r="D7170" s="45" t="s">
        <v>8799</v>
      </c>
    </row>
    <row r="7171" spans="1:4" s="45" customFormat="1" ht="13.5" x14ac:dyDescent="0.15">
      <c r="A7171" s="45" t="s">
        <v>41</v>
      </c>
      <c r="D7171" s="45" t="s">
        <v>1193</v>
      </c>
    </row>
    <row r="7172" spans="1:4" s="45" customFormat="1" ht="13.5" x14ac:dyDescent="0.15">
      <c r="A7172" s="45" t="s">
        <v>41</v>
      </c>
      <c r="D7172" s="45" t="s">
        <v>8800</v>
      </c>
    </row>
    <row r="7173" spans="1:4" s="45" customFormat="1" ht="13.5" x14ac:dyDescent="0.15">
      <c r="A7173" s="45" t="s">
        <v>41</v>
      </c>
      <c r="D7173" s="45" t="s">
        <v>8801</v>
      </c>
    </row>
    <row r="7174" spans="1:4" s="45" customFormat="1" ht="13.5" x14ac:dyDescent="0.15">
      <c r="A7174" s="45" t="s">
        <v>41</v>
      </c>
      <c r="D7174" s="45" t="s">
        <v>1208</v>
      </c>
    </row>
    <row r="7175" spans="1:4" s="45" customFormat="1" ht="13.5" x14ac:dyDescent="0.15">
      <c r="A7175" s="45" t="s">
        <v>41</v>
      </c>
      <c r="D7175" s="45" t="s">
        <v>8802</v>
      </c>
    </row>
    <row r="7176" spans="1:4" s="45" customFormat="1" ht="13.5" x14ac:dyDescent="0.15">
      <c r="A7176" s="45" t="s">
        <v>41</v>
      </c>
      <c r="D7176" s="45" t="s">
        <v>8803</v>
      </c>
    </row>
    <row r="7177" spans="1:4" s="45" customFormat="1" ht="13.5" x14ac:dyDescent="0.15">
      <c r="A7177" s="45" t="s">
        <v>41</v>
      </c>
      <c r="D7177" s="45" t="s">
        <v>8804</v>
      </c>
    </row>
    <row r="7178" spans="1:4" s="45" customFormat="1" ht="13.5" x14ac:dyDescent="0.15">
      <c r="A7178" s="45" t="s">
        <v>41</v>
      </c>
      <c r="D7178" s="45" t="s">
        <v>8805</v>
      </c>
    </row>
    <row r="7179" spans="1:4" s="45" customFormat="1" ht="13.5" x14ac:dyDescent="0.15">
      <c r="A7179" s="45" t="s">
        <v>41</v>
      </c>
      <c r="D7179" s="45" t="s">
        <v>1206</v>
      </c>
    </row>
    <row r="7180" spans="1:4" s="45" customFormat="1" ht="13.5" x14ac:dyDescent="0.15">
      <c r="A7180" s="45" t="s">
        <v>41</v>
      </c>
      <c r="D7180" s="45" t="s">
        <v>1205</v>
      </c>
    </row>
    <row r="7181" spans="1:4" s="45" customFormat="1" ht="13.5" x14ac:dyDescent="0.15">
      <c r="A7181" s="45" t="s">
        <v>41</v>
      </c>
      <c r="D7181" s="45" t="s">
        <v>1207</v>
      </c>
    </row>
    <row r="7182" spans="1:4" s="45" customFormat="1" ht="13.5" x14ac:dyDescent="0.15">
      <c r="A7182" s="45" t="s">
        <v>41</v>
      </c>
      <c r="D7182" s="45" t="s">
        <v>8806</v>
      </c>
    </row>
    <row r="7183" spans="1:4" s="45" customFormat="1" ht="13.5" x14ac:dyDescent="0.15">
      <c r="A7183" s="45" t="s">
        <v>41</v>
      </c>
      <c r="D7183" s="45" t="s">
        <v>8807</v>
      </c>
    </row>
    <row r="7184" spans="1:4" s="45" customFormat="1" ht="13.5" x14ac:dyDescent="0.15">
      <c r="A7184" s="45" t="s">
        <v>41</v>
      </c>
      <c r="D7184" s="45" t="s">
        <v>8808</v>
      </c>
    </row>
    <row r="7185" spans="1:4" s="45" customFormat="1" ht="13.5" x14ac:dyDescent="0.15">
      <c r="A7185" s="45" t="s">
        <v>41</v>
      </c>
      <c r="D7185" s="45" t="s">
        <v>1198</v>
      </c>
    </row>
    <row r="7186" spans="1:4" s="45" customFormat="1" ht="13.5" x14ac:dyDescent="0.15">
      <c r="A7186" s="45" t="s">
        <v>41</v>
      </c>
      <c r="D7186" s="45" t="s">
        <v>1199</v>
      </c>
    </row>
    <row r="7187" spans="1:4" s="45" customFormat="1" ht="13.5" x14ac:dyDescent="0.15">
      <c r="A7187" s="45" t="s">
        <v>41</v>
      </c>
      <c r="D7187" s="45" t="s">
        <v>8809</v>
      </c>
    </row>
    <row r="7188" spans="1:4" s="45" customFormat="1" ht="13.5" x14ac:dyDescent="0.15">
      <c r="A7188" s="45" t="s">
        <v>41</v>
      </c>
      <c r="D7188" s="45" t="s">
        <v>8810</v>
      </c>
    </row>
    <row r="7189" spans="1:4" s="45" customFormat="1" ht="13.5" x14ac:dyDescent="0.15">
      <c r="A7189" s="45" t="s">
        <v>41</v>
      </c>
      <c r="D7189" s="45" t="s">
        <v>1196</v>
      </c>
    </row>
    <row r="7190" spans="1:4" s="45" customFormat="1" ht="13.5" x14ac:dyDescent="0.15">
      <c r="A7190" s="45" t="s">
        <v>41</v>
      </c>
      <c r="D7190" s="45" t="s">
        <v>1197</v>
      </c>
    </row>
    <row r="7191" spans="1:4" s="45" customFormat="1" ht="13.5" x14ac:dyDescent="0.15">
      <c r="A7191" s="45" t="s">
        <v>41</v>
      </c>
      <c r="D7191" s="45" t="s">
        <v>8811</v>
      </c>
    </row>
    <row r="7192" spans="1:4" s="45" customFormat="1" ht="13.5" x14ac:dyDescent="0.15">
      <c r="A7192" s="45" t="s">
        <v>41</v>
      </c>
      <c r="D7192" s="45" t="s">
        <v>1200</v>
      </c>
    </row>
    <row r="7193" spans="1:4" s="45" customFormat="1" ht="13.5" x14ac:dyDescent="0.15">
      <c r="A7193" s="45" t="s">
        <v>41</v>
      </c>
      <c r="D7193" s="45" t="s">
        <v>9776</v>
      </c>
    </row>
    <row r="7194" spans="1:4" s="45" customFormat="1" ht="13.5" x14ac:dyDescent="0.15">
      <c r="A7194" s="45" t="s">
        <v>41</v>
      </c>
      <c r="D7194" s="45" t="s">
        <v>8812</v>
      </c>
    </row>
    <row r="7195" spans="1:4" s="45" customFormat="1" ht="13.5" x14ac:dyDescent="0.15">
      <c r="A7195" s="45" t="s">
        <v>41</v>
      </c>
      <c r="D7195" s="45" t="s">
        <v>1195</v>
      </c>
    </row>
    <row r="7196" spans="1:4" s="45" customFormat="1" ht="13.5" x14ac:dyDescent="0.15">
      <c r="A7196" s="45" t="s">
        <v>41</v>
      </c>
      <c r="D7196" s="45" t="s">
        <v>8813</v>
      </c>
    </row>
    <row r="7197" spans="1:4" s="45" customFormat="1" ht="13.5" x14ac:dyDescent="0.15">
      <c r="A7197" s="45" t="s">
        <v>41</v>
      </c>
      <c r="D7197" s="45" t="s">
        <v>1194</v>
      </c>
    </row>
    <row r="7198" spans="1:4" s="45" customFormat="1" ht="13.5" x14ac:dyDescent="0.15">
      <c r="A7198" s="45" t="s">
        <v>41</v>
      </c>
      <c r="D7198" s="45" t="s">
        <v>8814</v>
      </c>
    </row>
    <row r="7199" spans="1:4" s="45" customFormat="1" ht="13.5" x14ac:dyDescent="0.15">
      <c r="A7199" s="45" t="s">
        <v>41</v>
      </c>
      <c r="D7199" s="45" t="s">
        <v>8815</v>
      </c>
    </row>
    <row r="7200" spans="1:4" s="45" customFormat="1" ht="13.5" x14ac:dyDescent="0.15">
      <c r="A7200" s="45" t="s">
        <v>41</v>
      </c>
      <c r="D7200" s="45" t="s">
        <v>8816</v>
      </c>
    </row>
    <row r="7201" spans="1:4" s="45" customFormat="1" ht="13.5" x14ac:dyDescent="0.15">
      <c r="A7201" s="45" t="s">
        <v>41</v>
      </c>
      <c r="D7201" s="45" t="s">
        <v>8817</v>
      </c>
    </row>
    <row r="7202" spans="1:4" s="45" customFormat="1" ht="13.5" x14ac:dyDescent="0.15">
      <c r="A7202" s="45" t="s">
        <v>41</v>
      </c>
      <c r="D7202" s="45" t="s">
        <v>1211</v>
      </c>
    </row>
    <row r="7203" spans="1:4" s="45" customFormat="1" ht="13.5" x14ac:dyDescent="0.15">
      <c r="A7203" s="45" t="s">
        <v>41</v>
      </c>
      <c r="D7203" s="45" t="s">
        <v>1210</v>
      </c>
    </row>
    <row r="7204" spans="1:4" s="45" customFormat="1" ht="13.5" x14ac:dyDescent="0.15">
      <c r="A7204" s="45" t="s">
        <v>41</v>
      </c>
      <c r="D7204" s="45" t="s">
        <v>8818</v>
      </c>
    </row>
    <row r="7205" spans="1:4" s="45" customFormat="1" ht="13.5" x14ac:dyDescent="0.15">
      <c r="A7205" s="45" t="s">
        <v>41</v>
      </c>
      <c r="D7205" s="45" t="s">
        <v>1212</v>
      </c>
    </row>
    <row r="7206" spans="1:4" s="45" customFormat="1" ht="13.5" x14ac:dyDescent="0.15">
      <c r="A7206" s="45" t="s">
        <v>41</v>
      </c>
      <c r="D7206" s="45" t="s">
        <v>8819</v>
      </c>
    </row>
    <row r="7207" spans="1:4" s="45" customFormat="1" ht="13.5" x14ac:dyDescent="0.15">
      <c r="A7207" s="45" t="s">
        <v>41</v>
      </c>
      <c r="D7207" s="45" t="s">
        <v>8820</v>
      </c>
    </row>
    <row r="7208" spans="1:4" s="45" customFormat="1" ht="13.5" x14ac:dyDescent="0.15">
      <c r="A7208" s="45" t="s">
        <v>41</v>
      </c>
      <c r="D7208" s="45" t="s">
        <v>1203</v>
      </c>
    </row>
    <row r="7209" spans="1:4" s="45" customFormat="1" ht="13.5" x14ac:dyDescent="0.15">
      <c r="A7209" s="45" t="s">
        <v>41</v>
      </c>
      <c r="D7209" s="45" t="s">
        <v>1204</v>
      </c>
    </row>
    <row r="7210" spans="1:4" s="45" customFormat="1" ht="13.5" x14ac:dyDescent="0.15">
      <c r="A7210" s="45" t="s">
        <v>41</v>
      </c>
      <c r="D7210" s="45" t="s">
        <v>8821</v>
      </c>
    </row>
    <row r="7211" spans="1:4" s="45" customFormat="1" ht="13.5" x14ac:dyDescent="0.15">
      <c r="A7211" s="45" t="s">
        <v>41</v>
      </c>
      <c r="D7211" s="45" t="s">
        <v>1202</v>
      </c>
    </row>
    <row r="7212" spans="1:4" s="45" customFormat="1" ht="13.5" x14ac:dyDescent="0.15">
      <c r="A7212" s="45" t="s">
        <v>41</v>
      </c>
      <c r="D7212" s="45" t="s">
        <v>8822</v>
      </c>
    </row>
    <row r="7213" spans="1:4" s="45" customFormat="1" ht="13.5" x14ac:dyDescent="0.15">
      <c r="A7213" s="45" t="s">
        <v>41</v>
      </c>
      <c r="D7213" s="45" t="s">
        <v>1209</v>
      </c>
    </row>
    <row r="7214" spans="1:4" s="45" customFormat="1" ht="13.5" x14ac:dyDescent="0.15">
      <c r="A7214" s="45" t="s">
        <v>41</v>
      </c>
      <c r="D7214" s="45" t="s">
        <v>1201</v>
      </c>
    </row>
    <row r="7215" spans="1:4" s="45" customFormat="1" ht="13.5" x14ac:dyDescent="0.15">
      <c r="A7215" s="45" t="s">
        <v>41</v>
      </c>
      <c r="D7215" s="45" t="s">
        <v>8823</v>
      </c>
    </row>
    <row r="7216" spans="1:4" s="45" customFormat="1" ht="13.5" x14ac:dyDescent="0.15">
      <c r="A7216" s="45" t="s">
        <v>41</v>
      </c>
      <c r="D7216" s="45" t="s">
        <v>8824</v>
      </c>
    </row>
    <row r="7217" spans="1:4" s="45" customFormat="1" ht="13.5" x14ac:dyDescent="0.15">
      <c r="A7217" s="45" t="s">
        <v>41</v>
      </c>
      <c r="D7217" s="45" t="s">
        <v>8826</v>
      </c>
    </row>
    <row r="7218" spans="1:4" s="45" customFormat="1" ht="13.5" x14ac:dyDescent="0.15">
      <c r="A7218" s="45" t="s">
        <v>41</v>
      </c>
      <c r="D7218" s="45" t="s">
        <v>8827</v>
      </c>
    </row>
    <row r="7219" spans="1:4" s="45" customFormat="1" ht="13.5" x14ac:dyDescent="0.15">
      <c r="A7219" s="45" t="s">
        <v>41</v>
      </c>
      <c r="D7219" s="45" t="s">
        <v>297</v>
      </c>
    </row>
    <row r="7220" spans="1:4" s="45" customFormat="1" ht="13.5" x14ac:dyDescent="0.15">
      <c r="A7220" s="45" t="s">
        <v>41</v>
      </c>
      <c r="D7220" s="45" t="s">
        <v>8828</v>
      </c>
    </row>
    <row r="7221" spans="1:4" s="45" customFormat="1" ht="13.5" x14ac:dyDescent="0.15">
      <c r="A7221" s="45" t="s">
        <v>41</v>
      </c>
      <c r="D7221" s="45" t="s">
        <v>8829</v>
      </c>
    </row>
    <row r="7222" spans="1:4" s="45" customFormat="1" ht="13.5" x14ac:dyDescent="0.15">
      <c r="A7222" s="45" t="s">
        <v>41</v>
      </c>
      <c r="D7222" s="45" t="s">
        <v>8830</v>
      </c>
    </row>
    <row r="7223" spans="1:4" s="45" customFormat="1" ht="13.5" x14ac:dyDescent="0.15">
      <c r="A7223" s="45" t="s">
        <v>41</v>
      </c>
      <c r="D7223" s="45" t="s">
        <v>8831</v>
      </c>
    </row>
    <row r="7224" spans="1:4" s="45" customFormat="1" ht="13.5" x14ac:dyDescent="0.15">
      <c r="A7224" s="45" t="s">
        <v>41</v>
      </c>
      <c r="D7224" s="45" t="s">
        <v>8832</v>
      </c>
    </row>
    <row r="7225" spans="1:4" s="45" customFormat="1" ht="13.5" x14ac:dyDescent="0.15">
      <c r="A7225" s="45" t="s">
        <v>41</v>
      </c>
      <c r="D7225" s="45" t="s">
        <v>8833</v>
      </c>
    </row>
    <row r="7226" spans="1:4" s="45" customFormat="1" ht="13.5" x14ac:dyDescent="0.15">
      <c r="A7226" s="45" t="s">
        <v>41</v>
      </c>
      <c r="D7226" s="45" t="s">
        <v>8834</v>
      </c>
    </row>
    <row r="7227" spans="1:4" s="45" customFormat="1" ht="13.5" x14ac:dyDescent="0.15">
      <c r="A7227" s="45" t="s">
        <v>41</v>
      </c>
      <c r="D7227" s="45" t="s">
        <v>2268</v>
      </c>
    </row>
    <row r="7228" spans="1:4" s="45" customFormat="1" ht="13.5" x14ac:dyDescent="0.15">
      <c r="A7228" s="45" t="s">
        <v>41</v>
      </c>
      <c r="D7228" s="45" t="s">
        <v>376</v>
      </c>
    </row>
    <row r="7229" spans="1:4" s="45" customFormat="1" ht="13.5" x14ac:dyDescent="0.15">
      <c r="A7229" s="45" t="s">
        <v>41</v>
      </c>
      <c r="D7229" s="45" t="s">
        <v>8835</v>
      </c>
    </row>
    <row r="7230" spans="1:4" s="45" customFormat="1" ht="13.5" x14ac:dyDescent="0.15">
      <c r="A7230" s="45" t="s">
        <v>41</v>
      </c>
      <c r="D7230" s="45" t="s">
        <v>8836</v>
      </c>
    </row>
    <row r="7231" spans="1:4" s="45" customFormat="1" ht="13.5" x14ac:dyDescent="0.15">
      <c r="A7231" s="45" t="s">
        <v>41</v>
      </c>
      <c r="D7231" s="45" t="s">
        <v>1034</v>
      </c>
    </row>
    <row r="7232" spans="1:4" s="45" customFormat="1" ht="13.5" x14ac:dyDescent="0.15">
      <c r="A7232" s="45" t="s">
        <v>41</v>
      </c>
      <c r="D7232" s="45" t="s">
        <v>8837</v>
      </c>
    </row>
    <row r="7233" spans="1:4" s="45" customFormat="1" ht="13.5" x14ac:dyDescent="0.15">
      <c r="A7233" s="45" t="s">
        <v>41</v>
      </c>
      <c r="D7233" s="45" t="s">
        <v>8838</v>
      </c>
    </row>
    <row r="7234" spans="1:4" s="45" customFormat="1" ht="13.5" x14ac:dyDescent="0.15">
      <c r="A7234" s="45" t="s">
        <v>41</v>
      </c>
      <c r="D7234" s="45" t="s">
        <v>8839</v>
      </c>
    </row>
    <row r="7235" spans="1:4" s="45" customFormat="1" ht="13.5" x14ac:dyDescent="0.15">
      <c r="A7235" s="45" t="s">
        <v>41</v>
      </c>
      <c r="D7235" s="45" t="s">
        <v>8840</v>
      </c>
    </row>
    <row r="7236" spans="1:4" s="45" customFormat="1" ht="13.5" x14ac:dyDescent="0.15">
      <c r="A7236" s="45" t="s">
        <v>41</v>
      </c>
      <c r="D7236" s="45" t="s">
        <v>8841</v>
      </c>
    </row>
    <row r="7237" spans="1:4" s="45" customFormat="1" ht="13.5" x14ac:dyDescent="0.15">
      <c r="A7237" s="45" t="s">
        <v>41</v>
      </c>
      <c r="D7237" s="45" t="s">
        <v>1030</v>
      </c>
    </row>
    <row r="7238" spans="1:4" s="45" customFormat="1" ht="13.5" x14ac:dyDescent="0.15">
      <c r="A7238" s="45" t="s">
        <v>41</v>
      </c>
      <c r="D7238" s="45" t="s">
        <v>8842</v>
      </c>
    </row>
    <row r="7239" spans="1:4" s="45" customFormat="1" ht="13.5" x14ac:dyDescent="0.15">
      <c r="A7239" s="45" t="s">
        <v>41</v>
      </c>
      <c r="D7239" s="45" t="s">
        <v>8843</v>
      </c>
    </row>
    <row r="7240" spans="1:4" s="45" customFormat="1" ht="13.5" x14ac:dyDescent="0.15">
      <c r="A7240" s="45" t="s">
        <v>41</v>
      </c>
      <c r="D7240" s="45" t="s">
        <v>8844</v>
      </c>
    </row>
    <row r="7241" spans="1:4" s="45" customFormat="1" ht="13.5" x14ac:dyDescent="0.15">
      <c r="A7241" s="45" t="s">
        <v>41</v>
      </c>
      <c r="D7241" s="45" t="s">
        <v>8845</v>
      </c>
    </row>
    <row r="7242" spans="1:4" s="45" customFormat="1" ht="13.5" x14ac:dyDescent="0.15">
      <c r="A7242" s="45" t="s">
        <v>41</v>
      </c>
      <c r="D7242" s="45" t="s">
        <v>8846</v>
      </c>
    </row>
    <row r="7243" spans="1:4" s="45" customFormat="1" ht="13.5" x14ac:dyDescent="0.15">
      <c r="A7243" s="45" t="s">
        <v>41</v>
      </c>
      <c r="D7243" s="45" t="s">
        <v>8847</v>
      </c>
    </row>
    <row r="7244" spans="1:4" s="45" customFormat="1" ht="13.5" x14ac:dyDescent="0.15">
      <c r="A7244" s="45" t="s">
        <v>41</v>
      </c>
      <c r="D7244" s="45" t="s">
        <v>8848</v>
      </c>
    </row>
    <row r="7245" spans="1:4" s="45" customFormat="1" ht="13.5" x14ac:dyDescent="0.15">
      <c r="A7245" s="45" t="s">
        <v>41</v>
      </c>
      <c r="D7245" s="45" t="s">
        <v>1035</v>
      </c>
    </row>
    <row r="7246" spans="1:4" s="45" customFormat="1" ht="13.5" x14ac:dyDescent="0.15">
      <c r="A7246" s="45" t="s">
        <v>41</v>
      </c>
      <c r="D7246" s="45" t="s">
        <v>8849</v>
      </c>
    </row>
    <row r="7247" spans="1:4" s="45" customFormat="1" ht="13.5" x14ac:dyDescent="0.15">
      <c r="A7247" s="45" t="s">
        <v>41</v>
      </c>
      <c r="D7247" s="45" t="s">
        <v>8850</v>
      </c>
    </row>
    <row r="7248" spans="1:4" s="45" customFormat="1" ht="13.5" x14ac:dyDescent="0.15">
      <c r="A7248" s="45" t="s">
        <v>41</v>
      </c>
      <c r="D7248" s="45" t="s">
        <v>8851</v>
      </c>
    </row>
    <row r="7249" spans="1:4" s="45" customFormat="1" ht="13.5" x14ac:dyDescent="0.15">
      <c r="A7249" s="45" t="s">
        <v>41</v>
      </c>
      <c r="D7249" s="45" t="s">
        <v>8852</v>
      </c>
    </row>
    <row r="7250" spans="1:4" s="45" customFormat="1" ht="13.5" x14ac:dyDescent="0.15">
      <c r="A7250" s="45" t="s">
        <v>41</v>
      </c>
      <c r="D7250" s="45" t="s">
        <v>8853</v>
      </c>
    </row>
    <row r="7251" spans="1:4" s="45" customFormat="1" ht="13.5" x14ac:dyDescent="0.15">
      <c r="A7251" s="45" t="s">
        <v>41</v>
      </c>
      <c r="D7251" s="45" t="s">
        <v>8854</v>
      </c>
    </row>
    <row r="7252" spans="1:4" s="45" customFormat="1" ht="13.5" x14ac:dyDescent="0.15">
      <c r="A7252" s="45" t="s">
        <v>41</v>
      </c>
      <c r="D7252" s="45" t="s">
        <v>8855</v>
      </c>
    </row>
    <row r="7253" spans="1:4" s="45" customFormat="1" ht="13.5" x14ac:dyDescent="0.15">
      <c r="A7253" s="45" t="s">
        <v>41</v>
      </c>
      <c r="D7253" s="45" t="s">
        <v>8856</v>
      </c>
    </row>
    <row r="7254" spans="1:4" s="45" customFormat="1" ht="13.5" x14ac:dyDescent="0.15">
      <c r="A7254" s="45" t="s">
        <v>41</v>
      </c>
      <c r="D7254" s="45" t="s">
        <v>8857</v>
      </c>
    </row>
    <row r="7255" spans="1:4" s="45" customFormat="1" ht="13.5" x14ac:dyDescent="0.15">
      <c r="A7255" s="45" t="s">
        <v>41</v>
      </c>
      <c r="D7255" s="45" t="s">
        <v>8858</v>
      </c>
    </row>
    <row r="7256" spans="1:4" s="45" customFormat="1" ht="13.5" x14ac:dyDescent="0.15">
      <c r="A7256" s="45" t="s">
        <v>41</v>
      </c>
      <c r="D7256" s="45" t="s">
        <v>8859</v>
      </c>
    </row>
    <row r="7257" spans="1:4" s="45" customFormat="1" ht="13.5" x14ac:dyDescent="0.15">
      <c r="A7257" s="45" t="s">
        <v>41</v>
      </c>
      <c r="D7257" s="45" t="s">
        <v>8860</v>
      </c>
    </row>
    <row r="7258" spans="1:4" s="45" customFormat="1" ht="13.5" x14ac:dyDescent="0.15">
      <c r="A7258" s="45" t="s">
        <v>41</v>
      </c>
      <c r="D7258" s="45" t="s">
        <v>8861</v>
      </c>
    </row>
    <row r="7259" spans="1:4" s="45" customFormat="1" ht="13.5" x14ac:dyDescent="0.15">
      <c r="A7259" s="45" t="s">
        <v>41</v>
      </c>
      <c r="D7259" s="45" t="s">
        <v>8862</v>
      </c>
    </row>
    <row r="7260" spans="1:4" s="45" customFormat="1" ht="13.5" x14ac:dyDescent="0.15">
      <c r="A7260" s="45" t="s">
        <v>41</v>
      </c>
      <c r="D7260" s="45" t="s">
        <v>8863</v>
      </c>
    </row>
    <row r="7261" spans="1:4" s="45" customFormat="1" ht="13.5" x14ac:dyDescent="0.15">
      <c r="A7261" s="45" t="s">
        <v>41</v>
      </c>
      <c r="D7261" s="45" t="s">
        <v>8864</v>
      </c>
    </row>
    <row r="7262" spans="1:4" s="45" customFormat="1" ht="13.5" x14ac:dyDescent="0.15">
      <c r="A7262" s="45" t="s">
        <v>41</v>
      </c>
      <c r="D7262" s="45" t="s">
        <v>1038</v>
      </c>
    </row>
    <row r="7263" spans="1:4" s="45" customFormat="1" ht="13.5" x14ac:dyDescent="0.15">
      <c r="A7263" s="45" t="s">
        <v>41</v>
      </c>
      <c r="D7263" s="45" t="s">
        <v>8865</v>
      </c>
    </row>
    <row r="7264" spans="1:4" s="45" customFormat="1" ht="13.5" x14ac:dyDescent="0.15">
      <c r="A7264" s="45" t="s">
        <v>41</v>
      </c>
      <c r="D7264" s="45" t="s">
        <v>8866</v>
      </c>
    </row>
    <row r="7265" spans="1:4" s="45" customFormat="1" ht="13.5" x14ac:dyDescent="0.15">
      <c r="A7265" s="45" t="s">
        <v>41</v>
      </c>
      <c r="D7265" s="45" t="s">
        <v>8867</v>
      </c>
    </row>
    <row r="7266" spans="1:4" s="45" customFormat="1" ht="13.5" x14ac:dyDescent="0.15">
      <c r="A7266" s="45" t="s">
        <v>41</v>
      </c>
      <c r="D7266" s="45" t="s">
        <v>8868</v>
      </c>
    </row>
    <row r="7267" spans="1:4" s="45" customFormat="1" ht="13.5" x14ac:dyDescent="0.15">
      <c r="A7267" s="45" t="s">
        <v>41</v>
      </c>
      <c r="D7267" s="45" t="s">
        <v>8869</v>
      </c>
    </row>
    <row r="7268" spans="1:4" s="45" customFormat="1" ht="13.5" x14ac:dyDescent="0.15">
      <c r="A7268" s="45" t="s">
        <v>41</v>
      </c>
      <c r="D7268" s="45" t="s">
        <v>1028</v>
      </c>
    </row>
    <row r="7269" spans="1:4" s="45" customFormat="1" ht="13.5" x14ac:dyDescent="0.15">
      <c r="A7269" s="45" t="s">
        <v>41</v>
      </c>
      <c r="D7269" s="45" t="s">
        <v>8870</v>
      </c>
    </row>
    <row r="7270" spans="1:4" s="45" customFormat="1" ht="13.5" x14ac:dyDescent="0.15">
      <c r="A7270" s="45" t="s">
        <v>41</v>
      </c>
      <c r="D7270" s="45" t="s">
        <v>8871</v>
      </c>
    </row>
    <row r="7271" spans="1:4" s="45" customFormat="1" ht="13.5" x14ac:dyDescent="0.15">
      <c r="A7271" s="45" t="s">
        <v>41</v>
      </c>
      <c r="D7271" s="45" t="s">
        <v>8872</v>
      </c>
    </row>
    <row r="7272" spans="1:4" s="45" customFormat="1" ht="13.5" x14ac:dyDescent="0.15">
      <c r="A7272" s="45" t="s">
        <v>41</v>
      </c>
      <c r="D7272" s="45" t="s">
        <v>8873</v>
      </c>
    </row>
    <row r="7273" spans="1:4" s="45" customFormat="1" ht="13.5" x14ac:dyDescent="0.15">
      <c r="A7273" s="45" t="s">
        <v>41</v>
      </c>
      <c r="D7273" s="45" t="s">
        <v>8874</v>
      </c>
    </row>
    <row r="7274" spans="1:4" s="45" customFormat="1" ht="13.5" x14ac:dyDescent="0.15">
      <c r="A7274" s="45" t="s">
        <v>41</v>
      </c>
      <c r="D7274" s="45" t="s">
        <v>8875</v>
      </c>
    </row>
    <row r="7275" spans="1:4" s="45" customFormat="1" ht="13.5" x14ac:dyDescent="0.15">
      <c r="A7275" s="45" t="s">
        <v>41</v>
      </c>
      <c r="D7275" s="45" t="s">
        <v>8876</v>
      </c>
    </row>
    <row r="7276" spans="1:4" s="45" customFormat="1" ht="13.5" x14ac:dyDescent="0.15">
      <c r="A7276" s="45" t="s">
        <v>41</v>
      </c>
      <c r="D7276" s="45" t="s">
        <v>8877</v>
      </c>
    </row>
    <row r="7277" spans="1:4" s="45" customFormat="1" ht="13.5" x14ac:dyDescent="0.15">
      <c r="A7277" s="45" t="s">
        <v>41</v>
      </c>
      <c r="D7277" s="45" t="s">
        <v>8878</v>
      </c>
    </row>
    <row r="7278" spans="1:4" s="45" customFormat="1" ht="13.5" x14ac:dyDescent="0.15">
      <c r="A7278" s="45" t="s">
        <v>41</v>
      </c>
      <c r="D7278" s="45" t="s">
        <v>8879</v>
      </c>
    </row>
    <row r="7279" spans="1:4" s="45" customFormat="1" ht="13.5" x14ac:dyDescent="0.15">
      <c r="A7279" s="45" t="s">
        <v>41</v>
      </c>
      <c r="D7279" s="45" t="s">
        <v>8880</v>
      </c>
    </row>
    <row r="7280" spans="1:4" s="45" customFormat="1" ht="13.5" x14ac:dyDescent="0.15">
      <c r="A7280" s="45" t="s">
        <v>41</v>
      </c>
      <c r="D7280" s="45" t="s">
        <v>8881</v>
      </c>
    </row>
    <row r="7281" spans="1:4" s="45" customFormat="1" ht="13.5" x14ac:dyDescent="0.15">
      <c r="A7281" s="45" t="s">
        <v>41</v>
      </c>
      <c r="D7281" s="45" t="s">
        <v>8882</v>
      </c>
    </row>
    <row r="7282" spans="1:4" s="45" customFormat="1" ht="13.5" x14ac:dyDescent="0.15">
      <c r="A7282" s="45" t="s">
        <v>41</v>
      </c>
      <c r="D7282" s="45" t="s">
        <v>8883</v>
      </c>
    </row>
    <row r="7283" spans="1:4" s="45" customFormat="1" ht="13.5" x14ac:dyDescent="0.15">
      <c r="A7283" s="45" t="s">
        <v>41</v>
      </c>
      <c r="D7283" s="45" t="s">
        <v>8884</v>
      </c>
    </row>
    <row r="7284" spans="1:4" s="45" customFormat="1" ht="13.5" x14ac:dyDescent="0.15">
      <c r="A7284" s="45" t="s">
        <v>41</v>
      </c>
      <c r="D7284" s="45" t="s">
        <v>1029</v>
      </c>
    </row>
    <row r="7285" spans="1:4" s="45" customFormat="1" ht="13.5" x14ac:dyDescent="0.15">
      <c r="A7285" s="45" t="s">
        <v>41</v>
      </c>
      <c r="D7285" s="45" t="s">
        <v>8885</v>
      </c>
    </row>
    <row r="7286" spans="1:4" s="45" customFormat="1" ht="13.5" x14ac:dyDescent="0.15">
      <c r="A7286" s="45" t="s">
        <v>41</v>
      </c>
      <c r="D7286" s="45" t="s">
        <v>8886</v>
      </c>
    </row>
    <row r="7287" spans="1:4" s="45" customFormat="1" ht="13.5" x14ac:dyDescent="0.15">
      <c r="A7287" s="45" t="s">
        <v>41</v>
      </c>
      <c r="D7287" s="45" t="s">
        <v>1036</v>
      </c>
    </row>
    <row r="7288" spans="1:4" s="45" customFormat="1" ht="13.5" x14ac:dyDescent="0.15">
      <c r="A7288" s="45" t="s">
        <v>41</v>
      </c>
      <c r="D7288" s="45" t="s">
        <v>1037</v>
      </c>
    </row>
    <row r="7289" spans="1:4" s="45" customFormat="1" ht="13.5" x14ac:dyDescent="0.15">
      <c r="A7289" s="45" t="s">
        <v>41</v>
      </c>
      <c r="D7289" s="45" t="s">
        <v>8887</v>
      </c>
    </row>
    <row r="7290" spans="1:4" s="45" customFormat="1" ht="13.5" x14ac:dyDescent="0.15">
      <c r="A7290" s="45" t="s">
        <v>41</v>
      </c>
      <c r="D7290" s="45" t="s">
        <v>8888</v>
      </c>
    </row>
    <row r="7291" spans="1:4" s="45" customFormat="1" ht="13.5" x14ac:dyDescent="0.15">
      <c r="A7291" s="45" t="s">
        <v>41</v>
      </c>
      <c r="D7291" s="45" t="s">
        <v>8889</v>
      </c>
    </row>
    <row r="7292" spans="1:4" s="45" customFormat="1" ht="13.5" x14ac:dyDescent="0.15">
      <c r="A7292" s="45" t="s">
        <v>41</v>
      </c>
      <c r="D7292" s="45" t="s">
        <v>8890</v>
      </c>
    </row>
    <row r="7293" spans="1:4" s="45" customFormat="1" ht="13.5" x14ac:dyDescent="0.15">
      <c r="A7293" s="45" t="s">
        <v>41</v>
      </c>
      <c r="D7293" s="45" t="s">
        <v>8891</v>
      </c>
    </row>
    <row r="7294" spans="1:4" s="45" customFormat="1" ht="13.5" x14ac:dyDescent="0.15">
      <c r="A7294" s="45" t="s">
        <v>41</v>
      </c>
      <c r="D7294" s="45" t="s">
        <v>1027</v>
      </c>
    </row>
    <row r="7295" spans="1:4" s="45" customFormat="1" ht="13.5" x14ac:dyDescent="0.15">
      <c r="A7295" s="45" t="s">
        <v>41</v>
      </c>
      <c r="D7295" s="45" t="s">
        <v>8892</v>
      </c>
    </row>
    <row r="7296" spans="1:4" s="45" customFormat="1" ht="13.5" x14ac:dyDescent="0.15">
      <c r="A7296" s="45" t="s">
        <v>41</v>
      </c>
      <c r="D7296" s="45" t="s">
        <v>8893</v>
      </c>
    </row>
    <row r="7297" spans="1:4" s="45" customFormat="1" ht="13.5" x14ac:dyDescent="0.15">
      <c r="A7297" s="45" t="s">
        <v>41</v>
      </c>
      <c r="D7297" s="45" t="s">
        <v>1031</v>
      </c>
    </row>
    <row r="7298" spans="1:4" s="45" customFormat="1" ht="13.5" x14ac:dyDescent="0.15">
      <c r="A7298" s="45" t="s">
        <v>41</v>
      </c>
      <c r="D7298" s="45" t="s">
        <v>1033</v>
      </c>
    </row>
    <row r="7299" spans="1:4" s="45" customFormat="1" ht="13.5" x14ac:dyDescent="0.15">
      <c r="A7299" s="45" t="s">
        <v>41</v>
      </c>
      <c r="D7299" s="45" t="s">
        <v>8894</v>
      </c>
    </row>
    <row r="7300" spans="1:4" s="45" customFormat="1" ht="13.5" x14ac:dyDescent="0.15">
      <c r="A7300" s="45" t="s">
        <v>41</v>
      </c>
      <c r="D7300" s="45" t="s">
        <v>8895</v>
      </c>
    </row>
    <row r="7301" spans="1:4" s="45" customFormat="1" ht="13.5" x14ac:dyDescent="0.15">
      <c r="A7301" s="45" t="s">
        <v>41</v>
      </c>
      <c r="D7301" s="45" t="s">
        <v>8896</v>
      </c>
    </row>
    <row r="7302" spans="1:4" s="45" customFormat="1" ht="13.5" x14ac:dyDescent="0.15">
      <c r="A7302" s="45" t="s">
        <v>41</v>
      </c>
      <c r="D7302" s="45" t="s">
        <v>8897</v>
      </c>
    </row>
    <row r="7303" spans="1:4" s="45" customFormat="1" ht="13.5" x14ac:dyDescent="0.15">
      <c r="A7303" s="45" t="s">
        <v>41</v>
      </c>
      <c r="D7303" s="45" t="s">
        <v>8898</v>
      </c>
    </row>
    <row r="7304" spans="1:4" s="45" customFormat="1" ht="13.5" x14ac:dyDescent="0.15">
      <c r="A7304" s="45" t="s">
        <v>41</v>
      </c>
      <c r="D7304" s="45" t="s">
        <v>8899</v>
      </c>
    </row>
    <row r="7305" spans="1:4" s="45" customFormat="1" ht="13.5" x14ac:dyDescent="0.15">
      <c r="A7305" s="45" t="s">
        <v>41</v>
      </c>
      <c r="D7305" s="45" t="s">
        <v>1032</v>
      </c>
    </row>
    <row r="7306" spans="1:4" s="45" customFormat="1" ht="13.5" x14ac:dyDescent="0.15">
      <c r="A7306" s="45" t="s">
        <v>41</v>
      </c>
      <c r="D7306" s="45" t="s">
        <v>8900</v>
      </c>
    </row>
    <row r="7307" spans="1:4" s="45" customFormat="1" ht="13.5" x14ac:dyDescent="0.15">
      <c r="A7307" s="45" t="s">
        <v>41</v>
      </c>
      <c r="D7307" s="45" t="s">
        <v>8901</v>
      </c>
    </row>
    <row r="7308" spans="1:4" s="45" customFormat="1" ht="13.5" x14ac:dyDescent="0.15">
      <c r="A7308" s="45" t="s">
        <v>41</v>
      </c>
      <c r="D7308" s="45" t="s">
        <v>8902</v>
      </c>
    </row>
    <row r="7309" spans="1:4" s="45" customFormat="1" ht="13.5" x14ac:dyDescent="0.15">
      <c r="A7309" s="45" t="s">
        <v>41</v>
      </c>
      <c r="D7309" s="45" t="s">
        <v>8903</v>
      </c>
    </row>
    <row r="7310" spans="1:4" s="45" customFormat="1" ht="13.5" x14ac:dyDescent="0.15">
      <c r="A7310" s="45" t="s">
        <v>41</v>
      </c>
      <c r="D7310" s="45" t="s">
        <v>8904</v>
      </c>
    </row>
    <row r="7311" spans="1:4" s="45" customFormat="1" ht="13.5" x14ac:dyDescent="0.15">
      <c r="A7311" s="45" t="s">
        <v>41</v>
      </c>
      <c r="D7311" s="45" t="s">
        <v>8905</v>
      </c>
    </row>
    <row r="7312" spans="1:4" s="45" customFormat="1" ht="13.5" x14ac:dyDescent="0.15">
      <c r="A7312" s="45" t="s">
        <v>41</v>
      </c>
      <c r="D7312" s="45" t="s">
        <v>8906</v>
      </c>
    </row>
    <row r="7313" spans="1:4" s="45" customFormat="1" ht="13.5" x14ac:dyDescent="0.15">
      <c r="A7313" s="45" t="s">
        <v>41</v>
      </c>
      <c r="D7313" s="45" t="s">
        <v>8907</v>
      </c>
    </row>
    <row r="7314" spans="1:4" s="45" customFormat="1" ht="13.5" x14ac:dyDescent="0.15">
      <c r="A7314" s="45" t="s">
        <v>41</v>
      </c>
      <c r="D7314" s="45" t="s">
        <v>8908</v>
      </c>
    </row>
    <row r="7315" spans="1:4" s="45" customFormat="1" ht="13.5" x14ac:dyDescent="0.15">
      <c r="A7315" s="45" t="s">
        <v>41</v>
      </c>
      <c r="D7315" s="45" t="s">
        <v>8909</v>
      </c>
    </row>
    <row r="7316" spans="1:4" s="45" customFormat="1" ht="13.5" x14ac:dyDescent="0.15">
      <c r="A7316" s="45" t="s">
        <v>41</v>
      </c>
      <c r="D7316" s="45" t="s">
        <v>8910</v>
      </c>
    </row>
    <row r="7317" spans="1:4" s="45" customFormat="1" ht="13.5" x14ac:dyDescent="0.15">
      <c r="A7317" s="45" t="s">
        <v>41</v>
      </c>
      <c r="D7317" s="45" t="s">
        <v>298</v>
      </c>
    </row>
    <row r="7318" spans="1:4" s="45" customFormat="1" ht="13.5" x14ac:dyDescent="0.15">
      <c r="A7318" s="45" t="s">
        <v>41</v>
      </c>
      <c r="D7318" s="45" t="s">
        <v>8911</v>
      </c>
    </row>
    <row r="7319" spans="1:4" s="45" customFormat="1" ht="13.5" x14ac:dyDescent="0.15">
      <c r="A7319" s="45" t="s">
        <v>41</v>
      </c>
      <c r="D7319" s="45" t="s">
        <v>8912</v>
      </c>
    </row>
    <row r="7320" spans="1:4" s="45" customFormat="1" ht="13.5" x14ac:dyDescent="0.15">
      <c r="A7320" s="45" t="s">
        <v>41</v>
      </c>
      <c r="D7320" s="45" t="s">
        <v>8913</v>
      </c>
    </row>
    <row r="7321" spans="1:4" s="45" customFormat="1" ht="13.5" x14ac:dyDescent="0.15">
      <c r="A7321" s="45" t="s">
        <v>41</v>
      </c>
      <c r="D7321" s="45" t="s">
        <v>2056</v>
      </c>
    </row>
    <row r="7322" spans="1:4" s="45" customFormat="1" ht="13.5" x14ac:dyDescent="0.15">
      <c r="A7322" s="45" t="s">
        <v>41</v>
      </c>
      <c r="D7322" s="45" t="s">
        <v>2057</v>
      </c>
    </row>
    <row r="7323" spans="1:4" s="45" customFormat="1" ht="13.5" x14ac:dyDescent="0.15">
      <c r="A7323" s="45" t="s">
        <v>41</v>
      </c>
      <c r="D7323" s="45" t="s">
        <v>2442</v>
      </c>
    </row>
    <row r="7324" spans="1:4" s="45" customFormat="1" ht="13.5" x14ac:dyDescent="0.15">
      <c r="A7324" s="45" t="s">
        <v>41</v>
      </c>
      <c r="D7324" s="45" t="s">
        <v>8914</v>
      </c>
    </row>
    <row r="7325" spans="1:4" s="45" customFormat="1" ht="13.5" x14ac:dyDescent="0.15">
      <c r="A7325" s="45" t="s">
        <v>41</v>
      </c>
      <c r="D7325" s="45" t="s">
        <v>8915</v>
      </c>
    </row>
    <row r="7326" spans="1:4" s="45" customFormat="1" ht="13.5" x14ac:dyDescent="0.15">
      <c r="A7326" s="45" t="s">
        <v>41</v>
      </c>
      <c r="D7326" s="45" t="s">
        <v>8916</v>
      </c>
    </row>
    <row r="7327" spans="1:4" s="45" customFormat="1" ht="13.5" x14ac:dyDescent="0.15">
      <c r="A7327" s="45" t="s">
        <v>41</v>
      </c>
      <c r="D7327" s="45" t="s">
        <v>1021</v>
      </c>
    </row>
    <row r="7328" spans="1:4" s="45" customFormat="1" ht="13.5" x14ac:dyDescent="0.15">
      <c r="A7328" s="45" t="s">
        <v>41</v>
      </c>
      <c r="D7328" s="45" t="s">
        <v>1023</v>
      </c>
    </row>
    <row r="7329" spans="1:4" s="45" customFormat="1" ht="13.5" x14ac:dyDescent="0.15">
      <c r="A7329" s="45" t="s">
        <v>41</v>
      </c>
      <c r="D7329" s="45" t="s">
        <v>8917</v>
      </c>
    </row>
    <row r="7330" spans="1:4" s="45" customFormat="1" ht="13.5" x14ac:dyDescent="0.15">
      <c r="A7330" s="45" t="s">
        <v>41</v>
      </c>
      <c r="D7330" s="45" t="s">
        <v>8918</v>
      </c>
    </row>
    <row r="7331" spans="1:4" s="45" customFormat="1" ht="13.5" x14ac:dyDescent="0.15">
      <c r="A7331" s="45" t="s">
        <v>41</v>
      </c>
      <c r="D7331" s="45" t="s">
        <v>8919</v>
      </c>
    </row>
    <row r="7332" spans="1:4" s="45" customFormat="1" ht="13.5" x14ac:dyDescent="0.15">
      <c r="A7332" s="45" t="s">
        <v>41</v>
      </c>
      <c r="D7332" s="45" t="s">
        <v>8920</v>
      </c>
    </row>
    <row r="7333" spans="1:4" s="45" customFormat="1" ht="13.5" x14ac:dyDescent="0.15">
      <c r="A7333" s="45" t="s">
        <v>41</v>
      </c>
      <c r="D7333" s="45" t="s">
        <v>8921</v>
      </c>
    </row>
    <row r="7334" spans="1:4" s="45" customFormat="1" ht="13.5" x14ac:dyDescent="0.15">
      <c r="A7334" s="45" t="s">
        <v>41</v>
      </c>
      <c r="D7334" s="45" t="s">
        <v>1022</v>
      </c>
    </row>
    <row r="7335" spans="1:4" s="45" customFormat="1" ht="13.5" x14ac:dyDescent="0.15">
      <c r="A7335" s="45" t="s">
        <v>41</v>
      </c>
      <c r="D7335" s="45" t="s">
        <v>8922</v>
      </c>
    </row>
    <row r="7336" spans="1:4" s="45" customFormat="1" ht="13.5" x14ac:dyDescent="0.15">
      <c r="A7336" s="45" t="s">
        <v>41</v>
      </c>
      <c r="D7336" s="45" t="s">
        <v>8923</v>
      </c>
    </row>
    <row r="7337" spans="1:4" s="45" customFormat="1" ht="13.5" x14ac:dyDescent="0.15">
      <c r="A7337" s="45" t="s">
        <v>41</v>
      </c>
      <c r="D7337" s="45" t="s">
        <v>8924</v>
      </c>
    </row>
    <row r="7338" spans="1:4" s="45" customFormat="1" ht="13.5" x14ac:dyDescent="0.15">
      <c r="A7338" s="45" t="s">
        <v>41</v>
      </c>
      <c r="D7338" s="45" t="s">
        <v>8925</v>
      </c>
    </row>
    <row r="7339" spans="1:4" s="45" customFormat="1" ht="13.5" x14ac:dyDescent="0.15">
      <c r="A7339" s="45" t="s">
        <v>41</v>
      </c>
      <c r="D7339" s="45" t="s">
        <v>2106</v>
      </c>
    </row>
    <row r="7340" spans="1:4" s="45" customFormat="1" ht="13.5" x14ac:dyDescent="0.15">
      <c r="A7340" s="45" t="s">
        <v>41</v>
      </c>
      <c r="D7340" s="45" t="s">
        <v>8926</v>
      </c>
    </row>
    <row r="7341" spans="1:4" s="45" customFormat="1" ht="13.5" x14ac:dyDescent="0.15">
      <c r="A7341" s="45" t="s">
        <v>41</v>
      </c>
      <c r="D7341" s="45" t="s">
        <v>8927</v>
      </c>
    </row>
    <row r="7342" spans="1:4" s="45" customFormat="1" ht="13.5" x14ac:dyDescent="0.15">
      <c r="A7342" s="45" t="s">
        <v>41</v>
      </c>
      <c r="D7342" s="45" t="s">
        <v>2032</v>
      </c>
    </row>
    <row r="7343" spans="1:4" s="45" customFormat="1" ht="13.5" x14ac:dyDescent="0.15">
      <c r="A7343" s="45" t="s">
        <v>41</v>
      </c>
      <c r="D7343" s="45" t="s">
        <v>1782</v>
      </c>
    </row>
    <row r="7344" spans="1:4" s="45" customFormat="1" ht="13.5" x14ac:dyDescent="0.15">
      <c r="A7344" s="45" t="s">
        <v>41</v>
      </c>
      <c r="D7344" s="45" t="s">
        <v>8928</v>
      </c>
    </row>
    <row r="7345" spans="1:4" s="45" customFormat="1" ht="13.5" x14ac:dyDescent="0.15">
      <c r="A7345" s="45" t="s">
        <v>41</v>
      </c>
      <c r="D7345" s="45" t="s">
        <v>8929</v>
      </c>
    </row>
    <row r="7346" spans="1:4" s="45" customFormat="1" ht="13.5" x14ac:dyDescent="0.15">
      <c r="A7346" s="45" t="s">
        <v>41</v>
      </c>
      <c r="D7346" s="45" t="s">
        <v>8930</v>
      </c>
    </row>
    <row r="7347" spans="1:4" s="45" customFormat="1" ht="13.5" x14ac:dyDescent="0.15">
      <c r="A7347" s="45" t="s">
        <v>41</v>
      </c>
      <c r="D7347" s="45" t="s">
        <v>8931</v>
      </c>
    </row>
    <row r="7348" spans="1:4" s="45" customFormat="1" ht="13.5" x14ac:dyDescent="0.15">
      <c r="A7348" s="45" t="s">
        <v>41</v>
      </c>
      <c r="D7348" s="45" t="s">
        <v>8932</v>
      </c>
    </row>
    <row r="7349" spans="1:4" s="45" customFormat="1" ht="13.5" x14ac:dyDescent="0.15">
      <c r="A7349" s="45" t="s">
        <v>41</v>
      </c>
      <c r="D7349" s="45" t="s">
        <v>8933</v>
      </c>
    </row>
    <row r="7350" spans="1:4" s="45" customFormat="1" ht="13.5" x14ac:dyDescent="0.15">
      <c r="A7350" s="45" t="s">
        <v>41</v>
      </c>
      <c r="D7350" s="45" t="s">
        <v>8934</v>
      </c>
    </row>
    <row r="7351" spans="1:4" s="45" customFormat="1" ht="13.5" x14ac:dyDescent="0.15">
      <c r="A7351" s="45" t="s">
        <v>41</v>
      </c>
      <c r="D7351" s="45" t="s">
        <v>8935</v>
      </c>
    </row>
    <row r="7352" spans="1:4" s="45" customFormat="1" ht="13.5" x14ac:dyDescent="0.15">
      <c r="A7352" s="45" t="s">
        <v>41</v>
      </c>
      <c r="D7352" s="45" t="s">
        <v>8936</v>
      </c>
    </row>
    <row r="7353" spans="1:4" s="45" customFormat="1" ht="13.5" x14ac:dyDescent="0.15">
      <c r="A7353" s="45" t="s">
        <v>41</v>
      </c>
      <c r="D7353" s="45" t="s">
        <v>8937</v>
      </c>
    </row>
    <row r="7354" spans="1:4" s="45" customFormat="1" ht="13.5" x14ac:dyDescent="0.15">
      <c r="A7354" s="45" t="s">
        <v>41</v>
      </c>
      <c r="D7354" s="45" t="s">
        <v>8938</v>
      </c>
    </row>
    <row r="7355" spans="1:4" s="45" customFormat="1" ht="13.5" x14ac:dyDescent="0.15">
      <c r="A7355" s="45" t="s">
        <v>41</v>
      </c>
      <c r="D7355" s="45" t="s">
        <v>820</v>
      </c>
    </row>
    <row r="7356" spans="1:4" s="45" customFormat="1" ht="13.5" x14ac:dyDescent="0.15">
      <c r="A7356" s="45" t="s">
        <v>41</v>
      </c>
      <c r="D7356" s="45" t="s">
        <v>8939</v>
      </c>
    </row>
    <row r="7357" spans="1:4" s="45" customFormat="1" ht="13.5" x14ac:dyDescent="0.15">
      <c r="A7357" s="45" t="s">
        <v>41</v>
      </c>
      <c r="D7357" s="45" t="s">
        <v>8940</v>
      </c>
    </row>
    <row r="7358" spans="1:4" s="45" customFormat="1" ht="13.5" x14ac:dyDescent="0.15">
      <c r="A7358" s="45" t="s">
        <v>41</v>
      </c>
      <c r="D7358" s="45" t="s">
        <v>8941</v>
      </c>
    </row>
    <row r="7359" spans="1:4" s="45" customFormat="1" ht="13.5" x14ac:dyDescent="0.15">
      <c r="A7359" s="45" t="s">
        <v>41</v>
      </c>
      <c r="D7359" s="45" t="s">
        <v>8942</v>
      </c>
    </row>
    <row r="7360" spans="1:4" s="45" customFormat="1" ht="13.5" x14ac:dyDescent="0.15">
      <c r="A7360" s="45" t="s">
        <v>41</v>
      </c>
      <c r="D7360" s="45" t="s">
        <v>8943</v>
      </c>
    </row>
    <row r="7361" spans="1:4" s="45" customFormat="1" ht="13.5" x14ac:dyDescent="0.15">
      <c r="A7361" s="45" t="s">
        <v>41</v>
      </c>
      <c r="D7361" s="45" t="s">
        <v>8944</v>
      </c>
    </row>
    <row r="7362" spans="1:4" s="45" customFormat="1" ht="13.5" x14ac:dyDescent="0.15">
      <c r="A7362" s="45" t="s">
        <v>41</v>
      </c>
      <c r="D7362" s="45" t="s">
        <v>8945</v>
      </c>
    </row>
    <row r="7363" spans="1:4" s="45" customFormat="1" ht="13.5" x14ac:dyDescent="0.15">
      <c r="A7363" s="45" t="s">
        <v>41</v>
      </c>
      <c r="D7363" s="45" t="s">
        <v>8946</v>
      </c>
    </row>
    <row r="7364" spans="1:4" s="45" customFormat="1" ht="13.5" x14ac:dyDescent="0.15">
      <c r="A7364" s="45" t="s">
        <v>41</v>
      </c>
      <c r="D7364" s="45" t="s">
        <v>8947</v>
      </c>
    </row>
    <row r="7365" spans="1:4" s="45" customFormat="1" ht="13.5" x14ac:dyDescent="0.15">
      <c r="A7365" s="45" t="s">
        <v>41</v>
      </c>
      <c r="D7365" s="45" t="s">
        <v>821</v>
      </c>
    </row>
    <row r="7366" spans="1:4" s="45" customFormat="1" ht="13.5" x14ac:dyDescent="0.15">
      <c r="A7366" s="45" t="s">
        <v>41</v>
      </c>
      <c r="D7366" s="45" t="s">
        <v>8948</v>
      </c>
    </row>
    <row r="7367" spans="1:4" s="45" customFormat="1" ht="13.5" x14ac:dyDescent="0.15">
      <c r="A7367" s="45" t="s">
        <v>41</v>
      </c>
      <c r="D7367" s="45" t="s">
        <v>824</v>
      </c>
    </row>
    <row r="7368" spans="1:4" s="45" customFormat="1" ht="13.5" x14ac:dyDescent="0.15">
      <c r="A7368" s="45" t="s">
        <v>41</v>
      </c>
      <c r="D7368" s="45" t="s">
        <v>825</v>
      </c>
    </row>
    <row r="7369" spans="1:4" s="45" customFormat="1" ht="13.5" x14ac:dyDescent="0.15">
      <c r="A7369" s="45" t="s">
        <v>41</v>
      </c>
      <c r="D7369" s="45" t="s">
        <v>8949</v>
      </c>
    </row>
    <row r="7370" spans="1:4" s="45" customFormat="1" ht="13.5" x14ac:dyDescent="0.15">
      <c r="A7370" s="45" t="s">
        <v>41</v>
      </c>
      <c r="D7370" s="45" t="s">
        <v>827</v>
      </c>
    </row>
    <row r="7371" spans="1:4" s="45" customFormat="1" ht="13.5" x14ac:dyDescent="0.15">
      <c r="A7371" s="45" t="s">
        <v>41</v>
      </c>
      <c r="D7371" s="45" t="s">
        <v>826</v>
      </c>
    </row>
    <row r="7372" spans="1:4" s="45" customFormat="1" ht="13.5" x14ac:dyDescent="0.15">
      <c r="A7372" s="45" t="s">
        <v>41</v>
      </c>
      <c r="D7372" s="45" t="s">
        <v>1571</v>
      </c>
    </row>
    <row r="7373" spans="1:4" s="45" customFormat="1" ht="13.5" x14ac:dyDescent="0.15">
      <c r="A7373" s="45" t="s">
        <v>41</v>
      </c>
      <c r="D7373" s="45" t="s">
        <v>8950</v>
      </c>
    </row>
    <row r="7374" spans="1:4" s="45" customFormat="1" ht="13.5" x14ac:dyDescent="0.15">
      <c r="A7374" s="45" t="s">
        <v>41</v>
      </c>
      <c r="D7374" s="45" t="s">
        <v>8951</v>
      </c>
    </row>
    <row r="7375" spans="1:4" s="45" customFormat="1" ht="13.5" x14ac:dyDescent="0.15">
      <c r="A7375" s="45" t="s">
        <v>41</v>
      </c>
      <c r="D7375" s="45" t="s">
        <v>8952</v>
      </c>
    </row>
    <row r="7376" spans="1:4" s="45" customFormat="1" ht="13.5" x14ac:dyDescent="0.15">
      <c r="A7376" s="45" t="s">
        <v>41</v>
      </c>
      <c r="D7376" s="45" t="s">
        <v>8953</v>
      </c>
    </row>
    <row r="7377" spans="1:4" s="45" customFormat="1" ht="13.5" x14ac:dyDescent="0.15">
      <c r="A7377" s="45" t="s">
        <v>41</v>
      </c>
      <c r="D7377" s="45" t="s">
        <v>2061</v>
      </c>
    </row>
    <row r="7378" spans="1:4" s="45" customFormat="1" ht="13.5" x14ac:dyDescent="0.15">
      <c r="A7378" s="45" t="s">
        <v>41</v>
      </c>
      <c r="D7378" s="45" t="s">
        <v>8954</v>
      </c>
    </row>
    <row r="7379" spans="1:4" s="45" customFormat="1" ht="13.5" x14ac:dyDescent="0.15">
      <c r="A7379" s="45" t="s">
        <v>41</v>
      </c>
      <c r="D7379" s="45" t="s">
        <v>8955</v>
      </c>
    </row>
    <row r="7380" spans="1:4" s="45" customFormat="1" ht="13.5" x14ac:dyDescent="0.15">
      <c r="A7380" s="45" t="s">
        <v>41</v>
      </c>
      <c r="D7380" s="45" t="s">
        <v>8956</v>
      </c>
    </row>
    <row r="7381" spans="1:4" s="45" customFormat="1" ht="13.5" x14ac:dyDescent="0.15">
      <c r="A7381" s="45" t="s">
        <v>41</v>
      </c>
      <c r="D7381" s="45" t="s">
        <v>8957</v>
      </c>
    </row>
    <row r="7382" spans="1:4" s="45" customFormat="1" ht="13.5" x14ac:dyDescent="0.15">
      <c r="A7382" s="45" t="s">
        <v>41</v>
      </c>
      <c r="D7382" s="45" t="s">
        <v>8958</v>
      </c>
    </row>
    <row r="7383" spans="1:4" s="45" customFormat="1" ht="13.5" x14ac:dyDescent="0.15">
      <c r="A7383" s="45" t="s">
        <v>41</v>
      </c>
      <c r="D7383" s="45" t="s">
        <v>2060</v>
      </c>
    </row>
    <row r="7384" spans="1:4" s="45" customFormat="1" ht="13.5" x14ac:dyDescent="0.15">
      <c r="A7384" s="45" t="s">
        <v>41</v>
      </c>
      <c r="D7384" s="45" t="s">
        <v>8959</v>
      </c>
    </row>
    <row r="7385" spans="1:4" s="45" customFormat="1" ht="13.5" x14ac:dyDescent="0.15">
      <c r="A7385" s="45" t="s">
        <v>41</v>
      </c>
      <c r="D7385" s="45" t="s">
        <v>8960</v>
      </c>
    </row>
    <row r="7386" spans="1:4" s="45" customFormat="1" ht="13.5" x14ac:dyDescent="0.15">
      <c r="A7386" s="45" t="s">
        <v>41</v>
      </c>
      <c r="D7386" s="45" t="s">
        <v>8961</v>
      </c>
    </row>
    <row r="7387" spans="1:4" s="45" customFormat="1" ht="13.5" x14ac:dyDescent="0.15">
      <c r="A7387" s="45" t="s">
        <v>41</v>
      </c>
      <c r="D7387" s="45" t="s">
        <v>8962</v>
      </c>
    </row>
    <row r="7388" spans="1:4" s="45" customFormat="1" ht="13.5" x14ac:dyDescent="0.15">
      <c r="A7388" s="45" t="s">
        <v>41</v>
      </c>
      <c r="D7388" s="45" t="s">
        <v>8963</v>
      </c>
    </row>
    <row r="7389" spans="1:4" s="45" customFormat="1" ht="13.5" x14ac:dyDescent="0.15">
      <c r="A7389" s="45" t="s">
        <v>41</v>
      </c>
      <c r="D7389" s="45" t="s">
        <v>8964</v>
      </c>
    </row>
    <row r="7390" spans="1:4" s="45" customFormat="1" ht="13.5" x14ac:dyDescent="0.15">
      <c r="A7390" s="45" t="s">
        <v>41</v>
      </c>
      <c r="D7390" s="45" t="s">
        <v>1096</v>
      </c>
    </row>
    <row r="7391" spans="1:4" s="45" customFormat="1" ht="13.5" x14ac:dyDescent="0.15">
      <c r="A7391" s="45" t="s">
        <v>41</v>
      </c>
      <c r="D7391" s="45" t="s">
        <v>1097</v>
      </c>
    </row>
    <row r="7392" spans="1:4" s="45" customFormat="1" ht="13.5" x14ac:dyDescent="0.15">
      <c r="A7392" s="45" t="s">
        <v>41</v>
      </c>
      <c r="D7392" s="45" t="s">
        <v>1098</v>
      </c>
    </row>
    <row r="7393" spans="1:4" s="45" customFormat="1" ht="13.5" x14ac:dyDescent="0.15">
      <c r="A7393" s="45" t="s">
        <v>41</v>
      </c>
      <c r="D7393" s="45" t="s">
        <v>2579</v>
      </c>
    </row>
    <row r="7394" spans="1:4" s="45" customFormat="1" ht="13.5" x14ac:dyDescent="0.15">
      <c r="A7394" s="45" t="s">
        <v>41</v>
      </c>
      <c r="D7394" s="45" t="s">
        <v>2580</v>
      </c>
    </row>
    <row r="7395" spans="1:4" s="45" customFormat="1" ht="13.5" x14ac:dyDescent="0.15">
      <c r="A7395" s="45" t="s">
        <v>41</v>
      </c>
      <c r="D7395" s="45" t="s">
        <v>2581</v>
      </c>
    </row>
    <row r="7396" spans="1:4" s="45" customFormat="1" ht="13.5" x14ac:dyDescent="0.15">
      <c r="A7396" s="45" t="s">
        <v>41</v>
      </c>
      <c r="D7396" s="45" t="s">
        <v>8965</v>
      </c>
    </row>
    <row r="7397" spans="1:4" s="45" customFormat="1" ht="13.5" x14ac:dyDescent="0.15">
      <c r="A7397" s="45" t="s">
        <v>41</v>
      </c>
      <c r="D7397" s="45" t="s">
        <v>2417</v>
      </c>
    </row>
    <row r="7398" spans="1:4" s="45" customFormat="1" ht="13.5" x14ac:dyDescent="0.15">
      <c r="A7398" s="45" t="s">
        <v>41</v>
      </c>
      <c r="D7398" s="45" t="s">
        <v>212</v>
      </c>
    </row>
    <row r="7399" spans="1:4" s="45" customFormat="1" ht="13.5" x14ac:dyDescent="0.15">
      <c r="A7399" s="45" t="s">
        <v>41</v>
      </c>
      <c r="D7399" s="45" t="s">
        <v>8966</v>
      </c>
    </row>
    <row r="7400" spans="1:4" s="45" customFormat="1" ht="13.5" x14ac:dyDescent="0.15">
      <c r="A7400" s="45" t="s">
        <v>41</v>
      </c>
      <c r="D7400" s="45" t="s">
        <v>8967</v>
      </c>
    </row>
    <row r="7401" spans="1:4" s="45" customFormat="1" ht="13.5" x14ac:dyDescent="0.15">
      <c r="A7401" s="45" t="s">
        <v>41</v>
      </c>
      <c r="D7401" s="45" t="s">
        <v>8968</v>
      </c>
    </row>
    <row r="7402" spans="1:4" s="45" customFormat="1" ht="13.5" x14ac:dyDescent="0.15">
      <c r="A7402" s="45" t="s">
        <v>41</v>
      </c>
      <c r="D7402" s="45" t="s">
        <v>8969</v>
      </c>
    </row>
    <row r="7403" spans="1:4" s="45" customFormat="1" ht="13.5" x14ac:dyDescent="0.15">
      <c r="A7403" s="45" t="s">
        <v>41</v>
      </c>
      <c r="D7403" s="45" t="s">
        <v>8970</v>
      </c>
    </row>
    <row r="7404" spans="1:4" s="45" customFormat="1" ht="13.5" x14ac:dyDescent="0.15">
      <c r="A7404" s="45" t="s">
        <v>41</v>
      </c>
      <c r="D7404" s="45" t="s">
        <v>8971</v>
      </c>
    </row>
    <row r="7405" spans="1:4" s="45" customFormat="1" ht="13.5" x14ac:dyDescent="0.15">
      <c r="A7405" s="45" t="s">
        <v>41</v>
      </c>
      <c r="D7405" s="45" t="s">
        <v>8972</v>
      </c>
    </row>
    <row r="7406" spans="1:4" s="45" customFormat="1" ht="13.5" x14ac:dyDescent="0.15">
      <c r="A7406" s="45" t="s">
        <v>41</v>
      </c>
      <c r="D7406" s="45" t="s">
        <v>8973</v>
      </c>
    </row>
    <row r="7407" spans="1:4" s="45" customFormat="1" ht="13.5" x14ac:dyDescent="0.15">
      <c r="A7407" s="45" t="s">
        <v>41</v>
      </c>
      <c r="D7407" s="45" t="s">
        <v>8974</v>
      </c>
    </row>
    <row r="7408" spans="1:4" s="45" customFormat="1" ht="13.5" x14ac:dyDescent="0.15">
      <c r="A7408" s="45" t="s">
        <v>41</v>
      </c>
      <c r="D7408" s="45" t="s">
        <v>8975</v>
      </c>
    </row>
    <row r="7409" spans="1:4" s="45" customFormat="1" ht="13.5" x14ac:dyDescent="0.15">
      <c r="A7409" s="45" t="s">
        <v>41</v>
      </c>
      <c r="D7409" s="45" t="s">
        <v>8976</v>
      </c>
    </row>
    <row r="7410" spans="1:4" s="45" customFormat="1" ht="13.5" x14ac:dyDescent="0.15">
      <c r="A7410" s="45" t="s">
        <v>41</v>
      </c>
      <c r="D7410" s="45" t="s">
        <v>8977</v>
      </c>
    </row>
    <row r="7411" spans="1:4" s="45" customFormat="1" ht="13.5" x14ac:dyDescent="0.15">
      <c r="A7411" s="45" t="s">
        <v>41</v>
      </c>
      <c r="D7411" s="45" t="s">
        <v>8978</v>
      </c>
    </row>
    <row r="7412" spans="1:4" s="45" customFormat="1" ht="13.5" x14ac:dyDescent="0.15">
      <c r="A7412" s="45" t="s">
        <v>41</v>
      </c>
      <c r="D7412" s="45" t="s">
        <v>8979</v>
      </c>
    </row>
    <row r="7413" spans="1:4" s="45" customFormat="1" ht="13.5" x14ac:dyDescent="0.15">
      <c r="A7413" s="45" t="s">
        <v>41</v>
      </c>
      <c r="D7413" s="45" t="s">
        <v>8980</v>
      </c>
    </row>
    <row r="7414" spans="1:4" s="45" customFormat="1" ht="13.5" x14ac:dyDescent="0.15">
      <c r="A7414" s="45" t="s">
        <v>41</v>
      </c>
      <c r="D7414" s="45" t="s">
        <v>8981</v>
      </c>
    </row>
    <row r="7415" spans="1:4" s="45" customFormat="1" ht="13.5" x14ac:dyDescent="0.15">
      <c r="A7415" s="45" t="s">
        <v>41</v>
      </c>
      <c r="D7415" s="45" t="s">
        <v>8982</v>
      </c>
    </row>
    <row r="7416" spans="1:4" s="45" customFormat="1" ht="13.5" x14ac:dyDescent="0.15">
      <c r="A7416" s="45" t="s">
        <v>41</v>
      </c>
      <c r="D7416" s="45" t="s">
        <v>8983</v>
      </c>
    </row>
    <row r="7417" spans="1:4" s="45" customFormat="1" ht="13.5" x14ac:dyDescent="0.15">
      <c r="A7417" s="45" t="s">
        <v>41</v>
      </c>
      <c r="D7417" s="45" t="s">
        <v>8984</v>
      </c>
    </row>
    <row r="7418" spans="1:4" s="45" customFormat="1" ht="13.5" x14ac:dyDescent="0.15">
      <c r="A7418" s="45" t="s">
        <v>41</v>
      </c>
      <c r="D7418" s="45" t="s">
        <v>8985</v>
      </c>
    </row>
    <row r="7419" spans="1:4" s="45" customFormat="1" ht="13.5" x14ac:dyDescent="0.15">
      <c r="A7419" s="45" t="s">
        <v>41</v>
      </c>
      <c r="D7419" s="45" t="s">
        <v>8986</v>
      </c>
    </row>
    <row r="7420" spans="1:4" s="45" customFormat="1" ht="13.5" x14ac:dyDescent="0.15">
      <c r="A7420" s="45" t="s">
        <v>41</v>
      </c>
      <c r="D7420" s="45" t="s">
        <v>8987</v>
      </c>
    </row>
    <row r="7421" spans="1:4" s="45" customFormat="1" ht="13.5" x14ac:dyDescent="0.15">
      <c r="A7421" s="45" t="s">
        <v>41</v>
      </c>
      <c r="D7421" s="45" t="s">
        <v>1597</v>
      </c>
    </row>
    <row r="7422" spans="1:4" s="45" customFormat="1" ht="13.5" x14ac:dyDescent="0.15">
      <c r="A7422" s="45" t="s">
        <v>41</v>
      </c>
      <c r="D7422" s="45" t="s">
        <v>2337</v>
      </c>
    </row>
    <row r="7423" spans="1:4" s="45" customFormat="1" ht="13.5" x14ac:dyDescent="0.15">
      <c r="A7423" s="45" t="s">
        <v>41</v>
      </c>
      <c r="D7423" s="45" t="s">
        <v>140</v>
      </c>
    </row>
    <row r="7424" spans="1:4" s="45" customFormat="1" ht="13.5" x14ac:dyDescent="0.15">
      <c r="A7424" s="45" t="s">
        <v>41</v>
      </c>
      <c r="D7424" s="45" t="s">
        <v>8988</v>
      </c>
    </row>
    <row r="7425" spans="1:4" s="45" customFormat="1" ht="13.5" x14ac:dyDescent="0.15">
      <c r="A7425" s="45" t="s">
        <v>41</v>
      </c>
      <c r="D7425" s="45" t="s">
        <v>8989</v>
      </c>
    </row>
    <row r="7426" spans="1:4" s="45" customFormat="1" ht="13.5" x14ac:dyDescent="0.15">
      <c r="A7426" s="45" t="s">
        <v>41</v>
      </c>
      <c r="D7426" s="45" t="s">
        <v>8990</v>
      </c>
    </row>
    <row r="7427" spans="1:4" s="45" customFormat="1" ht="13.5" x14ac:dyDescent="0.15">
      <c r="A7427" s="45" t="s">
        <v>41</v>
      </c>
      <c r="D7427" s="45" t="s">
        <v>2089</v>
      </c>
    </row>
    <row r="7428" spans="1:4" s="45" customFormat="1" ht="13.5" x14ac:dyDescent="0.15">
      <c r="A7428" s="45" t="s">
        <v>41</v>
      </c>
      <c r="D7428" s="45" t="s">
        <v>8991</v>
      </c>
    </row>
    <row r="7429" spans="1:4" s="45" customFormat="1" ht="13.5" x14ac:dyDescent="0.15">
      <c r="A7429" s="45" t="s">
        <v>41</v>
      </c>
      <c r="D7429" s="45" t="s">
        <v>8992</v>
      </c>
    </row>
    <row r="7430" spans="1:4" s="45" customFormat="1" ht="13.5" x14ac:dyDescent="0.15">
      <c r="A7430" s="45" t="s">
        <v>41</v>
      </c>
      <c r="D7430" s="45" t="s">
        <v>2344</v>
      </c>
    </row>
    <row r="7431" spans="1:4" s="45" customFormat="1" ht="13.5" x14ac:dyDescent="0.15">
      <c r="A7431" s="45" t="s">
        <v>41</v>
      </c>
      <c r="D7431" s="45" t="s">
        <v>8993</v>
      </c>
    </row>
    <row r="7432" spans="1:4" s="45" customFormat="1" ht="13.5" x14ac:dyDescent="0.15">
      <c r="A7432" s="45" t="s">
        <v>41</v>
      </c>
      <c r="D7432" s="45" t="s">
        <v>2452</v>
      </c>
    </row>
    <row r="7433" spans="1:4" s="45" customFormat="1" ht="13.5" x14ac:dyDescent="0.15">
      <c r="A7433" s="45" t="s">
        <v>41</v>
      </c>
      <c r="D7433" s="45" t="s">
        <v>8994</v>
      </c>
    </row>
    <row r="7434" spans="1:4" s="45" customFormat="1" ht="13.5" x14ac:dyDescent="0.15">
      <c r="A7434" s="45" t="s">
        <v>41</v>
      </c>
      <c r="D7434" s="45" t="s">
        <v>2338</v>
      </c>
    </row>
    <row r="7435" spans="1:4" s="45" customFormat="1" ht="13.5" x14ac:dyDescent="0.15">
      <c r="A7435" s="45" t="s">
        <v>41</v>
      </c>
      <c r="D7435" s="45" t="s">
        <v>8995</v>
      </c>
    </row>
    <row r="7436" spans="1:4" s="45" customFormat="1" ht="13.5" x14ac:dyDescent="0.15">
      <c r="A7436" s="45" t="s">
        <v>41</v>
      </c>
      <c r="D7436" s="45" t="s">
        <v>8996</v>
      </c>
    </row>
    <row r="7437" spans="1:4" s="45" customFormat="1" ht="13.5" x14ac:dyDescent="0.15">
      <c r="A7437" s="45" t="s">
        <v>41</v>
      </c>
      <c r="D7437" s="45" t="s">
        <v>8997</v>
      </c>
    </row>
    <row r="7438" spans="1:4" s="45" customFormat="1" ht="13.5" x14ac:dyDescent="0.15">
      <c r="A7438" s="45" t="s">
        <v>41</v>
      </c>
      <c r="D7438" s="45" t="s">
        <v>8998</v>
      </c>
    </row>
    <row r="7439" spans="1:4" s="45" customFormat="1" ht="13.5" x14ac:dyDescent="0.15">
      <c r="A7439" s="45" t="s">
        <v>41</v>
      </c>
      <c r="D7439" s="45" t="s">
        <v>2448</v>
      </c>
    </row>
    <row r="7440" spans="1:4" s="45" customFormat="1" ht="13.5" x14ac:dyDescent="0.15">
      <c r="A7440" s="45" t="s">
        <v>41</v>
      </c>
      <c r="D7440" s="45" t="s">
        <v>2447</v>
      </c>
    </row>
    <row r="7441" spans="1:4" s="45" customFormat="1" ht="13.5" x14ac:dyDescent="0.15">
      <c r="A7441" s="45" t="s">
        <v>41</v>
      </c>
      <c r="D7441" s="45" t="s">
        <v>2446</v>
      </c>
    </row>
    <row r="7442" spans="1:4" s="45" customFormat="1" ht="13.5" x14ac:dyDescent="0.15">
      <c r="A7442" s="45" t="s">
        <v>41</v>
      </c>
      <c r="D7442" s="45" t="s">
        <v>628</v>
      </c>
    </row>
    <row r="7443" spans="1:4" s="45" customFormat="1" ht="13.5" x14ac:dyDescent="0.15">
      <c r="A7443" s="45" t="s">
        <v>41</v>
      </c>
      <c r="D7443" s="45" t="s">
        <v>629</v>
      </c>
    </row>
    <row r="7444" spans="1:4" s="45" customFormat="1" ht="13.5" x14ac:dyDescent="0.15">
      <c r="A7444" s="45" t="s">
        <v>41</v>
      </c>
      <c r="D7444" s="45" t="s">
        <v>8999</v>
      </c>
    </row>
    <row r="7445" spans="1:4" s="45" customFormat="1" ht="13.5" x14ac:dyDescent="0.15">
      <c r="A7445" s="45" t="s">
        <v>41</v>
      </c>
      <c r="D7445" s="45" t="s">
        <v>9000</v>
      </c>
    </row>
    <row r="7446" spans="1:4" s="45" customFormat="1" ht="13.5" x14ac:dyDescent="0.15">
      <c r="A7446" s="45" t="s">
        <v>41</v>
      </c>
      <c r="D7446" s="45" t="s">
        <v>9001</v>
      </c>
    </row>
    <row r="7447" spans="1:4" s="45" customFormat="1" ht="13.5" x14ac:dyDescent="0.15">
      <c r="A7447" s="45" t="s">
        <v>41</v>
      </c>
      <c r="D7447" s="45" t="s">
        <v>9002</v>
      </c>
    </row>
    <row r="7448" spans="1:4" s="45" customFormat="1" ht="13.5" x14ac:dyDescent="0.15">
      <c r="A7448" s="45" t="s">
        <v>41</v>
      </c>
      <c r="D7448" s="45" t="s">
        <v>9003</v>
      </c>
    </row>
    <row r="7449" spans="1:4" s="45" customFormat="1" ht="13.5" x14ac:dyDescent="0.15">
      <c r="A7449" s="45" t="s">
        <v>41</v>
      </c>
      <c r="D7449" s="45" t="s">
        <v>9004</v>
      </c>
    </row>
    <row r="7450" spans="1:4" s="45" customFormat="1" ht="13.5" x14ac:dyDescent="0.15">
      <c r="A7450" s="45" t="s">
        <v>41</v>
      </c>
      <c r="D7450" s="45" t="s">
        <v>1607</v>
      </c>
    </row>
    <row r="7451" spans="1:4" s="45" customFormat="1" ht="13.5" x14ac:dyDescent="0.15">
      <c r="A7451" s="45" t="s">
        <v>41</v>
      </c>
      <c r="D7451" s="45" t="s">
        <v>9005</v>
      </c>
    </row>
    <row r="7452" spans="1:4" s="45" customFormat="1" ht="13.5" x14ac:dyDescent="0.15">
      <c r="A7452" s="45" t="s">
        <v>41</v>
      </c>
      <c r="D7452" s="45" t="s">
        <v>2123</v>
      </c>
    </row>
    <row r="7453" spans="1:4" s="45" customFormat="1" ht="13.5" x14ac:dyDescent="0.15">
      <c r="A7453" s="45" t="s">
        <v>41</v>
      </c>
      <c r="D7453" s="45" t="s">
        <v>9006</v>
      </c>
    </row>
    <row r="7454" spans="1:4" s="45" customFormat="1" ht="13.5" x14ac:dyDescent="0.15">
      <c r="A7454" s="45" t="s">
        <v>41</v>
      </c>
      <c r="D7454" s="45" t="s">
        <v>9007</v>
      </c>
    </row>
    <row r="7455" spans="1:4" s="45" customFormat="1" ht="13.5" x14ac:dyDescent="0.15">
      <c r="A7455" s="45" t="s">
        <v>41</v>
      </c>
      <c r="D7455" s="45" t="s">
        <v>9008</v>
      </c>
    </row>
    <row r="7456" spans="1:4" s="45" customFormat="1" ht="13.5" x14ac:dyDescent="0.15">
      <c r="A7456" s="45" t="s">
        <v>41</v>
      </c>
      <c r="D7456" s="45" t="s">
        <v>9009</v>
      </c>
    </row>
    <row r="7457" spans="1:4" s="45" customFormat="1" ht="13.5" x14ac:dyDescent="0.15">
      <c r="A7457" s="45" t="s">
        <v>41</v>
      </c>
      <c r="D7457" s="45" t="s">
        <v>9010</v>
      </c>
    </row>
    <row r="7458" spans="1:4" s="45" customFormat="1" ht="13.5" x14ac:dyDescent="0.15">
      <c r="A7458" s="45" t="s">
        <v>41</v>
      </c>
      <c r="D7458" s="45" t="s">
        <v>9011</v>
      </c>
    </row>
    <row r="7459" spans="1:4" s="45" customFormat="1" ht="13.5" x14ac:dyDescent="0.15">
      <c r="A7459" s="45" t="s">
        <v>41</v>
      </c>
      <c r="D7459" s="45" t="s">
        <v>754</v>
      </c>
    </row>
    <row r="7460" spans="1:4" s="45" customFormat="1" ht="13.5" x14ac:dyDescent="0.15">
      <c r="A7460" s="45" t="s">
        <v>41</v>
      </c>
      <c r="D7460" s="45" t="s">
        <v>2350</v>
      </c>
    </row>
    <row r="7461" spans="1:4" s="45" customFormat="1" ht="13.5" x14ac:dyDescent="0.15">
      <c r="A7461" s="45" t="s">
        <v>41</v>
      </c>
      <c r="D7461" s="45" t="s">
        <v>2347</v>
      </c>
    </row>
    <row r="7462" spans="1:4" s="45" customFormat="1" ht="13.5" x14ac:dyDescent="0.15">
      <c r="A7462" s="45" t="s">
        <v>41</v>
      </c>
      <c r="D7462" s="45" t="s">
        <v>9012</v>
      </c>
    </row>
    <row r="7463" spans="1:4" s="45" customFormat="1" ht="13.5" x14ac:dyDescent="0.15">
      <c r="A7463" s="45" t="s">
        <v>41</v>
      </c>
      <c r="D7463" s="45" t="s">
        <v>2349</v>
      </c>
    </row>
    <row r="7464" spans="1:4" s="45" customFormat="1" ht="13.5" x14ac:dyDescent="0.15">
      <c r="A7464" s="45" t="s">
        <v>41</v>
      </c>
      <c r="D7464" s="45" t="s">
        <v>2348</v>
      </c>
    </row>
    <row r="7465" spans="1:4" s="45" customFormat="1" ht="13.5" x14ac:dyDescent="0.15">
      <c r="A7465" s="45" t="s">
        <v>41</v>
      </c>
      <c r="D7465" s="45" t="s">
        <v>9013</v>
      </c>
    </row>
    <row r="7466" spans="1:4" s="45" customFormat="1" ht="13.5" x14ac:dyDescent="0.15">
      <c r="A7466" s="45" t="s">
        <v>41</v>
      </c>
      <c r="D7466" s="45" t="s">
        <v>9014</v>
      </c>
    </row>
    <row r="7467" spans="1:4" s="45" customFormat="1" ht="13.5" x14ac:dyDescent="0.15">
      <c r="A7467" s="45" t="s">
        <v>41</v>
      </c>
      <c r="D7467" s="45" t="s">
        <v>9015</v>
      </c>
    </row>
    <row r="7468" spans="1:4" s="45" customFormat="1" ht="13.5" x14ac:dyDescent="0.15">
      <c r="A7468" s="45" t="s">
        <v>41</v>
      </c>
      <c r="D7468" s="45" t="s">
        <v>9016</v>
      </c>
    </row>
    <row r="7469" spans="1:4" s="45" customFormat="1" ht="13.5" x14ac:dyDescent="0.15">
      <c r="A7469" s="45" t="s">
        <v>41</v>
      </c>
      <c r="D7469" s="45" t="s">
        <v>9017</v>
      </c>
    </row>
    <row r="7470" spans="1:4" s="45" customFormat="1" ht="13.5" x14ac:dyDescent="0.15">
      <c r="A7470" s="45" t="s">
        <v>41</v>
      </c>
      <c r="D7470" s="45" t="s">
        <v>9018</v>
      </c>
    </row>
    <row r="7471" spans="1:4" s="45" customFormat="1" ht="13.5" x14ac:dyDescent="0.15">
      <c r="A7471" s="45" t="s">
        <v>41</v>
      </c>
      <c r="D7471" s="45" t="s">
        <v>9019</v>
      </c>
    </row>
    <row r="7472" spans="1:4" s="45" customFormat="1" ht="13.5" x14ac:dyDescent="0.15">
      <c r="A7472" s="45" t="s">
        <v>41</v>
      </c>
      <c r="D7472" s="45" t="s">
        <v>9020</v>
      </c>
    </row>
    <row r="7473" spans="1:4" s="45" customFormat="1" ht="13.5" x14ac:dyDescent="0.15">
      <c r="A7473" s="45" t="s">
        <v>41</v>
      </c>
      <c r="D7473" s="45" t="s">
        <v>9021</v>
      </c>
    </row>
    <row r="7474" spans="1:4" s="45" customFormat="1" ht="13.5" x14ac:dyDescent="0.15">
      <c r="A7474" s="45" t="s">
        <v>41</v>
      </c>
      <c r="D7474" s="45" t="s">
        <v>9022</v>
      </c>
    </row>
    <row r="7475" spans="1:4" s="45" customFormat="1" ht="13.5" x14ac:dyDescent="0.15">
      <c r="A7475" s="45" t="s">
        <v>41</v>
      </c>
      <c r="D7475" s="45" t="s">
        <v>9023</v>
      </c>
    </row>
    <row r="7476" spans="1:4" s="45" customFormat="1" ht="13.5" x14ac:dyDescent="0.15">
      <c r="A7476" s="45" t="s">
        <v>41</v>
      </c>
      <c r="D7476" s="45" t="s">
        <v>9024</v>
      </c>
    </row>
    <row r="7477" spans="1:4" s="45" customFormat="1" ht="13.5" x14ac:dyDescent="0.15">
      <c r="A7477" s="45" t="s">
        <v>41</v>
      </c>
      <c r="D7477" s="45" t="s">
        <v>9025</v>
      </c>
    </row>
    <row r="7478" spans="1:4" s="45" customFormat="1" ht="13.5" x14ac:dyDescent="0.15">
      <c r="A7478" s="45" t="s">
        <v>41</v>
      </c>
      <c r="D7478" s="45" t="s">
        <v>9026</v>
      </c>
    </row>
    <row r="7479" spans="1:4" s="45" customFormat="1" ht="13.5" x14ac:dyDescent="0.15">
      <c r="A7479" s="45" t="s">
        <v>41</v>
      </c>
      <c r="D7479" s="45" t="s">
        <v>9027</v>
      </c>
    </row>
    <row r="7480" spans="1:4" s="45" customFormat="1" ht="13.5" x14ac:dyDescent="0.15">
      <c r="A7480" s="45" t="s">
        <v>41</v>
      </c>
      <c r="D7480" s="45" t="s">
        <v>9028</v>
      </c>
    </row>
    <row r="7481" spans="1:4" s="45" customFormat="1" ht="13.5" x14ac:dyDescent="0.15">
      <c r="A7481" s="45" t="s">
        <v>41</v>
      </c>
      <c r="D7481" s="45" t="s">
        <v>2412</v>
      </c>
    </row>
    <row r="7482" spans="1:4" s="45" customFormat="1" ht="13.5" x14ac:dyDescent="0.15">
      <c r="A7482" s="45" t="s">
        <v>41</v>
      </c>
      <c r="D7482" s="45" t="s">
        <v>2414</v>
      </c>
    </row>
    <row r="7483" spans="1:4" s="45" customFormat="1" ht="13.5" x14ac:dyDescent="0.15">
      <c r="A7483" s="45" t="s">
        <v>41</v>
      </c>
      <c r="D7483" s="45" t="s">
        <v>2413</v>
      </c>
    </row>
    <row r="7484" spans="1:4" s="45" customFormat="1" ht="13.5" x14ac:dyDescent="0.15">
      <c r="A7484" s="45" t="s">
        <v>41</v>
      </c>
      <c r="D7484" s="45" t="s">
        <v>1374</v>
      </c>
    </row>
    <row r="7485" spans="1:4" s="45" customFormat="1" ht="13.5" x14ac:dyDescent="0.15">
      <c r="A7485" s="45" t="s">
        <v>41</v>
      </c>
      <c r="D7485" s="45" t="s">
        <v>1373</v>
      </c>
    </row>
    <row r="7486" spans="1:4" s="45" customFormat="1" ht="13.5" x14ac:dyDescent="0.15">
      <c r="A7486" s="45" t="s">
        <v>41</v>
      </c>
      <c r="D7486" s="45" t="s">
        <v>9029</v>
      </c>
    </row>
    <row r="7487" spans="1:4" s="45" customFormat="1" ht="13.5" x14ac:dyDescent="0.15">
      <c r="A7487" s="45" t="s">
        <v>41</v>
      </c>
      <c r="D7487" s="45" t="s">
        <v>1372</v>
      </c>
    </row>
    <row r="7488" spans="1:4" s="45" customFormat="1" ht="13.5" x14ac:dyDescent="0.15">
      <c r="A7488" s="45" t="s">
        <v>41</v>
      </c>
      <c r="D7488" s="45" t="s">
        <v>1375</v>
      </c>
    </row>
    <row r="7489" spans="1:4" s="45" customFormat="1" ht="13.5" x14ac:dyDescent="0.15">
      <c r="A7489" s="45" t="s">
        <v>41</v>
      </c>
      <c r="D7489" s="45" t="s">
        <v>1371</v>
      </c>
    </row>
    <row r="7490" spans="1:4" s="45" customFormat="1" ht="13.5" x14ac:dyDescent="0.15">
      <c r="A7490" s="45" t="s">
        <v>41</v>
      </c>
      <c r="D7490" s="45" t="s">
        <v>9030</v>
      </c>
    </row>
    <row r="7491" spans="1:4" s="45" customFormat="1" ht="13.5" x14ac:dyDescent="0.15">
      <c r="A7491" s="45" t="s">
        <v>41</v>
      </c>
      <c r="D7491" s="45" t="s">
        <v>9031</v>
      </c>
    </row>
    <row r="7492" spans="1:4" s="45" customFormat="1" ht="13.5" x14ac:dyDescent="0.15">
      <c r="A7492" s="45" t="s">
        <v>41</v>
      </c>
      <c r="D7492" s="45" t="s">
        <v>9032</v>
      </c>
    </row>
    <row r="7493" spans="1:4" s="45" customFormat="1" ht="13.5" x14ac:dyDescent="0.15">
      <c r="A7493" s="45" t="s">
        <v>41</v>
      </c>
      <c r="D7493" s="45" t="s">
        <v>798</v>
      </c>
    </row>
    <row r="7494" spans="1:4" s="45" customFormat="1" ht="13.5" x14ac:dyDescent="0.15">
      <c r="A7494" s="45" t="s">
        <v>41</v>
      </c>
      <c r="D7494" s="45" t="s">
        <v>796</v>
      </c>
    </row>
    <row r="7495" spans="1:4" s="45" customFormat="1" ht="13.5" x14ac:dyDescent="0.15">
      <c r="A7495" s="45" t="s">
        <v>41</v>
      </c>
      <c r="D7495" s="45" t="s">
        <v>9033</v>
      </c>
    </row>
    <row r="7496" spans="1:4" s="45" customFormat="1" ht="13.5" x14ac:dyDescent="0.15">
      <c r="A7496" s="45" t="s">
        <v>41</v>
      </c>
      <c r="D7496" s="45" t="s">
        <v>797</v>
      </c>
    </row>
    <row r="7497" spans="1:4" s="45" customFormat="1" ht="13.5" x14ac:dyDescent="0.15">
      <c r="A7497" s="45" t="s">
        <v>41</v>
      </c>
      <c r="D7497" s="45" t="s">
        <v>9034</v>
      </c>
    </row>
    <row r="7498" spans="1:4" s="45" customFormat="1" ht="13.5" x14ac:dyDescent="0.15">
      <c r="A7498" s="45" t="s">
        <v>41</v>
      </c>
      <c r="D7498" s="45" t="s">
        <v>2209</v>
      </c>
    </row>
    <row r="7499" spans="1:4" s="45" customFormat="1" ht="13.5" x14ac:dyDescent="0.15">
      <c r="A7499" s="45" t="s">
        <v>41</v>
      </c>
      <c r="D7499" s="45" t="s">
        <v>1135</v>
      </c>
    </row>
    <row r="7500" spans="1:4" s="45" customFormat="1" ht="13.5" x14ac:dyDescent="0.15">
      <c r="A7500" s="45" t="s">
        <v>41</v>
      </c>
      <c r="D7500" s="45" t="s">
        <v>1136</v>
      </c>
    </row>
    <row r="7501" spans="1:4" s="45" customFormat="1" ht="13.5" x14ac:dyDescent="0.15">
      <c r="A7501" s="45" t="s">
        <v>41</v>
      </c>
      <c r="D7501" s="45" t="s">
        <v>1132</v>
      </c>
    </row>
    <row r="7502" spans="1:4" s="45" customFormat="1" ht="13.5" x14ac:dyDescent="0.15">
      <c r="A7502" s="45" t="s">
        <v>41</v>
      </c>
      <c r="D7502" s="45" t="s">
        <v>9035</v>
      </c>
    </row>
    <row r="7503" spans="1:4" s="45" customFormat="1" ht="13.5" x14ac:dyDescent="0.15">
      <c r="A7503" s="45" t="s">
        <v>41</v>
      </c>
      <c r="D7503" s="45" t="s">
        <v>2306</v>
      </c>
    </row>
    <row r="7504" spans="1:4" s="45" customFormat="1" ht="13.5" x14ac:dyDescent="0.15">
      <c r="A7504" s="45" t="s">
        <v>41</v>
      </c>
      <c r="D7504" s="45" t="s">
        <v>9036</v>
      </c>
    </row>
    <row r="7505" spans="1:4" s="45" customFormat="1" ht="13.5" x14ac:dyDescent="0.15">
      <c r="A7505" s="45" t="s">
        <v>41</v>
      </c>
      <c r="D7505" s="45" t="s">
        <v>9037</v>
      </c>
    </row>
    <row r="7506" spans="1:4" s="45" customFormat="1" ht="13.5" x14ac:dyDescent="0.15">
      <c r="A7506" s="45" t="s">
        <v>41</v>
      </c>
      <c r="D7506" s="45" t="s">
        <v>9038</v>
      </c>
    </row>
    <row r="7507" spans="1:4" s="45" customFormat="1" ht="13.5" x14ac:dyDescent="0.15">
      <c r="A7507" s="45" t="s">
        <v>41</v>
      </c>
      <c r="D7507" s="45" t="s">
        <v>9039</v>
      </c>
    </row>
    <row r="7508" spans="1:4" s="45" customFormat="1" ht="13.5" x14ac:dyDescent="0.15">
      <c r="A7508" s="45" t="s">
        <v>41</v>
      </c>
      <c r="D7508" s="45" t="s">
        <v>2038</v>
      </c>
    </row>
    <row r="7509" spans="1:4" s="45" customFormat="1" ht="13.5" x14ac:dyDescent="0.15">
      <c r="A7509" s="45" t="s">
        <v>41</v>
      </c>
      <c r="D7509" s="45" t="s">
        <v>2039</v>
      </c>
    </row>
    <row r="7510" spans="1:4" s="45" customFormat="1" ht="13.5" x14ac:dyDescent="0.15">
      <c r="A7510" s="45" t="s">
        <v>41</v>
      </c>
      <c r="D7510" s="45" t="s">
        <v>1879</v>
      </c>
    </row>
    <row r="7511" spans="1:4" s="45" customFormat="1" ht="13.5" x14ac:dyDescent="0.15">
      <c r="A7511" s="45" t="s">
        <v>41</v>
      </c>
      <c r="D7511" s="45" t="s">
        <v>9040</v>
      </c>
    </row>
    <row r="7512" spans="1:4" s="45" customFormat="1" ht="13.5" x14ac:dyDescent="0.15">
      <c r="A7512" s="45" t="s">
        <v>41</v>
      </c>
      <c r="D7512" s="45" t="s">
        <v>1882</v>
      </c>
    </row>
    <row r="7513" spans="1:4" s="45" customFormat="1" ht="13.5" x14ac:dyDescent="0.15">
      <c r="A7513" s="45" t="s">
        <v>41</v>
      </c>
      <c r="D7513" s="45" t="s">
        <v>1880</v>
      </c>
    </row>
    <row r="7514" spans="1:4" s="45" customFormat="1" ht="13.5" x14ac:dyDescent="0.15">
      <c r="A7514" s="45" t="s">
        <v>41</v>
      </c>
      <c r="D7514" s="45" t="s">
        <v>9041</v>
      </c>
    </row>
    <row r="7515" spans="1:4" s="45" customFormat="1" ht="13.5" x14ac:dyDescent="0.15">
      <c r="A7515" s="45" t="s">
        <v>41</v>
      </c>
      <c r="D7515" s="45" t="s">
        <v>1881</v>
      </c>
    </row>
    <row r="7516" spans="1:4" s="45" customFormat="1" ht="13.5" x14ac:dyDescent="0.15">
      <c r="A7516" s="45" t="s">
        <v>41</v>
      </c>
      <c r="D7516" s="45" t="s">
        <v>9042</v>
      </c>
    </row>
    <row r="7517" spans="1:4" s="45" customFormat="1" ht="13.5" x14ac:dyDescent="0.15">
      <c r="A7517" s="45" t="s">
        <v>41</v>
      </c>
      <c r="D7517" s="45" t="s">
        <v>9043</v>
      </c>
    </row>
    <row r="7518" spans="1:4" s="45" customFormat="1" ht="13.5" x14ac:dyDescent="0.15">
      <c r="A7518" s="45" t="s">
        <v>41</v>
      </c>
      <c r="D7518" s="45" t="s">
        <v>9044</v>
      </c>
    </row>
    <row r="7519" spans="1:4" s="45" customFormat="1" ht="13.5" x14ac:dyDescent="0.15">
      <c r="A7519" s="45" t="s">
        <v>41</v>
      </c>
      <c r="D7519" s="45" t="s">
        <v>9045</v>
      </c>
    </row>
    <row r="7520" spans="1:4" s="45" customFormat="1" ht="13.5" x14ac:dyDescent="0.15">
      <c r="A7520" s="45" t="s">
        <v>41</v>
      </c>
      <c r="D7520" s="45" t="s">
        <v>9046</v>
      </c>
    </row>
    <row r="7521" spans="1:4" s="45" customFormat="1" ht="13.5" x14ac:dyDescent="0.15">
      <c r="A7521" s="45" t="s">
        <v>41</v>
      </c>
      <c r="D7521" s="45" t="s">
        <v>2298</v>
      </c>
    </row>
    <row r="7522" spans="1:4" s="45" customFormat="1" ht="13.5" x14ac:dyDescent="0.15">
      <c r="A7522" s="45" t="s">
        <v>41</v>
      </c>
      <c r="D7522" s="45" t="s">
        <v>9047</v>
      </c>
    </row>
    <row r="7523" spans="1:4" s="45" customFormat="1" ht="13.5" x14ac:dyDescent="0.15">
      <c r="A7523" s="45" t="s">
        <v>41</v>
      </c>
      <c r="D7523" s="45" t="s">
        <v>9048</v>
      </c>
    </row>
    <row r="7524" spans="1:4" s="45" customFormat="1" ht="13.5" x14ac:dyDescent="0.15">
      <c r="A7524" s="45" t="s">
        <v>41</v>
      </c>
      <c r="D7524" s="45" t="s">
        <v>9049</v>
      </c>
    </row>
    <row r="7525" spans="1:4" s="45" customFormat="1" ht="13.5" x14ac:dyDescent="0.15">
      <c r="A7525" s="45" t="s">
        <v>41</v>
      </c>
      <c r="D7525" s="45" t="s">
        <v>554</v>
      </c>
    </row>
    <row r="7526" spans="1:4" s="45" customFormat="1" ht="13.5" x14ac:dyDescent="0.15">
      <c r="A7526" s="45" t="s">
        <v>41</v>
      </c>
      <c r="D7526" s="45" t="s">
        <v>9050</v>
      </c>
    </row>
    <row r="7527" spans="1:4" s="45" customFormat="1" ht="13.5" x14ac:dyDescent="0.15">
      <c r="A7527" s="45" t="s">
        <v>41</v>
      </c>
      <c r="D7527" s="45" t="s">
        <v>9051</v>
      </c>
    </row>
    <row r="7528" spans="1:4" s="45" customFormat="1" ht="13.5" x14ac:dyDescent="0.15">
      <c r="A7528" s="45" t="s">
        <v>41</v>
      </c>
      <c r="D7528" s="45" t="s">
        <v>9052</v>
      </c>
    </row>
    <row r="7529" spans="1:4" s="45" customFormat="1" ht="13.5" x14ac:dyDescent="0.15">
      <c r="A7529" s="45" t="s">
        <v>41</v>
      </c>
      <c r="D7529" s="45" t="s">
        <v>9053</v>
      </c>
    </row>
    <row r="7530" spans="1:4" s="45" customFormat="1" ht="13.5" x14ac:dyDescent="0.15">
      <c r="A7530" s="45" t="s">
        <v>41</v>
      </c>
      <c r="D7530" s="45" t="s">
        <v>9054</v>
      </c>
    </row>
    <row r="7531" spans="1:4" s="45" customFormat="1" ht="13.5" x14ac:dyDescent="0.15">
      <c r="A7531" s="45" t="s">
        <v>41</v>
      </c>
      <c r="D7531" s="45" t="s">
        <v>9055</v>
      </c>
    </row>
    <row r="7532" spans="1:4" s="45" customFormat="1" ht="13.5" x14ac:dyDescent="0.15">
      <c r="A7532" s="45" t="s">
        <v>41</v>
      </c>
      <c r="D7532" s="45" t="s">
        <v>9056</v>
      </c>
    </row>
    <row r="7533" spans="1:4" s="45" customFormat="1" ht="13.5" x14ac:dyDescent="0.15">
      <c r="A7533" s="45" t="s">
        <v>41</v>
      </c>
      <c r="D7533" s="45" t="s">
        <v>9057</v>
      </c>
    </row>
    <row r="7534" spans="1:4" s="45" customFormat="1" ht="13.5" x14ac:dyDescent="0.15">
      <c r="A7534" s="45" t="s">
        <v>41</v>
      </c>
      <c r="D7534" s="45" t="s">
        <v>9058</v>
      </c>
    </row>
    <row r="7535" spans="1:4" s="45" customFormat="1" ht="13.5" x14ac:dyDescent="0.15">
      <c r="A7535" s="45" t="s">
        <v>41</v>
      </c>
      <c r="D7535" s="45" t="s">
        <v>708</v>
      </c>
    </row>
    <row r="7536" spans="1:4" s="45" customFormat="1" ht="13.5" x14ac:dyDescent="0.15">
      <c r="A7536" s="45" t="s">
        <v>41</v>
      </c>
      <c r="D7536" s="45" t="s">
        <v>9059</v>
      </c>
    </row>
    <row r="7537" spans="1:4" s="45" customFormat="1" ht="13.5" x14ac:dyDescent="0.15">
      <c r="A7537" s="45" t="s">
        <v>41</v>
      </c>
      <c r="D7537" s="45" t="s">
        <v>9060</v>
      </c>
    </row>
    <row r="7538" spans="1:4" s="45" customFormat="1" ht="13.5" x14ac:dyDescent="0.15">
      <c r="A7538" s="45" t="s">
        <v>41</v>
      </c>
      <c r="D7538" s="45" t="s">
        <v>707</v>
      </c>
    </row>
    <row r="7539" spans="1:4" s="45" customFormat="1" ht="13.5" x14ac:dyDescent="0.15">
      <c r="A7539" s="45" t="s">
        <v>41</v>
      </c>
      <c r="D7539" s="45" t="s">
        <v>9061</v>
      </c>
    </row>
    <row r="7540" spans="1:4" s="45" customFormat="1" ht="13.5" x14ac:dyDescent="0.15">
      <c r="A7540" s="45" t="s">
        <v>41</v>
      </c>
      <c r="D7540" s="45" t="s">
        <v>9062</v>
      </c>
    </row>
    <row r="7541" spans="1:4" s="45" customFormat="1" ht="13.5" x14ac:dyDescent="0.15">
      <c r="A7541" s="45" t="s">
        <v>41</v>
      </c>
      <c r="D7541" s="45" t="s">
        <v>9063</v>
      </c>
    </row>
    <row r="7542" spans="1:4" s="45" customFormat="1" ht="13.5" x14ac:dyDescent="0.15">
      <c r="A7542" s="45" t="s">
        <v>41</v>
      </c>
      <c r="D7542" s="45" t="s">
        <v>9064</v>
      </c>
    </row>
    <row r="7543" spans="1:4" s="45" customFormat="1" ht="13.5" x14ac:dyDescent="0.15">
      <c r="A7543" s="45" t="s">
        <v>41</v>
      </c>
      <c r="D7543" s="45" t="s">
        <v>9065</v>
      </c>
    </row>
    <row r="7544" spans="1:4" s="45" customFormat="1" ht="13.5" x14ac:dyDescent="0.15">
      <c r="A7544" s="45" t="s">
        <v>41</v>
      </c>
      <c r="D7544" s="45" t="s">
        <v>9066</v>
      </c>
    </row>
    <row r="7545" spans="1:4" s="45" customFormat="1" ht="13.5" x14ac:dyDescent="0.15">
      <c r="A7545" s="45" t="s">
        <v>41</v>
      </c>
      <c r="D7545" s="45" t="s">
        <v>9067</v>
      </c>
    </row>
    <row r="7546" spans="1:4" s="45" customFormat="1" ht="13.5" x14ac:dyDescent="0.15">
      <c r="A7546" s="45" t="s">
        <v>41</v>
      </c>
      <c r="D7546" s="45" t="s">
        <v>2006</v>
      </c>
    </row>
    <row r="7547" spans="1:4" s="45" customFormat="1" ht="13.5" x14ac:dyDescent="0.15">
      <c r="A7547" s="45" t="s">
        <v>41</v>
      </c>
      <c r="D7547" s="45" t="s">
        <v>9068</v>
      </c>
    </row>
    <row r="7548" spans="1:4" s="45" customFormat="1" ht="13.5" x14ac:dyDescent="0.15">
      <c r="A7548" s="45" t="s">
        <v>41</v>
      </c>
      <c r="D7548" s="45" t="s">
        <v>9069</v>
      </c>
    </row>
    <row r="7549" spans="1:4" s="45" customFormat="1" ht="13.5" x14ac:dyDescent="0.15">
      <c r="A7549" s="45" t="s">
        <v>41</v>
      </c>
      <c r="D7549" s="45" t="s">
        <v>90</v>
      </c>
    </row>
    <row r="7550" spans="1:4" s="45" customFormat="1" ht="13.5" x14ac:dyDescent="0.15">
      <c r="A7550" s="45" t="s">
        <v>41</v>
      </c>
      <c r="D7550" s="45" t="s">
        <v>9070</v>
      </c>
    </row>
    <row r="7551" spans="1:4" s="45" customFormat="1" ht="13.5" x14ac:dyDescent="0.15">
      <c r="A7551" s="45" t="s">
        <v>41</v>
      </c>
      <c r="D7551" s="45" t="s">
        <v>9071</v>
      </c>
    </row>
    <row r="7552" spans="1:4" s="45" customFormat="1" ht="13.5" x14ac:dyDescent="0.15">
      <c r="A7552" s="45" t="s">
        <v>41</v>
      </c>
      <c r="D7552" s="45" t="s">
        <v>9072</v>
      </c>
    </row>
    <row r="7553" spans="1:4" s="45" customFormat="1" ht="13.5" x14ac:dyDescent="0.15">
      <c r="A7553" s="45" t="s">
        <v>41</v>
      </c>
      <c r="D7553" s="45" t="s">
        <v>86</v>
      </c>
    </row>
    <row r="7554" spans="1:4" s="45" customFormat="1" ht="13.5" x14ac:dyDescent="0.15">
      <c r="A7554" s="45" t="s">
        <v>41</v>
      </c>
      <c r="D7554" s="45" t="s">
        <v>85</v>
      </c>
    </row>
    <row r="7555" spans="1:4" s="45" customFormat="1" ht="13.5" x14ac:dyDescent="0.15">
      <c r="A7555" s="45" t="s">
        <v>41</v>
      </c>
      <c r="D7555" s="45" t="s">
        <v>9073</v>
      </c>
    </row>
    <row r="7556" spans="1:4" s="45" customFormat="1" ht="13.5" x14ac:dyDescent="0.15">
      <c r="A7556" s="45" t="s">
        <v>41</v>
      </c>
      <c r="D7556" s="45" t="s">
        <v>9074</v>
      </c>
    </row>
    <row r="7557" spans="1:4" s="45" customFormat="1" ht="13.5" x14ac:dyDescent="0.15">
      <c r="A7557" s="45" t="s">
        <v>41</v>
      </c>
      <c r="D7557" s="45" t="s">
        <v>9075</v>
      </c>
    </row>
    <row r="7558" spans="1:4" s="45" customFormat="1" ht="13.5" x14ac:dyDescent="0.15">
      <c r="A7558" s="45" t="s">
        <v>41</v>
      </c>
      <c r="D7558" s="45" t="s">
        <v>89</v>
      </c>
    </row>
    <row r="7559" spans="1:4" s="45" customFormat="1" ht="13.5" x14ac:dyDescent="0.15">
      <c r="A7559" s="45" t="s">
        <v>41</v>
      </c>
      <c r="D7559" s="45" t="s">
        <v>9076</v>
      </c>
    </row>
    <row r="7560" spans="1:4" s="45" customFormat="1" ht="13.5" x14ac:dyDescent="0.15">
      <c r="A7560" s="45" t="s">
        <v>41</v>
      </c>
      <c r="D7560" s="45" t="s">
        <v>87</v>
      </c>
    </row>
    <row r="7561" spans="1:4" s="45" customFormat="1" ht="13.5" x14ac:dyDescent="0.15">
      <c r="A7561" s="45" t="s">
        <v>41</v>
      </c>
      <c r="D7561" s="45" t="s">
        <v>9077</v>
      </c>
    </row>
    <row r="7562" spans="1:4" s="45" customFormat="1" ht="13.5" x14ac:dyDescent="0.15">
      <c r="A7562" s="45" t="s">
        <v>41</v>
      </c>
      <c r="D7562" s="45" t="s">
        <v>9078</v>
      </c>
    </row>
    <row r="7563" spans="1:4" s="45" customFormat="1" ht="13.5" x14ac:dyDescent="0.15">
      <c r="A7563" s="45" t="s">
        <v>41</v>
      </c>
      <c r="D7563" s="45" t="s">
        <v>9079</v>
      </c>
    </row>
    <row r="7564" spans="1:4" s="45" customFormat="1" ht="13.5" x14ac:dyDescent="0.15">
      <c r="A7564" s="45" t="s">
        <v>41</v>
      </c>
      <c r="D7564" s="45" t="s">
        <v>9080</v>
      </c>
    </row>
    <row r="7565" spans="1:4" s="45" customFormat="1" ht="13.5" x14ac:dyDescent="0.15">
      <c r="A7565" s="45" t="s">
        <v>41</v>
      </c>
      <c r="D7565" s="45" t="s">
        <v>9081</v>
      </c>
    </row>
    <row r="7566" spans="1:4" s="45" customFormat="1" ht="13.5" x14ac:dyDescent="0.15">
      <c r="A7566" s="45" t="s">
        <v>41</v>
      </c>
      <c r="D7566" s="45" t="s">
        <v>91</v>
      </c>
    </row>
    <row r="7567" spans="1:4" s="45" customFormat="1" ht="13.5" x14ac:dyDescent="0.15">
      <c r="A7567" s="45" t="s">
        <v>41</v>
      </c>
      <c r="D7567" s="45" t="s">
        <v>9082</v>
      </c>
    </row>
    <row r="7568" spans="1:4" s="45" customFormat="1" ht="13.5" x14ac:dyDescent="0.15">
      <c r="A7568" s="45" t="s">
        <v>41</v>
      </c>
      <c r="D7568" s="45" t="s">
        <v>9083</v>
      </c>
    </row>
    <row r="7569" spans="1:4" s="45" customFormat="1" ht="13.5" x14ac:dyDescent="0.15">
      <c r="A7569" s="45" t="s">
        <v>41</v>
      </c>
      <c r="D7569" s="45" t="s">
        <v>88</v>
      </c>
    </row>
    <row r="7570" spans="1:4" s="45" customFormat="1" ht="13.5" x14ac:dyDescent="0.15">
      <c r="A7570" s="45" t="s">
        <v>41</v>
      </c>
      <c r="D7570" s="45" t="s">
        <v>9084</v>
      </c>
    </row>
    <row r="7571" spans="1:4" s="45" customFormat="1" ht="13.5" x14ac:dyDescent="0.15">
      <c r="A7571" s="45" t="s">
        <v>41</v>
      </c>
      <c r="D7571" s="45" t="s">
        <v>9085</v>
      </c>
    </row>
    <row r="7572" spans="1:4" s="45" customFormat="1" ht="13.5" x14ac:dyDescent="0.15">
      <c r="A7572" s="45" t="s">
        <v>41</v>
      </c>
      <c r="D7572" s="45" t="s">
        <v>9086</v>
      </c>
    </row>
    <row r="7573" spans="1:4" s="45" customFormat="1" ht="13.5" x14ac:dyDescent="0.15">
      <c r="A7573" s="45" t="s">
        <v>41</v>
      </c>
      <c r="D7573" s="45" t="s">
        <v>84</v>
      </c>
    </row>
    <row r="7574" spans="1:4" s="45" customFormat="1" ht="13.5" x14ac:dyDescent="0.15">
      <c r="A7574" s="45" t="s">
        <v>41</v>
      </c>
      <c r="D7574" s="45" t="s">
        <v>9087</v>
      </c>
    </row>
    <row r="7575" spans="1:4" s="45" customFormat="1" ht="13.5" x14ac:dyDescent="0.15">
      <c r="A7575" s="45" t="s">
        <v>41</v>
      </c>
      <c r="D7575" s="45" t="s">
        <v>9088</v>
      </c>
    </row>
    <row r="7576" spans="1:4" s="45" customFormat="1" ht="13.5" x14ac:dyDescent="0.15">
      <c r="A7576" s="45" t="s">
        <v>41</v>
      </c>
      <c r="D7576" s="45" t="s">
        <v>9089</v>
      </c>
    </row>
    <row r="7577" spans="1:4" s="45" customFormat="1" ht="13.5" x14ac:dyDescent="0.15">
      <c r="A7577" s="45" t="s">
        <v>41</v>
      </c>
      <c r="D7577" s="45" t="s">
        <v>249</v>
      </c>
    </row>
    <row r="7578" spans="1:4" s="45" customFormat="1" ht="13.5" x14ac:dyDescent="0.15">
      <c r="A7578" s="45" t="s">
        <v>41</v>
      </c>
      <c r="D7578" s="45" t="s">
        <v>254</v>
      </c>
    </row>
    <row r="7579" spans="1:4" s="45" customFormat="1" ht="13.5" x14ac:dyDescent="0.15">
      <c r="A7579" s="45" t="s">
        <v>41</v>
      </c>
      <c r="D7579" s="45" t="s">
        <v>255</v>
      </c>
    </row>
    <row r="7580" spans="1:4" s="45" customFormat="1" ht="13.5" x14ac:dyDescent="0.15">
      <c r="A7580" s="45" t="s">
        <v>41</v>
      </c>
      <c r="D7580" s="45" t="s">
        <v>250</v>
      </c>
    </row>
    <row r="7581" spans="1:4" s="45" customFormat="1" ht="13.5" x14ac:dyDescent="0.15">
      <c r="A7581" s="45" t="s">
        <v>41</v>
      </c>
      <c r="D7581" s="45" t="s">
        <v>251</v>
      </c>
    </row>
    <row r="7582" spans="1:4" s="45" customFormat="1" ht="13.5" x14ac:dyDescent="0.15">
      <c r="A7582" s="45" t="s">
        <v>41</v>
      </c>
      <c r="D7582" s="45" t="s">
        <v>9090</v>
      </c>
    </row>
    <row r="7583" spans="1:4" s="45" customFormat="1" ht="13.5" x14ac:dyDescent="0.15">
      <c r="A7583" s="45" t="s">
        <v>41</v>
      </c>
      <c r="D7583" s="45" t="s">
        <v>252</v>
      </c>
    </row>
    <row r="7584" spans="1:4" s="45" customFormat="1" ht="13.5" x14ac:dyDescent="0.15">
      <c r="A7584" s="45" t="s">
        <v>41</v>
      </c>
      <c r="D7584" s="45" t="s">
        <v>253</v>
      </c>
    </row>
    <row r="7585" spans="1:4" s="45" customFormat="1" ht="13.5" x14ac:dyDescent="0.15">
      <c r="A7585" s="45" t="s">
        <v>41</v>
      </c>
      <c r="D7585" s="45" t="s">
        <v>9091</v>
      </c>
    </row>
    <row r="7586" spans="1:4" s="45" customFormat="1" ht="13.5" x14ac:dyDescent="0.15">
      <c r="A7586" s="45" t="s">
        <v>41</v>
      </c>
      <c r="D7586" s="45" t="s">
        <v>9092</v>
      </c>
    </row>
    <row r="7587" spans="1:4" s="45" customFormat="1" ht="13.5" x14ac:dyDescent="0.15">
      <c r="A7587" s="45" t="s">
        <v>41</v>
      </c>
      <c r="D7587" s="45" t="s">
        <v>2263</v>
      </c>
    </row>
    <row r="7588" spans="1:4" s="45" customFormat="1" ht="13.5" x14ac:dyDescent="0.15">
      <c r="A7588" s="45" t="s">
        <v>41</v>
      </c>
      <c r="D7588" s="45" t="s">
        <v>9093</v>
      </c>
    </row>
    <row r="7589" spans="1:4" s="45" customFormat="1" ht="13.5" x14ac:dyDescent="0.15">
      <c r="A7589" s="45" t="s">
        <v>41</v>
      </c>
      <c r="D7589" s="45" t="s">
        <v>2266</v>
      </c>
    </row>
    <row r="7590" spans="1:4" s="45" customFormat="1" ht="13.5" x14ac:dyDescent="0.15">
      <c r="A7590" s="45" t="s">
        <v>41</v>
      </c>
      <c r="D7590" s="45" t="s">
        <v>9094</v>
      </c>
    </row>
    <row r="7591" spans="1:4" s="45" customFormat="1" ht="13.5" x14ac:dyDescent="0.15">
      <c r="A7591" s="45" t="s">
        <v>41</v>
      </c>
      <c r="D7591" s="45" t="s">
        <v>248</v>
      </c>
    </row>
    <row r="7592" spans="1:4" s="45" customFormat="1" ht="13.5" x14ac:dyDescent="0.15">
      <c r="A7592" s="45" t="s">
        <v>41</v>
      </c>
      <c r="D7592" s="45" t="s">
        <v>9095</v>
      </c>
    </row>
    <row r="7593" spans="1:4" s="45" customFormat="1" ht="13.5" x14ac:dyDescent="0.15">
      <c r="A7593" s="45" t="s">
        <v>41</v>
      </c>
      <c r="D7593" s="45" t="s">
        <v>9096</v>
      </c>
    </row>
    <row r="7594" spans="1:4" s="45" customFormat="1" ht="13.5" x14ac:dyDescent="0.15">
      <c r="A7594" s="45" t="s">
        <v>41</v>
      </c>
      <c r="D7594" s="45" t="s">
        <v>9097</v>
      </c>
    </row>
    <row r="7595" spans="1:4" s="45" customFormat="1" ht="13.5" x14ac:dyDescent="0.15">
      <c r="A7595" s="45" t="s">
        <v>41</v>
      </c>
      <c r="D7595" s="45" t="s">
        <v>9098</v>
      </c>
    </row>
    <row r="7596" spans="1:4" s="45" customFormat="1" ht="13.5" x14ac:dyDescent="0.15">
      <c r="A7596" s="45" t="s">
        <v>41</v>
      </c>
      <c r="D7596" s="45" t="s">
        <v>9099</v>
      </c>
    </row>
    <row r="7597" spans="1:4" s="45" customFormat="1" ht="13.5" x14ac:dyDescent="0.15">
      <c r="A7597" s="45" t="s">
        <v>41</v>
      </c>
      <c r="D7597" s="45" t="s">
        <v>9100</v>
      </c>
    </row>
    <row r="7598" spans="1:4" s="45" customFormat="1" ht="13.5" x14ac:dyDescent="0.15">
      <c r="A7598" s="45" t="s">
        <v>41</v>
      </c>
      <c r="D7598" s="45" t="s">
        <v>987</v>
      </c>
    </row>
    <row r="7599" spans="1:4" s="45" customFormat="1" ht="13.5" x14ac:dyDescent="0.15">
      <c r="A7599" s="45" t="s">
        <v>41</v>
      </c>
      <c r="D7599" s="45" t="s">
        <v>986</v>
      </c>
    </row>
    <row r="7600" spans="1:4" s="45" customFormat="1" ht="13.5" x14ac:dyDescent="0.15">
      <c r="A7600" s="45" t="s">
        <v>41</v>
      </c>
      <c r="D7600" s="45" t="s">
        <v>9101</v>
      </c>
    </row>
    <row r="7601" spans="1:4" s="45" customFormat="1" ht="13.5" x14ac:dyDescent="0.15">
      <c r="A7601" s="45" t="s">
        <v>41</v>
      </c>
      <c r="D7601" s="45" t="s">
        <v>988</v>
      </c>
    </row>
    <row r="7602" spans="1:4" s="45" customFormat="1" ht="13.5" x14ac:dyDescent="0.15">
      <c r="A7602" s="45" t="s">
        <v>41</v>
      </c>
      <c r="D7602" s="45" t="s">
        <v>1093</v>
      </c>
    </row>
    <row r="7603" spans="1:4" s="45" customFormat="1" ht="13.5" x14ac:dyDescent="0.15">
      <c r="A7603" s="45" t="s">
        <v>41</v>
      </c>
      <c r="D7603" s="45" t="s">
        <v>9102</v>
      </c>
    </row>
    <row r="7604" spans="1:4" s="45" customFormat="1" ht="13.5" x14ac:dyDescent="0.15">
      <c r="A7604" s="45" t="s">
        <v>41</v>
      </c>
      <c r="D7604" s="45" t="s">
        <v>1240</v>
      </c>
    </row>
    <row r="7605" spans="1:4" s="45" customFormat="1" ht="13.5" x14ac:dyDescent="0.15">
      <c r="A7605" s="45" t="s">
        <v>41</v>
      </c>
      <c r="D7605" s="45" t="s">
        <v>9103</v>
      </c>
    </row>
    <row r="7606" spans="1:4" s="45" customFormat="1" ht="13.5" x14ac:dyDescent="0.15">
      <c r="A7606" s="45" t="s">
        <v>41</v>
      </c>
      <c r="D7606" s="45" t="s">
        <v>9104</v>
      </c>
    </row>
    <row r="7607" spans="1:4" s="45" customFormat="1" ht="13.5" x14ac:dyDescent="0.15">
      <c r="A7607" s="45" t="s">
        <v>41</v>
      </c>
      <c r="D7607" s="45" t="s">
        <v>1050</v>
      </c>
    </row>
    <row r="7608" spans="1:4" s="45" customFormat="1" ht="13.5" x14ac:dyDescent="0.15">
      <c r="A7608" s="45" t="s">
        <v>41</v>
      </c>
      <c r="D7608" s="45" t="s">
        <v>1051</v>
      </c>
    </row>
    <row r="7609" spans="1:4" s="45" customFormat="1" ht="13.5" x14ac:dyDescent="0.15">
      <c r="A7609" s="45" t="s">
        <v>41</v>
      </c>
      <c r="D7609" s="45" t="s">
        <v>1703</v>
      </c>
    </row>
    <row r="7610" spans="1:4" s="45" customFormat="1" ht="13.5" x14ac:dyDescent="0.15">
      <c r="A7610" s="45" t="s">
        <v>41</v>
      </c>
      <c r="D7610" s="45" t="s">
        <v>2119</v>
      </c>
    </row>
    <row r="7611" spans="1:4" s="45" customFormat="1" ht="13.5" x14ac:dyDescent="0.15">
      <c r="A7611" s="45" t="s">
        <v>41</v>
      </c>
      <c r="D7611" s="45" t="s">
        <v>2118</v>
      </c>
    </row>
    <row r="7612" spans="1:4" s="45" customFormat="1" ht="13.5" x14ac:dyDescent="0.15">
      <c r="A7612" s="45" t="s">
        <v>41</v>
      </c>
      <c r="D7612" s="45" t="s">
        <v>9105</v>
      </c>
    </row>
    <row r="7613" spans="1:4" s="45" customFormat="1" ht="13.5" x14ac:dyDescent="0.15">
      <c r="A7613" s="45" t="s">
        <v>41</v>
      </c>
      <c r="D7613" s="45" t="s">
        <v>9106</v>
      </c>
    </row>
    <row r="7614" spans="1:4" s="45" customFormat="1" ht="13.5" x14ac:dyDescent="0.15">
      <c r="A7614" s="45" t="s">
        <v>41</v>
      </c>
      <c r="D7614" s="45" t="s">
        <v>9107</v>
      </c>
    </row>
    <row r="7615" spans="1:4" s="45" customFormat="1" ht="13.5" x14ac:dyDescent="0.15">
      <c r="A7615" s="45" t="s">
        <v>41</v>
      </c>
      <c r="D7615" s="45" t="s">
        <v>9108</v>
      </c>
    </row>
    <row r="7616" spans="1:4" s="45" customFormat="1" ht="13.5" x14ac:dyDescent="0.15">
      <c r="A7616" s="45" t="s">
        <v>41</v>
      </c>
      <c r="D7616" s="45" t="s">
        <v>9109</v>
      </c>
    </row>
    <row r="7617" spans="1:4" s="45" customFormat="1" ht="13.5" x14ac:dyDescent="0.15">
      <c r="A7617" s="45" t="s">
        <v>41</v>
      </c>
      <c r="D7617" s="45" t="s">
        <v>2360</v>
      </c>
    </row>
    <row r="7618" spans="1:4" s="45" customFormat="1" ht="13.5" x14ac:dyDescent="0.15">
      <c r="A7618" s="45" t="s">
        <v>41</v>
      </c>
      <c r="D7618" s="45" t="s">
        <v>9110</v>
      </c>
    </row>
    <row r="7619" spans="1:4" s="45" customFormat="1" ht="13.5" x14ac:dyDescent="0.15">
      <c r="A7619" s="45" t="s">
        <v>41</v>
      </c>
      <c r="D7619" s="45" t="s">
        <v>9111</v>
      </c>
    </row>
    <row r="7620" spans="1:4" s="45" customFormat="1" ht="13.5" x14ac:dyDescent="0.15">
      <c r="A7620" s="45" t="s">
        <v>41</v>
      </c>
      <c r="D7620" s="45" t="s">
        <v>2351</v>
      </c>
    </row>
    <row r="7621" spans="1:4" s="45" customFormat="1" ht="13.5" x14ac:dyDescent="0.15">
      <c r="A7621" s="45" t="s">
        <v>41</v>
      </c>
      <c r="D7621" s="45" t="s">
        <v>2359</v>
      </c>
    </row>
    <row r="7622" spans="1:4" s="45" customFormat="1" ht="13.5" x14ac:dyDescent="0.15">
      <c r="A7622" s="45" t="s">
        <v>41</v>
      </c>
      <c r="D7622" s="45" t="s">
        <v>9112</v>
      </c>
    </row>
    <row r="7623" spans="1:4" s="45" customFormat="1" ht="13.5" x14ac:dyDescent="0.15">
      <c r="A7623" s="45" t="s">
        <v>41</v>
      </c>
      <c r="D7623" s="45" t="s">
        <v>9113</v>
      </c>
    </row>
    <row r="7624" spans="1:4" s="45" customFormat="1" ht="13.5" x14ac:dyDescent="0.15">
      <c r="A7624" s="45" t="s">
        <v>41</v>
      </c>
      <c r="D7624" s="45" t="s">
        <v>2358</v>
      </c>
    </row>
    <row r="7625" spans="1:4" s="45" customFormat="1" ht="13.5" x14ac:dyDescent="0.15">
      <c r="A7625" s="45" t="s">
        <v>41</v>
      </c>
      <c r="D7625" s="45" t="s">
        <v>9114</v>
      </c>
    </row>
    <row r="7626" spans="1:4" s="45" customFormat="1" ht="13.5" x14ac:dyDescent="0.15">
      <c r="A7626" s="45" t="s">
        <v>41</v>
      </c>
      <c r="D7626" s="45" t="s">
        <v>9115</v>
      </c>
    </row>
    <row r="7627" spans="1:4" s="45" customFormat="1" ht="13.5" x14ac:dyDescent="0.15">
      <c r="A7627" s="45" t="s">
        <v>41</v>
      </c>
      <c r="D7627" s="45" t="s">
        <v>9116</v>
      </c>
    </row>
    <row r="7628" spans="1:4" s="45" customFormat="1" ht="13.5" x14ac:dyDescent="0.15">
      <c r="A7628" s="45" t="s">
        <v>41</v>
      </c>
      <c r="D7628" s="45" t="s">
        <v>2354</v>
      </c>
    </row>
    <row r="7629" spans="1:4" s="45" customFormat="1" ht="13.5" x14ac:dyDescent="0.15">
      <c r="A7629" s="45" t="s">
        <v>41</v>
      </c>
      <c r="D7629" s="45" t="s">
        <v>2353</v>
      </c>
    </row>
    <row r="7630" spans="1:4" s="45" customFormat="1" ht="13.5" x14ac:dyDescent="0.15">
      <c r="A7630" s="45" t="s">
        <v>41</v>
      </c>
      <c r="D7630" s="45" t="s">
        <v>9117</v>
      </c>
    </row>
    <row r="7631" spans="1:4" s="45" customFormat="1" ht="13.5" x14ac:dyDescent="0.15">
      <c r="A7631" s="45" t="s">
        <v>41</v>
      </c>
      <c r="D7631" s="45" t="s">
        <v>2357</v>
      </c>
    </row>
    <row r="7632" spans="1:4" s="45" customFormat="1" ht="13.5" x14ac:dyDescent="0.15">
      <c r="A7632" s="45" t="s">
        <v>41</v>
      </c>
      <c r="D7632" s="45" t="s">
        <v>9118</v>
      </c>
    </row>
    <row r="7633" spans="1:4" s="45" customFormat="1" ht="13.5" x14ac:dyDescent="0.15">
      <c r="A7633" s="45" t="s">
        <v>41</v>
      </c>
      <c r="D7633" s="45" t="s">
        <v>9119</v>
      </c>
    </row>
    <row r="7634" spans="1:4" s="45" customFormat="1" ht="13.5" x14ac:dyDescent="0.15">
      <c r="A7634" s="45" t="s">
        <v>41</v>
      </c>
      <c r="D7634" s="45" t="s">
        <v>9120</v>
      </c>
    </row>
    <row r="7635" spans="1:4" s="45" customFormat="1" ht="13.5" x14ac:dyDescent="0.15">
      <c r="A7635" s="45" t="s">
        <v>41</v>
      </c>
      <c r="D7635" s="45" t="s">
        <v>2355</v>
      </c>
    </row>
    <row r="7636" spans="1:4" s="45" customFormat="1" ht="13.5" x14ac:dyDescent="0.15">
      <c r="A7636" s="45" t="s">
        <v>41</v>
      </c>
      <c r="D7636" s="45" t="s">
        <v>9121</v>
      </c>
    </row>
    <row r="7637" spans="1:4" s="45" customFormat="1" ht="13.5" x14ac:dyDescent="0.15">
      <c r="A7637" s="45" t="s">
        <v>41</v>
      </c>
      <c r="D7637" s="45" t="s">
        <v>2361</v>
      </c>
    </row>
    <row r="7638" spans="1:4" s="45" customFormat="1" ht="13.5" x14ac:dyDescent="0.15">
      <c r="A7638" s="45" t="s">
        <v>41</v>
      </c>
      <c r="D7638" s="45" t="s">
        <v>9122</v>
      </c>
    </row>
    <row r="7639" spans="1:4" s="45" customFormat="1" ht="13.5" x14ac:dyDescent="0.15">
      <c r="A7639" s="45" t="s">
        <v>41</v>
      </c>
      <c r="D7639" s="45" t="s">
        <v>9123</v>
      </c>
    </row>
    <row r="7640" spans="1:4" s="45" customFormat="1" ht="13.5" x14ac:dyDescent="0.15">
      <c r="A7640" s="45" t="s">
        <v>41</v>
      </c>
      <c r="D7640" s="45" t="s">
        <v>2356</v>
      </c>
    </row>
    <row r="7641" spans="1:4" s="45" customFormat="1" ht="13.5" x14ac:dyDescent="0.15">
      <c r="A7641" s="45" t="s">
        <v>41</v>
      </c>
      <c r="D7641" s="45" t="s">
        <v>2352</v>
      </c>
    </row>
    <row r="7642" spans="1:4" s="45" customFormat="1" ht="13.5" x14ac:dyDescent="0.15">
      <c r="A7642" s="45" t="s">
        <v>41</v>
      </c>
      <c r="D7642" s="45" t="s">
        <v>9124</v>
      </c>
    </row>
    <row r="7643" spans="1:4" s="45" customFormat="1" ht="13.5" x14ac:dyDescent="0.15">
      <c r="A7643" s="45" t="s">
        <v>41</v>
      </c>
      <c r="D7643" s="45" t="s">
        <v>9125</v>
      </c>
    </row>
    <row r="7644" spans="1:4" s="45" customFormat="1" ht="13.5" x14ac:dyDescent="0.15">
      <c r="A7644" s="45" t="s">
        <v>41</v>
      </c>
      <c r="D7644" s="45" t="s">
        <v>2391</v>
      </c>
    </row>
    <row r="7645" spans="1:4" s="45" customFormat="1" ht="13.5" x14ac:dyDescent="0.15">
      <c r="A7645" s="45" t="s">
        <v>41</v>
      </c>
      <c r="D7645" s="45" t="s">
        <v>9126</v>
      </c>
    </row>
    <row r="7646" spans="1:4" s="45" customFormat="1" ht="13.5" x14ac:dyDescent="0.15">
      <c r="A7646" s="45" t="s">
        <v>41</v>
      </c>
      <c r="D7646" s="45" t="s">
        <v>2382</v>
      </c>
    </row>
    <row r="7647" spans="1:4" s="45" customFormat="1" ht="13.5" x14ac:dyDescent="0.15">
      <c r="A7647" s="45" t="s">
        <v>41</v>
      </c>
      <c r="D7647" s="45" t="s">
        <v>2390</v>
      </c>
    </row>
    <row r="7648" spans="1:4" s="45" customFormat="1" ht="13.5" x14ac:dyDescent="0.15">
      <c r="A7648" s="45" t="s">
        <v>41</v>
      </c>
      <c r="D7648" s="45" t="s">
        <v>9127</v>
      </c>
    </row>
    <row r="7649" spans="1:4" s="45" customFormat="1" ht="13.5" x14ac:dyDescent="0.15">
      <c r="A7649" s="45" t="s">
        <v>41</v>
      </c>
      <c r="D7649" s="45" t="s">
        <v>2389</v>
      </c>
    </row>
    <row r="7650" spans="1:4" s="45" customFormat="1" ht="13.5" x14ac:dyDescent="0.15">
      <c r="A7650" s="45" t="s">
        <v>41</v>
      </c>
      <c r="D7650" s="45" t="s">
        <v>9128</v>
      </c>
    </row>
    <row r="7651" spans="1:4" s="45" customFormat="1" ht="13.5" x14ac:dyDescent="0.15">
      <c r="A7651" s="45" t="s">
        <v>41</v>
      </c>
      <c r="D7651" s="45" t="s">
        <v>9129</v>
      </c>
    </row>
    <row r="7652" spans="1:4" s="45" customFormat="1" ht="13.5" x14ac:dyDescent="0.15">
      <c r="A7652" s="45" t="s">
        <v>41</v>
      </c>
      <c r="D7652" s="45" t="s">
        <v>9130</v>
      </c>
    </row>
    <row r="7653" spans="1:4" s="45" customFormat="1" ht="13.5" x14ac:dyDescent="0.15">
      <c r="A7653" s="45" t="s">
        <v>41</v>
      </c>
      <c r="D7653" s="45" t="s">
        <v>9131</v>
      </c>
    </row>
    <row r="7654" spans="1:4" s="45" customFormat="1" ht="13.5" x14ac:dyDescent="0.15">
      <c r="A7654" s="45" t="s">
        <v>41</v>
      </c>
      <c r="D7654" s="45" t="s">
        <v>2384</v>
      </c>
    </row>
    <row r="7655" spans="1:4" s="45" customFormat="1" ht="13.5" x14ac:dyDescent="0.15">
      <c r="A7655" s="45" t="s">
        <v>41</v>
      </c>
      <c r="D7655" s="45" t="s">
        <v>9132</v>
      </c>
    </row>
    <row r="7656" spans="1:4" s="45" customFormat="1" ht="13.5" x14ac:dyDescent="0.15">
      <c r="A7656" s="45" t="s">
        <v>41</v>
      </c>
      <c r="D7656" s="45" t="s">
        <v>9133</v>
      </c>
    </row>
    <row r="7657" spans="1:4" s="45" customFormat="1" ht="13.5" x14ac:dyDescent="0.15">
      <c r="A7657" s="45" t="s">
        <v>41</v>
      </c>
      <c r="D7657" s="45" t="s">
        <v>2388</v>
      </c>
    </row>
    <row r="7658" spans="1:4" s="45" customFormat="1" ht="13.5" x14ac:dyDescent="0.15">
      <c r="A7658" s="45" t="s">
        <v>41</v>
      </c>
      <c r="D7658" s="45" t="s">
        <v>9134</v>
      </c>
    </row>
    <row r="7659" spans="1:4" s="45" customFormat="1" ht="13.5" x14ac:dyDescent="0.15">
      <c r="A7659" s="45" t="s">
        <v>41</v>
      </c>
      <c r="D7659" s="45" t="s">
        <v>2387</v>
      </c>
    </row>
    <row r="7660" spans="1:4" s="45" customFormat="1" ht="13.5" x14ac:dyDescent="0.15">
      <c r="A7660" s="45" t="s">
        <v>41</v>
      </c>
      <c r="D7660" s="45" t="s">
        <v>2385</v>
      </c>
    </row>
    <row r="7661" spans="1:4" s="45" customFormat="1" ht="13.5" x14ac:dyDescent="0.15">
      <c r="A7661" s="45" t="s">
        <v>41</v>
      </c>
      <c r="D7661" s="45" t="s">
        <v>2392</v>
      </c>
    </row>
    <row r="7662" spans="1:4" s="45" customFormat="1" ht="13.5" x14ac:dyDescent="0.15">
      <c r="A7662" s="45" t="s">
        <v>41</v>
      </c>
      <c r="D7662" s="45" t="s">
        <v>2383</v>
      </c>
    </row>
    <row r="7663" spans="1:4" s="45" customFormat="1" ht="13.5" x14ac:dyDescent="0.15">
      <c r="A7663" s="45" t="s">
        <v>41</v>
      </c>
      <c r="D7663" s="45" t="s">
        <v>2386</v>
      </c>
    </row>
    <row r="7664" spans="1:4" s="45" customFormat="1" ht="13.5" x14ac:dyDescent="0.15">
      <c r="A7664" s="45" t="s">
        <v>41</v>
      </c>
      <c r="D7664" s="45" t="s">
        <v>9135</v>
      </c>
    </row>
    <row r="7665" spans="1:4" s="45" customFormat="1" ht="13.5" x14ac:dyDescent="0.15">
      <c r="A7665" s="45" t="s">
        <v>41</v>
      </c>
      <c r="D7665" s="45" t="s">
        <v>9136</v>
      </c>
    </row>
    <row r="7666" spans="1:4" s="45" customFormat="1" ht="13.5" x14ac:dyDescent="0.15">
      <c r="A7666" s="45" t="s">
        <v>41</v>
      </c>
      <c r="D7666" s="45" t="s">
        <v>572</v>
      </c>
    </row>
    <row r="7667" spans="1:4" s="45" customFormat="1" ht="13.5" x14ac:dyDescent="0.15">
      <c r="A7667" s="45" t="s">
        <v>41</v>
      </c>
      <c r="D7667" s="45" t="s">
        <v>9137</v>
      </c>
    </row>
    <row r="7668" spans="1:4" s="45" customFormat="1" ht="13.5" x14ac:dyDescent="0.15">
      <c r="A7668" s="45" t="s">
        <v>41</v>
      </c>
      <c r="D7668" s="45" t="s">
        <v>1504</v>
      </c>
    </row>
    <row r="7669" spans="1:4" s="45" customFormat="1" ht="13.5" x14ac:dyDescent="0.15">
      <c r="A7669" s="45" t="s">
        <v>41</v>
      </c>
      <c r="D7669" s="45" t="s">
        <v>9138</v>
      </c>
    </row>
    <row r="7670" spans="1:4" s="45" customFormat="1" ht="13.5" x14ac:dyDescent="0.15">
      <c r="A7670" s="45" t="s">
        <v>41</v>
      </c>
      <c r="D7670" s="45" t="s">
        <v>9139</v>
      </c>
    </row>
    <row r="7671" spans="1:4" s="45" customFormat="1" ht="13.5" x14ac:dyDescent="0.15">
      <c r="A7671" s="45" t="s">
        <v>41</v>
      </c>
      <c r="D7671" s="45" t="s">
        <v>9140</v>
      </c>
    </row>
    <row r="7672" spans="1:4" s="45" customFormat="1" ht="13.5" x14ac:dyDescent="0.15">
      <c r="A7672" s="45" t="s">
        <v>41</v>
      </c>
      <c r="D7672" s="45" t="s">
        <v>9141</v>
      </c>
    </row>
    <row r="7673" spans="1:4" s="45" customFormat="1" ht="13.5" x14ac:dyDescent="0.15">
      <c r="A7673" s="45" t="s">
        <v>41</v>
      </c>
      <c r="D7673" s="45" t="s">
        <v>9142</v>
      </c>
    </row>
    <row r="7674" spans="1:4" s="45" customFormat="1" ht="13.5" x14ac:dyDescent="0.15">
      <c r="A7674" s="45" t="s">
        <v>41</v>
      </c>
      <c r="D7674" s="45" t="s">
        <v>9143</v>
      </c>
    </row>
    <row r="7675" spans="1:4" s="45" customFormat="1" ht="13.5" x14ac:dyDescent="0.15">
      <c r="A7675" s="45" t="s">
        <v>41</v>
      </c>
      <c r="D7675" s="45" t="s">
        <v>9144</v>
      </c>
    </row>
    <row r="7676" spans="1:4" s="45" customFormat="1" ht="13.5" x14ac:dyDescent="0.15">
      <c r="A7676" s="45" t="s">
        <v>41</v>
      </c>
      <c r="D7676" s="45" t="s">
        <v>9145</v>
      </c>
    </row>
    <row r="7677" spans="1:4" s="45" customFormat="1" ht="13.5" x14ac:dyDescent="0.15">
      <c r="A7677" s="45" t="s">
        <v>41</v>
      </c>
      <c r="D7677" s="45" t="s">
        <v>9146</v>
      </c>
    </row>
    <row r="7678" spans="1:4" s="45" customFormat="1" ht="13.5" x14ac:dyDescent="0.15">
      <c r="A7678" s="45" t="s">
        <v>41</v>
      </c>
      <c r="D7678" s="45" t="s">
        <v>9147</v>
      </c>
    </row>
    <row r="7679" spans="1:4" s="45" customFormat="1" ht="13.5" x14ac:dyDescent="0.15">
      <c r="A7679" s="45" t="s">
        <v>41</v>
      </c>
      <c r="D7679" s="45" t="s">
        <v>9148</v>
      </c>
    </row>
    <row r="7680" spans="1:4" s="45" customFormat="1" ht="13.5" x14ac:dyDescent="0.15">
      <c r="A7680" s="45" t="s">
        <v>41</v>
      </c>
      <c r="D7680" s="45" t="s">
        <v>1518</v>
      </c>
    </row>
    <row r="7681" spans="1:4" s="45" customFormat="1" ht="13.5" x14ac:dyDescent="0.15">
      <c r="A7681" s="45" t="s">
        <v>41</v>
      </c>
      <c r="D7681" s="45" t="s">
        <v>9149</v>
      </c>
    </row>
    <row r="7682" spans="1:4" s="45" customFormat="1" ht="13.5" x14ac:dyDescent="0.15">
      <c r="A7682" s="45" t="s">
        <v>41</v>
      </c>
      <c r="D7682" s="45" t="s">
        <v>1519</v>
      </c>
    </row>
    <row r="7683" spans="1:4" s="45" customFormat="1" ht="13.5" x14ac:dyDescent="0.15">
      <c r="A7683" s="45" t="s">
        <v>41</v>
      </c>
      <c r="D7683" s="45" t="s">
        <v>9150</v>
      </c>
    </row>
    <row r="7684" spans="1:4" s="45" customFormat="1" ht="13.5" x14ac:dyDescent="0.15">
      <c r="A7684" s="45" t="s">
        <v>41</v>
      </c>
      <c r="D7684" s="45" t="s">
        <v>9151</v>
      </c>
    </row>
    <row r="7685" spans="1:4" s="45" customFormat="1" ht="13.5" x14ac:dyDescent="0.15">
      <c r="A7685" s="45" t="s">
        <v>41</v>
      </c>
      <c r="D7685" s="45" t="s">
        <v>9152</v>
      </c>
    </row>
    <row r="7686" spans="1:4" s="45" customFormat="1" ht="13.5" x14ac:dyDescent="0.15">
      <c r="A7686" s="45" t="s">
        <v>41</v>
      </c>
      <c r="D7686" s="45" t="s">
        <v>9153</v>
      </c>
    </row>
    <row r="7687" spans="1:4" s="45" customFormat="1" ht="13.5" x14ac:dyDescent="0.15">
      <c r="A7687" s="45" t="s">
        <v>41</v>
      </c>
      <c r="D7687" s="45" t="s">
        <v>9154</v>
      </c>
    </row>
    <row r="7688" spans="1:4" s="45" customFormat="1" ht="13.5" x14ac:dyDescent="0.15">
      <c r="A7688" s="45" t="s">
        <v>41</v>
      </c>
      <c r="D7688" s="45" t="s">
        <v>9155</v>
      </c>
    </row>
    <row r="7689" spans="1:4" s="45" customFormat="1" ht="13.5" x14ac:dyDescent="0.15">
      <c r="A7689" s="45" t="s">
        <v>41</v>
      </c>
      <c r="D7689" s="45" t="s">
        <v>9156</v>
      </c>
    </row>
    <row r="7690" spans="1:4" s="45" customFormat="1" ht="13.5" x14ac:dyDescent="0.15">
      <c r="A7690" s="45" t="s">
        <v>41</v>
      </c>
      <c r="D7690" s="45" t="s">
        <v>9157</v>
      </c>
    </row>
    <row r="7691" spans="1:4" s="45" customFormat="1" ht="13.5" x14ac:dyDescent="0.15">
      <c r="A7691" s="45" t="s">
        <v>41</v>
      </c>
      <c r="D7691" s="45" t="s">
        <v>9158</v>
      </c>
    </row>
    <row r="7692" spans="1:4" s="45" customFormat="1" ht="13.5" x14ac:dyDescent="0.15">
      <c r="A7692" s="45" t="s">
        <v>41</v>
      </c>
      <c r="D7692" s="45" t="s">
        <v>1512</v>
      </c>
    </row>
    <row r="7693" spans="1:4" s="45" customFormat="1" ht="13.5" x14ac:dyDescent="0.15">
      <c r="A7693" s="45" t="s">
        <v>41</v>
      </c>
      <c r="D7693" s="45" t="s">
        <v>9159</v>
      </c>
    </row>
    <row r="7694" spans="1:4" s="45" customFormat="1" ht="13.5" x14ac:dyDescent="0.15">
      <c r="A7694" s="45" t="s">
        <v>41</v>
      </c>
      <c r="D7694" s="45" t="s">
        <v>9160</v>
      </c>
    </row>
    <row r="7695" spans="1:4" s="45" customFormat="1" ht="13.5" x14ac:dyDescent="0.15">
      <c r="A7695" s="45" t="s">
        <v>41</v>
      </c>
      <c r="D7695" s="45" t="s">
        <v>9161</v>
      </c>
    </row>
    <row r="7696" spans="1:4" s="45" customFormat="1" ht="13.5" x14ac:dyDescent="0.15">
      <c r="A7696" s="45" t="s">
        <v>41</v>
      </c>
      <c r="D7696" s="45" t="s">
        <v>9162</v>
      </c>
    </row>
    <row r="7697" spans="1:4" s="45" customFormat="1" ht="13.5" x14ac:dyDescent="0.15">
      <c r="A7697" s="45" t="s">
        <v>41</v>
      </c>
      <c r="D7697" s="45" t="s">
        <v>9163</v>
      </c>
    </row>
    <row r="7698" spans="1:4" s="45" customFormat="1" ht="13.5" x14ac:dyDescent="0.15">
      <c r="A7698" s="45" t="s">
        <v>41</v>
      </c>
      <c r="D7698" s="45" t="s">
        <v>9164</v>
      </c>
    </row>
    <row r="7699" spans="1:4" s="45" customFormat="1" ht="13.5" x14ac:dyDescent="0.15">
      <c r="A7699" s="45" t="s">
        <v>41</v>
      </c>
      <c r="D7699" s="45" t="s">
        <v>9165</v>
      </c>
    </row>
    <row r="7700" spans="1:4" s="45" customFormat="1" ht="13.5" x14ac:dyDescent="0.15">
      <c r="A7700" s="45" t="s">
        <v>41</v>
      </c>
      <c r="D7700" s="45" t="s">
        <v>1515</v>
      </c>
    </row>
    <row r="7701" spans="1:4" s="45" customFormat="1" ht="13.5" x14ac:dyDescent="0.15">
      <c r="A7701" s="45" t="s">
        <v>41</v>
      </c>
      <c r="D7701" s="45" t="s">
        <v>9166</v>
      </c>
    </row>
    <row r="7702" spans="1:4" s="45" customFormat="1" ht="13.5" x14ac:dyDescent="0.15">
      <c r="A7702" s="45" t="s">
        <v>41</v>
      </c>
      <c r="D7702" s="45" t="s">
        <v>1516</v>
      </c>
    </row>
    <row r="7703" spans="1:4" s="45" customFormat="1" ht="13.5" x14ac:dyDescent="0.15">
      <c r="A7703" s="45" t="s">
        <v>41</v>
      </c>
      <c r="D7703" s="45" t="s">
        <v>1523</v>
      </c>
    </row>
    <row r="7704" spans="1:4" s="45" customFormat="1" ht="13.5" x14ac:dyDescent="0.15">
      <c r="A7704" s="45" t="s">
        <v>41</v>
      </c>
      <c r="D7704" s="45" t="s">
        <v>1521</v>
      </c>
    </row>
    <row r="7705" spans="1:4" s="45" customFormat="1" ht="13.5" x14ac:dyDescent="0.15">
      <c r="A7705" s="45" t="s">
        <v>41</v>
      </c>
      <c r="D7705" s="45" t="s">
        <v>9167</v>
      </c>
    </row>
    <row r="7706" spans="1:4" s="45" customFormat="1" ht="13.5" x14ac:dyDescent="0.15">
      <c r="A7706" s="45" t="s">
        <v>41</v>
      </c>
      <c r="D7706" s="45" t="s">
        <v>9168</v>
      </c>
    </row>
    <row r="7707" spans="1:4" s="45" customFormat="1" ht="13.5" x14ac:dyDescent="0.15">
      <c r="A7707" s="45" t="s">
        <v>41</v>
      </c>
      <c r="D7707" s="45" t="s">
        <v>1524</v>
      </c>
    </row>
    <row r="7708" spans="1:4" s="45" customFormat="1" ht="13.5" x14ac:dyDescent="0.15">
      <c r="A7708" s="45" t="s">
        <v>41</v>
      </c>
      <c r="D7708" s="45" t="s">
        <v>1522</v>
      </c>
    </row>
    <row r="7709" spans="1:4" s="45" customFormat="1" ht="13.5" x14ac:dyDescent="0.15">
      <c r="A7709" s="45" t="s">
        <v>41</v>
      </c>
      <c r="D7709" s="45" t="s">
        <v>9169</v>
      </c>
    </row>
    <row r="7710" spans="1:4" s="45" customFormat="1" ht="13.5" x14ac:dyDescent="0.15">
      <c r="A7710" s="45" t="s">
        <v>41</v>
      </c>
      <c r="D7710" s="45" t="s">
        <v>9170</v>
      </c>
    </row>
    <row r="7711" spans="1:4" s="45" customFormat="1" ht="13.5" x14ac:dyDescent="0.15">
      <c r="A7711" s="45" t="s">
        <v>41</v>
      </c>
      <c r="D7711" s="45" t="s">
        <v>1506</v>
      </c>
    </row>
    <row r="7712" spans="1:4" s="45" customFormat="1" ht="13.5" x14ac:dyDescent="0.15">
      <c r="A7712" s="45" t="s">
        <v>41</v>
      </c>
      <c r="D7712" s="45" t="s">
        <v>9171</v>
      </c>
    </row>
    <row r="7713" spans="1:4" s="45" customFormat="1" ht="13.5" x14ac:dyDescent="0.15">
      <c r="A7713" s="45" t="s">
        <v>41</v>
      </c>
      <c r="D7713" s="45" t="s">
        <v>9172</v>
      </c>
    </row>
    <row r="7714" spans="1:4" s="45" customFormat="1" ht="13.5" x14ac:dyDescent="0.15">
      <c r="A7714" s="45" t="s">
        <v>41</v>
      </c>
      <c r="D7714" s="45" t="s">
        <v>9173</v>
      </c>
    </row>
    <row r="7715" spans="1:4" s="45" customFormat="1" ht="13.5" x14ac:dyDescent="0.15">
      <c r="A7715" s="45" t="s">
        <v>41</v>
      </c>
      <c r="D7715" s="45" t="s">
        <v>1505</v>
      </c>
    </row>
    <row r="7716" spans="1:4" s="45" customFormat="1" ht="13.5" x14ac:dyDescent="0.15">
      <c r="A7716" s="45" t="s">
        <v>41</v>
      </c>
      <c r="D7716" s="45" t="s">
        <v>9174</v>
      </c>
    </row>
    <row r="7717" spans="1:4" s="45" customFormat="1" ht="13.5" x14ac:dyDescent="0.15">
      <c r="A7717" s="45" t="s">
        <v>41</v>
      </c>
      <c r="D7717" s="45" t="s">
        <v>9175</v>
      </c>
    </row>
    <row r="7718" spans="1:4" s="45" customFormat="1" ht="13.5" x14ac:dyDescent="0.15">
      <c r="A7718" s="45" t="s">
        <v>41</v>
      </c>
      <c r="D7718" s="45" t="s">
        <v>9176</v>
      </c>
    </row>
    <row r="7719" spans="1:4" s="45" customFormat="1" ht="13.5" x14ac:dyDescent="0.15">
      <c r="A7719" s="45" t="s">
        <v>41</v>
      </c>
      <c r="D7719" s="45" t="s">
        <v>9177</v>
      </c>
    </row>
    <row r="7720" spans="1:4" s="45" customFormat="1" ht="13.5" x14ac:dyDescent="0.15">
      <c r="A7720" s="45" t="s">
        <v>41</v>
      </c>
      <c r="D7720" s="45" t="s">
        <v>9178</v>
      </c>
    </row>
    <row r="7721" spans="1:4" s="45" customFormat="1" ht="13.5" x14ac:dyDescent="0.15">
      <c r="A7721" s="45" t="s">
        <v>41</v>
      </c>
      <c r="D7721" s="45" t="s">
        <v>9179</v>
      </c>
    </row>
    <row r="7722" spans="1:4" s="45" customFormat="1" ht="13.5" x14ac:dyDescent="0.15">
      <c r="A7722" s="45" t="s">
        <v>41</v>
      </c>
      <c r="D7722" s="45" t="s">
        <v>9180</v>
      </c>
    </row>
    <row r="7723" spans="1:4" s="45" customFormat="1" ht="13.5" x14ac:dyDescent="0.15">
      <c r="A7723" s="45" t="s">
        <v>41</v>
      </c>
      <c r="D7723" s="45" t="s">
        <v>9181</v>
      </c>
    </row>
    <row r="7724" spans="1:4" s="45" customFormat="1" ht="13.5" x14ac:dyDescent="0.15">
      <c r="A7724" s="45" t="s">
        <v>41</v>
      </c>
      <c r="D7724" s="45" t="s">
        <v>9182</v>
      </c>
    </row>
    <row r="7725" spans="1:4" s="45" customFormat="1" ht="13.5" x14ac:dyDescent="0.15">
      <c r="A7725" s="45" t="s">
        <v>41</v>
      </c>
      <c r="D7725" s="45" t="s">
        <v>9183</v>
      </c>
    </row>
    <row r="7726" spans="1:4" s="45" customFormat="1" ht="13.5" x14ac:dyDescent="0.15">
      <c r="A7726" s="45" t="s">
        <v>41</v>
      </c>
      <c r="D7726" s="45" t="s">
        <v>9184</v>
      </c>
    </row>
    <row r="7727" spans="1:4" s="45" customFormat="1" ht="13.5" x14ac:dyDescent="0.15">
      <c r="A7727" s="45" t="s">
        <v>41</v>
      </c>
      <c r="D7727" s="45" t="s">
        <v>9185</v>
      </c>
    </row>
    <row r="7728" spans="1:4" s="45" customFormat="1" ht="13.5" x14ac:dyDescent="0.15">
      <c r="A7728" s="45" t="s">
        <v>41</v>
      </c>
      <c r="D7728" s="45" t="s">
        <v>1509</v>
      </c>
    </row>
    <row r="7729" spans="1:4" s="45" customFormat="1" ht="13.5" x14ac:dyDescent="0.15">
      <c r="A7729" s="45" t="s">
        <v>41</v>
      </c>
      <c r="D7729" s="45" t="s">
        <v>9186</v>
      </c>
    </row>
    <row r="7730" spans="1:4" s="45" customFormat="1" ht="13.5" x14ac:dyDescent="0.15">
      <c r="A7730" s="45" t="s">
        <v>41</v>
      </c>
      <c r="D7730" s="45" t="s">
        <v>9187</v>
      </c>
    </row>
    <row r="7731" spans="1:4" s="45" customFormat="1" ht="13.5" x14ac:dyDescent="0.15">
      <c r="A7731" s="45" t="s">
        <v>41</v>
      </c>
      <c r="D7731" s="45" t="s">
        <v>9188</v>
      </c>
    </row>
    <row r="7732" spans="1:4" s="45" customFormat="1" ht="13.5" x14ac:dyDescent="0.15">
      <c r="A7732" s="45" t="s">
        <v>41</v>
      </c>
      <c r="D7732" s="45" t="s">
        <v>1525</v>
      </c>
    </row>
    <row r="7733" spans="1:4" s="45" customFormat="1" ht="13.5" x14ac:dyDescent="0.15">
      <c r="A7733" s="45" t="s">
        <v>41</v>
      </c>
      <c r="D7733" s="45" t="s">
        <v>9189</v>
      </c>
    </row>
    <row r="7734" spans="1:4" s="45" customFormat="1" ht="13.5" x14ac:dyDescent="0.15">
      <c r="A7734" s="45" t="s">
        <v>41</v>
      </c>
      <c r="D7734" s="45" t="s">
        <v>9190</v>
      </c>
    </row>
    <row r="7735" spans="1:4" s="45" customFormat="1" ht="13.5" x14ac:dyDescent="0.15">
      <c r="A7735" s="45" t="s">
        <v>41</v>
      </c>
      <c r="D7735" s="45" t="s">
        <v>9191</v>
      </c>
    </row>
    <row r="7736" spans="1:4" s="45" customFormat="1" ht="13.5" x14ac:dyDescent="0.15">
      <c r="A7736" s="45" t="s">
        <v>41</v>
      </c>
      <c r="D7736" s="45" t="s">
        <v>9192</v>
      </c>
    </row>
    <row r="7737" spans="1:4" s="45" customFormat="1" ht="13.5" x14ac:dyDescent="0.15">
      <c r="A7737" s="45" t="s">
        <v>41</v>
      </c>
      <c r="D7737" s="45" t="s">
        <v>9193</v>
      </c>
    </row>
    <row r="7738" spans="1:4" s="45" customFormat="1" ht="13.5" x14ac:dyDescent="0.15">
      <c r="A7738" s="45" t="s">
        <v>41</v>
      </c>
      <c r="D7738" s="45" t="s">
        <v>9194</v>
      </c>
    </row>
    <row r="7739" spans="1:4" s="45" customFormat="1" ht="13.5" x14ac:dyDescent="0.15">
      <c r="A7739" s="45" t="s">
        <v>41</v>
      </c>
      <c r="D7739" s="45" t="s">
        <v>9195</v>
      </c>
    </row>
    <row r="7740" spans="1:4" s="45" customFormat="1" ht="13.5" x14ac:dyDescent="0.15">
      <c r="A7740" s="45" t="s">
        <v>41</v>
      </c>
      <c r="D7740" s="45" t="s">
        <v>9196</v>
      </c>
    </row>
    <row r="7741" spans="1:4" s="45" customFormat="1" ht="13.5" x14ac:dyDescent="0.15">
      <c r="A7741" s="45" t="s">
        <v>41</v>
      </c>
      <c r="D7741" s="45" t="s">
        <v>9197</v>
      </c>
    </row>
    <row r="7742" spans="1:4" s="45" customFormat="1" ht="13.5" x14ac:dyDescent="0.15">
      <c r="A7742" s="45" t="s">
        <v>41</v>
      </c>
      <c r="D7742" s="45" t="s">
        <v>9198</v>
      </c>
    </row>
    <row r="7743" spans="1:4" s="45" customFormat="1" ht="13.5" x14ac:dyDescent="0.15">
      <c r="A7743" s="45" t="s">
        <v>41</v>
      </c>
      <c r="D7743" s="45" t="s">
        <v>9199</v>
      </c>
    </row>
    <row r="7744" spans="1:4" s="45" customFormat="1" ht="13.5" x14ac:dyDescent="0.15">
      <c r="A7744" s="45" t="s">
        <v>41</v>
      </c>
      <c r="D7744" s="45" t="s">
        <v>9200</v>
      </c>
    </row>
    <row r="7745" spans="1:4" s="45" customFormat="1" ht="13.5" x14ac:dyDescent="0.15">
      <c r="A7745" s="45" t="s">
        <v>41</v>
      </c>
      <c r="D7745" s="45" t="s">
        <v>9201</v>
      </c>
    </row>
    <row r="7746" spans="1:4" s="45" customFormat="1" ht="13.5" x14ac:dyDescent="0.15">
      <c r="A7746" s="45" t="s">
        <v>41</v>
      </c>
      <c r="D7746" s="45" t="s">
        <v>9202</v>
      </c>
    </row>
    <row r="7747" spans="1:4" s="45" customFormat="1" ht="13.5" x14ac:dyDescent="0.15">
      <c r="A7747" s="45" t="s">
        <v>41</v>
      </c>
      <c r="D7747" s="45" t="s">
        <v>9203</v>
      </c>
    </row>
    <row r="7748" spans="1:4" s="45" customFormat="1" ht="13.5" x14ac:dyDescent="0.15">
      <c r="A7748" s="45" t="s">
        <v>41</v>
      </c>
      <c r="D7748" s="45" t="s">
        <v>9204</v>
      </c>
    </row>
    <row r="7749" spans="1:4" s="45" customFormat="1" ht="13.5" x14ac:dyDescent="0.15">
      <c r="A7749" s="45" t="s">
        <v>41</v>
      </c>
      <c r="D7749" s="45" t="s">
        <v>9205</v>
      </c>
    </row>
    <row r="7750" spans="1:4" s="45" customFormat="1" ht="13.5" x14ac:dyDescent="0.15">
      <c r="A7750" s="45" t="s">
        <v>41</v>
      </c>
      <c r="D7750" s="45" t="s">
        <v>9206</v>
      </c>
    </row>
    <row r="7751" spans="1:4" s="45" customFormat="1" ht="13.5" x14ac:dyDescent="0.15">
      <c r="A7751" s="45" t="s">
        <v>41</v>
      </c>
      <c r="D7751" s="45" t="s">
        <v>9207</v>
      </c>
    </row>
    <row r="7752" spans="1:4" s="45" customFormat="1" ht="13.5" x14ac:dyDescent="0.15">
      <c r="A7752" s="45" t="s">
        <v>41</v>
      </c>
      <c r="D7752" s="45" t="s">
        <v>9208</v>
      </c>
    </row>
    <row r="7753" spans="1:4" s="45" customFormat="1" ht="13.5" x14ac:dyDescent="0.15">
      <c r="A7753" s="45" t="s">
        <v>41</v>
      </c>
      <c r="D7753" s="45" t="s">
        <v>9209</v>
      </c>
    </row>
    <row r="7754" spans="1:4" s="45" customFormat="1" ht="13.5" x14ac:dyDescent="0.15">
      <c r="A7754" s="45" t="s">
        <v>41</v>
      </c>
      <c r="D7754" s="45" t="s">
        <v>9210</v>
      </c>
    </row>
    <row r="7755" spans="1:4" s="45" customFormat="1" ht="13.5" x14ac:dyDescent="0.15">
      <c r="A7755" s="45" t="s">
        <v>41</v>
      </c>
      <c r="D7755" s="45" t="s">
        <v>9211</v>
      </c>
    </row>
    <row r="7756" spans="1:4" s="45" customFormat="1" ht="13.5" x14ac:dyDescent="0.15">
      <c r="A7756" s="45" t="s">
        <v>41</v>
      </c>
      <c r="D7756" s="45" t="s">
        <v>9212</v>
      </c>
    </row>
    <row r="7757" spans="1:4" s="45" customFormat="1" ht="13.5" x14ac:dyDescent="0.15">
      <c r="A7757" s="45" t="s">
        <v>41</v>
      </c>
      <c r="D7757" s="45" t="s">
        <v>9213</v>
      </c>
    </row>
    <row r="7758" spans="1:4" s="45" customFormat="1" ht="13.5" x14ac:dyDescent="0.15">
      <c r="A7758" s="45" t="s">
        <v>41</v>
      </c>
      <c r="D7758" s="45" t="s">
        <v>9214</v>
      </c>
    </row>
    <row r="7759" spans="1:4" s="45" customFormat="1" ht="13.5" x14ac:dyDescent="0.15">
      <c r="A7759" s="45" t="s">
        <v>41</v>
      </c>
      <c r="D7759" s="45" t="s">
        <v>9215</v>
      </c>
    </row>
    <row r="7760" spans="1:4" s="45" customFormat="1" ht="13.5" x14ac:dyDescent="0.15">
      <c r="A7760" s="45" t="s">
        <v>41</v>
      </c>
      <c r="D7760" s="45" t="s">
        <v>9216</v>
      </c>
    </row>
    <row r="7761" spans="1:4" s="45" customFormat="1" ht="13.5" x14ac:dyDescent="0.15">
      <c r="A7761" s="45" t="s">
        <v>41</v>
      </c>
      <c r="D7761" s="45" t="s">
        <v>9217</v>
      </c>
    </row>
    <row r="7762" spans="1:4" s="45" customFormat="1" ht="13.5" x14ac:dyDescent="0.15">
      <c r="A7762" s="45" t="s">
        <v>41</v>
      </c>
      <c r="D7762" s="45" t="s">
        <v>9218</v>
      </c>
    </row>
    <row r="7763" spans="1:4" s="45" customFormat="1" ht="13.5" x14ac:dyDescent="0.15">
      <c r="A7763" s="45" t="s">
        <v>41</v>
      </c>
      <c r="D7763" s="45" t="s">
        <v>9219</v>
      </c>
    </row>
    <row r="7764" spans="1:4" s="45" customFormat="1" ht="13.5" x14ac:dyDescent="0.15">
      <c r="A7764" s="45" t="s">
        <v>41</v>
      </c>
      <c r="D7764" s="45" t="s">
        <v>9220</v>
      </c>
    </row>
    <row r="7765" spans="1:4" s="45" customFormat="1" ht="13.5" x14ac:dyDescent="0.15">
      <c r="A7765" s="45" t="s">
        <v>41</v>
      </c>
      <c r="D7765" s="45" t="s">
        <v>9221</v>
      </c>
    </row>
    <row r="7766" spans="1:4" s="45" customFormat="1" ht="13.5" x14ac:dyDescent="0.15">
      <c r="A7766" s="45" t="s">
        <v>41</v>
      </c>
      <c r="D7766" s="45" t="s">
        <v>1514</v>
      </c>
    </row>
    <row r="7767" spans="1:4" s="45" customFormat="1" ht="13.5" x14ac:dyDescent="0.15">
      <c r="A7767" s="45" t="s">
        <v>41</v>
      </c>
      <c r="D7767" s="45" t="s">
        <v>9222</v>
      </c>
    </row>
    <row r="7768" spans="1:4" s="45" customFormat="1" ht="13.5" x14ac:dyDescent="0.15">
      <c r="A7768" s="45" t="s">
        <v>41</v>
      </c>
      <c r="D7768" s="45" t="s">
        <v>9223</v>
      </c>
    </row>
    <row r="7769" spans="1:4" s="45" customFormat="1" ht="13.5" x14ac:dyDescent="0.15">
      <c r="A7769" s="45" t="s">
        <v>41</v>
      </c>
      <c r="D7769" s="45" t="s">
        <v>9224</v>
      </c>
    </row>
    <row r="7770" spans="1:4" s="45" customFormat="1" ht="13.5" x14ac:dyDescent="0.15">
      <c r="A7770" s="45" t="s">
        <v>41</v>
      </c>
      <c r="D7770" s="45" t="s">
        <v>9225</v>
      </c>
    </row>
    <row r="7771" spans="1:4" s="45" customFormat="1" ht="13.5" x14ac:dyDescent="0.15">
      <c r="A7771" s="45" t="s">
        <v>41</v>
      </c>
      <c r="D7771" s="45" t="s">
        <v>9226</v>
      </c>
    </row>
    <row r="7772" spans="1:4" s="45" customFormat="1" ht="13.5" x14ac:dyDescent="0.15">
      <c r="A7772" s="45" t="s">
        <v>41</v>
      </c>
      <c r="D7772" s="45" t="s">
        <v>9227</v>
      </c>
    </row>
    <row r="7773" spans="1:4" s="45" customFormat="1" ht="13.5" x14ac:dyDescent="0.15">
      <c r="A7773" s="45" t="s">
        <v>41</v>
      </c>
      <c r="D7773" s="45" t="s">
        <v>1510</v>
      </c>
    </row>
    <row r="7774" spans="1:4" s="45" customFormat="1" ht="13.5" x14ac:dyDescent="0.15">
      <c r="A7774" s="45" t="s">
        <v>41</v>
      </c>
      <c r="D7774" s="45" t="s">
        <v>9228</v>
      </c>
    </row>
    <row r="7775" spans="1:4" s="45" customFormat="1" ht="13.5" x14ac:dyDescent="0.15">
      <c r="A7775" s="45" t="s">
        <v>41</v>
      </c>
      <c r="D7775" s="45" t="s">
        <v>9229</v>
      </c>
    </row>
    <row r="7776" spans="1:4" s="45" customFormat="1" ht="13.5" x14ac:dyDescent="0.15">
      <c r="A7776" s="45" t="s">
        <v>41</v>
      </c>
      <c r="D7776" s="45" t="s">
        <v>9230</v>
      </c>
    </row>
    <row r="7777" spans="1:4" s="45" customFormat="1" ht="13.5" x14ac:dyDescent="0.15">
      <c r="A7777" s="45" t="s">
        <v>41</v>
      </c>
      <c r="D7777" s="45" t="s">
        <v>9231</v>
      </c>
    </row>
    <row r="7778" spans="1:4" s="45" customFormat="1" ht="13.5" x14ac:dyDescent="0.15">
      <c r="A7778" s="45" t="s">
        <v>41</v>
      </c>
      <c r="D7778" s="45" t="s">
        <v>9232</v>
      </c>
    </row>
    <row r="7779" spans="1:4" s="45" customFormat="1" ht="13.5" x14ac:dyDescent="0.15">
      <c r="A7779" s="45" t="s">
        <v>41</v>
      </c>
      <c r="D7779" s="45" t="s">
        <v>9233</v>
      </c>
    </row>
    <row r="7780" spans="1:4" s="45" customFormat="1" ht="13.5" x14ac:dyDescent="0.15">
      <c r="A7780" s="45" t="s">
        <v>41</v>
      </c>
      <c r="D7780" s="45" t="s">
        <v>9234</v>
      </c>
    </row>
    <row r="7781" spans="1:4" s="45" customFormat="1" ht="13.5" x14ac:dyDescent="0.15">
      <c r="A7781" s="45" t="s">
        <v>41</v>
      </c>
      <c r="D7781" s="45" t="s">
        <v>9235</v>
      </c>
    </row>
    <row r="7782" spans="1:4" s="45" customFormat="1" ht="13.5" x14ac:dyDescent="0.15">
      <c r="A7782" s="45" t="s">
        <v>41</v>
      </c>
      <c r="D7782" s="45" t="s">
        <v>9236</v>
      </c>
    </row>
    <row r="7783" spans="1:4" s="45" customFormat="1" ht="13.5" x14ac:dyDescent="0.15">
      <c r="A7783" s="45" t="s">
        <v>41</v>
      </c>
      <c r="D7783" s="45" t="s">
        <v>9237</v>
      </c>
    </row>
    <row r="7784" spans="1:4" s="45" customFormat="1" ht="13.5" x14ac:dyDescent="0.15">
      <c r="A7784" s="45" t="s">
        <v>41</v>
      </c>
      <c r="D7784" s="45" t="s">
        <v>9238</v>
      </c>
    </row>
    <row r="7785" spans="1:4" s="45" customFormat="1" ht="13.5" x14ac:dyDescent="0.15">
      <c r="A7785" s="45" t="s">
        <v>41</v>
      </c>
      <c r="D7785" s="45" t="s">
        <v>9239</v>
      </c>
    </row>
    <row r="7786" spans="1:4" s="45" customFormat="1" ht="13.5" x14ac:dyDescent="0.15">
      <c r="A7786" s="45" t="s">
        <v>41</v>
      </c>
      <c r="D7786" s="45" t="s">
        <v>9240</v>
      </c>
    </row>
    <row r="7787" spans="1:4" s="45" customFormat="1" ht="13.5" x14ac:dyDescent="0.15">
      <c r="A7787" s="45" t="s">
        <v>41</v>
      </c>
      <c r="D7787" s="45" t="s">
        <v>9241</v>
      </c>
    </row>
    <row r="7788" spans="1:4" s="45" customFormat="1" ht="13.5" x14ac:dyDescent="0.15">
      <c r="A7788" s="45" t="s">
        <v>41</v>
      </c>
      <c r="D7788" s="45" t="s">
        <v>9242</v>
      </c>
    </row>
    <row r="7789" spans="1:4" s="45" customFormat="1" ht="13.5" x14ac:dyDescent="0.15">
      <c r="A7789" s="45" t="s">
        <v>41</v>
      </c>
      <c r="D7789" s="45" t="s">
        <v>9243</v>
      </c>
    </row>
    <row r="7790" spans="1:4" s="45" customFormat="1" ht="13.5" x14ac:dyDescent="0.15">
      <c r="A7790" s="45" t="s">
        <v>41</v>
      </c>
      <c r="D7790" s="45" t="s">
        <v>9244</v>
      </c>
    </row>
    <row r="7791" spans="1:4" s="45" customFormat="1" ht="13.5" x14ac:dyDescent="0.15">
      <c r="A7791" s="45" t="s">
        <v>41</v>
      </c>
      <c r="D7791" s="45" t="s">
        <v>9245</v>
      </c>
    </row>
    <row r="7792" spans="1:4" s="45" customFormat="1" ht="13.5" x14ac:dyDescent="0.15">
      <c r="A7792" s="45" t="s">
        <v>41</v>
      </c>
      <c r="D7792" s="45" t="s">
        <v>9246</v>
      </c>
    </row>
    <row r="7793" spans="1:4" s="45" customFormat="1" ht="13.5" x14ac:dyDescent="0.15">
      <c r="A7793" s="45" t="s">
        <v>41</v>
      </c>
      <c r="D7793" s="45" t="s">
        <v>1507</v>
      </c>
    </row>
    <row r="7794" spans="1:4" s="45" customFormat="1" ht="13.5" x14ac:dyDescent="0.15">
      <c r="A7794" s="45" t="s">
        <v>41</v>
      </c>
      <c r="D7794" s="45" t="s">
        <v>9247</v>
      </c>
    </row>
    <row r="7795" spans="1:4" s="45" customFormat="1" ht="13.5" x14ac:dyDescent="0.15">
      <c r="A7795" s="45" t="s">
        <v>41</v>
      </c>
      <c r="D7795" s="45" t="s">
        <v>1517</v>
      </c>
    </row>
    <row r="7796" spans="1:4" s="45" customFormat="1" ht="13.5" x14ac:dyDescent="0.15">
      <c r="A7796" s="45" t="s">
        <v>41</v>
      </c>
      <c r="D7796" s="45" t="s">
        <v>9248</v>
      </c>
    </row>
    <row r="7797" spans="1:4" s="45" customFormat="1" ht="13.5" x14ac:dyDescent="0.15">
      <c r="A7797" s="45" t="s">
        <v>41</v>
      </c>
      <c r="D7797" s="45" t="s">
        <v>9249</v>
      </c>
    </row>
    <row r="7798" spans="1:4" s="45" customFormat="1" ht="13.5" x14ac:dyDescent="0.15">
      <c r="A7798" s="45" t="s">
        <v>41</v>
      </c>
      <c r="D7798" s="45" t="s">
        <v>1513</v>
      </c>
    </row>
    <row r="7799" spans="1:4" s="45" customFormat="1" ht="13.5" x14ac:dyDescent="0.15">
      <c r="A7799" s="45" t="s">
        <v>41</v>
      </c>
      <c r="D7799" s="45" t="s">
        <v>9250</v>
      </c>
    </row>
    <row r="7800" spans="1:4" s="45" customFormat="1" ht="13.5" x14ac:dyDescent="0.15">
      <c r="A7800" s="45" t="s">
        <v>41</v>
      </c>
      <c r="D7800" s="45" t="s">
        <v>9251</v>
      </c>
    </row>
    <row r="7801" spans="1:4" s="45" customFormat="1" ht="13.5" x14ac:dyDescent="0.15">
      <c r="A7801" s="45" t="s">
        <v>41</v>
      </c>
      <c r="D7801" s="45" t="s">
        <v>9252</v>
      </c>
    </row>
    <row r="7802" spans="1:4" s="45" customFormat="1" ht="13.5" x14ac:dyDescent="0.15">
      <c r="A7802" s="45" t="s">
        <v>41</v>
      </c>
      <c r="D7802" s="45" t="s">
        <v>9253</v>
      </c>
    </row>
    <row r="7803" spans="1:4" s="45" customFormat="1" ht="13.5" x14ac:dyDescent="0.15">
      <c r="A7803" s="45" t="s">
        <v>41</v>
      </c>
      <c r="D7803" s="45" t="s">
        <v>1520</v>
      </c>
    </row>
    <row r="7804" spans="1:4" s="45" customFormat="1" ht="13.5" x14ac:dyDescent="0.15">
      <c r="A7804" s="45" t="s">
        <v>41</v>
      </c>
      <c r="D7804" s="45" t="s">
        <v>1508</v>
      </c>
    </row>
    <row r="7805" spans="1:4" s="45" customFormat="1" ht="13.5" x14ac:dyDescent="0.15">
      <c r="A7805" s="45" t="s">
        <v>41</v>
      </c>
      <c r="D7805" s="45" t="s">
        <v>9254</v>
      </c>
    </row>
    <row r="7806" spans="1:4" s="45" customFormat="1" ht="13.5" x14ac:dyDescent="0.15">
      <c r="A7806" s="45" t="s">
        <v>41</v>
      </c>
      <c r="D7806" s="45" t="s">
        <v>9255</v>
      </c>
    </row>
    <row r="7807" spans="1:4" s="45" customFormat="1" ht="13.5" x14ac:dyDescent="0.15">
      <c r="A7807" s="45" t="s">
        <v>41</v>
      </c>
      <c r="D7807" s="45" t="s">
        <v>9256</v>
      </c>
    </row>
    <row r="7808" spans="1:4" s="45" customFormat="1" ht="13.5" x14ac:dyDescent="0.15">
      <c r="A7808" s="45" t="s">
        <v>41</v>
      </c>
      <c r="D7808" s="45" t="s">
        <v>9257</v>
      </c>
    </row>
    <row r="7809" spans="1:4" s="45" customFormat="1" ht="13.5" x14ac:dyDescent="0.15">
      <c r="A7809" s="45" t="s">
        <v>41</v>
      </c>
      <c r="D7809" s="45" t="s">
        <v>1511</v>
      </c>
    </row>
    <row r="7810" spans="1:4" s="45" customFormat="1" ht="13.5" x14ac:dyDescent="0.15">
      <c r="A7810" s="45" t="s">
        <v>41</v>
      </c>
      <c r="D7810" s="45" t="s">
        <v>9258</v>
      </c>
    </row>
    <row r="7811" spans="1:4" s="45" customFormat="1" ht="13.5" x14ac:dyDescent="0.15">
      <c r="A7811" s="45" t="s">
        <v>41</v>
      </c>
      <c r="D7811" s="45" t="s">
        <v>9259</v>
      </c>
    </row>
    <row r="7812" spans="1:4" s="45" customFormat="1" ht="13.5" x14ac:dyDescent="0.15">
      <c r="A7812" s="45" t="s">
        <v>41</v>
      </c>
      <c r="D7812" s="45" t="s">
        <v>9260</v>
      </c>
    </row>
    <row r="7813" spans="1:4" s="45" customFormat="1" ht="13.5" x14ac:dyDescent="0.15">
      <c r="A7813" s="45" t="s">
        <v>41</v>
      </c>
      <c r="D7813" s="45" t="s">
        <v>1384</v>
      </c>
    </row>
    <row r="7814" spans="1:4" s="45" customFormat="1" ht="13.5" x14ac:dyDescent="0.15">
      <c r="A7814" s="45" t="s">
        <v>41</v>
      </c>
      <c r="D7814" s="45" t="s">
        <v>9261</v>
      </c>
    </row>
    <row r="7815" spans="1:4" s="45" customFormat="1" ht="13.5" x14ac:dyDescent="0.15">
      <c r="A7815" s="45" t="s">
        <v>41</v>
      </c>
      <c r="D7815" s="45" t="s">
        <v>9262</v>
      </c>
    </row>
    <row r="7816" spans="1:4" s="45" customFormat="1" ht="13.5" x14ac:dyDescent="0.15">
      <c r="A7816" s="45" t="s">
        <v>41</v>
      </c>
      <c r="D7816" s="45" t="s">
        <v>9263</v>
      </c>
    </row>
    <row r="7817" spans="1:4" s="45" customFormat="1" ht="13.5" x14ac:dyDescent="0.15">
      <c r="A7817" s="45" t="s">
        <v>41</v>
      </c>
      <c r="D7817" s="45" t="s">
        <v>875</v>
      </c>
    </row>
    <row r="7818" spans="1:4" s="45" customFormat="1" ht="13.5" x14ac:dyDescent="0.15">
      <c r="A7818" s="45" t="s">
        <v>41</v>
      </c>
      <c r="D7818" s="45" t="s">
        <v>9264</v>
      </c>
    </row>
    <row r="7819" spans="1:4" s="45" customFormat="1" ht="13.5" x14ac:dyDescent="0.15">
      <c r="A7819" s="45" t="s">
        <v>41</v>
      </c>
      <c r="D7819" s="45" t="s">
        <v>9265</v>
      </c>
    </row>
    <row r="7820" spans="1:4" s="45" customFormat="1" ht="13.5" x14ac:dyDescent="0.15">
      <c r="A7820" s="45" t="s">
        <v>41</v>
      </c>
      <c r="D7820" s="45" t="s">
        <v>991</v>
      </c>
    </row>
    <row r="7821" spans="1:4" s="45" customFormat="1" ht="13.5" x14ac:dyDescent="0.15">
      <c r="A7821" s="45" t="s">
        <v>41</v>
      </c>
      <c r="D7821" s="45" t="s">
        <v>9266</v>
      </c>
    </row>
    <row r="7822" spans="1:4" s="45" customFormat="1" ht="13.5" x14ac:dyDescent="0.15">
      <c r="A7822" s="45" t="s">
        <v>41</v>
      </c>
      <c r="D7822" s="45" t="s">
        <v>9267</v>
      </c>
    </row>
    <row r="7823" spans="1:4" s="45" customFormat="1" ht="13.5" x14ac:dyDescent="0.15">
      <c r="A7823" s="45" t="s">
        <v>41</v>
      </c>
      <c r="D7823" s="45" t="s">
        <v>9268</v>
      </c>
    </row>
    <row r="7824" spans="1:4" s="45" customFormat="1" ht="13.5" x14ac:dyDescent="0.15">
      <c r="A7824" s="45" t="s">
        <v>41</v>
      </c>
      <c r="D7824" s="45" t="s">
        <v>9269</v>
      </c>
    </row>
    <row r="7825" spans="1:4" s="45" customFormat="1" ht="13.5" x14ac:dyDescent="0.15">
      <c r="A7825" s="45" t="s">
        <v>41</v>
      </c>
      <c r="D7825" s="45" t="s">
        <v>9270</v>
      </c>
    </row>
    <row r="7826" spans="1:4" s="45" customFormat="1" ht="13.5" x14ac:dyDescent="0.15">
      <c r="A7826" s="45" t="s">
        <v>41</v>
      </c>
      <c r="D7826" s="45" t="s">
        <v>9271</v>
      </c>
    </row>
    <row r="7827" spans="1:4" s="45" customFormat="1" ht="13.5" x14ac:dyDescent="0.15">
      <c r="A7827" s="45" t="s">
        <v>41</v>
      </c>
      <c r="D7827" s="45" t="s">
        <v>2415</v>
      </c>
    </row>
    <row r="7828" spans="1:4" s="45" customFormat="1" ht="13.5" x14ac:dyDescent="0.15">
      <c r="A7828" s="45" t="s">
        <v>41</v>
      </c>
      <c r="D7828" s="45" t="s">
        <v>9272</v>
      </c>
    </row>
    <row r="7829" spans="1:4" s="45" customFormat="1" ht="13.5" x14ac:dyDescent="0.15">
      <c r="A7829" s="45" t="s">
        <v>41</v>
      </c>
      <c r="D7829" s="45" t="s">
        <v>9273</v>
      </c>
    </row>
    <row r="7830" spans="1:4" s="45" customFormat="1" ht="13.5" x14ac:dyDescent="0.15">
      <c r="A7830" s="45" t="s">
        <v>41</v>
      </c>
      <c r="D7830" s="45" t="s">
        <v>1975</v>
      </c>
    </row>
    <row r="7831" spans="1:4" s="45" customFormat="1" ht="13.5" x14ac:dyDescent="0.15">
      <c r="A7831" s="45" t="s">
        <v>41</v>
      </c>
      <c r="D7831" s="45" t="s">
        <v>9274</v>
      </c>
    </row>
    <row r="7832" spans="1:4" s="45" customFormat="1" ht="13.5" x14ac:dyDescent="0.15">
      <c r="A7832" s="45" t="s">
        <v>41</v>
      </c>
      <c r="D7832" s="45" t="s">
        <v>9275</v>
      </c>
    </row>
    <row r="7833" spans="1:4" s="45" customFormat="1" ht="13.5" x14ac:dyDescent="0.15">
      <c r="A7833" s="45" t="s">
        <v>41</v>
      </c>
      <c r="D7833" s="45" t="s">
        <v>9276</v>
      </c>
    </row>
    <row r="7834" spans="1:4" s="45" customFormat="1" ht="13.5" x14ac:dyDescent="0.15">
      <c r="A7834" s="45" t="s">
        <v>41</v>
      </c>
      <c r="D7834" s="45" t="s">
        <v>1851</v>
      </c>
    </row>
    <row r="7835" spans="1:4" s="45" customFormat="1" ht="13.5" x14ac:dyDescent="0.15">
      <c r="A7835" s="45" t="s">
        <v>41</v>
      </c>
      <c r="D7835" s="45" t="s">
        <v>9277</v>
      </c>
    </row>
    <row r="7836" spans="1:4" s="45" customFormat="1" ht="13.5" x14ac:dyDescent="0.15">
      <c r="A7836" s="45" t="s">
        <v>41</v>
      </c>
      <c r="D7836" s="45" t="s">
        <v>2564</v>
      </c>
    </row>
    <row r="7837" spans="1:4" s="45" customFormat="1" ht="13.5" x14ac:dyDescent="0.15">
      <c r="A7837" s="45" t="s">
        <v>41</v>
      </c>
      <c r="D7837" s="45" t="s">
        <v>9278</v>
      </c>
    </row>
    <row r="7838" spans="1:4" s="45" customFormat="1" ht="13.5" x14ac:dyDescent="0.15">
      <c r="A7838" s="45" t="s">
        <v>41</v>
      </c>
      <c r="D7838" s="45" t="s">
        <v>1752</v>
      </c>
    </row>
    <row r="7839" spans="1:4" s="45" customFormat="1" ht="13.5" x14ac:dyDescent="0.15">
      <c r="A7839" s="45" t="s">
        <v>41</v>
      </c>
      <c r="D7839" s="45" t="s">
        <v>1753</v>
      </c>
    </row>
    <row r="7840" spans="1:4" s="45" customFormat="1" ht="13.5" x14ac:dyDescent="0.15">
      <c r="A7840" s="45" t="s">
        <v>41</v>
      </c>
      <c r="D7840" s="45" t="s">
        <v>9279</v>
      </c>
    </row>
    <row r="7841" spans="1:4" s="45" customFormat="1" ht="13.5" x14ac:dyDescent="0.15">
      <c r="A7841" s="45" t="s">
        <v>41</v>
      </c>
      <c r="D7841" s="45" t="s">
        <v>9280</v>
      </c>
    </row>
    <row r="7842" spans="1:4" s="45" customFormat="1" ht="13.5" x14ac:dyDescent="0.15">
      <c r="A7842" s="45" t="s">
        <v>41</v>
      </c>
      <c r="D7842" s="45" t="s">
        <v>9281</v>
      </c>
    </row>
    <row r="7843" spans="1:4" s="45" customFormat="1" ht="13.5" x14ac:dyDescent="0.15">
      <c r="A7843" s="45" t="s">
        <v>41</v>
      </c>
      <c r="D7843" s="45" t="s">
        <v>1056</v>
      </c>
    </row>
    <row r="7844" spans="1:4" s="45" customFormat="1" ht="13.5" x14ac:dyDescent="0.15">
      <c r="A7844" s="45" t="s">
        <v>41</v>
      </c>
      <c r="D7844" s="45" t="s">
        <v>874</v>
      </c>
    </row>
    <row r="7845" spans="1:4" s="45" customFormat="1" ht="13.5" x14ac:dyDescent="0.15">
      <c r="A7845" s="45" t="s">
        <v>41</v>
      </c>
      <c r="D7845" s="45" t="s">
        <v>9282</v>
      </c>
    </row>
    <row r="7846" spans="1:4" s="45" customFormat="1" ht="13.5" x14ac:dyDescent="0.15">
      <c r="A7846" s="45" t="s">
        <v>41</v>
      </c>
      <c r="D7846" s="45" t="s">
        <v>9283</v>
      </c>
    </row>
    <row r="7847" spans="1:4" s="45" customFormat="1" ht="13.5" x14ac:dyDescent="0.15">
      <c r="A7847" s="45" t="s">
        <v>41</v>
      </c>
      <c r="D7847" s="45" t="s">
        <v>1696</v>
      </c>
    </row>
    <row r="7848" spans="1:4" s="45" customFormat="1" ht="13.5" x14ac:dyDescent="0.15">
      <c r="A7848" s="45" t="s">
        <v>41</v>
      </c>
      <c r="D7848" s="45" t="s">
        <v>2276</v>
      </c>
    </row>
    <row r="7849" spans="1:4" s="45" customFormat="1" ht="13.5" x14ac:dyDescent="0.15">
      <c r="A7849" s="45" t="s">
        <v>41</v>
      </c>
      <c r="D7849" s="45" t="s">
        <v>2331</v>
      </c>
    </row>
    <row r="7850" spans="1:4" s="45" customFormat="1" ht="13.5" x14ac:dyDescent="0.15">
      <c r="A7850" s="45" t="s">
        <v>41</v>
      </c>
      <c r="D7850" s="45" t="s">
        <v>9284</v>
      </c>
    </row>
    <row r="7851" spans="1:4" s="45" customFormat="1" ht="13.5" x14ac:dyDescent="0.15">
      <c r="A7851" s="45" t="s">
        <v>41</v>
      </c>
      <c r="D7851" s="45" t="s">
        <v>9285</v>
      </c>
    </row>
    <row r="7852" spans="1:4" s="45" customFormat="1" ht="13.5" x14ac:dyDescent="0.15">
      <c r="A7852" s="45" t="s">
        <v>41</v>
      </c>
      <c r="D7852" s="45" t="s">
        <v>1542</v>
      </c>
    </row>
    <row r="7853" spans="1:4" s="45" customFormat="1" ht="13.5" x14ac:dyDescent="0.15">
      <c r="A7853" s="45" t="s">
        <v>41</v>
      </c>
      <c r="D7853" s="45" t="s">
        <v>1543</v>
      </c>
    </row>
    <row r="7854" spans="1:4" s="45" customFormat="1" ht="13.5" x14ac:dyDescent="0.15">
      <c r="A7854" s="45" t="s">
        <v>41</v>
      </c>
      <c r="D7854" s="45" t="s">
        <v>1541</v>
      </c>
    </row>
    <row r="7855" spans="1:4" s="45" customFormat="1" ht="13.5" x14ac:dyDescent="0.15">
      <c r="A7855" s="45" t="s">
        <v>41</v>
      </c>
      <c r="D7855" s="45" t="s">
        <v>1544</v>
      </c>
    </row>
    <row r="7856" spans="1:4" s="45" customFormat="1" ht="13.5" x14ac:dyDescent="0.15">
      <c r="A7856" s="45" t="s">
        <v>41</v>
      </c>
      <c r="D7856" s="45" t="s">
        <v>9286</v>
      </c>
    </row>
    <row r="7857" spans="1:4" s="45" customFormat="1" ht="13.5" x14ac:dyDescent="0.15">
      <c r="A7857" s="45" t="s">
        <v>41</v>
      </c>
      <c r="D7857" s="45" t="s">
        <v>1545</v>
      </c>
    </row>
    <row r="7858" spans="1:4" s="45" customFormat="1" ht="13.5" x14ac:dyDescent="0.15">
      <c r="A7858" s="45" t="s">
        <v>41</v>
      </c>
      <c r="D7858" s="45" t="s">
        <v>1537</v>
      </c>
    </row>
    <row r="7859" spans="1:4" s="45" customFormat="1" ht="13.5" x14ac:dyDescent="0.15">
      <c r="A7859" s="45" t="s">
        <v>41</v>
      </c>
      <c r="D7859" s="45" t="s">
        <v>1538</v>
      </c>
    </row>
    <row r="7860" spans="1:4" s="45" customFormat="1" ht="13.5" x14ac:dyDescent="0.15">
      <c r="A7860" s="45" t="s">
        <v>41</v>
      </c>
      <c r="D7860" s="45" t="s">
        <v>1539</v>
      </c>
    </row>
    <row r="7861" spans="1:4" s="45" customFormat="1" ht="13.5" x14ac:dyDescent="0.15">
      <c r="A7861" s="45" t="s">
        <v>41</v>
      </c>
      <c r="D7861" s="45" t="s">
        <v>1540</v>
      </c>
    </row>
    <row r="7862" spans="1:4" s="45" customFormat="1" ht="13.5" x14ac:dyDescent="0.15">
      <c r="A7862" s="45" t="s">
        <v>41</v>
      </c>
      <c r="D7862" s="45" t="s">
        <v>9287</v>
      </c>
    </row>
    <row r="7863" spans="1:4" s="45" customFormat="1" ht="13.5" x14ac:dyDescent="0.15">
      <c r="A7863" s="45" t="s">
        <v>41</v>
      </c>
      <c r="D7863" s="45" t="s">
        <v>498</v>
      </c>
    </row>
    <row r="7864" spans="1:4" s="45" customFormat="1" ht="13.5" x14ac:dyDescent="0.15">
      <c r="A7864" s="45" t="s">
        <v>41</v>
      </c>
      <c r="D7864" s="45" t="s">
        <v>9288</v>
      </c>
    </row>
    <row r="7865" spans="1:4" s="45" customFormat="1" ht="13.5" x14ac:dyDescent="0.15">
      <c r="A7865" s="45" t="s">
        <v>41</v>
      </c>
      <c r="D7865" s="45" t="s">
        <v>9289</v>
      </c>
    </row>
    <row r="7866" spans="1:4" s="45" customFormat="1" ht="13.5" x14ac:dyDescent="0.15">
      <c r="A7866" s="45" t="s">
        <v>41</v>
      </c>
      <c r="D7866" s="45" t="s">
        <v>9290</v>
      </c>
    </row>
    <row r="7867" spans="1:4" s="45" customFormat="1" ht="13.5" x14ac:dyDescent="0.15">
      <c r="A7867" s="45" t="s">
        <v>41</v>
      </c>
      <c r="D7867" s="45" t="s">
        <v>9291</v>
      </c>
    </row>
    <row r="7868" spans="1:4" s="45" customFormat="1" ht="13.5" x14ac:dyDescent="0.15">
      <c r="A7868" s="45" t="s">
        <v>41</v>
      </c>
      <c r="D7868" s="45" t="s">
        <v>9292</v>
      </c>
    </row>
    <row r="7869" spans="1:4" s="45" customFormat="1" ht="13.5" x14ac:dyDescent="0.15">
      <c r="A7869" s="45" t="s">
        <v>41</v>
      </c>
      <c r="D7869" s="45" t="s">
        <v>9293</v>
      </c>
    </row>
    <row r="7870" spans="1:4" s="45" customFormat="1" ht="13.5" x14ac:dyDescent="0.15">
      <c r="A7870" s="45" t="s">
        <v>41</v>
      </c>
      <c r="D7870" s="45" t="s">
        <v>9294</v>
      </c>
    </row>
    <row r="7871" spans="1:4" s="45" customFormat="1" ht="13.5" x14ac:dyDescent="0.15">
      <c r="A7871" s="45" t="s">
        <v>41</v>
      </c>
      <c r="D7871" s="45" t="s">
        <v>978</v>
      </c>
    </row>
    <row r="7872" spans="1:4" s="45" customFormat="1" ht="13.5" x14ac:dyDescent="0.15">
      <c r="A7872" s="45" t="s">
        <v>41</v>
      </c>
      <c r="D7872" s="45" t="s">
        <v>9295</v>
      </c>
    </row>
    <row r="7873" spans="1:4" s="45" customFormat="1" ht="13.5" x14ac:dyDescent="0.15">
      <c r="A7873" s="45" t="s">
        <v>41</v>
      </c>
      <c r="D7873" s="45" t="s">
        <v>9296</v>
      </c>
    </row>
    <row r="7874" spans="1:4" s="45" customFormat="1" ht="13.5" x14ac:dyDescent="0.15">
      <c r="A7874" s="45" t="s">
        <v>41</v>
      </c>
      <c r="D7874" s="45" t="s">
        <v>979</v>
      </c>
    </row>
    <row r="7875" spans="1:4" s="45" customFormat="1" ht="13.5" x14ac:dyDescent="0.15">
      <c r="A7875" s="45" t="s">
        <v>41</v>
      </c>
      <c r="D7875" s="45" t="s">
        <v>9297</v>
      </c>
    </row>
    <row r="7876" spans="1:4" s="45" customFormat="1" ht="13.5" x14ac:dyDescent="0.15">
      <c r="A7876" s="45" t="s">
        <v>41</v>
      </c>
      <c r="D7876" s="45" t="s">
        <v>9298</v>
      </c>
    </row>
    <row r="7877" spans="1:4" s="45" customFormat="1" ht="13.5" x14ac:dyDescent="0.15">
      <c r="A7877" s="45" t="s">
        <v>41</v>
      </c>
      <c r="D7877" s="45" t="s">
        <v>9299</v>
      </c>
    </row>
    <row r="7878" spans="1:4" s="45" customFormat="1" ht="13.5" x14ac:dyDescent="0.15">
      <c r="A7878" s="45" t="s">
        <v>41</v>
      </c>
      <c r="D7878" s="45" t="s">
        <v>9300</v>
      </c>
    </row>
    <row r="7879" spans="1:4" s="45" customFormat="1" ht="13.5" x14ac:dyDescent="0.15">
      <c r="A7879" s="45" t="s">
        <v>41</v>
      </c>
      <c r="D7879" s="45" t="s">
        <v>9301</v>
      </c>
    </row>
    <row r="7880" spans="1:4" s="45" customFormat="1" ht="13.5" x14ac:dyDescent="0.15">
      <c r="A7880" s="45" t="s">
        <v>41</v>
      </c>
      <c r="D7880" s="45" t="s">
        <v>9302</v>
      </c>
    </row>
    <row r="7881" spans="1:4" s="45" customFormat="1" ht="13.5" x14ac:dyDescent="0.15">
      <c r="A7881" s="45" t="s">
        <v>41</v>
      </c>
      <c r="D7881" s="45" t="s">
        <v>9303</v>
      </c>
    </row>
    <row r="7882" spans="1:4" s="45" customFormat="1" ht="13.5" x14ac:dyDescent="0.15">
      <c r="A7882" s="45" t="s">
        <v>41</v>
      </c>
      <c r="D7882" s="45" t="s">
        <v>9304</v>
      </c>
    </row>
    <row r="7883" spans="1:4" s="45" customFormat="1" ht="13.5" x14ac:dyDescent="0.15">
      <c r="A7883" s="45" t="s">
        <v>41</v>
      </c>
      <c r="D7883" s="45" t="s">
        <v>9305</v>
      </c>
    </row>
    <row r="7884" spans="1:4" s="45" customFormat="1" ht="13.5" x14ac:dyDescent="0.15">
      <c r="A7884" s="45" t="s">
        <v>41</v>
      </c>
      <c r="D7884" s="45" t="s">
        <v>9306</v>
      </c>
    </row>
    <row r="7885" spans="1:4" s="45" customFormat="1" ht="13.5" x14ac:dyDescent="0.15">
      <c r="A7885" s="45" t="s">
        <v>41</v>
      </c>
      <c r="D7885" s="45" t="s">
        <v>9307</v>
      </c>
    </row>
    <row r="7886" spans="1:4" s="45" customFormat="1" ht="13.5" x14ac:dyDescent="0.15">
      <c r="A7886" s="45" t="s">
        <v>41</v>
      </c>
      <c r="D7886" s="45" t="s">
        <v>9308</v>
      </c>
    </row>
    <row r="7887" spans="1:4" s="45" customFormat="1" ht="13.5" x14ac:dyDescent="0.15">
      <c r="A7887" s="45" t="s">
        <v>41</v>
      </c>
      <c r="D7887" s="45" t="s">
        <v>9309</v>
      </c>
    </row>
    <row r="7888" spans="1:4" s="45" customFormat="1" ht="13.5" x14ac:dyDescent="0.15">
      <c r="A7888" s="45" t="s">
        <v>41</v>
      </c>
      <c r="D7888" s="45" t="s">
        <v>9310</v>
      </c>
    </row>
    <row r="7889" spans="1:4" s="45" customFormat="1" ht="13.5" x14ac:dyDescent="0.15">
      <c r="A7889" s="45" t="s">
        <v>41</v>
      </c>
      <c r="D7889" s="45" t="s">
        <v>9311</v>
      </c>
    </row>
    <row r="7890" spans="1:4" s="45" customFormat="1" ht="13.5" x14ac:dyDescent="0.15">
      <c r="A7890" s="45" t="s">
        <v>41</v>
      </c>
      <c r="D7890" s="45" t="s">
        <v>9312</v>
      </c>
    </row>
    <row r="7891" spans="1:4" s="45" customFormat="1" ht="13.5" x14ac:dyDescent="0.15">
      <c r="A7891" s="45" t="s">
        <v>41</v>
      </c>
      <c r="D7891" s="45" t="s">
        <v>9313</v>
      </c>
    </row>
    <row r="7892" spans="1:4" s="45" customFormat="1" ht="13.5" x14ac:dyDescent="0.15">
      <c r="A7892" s="45" t="s">
        <v>41</v>
      </c>
      <c r="D7892" s="45" t="s">
        <v>9314</v>
      </c>
    </row>
    <row r="7893" spans="1:4" s="45" customFormat="1" ht="13.5" x14ac:dyDescent="0.15">
      <c r="A7893" s="45" t="s">
        <v>41</v>
      </c>
      <c r="D7893" s="45" t="s">
        <v>9315</v>
      </c>
    </row>
    <row r="7894" spans="1:4" s="45" customFormat="1" ht="13.5" x14ac:dyDescent="0.15">
      <c r="A7894" s="45" t="s">
        <v>41</v>
      </c>
      <c r="D7894" s="45" t="s">
        <v>9316</v>
      </c>
    </row>
    <row r="7895" spans="1:4" s="45" customFormat="1" ht="13.5" x14ac:dyDescent="0.15">
      <c r="A7895" s="45" t="s">
        <v>41</v>
      </c>
      <c r="D7895" s="45" t="s">
        <v>209</v>
      </c>
    </row>
    <row r="7896" spans="1:4" s="45" customFormat="1" ht="13.5" x14ac:dyDescent="0.15">
      <c r="A7896" s="45" t="s">
        <v>41</v>
      </c>
      <c r="D7896" s="45" t="s">
        <v>9317</v>
      </c>
    </row>
    <row r="7897" spans="1:4" s="45" customFormat="1" ht="13.5" x14ac:dyDescent="0.15">
      <c r="A7897" s="45" t="s">
        <v>41</v>
      </c>
      <c r="D7897" s="45" t="s">
        <v>9318</v>
      </c>
    </row>
    <row r="7898" spans="1:4" s="45" customFormat="1" ht="13.5" x14ac:dyDescent="0.15">
      <c r="A7898" s="45" t="s">
        <v>41</v>
      </c>
      <c r="D7898" s="45" t="s">
        <v>9319</v>
      </c>
    </row>
    <row r="7899" spans="1:4" s="45" customFormat="1" ht="13.5" x14ac:dyDescent="0.15">
      <c r="A7899" s="45" t="s">
        <v>41</v>
      </c>
      <c r="D7899" s="45" t="s">
        <v>259</v>
      </c>
    </row>
    <row r="7900" spans="1:4" s="45" customFormat="1" ht="13.5" x14ac:dyDescent="0.15">
      <c r="A7900" s="45" t="s">
        <v>41</v>
      </c>
      <c r="D7900" s="45" t="s">
        <v>9320</v>
      </c>
    </row>
    <row r="7901" spans="1:4" s="45" customFormat="1" ht="13.5" x14ac:dyDescent="0.15">
      <c r="A7901" s="45" t="s">
        <v>41</v>
      </c>
      <c r="D7901" s="45" t="s">
        <v>296</v>
      </c>
    </row>
    <row r="7902" spans="1:4" s="45" customFormat="1" ht="13.5" x14ac:dyDescent="0.15">
      <c r="A7902" s="45" t="s">
        <v>41</v>
      </c>
      <c r="D7902" s="45" t="s">
        <v>9321</v>
      </c>
    </row>
    <row r="7903" spans="1:4" s="45" customFormat="1" ht="13.5" x14ac:dyDescent="0.15">
      <c r="A7903" s="45" t="s">
        <v>41</v>
      </c>
      <c r="D7903" s="45" t="s">
        <v>9322</v>
      </c>
    </row>
    <row r="7904" spans="1:4" s="45" customFormat="1" ht="13.5" x14ac:dyDescent="0.15">
      <c r="A7904" s="45" t="s">
        <v>41</v>
      </c>
      <c r="D7904" s="45" t="s">
        <v>9323</v>
      </c>
    </row>
    <row r="7905" spans="1:4" s="45" customFormat="1" ht="13.5" x14ac:dyDescent="0.15">
      <c r="A7905" s="45" t="s">
        <v>41</v>
      </c>
      <c r="D7905" s="45" t="s">
        <v>1961</v>
      </c>
    </row>
    <row r="7906" spans="1:4" s="45" customFormat="1" ht="13.5" x14ac:dyDescent="0.15">
      <c r="A7906" s="45" t="s">
        <v>41</v>
      </c>
      <c r="D7906" s="45" t="s">
        <v>1564</v>
      </c>
    </row>
    <row r="7907" spans="1:4" s="45" customFormat="1" ht="13.5" x14ac:dyDescent="0.15">
      <c r="A7907" s="45" t="s">
        <v>41</v>
      </c>
      <c r="D7907" s="45" t="s">
        <v>2216</v>
      </c>
    </row>
    <row r="7908" spans="1:4" s="45" customFormat="1" ht="13.5" x14ac:dyDescent="0.15">
      <c r="A7908" s="45" t="s">
        <v>41</v>
      </c>
      <c r="D7908" s="45" t="s">
        <v>2217</v>
      </c>
    </row>
    <row r="7909" spans="1:4" s="45" customFormat="1" ht="13.5" x14ac:dyDescent="0.15">
      <c r="A7909" s="45" t="s">
        <v>41</v>
      </c>
      <c r="D7909" s="45" t="s">
        <v>9324</v>
      </c>
    </row>
    <row r="7910" spans="1:4" s="45" customFormat="1" ht="13.5" x14ac:dyDescent="0.15">
      <c r="A7910" s="45" t="s">
        <v>41</v>
      </c>
      <c r="D7910" s="45" t="s">
        <v>828</v>
      </c>
    </row>
    <row r="7911" spans="1:4" s="45" customFormat="1" ht="13.5" x14ac:dyDescent="0.15">
      <c r="A7911" s="45" t="s">
        <v>41</v>
      </c>
      <c r="D7911" s="45" t="s">
        <v>9325</v>
      </c>
    </row>
    <row r="7912" spans="1:4" s="45" customFormat="1" ht="13.5" x14ac:dyDescent="0.15">
      <c r="A7912" s="45" t="s">
        <v>41</v>
      </c>
      <c r="D7912" s="45" t="s">
        <v>9326</v>
      </c>
    </row>
    <row r="7913" spans="1:4" s="45" customFormat="1" ht="13.5" x14ac:dyDescent="0.15">
      <c r="A7913" s="45" t="s">
        <v>41</v>
      </c>
      <c r="D7913" s="45" t="s">
        <v>9327</v>
      </c>
    </row>
    <row r="7914" spans="1:4" s="45" customFormat="1" ht="13.5" x14ac:dyDescent="0.15">
      <c r="A7914" s="45" t="s">
        <v>41</v>
      </c>
      <c r="D7914" s="45" t="s">
        <v>318</v>
      </c>
    </row>
    <row r="7915" spans="1:4" s="45" customFormat="1" ht="13.5" x14ac:dyDescent="0.15">
      <c r="A7915" s="45" t="s">
        <v>41</v>
      </c>
      <c r="D7915" s="45" t="s">
        <v>2624</v>
      </c>
    </row>
    <row r="7916" spans="1:4" s="45" customFormat="1" ht="13.5" x14ac:dyDescent="0.15">
      <c r="A7916" s="45" t="s">
        <v>41</v>
      </c>
      <c r="D7916" s="45" t="s">
        <v>1659</v>
      </c>
    </row>
    <row r="7917" spans="1:4" s="45" customFormat="1" ht="13.5" x14ac:dyDescent="0.15">
      <c r="A7917" s="45" t="s">
        <v>41</v>
      </c>
      <c r="D7917" s="45" t="s">
        <v>9328</v>
      </c>
    </row>
    <row r="7918" spans="1:4" s="45" customFormat="1" ht="13.5" x14ac:dyDescent="0.15">
      <c r="A7918" s="45" t="s">
        <v>41</v>
      </c>
      <c r="D7918" s="45" t="s">
        <v>9329</v>
      </c>
    </row>
    <row r="7919" spans="1:4" s="45" customFormat="1" ht="13.5" x14ac:dyDescent="0.15">
      <c r="A7919" s="45" t="s">
        <v>41</v>
      </c>
      <c r="D7919" s="45" t="s">
        <v>9330</v>
      </c>
    </row>
    <row r="7920" spans="1:4" s="45" customFormat="1" ht="13.5" x14ac:dyDescent="0.15">
      <c r="A7920" s="45" t="s">
        <v>41</v>
      </c>
      <c r="D7920" s="45" t="s">
        <v>9331</v>
      </c>
    </row>
    <row r="7921" spans="1:4" s="45" customFormat="1" ht="13.5" x14ac:dyDescent="0.15">
      <c r="A7921" s="45" t="s">
        <v>41</v>
      </c>
      <c r="D7921" s="45" t="s">
        <v>9332</v>
      </c>
    </row>
    <row r="7922" spans="1:4" s="45" customFormat="1" ht="13.5" x14ac:dyDescent="0.15">
      <c r="A7922" s="45" t="s">
        <v>41</v>
      </c>
      <c r="D7922" s="45" t="s">
        <v>9333</v>
      </c>
    </row>
    <row r="7923" spans="1:4" s="45" customFormat="1" ht="13.5" x14ac:dyDescent="0.15">
      <c r="A7923" s="45" t="s">
        <v>41</v>
      </c>
      <c r="D7923" s="45" t="s">
        <v>9334</v>
      </c>
    </row>
    <row r="7924" spans="1:4" s="45" customFormat="1" ht="13.5" x14ac:dyDescent="0.15">
      <c r="A7924" s="45" t="s">
        <v>41</v>
      </c>
      <c r="D7924" s="45" t="s">
        <v>2278</v>
      </c>
    </row>
    <row r="7925" spans="1:4" s="45" customFormat="1" ht="13.5" x14ac:dyDescent="0.15">
      <c r="A7925" s="45" t="s">
        <v>41</v>
      </c>
      <c r="D7925" s="45" t="s">
        <v>9335</v>
      </c>
    </row>
    <row r="7926" spans="1:4" s="45" customFormat="1" ht="13.5" x14ac:dyDescent="0.15">
      <c r="A7926" s="45" t="s">
        <v>41</v>
      </c>
      <c r="D7926" s="45" t="s">
        <v>9336</v>
      </c>
    </row>
    <row r="7927" spans="1:4" s="45" customFormat="1" ht="13.5" x14ac:dyDescent="0.15">
      <c r="A7927" s="45" t="s">
        <v>41</v>
      </c>
      <c r="D7927" s="45" t="s">
        <v>9337</v>
      </c>
    </row>
    <row r="7928" spans="1:4" s="45" customFormat="1" ht="13.5" x14ac:dyDescent="0.15">
      <c r="A7928" s="45" t="s">
        <v>41</v>
      </c>
      <c r="D7928" s="45" t="s">
        <v>9338</v>
      </c>
    </row>
    <row r="7929" spans="1:4" s="45" customFormat="1" ht="13.5" x14ac:dyDescent="0.15">
      <c r="A7929" s="45" t="s">
        <v>41</v>
      </c>
      <c r="D7929" s="45" t="s">
        <v>3797</v>
      </c>
    </row>
    <row r="7930" spans="1:4" s="45" customFormat="1" ht="13.5" x14ac:dyDescent="0.15">
      <c r="A7930" s="45" t="s">
        <v>41</v>
      </c>
      <c r="D7930" s="45" t="s">
        <v>9339</v>
      </c>
    </row>
    <row r="7931" spans="1:4" s="45" customFormat="1" ht="13.5" x14ac:dyDescent="0.15">
      <c r="A7931" s="45" t="s">
        <v>41</v>
      </c>
      <c r="D7931" s="45" t="s">
        <v>9340</v>
      </c>
    </row>
    <row r="7932" spans="1:4" s="45" customFormat="1" ht="13.5" x14ac:dyDescent="0.15">
      <c r="A7932" s="45" t="s">
        <v>41</v>
      </c>
      <c r="D7932" s="45" t="s">
        <v>9341</v>
      </c>
    </row>
    <row r="7933" spans="1:4" s="45" customFormat="1" ht="13.5" x14ac:dyDescent="0.15">
      <c r="A7933" s="45" t="s">
        <v>41</v>
      </c>
      <c r="D7933" s="45" t="s">
        <v>1383</v>
      </c>
    </row>
    <row r="7934" spans="1:4" s="45" customFormat="1" ht="13.5" x14ac:dyDescent="0.15">
      <c r="A7934" s="45" t="s">
        <v>41</v>
      </c>
      <c r="D7934" s="45" t="s">
        <v>9342</v>
      </c>
    </row>
    <row r="7935" spans="1:4" s="45" customFormat="1" ht="13.5" x14ac:dyDescent="0.15">
      <c r="A7935" s="45" t="s">
        <v>41</v>
      </c>
      <c r="D7935" s="45" t="s">
        <v>9343</v>
      </c>
    </row>
    <row r="7936" spans="1:4" s="45" customFormat="1" ht="13.5" x14ac:dyDescent="0.15">
      <c r="A7936" s="45" t="s">
        <v>41</v>
      </c>
      <c r="D7936" s="45" t="s">
        <v>9344</v>
      </c>
    </row>
    <row r="7937" spans="1:4" s="45" customFormat="1" ht="13.5" x14ac:dyDescent="0.15">
      <c r="A7937" s="45" t="s">
        <v>41</v>
      </c>
      <c r="D7937" s="45" t="s">
        <v>9345</v>
      </c>
    </row>
    <row r="7938" spans="1:4" s="45" customFormat="1" ht="13.5" x14ac:dyDescent="0.15">
      <c r="A7938" s="45" t="s">
        <v>41</v>
      </c>
      <c r="D7938" s="45" t="s">
        <v>9346</v>
      </c>
    </row>
    <row r="7939" spans="1:4" s="45" customFormat="1" ht="13.5" x14ac:dyDescent="0.15">
      <c r="A7939" s="45" t="s">
        <v>41</v>
      </c>
      <c r="D7939" s="45" t="s">
        <v>9347</v>
      </c>
    </row>
    <row r="7940" spans="1:4" s="45" customFormat="1" ht="13.5" x14ac:dyDescent="0.15">
      <c r="A7940" s="45" t="s">
        <v>41</v>
      </c>
      <c r="D7940" s="45" t="s">
        <v>9348</v>
      </c>
    </row>
    <row r="7941" spans="1:4" s="45" customFormat="1" ht="13.5" x14ac:dyDescent="0.15">
      <c r="A7941" s="45" t="s">
        <v>41</v>
      </c>
      <c r="D7941" s="45" t="s">
        <v>9349</v>
      </c>
    </row>
    <row r="7942" spans="1:4" s="45" customFormat="1" ht="13.5" x14ac:dyDescent="0.15">
      <c r="A7942" s="45" t="s">
        <v>41</v>
      </c>
      <c r="D7942" s="45" t="s">
        <v>2460</v>
      </c>
    </row>
    <row r="7943" spans="1:4" s="45" customFormat="1" ht="13.5" x14ac:dyDescent="0.15">
      <c r="A7943" s="45" t="s">
        <v>41</v>
      </c>
      <c r="D7943" s="45" t="s">
        <v>9350</v>
      </c>
    </row>
    <row r="7944" spans="1:4" s="45" customFormat="1" ht="13.5" x14ac:dyDescent="0.15">
      <c r="A7944" s="45" t="s">
        <v>41</v>
      </c>
      <c r="D7944" s="45" t="s">
        <v>2553</v>
      </c>
    </row>
    <row r="7945" spans="1:4" s="45" customFormat="1" ht="13.5" x14ac:dyDescent="0.15">
      <c r="A7945" s="45" t="s">
        <v>41</v>
      </c>
      <c r="D7945" s="45" t="s">
        <v>9351</v>
      </c>
    </row>
    <row r="7946" spans="1:4" s="45" customFormat="1" ht="13.5" x14ac:dyDescent="0.15">
      <c r="A7946" s="45" t="s">
        <v>41</v>
      </c>
      <c r="D7946" s="45" t="s">
        <v>9352</v>
      </c>
    </row>
    <row r="7947" spans="1:4" s="45" customFormat="1" ht="13.5" x14ac:dyDescent="0.15">
      <c r="A7947" s="45" t="s">
        <v>41</v>
      </c>
      <c r="D7947" s="45" t="s">
        <v>9353</v>
      </c>
    </row>
    <row r="7948" spans="1:4" s="45" customFormat="1" ht="13.5" x14ac:dyDescent="0.15">
      <c r="A7948" s="45" t="s">
        <v>41</v>
      </c>
      <c r="D7948" s="45" t="s">
        <v>9354</v>
      </c>
    </row>
    <row r="7949" spans="1:4" s="45" customFormat="1" ht="13.5" x14ac:dyDescent="0.15">
      <c r="A7949" s="45" t="s">
        <v>41</v>
      </c>
      <c r="D7949" s="45" t="s">
        <v>9355</v>
      </c>
    </row>
    <row r="7950" spans="1:4" s="45" customFormat="1" ht="13.5" x14ac:dyDescent="0.15">
      <c r="A7950" s="45" t="s">
        <v>41</v>
      </c>
      <c r="D7950" s="45" t="s">
        <v>9356</v>
      </c>
    </row>
    <row r="7951" spans="1:4" s="45" customFormat="1" ht="13.5" x14ac:dyDescent="0.15">
      <c r="A7951" s="45" t="s">
        <v>41</v>
      </c>
      <c r="D7951" s="45" t="s">
        <v>9357</v>
      </c>
    </row>
    <row r="7952" spans="1:4" s="45" customFormat="1" ht="13.5" x14ac:dyDescent="0.15">
      <c r="A7952" s="45" t="s">
        <v>41</v>
      </c>
      <c r="D7952" s="45" t="s">
        <v>9358</v>
      </c>
    </row>
    <row r="7953" spans="1:4" s="45" customFormat="1" ht="13.5" x14ac:dyDescent="0.15">
      <c r="A7953" s="45" t="s">
        <v>41</v>
      </c>
      <c r="D7953" s="45" t="s">
        <v>9359</v>
      </c>
    </row>
    <row r="7954" spans="1:4" s="45" customFormat="1" ht="13.5" x14ac:dyDescent="0.15">
      <c r="A7954" s="45" t="s">
        <v>41</v>
      </c>
      <c r="D7954" s="45" t="s">
        <v>9360</v>
      </c>
    </row>
    <row r="7955" spans="1:4" s="45" customFormat="1" ht="13.5" x14ac:dyDescent="0.15">
      <c r="A7955" s="45" t="s">
        <v>41</v>
      </c>
      <c r="D7955" s="45" t="s">
        <v>9361</v>
      </c>
    </row>
    <row r="7956" spans="1:4" s="45" customFormat="1" ht="13.5" x14ac:dyDescent="0.15">
      <c r="A7956" s="45" t="s">
        <v>41</v>
      </c>
      <c r="D7956" s="45" t="s">
        <v>486</v>
      </c>
    </row>
    <row r="7957" spans="1:4" s="45" customFormat="1" ht="13.5" x14ac:dyDescent="0.15">
      <c r="A7957" s="45" t="s">
        <v>41</v>
      </c>
      <c r="D7957" s="45" t="s">
        <v>9362</v>
      </c>
    </row>
    <row r="7958" spans="1:4" s="45" customFormat="1" ht="13.5" x14ac:dyDescent="0.15">
      <c r="A7958" s="45" t="s">
        <v>41</v>
      </c>
      <c r="D7958" s="45" t="s">
        <v>9363</v>
      </c>
    </row>
    <row r="7959" spans="1:4" s="45" customFormat="1" ht="13.5" x14ac:dyDescent="0.15">
      <c r="A7959" s="45" t="s">
        <v>41</v>
      </c>
      <c r="D7959" s="45" t="s">
        <v>9364</v>
      </c>
    </row>
    <row r="7960" spans="1:4" s="45" customFormat="1" ht="13.5" x14ac:dyDescent="0.15">
      <c r="A7960" s="45" t="s">
        <v>41</v>
      </c>
      <c r="D7960" s="45" t="s">
        <v>9365</v>
      </c>
    </row>
    <row r="7961" spans="1:4" s="45" customFormat="1" ht="13.5" x14ac:dyDescent="0.15">
      <c r="A7961" s="45" t="s">
        <v>41</v>
      </c>
      <c r="D7961" s="45" t="s">
        <v>9366</v>
      </c>
    </row>
    <row r="7962" spans="1:4" s="45" customFormat="1" ht="13.5" x14ac:dyDescent="0.15">
      <c r="A7962" s="45" t="s">
        <v>41</v>
      </c>
      <c r="D7962" s="45" t="s">
        <v>9367</v>
      </c>
    </row>
    <row r="7963" spans="1:4" s="45" customFormat="1" ht="13.5" x14ac:dyDescent="0.15">
      <c r="A7963" s="45" t="s">
        <v>41</v>
      </c>
      <c r="D7963" s="45" t="s">
        <v>487</v>
      </c>
    </row>
    <row r="7964" spans="1:4" s="45" customFormat="1" ht="13.5" x14ac:dyDescent="0.15">
      <c r="A7964" s="45" t="s">
        <v>41</v>
      </c>
      <c r="D7964" s="45" t="s">
        <v>9368</v>
      </c>
    </row>
    <row r="7965" spans="1:4" s="45" customFormat="1" ht="13.5" x14ac:dyDescent="0.15">
      <c r="A7965" s="45" t="s">
        <v>41</v>
      </c>
      <c r="D7965" s="45" t="s">
        <v>1130</v>
      </c>
    </row>
    <row r="7966" spans="1:4" s="45" customFormat="1" ht="13.5" x14ac:dyDescent="0.15">
      <c r="A7966" s="45" t="s">
        <v>41</v>
      </c>
      <c r="D7966" s="45" t="s">
        <v>9369</v>
      </c>
    </row>
    <row r="7967" spans="1:4" s="45" customFormat="1" ht="13.5" x14ac:dyDescent="0.15">
      <c r="A7967" s="45" t="s">
        <v>41</v>
      </c>
      <c r="D7967" s="45" t="s">
        <v>9370</v>
      </c>
    </row>
    <row r="7968" spans="1:4" s="45" customFormat="1" ht="13.5" x14ac:dyDescent="0.15">
      <c r="A7968" s="45" t="s">
        <v>41</v>
      </c>
      <c r="D7968" s="45" t="s">
        <v>1131</v>
      </c>
    </row>
    <row r="7969" spans="1:4" s="45" customFormat="1" ht="13.5" x14ac:dyDescent="0.15">
      <c r="A7969" s="45" t="s">
        <v>41</v>
      </c>
      <c r="D7969" s="45" t="s">
        <v>9371</v>
      </c>
    </row>
    <row r="7970" spans="1:4" s="45" customFormat="1" ht="13.5" x14ac:dyDescent="0.15">
      <c r="A7970" s="45" t="s">
        <v>41</v>
      </c>
      <c r="D7970" s="45" t="s">
        <v>9372</v>
      </c>
    </row>
    <row r="7971" spans="1:4" s="45" customFormat="1" ht="13.5" x14ac:dyDescent="0.15">
      <c r="A7971" s="45" t="s">
        <v>41</v>
      </c>
      <c r="D7971" s="45" t="s">
        <v>666</v>
      </c>
    </row>
    <row r="7972" spans="1:4" s="45" customFormat="1" ht="13.5" x14ac:dyDescent="0.15">
      <c r="A7972" s="45" t="s">
        <v>41</v>
      </c>
      <c r="D7972" s="45" t="s">
        <v>1835</v>
      </c>
    </row>
    <row r="7973" spans="1:4" s="45" customFormat="1" ht="13.5" x14ac:dyDescent="0.15">
      <c r="A7973" s="45" t="s">
        <v>41</v>
      </c>
      <c r="D7973" s="45" t="s">
        <v>9373</v>
      </c>
    </row>
    <row r="7974" spans="1:4" s="45" customFormat="1" ht="13.5" x14ac:dyDescent="0.15">
      <c r="A7974" s="45" t="s">
        <v>41</v>
      </c>
      <c r="D7974" s="45" t="s">
        <v>2236</v>
      </c>
    </row>
    <row r="7975" spans="1:4" s="45" customFormat="1" ht="13.5" x14ac:dyDescent="0.15">
      <c r="A7975" s="45" t="s">
        <v>41</v>
      </c>
      <c r="D7975" s="45" t="s">
        <v>9374</v>
      </c>
    </row>
    <row r="7976" spans="1:4" s="45" customFormat="1" ht="13.5" x14ac:dyDescent="0.15">
      <c r="A7976" s="45" t="s">
        <v>41</v>
      </c>
      <c r="D7976" s="45" t="s">
        <v>9375</v>
      </c>
    </row>
    <row r="7977" spans="1:4" s="45" customFormat="1" ht="13.5" x14ac:dyDescent="0.15">
      <c r="A7977" s="45" t="s">
        <v>41</v>
      </c>
      <c r="D7977" s="45" t="s">
        <v>9376</v>
      </c>
    </row>
    <row r="7978" spans="1:4" s="45" customFormat="1" ht="13.5" x14ac:dyDescent="0.15">
      <c r="A7978" s="45" t="s">
        <v>41</v>
      </c>
      <c r="D7978" s="45" t="s">
        <v>2264</v>
      </c>
    </row>
    <row r="7979" spans="1:4" s="45" customFormat="1" ht="13.5" x14ac:dyDescent="0.15">
      <c r="A7979" s="45" t="s">
        <v>41</v>
      </c>
      <c r="D7979" s="45" t="s">
        <v>1259</v>
      </c>
    </row>
    <row r="7980" spans="1:4" s="45" customFormat="1" ht="13.5" x14ac:dyDescent="0.15">
      <c r="A7980" s="45" t="s">
        <v>41</v>
      </c>
      <c r="D7980" s="45" t="s">
        <v>1260</v>
      </c>
    </row>
    <row r="7981" spans="1:4" s="45" customFormat="1" ht="13.5" x14ac:dyDescent="0.15">
      <c r="A7981" s="45" t="s">
        <v>41</v>
      </c>
      <c r="D7981" s="45" t="s">
        <v>9377</v>
      </c>
    </row>
    <row r="7982" spans="1:4" s="45" customFormat="1" ht="13.5" x14ac:dyDescent="0.15">
      <c r="A7982" s="45" t="s">
        <v>41</v>
      </c>
      <c r="D7982" s="45" t="s">
        <v>1844</v>
      </c>
    </row>
    <row r="7983" spans="1:4" s="45" customFormat="1" ht="13.5" x14ac:dyDescent="0.15">
      <c r="A7983" s="45" t="s">
        <v>41</v>
      </c>
      <c r="D7983" s="45" t="s">
        <v>1268</v>
      </c>
    </row>
    <row r="7984" spans="1:4" s="45" customFormat="1" ht="13.5" x14ac:dyDescent="0.15">
      <c r="A7984" s="45" t="s">
        <v>41</v>
      </c>
      <c r="D7984" s="45" t="s">
        <v>1269</v>
      </c>
    </row>
    <row r="7985" spans="1:4" s="45" customFormat="1" ht="13.5" x14ac:dyDescent="0.15">
      <c r="A7985" s="45" t="s">
        <v>41</v>
      </c>
      <c r="D7985" s="45" t="s">
        <v>1267</v>
      </c>
    </row>
    <row r="7986" spans="1:4" s="45" customFormat="1" ht="13.5" x14ac:dyDescent="0.15">
      <c r="A7986" s="45" t="s">
        <v>41</v>
      </c>
      <c r="D7986" s="45" t="s">
        <v>9378</v>
      </c>
    </row>
    <row r="7987" spans="1:4" s="45" customFormat="1" ht="13.5" x14ac:dyDescent="0.15">
      <c r="A7987" s="45" t="s">
        <v>41</v>
      </c>
      <c r="D7987" s="45" t="s">
        <v>2199</v>
      </c>
    </row>
    <row r="7988" spans="1:4" s="45" customFormat="1" ht="13.5" x14ac:dyDescent="0.15">
      <c r="A7988" s="45" t="s">
        <v>41</v>
      </c>
      <c r="D7988" s="45" t="s">
        <v>9379</v>
      </c>
    </row>
    <row r="7989" spans="1:4" s="45" customFormat="1" ht="13.5" x14ac:dyDescent="0.15">
      <c r="A7989" s="45" t="s">
        <v>41</v>
      </c>
      <c r="D7989" s="45" t="s">
        <v>9380</v>
      </c>
    </row>
    <row r="7990" spans="1:4" s="45" customFormat="1" ht="13.5" x14ac:dyDescent="0.15">
      <c r="A7990" s="45" t="s">
        <v>41</v>
      </c>
      <c r="D7990" s="45" t="s">
        <v>9381</v>
      </c>
    </row>
    <row r="7991" spans="1:4" s="45" customFormat="1" ht="13.5" x14ac:dyDescent="0.15">
      <c r="A7991" s="45" t="s">
        <v>41</v>
      </c>
      <c r="D7991" s="45" t="s">
        <v>9382</v>
      </c>
    </row>
    <row r="7992" spans="1:4" s="45" customFormat="1" ht="13.5" x14ac:dyDescent="0.15">
      <c r="A7992" s="45" t="s">
        <v>41</v>
      </c>
      <c r="D7992" s="45" t="s">
        <v>9383</v>
      </c>
    </row>
    <row r="7993" spans="1:4" s="45" customFormat="1" ht="13.5" x14ac:dyDescent="0.15">
      <c r="A7993" s="45" t="s">
        <v>41</v>
      </c>
      <c r="D7993" s="45" t="s">
        <v>9384</v>
      </c>
    </row>
    <row r="7994" spans="1:4" s="45" customFormat="1" ht="13.5" x14ac:dyDescent="0.15">
      <c r="A7994" s="45" t="s">
        <v>41</v>
      </c>
      <c r="D7994" s="45" t="s">
        <v>9385</v>
      </c>
    </row>
    <row r="7995" spans="1:4" s="45" customFormat="1" ht="13.5" x14ac:dyDescent="0.15">
      <c r="A7995" s="45" t="s">
        <v>41</v>
      </c>
      <c r="D7995" s="45" t="s">
        <v>9386</v>
      </c>
    </row>
    <row r="7996" spans="1:4" s="45" customFormat="1" ht="13.5" x14ac:dyDescent="0.15">
      <c r="A7996" s="45" t="s">
        <v>41</v>
      </c>
      <c r="D7996" s="45" t="s">
        <v>9387</v>
      </c>
    </row>
    <row r="7997" spans="1:4" s="45" customFormat="1" ht="13.5" x14ac:dyDescent="0.15">
      <c r="A7997" s="45" t="s">
        <v>41</v>
      </c>
      <c r="D7997" s="45" t="s">
        <v>9388</v>
      </c>
    </row>
    <row r="7998" spans="1:4" s="45" customFormat="1" ht="13.5" x14ac:dyDescent="0.15">
      <c r="A7998" s="45" t="s">
        <v>41</v>
      </c>
      <c r="D7998" s="45" t="s">
        <v>9389</v>
      </c>
    </row>
    <row r="7999" spans="1:4" s="45" customFormat="1" ht="13.5" x14ac:dyDescent="0.15">
      <c r="A7999" s="45" t="s">
        <v>41</v>
      </c>
      <c r="D7999" s="45" t="s">
        <v>9390</v>
      </c>
    </row>
    <row r="8000" spans="1:4" s="45" customFormat="1" ht="13.5" x14ac:dyDescent="0.15">
      <c r="A8000" s="45" t="s">
        <v>41</v>
      </c>
      <c r="D8000" s="45" t="s">
        <v>9391</v>
      </c>
    </row>
    <row r="8001" spans="1:4" s="45" customFormat="1" ht="13.5" x14ac:dyDescent="0.15">
      <c r="A8001" s="45" t="s">
        <v>41</v>
      </c>
      <c r="D8001" s="45" t="s">
        <v>9392</v>
      </c>
    </row>
    <row r="8002" spans="1:4" s="45" customFormat="1" ht="13.5" x14ac:dyDescent="0.15">
      <c r="A8002" s="45" t="s">
        <v>41</v>
      </c>
      <c r="D8002" s="45" t="s">
        <v>2438</v>
      </c>
    </row>
    <row r="8003" spans="1:4" s="45" customFormat="1" ht="13.5" x14ac:dyDescent="0.15">
      <c r="A8003" s="45" t="s">
        <v>41</v>
      </c>
      <c r="D8003" s="45" t="s">
        <v>1291</v>
      </c>
    </row>
    <row r="8004" spans="1:4" s="45" customFormat="1" ht="13.5" x14ac:dyDescent="0.15">
      <c r="A8004" s="45" t="s">
        <v>41</v>
      </c>
      <c r="D8004" s="45" t="s">
        <v>2419</v>
      </c>
    </row>
    <row r="8005" spans="1:4" s="45" customFormat="1" ht="13.5" x14ac:dyDescent="0.15">
      <c r="A8005" s="45" t="s">
        <v>41</v>
      </c>
      <c r="D8005" s="45" t="s">
        <v>381</v>
      </c>
    </row>
    <row r="8006" spans="1:4" s="45" customFormat="1" ht="13.5" x14ac:dyDescent="0.15">
      <c r="A8006" s="45" t="s">
        <v>41</v>
      </c>
      <c r="D8006" s="45" t="s">
        <v>9393</v>
      </c>
    </row>
    <row r="8007" spans="1:4" s="45" customFormat="1" ht="13.5" x14ac:dyDescent="0.15">
      <c r="A8007" s="45" t="s">
        <v>41</v>
      </c>
      <c r="D8007" s="45" t="s">
        <v>9394</v>
      </c>
    </row>
    <row r="8008" spans="1:4" s="45" customFormat="1" ht="13.5" x14ac:dyDescent="0.15">
      <c r="A8008" s="45" t="s">
        <v>41</v>
      </c>
      <c r="D8008" s="45" t="s">
        <v>9395</v>
      </c>
    </row>
    <row r="8009" spans="1:4" s="45" customFormat="1" ht="13.5" x14ac:dyDescent="0.15">
      <c r="A8009" s="45" t="s">
        <v>41</v>
      </c>
      <c r="D8009" s="45" t="s">
        <v>9396</v>
      </c>
    </row>
    <row r="8010" spans="1:4" s="45" customFormat="1" ht="13.5" x14ac:dyDescent="0.15">
      <c r="A8010" s="45" t="s">
        <v>41</v>
      </c>
      <c r="D8010" s="45" t="s">
        <v>2324</v>
      </c>
    </row>
    <row r="8011" spans="1:4" s="45" customFormat="1" ht="13.5" x14ac:dyDescent="0.15">
      <c r="A8011" s="45" t="s">
        <v>41</v>
      </c>
      <c r="D8011" s="45" t="s">
        <v>9397</v>
      </c>
    </row>
    <row r="8012" spans="1:4" s="45" customFormat="1" ht="13.5" x14ac:dyDescent="0.15">
      <c r="A8012" s="45" t="s">
        <v>41</v>
      </c>
      <c r="D8012" s="45" t="s">
        <v>9398</v>
      </c>
    </row>
    <row r="8013" spans="1:4" s="45" customFormat="1" ht="13.5" x14ac:dyDescent="0.15">
      <c r="A8013" s="45" t="s">
        <v>41</v>
      </c>
      <c r="D8013" s="45" t="s">
        <v>1235</v>
      </c>
    </row>
    <row r="8014" spans="1:4" s="45" customFormat="1" ht="13.5" x14ac:dyDescent="0.15">
      <c r="A8014" s="45" t="s">
        <v>41</v>
      </c>
      <c r="D8014" s="45" t="s">
        <v>1840</v>
      </c>
    </row>
    <row r="8015" spans="1:4" s="45" customFormat="1" ht="13.5" x14ac:dyDescent="0.15">
      <c r="A8015" s="45" t="s">
        <v>41</v>
      </c>
      <c r="D8015" s="45" t="s">
        <v>9399</v>
      </c>
    </row>
    <row r="8016" spans="1:4" s="45" customFormat="1" ht="13.5" x14ac:dyDescent="0.15">
      <c r="A8016" s="45" t="s">
        <v>41</v>
      </c>
      <c r="D8016" s="45" t="s">
        <v>2248</v>
      </c>
    </row>
    <row r="8017" spans="1:4" s="45" customFormat="1" ht="13.5" x14ac:dyDescent="0.15">
      <c r="A8017" s="45" t="s">
        <v>41</v>
      </c>
      <c r="D8017" s="45" t="s">
        <v>2247</v>
      </c>
    </row>
    <row r="8018" spans="1:4" s="45" customFormat="1" ht="13.5" x14ac:dyDescent="0.15">
      <c r="A8018" s="45" t="s">
        <v>41</v>
      </c>
      <c r="D8018" s="45" t="s">
        <v>9400</v>
      </c>
    </row>
    <row r="8019" spans="1:4" s="45" customFormat="1" ht="13.5" x14ac:dyDescent="0.15">
      <c r="A8019" s="45" t="s">
        <v>41</v>
      </c>
      <c r="D8019" s="45" t="s">
        <v>9401</v>
      </c>
    </row>
    <row r="8020" spans="1:4" s="45" customFormat="1" ht="13.5" x14ac:dyDescent="0.15">
      <c r="A8020" s="45" t="s">
        <v>41</v>
      </c>
      <c r="D8020" s="45" t="s">
        <v>9402</v>
      </c>
    </row>
    <row r="8021" spans="1:4" s="45" customFormat="1" ht="13.5" x14ac:dyDescent="0.15">
      <c r="A8021" s="45" t="s">
        <v>41</v>
      </c>
      <c r="D8021" s="45" t="s">
        <v>9403</v>
      </c>
    </row>
    <row r="8022" spans="1:4" s="45" customFormat="1" ht="13.5" x14ac:dyDescent="0.15">
      <c r="A8022" s="45" t="s">
        <v>41</v>
      </c>
      <c r="D8022" s="45" t="s">
        <v>9404</v>
      </c>
    </row>
    <row r="8023" spans="1:4" s="45" customFormat="1" ht="13.5" x14ac:dyDescent="0.15">
      <c r="A8023" s="45" t="s">
        <v>41</v>
      </c>
      <c r="D8023" s="45" t="s">
        <v>411</v>
      </c>
    </row>
    <row r="8024" spans="1:4" s="45" customFormat="1" ht="13.5" x14ac:dyDescent="0.15">
      <c r="A8024" s="45" t="s">
        <v>41</v>
      </c>
      <c r="D8024" s="45" t="s">
        <v>1145</v>
      </c>
    </row>
    <row r="8025" spans="1:4" s="45" customFormat="1" ht="13.5" x14ac:dyDescent="0.15">
      <c r="A8025" s="45" t="s">
        <v>41</v>
      </c>
      <c r="D8025" s="45" t="s">
        <v>1569</v>
      </c>
    </row>
    <row r="8026" spans="1:4" s="45" customFormat="1" ht="13.5" x14ac:dyDescent="0.15">
      <c r="A8026" s="45" t="s">
        <v>41</v>
      </c>
      <c r="D8026" s="45" t="s">
        <v>1570</v>
      </c>
    </row>
    <row r="8027" spans="1:4" s="45" customFormat="1" ht="13.5" x14ac:dyDescent="0.15">
      <c r="A8027" s="45" t="s">
        <v>41</v>
      </c>
      <c r="D8027" s="45" t="s">
        <v>2159</v>
      </c>
    </row>
    <row r="8028" spans="1:4" s="45" customFormat="1" ht="13.5" x14ac:dyDescent="0.15">
      <c r="A8028" s="45" t="s">
        <v>41</v>
      </c>
      <c r="D8028" s="45" t="s">
        <v>9405</v>
      </c>
    </row>
    <row r="8029" spans="1:4" s="45" customFormat="1" ht="13.5" x14ac:dyDescent="0.15">
      <c r="A8029" s="45" t="s">
        <v>41</v>
      </c>
      <c r="D8029" s="45" t="s">
        <v>2142</v>
      </c>
    </row>
    <row r="8030" spans="1:4" s="45" customFormat="1" ht="13.5" x14ac:dyDescent="0.15">
      <c r="A8030" s="45" t="s">
        <v>41</v>
      </c>
      <c r="D8030" s="45" t="s">
        <v>2115</v>
      </c>
    </row>
    <row r="8031" spans="1:4" s="45" customFormat="1" ht="13.5" x14ac:dyDescent="0.15">
      <c r="A8031" s="45" t="s">
        <v>41</v>
      </c>
      <c r="D8031" s="45" t="s">
        <v>1088</v>
      </c>
    </row>
    <row r="8032" spans="1:4" s="45" customFormat="1" ht="13.5" x14ac:dyDescent="0.15">
      <c r="A8032" s="45" t="s">
        <v>41</v>
      </c>
      <c r="D8032" s="45" t="s">
        <v>1089</v>
      </c>
    </row>
    <row r="8033" spans="1:4" s="45" customFormat="1" ht="13.5" x14ac:dyDescent="0.15">
      <c r="A8033" s="45" t="s">
        <v>41</v>
      </c>
      <c r="D8033" s="45" t="s">
        <v>1087</v>
      </c>
    </row>
    <row r="8034" spans="1:4" s="45" customFormat="1" ht="13.5" x14ac:dyDescent="0.15">
      <c r="A8034" s="45" t="s">
        <v>41</v>
      </c>
      <c r="D8034" s="45" t="s">
        <v>1528</v>
      </c>
    </row>
    <row r="8035" spans="1:4" s="45" customFormat="1" ht="13.5" x14ac:dyDescent="0.15">
      <c r="A8035" s="45" t="s">
        <v>41</v>
      </c>
      <c r="D8035" s="45" t="s">
        <v>9406</v>
      </c>
    </row>
    <row r="8036" spans="1:4" s="45" customFormat="1" ht="13.5" x14ac:dyDescent="0.15">
      <c r="A8036" s="45" t="s">
        <v>41</v>
      </c>
      <c r="D8036" s="45" t="s">
        <v>9407</v>
      </c>
    </row>
    <row r="8037" spans="1:4" s="45" customFormat="1" ht="13.5" x14ac:dyDescent="0.15">
      <c r="A8037" s="45" t="s">
        <v>41</v>
      </c>
      <c r="D8037" s="45" t="s">
        <v>9408</v>
      </c>
    </row>
    <row r="8038" spans="1:4" s="45" customFormat="1" ht="13.5" x14ac:dyDescent="0.15">
      <c r="A8038" s="45" t="s">
        <v>41</v>
      </c>
      <c r="D8038" s="45" t="s">
        <v>9409</v>
      </c>
    </row>
    <row r="8039" spans="1:4" s="45" customFormat="1" ht="13.5" x14ac:dyDescent="0.15">
      <c r="A8039" s="45" t="s">
        <v>41</v>
      </c>
      <c r="D8039" s="45" t="s">
        <v>9410</v>
      </c>
    </row>
    <row r="8040" spans="1:4" s="45" customFormat="1" ht="13.5" x14ac:dyDescent="0.15">
      <c r="A8040" s="45" t="s">
        <v>41</v>
      </c>
      <c r="D8040" s="45" t="s">
        <v>480</v>
      </c>
    </row>
    <row r="8041" spans="1:4" s="45" customFormat="1" ht="13.5" x14ac:dyDescent="0.15">
      <c r="A8041" s="45" t="s">
        <v>41</v>
      </c>
      <c r="D8041" s="45" t="s">
        <v>479</v>
      </c>
    </row>
    <row r="8042" spans="1:4" s="45" customFormat="1" ht="13.5" x14ac:dyDescent="0.15">
      <c r="A8042" s="45" t="s">
        <v>41</v>
      </c>
      <c r="D8042" s="45" t="s">
        <v>9411</v>
      </c>
    </row>
    <row r="8043" spans="1:4" s="45" customFormat="1" ht="13.5" x14ac:dyDescent="0.15">
      <c r="A8043" s="45" t="s">
        <v>41</v>
      </c>
      <c r="D8043" s="45" t="s">
        <v>9412</v>
      </c>
    </row>
    <row r="8044" spans="1:4" s="45" customFormat="1" ht="13.5" x14ac:dyDescent="0.15">
      <c r="A8044" s="45" t="s">
        <v>41</v>
      </c>
      <c r="D8044" s="45" t="s">
        <v>1074</v>
      </c>
    </row>
    <row r="8045" spans="1:4" s="45" customFormat="1" ht="13.5" x14ac:dyDescent="0.15">
      <c r="A8045" s="45" t="s">
        <v>41</v>
      </c>
      <c r="D8045" s="45" t="s">
        <v>9413</v>
      </c>
    </row>
    <row r="8046" spans="1:4" s="45" customFormat="1" ht="13.5" x14ac:dyDescent="0.15">
      <c r="A8046" s="45" t="s">
        <v>41</v>
      </c>
      <c r="D8046" s="45" t="s">
        <v>9414</v>
      </c>
    </row>
    <row r="8047" spans="1:4" s="45" customFormat="1" ht="13.5" x14ac:dyDescent="0.15">
      <c r="A8047" s="45" t="s">
        <v>41</v>
      </c>
      <c r="D8047" s="45" t="s">
        <v>2481</v>
      </c>
    </row>
    <row r="8048" spans="1:4" s="45" customFormat="1" ht="13.5" x14ac:dyDescent="0.15">
      <c r="A8048" s="45" t="s">
        <v>41</v>
      </c>
      <c r="D8048" s="45" t="s">
        <v>9415</v>
      </c>
    </row>
    <row r="8049" spans="1:4" s="45" customFormat="1" ht="13.5" x14ac:dyDescent="0.15">
      <c r="A8049" s="45" t="s">
        <v>41</v>
      </c>
      <c r="D8049" s="45" t="s">
        <v>9416</v>
      </c>
    </row>
    <row r="8050" spans="1:4" s="45" customFormat="1" ht="13.5" x14ac:dyDescent="0.15">
      <c r="A8050" s="45" t="s">
        <v>41</v>
      </c>
      <c r="D8050" s="45" t="s">
        <v>9417</v>
      </c>
    </row>
    <row r="8051" spans="1:4" s="45" customFormat="1" ht="13.5" x14ac:dyDescent="0.15">
      <c r="A8051" s="45" t="s">
        <v>41</v>
      </c>
      <c r="D8051" s="45" t="s">
        <v>996</v>
      </c>
    </row>
    <row r="8052" spans="1:4" s="45" customFormat="1" ht="13.5" x14ac:dyDescent="0.15">
      <c r="A8052" s="45" t="s">
        <v>41</v>
      </c>
      <c r="D8052" s="45" t="s">
        <v>997</v>
      </c>
    </row>
    <row r="8053" spans="1:4" s="45" customFormat="1" ht="13.5" x14ac:dyDescent="0.15">
      <c r="A8053" s="45" t="s">
        <v>41</v>
      </c>
      <c r="D8053" s="45" t="s">
        <v>995</v>
      </c>
    </row>
    <row r="8054" spans="1:4" s="45" customFormat="1" ht="13.5" x14ac:dyDescent="0.15">
      <c r="A8054" s="45" t="s">
        <v>41</v>
      </c>
      <c r="D8054" s="45" t="s">
        <v>9418</v>
      </c>
    </row>
    <row r="8055" spans="1:4" s="45" customFormat="1" ht="13.5" x14ac:dyDescent="0.15">
      <c r="A8055" s="45" t="s">
        <v>41</v>
      </c>
      <c r="D8055" s="45" t="s">
        <v>994</v>
      </c>
    </row>
    <row r="8056" spans="1:4" s="45" customFormat="1" ht="13.5" x14ac:dyDescent="0.15">
      <c r="A8056" s="45" t="s">
        <v>41</v>
      </c>
      <c r="D8056" s="45" t="s">
        <v>9419</v>
      </c>
    </row>
    <row r="8057" spans="1:4" s="45" customFormat="1" ht="13.5" x14ac:dyDescent="0.15">
      <c r="A8057" s="45" t="s">
        <v>41</v>
      </c>
      <c r="D8057" s="45" t="s">
        <v>1000</v>
      </c>
    </row>
    <row r="8058" spans="1:4" s="45" customFormat="1" ht="13.5" x14ac:dyDescent="0.15">
      <c r="A8058" s="45" t="s">
        <v>41</v>
      </c>
      <c r="D8058" s="45" t="s">
        <v>9420</v>
      </c>
    </row>
    <row r="8059" spans="1:4" s="45" customFormat="1" ht="13.5" x14ac:dyDescent="0.15">
      <c r="A8059" s="45" t="s">
        <v>41</v>
      </c>
      <c r="D8059" s="45" t="s">
        <v>9421</v>
      </c>
    </row>
    <row r="8060" spans="1:4" s="45" customFormat="1" ht="13.5" x14ac:dyDescent="0.15">
      <c r="A8060" s="45" t="s">
        <v>41</v>
      </c>
      <c r="D8060" s="45" t="s">
        <v>9422</v>
      </c>
    </row>
    <row r="8061" spans="1:4" s="45" customFormat="1" ht="13.5" x14ac:dyDescent="0.15">
      <c r="A8061" s="45" t="s">
        <v>41</v>
      </c>
      <c r="D8061" s="45" t="s">
        <v>9423</v>
      </c>
    </row>
    <row r="8062" spans="1:4" s="45" customFormat="1" ht="13.5" x14ac:dyDescent="0.15">
      <c r="A8062" s="45" t="s">
        <v>41</v>
      </c>
      <c r="D8062" s="45" t="s">
        <v>9424</v>
      </c>
    </row>
    <row r="8063" spans="1:4" s="45" customFormat="1" ht="13.5" x14ac:dyDescent="0.15">
      <c r="A8063" s="45" t="s">
        <v>41</v>
      </c>
      <c r="D8063" s="45" t="s">
        <v>9425</v>
      </c>
    </row>
    <row r="8064" spans="1:4" s="45" customFormat="1" ht="13.5" x14ac:dyDescent="0.15">
      <c r="A8064" s="45" t="s">
        <v>41</v>
      </c>
      <c r="D8064" s="45" t="s">
        <v>998</v>
      </c>
    </row>
    <row r="8065" spans="1:4" s="45" customFormat="1" ht="13.5" x14ac:dyDescent="0.15">
      <c r="A8065" s="45" t="s">
        <v>41</v>
      </c>
      <c r="D8065" s="45" t="s">
        <v>9426</v>
      </c>
    </row>
    <row r="8066" spans="1:4" s="45" customFormat="1" ht="13.5" x14ac:dyDescent="0.15">
      <c r="A8066" s="45" t="s">
        <v>41</v>
      </c>
      <c r="D8066" s="45" t="s">
        <v>999</v>
      </c>
    </row>
    <row r="8067" spans="1:4" s="45" customFormat="1" ht="13.5" x14ac:dyDescent="0.15">
      <c r="A8067" s="45" t="s">
        <v>41</v>
      </c>
      <c r="D8067" s="45" t="s">
        <v>9427</v>
      </c>
    </row>
    <row r="8068" spans="1:4" s="45" customFormat="1" ht="13.5" x14ac:dyDescent="0.15">
      <c r="A8068" s="45" t="s">
        <v>41</v>
      </c>
      <c r="D8068" s="45" t="s">
        <v>9428</v>
      </c>
    </row>
    <row r="8069" spans="1:4" s="45" customFormat="1" ht="13.5" x14ac:dyDescent="0.15">
      <c r="A8069" s="45" t="s">
        <v>41</v>
      </c>
      <c r="D8069" s="45" t="s">
        <v>9429</v>
      </c>
    </row>
    <row r="8070" spans="1:4" s="45" customFormat="1" ht="13.5" x14ac:dyDescent="0.15">
      <c r="A8070" s="45" t="s">
        <v>41</v>
      </c>
      <c r="D8070" s="45" t="s">
        <v>9430</v>
      </c>
    </row>
    <row r="8071" spans="1:4" s="45" customFormat="1" ht="13.5" x14ac:dyDescent="0.15">
      <c r="A8071" s="45" t="s">
        <v>41</v>
      </c>
      <c r="D8071" s="45" t="s">
        <v>9431</v>
      </c>
    </row>
    <row r="8072" spans="1:4" s="45" customFormat="1" ht="13.5" x14ac:dyDescent="0.15">
      <c r="A8072" s="45" t="s">
        <v>41</v>
      </c>
      <c r="D8072" s="45" t="s">
        <v>9432</v>
      </c>
    </row>
    <row r="8073" spans="1:4" s="45" customFormat="1" ht="13.5" x14ac:dyDescent="0.15">
      <c r="A8073" s="45" t="s">
        <v>41</v>
      </c>
      <c r="D8073" s="45" t="s">
        <v>9433</v>
      </c>
    </row>
    <row r="8074" spans="1:4" s="45" customFormat="1" ht="13.5" x14ac:dyDescent="0.15">
      <c r="A8074" s="45" t="s">
        <v>41</v>
      </c>
      <c r="D8074" s="45" t="s">
        <v>9434</v>
      </c>
    </row>
    <row r="8075" spans="1:4" s="45" customFormat="1" ht="13.5" x14ac:dyDescent="0.15">
      <c r="A8075" s="45" t="s">
        <v>41</v>
      </c>
      <c r="D8075" s="45" t="s">
        <v>9435</v>
      </c>
    </row>
    <row r="8076" spans="1:4" s="45" customFormat="1" ht="13.5" x14ac:dyDescent="0.15">
      <c r="A8076" s="45" t="s">
        <v>41</v>
      </c>
      <c r="D8076" s="45" t="s">
        <v>9436</v>
      </c>
    </row>
    <row r="8077" spans="1:4" s="45" customFormat="1" ht="13.5" x14ac:dyDescent="0.15">
      <c r="A8077" s="45" t="s">
        <v>41</v>
      </c>
      <c r="D8077" s="45" t="s">
        <v>993</v>
      </c>
    </row>
    <row r="8078" spans="1:4" s="45" customFormat="1" ht="13.5" x14ac:dyDescent="0.15">
      <c r="A8078" s="45" t="s">
        <v>41</v>
      </c>
      <c r="D8078" s="45" t="s">
        <v>9437</v>
      </c>
    </row>
    <row r="8079" spans="1:4" s="45" customFormat="1" ht="13.5" x14ac:dyDescent="0.15">
      <c r="A8079" s="45" t="s">
        <v>41</v>
      </c>
      <c r="D8079" s="45" t="s">
        <v>9438</v>
      </c>
    </row>
    <row r="8080" spans="1:4" s="45" customFormat="1" ht="13.5" x14ac:dyDescent="0.15">
      <c r="A8080" s="45" t="s">
        <v>41</v>
      </c>
      <c r="D8080" s="45" t="s">
        <v>9439</v>
      </c>
    </row>
    <row r="8081" spans="1:4" s="45" customFormat="1" ht="13.5" x14ac:dyDescent="0.15">
      <c r="A8081" s="45" t="s">
        <v>41</v>
      </c>
      <c r="D8081" s="45" t="s">
        <v>992</v>
      </c>
    </row>
    <row r="8082" spans="1:4" s="45" customFormat="1" ht="13.5" x14ac:dyDescent="0.15">
      <c r="A8082" s="45" t="s">
        <v>41</v>
      </c>
      <c r="D8082" s="45" t="s">
        <v>9440</v>
      </c>
    </row>
    <row r="8083" spans="1:4" s="45" customFormat="1" ht="13.5" x14ac:dyDescent="0.15">
      <c r="A8083" s="45" t="s">
        <v>41</v>
      </c>
      <c r="D8083" s="45" t="s">
        <v>9441</v>
      </c>
    </row>
    <row r="8084" spans="1:4" s="45" customFormat="1" ht="13.5" x14ac:dyDescent="0.15">
      <c r="A8084" s="45" t="s">
        <v>41</v>
      </c>
      <c r="D8084" s="45" t="s">
        <v>9442</v>
      </c>
    </row>
    <row r="8085" spans="1:4" s="45" customFormat="1" ht="13.5" x14ac:dyDescent="0.15">
      <c r="A8085" s="45" t="s">
        <v>41</v>
      </c>
      <c r="D8085" s="45" t="s">
        <v>9443</v>
      </c>
    </row>
    <row r="8086" spans="1:4" s="45" customFormat="1" ht="13.5" x14ac:dyDescent="0.15">
      <c r="A8086" s="45" t="s">
        <v>41</v>
      </c>
      <c r="D8086" s="45" t="s">
        <v>9444</v>
      </c>
    </row>
    <row r="8087" spans="1:4" s="45" customFormat="1" ht="13.5" x14ac:dyDescent="0.15">
      <c r="A8087" s="45" t="s">
        <v>41</v>
      </c>
      <c r="D8087" s="45" t="s">
        <v>9445</v>
      </c>
    </row>
    <row r="8088" spans="1:4" s="45" customFormat="1" ht="13.5" x14ac:dyDescent="0.15">
      <c r="A8088" s="45" t="s">
        <v>41</v>
      </c>
      <c r="D8088" s="45" t="s">
        <v>9446</v>
      </c>
    </row>
    <row r="8089" spans="1:4" s="45" customFormat="1" ht="13.5" x14ac:dyDescent="0.15">
      <c r="A8089" s="45" t="s">
        <v>41</v>
      </c>
      <c r="D8089" s="45" t="s">
        <v>9447</v>
      </c>
    </row>
    <row r="8090" spans="1:4" s="45" customFormat="1" ht="13.5" x14ac:dyDescent="0.15">
      <c r="A8090" s="45" t="s">
        <v>41</v>
      </c>
      <c r="D8090" s="45" t="s">
        <v>1790</v>
      </c>
    </row>
    <row r="8091" spans="1:4" s="45" customFormat="1" ht="13.5" x14ac:dyDescent="0.15">
      <c r="A8091" s="45" t="s">
        <v>41</v>
      </c>
      <c r="D8091" s="45" t="s">
        <v>1001</v>
      </c>
    </row>
    <row r="8092" spans="1:4" s="45" customFormat="1" ht="13.5" x14ac:dyDescent="0.15">
      <c r="A8092" s="45" t="s">
        <v>41</v>
      </c>
      <c r="D8092" s="45" t="s">
        <v>1004</v>
      </c>
    </row>
    <row r="8093" spans="1:4" s="45" customFormat="1" ht="13.5" x14ac:dyDescent="0.15">
      <c r="A8093" s="45" t="s">
        <v>41</v>
      </c>
      <c r="D8093" s="45" t="s">
        <v>9448</v>
      </c>
    </row>
    <row r="8094" spans="1:4" s="45" customFormat="1" ht="13.5" x14ac:dyDescent="0.15">
      <c r="A8094" s="45" t="s">
        <v>41</v>
      </c>
      <c r="D8094" s="45" t="s">
        <v>9449</v>
      </c>
    </row>
    <row r="8095" spans="1:4" s="45" customFormat="1" ht="13.5" x14ac:dyDescent="0.15">
      <c r="A8095" s="45" t="s">
        <v>41</v>
      </c>
      <c r="D8095" s="45" t="s">
        <v>1010</v>
      </c>
    </row>
    <row r="8096" spans="1:4" s="45" customFormat="1" ht="13.5" x14ac:dyDescent="0.15">
      <c r="A8096" s="45" t="s">
        <v>41</v>
      </c>
      <c r="D8096" s="45" t="s">
        <v>9450</v>
      </c>
    </row>
    <row r="8097" spans="1:4" s="45" customFormat="1" ht="13.5" x14ac:dyDescent="0.15">
      <c r="A8097" s="45" t="s">
        <v>41</v>
      </c>
      <c r="D8097" s="45" t="s">
        <v>1003</v>
      </c>
    </row>
    <row r="8098" spans="1:4" s="45" customFormat="1" ht="13.5" x14ac:dyDescent="0.15">
      <c r="A8098" s="45" t="s">
        <v>41</v>
      </c>
      <c r="D8098" s="45" t="s">
        <v>1007</v>
      </c>
    </row>
    <row r="8099" spans="1:4" s="45" customFormat="1" ht="13.5" x14ac:dyDescent="0.15">
      <c r="A8099" s="45" t="s">
        <v>41</v>
      </c>
      <c r="D8099" s="45" t="s">
        <v>9451</v>
      </c>
    </row>
    <row r="8100" spans="1:4" s="45" customFormat="1" ht="13.5" x14ac:dyDescent="0.15">
      <c r="A8100" s="45" t="s">
        <v>41</v>
      </c>
      <c r="D8100" s="45" t="s">
        <v>1008</v>
      </c>
    </row>
    <row r="8101" spans="1:4" s="45" customFormat="1" ht="13.5" x14ac:dyDescent="0.15">
      <c r="A8101" s="45" t="s">
        <v>41</v>
      </c>
      <c r="D8101" s="45" t="s">
        <v>1002</v>
      </c>
    </row>
    <row r="8102" spans="1:4" s="45" customFormat="1" ht="13.5" x14ac:dyDescent="0.15">
      <c r="A8102" s="45" t="s">
        <v>41</v>
      </c>
      <c r="D8102" s="45" t="s">
        <v>1009</v>
      </c>
    </row>
    <row r="8103" spans="1:4" s="45" customFormat="1" ht="13.5" x14ac:dyDescent="0.15">
      <c r="A8103" s="45" t="s">
        <v>41</v>
      </c>
      <c r="D8103" s="45" t="s">
        <v>9452</v>
      </c>
    </row>
    <row r="8104" spans="1:4" s="45" customFormat="1" ht="13.5" x14ac:dyDescent="0.15">
      <c r="A8104" s="45" t="s">
        <v>41</v>
      </c>
      <c r="D8104" s="45" t="s">
        <v>9453</v>
      </c>
    </row>
    <row r="8105" spans="1:4" s="45" customFormat="1" ht="13.5" x14ac:dyDescent="0.15">
      <c r="A8105" s="45" t="s">
        <v>41</v>
      </c>
      <c r="D8105" s="45" t="s">
        <v>9454</v>
      </c>
    </row>
    <row r="8106" spans="1:4" s="45" customFormat="1" ht="13.5" x14ac:dyDescent="0.15">
      <c r="A8106" s="45" t="s">
        <v>41</v>
      </c>
      <c r="D8106" s="45" t="s">
        <v>1006</v>
      </c>
    </row>
    <row r="8107" spans="1:4" s="45" customFormat="1" ht="13.5" x14ac:dyDescent="0.15">
      <c r="A8107" s="45" t="s">
        <v>41</v>
      </c>
      <c r="D8107" s="45" t="s">
        <v>1005</v>
      </c>
    </row>
    <row r="8108" spans="1:4" s="45" customFormat="1" ht="13.5" x14ac:dyDescent="0.15">
      <c r="A8108" s="45" t="s">
        <v>41</v>
      </c>
      <c r="D8108" s="45" t="s">
        <v>923</v>
      </c>
    </row>
    <row r="8109" spans="1:4" s="45" customFormat="1" ht="13.5" x14ac:dyDescent="0.15">
      <c r="A8109" s="45" t="s">
        <v>41</v>
      </c>
      <c r="D8109" s="45" t="s">
        <v>2157</v>
      </c>
    </row>
    <row r="8110" spans="1:4" s="45" customFormat="1" ht="13.5" x14ac:dyDescent="0.15">
      <c r="A8110" s="45" t="s">
        <v>41</v>
      </c>
      <c r="D8110" s="45" t="s">
        <v>1108</v>
      </c>
    </row>
    <row r="8111" spans="1:4" s="45" customFormat="1" ht="13.5" x14ac:dyDescent="0.15">
      <c r="A8111" s="45" t="s">
        <v>41</v>
      </c>
      <c r="D8111" s="45" t="s">
        <v>9455</v>
      </c>
    </row>
    <row r="8112" spans="1:4" s="45" customFormat="1" ht="13.5" x14ac:dyDescent="0.15">
      <c r="A8112" s="45" t="s">
        <v>41</v>
      </c>
      <c r="D8112" s="45" t="s">
        <v>9456</v>
      </c>
    </row>
    <row r="8113" spans="1:4" s="45" customFormat="1" ht="13.5" x14ac:dyDescent="0.15">
      <c r="A8113" s="45" t="s">
        <v>41</v>
      </c>
      <c r="D8113" s="45" t="s">
        <v>9457</v>
      </c>
    </row>
    <row r="8114" spans="1:4" s="45" customFormat="1" ht="13.5" x14ac:dyDescent="0.15">
      <c r="A8114" s="45" t="s">
        <v>41</v>
      </c>
      <c r="D8114" s="45" t="s">
        <v>9458</v>
      </c>
    </row>
    <row r="8115" spans="1:4" s="45" customFormat="1" ht="13.5" x14ac:dyDescent="0.15">
      <c r="A8115" s="45" t="s">
        <v>41</v>
      </c>
      <c r="D8115" s="45" t="s">
        <v>9459</v>
      </c>
    </row>
    <row r="8116" spans="1:4" s="45" customFormat="1" ht="13.5" x14ac:dyDescent="0.15">
      <c r="A8116" s="45" t="s">
        <v>41</v>
      </c>
      <c r="D8116" s="45" t="s">
        <v>9460</v>
      </c>
    </row>
    <row r="8117" spans="1:4" s="45" customFormat="1" ht="13.5" x14ac:dyDescent="0.15">
      <c r="A8117" s="45" t="s">
        <v>41</v>
      </c>
      <c r="D8117" s="45" t="s">
        <v>9461</v>
      </c>
    </row>
    <row r="8118" spans="1:4" s="45" customFormat="1" ht="13.5" x14ac:dyDescent="0.15">
      <c r="A8118" s="45" t="s">
        <v>41</v>
      </c>
      <c r="D8118" s="45" t="s">
        <v>9462</v>
      </c>
    </row>
    <row r="8119" spans="1:4" s="45" customFormat="1" ht="13.5" x14ac:dyDescent="0.15">
      <c r="A8119" s="45" t="s">
        <v>41</v>
      </c>
      <c r="D8119" s="45" t="s">
        <v>9463</v>
      </c>
    </row>
    <row r="8120" spans="1:4" s="45" customFormat="1" ht="13.5" x14ac:dyDescent="0.15">
      <c r="A8120" s="45" t="s">
        <v>41</v>
      </c>
      <c r="D8120" s="45" t="s">
        <v>9464</v>
      </c>
    </row>
    <row r="8121" spans="1:4" s="45" customFormat="1" ht="13.5" x14ac:dyDescent="0.15">
      <c r="A8121" s="45" t="s">
        <v>41</v>
      </c>
      <c r="D8121" s="45" t="s">
        <v>9465</v>
      </c>
    </row>
    <row r="8122" spans="1:4" s="45" customFormat="1" ht="13.5" x14ac:dyDescent="0.15">
      <c r="A8122" s="45" t="s">
        <v>41</v>
      </c>
      <c r="D8122" s="45" t="s">
        <v>9466</v>
      </c>
    </row>
    <row r="8123" spans="1:4" s="45" customFormat="1" ht="13.5" x14ac:dyDescent="0.15">
      <c r="A8123" s="45" t="s">
        <v>41</v>
      </c>
      <c r="D8123" s="45" t="s">
        <v>9467</v>
      </c>
    </row>
    <row r="8124" spans="1:4" s="45" customFormat="1" ht="13.5" x14ac:dyDescent="0.15">
      <c r="A8124" s="45" t="s">
        <v>41</v>
      </c>
      <c r="D8124" s="45" t="s">
        <v>9468</v>
      </c>
    </row>
    <row r="8125" spans="1:4" s="45" customFormat="1" ht="13.5" x14ac:dyDescent="0.15">
      <c r="A8125" s="45" t="s">
        <v>41</v>
      </c>
      <c r="D8125" s="45" t="s">
        <v>9469</v>
      </c>
    </row>
    <row r="8126" spans="1:4" s="45" customFormat="1" ht="13.5" x14ac:dyDescent="0.15">
      <c r="A8126" s="45" t="s">
        <v>41</v>
      </c>
      <c r="D8126" s="45" t="s">
        <v>9470</v>
      </c>
    </row>
    <row r="8127" spans="1:4" s="45" customFormat="1" ht="13.5" x14ac:dyDescent="0.15">
      <c r="A8127" s="45" t="s">
        <v>41</v>
      </c>
      <c r="D8127" s="45" t="s">
        <v>9471</v>
      </c>
    </row>
    <row r="8128" spans="1:4" s="45" customFormat="1" ht="13.5" x14ac:dyDescent="0.15">
      <c r="A8128" s="45" t="s">
        <v>41</v>
      </c>
      <c r="D8128" s="45" t="s">
        <v>9472</v>
      </c>
    </row>
    <row r="8129" spans="1:4" s="45" customFormat="1" ht="13.5" x14ac:dyDescent="0.15">
      <c r="A8129" s="45" t="s">
        <v>41</v>
      </c>
      <c r="D8129" s="45" t="s">
        <v>2185</v>
      </c>
    </row>
    <row r="8130" spans="1:4" s="45" customFormat="1" ht="13.5" x14ac:dyDescent="0.15">
      <c r="A8130" s="45" t="s">
        <v>41</v>
      </c>
      <c r="D8130" s="45" t="s">
        <v>9473</v>
      </c>
    </row>
    <row r="8131" spans="1:4" s="45" customFormat="1" ht="13.5" x14ac:dyDescent="0.15">
      <c r="A8131" s="45" t="s">
        <v>41</v>
      </c>
      <c r="D8131" s="45" t="s">
        <v>9474</v>
      </c>
    </row>
    <row r="8132" spans="1:4" s="45" customFormat="1" ht="13.5" x14ac:dyDescent="0.15">
      <c r="A8132" s="45" t="s">
        <v>41</v>
      </c>
      <c r="D8132" s="45" t="s">
        <v>2192</v>
      </c>
    </row>
    <row r="8133" spans="1:4" s="45" customFormat="1" ht="13.5" x14ac:dyDescent="0.15">
      <c r="A8133" s="45" t="s">
        <v>41</v>
      </c>
      <c r="D8133" s="45" t="s">
        <v>2190</v>
      </c>
    </row>
    <row r="8134" spans="1:4" s="45" customFormat="1" ht="13.5" x14ac:dyDescent="0.15">
      <c r="A8134" s="45" t="s">
        <v>41</v>
      </c>
      <c r="D8134" s="45" t="s">
        <v>2188</v>
      </c>
    </row>
    <row r="8135" spans="1:4" s="45" customFormat="1" ht="13.5" x14ac:dyDescent="0.15">
      <c r="A8135" s="45" t="s">
        <v>41</v>
      </c>
      <c r="D8135" s="45" t="s">
        <v>2189</v>
      </c>
    </row>
    <row r="8136" spans="1:4" s="45" customFormat="1" ht="13.5" x14ac:dyDescent="0.15">
      <c r="A8136" s="45" t="s">
        <v>41</v>
      </c>
      <c r="D8136" s="45" t="s">
        <v>2191</v>
      </c>
    </row>
    <row r="8137" spans="1:4" s="45" customFormat="1" ht="13.5" x14ac:dyDescent="0.15">
      <c r="A8137" s="45" t="s">
        <v>41</v>
      </c>
      <c r="D8137" s="45" t="s">
        <v>2193</v>
      </c>
    </row>
    <row r="8138" spans="1:4" s="45" customFormat="1" ht="13.5" x14ac:dyDescent="0.15">
      <c r="A8138" s="45" t="s">
        <v>41</v>
      </c>
      <c r="D8138" s="45" t="s">
        <v>9475</v>
      </c>
    </row>
    <row r="8139" spans="1:4" s="45" customFormat="1" ht="13.5" x14ac:dyDescent="0.15">
      <c r="A8139" s="45" t="s">
        <v>41</v>
      </c>
      <c r="D8139" s="45" t="s">
        <v>9476</v>
      </c>
    </row>
    <row r="8140" spans="1:4" s="45" customFormat="1" ht="13.5" x14ac:dyDescent="0.15">
      <c r="A8140" s="45" t="s">
        <v>41</v>
      </c>
      <c r="D8140" s="45" t="s">
        <v>9477</v>
      </c>
    </row>
    <row r="8141" spans="1:4" s="45" customFormat="1" ht="13.5" x14ac:dyDescent="0.15">
      <c r="A8141" s="45" t="s">
        <v>41</v>
      </c>
      <c r="D8141" s="45" t="s">
        <v>9478</v>
      </c>
    </row>
    <row r="8142" spans="1:4" s="45" customFormat="1" ht="13.5" x14ac:dyDescent="0.15">
      <c r="A8142" s="45" t="s">
        <v>41</v>
      </c>
      <c r="D8142" s="45" t="s">
        <v>9479</v>
      </c>
    </row>
    <row r="8143" spans="1:4" s="45" customFormat="1" ht="13.5" x14ac:dyDescent="0.15">
      <c r="A8143" s="45" t="s">
        <v>41</v>
      </c>
      <c r="D8143" s="45" t="s">
        <v>289</v>
      </c>
    </row>
    <row r="8144" spans="1:4" s="45" customFormat="1" ht="13.5" x14ac:dyDescent="0.15">
      <c r="A8144" s="45" t="s">
        <v>41</v>
      </c>
      <c r="D8144" s="45" t="s">
        <v>2131</v>
      </c>
    </row>
    <row r="8145" spans="1:4" s="45" customFormat="1" ht="13.5" x14ac:dyDescent="0.15">
      <c r="A8145" s="45" t="s">
        <v>41</v>
      </c>
      <c r="D8145" s="45" t="s">
        <v>9480</v>
      </c>
    </row>
    <row r="8146" spans="1:4" s="45" customFormat="1" ht="13.5" x14ac:dyDescent="0.15">
      <c r="A8146" s="45" t="s">
        <v>41</v>
      </c>
      <c r="D8146" s="45" t="s">
        <v>9481</v>
      </c>
    </row>
    <row r="8147" spans="1:4" s="45" customFormat="1" ht="13.5" x14ac:dyDescent="0.15">
      <c r="A8147" s="45" t="s">
        <v>41</v>
      </c>
      <c r="D8147" s="45" t="s">
        <v>1741</v>
      </c>
    </row>
    <row r="8148" spans="1:4" s="45" customFormat="1" ht="13.5" x14ac:dyDescent="0.15">
      <c r="A8148" s="45" t="s">
        <v>41</v>
      </c>
      <c r="D8148" s="45" t="s">
        <v>9482</v>
      </c>
    </row>
    <row r="8149" spans="1:4" s="45" customFormat="1" ht="13.5" x14ac:dyDescent="0.15">
      <c r="A8149" s="45" t="s">
        <v>41</v>
      </c>
      <c r="D8149" s="45" t="s">
        <v>9483</v>
      </c>
    </row>
    <row r="8150" spans="1:4" s="45" customFormat="1" ht="13.5" x14ac:dyDescent="0.15">
      <c r="A8150" s="45" t="s">
        <v>41</v>
      </c>
      <c r="D8150" s="45" t="s">
        <v>1740</v>
      </c>
    </row>
    <row r="8151" spans="1:4" s="45" customFormat="1" ht="13.5" x14ac:dyDescent="0.15">
      <c r="A8151" s="45" t="s">
        <v>41</v>
      </c>
      <c r="D8151" s="45" t="s">
        <v>9777</v>
      </c>
    </row>
    <row r="8152" spans="1:4" s="45" customFormat="1" ht="13.5" x14ac:dyDescent="0.15">
      <c r="A8152" s="45" t="s">
        <v>41</v>
      </c>
      <c r="D8152" s="45" t="s">
        <v>1739</v>
      </c>
    </row>
    <row r="8153" spans="1:4" s="45" customFormat="1" ht="13.5" x14ac:dyDescent="0.15">
      <c r="A8153" s="45" t="s">
        <v>41</v>
      </c>
      <c r="D8153" s="45" t="s">
        <v>9484</v>
      </c>
    </row>
    <row r="8154" spans="1:4" s="45" customFormat="1" ht="13.5" x14ac:dyDescent="0.15">
      <c r="A8154" s="45" t="s">
        <v>41</v>
      </c>
      <c r="D8154" s="45" t="s">
        <v>9485</v>
      </c>
    </row>
    <row r="8155" spans="1:4" s="45" customFormat="1" ht="13.5" x14ac:dyDescent="0.15">
      <c r="A8155" s="45" t="s">
        <v>41</v>
      </c>
      <c r="D8155" s="45" t="s">
        <v>9486</v>
      </c>
    </row>
    <row r="8156" spans="1:4" s="45" customFormat="1" ht="13.5" x14ac:dyDescent="0.15">
      <c r="A8156" s="45" t="s">
        <v>41</v>
      </c>
      <c r="D8156" s="45" t="s">
        <v>9487</v>
      </c>
    </row>
    <row r="8157" spans="1:4" s="45" customFormat="1" ht="13.5" x14ac:dyDescent="0.15">
      <c r="A8157" s="45" t="s">
        <v>41</v>
      </c>
      <c r="D8157" s="45" t="s">
        <v>9488</v>
      </c>
    </row>
    <row r="8158" spans="1:4" s="45" customFormat="1" ht="13.5" x14ac:dyDescent="0.15">
      <c r="A8158" s="45" t="s">
        <v>41</v>
      </c>
      <c r="D8158" s="45" t="s">
        <v>9489</v>
      </c>
    </row>
    <row r="8159" spans="1:4" s="45" customFormat="1" ht="13.5" x14ac:dyDescent="0.15">
      <c r="A8159" s="45" t="s">
        <v>41</v>
      </c>
      <c r="D8159" s="45" t="s">
        <v>2332</v>
      </c>
    </row>
    <row r="8160" spans="1:4" s="45" customFormat="1" ht="13.5" x14ac:dyDescent="0.15">
      <c r="A8160" s="45" t="s">
        <v>41</v>
      </c>
      <c r="D8160" s="45" t="s">
        <v>9490</v>
      </c>
    </row>
    <row r="8161" spans="1:4" s="45" customFormat="1" ht="13.5" x14ac:dyDescent="0.15">
      <c r="A8161" s="45" t="s">
        <v>41</v>
      </c>
      <c r="D8161" s="45" t="s">
        <v>2323</v>
      </c>
    </row>
    <row r="8162" spans="1:4" s="45" customFormat="1" ht="13.5" x14ac:dyDescent="0.15">
      <c r="A8162" s="45" t="s">
        <v>41</v>
      </c>
      <c r="D8162" s="45" t="s">
        <v>9491</v>
      </c>
    </row>
    <row r="8163" spans="1:4" s="45" customFormat="1" ht="13.5" x14ac:dyDescent="0.15">
      <c r="A8163" s="45" t="s">
        <v>41</v>
      </c>
      <c r="D8163" s="45" t="s">
        <v>9492</v>
      </c>
    </row>
    <row r="8164" spans="1:4" s="45" customFormat="1" ht="13.5" x14ac:dyDescent="0.15">
      <c r="A8164" s="45" t="s">
        <v>41</v>
      </c>
      <c r="D8164" s="45" t="s">
        <v>9493</v>
      </c>
    </row>
    <row r="8165" spans="1:4" s="45" customFormat="1" ht="13.5" x14ac:dyDescent="0.15">
      <c r="A8165" s="45" t="s">
        <v>41</v>
      </c>
      <c r="D8165" s="45" t="s">
        <v>9494</v>
      </c>
    </row>
    <row r="8166" spans="1:4" s="45" customFormat="1" ht="13.5" x14ac:dyDescent="0.15">
      <c r="A8166" s="45" t="s">
        <v>41</v>
      </c>
      <c r="D8166" s="45" t="s">
        <v>1613</v>
      </c>
    </row>
    <row r="8167" spans="1:4" s="45" customFormat="1" ht="13.5" x14ac:dyDescent="0.15">
      <c r="A8167" s="45" t="s">
        <v>41</v>
      </c>
      <c r="D8167" s="45" t="s">
        <v>9495</v>
      </c>
    </row>
    <row r="8168" spans="1:4" s="45" customFormat="1" ht="13.5" x14ac:dyDescent="0.15">
      <c r="A8168" s="45" t="s">
        <v>41</v>
      </c>
      <c r="D8168" s="45" t="s">
        <v>9496</v>
      </c>
    </row>
    <row r="8169" spans="1:4" s="45" customFormat="1" ht="13.5" x14ac:dyDescent="0.15">
      <c r="A8169" s="45" t="s">
        <v>41</v>
      </c>
      <c r="D8169" s="45" t="s">
        <v>9497</v>
      </c>
    </row>
    <row r="8170" spans="1:4" s="45" customFormat="1" ht="13.5" x14ac:dyDescent="0.15">
      <c r="A8170" s="45" t="s">
        <v>41</v>
      </c>
      <c r="D8170" s="45" t="s">
        <v>9498</v>
      </c>
    </row>
    <row r="8171" spans="1:4" s="45" customFormat="1" ht="13.5" x14ac:dyDescent="0.15">
      <c r="A8171" s="45" t="s">
        <v>41</v>
      </c>
      <c r="D8171" s="45" t="s">
        <v>9499</v>
      </c>
    </row>
    <row r="8172" spans="1:4" s="45" customFormat="1" ht="13.5" x14ac:dyDescent="0.15">
      <c r="A8172" s="45" t="s">
        <v>41</v>
      </c>
      <c r="D8172" s="45" t="s">
        <v>9500</v>
      </c>
    </row>
    <row r="8173" spans="1:4" s="45" customFormat="1" ht="13.5" x14ac:dyDescent="0.15">
      <c r="A8173" s="45" t="s">
        <v>41</v>
      </c>
      <c r="D8173" s="45" t="s">
        <v>9501</v>
      </c>
    </row>
    <row r="8174" spans="1:4" s="45" customFormat="1" ht="13.5" x14ac:dyDescent="0.15">
      <c r="A8174" s="45" t="s">
        <v>41</v>
      </c>
      <c r="D8174" s="45" t="s">
        <v>1387</v>
      </c>
    </row>
    <row r="8175" spans="1:4" s="45" customFormat="1" ht="13.5" x14ac:dyDescent="0.15">
      <c r="A8175" s="45" t="s">
        <v>41</v>
      </c>
      <c r="D8175" s="45" t="s">
        <v>9502</v>
      </c>
    </row>
    <row r="8176" spans="1:4" s="45" customFormat="1" ht="13.5" x14ac:dyDescent="0.15">
      <c r="A8176" s="45" t="s">
        <v>41</v>
      </c>
      <c r="D8176" s="45" t="s">
        <v>9503</v>
      </c>
    </row>
    <row r="8177" spans="1:4" s="45" customFormat="1" ht="13.5" x14ac:dyDescent="0.15">
      <c r="A8177" s="45" t="s">
        <v>41</v>
      </c>
      <c r="D8177" s="45" t="s">
        <v>9504</v>
      </c>
    </row>
    <row r="8178" spans="1:4" s="45" customFormat="1" ht="13.5" x14ac:dyDescent="0.15">
      <c r="A8178" s="45" t="s">
        <v>41</v>
      </c>
      <c r="D8178" s="45" t="s">
        <v>9505</v>
      </c>
    </row>
    <row r="8179" spans="1:4" s="45" customFormat="1" ht="13.5" x14ac:dyDescent="0.15">
      <c r="A8179" s="45" t="s">
        <v>41</v>
      </c>
      <c r="D8179" s="45" t="s">
        <v>9506</v>
      </c>
    </row>
    <row r="8180" spans="1:4" s="45" customFormat="1" ht="13.5" x14ac:dyDescent="0.15">
      <c r="A8180" s="45" t="s">
        <v>41</v>
      </c>
      <c r="D8180" s="45" t="s">
        <v>9507</v>
      </c>
    </row>
    <row r="8181" spans="1:4" s="45" customFormat="1" ht="13.5" x14ac:dyDescent="0.15">
      <c r="A8181" s="45" t="s">
        <v>41</v>
      </c>
      <c r="D8181" s="45" t="s">
        <v>1386</v>
      </c>
    </row>
    <row r="8182" spans="1:4" s="45" customFormat="1" ht="13.5" x14ac:dyDescent="0.15">
      <c r="A8182" s="45" t="s">
        <v>41</v>
      </c>
      <c r="D8182" s="45" t="s">
        <v>9508</v>
      </c>
    </row>
    <row r="8183" spans="1:4" s="45" customFormat="1" ht="13.5" x14ac:dyDescent="0.15">
      <c r="A8183" s="45" t="s">
        <v>41</v>
      </c>
      <c r="D8183" s="45" t="s">
        <v>9509</v>
      </c>
    </row>
    <row r="8184" spans="1:4" s="45" customFormat="1" ht="13.5" x14ac:dyDescent="0.15">
      <c r="A8184" s="45" t="s">
        <v>41</v>
      </c>
      <c r="D8184" s="45" t="s">
        <v>9510</v>
      </c>
    </row>
    <row r="8185" spans="1:4" s="45" customFormat="1" ht="13.5" x14ac:dyDescent="0.15">
      <c r="A8185" s="45" t="s">
        <v>41</v>
      </c>
      <c r="D8185" s="45" t="s">
        <v>9511</v>
      </c>
    </row>
    <row r="8186" spans="1:4" s="45" customFormat="1" ht="13.5" x14ac:dyDescent="0.15">
      <c r="A8186" s="45" t="s">
        <v>41</v>
      </c>
      <c r="D8186" s="45" t="s">
        <v>9512</v>
      </c>
    </row>
    <row r="8187" spans="1:4" s="45" customFormat="1" ht="13.5" x14ac:dyDescent="0.15">
      <c r="A8187" s="45" t="s">
        <v>41</v>
      </c>
      <c r="D8187" s="45" t="s">
        <v>9513</v>
      </c>
    </row>
    <row r="8188" spans="1:4" s="45" customFormat="1" ht="13.5" x14ac:dyDescent="0.15">
      <c r="A8188" s="45" t="s">
        <v>41</v>
      </c>
      <c r="D8188" s="45" t="s">
        <v>1175</v>
      </c>
    </row>
    <row r="8189" spans="1:4" s="45" customFormat="1" ht="13.5" x14ac:dyDescent="0.15">
      <c r="A8189" s="45" t="s">
        <v>41</v>
      </c>
      <c r="D8189" s="45" t="s">
        <v>9514</v>
      </c>
    </row>
    <row r="8190" spans="1:4" s="45" customFormat="1" ht="13.5" x14ac:dyDescent="0.15">
      <c r="A8190" s="45" t="s">
        <v>41</v>
      </c>
      <c r="D8190" s="45" t="s">
        <v>9515</v>
      </c>
    </row>
    <row r="8191" spans="1:4" s="45" customFormat="1" ht="13.5" x14ac:dyDescent="0.15">
      <c r="A8191" s="45" t="s">
        <v>41</v>
      </c>
      <c r="D8191" s="45" t="s">
        <v>1176</v>
      </c>
    </row>
    <row r="8192" spans="1:4" s="45" customFormat="1" ht="13.5" x14ac:dyDescent="0.15">
      <c r="A8192" s="45" t="s">
        <v>41</v>
      </c>
      <c r="D8192" s="45" t="s">
        <v>9516</v>
      </c>
    </row>
    <row r="8193" spans="1:4" s="45" customFormat="1" ht="13.5" x14ac:dyDescent="0.15">
      <c r="A8193" s="45" t="s">
        <v>41</v>
      </c>
      <c r="D8193" s="45" t="s">
        <v>9517</v>
      </c>
    </row>
    <row r="8194" spans="1:4" s="45" customFormat="1" ht="13.5" x14ac:dyDescent="0.15">
      <c r="A8194" s="45" t="s">
        <v>41</v>
      </c>
      <c r="D8194" s="45" t="s">
        <v>1177</v>
      </c>
    </row>
    <row r="8195" spans="1:4" s="45" customFormat="1" ht="13.5" x14ac:dyDescent="0.15">
      <c r="A8195" s="45" t="s">
        <v>41</v>
      </c>
      <c r="D8195" s="45" t="s">
        <v>9518</v>
      </c>
    </row>
    <row r="8196" spans="1:4" s="45" customFormat="1" ht="13.5" x14ac:dyDescent="0.15">
      <c r="A8196" s="45" t="s">
        <v>41</v>
      </c>
      <c r="D8196" s="45" t="s">
        <v>1178</v>
      </c>
    </row>
    <row r="8197" spans="1:4" s="45" customFormat="1" ht="13.5" x14ac:dyDescent="0.15">
      <c r="A8197" s="45" t="s">
        <v>41</v>
      </c>
      <c r="D8197" s="45" t="s">
        <v>9519</v>
      </c>
    </row>
    <row r="8198" spans="1:4" s="45" customFormat="1" ht="13.5" x14ac:dyDescent="0.15">
      <c r="A8198" s="45" t="s">
        <v>41</v>
      </c>
      <c r="D8198" s="45" t="s">
        <v>9520</v>
      </c>
    </row>
    <row r="8199" spans="1:4" s="45" customFormat="1" ht="13.5" x14ac:dyDescent="0.15">
      <c r="A8199" s="45" t="s">
        <v>41</v>
      </c>
      <c r="D8199" s="45" t="s">
        <v>1179</v>
      </c>
    </row>
    <row r="8200" spans="1:4" s="45" customFormat="1" ht="13.5" x14ac:dyDescent="0.15">
      <c r="A8200" s="45" t="s">
        <v>41</v>
      </c>
      <c r="D8200" s="45" t="s">
        <v>1180</v>
      </c>
    </row>
    <row r="8201" spans="1:4" s="45" customFormat="1" ht="13.5" x14ac:dyDescent="0.15">
      <c r="A8201" s="45" t="s">
        <v>41</v>
      </c>
      <c r="D8201" s="45" t="s">
        <v>1181</v>
      </c>
    </row>
    <row r="8202" spans="1:4" s="45" customFormat="1" ht="13.5" x14ac:dyDescent="0.15">
      <c r="A8202" s="45" t="s">
        <v>41</v>
      </c>
      <c r="D8202" s="45" t="s">
        <v>9521</v>
      </c>
    </row>
    <row r="8203" spans="1:4" s="45" customFormat="1" ht="13.5" x14ac:dyDescent="0.15">
      <c r="A8203" s="45" t="s">
        <v>41</v>
      </c>
      <c r="D8203" s="45" t="s">
        <v>9522</v>
      </c>
    </row>
    <row r="8204" spans="1:4" s="45" customFormat="1" ht="13.5" x14ac:dyDescent="0.15">
      <c r="A8204" s="45" t="s">
        <v>41</v>
      </c>
      <c r="D8204" s="45" t="s">
        <v>9523</v>
      </c>
    </row>
    <row r="8205" spans="1:4" s="45" customFormat="1" ht="13.5" x14ac:dyDescent="0.15">
      <c r="A8205" s="45" t="s">
        <v>41</v>
      </c>
      <c r="D8205" s="45" t="s">
        <v>9524</v>
      </c>
    </row>
    <row r="8206" spans="1:4" s="45" customFormat="1" ht="13.5" x14ac:dyDescent="0.15">
      <c r="A8206" s="45" t="s">
        <v>41</v>
      </c>
      <c r="D8206" s="45" t="s">
        <v>2285</v>
      </c>
    </row>
    <row r="8207" spans="1:4" s="45" customFormat="1" ht="13.5" x14ac:dyDescent="0.15">
      <c r="A8207" s="45" t="s">
        <v>41</v>
      </c>
      <c r="D8207" s="45" t="s">
        <v>2290</v>
      </c>
    </row>
    <row r="8208" spans="1:4" s="45" customFormat="1" ht="13.5" x14ac:dyDescent="0.15">
      <c r="A8208" s="45" t="s">
        <v>41</v>
      </c>
      <c r="D8208" s="45" t="s">
        <v>2287</v>
      </c>
    </row>
    <row r="8209" spans="1:4" s="45" customFormat="1" ht="13.5" x14ac:dyDescent="0.15">
      <c r="A8209" s="45" t="s">
        <v>41</v>
      </c>
      <c r="D8209" s="45" t="s">
        <v>2289</v>
      </c>
    </row>
    <row r="8210" spans="1:4" s="45" customFormat="1" ht="13.5" x14ac:dyDescent="0.15">
      <c r="A8210" s="45" t="s">
        <v>41</v>
      </c>
      <c r="D8210" s="45" t="s">
        <v>2286</v>
      </c>
    </row>
    <row r="8211" spans="1:4" s="45" customFormat="1" ht="13.5" x14ac:dyDescent="0.15">
      <c r="A8211" s="45" t="s">
        <v>41</v>
      </c>
      <c r="D8211" s="45" t="s">
        <v>2288</v>
      </c>
    </row>
    <row r="8212" spans="1:4" s="45" customFormat="1" ht="13.5" x14ac:dyDescent="0.15">
      <c r="A8212" s="45" t="s">
        <v>41</v>
      </c>
      <c r="D8212" s="45" t="s">
        <v>9525</v>
      </c>
    </row>
    <row r="8213" spans="1:4" s="45" customFormat="1" ht="13.5" x14ac:dyDescent="0.15">
      <c r="A8213" s="45" t="s">
        <v>41</v>
      </c>
      <c r="D8213" s="45" t="s">
        <v>9526</v>
      </c>
    </row>
    <row r="8214" spans="1:4" s="45" customFormat="1" ht="13.5" x14ac:dyDescent="0.15">
      <c r="A8214" s="45" t="s">
        <v>41</v>
      </c>
      <c r="D8214" s="45" t="s">
        <v>1173</v>
      </c>
    </row>
    <row r="8215" spans="1:4" s="45" customFormat="1" ht="13.5" x14ac:dyDescent="0.15">
      <c r="A8215" s="45" t="s">
        <v>41</v>
      </c>
      <c r="D8215" s="45" t="s">
        <v>9527</v>
      </c>
    </row>
    <row r="8216" spans="1:4" s="45" customFormat="1" ht="13.5" x14ac:dyDescent="0.15">
      <c r="A8216" s="45" t="s">
        <v>41</v>
      </c>
      <c r="D8216" s="45" t="s">
        <v>9528</v>
      </c>
    </row>
    <row r="8217" spans="1:4" s="45" customFormat="1" ht="13.5" x14ac:dyDescent="0.15">
      <c r="A8217" s="45" t="s">
        <v>41</v>
      </c>
      <c r="D8217" s="45" t="s">
        <v>9529</v>
      </c>
    </row>
    <row r="8218" spans="1:4" s="45" customFormat="1" ht="13.5" x14ac:dyDescent="0.15">
      <c r="A8218" s="45" t="s">
        <v>41</v>
      </c>
      <c r="D8218" s="45" t="s">
        <v>9530</v>
      </c>
    </row>
    <row r="8219" spans="1:4" s="45" customFormat="1" ht="13.5" x14ac:dyDescent="0.15">
      <c r="A8219" s="45" t="s">
        <v>41</v>
      </c>
      <c r="D8219" s="45" t="s">
        <v>9531</v>
      </c>
    </row>
    <row r="8220" spans="1:4" s="45" customFormat="1" ht="13.5" x14ac:dyDescent="0.15">
      <c r="A8220" s="45" t="s">
        <v>41</v>
      </c>
      <c r="D8220" s="45" t="s">
        <v>1837</v>
      </c>
    </row>
    <row r="8221" spans="1:4" s="45" customFormat="1" ht="13.5" x14ac:dyDescent="0.15">
      <c r="A8221" s="45" t="s">
        <v>41</v>
      </c>
      <c r="D8221" s="45" t="s">
        <v>2198</v>
      </c>
    </row>
    <row r="8222" spans="1:4" s="45" customFormat="1" ht="13.5" x14ac:dyDescent="0.15">
      <c r="A8222" s="45" t="s">
        <v>41</v>
      </c>
      <c r="D8222" s="45" t="s">
        <v>9532</v>
      </c>
    </row>
    <row r="8223" spans="1:4" s="45" customFormat="1" ht="13.5" x14ac:dyDescent="0.15">
      <c r="A8223" s="45" t="s">
        <v>41</v>
      </c>
      <c r="D8223" s="45" t="s">
        <v>9533</v>
      </c>
    </row>
    <row r="8224" spans="1:4" s="45" customFormat="1" ht="13.5" x14ac:dyDescent="0.15">
      <c r="A8224" s="45" t="s">
        <v>41</v>
      </c>
      <c r="D8224" s="45" t="s">
        <v>1110</v>
      </c>
    </row>
    <row r="8225" spans="1:4" s="45" customFormat="1" ht="13.5" x14ac:dyDescent="0.15">
      <c r="A8225" s="45" t="s">
        <v>41</v>
      </c>
      <c r="D8225" s="45" t="s">
        <v>9534</v>
      </c>
    </row>
    <row r="8226" spans="1:4" s="45" customFormat="1" ht="13.5" x14ac:dyDescent="0.15">
      <c r="A8226" s="45" t="s">
        <v>41</v>
      </c>
      <c r="D8226" s="45" t="s">
        <v>9535</v>
      </c>
    </row>
    <row r="8227" spans="1:4" s="45" customFormat="1" ht="13.5" x14ac:dyDescent="0.15">
      <c r="A8227" s="45" t="s">
        <v>41</v>
      </c>
      <c r="D8227" s="45" t="s">
        <v>9536</v>
      </c>
    </row>
    <row r="8228" spans="1:4" s="45" customFormat="1" ht="13.5" x14ac:dyDescent="0.15">
      <c r="A8228" s="45" t="s">
        <v>41</v>
      </c>
      <c r="D8228" s="45" t="s">
        <v>9537</v>
      </c>
    </row>
    <row r="8229" spans="1:4" s="45" customFormat="1" ht="13.5" x14ac:dyDescent="0.15">
      <c r="A8229" s="45" t="s">
        <v>41</v>
      </c>
      <c r="D8229" s="45" t="s">
        <v>9538</v>
      </c>
    </row>
    <row r="8230" spans="1:4" s="45" customFormat="1" ht="13.5" x14ac:dyDescent="0.15">
      <c r="A8230" s="45" t="s">
        <v>41</v>
      </c>
      <c r="D8230" s="45" t="s">
        <v>9539</v>
      </c>
    </row>
    <row r="8231" spans="1:4" s="45" customFormat="1" ht="13.5" x14ac:dyDescent="0.15">
      <c r="A8231" s="45" t="s">
        <v>41</v>
      </c>
      <c r="D8231" s="45" t="s">
        <v>9540</v>
      </c>
    </row>
    <row r="8232" spans="1:4" s="45" customFormat="1" ht="13.5" x14ac:dyDescent="0.15">
      <c r="A8232" s="45" t="s">
        <v>41</v>
      </c>
      <c r="D8232" s="45" t="s">
        <v>9541</v>
      </c>
    </row>
    <row r="8233" spans="1:4" s="45" customFormat="1" ht="13.5" x14ac:dyDescent="0.15">
      <c r="A8233" s="45" t="s">
        <v>41</v>
      </c>
      <c r="D8233" s="45" t="s">
        <v>9542</v>
      </c>
    </row>
    <row r="8234" spans="1:4" s="45" customFormat="1" ht="13.5" x14ac:dyDescent="0.15">
      <c r="A8234" s="45" t="s">
        <v>41</v>
      </c>
      <c r="D8234" s="45" t="s">
        <v>9543</v>
      </c>
    </row>
    <row r="8235" spans="1:4" s="45" customFormat="1" ht="13.5" x14ac:dyDescent="0.15">
      <c r="A8235" s="45" t="s">
        <v>41</v>
      </c>
      <c r="D8235" s="45" t="s">
        <v>9544</v>
      </c>
    </row>
    <row r="8236" spans="1:4" s="45" customFormat="1" ht="13.5" x14ac:dyDescent="0.15">
      <c r="A8236" s="45" t="s">
        <v>41</v>
      </c>
      <c r="D8236" s="45" t="s">
        <v>9545</v>
      </c>
    </row>
    <row r="8237" spans="1:4" s="45" customFormat="1" ht="13.5" x14ac:dyDescent="0.15">
      <c r="A8237" s="45" t="s">
        <v>41</v>
      </c>
      <c r="D8237" s="45" t="s">
        <v>9546</v>
      </c>
    </row>
    <row r="8238" spans="1:4" s="45" customFormat="1" ht="13.5" x14ac:dyDescent="0.15">
      <c r="A8238" s="45" t="s">
        <v>41</v>
      </c>
      <c r="D8238" s="45" t="s">
        <v>2088</v>
      </c>
    </row>
    <row r="8239" spans="1:4" s="45" customFormat="1" ht="13.5" x14ac:dyDescent="0.15">
      <c r="A8239" s="45" t="s">
        <v>41</v>
      </c>
      <c r="D8239" s="45" t="s">
        <v>2473</v>
      </c>
    </row>
    <row r="8240" spans="1:4" s="45" customFormat="1" ht="13.5" x14ac:dyDescent="0.15">
      <c r="A8240" s="45" t="s">
        <v>41</v>
      </c>
      <c r="D8240" s="45" t="s">
        <v>2200</v>
      </c>
    </row>
    <row r="8241" spans="1:4" s="45" customFormat="1" ht="13.5" x14ac:dyDescent="0.15">
      <c r="A8241" s="45" t="s">
        <v>41</v>
      </c>
      <c r="D8241" s="45" t="s">
        <v>166</v>
      </c>
    </row>
    <row r="8242" spans="1:4" s="45" customFormat="1" ht="13.5" x14ac:dyDescent="0.15">
      <c r="A8242" s="45" t="s">
        <v>41</v>
      </c>
      <c r="D8242" s="45" t="s">
        <v>165</v>
      </c>
    </row>
    <row r="8243" spans="1:4" s="45" customFormat="1" ht="13.5" x14ac:dyDescent="0.15">
      <c r="A8243" s="45" t="s">
        <v>41</v>
      </c>
      <c r="D8243" s="45" t="s">
        <v>9547</v>
      </c>
    </row>
    <row r="8244" spans="1:4" s="45" customFormat="1" ht="13.5" x14ac:dyDescent="0.15">
      <c r="A8244" s="45" t="s">
        <v>41</v>
      </c>
      <c r="D8244" s="45" t="s">
        <v>142</v>
      </c>
    </row>
    <row r="8245" spans="1:4" s="45" customFormat="1" ht="13.5" x14ac:dyDescent="0.15">
      <c r="A8245" s="45" t="s">
        <v>41</v>
      </c>
      <c r="D8245" s="45" t="s">
        <v>9548</v>
      </c>
    </row>
    <row r="8246" spans="1:4" s="45" customFormat="1" ht="13.5" x14ac:dyDescent="0.15">
      <c r="A8246" s="45" t="s">
        <v>41</v>
      </c>
      <c r="D8246" s="45" t="s">
        <v>9549</v>
      </c>
    </row>
    <row r="8247" spans="1:4" s="45" customFormat="1" ht="13.5" x14ac:dyDescent="0.15">
      <c r="A8247" s="45" t="s">
        <v>41</v>
      </c>
      <c r="D8247" s="45" t="s">
        <v>143</v>
      </c>
    </row>
    <row r="8248" spans="1:4" s="45" customFormat="1" ht="13.5" x14ac:dyDescent="0.15">
      <c r="A8248" s="45" t="s">
        <v>41</v>
      </c>
      <c r="D8248" s="45" t="s">
        <v>9550</v>
      </c>
    </row>
    <row r="8249" spans="1:4" s="45" customFormat="1" ht="13.5" x14ac:dyDescent="0.15">
      <c r="A8249" s="45" t="s">
        <v>41</v>
      </c>
      <c r="D8249" s="45" t="s">
        <v>9551</v>
      </c>
    </row>
    <row r="8250" spans="1:4" s="45" customFormat="1" ht="13.5" x14ac:dyDescent="0.15">
      <c r="A8250" s="45" t="s">
        <v>41</v>
      </c>
      <c r="D8250" s="45" t="s">
        <v>9552</v>
      </c>
    </row>
    <row r="8251" spans="1:4" s="45" customFormat="1" ht="13.5" x14ac:dyDescent="0.15">
      <c r="A8251" s="45" t="s">
        <v>41</v>
      </c>
      <c r="D8251" s="45" t="s">
        <v>9553</v>
      </c>
    </row>
    <row r="8252" spans="1:4" s="45" customFormat="1" ht="13.5" x14ac:dyDescent="0.15">
      <c r="A8252" s="45" t="s">
        <v>41</v>
      </c>
      <c r="D8252" s="45" t="s">
        <v>9554</v>
      </c>
    </row>
    <row r="8253" spans="1:4" s="45" customFormat="1" ht="13.5" x14ac:dyDescent="0.15">
      <c r="A8253" s="45" t="s">
        <v>41</v>
      </c>
      <c r="D8253" s="45" t="s">
        <v>9555</v>
      </c>
    </row>
    <row r="8254" spans="1:4" s="45" customFormat="1" ht="13.5" x14ac:dyDescent="0.15">
      <c r="A8254" s="45" t="s">
        <v>41</v>
      </c>
      <c r="D8254" s="45" t="s">
        <v>9556</v>
      </c>
    </row>
    <row r="8255" spans="1:4" s="45" customFormat="1" ht="13.5" x14ac:dyDescent="0.15">
      <c r="A8255" s="45" t="s">
        <v>41</v>
      </c>
      <c r="D8255" s="45" t="s">
        <v>9557</v>
      </c>
    </row>
    <row r="8256" spans="1:4" s="45" customFormat="1" ht="13.5" x14ac:dyDescent="0.15">
      <c r="A8256" s="45" t="s">
        <v>41</v>
      </c>
      <c r="D8256" s="45" t="s">
        <v>9558</v>
      </c>
    </row>
    <row r="8257" spans="1:4" s="45" customFormat="1" ht="13.5" x14ac:dyDescent="0.15">
      <c r="A8257" s="45" t="s">
        <v>41</v>
      </c>
      <c r="D8257" s="45" t="s">
        <v>9559</v>
      </c>
    </row>
    <row r="8258" spans="1:4" s="45" customFormat="1" ht="13.5" x14ac:dyDescent="0.15">
      <c r="A8258" s="45" t="s">
        <v>41</v>
      </c>
      <c r="D8258" s="45" t="s">
        <v>9560</v>
      </c>
    </row>
    <row r="8259" spans="1:4" s="45" customFormat="1" ht="13.5" x14ac:dyDescent="0.15">
      <c r="A8259" s="45" t="s">
        <v>41</v>
      </c>
      <c r="D8259" s="45" t="s">
        <v>9561</v>
      </c>
    </row>
    <row r="8260" spans="1:4" s="45" customFormat="1" ht="13.5" x14ac:dyDescent="0.15">
      <c r="A8260" s="45" t="s">
        <v>41</v>
      </c>
      <c r="D8260" s="45" t="s">
        <v>9562</v>
      </c>
    </row>
    <row r="8261" spans="1:4" s="45" customFormat="1" ht="13.5" x14ac:dyDescent="0.15">
      <c r="A8261" s="45" t="s">
        <v>41</v>
      </c>
      <c r="D8261" s="45" t="s">
        <v>9563</v>
      </c>
    </row>
    <row r="8262" spans="1:4" s="45" customFormat="1" ht="13.5" x14ac:dyDescent="0.15">
      <c r="A8262" s="45" t="s">
        <v>41</v>
      </c>
      <c r="D8262" s="45" t="s">
        <v>9564</v>
      </c>
    </row>
    <row r="8263" spans="1:4" s="45" customFormat="1" ht="13.5" x14ac:dyDescent="0.15">
      <c r="A8263" s="45" t="s">
        <v>41</v>
      </c>
      <c r="D8263" s="45" t="s">
        <v>9565</v>
      </c>
    </row>
    <row r="8264" spans="1:4" s="45" customFormat="1" ht="13.5" x14ac:dyDescent="0.15">
      <c r="A8264" s="45" t="s">
        <v>41</v>
      </c>
      <c r="D8264" s="45" t="s">
        <v>9566</v>
      </c>
    </row>
    <row r="8265" spans="1:4" s="45" customFormat="1" ht="13.5" x14ac:dyDescent="0.15">
      <c r="A8265" s="45" t="s">
        <v>41</v>
      </c>
      <c r="D8265" s="45" t="s">
        <v>9567</v>
      </c>
    </row>
    <row r="8266" spans="1:4" s="45" customFormat="1" ht="13.5" x14ac:dyDescent="0.15">
      <c r="A8266" s="45" t="s">
        <v>41</v>
      </c>
      <c r="D8266" s="45" t="s">
        <v>9568</v>
      </c>
    </row>
    <row r="8267" spans="1:4" s="45" customFormat="1" ht="13.5" x14ac:dyDescent="0.15">
      <c r="A8267" s="45" t="s">
        <v>41</v>
      </c>
      <c r="D8267" s="45" t="s">
        <v>9569</v>
      </c>
    </row>
    <row r="8268" spans="1:4" s="45" customFormat="1" ht="13.5" x14ac:dyDescent="0.15">
      <c r="A8268" s="45" t="s">
        <v>41</v>
      </c>
      <c r="D8268" s="45" t="s">
        <v>9570</v>
      </c>
    </row>
    <row r="8269" spans="1:4" s="45" customFormat="1" ht="13.5" x14ac:dyDescent="0.15">
      <c r="A8269" s="45" t="s">
        <v>41</v>
      </c>
      <c r="D8269" s="45" t="s">
        <v>9571</v>
      </c>
    </row>
    <row r="8270" spans="1:4" s="45" customFormat="1" ht="13.5" x14ac:dyDescent="0.15">
      <c r="A8270" s="45" t="s">
        <v>41</v>
      </c>
      <c r="D8270" s="45" t="s">
        <v>9572</v>
      </c>
    </row>
    <row r="8271" spans="1:4" s="45" customFormat="1" ht="13.5" x14ac:dyDescent="0.15">
      <c r="A8271" s="45" t="s">
        <v>41</v>
      </c>
      <c r="D8271" s="45" t="s">
        <v>9573</v>
      </c>
    </row>
    <row r="8272" spans="1:4" s="45" customFormat="1" ht="13.5" x14ac:dyDescent="0.15">
      <c r="A8272" s="45" t="s">
        <v>41</v>
      </c>
      <c r="D8272" s="45" t="s">
        <v>9574</v>
      </c>
    </row>
    <row r="8273" spans="1:4" s="45" customFormat="1" ht="13.5" x14ac:dyDescent="0.15">
      <c r="A8273" s="45" t="s">
        <v>41</v>
      </c>
      <c r="D8273" s="45" t="s">
        <v>9575</v>
      </c>
    </row>
    <row r="8274" spans="1:4" s="45" customFormat="1" ht="13.5" x14ac:dyDescent="0.15">
      <c r="A8274" s="45" t="s">
        <v>41</v>
      </c>
      <c r="D8274" s="45" t="s">
        <v>9576</v>
      </c>
    </row>
    <row r="8275" spans="1:4" s="45" customFormat="1" ht="13.5" x14ac:dyDescent="0.15">
      <c r="A8275" s="45" t="s">
        <v>41</v>
      </c>
      <c r="D8275" s="45" t="s">
        <v>9577</v>
      </c>
    </row>
    <row r="8276" spans="1:4" s="45" customFormat="1" ht="13.5" x14ac:dyDescent="0.15">
      <c r="A8276" s="45" t="s">
        <v>41</v>
      </c>
      <c r="D8276" s="45" t="s">
        <v>9578</v>
      </c>
    </row>
    <row r="8277" spans="1:4" s="45" customFormat="1" ht="13.5" x14ac:dyDescent="0.15">
      <c r="A8277" s="45" t="s">
        <v>41</v>
      </c>
      <c r="D8277" s="45" t="s">
        <v>9579</v>
      </c>
    </row>
    <row r="8278" spans="1:4" s="45" customFormat="1" ht="13.5" x14ac:dyDescent="0.15">
      <c r="A8278" s="45" t="s">
        <v>41</v>
      </c>
      <c r="D8278" s="45" t="s">
        <v>9580</v>
      </c>
    </row>
    <row r="8279" spans="1:4" s="45" customFormat="1" ht="13.5" x14ac:dyDescent="0.15">
      <c r="A8279" s="45" t="s">
        <v>41</v>
      </c>
      <c r="D8279" s="45" t="s">
        <v>9581</v>
      </c>
    </row>
    <row r="8280" spans="1:4" s="45" customFormat="1" ht="13.5" x14ac:dyDescent="0.15">
      <c r="A8280" s="45" t="s">
        <v>41</v>
      </c>
      <c r="D8280" s="45" t="s">
        <v>9582</v>
      </c>
    </row>
    <row r="8281" spans="1:4" s="45" customFormat="1" ht="13.5" x14ac:dyDescent="0.15">
      <c r="A8281" s="45" t="s">
        <v>41</v>
      </c>
      <c r="D8281" s="45" t="s">
        <v>9583</v>
      </c>
    </row>
    <row r="8282" spans="1:4" s="45" customFormat="1" ht="13.5" x14ac:dyDescent="0.15">
      <c r="A8282" s="45" t="s">
        <v>41</v>
      </c>
      <c r="D8282" s="45" t="s">
        <v>9584</v>
      </c>
    </row>
    <row r="8283" spans="1:4" s="45" customFormat="1" ht="13.5" x14ac:dyDescent="0.15">
      <c r="A8283" s="45" t="s">
        <v>41</v>
      </c>
      <c r="D8283" s="45" t="s">
        <v>9585</v>
      </c>
    </row>
    <row r="8284" spans="1:4" s="45" customFormat="1" ht="13.5" x14ac:dyDescent="0.15">
      <c r="A8284" s="45" t="s">
        <v>41</v>
      </c>
      <c r="D8284" s="45" t="s">
        <v>9586</v>
      </c>
    </row>
    <row r="8285" spans="1:4" s="45" customFormat="1" ht="13.5" x14ac:dyDescent="0.15">
      <c r="A8285" s="45" t="s">
        <v>41</v>
      </c>
      <c r="D8285" s="45" t="s">
        <v>9587</v>
      </c>
    </row>
    <row r="8286" spans="1:4" s="45" customFormat="1" ht="13.5" x14ac:dyDescent="0.15">
      <c r="A8286" s="45" t="s">
        <v>41</v>
      </c>
      <c r="D8286" s="45" t="s">
        <v>9588</v>
      </c>
    </row>
    <row r="8287" spans="1:4" s="45" customFormat="1" ht="13.5" x14ac:dyDescent="0.15">
      <c r="A8287" s="45" t="s">
        <v>41</v>
      </c>
      <c r="D8287" s="45" t="s">
        <v>9589</v>
      </c>
    </row>
    <row r="8288" spans="1:4" s="45" customFormat="1" ht="13.5" x14ac:dyDescent="0.15">
      <c r="A8288" s="45" t="s">
        <v>41</v>
      </c>
      <c r="D8288" s="45" t="s">
        <v>9590</v>
      </c>
    </row>
    <row r="8289" spans="1:4" s="45" customFormat="1" ht="13.5" x14ac:dyDescent="0.15">
      <c r="A8289" s="45" t="s">
        <v>41</v>
      </c>
      <c r="D8289" s="45" t="s">
        <v>9591</v>
      </c>
    </row>
    <row r="8290" spans="1:4" s="45" customFormat="1" ht="13.5" x14ac:dyDescent="0.15">
      <c r="A8290" s="45" t="s">
        <v>41</v>
      </c>
      <c r="D8290" s="45" t="s">
        <v>9592</v>
      </c>
    </row>
    <row r="8291" spans="1:4" s="45" customFormat="1" ht="13.5" x14ac:dyDescent="0.15">
      <c r="A8291" s="45" t="s">
        <v>41</v>
      </c>
      <c r="D8291" s="45" t="s">
        <v>9593</v>
      </c>
    </row>
    <row r="8292" spans="1:4" s="45" customFormat="1" ht="13.5" x14ac:dyDescent="0.15">
      <c r="A8292" s="45" t="s">
        <v>41</v>
      </c>
      <c r="D8292" s="45" t="s">
        <v>148</v>
      </c>
    </row>
    <row r="8293" spans="1:4" s="45" customFormat="1" ht="13.5" x14ac:dyDescent="0.15">
      <c r="A8293" s="45" t="s">
        <v>41</v>
      </c>
      <c r="D8293" s="45" t="s">
        <v>9594</v>
      </c>
    </row>
    <row r="8294" spans="1:4" s="45" customFormat="1" ht="13.5" x14ac:dyDescent="0.15">
      <c r="A8294" s="45" t="s">
        <v>41</v>
      </c>
      <c r="D8294" s="45" t="s">
        <v>9595</v>
      </c>
    </row>
    <row r="8295" spans="1:4" s="45" customFormat="1" ht="13.5" x14ac:dyDescent="0.15">
      <c r="A8295" s="45" t="s">
        <v>41</v>
      </c>
      <c r="D8295" s="45" t="s">
        <v>9596</v>
      </c>
    </row>
    <row r="8296" spans="1:4" s="45" customFormat="1" ht="13.5" x14ac:dyDescent="0.15">
      <c r="A8296" s="45" t="s">
        <v>41</v>
      </c>
      <c r="D8296" s="45" t="s">
        <v>9597</v>
      </c>
    </row>
    <row r="8297" spans="1:4" s="45" customFormat="1" ht="13.5" x14ac:dyDescent="0.15">
      <c r="A8297" s="45" t="s">
        <v>41</v>
      </c>
      <c r="D8297" s="45" t="s">
        <v>9598</v>
      </c>
    </row>
    <row r="8298" spans="1:4" s="45" customFormat="1" ht="13.5" x14ac:dyDescent="0.15">
      <c r="A8298" s="45" t="s">
        <v>41</v>
      </c>
      <c r="D8298" s="45" t="s">
        <v>9599</v>
      </c>
    </row>
    <row r="8299" spans="1:4" s="45" customFormat="1" ht="13.5" x14ac:dyDescent="0.15">
      <c r="A8299" s="45" t="s">
        <v>41</v>
      </c>
      <c r="D8299" s="45" t="s">
        <v>9600</v>
      </c>
    </row>
    <row r="8300" spans="1:4" s="45" customFormat="1" ht="13.5" x14ac:dyDescent="0.15">
      <c r="A8300" s="45" t="s">
        <v>41</v>
      </c>
      <c r="D8300" s="45" t="s">
        <v>9601</v>
      </c>
    </row>
    <row r="8301" spans="1:4" s="45" customFormat="1" ht="13.5" x14ac:dyDescent="0.15">
      <c r="A8301" s="45" t="s">
        <v>41</v>
      </c>
      <c r="D8301" s="45" t="s">
        <v>9602</v>
      </c>
    </row>
    <row r="8302" spans="1:4" s="45" customFormat="1" ht="13.5" x14ac:dyDescent="0.15">
      <c r="A8302" s="45" t="s">
        <v>41</v>
      </c>
      <c r="D8302" s="45" t="s">
        <v>9603</v>
      </c>
    </row>
    <row r="8303" spans="1:4" s="45" customFormat="1" ht="13.5" x14ac:dyDescent="0.15">
      <c r="A8303" s="45" t="s">
        <v>41</v>
      </c>
      <c r="D8303" s="45" t="s">
        <v>9604</v>
      </c>
    </row>
    <row r="8304" spans="1:4" s="45" customFormat="1" ht="13.5" x14ac:dyDescent="0.15">
      <c r="A8304" s="45" t="s">
        <v>41</v>
      </c>
      <c r="D8304" s="45" t="s">
        <v>9605</v>
      </c>
    </row>
    <row r="8305" spans="1:4" s="45" customFormat="1" ht="13.5" x14ac:dyDescent="0.15">
      <c r="A8305" s="45" t="s">
        <v>41</v>
      </c>
      <c r="D8305" s="45" t="s">
        <v>9606</v>
      </c>
    </row>
    <row r="8306" spans="1:4" s="45" customFormat="1" ht="13.5" x14ac:dyDescent="0.15">
      <c r="A8306" s="45" t="s">
        <v>41</v>
      </c>
      <c r="D8306" s="45" t="s">
        <v>9607</v>
      </c>
    </row>
    <row r="8307" spans="1:4" s="45" customFormat="1" ht="13.5" x14ac:dyDescent="0.15">
      <c r="A8307" s="45" t="s">
        <v>41</v>
      </c>
      <c r="D8307" s="45" t="s">
        <v>147</v>
      </c>
    </row>
    <row r="8308" spans="1:4" s="45" customFormat="1" ht="13.5" x14ac:dyDescent="0.15">
      <c r="A8308" s="45" t="s">
        <v>41</v>
      </c>
      <c r="D8308" s="45" t="s">
        <v>9608</v>
      </c>
    </row>
    <row r="8309" spans="1:4" s="45" customFormat="1" ht="13.5" x14ac:dyDescent="0.15">
      <c r="A8309" s="45" t="s">
        <v>41</v>
      </c>
      <c r="D8309" s="45" t="s">
        <v>9609</v>
      </c>
    </row>
    <row r="8310" spans="1:4" s="45" customFormat="1" ht="13.5" x14ac:dyDescent="0.15">
      <c r="A8310" s="45" t="s">
        <v>41</v>
      </c>
      <c r="D8310" s="45" t="s">
        <v>9610</v>
      </c>
    </row>
    <row r="8311" spans="1:4" s="45" customFormat="1" ht="13.5" x14ac:dyDescent="0.15">
      <c r="A8311" s="45" t="s">
        <v>41</v>
      </c>
      <c r="D8311" s="45" t="s">
        <v>155</v>
      </c>
    </row>
    <row r="8312" spans="1:4" s="45" customFormat="1" ht="13.5" x14ac:dyDescent="0.15">
      <c r="A8312" s="45" t="s">
        <v>41</v>
      </c>
      <c r="D8312" s="45" t="s">
        <v>150</v>
      </c>
    </row>
    <row r="8313" spans="1:4" s="45" customFormat="1" ht="13.5" x14ac:dyDescent="0.15">
      <c r="A8313" s="45" t="s">
        <v>41</v>
      </c>
      <c r="D8313" s="45" t="s">
        <v>154</v>
      </c>
    </row>
    <row r="8314" spans="1:4" s="45" customFormat="1" ht="13.5" x14ac:dyDescent="0.15">
      <c r="A8314" s="45" t="s">
        <v>41</v>
      </c>
      <c r="D8314" s="45" t="s">
        <v>9611</v>
      </c>
    </row>
    <row r="8315" spans="1:4" s="45" customFormat="1" ht="13.5" x14ac:dyDescent="0.15">
      <c r="A8315" s="45" t="s">
        <v>41</v>
      </c>
      <c r="D8315" s="45" t="s">
        <v>151</v>
      </c>
    </row>
    <row r="8316" spans="1:4" s="45" customFormat="1" ht="13.5" x14ac:dyDescent="0.15">
      <c r="A8316" s="45" t="s">
        <v>41</v>
      </c>
      <c r="D8316" s="45" t="s">
        <v>161</v>
      </c>
    </row>
    <row r="8317" spans="1:4" s="45" customFormat="1" ht="13.5" x14ac:dyDescent="0.15">
      <c r="A8317" s="45" t="s">
        <v>41</v>
      </c>
      <c r="D8317" s="45" t="s">
        <v>159</v>
      </c>
    </row>
    <row r="8318" spans="1:4" s="45" customFormat="1" ht="13.5" x14ac:dyDescent="0.15">
      <c r="A8318" s="45" t="s">
        <v>41</v>
      </c>
      <c r="D8318" s="45" t="s">
        <v>158</v>
      </c>
    </row>
    <row r="8319" spans="1:4" s="45" customFormat="1" ht="13.5" x14ac:dyDescent="0.15">
      <c r="A8319" s="45" t="s">
        <v>41</v>
      </c>
      <c r="D8319" s="45" t="s">
        <v>153</v>
      </c>
    </row>
    <row r="8320" spans="1:4" s="45" customFormat="1" ht="13.5" x14ac:dyDescent="0.15">
      <c r="A8320" s="45" t="s">
        <v>41</v>
      </c>
      <c r="D8320" s="45" t="s">
        <v>152</v>
      </c>
    </row>
    <row r="8321" spans="1:4" s="45" customFormat="1" ht="13.5" x14ac:dyDescent="0.15">
      <c r="A8321" s="45" t="s">
        <v>41</v>
      </c>
      <c r="D8321" s="45" t="s">
        <v>9612</v>
      </c>
    </row>
    <row r="8322" spans="1:4" s="45" customFormat="1" ht="13.5" x14ac:dyDescent="0.15">
      <c r="A8322" s="45" t="s">
        <v>41</v>
      </c>
      <c r="D8322" s="45" t="s">
        <v>160</v>
      </c>
    </row>
    <row r="8323" spans="1:4" s="45" customFormat="1" ht="13.5" x14ac:dyDescent="0.15">
      <c r="A8323" s="45" t="s">
        <v>41</v>
      </c>
      <c r="D8323" s="45" t="s">
        <v>157</v>
      </c>
    </row>
    <row r="8324" spans="1:4" s="45" customFormat="1" ht="13.5" x14ac:dyDescent="0.15">
      <c r="A8324" s="45" t="s">
        <v>41</v>
      </c>
      <c r="D8324" s="45" t="s">
        <v>149</v>
      </c>
    </row>
    <row r="8325" spans="1:4" s="45" customFormat="1" ht="13.5" x14ac:dyDescent="0.15">
      <c r="A8325" s="45" t="s">
        <v>41</v>
      </c>
      <c r="D8325" s="45" t="s">
        <v>156</v>
      </c>
    </row>
    <row r="8326" spans="1:4" s="45" customFormat="1" ht="13.5" x14ac:dyDescent="0.15">
      <c r="A8326" s="45" t="s">
        <v>41</v>
      </c>
      <c r="D8326" s="45" t="s">
        <v>9613</v>
      </c>
    </row>
    <row r="8327" spans="1:4" s="45" customFormat="1" ht="13.5" x14ac:dyDescent="0.15">
      <c r="A8327" s="45" t="s">
        <v>41</v>
      </c>
      <c r="D8327" s="45" t="s">
        <v>9614</v>
      </c>
    </row>
    <row r="8328" spans="1:4" s="45" customFormat="1" ht="13.5" x14ac:dyDescent="0.15">
      <c r="A8328" s="45" t="s">
        <v>41</v>
      </c>
      <c r="D8328" s="45" t="s">
        <v>144</v>
      </c>
    </row>
    <row r="8329" spans="1:4" s="45" customFormat="1" ht="13.5" x14ac:dyDescent="0.15">
      <c r="A8329" s="45" t="s">
        <v>41</v>
      </c>
      <c r="D8329" s="45" t="s">
        <v>9615</v>
      </c>
    </row>
    <row r="8330" spans="1:4" s="45" customFormat="1" ht="13.5" x14ac:dyDescent="0.15">
      <c r="A8330" s="45" t="s">
        <v>41</v>
      </c>
      <c r="D8330" s="45" t="s">
        <v>9616</v>
      </c>
    </row>
    <row r="8331" spans="1:4" s="45" customFormat="1" ht="13.5" x14ac:dyDescent="0.15">
      <c r="A8331" s="45" t="s">
        <v>41</v>
      </c>
      <c r="D8331" s="45" t="s">
        <v>9617</v>
      </c>
    </row>
    <row r="8332" spans="1:4" s="45" customFormat="1" ht="13.5" x14ac:dyDescent="0.15">
      <c r="A8332" s="45" t="s">
        <v>41</v>
      </c>
      <c r="D8332" s="45" t="s">
        <v>145</v>
      </c>
    </row>
    <row r="8333" spans="1:4" s="45" customFormat="1" ht="13.5" x14ac:dyDescent="0.15">
      <c r="A8333" s="45" t="s">
        <v>41</v>
      </c>
      <c r="D8333" s="45" t="s">
        <v>9618</v>
      </c>
    </row>
    <row r="8334" spans="1:4" s="45" customFormat="1" ht="13.5" x14ac:dyDescent="0.15">
      <c r="A8334" s="45" t="s">
        <v>41</v>
      </c>
      <c r="D8334" s="45" t="s">
        <v>9619</v>
      </c>
    </row>
    <row r="8335" spans="1:4" s="45" customFormat="1" ht="13.5" x14ac:dyDescent="0.15">
      <c r="A8335" s="45" t="s">
        <v>41</v>
      </c>
      <c r="D8335" s="45" t="s">
        <v>9620</v>
      </c>
    </row>
    <row r="8336" spans="1:4" s="45" customFormat="1" ht="13.5" x14ac:dyDescent="0.15">
      <c r="A8336" s="45" t="s">
        <v>41</v>
      </c>
      <c r="D8336" s="45" t="s">
        <v>9621</v>
      </c>
    </row>
    <row r="8337" spans="1:4" s="45" customFormat="1" ht="13.5" x14ac:dyDescent="0.15">
      <c r="A8337" s="45" t="s">
        <v>41</v>
      </c>
      <c r="D8337" s="45" t="s">
        <v>9622</v>
      </c>
    </row>
    <row r="8338" spans="1:4" s="45" customFormat="1" ht="13.5" x14ac:dyDescent="0.15">
      <c r="A8338" s="45" t="s">
        <v>41</v>
      </c>
      <c r="D8338" s="45" t="s">
        <v>9623</v>
      </c>
    </row>
    <row r="8339" spans="1:4" s="45" customFormat="1" ht="13.5" x14ac:dyDescent="0.15">
      <c r="A8339" s="45" t="s">
        <v>41</v>
      </c>
      <c r="D8339" s="45" t="s">
        <v>169</v>
      </c>
    </row>
    <row r="8340" spans="1:4" s="45" customFormat="1" ht="13.5" x14ac:dyDescent="0.15">
      <c r="A8340" s="45" t="s">
        <v>41</v>
      </c>
      <c r="D8340" s="45" t="s">
        <v>170</v>
      </c>
    </row>
    <row r="8341" spans="1:4" s="45" customFormat="1" ht="13.5" x14ac:dyDescent="0.15">
      <c r="A8341" s="45" t="s">
        <v>41</v>
      </c>
      <c r="D8341" s="45" t="s">
        <v>174</v>
      </c>
    </row>
    <row r="8342" spans="1:4" s="45" customFormat="1" ht="13.5" x14ac:dyDescent="0.15">
      <c r="A8342" s="45" t="s">
        <v>41</v>
      </c>
      <c r="D8342" s="45" t="s">
        <v>172</v>
      </c>
    </row>
    <row r="8343" spans="1:4" s="45" customFormat="1" ht="13.5" x14ac:dyDescent="0.15">
      <c r="A8343" s="45" t="s">
        <v>41</v>
      </c>
      <c r="D8343" s="45" t="s">
        <v>167</v>
      </c>
    </row>
    <row r="8344" spans="1:4" s="45" customFormat="1" ht="13.5" x14ac:dyDescent="0.15">
      <c r="A8344" s="45" t="s">
        <v>41</v>
      </c>
      <c r="D8344" s="45" t="s">
        <v>168</v>
      </c>
    </row>
    <row r="8345" spans="1:4" s="45" customFormat="1" ht="13.5" x14ac:dyDescent="0.15">
      <c r="A8345" s="45" t="s">
        <v>41</v>
      </c>
      <c r="D8345" s="45" t="s">
        <v>171</v>
      </c>
    </row>
    <row r="8346" spans="1:4" s="45" customFormat="1" ht="13.5" x14ac:dyDescent="0.15">
      <c r="A8346" s="45" t="s">
        <v>41</v>
      </c>
      <c r="D8346" s="45" t="s">
        <v>175</v>
      </c>
    </row>
    <row r="8347" spans="1:4" s="45" customFormat="1" ht="13.5" x14ac:dyDescent="0.15">
      <c r="A8347" s="45" t="s">
        <v>41</v>
      </c>
      <c r="D8347" s="45" t="s">
        <v>173</v>
      </c>
    </row>
    <row r="8348" spans="1:4" s="45" customFormat="1" ht="13.5" x14ac:dyDescent="0.15">
      <c r="A8348" s="45" t="s">
        <v>41</v>
      </c>
      <c r="D8348" s="45" t="s">
        <v>9624</v>
      </c>
    </row>
    <row r="8349" spans="1:4" s="45" customFormat="1" ht="13.5" x14ac:dyDescent="0.15">
      <c r="A8349" s="45" t="s">
        <v>41</v>
      </c>
      <c r="D8349" s="45" t="s">
        <v>146</v>
      </c>
    </row>
    <row r="8350" spans="1:4" s="45" customFormat="1" ht="13.5" x14ac:dyDescent="0.15">
      <c r="A8350" s="45" t="s">
        <v>41</v>
      </c>
      <c r="D8350" s="45" t="s">
        <v>9625</v>
      </c>
    </row>
    <row r="8351" spans="1:4" s="45" customFormat="1" ht="13.5" x14ac:dyDescent="0.15">
      <c r="A8351" s="45" t="s">
        <v>41</v>
      </c>
      <c r="D8351" s="45" t="s">
        <v>9626</v>
      </c>
    </row>
    <row r="8352" spans="1:4" s="45" customFormat="1" ht="13.5" x14ac:dyDescent="0.15">
      <c r="A8352" s="45" t="s">
        <v>41</v>
      </c>
      <c r="D8352" s="45" t="s">
        <v>9627</v>
      </c>
    </row>
    <row r="8353" spans="1:4" s="45" customFormat="1" ht="13.5" x14ac:dyDescent="0.15">
      <c r="A8353" s="45" t="s">
        <v>41</v>
      </c>
      <c r="D8353" s="45" t="s">
        <v>9628</v>
      </c>
    </row>
    <row r="8354" spans="1:4" s="45" customFormat="1" ht="13.5" x14ac:dyDescent="0.15">
      <c r="A8354" s="45" t="s">
        <v>41</v>
      </c>
      <c r="D8354" s="45" t="s">
        <v>9629</v>
      </c>
    </row>
    <row r="8355" spans="1:4" s="45" customFormat="1" ht="13.5" x14ac:dyDescent="0.15">
      <c r="A8355" s="45" t="s">
        <v>41</v>
      </c>
      <c r="D8355" s="45" t="s">
        <v>9630</v>
      </c>
    </row>
    <row r="8356" spans="1:4" s="45" customFormat="1" ht="13.5" x14ac:dyDescent="0.15">
      <c r="A8356" s="45" t="s">
        <v>41</v>
      </c>
      <c r="D8356" s="45" t="s">
        <v>9631</v>
      </c>
    </row>
    <row r="8357" spans="1:4" s="45" customFormat="1" ht="13.5" x14ac:dyDescent="0.15">
      <c r="A8357" s="45" t="s">
        <v>41</v>
      </c>
      <c r="D8357" s="45" t="s">
        <v>9632</v>
      </c>
    </row>
    <row r="8358" spans="1:4" s="45" customFormat="1" ht="13.5" x14ac:dyDescent="0.15">
      <c r="A8358" s="45" t="s">
        <v>41</v>
      </c>
      <c r="D8358" s="45" t="s">
        <v>9633</v>
      </c>
    </row>
    <row r="8359" spans="1:4" s="45" customFormat="1" ht="13.5" x14ac:dyDescent="0.15">
      <c r="A8359" s="45" t="s">
        <v>41</v>
      </c>
      <c r="D8359" s="45" t="s">
        <v>9634</v>
      </c>
    </row>
    <row r="8360" spans="1:4" s="45" customFormat="1" ht="13.5" x14ac:dyDescent="0.15">
      <c r="A8360" s="45" t="s">
        <v>41</v>
      </c>
      <c r="D8360" s="45" t="s">
        <v>9635</v>
      </c>
    </row>
    <row r="8361" spans="1:4" s="45" customFormat="1" ht="13.5" x14ac:dyDescent="0.15">
      <c r="A8361" s="45" t="s">
        <v>41</v>
      </c>
      <c r="D8361" s="45" t="s">
        <v>9636</v>
      </c>
    </row>
    <row r="8362" spans="1:4" s="45" customFormat="1" ht="13.5" x14ac:dyDescent="0.15">
      <c r="A8362" s="45" t="s">
        <v>41</v>
      </c>
      <c r="D8362" s="45" t="s">
        <v>164</v>
      </c>
    </row>
    <row r="8363" spans="1:4" s="45" customFormat="1" ht="13.5" x14ac:dyDescent="0.15">
      <c r="A8363" s="45" t="s">
        <v>41</v>
      </c>
      <c r="D8363" s="45" t="s">
        <v>9637</v>
      </c>
    </row>
    <row r="8364" spans="1:4" s="45" customFormat="1" ht="13.5" x14ac:dyDescent="0.15">
      <c r="A8364" s="45" t="s">
        <v>41</v>
      </c>
      <c r="D8364" s="45" t="s">
        <v>9638</v>
      </c>
    </row>
    <row r="8365" spans="1:4" s="45" customFormat="1" ht="13.5" x14ac:dyDescent="0.15">
      <c r="A8365" s="45" t="s">
        <v>41</v>
      </c>
      <c r="D8365" s="45" t="s">
        <v>163</v>
      </c>
    </row>
    <row r="8366" spans="1:4" s="45" customFormat="1" ht="13.5" x14ac:dyDescent="0.15">
      <c r="A8366" s="45" t="s">
        <v>41</v>
      </c>
      <c r="D8366" s="45" t="s">
        <v>162</v>
      </c>
    </row>
    <row r="8367" spans="1:4" s="45" customFormat="1" ht="13.5" x14ac:dyDescent="0.15">
      <c r="A8367" s="45" t="s">
        <v>41</v>
      </c>
      <c r="D8367" s="45" t="s">
        <v>9639</v>
      </c>
    </row>
    <row r="8368" spans="1:4" s="45" customFormat="1" ht="13.5" x14ac:dyDescent="0.15">
      <c r="A8368" s="45" t="s">
        <v>41</v>
      </c>
      <c r="D8368" s="45" t="s">
        <v>9640</v>
      </c>
    </row>
    <row r="8369" spans="1:4" s="45" customFormat="1" ht="13.5" x14ac:dyDescent="0.15">
      <c r="A8369" s="45" t="s">
        <v>41</v>
      </c>
      <c r="D8369" s="45" t="s">
        <v>9641</v>
      </c>
    </row>
    <row r="8370" spans="1:4" s="45" customFormat="1" ht="13.5" x14ac:dyDescent="0.15">
      <c r="A8370" s="45" t="s">
        <v>41</v>
      </c>
      <c r="D8370" s="45" t="s">
        <v>9642</v>
      </c>
    </row>
    <row r="8371" spans="1:4" s="45" customFormat="1" ht="13.5" x14ac:dyDescent="0.15">
      <c r="A8371" s="45" t="s">
        <v>41</v>
      </c>
      <c r="D8371" s="45" t="s">
        <v>9643</v>
      </c>
    </row>
    <row r="8372" spans="1:4" s="45" customFormat="1" ht="13.5" x14ac:dyDescent="0.15">
      <c r="A8372" s="45" t="s">
        <v>41</v>
      </c>
      <c r="D8372" s="45" t="s">
        <v>2325</v>
      </c>
    </row>
    <row r="8373" spans="1:4" s="45" customFormat="1" ht="13.5" x14ac:dyDescent="0.15">
      <c r="A8373" s="45" t="s">
        <v>41</v>
      </c>
      <c r="D8373" s="45" t="s">
        <v>9644</v>
      </c>
    </row>
    <row r="8374" spans="1:4" s="45" customFormat="1" ht="13.5" x14ac:dyDescent="0.15">
      <c r="A8374" s="45" t="s">
        <v>41</v>
      </c>
      <c r="D8374" s="45" t="s">
        <v>9645</v>
      </c>
    </row>
    <row r="8375" spans="1:4" s="45" customFormat="1" ht="13.5" x14ac:dyDescent="0.15">
      <c r="A8375" s="45" t="s">
        <v>41</v>
      </c>
      <c r="D8375" s="45" t="s">
        <v>9646</v>
      </c>
    </row>
    <row r="8376" spans="1:4" s="45" customFormat="1" ht="13.5" x14ac:dyDescent="0.15">
      <c r="A8376" s="45" t="s">
        <v>41</v>
      </c>
      <c r="D8376" s="45" t="s">
        <v>9647</v>
      </c>
    </row>
    <row r="8377" spans="1:4" s="45" customFormat="1" ht="13.5" x14ac:dyDescent="0.15">
      <c r="A8377" s="45" t="s">
        <v>41</v>
      </c>
      <c r="D8377" s="45" t="s">
        <v>9648</v>
      </c>
    </row>
    <row r="8378" spans="1:4" s="45" customFormat="1" ht="13.5" x14ac:dyDescent="0.15">
      <c r="A8378" s="45" t="s">
        <v>41</v>
      </c>
      <c r="D8378" s="45" t="s">
        <v>9649</v>
      </c>
    </row>
    <row r="8379" spans="1:4" s="45" customFormat="1" ht="13.5" x14ac:dyDescent="0.15">
      <c r="A8379" s="45" t="s">
        <v>41</v>
      </c>
      <c r="D8379" s="45" t="s">
        <v>9650</v>
      </c>
    </row>
    <row r="8380" spans="1:4" s="45" customFormat="1" ht="13.5" x14ac:dyDescent="0.15">
      <c r="A8380" s="45" t="s">
        <v>41</v>
      </c>
      <c r="D8380" s="45" t="s">
        <v>9651</v>
      </c>
    </row>
    <row r="8381" spans="1:4" s="45" customFormat="1" ht="13.5" x14ac:dyDescent="0.15">
      <c r="A8381" s="45" t="s">
        <v>41</v>
      </c>
      <c r="D8381" s="45" t="s">
        <v>602</v>
      </c>
    </row>
    <row r="8382" spans="1:4" s="45" customFormat="1" ht="13.5" x14ac:dyDescent="0.15">
      <c r="A8382" s="45" t="s">
        <v>41</v>
      </c>
      <c r="D8382" s="45" t="s">
        <v>9652</v>
      </c>
    </row>
    <row r="8383" spans="1:4" s="45" customFormat="1" ht="13.5" x14ac:dyDescent="0.15">
      <c r="A8383" s="45" t="s">
        <v>41</v>
      </c>
      <c r="D8383" s="45" t="s">
        <v>9653</v>
      </c>
    </row>
    <row r="8384" spans="1:4" s="45" customFormat="1" ht="13.5" x14ac:dyDescent="0.15">
      <c r="A8384" s="45" t="s">
        <v>41</v>
      </c>
      <c r="D8384" s="45" t="s">
        <v>9654</v>
      </c>
    </row>
    <row r="8385" spans="1:4" s="45" customFormat="1" ht="13.5" x14ac:dyDescent="0.15">
      <c r="A8385" s="45" t="s">
        <v>41</v>
      </c>
      <c r="D8385" s="45" t="s">
        <v>601</v>
      </c>
    </row>
    <row r="8386" spans="1:4" s="45" customFormat="1" ht="13.5" x14ac:dyDescent="0.15">
      <c r="A8386" s="45" t="s">
        <v>41</v>
      </c>
      <c r="D8386" s="45" t="s">
        <v>604</v>
      </c>
    </row>
    <row r="8387" spans="1:4" s="45" customFormat="1" ht="13.5" x14ac:dyDescent="0.15">
      <c r="A8387" s="45" t="s">
        <v>41</v>
      </c>
      <c r="D8387" s="45" t="s">
        <v>9655</v>
      </c>
    </row>
    <row r="8388" spans="1:4" s="45" customFormat="1" ht="13.5" x14ac:dyDescent="0.15">
      <c r="A8388" s="45" t="s">
        <v>41</v>
      </c>
      <c r="D8388" s="45" t="s">
        <v>9656</v>
      </c>
    </row>
    <row r="8389" spans="1:4" s="45" customFormat="1" ht="13.5" x14ac:dyDescent="0.15">
      <c r="A8389" s="45" t="s">
        <v>41</v>
      </c>
      <c r="D8389" s="45" t="s">
        <v>598</v>
      </c>
    </row>
    <row r="8390" spans="1:4" s="45" customFormat="1" ht="13.5" x14ac:dyDescent="0.15">
      <c r="A8390" s="45" t="s">
        <v>41</v>
      </c>
      <c r="D8390" s="45" t="s">
        <v>9657</v>
      </c>
    </row>
    <row r="8391" spans="1:4" s="45" customFormat="1" ht="13.5" x14ac:dyDescent="0.15">
      <c r="A8391" s="45" t="s">
        <v>41</v>
      </c>
      <c r="D8391" s="45" t="s">
        <v>9658</v>
      </c>
    </row>
    <row r="8392" spans="1:4" s="45" customFormat="1" ht="13.5" x14ac:dyDescent="0.15">
      <c r="A8392" s="45" t="s">
        <v>41</v>
      </c>
      <c r="D8392" s="45" t="s">
        <v>9659</v>
      </c>
    </row>
    <row r="8393" spans="1:4" s="45" customFormat="1" ht="13.5" x14ac:dyDescent="0.15">
      <c r="A8393" s="45" t="s">
        <v>41</v>
      </c>
      <c r="D8393" s="45" t="s">
        <v>9660</v>
      </c>
    </row>
    <row r="8394" spans="1:4" s="45" customFormat="1" ht="13.5" x14ac:dyDescent="0.15">
      <c r="A8394" s="45" t="s">
        <v>41</v>
      </c>
      <c r="D8394" s="45" t="s">
        <v>9661</v>
      </c>
    </row>
    <row r="8395" spans="1:4" s="45" customFormat="1" ht="13.5" x14ac:dyDescent="0.15">
      <c r="A8395" s="45" t="s">
        <v>41</v>
      </c>
      <c r="D8395" s="45" t="s">
        <v>9662</v>
      </c>
    </row>
    <row r="8396" spans="1:4" s="45" customFormat="1" ht="13.5" x14ac:dyDescent="0.15">
      <c r="A8396" s="45" t="s">
        <v>41</v>
      </c>
      <c r="D8396" s="45" t="s">
        <v>9663</v>
      </c>
    </row>
    <row r="8397" spans="1:4" s="45" customFormat="1" ht="13.5" x14ac:dyDescent="0.15">
      <c r="A8397" s="45" t="s">
        <v>41</v>
      </c>
      <c r="D8397" s="45" t="s">
        <v>9664</v>
      </c>
    </row>
    <row r="8398" spans="1:4" s="45" customFormat="1" ht="13.5" x14ac:dyDescent="0.15">
      <c r="A8398" s="45" t="s">
        <v>41</v>
      </c>
      <c r="D8398" s="45" t="s">
        <v>599</v>
      </c>
    </row>
    <row r="8399" spans="1:4" s="45" customFormat="1" ht="13.5" x14ac:dyDescent="0.15">
      <c r="A8399" s="45" t="s">
        <v>41</v>
      </c>
      <c r="D8399" s="45" t="s">
        <v>9665</v>
      </c>
    </row>
    <row r="8400" spans="1:4" s="45" customFormat="1" ht="13.5" x14ac:dyDescent="0.15">
      <c r="A8400" s="45" t="s">
        <v>41</v>
      </c>
      <c r="D8400" s="45" t="s">
        <v>603</v>
      </c>
    </row>
    <row r="8401" spans="1:4" s="45" customFormat="1" ht="13.5" x14ac:dyDescent="0.15">
      <c r="A8401" s="45" t="s">
        <v>41</v>
      </c>
      <c r="D8401" s="45" t="s">
        <v>9666</v>
      </c>
    </row>
    <row r="8402" spans="1:4" s="45" customFormat="1" ht="13.5" x14ac:dyDescent="0.15">
      <c r="A8402" s="45" t="s">
        <v>41</v>
      </c>
      <c r="D8402" s="45" t="s">
        <v>600</v>
      </c>
    </row>
    <row r="8403" spans="1:4" s="45" customFormat="1" ht="13.5" x14ac:dyDescent="0.15">
      <c r="A8403" s="45" t="s">
        <v>41</v>
      </c>
      <c r="D8403" s="45" t="s">
        <v>9667</v>
      </c>
    </row>
    <row r="8404" spans="1:4" s="45" customFormat="1" ht="13.5" x14ac:dyDescent="0.15">
      <c r="A8404" s="45" t="s">
        <v>41</v>
      </c>
      <c r="D8404" s="45" t="s">
        <v>1801</v>
      </c>
    </row>
    <row r="8405" spans="1:4" s="45" customFormat="1" ht="13.5" x14ac:dyDescent="0.15">
      <c r="A8405" s="45" t="s">
        <v>41</v>
      </c>
      <c r="D8405" s="45" t="s">
        <v>1802</v>
      </c>
    </row>
    <row r="8406" spans="1:4" s="45" customFormat="1" ht="13.5" x14ac:dyDescent="0.15">
      <c r="A8406" s="45" t="s">
        <v>41</v>
      </c>
      <c r="D8406" s="45" t="s">
        <v>2230</v>
      </c>
    </row>
    <row r="8407" spans="1:4" s="45" customFormat="1" ht="13.5" x14ac:dyDescent="0.15">
      <c r="A8407" s="45" t="s">
        <v>41</v>
      </c>
      <c r="D8407" s="45" t="s">
        <v>9668</v>
      </c>
    </row>
    <row r="8408" spans="1:4" s="45" customFormat="1" ht="13.5" x14ac:dyDescent="0.15">
      <c r="A8408" s="45" t="s">
        <v>41</v>
      </c>
      <c r="D8408" s="45" t="s">
        <v>9669</v>
      </c>
    </row>
    <row r="8409" spans="1:4" s="45" customFormat="1" ht="13.5" x14ac:dyDescent="0.15">
      <c r="A8409" s="45" t="s">
        <v>41</v>
      </c>
      <c r="D8409" s="45" t="s">
        <v>1903</v>
      </c>
    </row>
    <row r="8410" spans="1:4" s="45" customFormat="1" ht="13.5" x14ac:dyDescent="0.15">
      <c r="A8410" s="45" t="s">
        <v>41</v>
      </c>
      <c r="D8410" s="45" t="s">
        <v>1797</v>
      </c>
    </row>
    <row r="8411" spans="1:4" s="45" customFormat="1" ht="13.5" x14ac:dyDescent="0.15">
      <c r="A8411" s="45" t="s">
        <v>41</v>
      </c>
      <c r="D8411" s="45" t="s">
        <v>9670</v>
      </c>
    </row>
    <row r="8412" spans="1:4" s="45" customFormat="1" ht="13.5" x14ac:dyDescent="0.15">
      <c r="A8412" s="45" t="s">
        <v>41</v>
      </c>
      <c r="D8412" s="45" t="s">
        <v>1276</v>
      </c>
    </row>
    <row r="8413" spans="1:4" s="45" customFormat="1" ht="13.5" x14ac:dyDescent="0.15">
      <c r="A8413" s="45" t="s">
        <v>41</v>
      </c>
      <c r="D8413" s="45" t="s">
        <v>1284</v>
      </c>
    </row>
    <row r="8414" spans="1:4" s="45" customFormat="1" ht="13.5" x14ac:dyDescent="0.15">
      <c r="A8414" s="45" t="s">
        <v>41</v>
      </c>
      <c r="D8414" s="45" t="s">
        <v>9671</v>
      </c>
    </row>
    <row r="8415" spans="1:4" s="45" customFormat="1" ht="13.5" x14ac:dyDescent="0.15">
      <c r="A8415" s="45" t="s">
        <v>41</v>
      </c>
      <c r="D8415" s="45" t="s">
        <v>9672</v>
      </c>
    </row>
    <row r="8416" spans="1:4" s="45" customFormat="1" ht="13.5" x14ac:dyDescent="0.15">
      <c r="A8416" s="45" t="s">
        <v>41</v>
      </c>
      <c r="D8416" s="45" t="s">
        <v>1282</v>
      </c>
    </row>
    <row r="8417" spans="1:4" s="45" customFormat="1" ht="13.5" x14ac:dyDescent="0.15">
      <c r="A8417" s="45" t="s">
        <v>41</v>
      </c>
      <c r="D8417" s="45" t="s">
        <v>9673</v>
      </c>
    </row>
    <row r="8418" spans="1:4" s="45" customFormat="1" ht="13.5" x14ac:dyDescent="0.15">
      <c r="A8418" s="45" t="s">
        <v>41</v>
      </c>
      <c r="D8418" s="45" t="s">
        <v>1281</v>
      </c>
    </row>
    <row r="8419" spans="1:4" s="45" customFormat="1" ht="13.5" x14ac:dyDescent="0.15">
      <c r="A8419" s="45" t="s">
        <v>41</v>
      </c>
      <c r="D8419" s="45" t="s">
        <v>1275</v>
      </c>
    </row>
    <row r="8420" spans="1:4" s="45" customFormat="1" ht="13.5" x14ac:dyDescent="0.15">
      <c r="A8420" s="45" t="s">
        <v>41</v>
      </c>
      <c r="D8420" s="45" t="s">
        <v>1274</v>
      </c>
    </row>
    <row r="8421" spans="1:4" s="45" customFormat="1" ht="13.5" x14ac:dyDescent="0.15">
      <c r="A8421" s="45" t="s">
        <v>41</v>
      </c>
      <c r="D8421" s="45" t="s">
        <v>1278</v>
      </c>
    </row>
    <row r="8422" spans="1:4" s="45" customFormat="1" ht="13.5" x14ac:dyDescent="0.15">
      <c r="A8422" s="45" t="s">
        <v>41</v>
      </c>
      <c r="D8422" s="45" t="s">
        <v>1279</v>
      </c>
    </row>
    <row r="8423" spans="1:4" s="45" customFormat="1" ht="13.5" x14ac:dyDescent="0.15">
      <c r="A8423" s="45" t="s">
        <v>41</v>
      </c>
      <c r="D8423" s="45" t="s">
        <v>1280</v>
      </c>
    </row>
    <row r="8424" spans="1:4" s="45" customFormat="1" ht="13.5" x14ac:dyDescent="0.15">
      <c r="A8424" s="45" t="s">
        <v>41</v>
      </c>
      <c r="D8424" s="45" t="s">
        <v>1283</v>
      </c>
    </row>
    <row r="8425" spans="1:4" s="45" customFormat="1" ht="13.5" x14ac:dyDescent="0.15">
      <c r="A8425" s="45" t="s">
        <v>41</v>
      </c>
      <c r="D8425" s="45" t="s">
        <v>9674</v>
      </c>
    </row>
    <row r="8426" spans="1:4" s="45" customFormat="1" ht="13.5" x14ac:dyDescent="0.15">
      <c r="A8426" s="45" t="s">
        <v>41</v>
      </c>
      <c r="D8426" s="45" t="s">
        <v>9675</v>
      </c>
    </row>
    <row r="8427" spans="1:4" s="45" customFormat="1" ht="13.5" x14ac:dyDescent="0.15">
      <c r="A8427" s="45" t="s">
        <v>41</v>
      </c>
      <c r="D8427" s="45" t="s">
        <v>9676</v>
      </c>
    </row>
    <row r="8428" spans="1:4" s="45" customFormat="1" ht="13.5" x14ac:dyDescent="0.15">
      <c r="A8428" s="45" t="s">
        <v>41</v>
      </c>
      <c r="D8428" s="45" t="s">
        <v>1277</v>
      </c>
    </row>
    <row r="8429" spans="1:4" s="45" customFormat="1" ht="13.5" x14ac:dyDescent="0.15">
      <c r="A8429" s="45" t="s">
        <v>41</v>
      </c>
      <c r="D8429" s="45" t="s">
        <v>2277</v>
      </c>
    </row>
    <row r="8430" spans="1:4" s="45" customFormat="1" ht="13.5" x14ac:dyDescent="0.15">
      <c r="A8430" s="45" t="s">
        <v>41</v>
      </c>
      <c r="D8430" s="45" t="s">
        <v>1647</v>
      </c>
    </row>
    <row r="8431" spans="1:4" s="45" customFormat="1" ht="13.5" x14ac:dyDescent="0.15">
      <c r="A8431" s="45" t="s">
        <v>41</v>
      </c>
      <c r="D8431" s="45" t="s">
        <v>9677</v>
      </c>
    </row>
    <row r="8432" spans="1:4" s="45" customFormat="1" ht="13.5" x14ac:dyDescent="0.15">
      <c r="A8432" s="45" t="s">
        <v>41</v>
      </c>
      <c r="D8432" s="45" t="s">
        <v>1651</v>
      </c>
    </row>
    <row r="8433" spans="1:4" s="45" customFormat="1" ht="13.5" x14ac:dyDescent="0.15">
      <c r="A8433" s="45" t="s">
        <v>41</v>
      </c>
      <c r="D8433" s="45" t="s">
        <v>1652</v>
      </c>
    </row>
    <row r="8434" spans="1:4" s="45" customFormat="1" ht="13.5" x14ac:dyDescent="0.15">
      <c r="A8434" s="45" t="s">
        <v>41</v>
      </c>
      <c r="D8434" s="45" t="s">
        <v>1650</v>
      </c>
    </row>
    <row r="8435" spans="1:4" s="45" customFormat="1" ht="13.5" x14ac:dyDescent="0.15">
      <c r="A8435" s="45" t="s">
        <v>41</v>
      </c>
      <c r="D8435" s="45" t="s">
        <v>1648</v>
      </c>
    </row>
    <row r="8436" spans="1:4" s="45" customFormat="1" ht="13.5" x14ac:dyDescent="0.15">
      <c r="A8436" s="45" t="s">
        <v>41</v>
      </c>
      <c r="D8436" s="45" t="s">
        <v>1649</v>
      </c>
    </row>
    <row r="8437" spans="1:4" s="45" customFormat="1" ht="13.5" x14ac:dyDescent="0.15">
      <c r="A8437" s="45" t="s">
        <v>41</v>
      </c>
      <c r="D8437" s="45" t="s">
        <v>1646</v>
      </c>
    </row>
    <row r="8438" spans="1:4" s="45" customFormat="1" ht="13.5" x14ac:dyDescent="0.15">
      <c r="A8438" s="45" t="s">
        <v>41</v>
      </c>
      <c r="D8438" s="45" t="s">
        <v>9678</v>
      </c>
    </row>
    <row r="8439" spans="1:4" s="45" customFormat="1" ht="13.5" x14ac:dyDescent="0.15">
      <c r="A8439" s="45" t="s">
        <v>41</v>
      </c>
      <c r="D8439" s="45" t="s">
        <v>9679</v>
      </c>
    </row>
    <row r="8440" spans="1:4" s="45" customFormat="1" ht="13.5" x14ac:dyDescent="0.15">
      <c r="A8440" s="45" t="s">
        <v>41</v>
      </c>
      <c r="D8440" s="45" t="s">
        <v>1964</v>
      </c>
    </row>
    <row r="8441" spans="1:4" s="45" customFormat="1" ht="13.5" x14ac:dyDescent="0.15">
      <c r="A8441" s="45" t="s">
        <v>41</v>
      </c>
      <c r="D8441" s="45" t="s">
        <v>1702</v>
      </c>
    </row>
    <row r="8442" spans="1:4" s="45" customFormat="1" ht="13.5" x14ac:dyDescent="0.15">
      <c r="A8442" s="45" t="s">
        <v>41</v>
      </c>
      <c r="D8442" s="45" t="s">
        <v>2197</v>
      </c>
    </row>
    <row r="8443" spans="1:4" s="45" customFormat="1" ht="13.5" x14ac:dyDescent="0.15">
      <c r="A8443" s="45" t="s">
        <v>41</v>
      </c>
      <c r="D8443" s="45" t="s">
        <v>177</v>
      </c>
    </row>
    <row r="8444" spans="1:4" s="45" customFormat="1" ht="13.5" x14ac:dyDescent="0.15">
      <c r="A8444" s="45" t="s">
        <v>41</v>
      </c>
      <c r="D8444" s="45" t="s">
        <v>178</v>
      </c>
    </row>
    <row r="8445" spans="1:4" s="45" customFormat="1" ht="13.5" x14ac:dyDescent="0.15">
      <c r="A8445" s="45" t="s">
        <v>41</v>
      </c>
      <c r="D8445" s="45" t="s">
        <v>176</v>
      </c>
    </row>
    <row r="8446" spans="1:4" s="45" customFormat="1" ht="13.5" x14ac:dyDescent="0.15">
      <c r="A8446" s="45" t="s">
        <v>41</v>
      </c>
      <c r="D8446" s="45" t="s">
        <v>9680</v>
      </c>
    </row>
    <row r="8447" spans="1:4" s="45" customFormat="1" ht="13.5" x14ac:dyDescent="0.15">
      <c r="A8447" s="45" t="s">
        <v>41</v>
      </c>
      <c r="D8447" s="45" t="s">
        <v>9681</v>
      </c>
    </row>
    <row r="8448" spans="1:4" s="45" customFormat="1" ht="13.5" x14ac:dyDescent="0.15">
      <c r="A8448" s="45" t="s">
        <v>41</v>
      </c>
      <c r="D8448" s="45" t="s">
        <v>179</v>
      </c>
    </row>
    <row r="8449" spans="1:4" s="45" customFormat="1" ht="13.5" x14ac:dyDescent="0.15">
      <c r="A8449" s="45" t="s">
        <v>41</v>
      </c>
      <c r="D8449" s="45" t="s">
        <v>9682</v>
      </c>
    </row>
    <row r="8450" spans="1:4" s="45" customFormat="1" ht="13.5" x14ac:dyDescent="0.15">
      <c r="A8450" s="45" t="s">
        <v>41</v>
      </c>
      <c r="D8450" s="45" t="s">
        <v>433</v>
      </c>
    </row>
    <row r="8451" spans="1:4" s="45" customFormat="1" ht="13.5" x14ac:dyDescent="0.15">
      <c r="A8451" s="45" t="s">
        <v>41</v>
      </c>
      <c r="D8451" s="45" t="s">
        <v>1873</v>
      </c>
    </row>
    <row r="8452" spans="1:4" s="45" customFormat="1" ht="13.5" x14ac:dyDescent="0.15">
      <c r="A8452" s="45" t="s">
        <v>41</v>
      </c>
      <c r="D8452" s="45" t="s">
        <v>9683</v>
      </c>
    </row>
    <row r="8453" spans="1:4" s="45" customFormat="1" ht="13.5" x14ac:dyDescent="0.15">
      <c r="A8453" s="45" t="s">
        <v>41</v>
      </c>
      <c r="D8453" s="45" t="s">
        <v>121</v>
      </c>
    </row>
    <row r="8454" spans="1:4" s="45" customFormat="1" ht="13.5" x14ac:dyDescent="0.15">
      <c r="A8454" s="45" t="s">
        <v>41</v>
      </c>
      <c r="D8454" s="45" t="s">
        <v>120</v>
      </c>
    </row>
    <row r="8455" spans="1:4" s="45" customFormat="1" ht="13.5" x14ac:dyDescent="0.15">
      <c r="A8455" s="45" t="s">
        <v>41</v>
      </c>
      <c r="D8455" s="45" t="s">
        <v>855</v>
      </c>
    </row>
    <row r="8456" spans="1:4" s="45" customFormat="1" ht="13.5" x14ac:dyDescent="0.15">
      <c r="A8456" s="45" t="s">
        <v>41</v>
      </c>
      <c r="D8456" s="45" t="s">
        <v>854</v>
      </c>
    </row>
    <row r="8457" spans="1:4" s="45" customFormat="1" ht="13.5" x14ac:dyDescent="0.15">
      <c r="A8457" s="45" t="s">
        <v>41</v>
      </c>
      <c r="D8457" s="45" t="s">
        <v>2451</v>
      </c>
    </row>
    <row r="8458" spans="1:4" s="45" customFormat="1" ht="13.5" x14ac:dyDescent="0.15">
      <c r="A8458" s="45" t="s">
        <v>41</v>
      </c>
      <c r="D8458" s="45" t="s">
        <v>2445</v>
      </c>
    </row>
    <row r="8459" spans="1:4" s="45" customFormat="1" ht="13.5" x14ac:dyDescent="0.15">
      <c r="A8459" s="45" t="s">
        <v>41</v>
      </c>
      <c r="D8459" s="45" t="s">
        <v>9684</v>
      </c>
    </row>
    <row r="8460" spans="1:4" s="45" customFormat="1" ht="13.5" x14ac:dyDescent="0.15">
      <c r="A8460" s="45" t="s">
        <v>41</v>
      </c>
      <c r="D8460" s="45" t="s">
        <v>2224</v>
      </c>
    </row>
    <row r="8461" spans="1:4" s="45" customFormat="1" ht="13.5" x14ac:dyDescent="0.15">
      <c r="A8461" s="45" t="s">
        <v>41</v>
      </c>
      <c r="D8461" s="45" t="s">
        <v>9685</v>
      </c>
    </row>
    <row r="8462" spans="1:4" s="45" customFormat="1" ht="13.5" x14ac:dyDescent="0.15">
      <c r="A8462" s="45" t="s">
        <v>41</v>
      </c>
      <c r="D8462" s="45" t="s">
        <v>2219</v>
      </c>
    </row>
    <row r="8463" spans="1:4" s="45" customFormat="1" ht="13.5" x14ac:dyDescent="0.15">
      <c r="A8463" s="45" t="s">
        <v>41</v>
      </c>
      <c r="D8463" s="45" t="s">
        <v>2065</v>
      </c>
    </row>
    <row r="8464" spans="1:4" s="45" customFormat="1" ht="13.5" x14ac:dyDescent="0.15">
      <c r="A8464" s="45" t="s">
        <v>41</v>
      </c>
      <c r="D8464" s="45" t="s">
        <v>2066</v>
      </c>
    </row>
    <row r="8465" spans="1:4" s="45" customFormat="1" ht="13.5" x14ac:dyDescent="0.15">
      <c r="A8465" s="45" t="s">
        <v>41</v>
      </c>
      <c r="D8465" s="45" t="s">
        <v>2067</v>
      </c>
    </row>
    <row r="8466" spans="1:4" s="45" customFormat="1" ht="13.5" x14ac:dyDescent="0.15">
      <c r="A8466" s="45" t="s">
        <v>41</v>
      </c>
      <c r="D8466" s="45" t="s">
        <v>9686</v>
      </c>
    </row>
    <row r="8467" spans="1:4" s="45" customFormat="1" ht="13.5" x14ac:dyDescent="0.15">
      <c r="A8467" s="45" t="s">
        <v>41</v>
      </c>
      <c r="D8467" s="45" t="s">
        <v>9687</v>
      </c>
    </row>
    <row r="8468" spans="1:4" s="45" customFormat="1" ht="13.5" x14ac:dyDescent="0.15">
      <c r="A8468" s="45" t="s">
        <v>41</v>
      </c>
      <c r="D8468" s="45" t="s">
        <v>141</v>
      </c>
    </row>
    <row r="8469" spans="1:4" s="45" customFormat="1" ht="13.5" x14ac:dyDescent="0.15">
      <c r="A8469" s="45" t="s">
        <v>41</v>
      </c>
      <c r="D8469" s="45" t="s">
        <v>9688</v>
      </c>
    </row>
    <row r="8470" spans="1:4" s="45" customFormat="1" ht="13.5" x14ac:dyDescent="0.15">
      <c r="A8470" s="45" t="s">
        <v>41</v>
      </c>
      <c r="D8470" s="45" t="s">
        <v>2416</v>
      </c>
    </row>
    <row r="8471" spans="1:4" s="45" customFormat="1" ht="13.5" x14ac:dyDescent="0.15">
      <c r="A8471" s="45" t="s">
        <v>41</v>
      </c>
      <c r="D8471" s="45" t="s">
        <v>2245</v>
      </c>
    </row>
    <row r="8472" spans="1:4" s="45" customFormat="1" ht="13.5" x14ac:dyDescent="0.15">
      <c r="A8472" s="45" t="s">
        <v>41</v>
      </c>
      <c r="D8472" s="45" t="s">
        <v>1786</v>
      </c>
    </row>
    <row r="8473" spans="1:4" s="45" customFormat="1" ht="13.5" x14ac:dyDescent="0.15">
      <c r="A8473" s="45" t="s">
        <v>41</v>
      </c>
      <c r="D8473" s="45" t="s">
        <v>301</v>
      </c>
    </row>
    <row r="8474" spans="1:4" s="45" customFormat="1" ht="13.5" x14ac:dyDescent="0.15">
      <c r="A8474" s="45" t="s">
        <v>41</v>
      </c>
      <c r="D8474" s="45" t="s">
        <v>455</v>
      </c>
    </row>
    <row r="8475" spans="1:4" s="45" customFormat="1" ht="13.5" x14ac:dyDescent="0.15">
      <c r="A8475" s="45" t="s">
        <v>41</v>
      </c>
      <c r="D8475" s="45" t="s">
        <v>1189</v>
      </c>
    </row>
    <row r="8476" spans="1:4" s="45" customFormat="1" ht="13.5" x14ac:dyDescent="0.15">
      <c r="A8476" s="45" t="s">
        <v>41</v>
      </c>
      <c r="D8476" s="45" t="s">
        <v>2127</v>
      </c>
    </row>
    <row r="8477" spans="1:4" s="45" customFormat="1" ht="13.5" x14ac:dyDescent="0.15">
      <c r="A8477" s="45" t="s">
        <v>41</v>
      </c>
      <c r="D8477" s="45" t="s">
        <v>9689</v>
      </c>
    </row>
    <row r="8478" spans="1:4" s="45" customFormat="1" ht="13.5" x14ac:dyDescent="0.15">
      <c r="A8478" s="45" t="s">
        <v>41</v>
      </c>
      <c r="D8478" s="45" t="s">
        <v>9690</v>
      </c>
    </row>
    <row r="8479" spans="1:4" s="45" customFormat="1" ht="13.5" x14ac:dyDescent="0.15">
      <c r="A8479" s="45" t="s">
        <v>41</v>
      </c>
      <c r="D8479" s="45" t="s">
        <v>2101</v>
      </c>
    </row>
    <row r="8480" spans="1:4" s="45" customFormat="1" ht="13.5" x14ac:dyDescent="0.15">
      <c r="A8480" s="45" t="s">
        <v>41</v>
      </c>
      <c r="D8480" s="45" t="s">
        <v>2139</v>
      </c>
    </row>
    <row r="8481" spans="1:4" s="45" customFormat="1" ht="13.5" x14ac:dyDescent="0.15">
      <c r="A8481" s="45" t="s">
        <v>41</v>
      </c>
      <c r="D8481" s="45" t="s">
        <v>2516</v>
      </c>
    </row>
    <row r="8482" spans="1:4" s="45" customFormat="1" ht="13.5" x14ac:dyDescent="0.15">
      <c r="A8482" s="45" t="s">
        <v>41</v>
      </c>
      <c r="D8482" s="45" t="s">
        <v>2549</v>
      </c>
    </row>
    <row r="8483" spans="1:4" s="45" customFormat="1" ht="13.5" x14ac:dyDescent="0.15">
      <c r="A8483" s="45" t="s">
        <v>41</v>
      </c>
      <c r="D8483" s="45" t="s">
        <v>2530</v>
      </c>
    </row>
    <row r="8484" spans="1:4" s="45" customFormat="1" ht="13.5" x14ac:dyDescent="0.15">
      <c r="A8484" s="45" t="s">
        <v>41</v>
      </c>
      <c r="D8484" s="45" t="s">
        <v>9691</v>
      </c>
    </row>
    <row r="8485" spans="1:4" s="45" customFormat="1" ht="13.5" x14ac:dyDescent="0.15">
      <c r="A8485" s="45" t="s">
        <v>41</v>
      </c>
      <c r="D8485" s="45" t="s">
        <v>815</v>
      </c>
    </row>
    <row r="8486" spans="1:4" s="45" customFormat="1" ht="13.5" x14ac:dyDescent="0.15">
      <c r="A8486" s="45" t="s">
        <v>41</v>
      </c>
      <c r="D8486" s="45" t="s">
        <v>816</v>
      </c>
    </row>
    <row r="8487" spans="1:4" s="45" customFormat="1" ht="13.5" x14ac:dyDescent="0.15">
      <c r="A8487" s="45" t="s">
        <v>41</v>
      </c>
      <c r="D8487" s="45" t="s">
        <v>814</v>
      </c>
    </row>
    <row r="8488" spans="1:4" s="45" customFormat="1" ht="13.5" x14ac:dyDescent="0.15">
      <c r="A8488" s="45" t="s">
        <v>41</v>
      </c>
      <c r="D8488" s="45" t="s">
        <v>1774</v>
      </c>
    </row>
    <row r="8489" spans="1:4" s="45" customFormat="1" ht="13.5" x14ac:dyDescent="0.15">
      <c r="A8489" s="45" t="s">
        <v>41</v>
      </c>
      <c r="D8489" s="45" t="s">
        <v>2094</v>
      </c>
    </row>
    <row r="8490" spans="1:4" s="45" customFormat="1" ht="13.5" x14ac:dyDescent="0.15">
      <c r="A8490" s="45" t="s">
        <v>41</v>
      </c>
      <c r="D8490" s="45" t="s">
        <v>9692</v>
      </c>
    </row>
    <row r="8491" spans="1:4" s="45" customFormat="1" ht="13.5" x14ac:dyDescent="0.15">
      <c r="A8491" s="45" t="s">
        <v>41</v>
      </c>
      <c r="D8491" s="45" t="s">
        <v>9693</v>
      </c>
    </row>
    <row r="8492" spans="1:4" s="45" customFormat="1" ht="13.5" x14ac:dyDescent="0.15">
      <c r="A8492" s="45" t="s">
        <v>41</v>
      </c>
      <c r="D8492" s="45" t="s">
        <v>1941</v>
      </c>
    </row>
    <row r="8493" spans="1:4" s="45" customFormat="1" ht="13.5" x14ac:dyDescent="0.15">
      <c r="A8493" s="45" t="s">
        <v>41</v>
      </c>
      <c r="D8493" s="45" t="s">
        <v>1938</v>
      </c>
    </row>
    <row r="8494" spans="1:4" s="45" customFormat="1" ht="13.5" x14ac:dyDescent="0.15">
      <c r="A8494" s="45" t="s">
        <v>41</v>
      </c>
      <c r="D8494" s="45" t="s">
        <v>1939</v>
      </c>
    </row>
    <row r="8495" spans="1:4" s="45" customFormat="1" ht="13.5" x14ac:dyDescent="0.15">
      <c r="A8495" s="45" t="s">
        <v>41</v>
      </c>
      <c r="D8495" s="45" t="s">
        <v>9694</v>
      </c>
    </row>
    <row r="8496" spans="1:4" s="45" customFormat="1" ht="13.5" x14ac:dyDescent="0.15">
      <c r="A8496" s="45" t="s">
        <v>41</v>
      </c>
      <c r="D8496" s="45" t="s">
        <v>9695</v>
      </c>
    </row>
    <row r="8497" spans="1:4" s="45" customFormat="1" ht="13.5" x14ac:dyDescent="0.15">
      <c r="A8497" s="45" t="s">
        <v>41</v>
      </c>
      <c r="D8497" s="45" t="s">
        <v>9696</v>
      </c>
    </row>
    <row r="8498" spans="1:4" s="45" customFormat="1" ht="13.5" x14ac:dyDescent="0.15">
      <c r="A8498" s="45" t="s">
        <v>41</v>
      </c>
      <c r="D8498" s="45" t="s">
        <v>9697</v>
      </c>
    </row>
    <row r="8499" spans="1:4" s="45" customFormat="1" ht="13.5" x14ac:dyDescent="0.15">
      <c r="A8499" s="45" t="s">
        <v>41</v>
      </c>
      <c r="D8499" s="45" t="s">
        <v>9698</v>
      </c>
    </row>
    <row r="8500" spans="1:4" s="45" customFormat="1" ht="13.5" x14ac:dyDescent="0.15">
      <c r="A8500" s="45" t="s">
        <v>41</v>
      </c>
      <c r="D8500" s="45" t="s">
        <v>9699</v>
      </c>
    </row>
    <row r="8501" spans="1:4" s="45" customFormat="1" ht="13.5" x14ac:dyDescent="0.15">
      <c r="A8501" s="45" t="s">
        <v>41</v>
      </c>
      <c r="D8501" s="45" t="s">
        <v>1936</v>
      </c>
    </row>
    <row r="8502" spans="1:4" s="45" customFormat="1" ht="13.5" x14ac:dyDescent="0.15">
      <c r="A8502" s="45" t="s">
        <v>41</v>
      </c>
      <c r="D8502" s="45" t="s">
        <v>1937</v>
      </c>
    </row>
    <row r="8503" spans="1:4" s="45" customFormat="1" ht="13.5" x14ac:dyDescent="0.15">
      <c r="A8503" s="45" t="s">
        <v>41</v>
      </c>
      <c r="D8503" s="45" t="s">
        <v>9700</v>
      </c>
    </row>
    <row r="8504" spans="1:4" s="45" customFormat="1" ht="13.5" x14ac:dyDescent="0.15">
      <c r="A8504" s="45" t="s">
        <v>41</v>
      </c>
      <c r="D8504" s="45" t="s">
        <v>9701</v>
      </c>
    </row>
    <row r="8505" spans="1:4" s="45" customFormat="1" ht="13.5" x14ac:dyDescent="0.15">
      <c r="A8505" s="45" t="s">
        <v>41</v>
      </c>
      <c r="D8505" s="45" t="s">
        <v>1935</v>
      </c>
    </row>
    <row r="8506" spans="1:4" s="45" customFormat="1" ht="13.5" x14ac:dyDescent="0.15">
      <c r="A8506" s="45" t="s">
        <v>41</v>
      </c>
      <c r="D8506" s="45" t="s">
        <v>9702</v>
      </c>
    </row>
    <row r="8507" spans="1:4" s="45" customFormat="1" ht="13.5" x14ac:dyDescent="0.15">
      <c r="A8507" s="45" t="s">
        <v>41</v>
      </c>
      <c r="D8507" s="45" t="s">
        <v>9703</v>
      </c>
    </row>
    <row r="8508" spans="1:4" s="45" customFormat="1" ht="13.5" x14ac:dyDescent="0.15">
      <c r="A8508" s="45" t="s">
        <v>41</v>
      </c>
      <c r="D8508" s="45" t="s">
        <v>1934</v>
      </c>
    </row>
    <row r="8509" spans="1:4" s="45" customFormat="1" ht="13.5" x14ac:dyDescent="0.15">
      <c r="A8509" s="45" t="s">
        <v>41</v>
      </c>
      <c r="D8509" s="45" t="s">
        <v>9704</v>
      </c>
    </row>
    <row r="8510" spans="1:4" s="45" customFormat="1" ht="13.5" x14ac:dyDescent="0.15">
      <c r="A8510" s="45" t="s">
        <v>41</v>
      </c>
      <c r="D8510" s="45" t="s">
        <v>9705</v>
      </c>
    </row>
    <row r="8511" spans="1:4" s="45" customFormat="1" ht="13.5" x14ac:dyDescent="0.15">
      <c r="A8511" s="45" t="s">
        <v>41</v>
      </c>
      <c r="D8511" s="45" t="s">
        <v>1943</v>
      </c>
    </row>
    <row r="8512" spans="1:4" s="45" customFormat="1" ht="13.5" x14ac:dyDescent="0.15">
      <c r="A8512" s="45" t="s">
        <v>41</v>
      </c>
      <c r="D8512" s="45" t="s">
        <v>1942</v>
      </c>
    </row>
    <row r="8513" spans="1:4" s="45" customFormat="1" ht="13.5" x14ac:dyDescent="0.15">
      <c r="A8513" s="45" t="s">
        <v>41</v>
      </c>
      <c r="D8513" s="45" t="s">
        <v>9706</v>
      </c>
    </row>
    <row r="8514" spans="1:4" s="45" customFormat="1" ht="13.5" x14ac:dyDescent="0.15">
      <c r="A8514" s="45" t="s">
        <v>41</v>
      </c>
      <c r="D8514" s="45" t="s">
        <v>9707</v>
      </c>
    </row>
    <row r="8515" spans="1:4" s="45" customFormat="1" ht="13.5" x14ac:dyDescent="0.15">
      <c r="A8515" s="45" t="s">
        <v>41</v>
      </c>
      <c r="D8515" s="45" t="s">
        <v>9708</v>
      </c>
    </row>
    <row r="8516" spans="1:4" s="45" customFormat="1" ht="13.5" x14ac:dyDescent="0.15">
      <c r="A8516" s="45" t="s">
        <v>41</v>
      </c>
      <c r="D8516" s="45" t="s">
        <v>9709</v>
      </c>
    </row>
    <row r="8517" spans="1:4" s="45" customFormat="1" ht="13.5" x14ac:dyDescent="0.15">
      <c r="A8517" s="45" t="s">
        <v>41</v>
      </c>
      <c r="D8517" s="45" t="s">
        <v>9710</v>
      </c>
    </row>
    <row r="8518" spans="1:4" s="45" customFormat="1" ht="13.5" x14ac:dyDescent="0.15">
      <c r="A8518" s="45" t="s">
        <v>41</v>
      </c>
      <c r="D8518" s="45" t="s">
        <v>9711</v>
      </c>
    </row>
    <row r="8519" spans="1:4" s="45" customFormat="1" ht="13.5" x14ac:dyDescent="0.15">
      <c r="A8519" s="45" t="s">
        <v>41</v>
      </c>
      <c r="D8519" s="45" t="s">
        <v>9712</v>
      </c>
    </row>
    <row r="8520" spans="1:4" s="45" customFormat="1" ht="13.5" x14ac:dyDescent="0.15">
      <c r="A8520" s="45" t="s">
        <v>41</v>
      </c>
      <c r="D8520" s="45" t="s">
        <v>1933</v>
      </c>
    </row>
    <row r="8521" spans="1:4" s="45" customFormat="1" ht="13.5" x14ac:dyDescent="0.15">
      <c r="A8521" s="45" t="s">
        <v>41</v>
      </c>
      <c r="D8521" s="45" t="s">
        <v>9713</v>
      </c>
    </row>
    <row r="8522" spans="1:4" s="45" customFormat="1" ht="13.5" x14ac:dyDescent="0.15">
      <c r="A8522" s="45" t="s">
        <v>41</v>
      </c>
      <c r="D8522" s="45" t="s">
        <v>9714</v>
      </c>
    </row>
    <row r="8523" spans="1:4" s="45" customFormat="1" ht="13.5" x14ac:dyDescent="0.15">
      <c r="A8523" s="45" t="s">
        <v>41</v>
      </c>
      <c r="D8523" s="45" t="s">
        <v>1940</v>
      </c>
    </row>
    <row r="8524" spans="1:4" s="45" customFormat="1" ht="13.5" x14ac:dyDescent="0.15">
      <c r="A8524" s="45" t="s">
        <v>41</v>
      </c>
      <c r="D8524" s="45" t="s">
        <v>9715</v>
      </c>
    </row>
    <row r="8525" spans="1:4" s="45" customFormat="1" ht="13.5" x14ac:dyDescent="0.15">
      <c r="A8525" s="45" t="s">
        <v>41</v>
      </c>
      <c r="D8525" s="45" t="s">
        <v>836</v>
      </c>
    </row>
    <row r="8526" spans="1:4" s="45" customFormat="1" ht="13.5" x14ac:dyDescent="0.15">
      <c r="A8526" s="45" t="s">
        <v>41</v>
      </c>
      <c r="D8526" s="45" t="s">
        <v>9716</v>
      </c>
    </row>
    <row r="8527" spans="1:4" s="45" customFormat="1" ht="13.5" x14ac:dyDescent="0.15">
      <c r="A8527" s="45" t="s">
        <v>41</v>
      </c>
      <c r="D8527" s="45" t="s">
        <v>9717</v>
      </c>
    </row>
    <row r="8528" spans="1:4" s="45" customFormat="1" ht="13.5" x14ac:dyDescent="0.15">
      <c r="A8528" s="45" t="s">
        <v>41</v>
      </c>
      <c r="D8528" s="45" t="s">
        <v>1039</v>
      </c>
    </row>
    <row r="8529" spans="1:4" s="45" customFormat="1" ht="13.5" x14ac:dyDescent="0.15">
      <c r="A8529" s="45" t="s">
        <v>41</v>
      </c>
      <c r="D8529" s="45" t="s">
        <v>1040</v>
      </c>
    </row>
    <row r="8530" spans="1:4" s="45" customFormat="1" ht="13.5" x14ac:dyDescent="0.15">
      <c r="A8530" s="45" t="s">
        <v>41</v>
      </c>
      <c r="D8530" s="45" t="s">
        <v>9718</v>
      </c>
    </row>
    <row r="8531" spans="1:4" s="45" customFormat="1" ht="13.5" x14ac:dyDescent="0.15">
      <c r="A8531" s="45" t="s">
        <v>41</v>
      </c>
      <c r="D8531" s="45" t="s">
        <v>9719</v>
      </c>
    </row>
    <row r="8532" spans="1:4" s="45" customFormat="1" ht="13.5" x14ac:dyDescent="0.15">
      <c r="A8532" s="45" t="s">
        <v>41</v>
      </c>
      <c r="D8532" s="45" t="s">
        <v>308</v>
      </c>
    </row>
    <row r="8533" spans="1:4" s="45" customFormat="1" ht="13.5" x14ac:dyDescent="0.15">
      <c r="A8533" s="45" t="s">
        <v>41</v>
      </c>
      <c r="D8533" s="45" t="s">
        <v>1838</v>
      </c>
    </row>
    <row r="8534" spans="1:4" s="45" customFormat="1" ht="13.5" x14ac:dyDescent="0.15">
      <c r="A8534" s="45" t="s">
        <v>41</v>
      </c>
      <c r="D8534" s="45" t="s">
        <v>9720</v>
      </c>
    </row>
    <row r="8535" spans="1:4" s="45" customFormat="1" ht="13.5" x14ac:dyDescent="0.15">
      <c r="A8535" s="45" t="s">
        <v>41</v>
      </c>
      <c r="D8535" s="45" t="s">
        <v>2126</v>
      </c>
    </row>
    <row r="8536" spans="1:4" s="45" customFormat="1" ht="13.5" x14ac:dyDescent="0.15">
      <c r="A8536" s="45" t="s">
        <v>41</v>
      </c>
      <c r="D8536" s="45" t="s">
        <v>2381</v>
      </c>
    </row>
    <row r="8537" spans="1:4" s="45" customFormat="1" ht="13.5" x14ac:dyDescent="0.15">
      <c r="A8537" s="45" t="s">
        <v>41</v>
      </c>
      <c r="D8537" s="45" t="s">
        <v>2100</v>
      </c>
    </row>
    <row r="8538" spans="1:4" s="45" customFormat="1" ht="13.5" x14ac:dyDescent="0.15">
      <c r="A8538" s="45" t="s">
        <v>41</v>
      </c>
      <c r="D8538" s="45" t="s">
        <v>2291</v>
      </c>
    </row>
    <row r="8539" spans="1:4" s="45" customFormat="1" ht="13.5" x14ac:dyDescent="0.15">
      <c r="A8539" s="45" t="s">
        <v>41</v>
      </c>
      <c r="D8539" s="45" t="s">
        <v>2548</v>
      </c>
    </row>
    <row r="8540" spans="1:4" s="45" customFormat="1" ht="13.5" x14ac:dyDescent="0.15">
      <c r="A8540" s="45" t="s">
        <v>41</v>
      </c>
      <c r="D8540" s="45" t="s">
        <v>9721</v>
      </c>
    </row>
    <row r="8541" spans="1:4" s="45" customFormat="1" ht="13.5" x14ac:dyDescent="0.15">
      <c r="A8541" s="45" t="s">
        <v>41</v>
      </c>
      <c r="D8541" s="45" t="s">
        <v>9722</v>
      </c>
    </row>
    <row r="8542" spans="1:4" s="45" customFormat="1" ht="13.5" x14ac:dyDescent="0.15">
      <c r="A8542" s="45" t="s">
        <v>41</v>
      </c>
      <c r="D8542" s="45" t="s">
        <v>2184</v>
      </c>
    </row>
    <row r="8543" spans="1:4" s="45" customFormat="1" ht="13.5" x14ac:dyDescent="0.15">
      <c r="A8543" s="45" t="s">
        <v>41</v>
      </c>
      <c r="D8543" s="45" t="s">
        <v>2183</v>
      </c>
    </row>
    <row r="8544" spans="1:4" s="45" customFormat="1" ht="13.5" x14ac:dyDescent="0.15">
      <c r="A8544" s="45" t="s">
        <v>41</v>
      </c>
      <c r="D8544" s="45" t="s">
        <v>9723</v>
      </c>
    </row>
    <row r="8545" spans="1:4" s="45" customFormat="1" ht="13.5" x14ac:dyDescent="0.15">
      <c r="A8545" s="45" t="s">
        <v>41</v>
      </c>
      <c r="D8545" s="45" t="s">
        <v>9724</v>
      </c>
    </row>
    <row r="8546" spans="1:4" s="45" customFormat="1" ht="13.5" x14ac:dyDescent="0.15">
      <c r="A8546" s="45" t="s">
        <v>41</v>
      </c>
      <c r="D8546" s="45" t="s">
        <v>9725</v>
      </c>
    </row>
    <row r="8547" spans="1:4" s="45" customFormat="1" ht="13.5" x14ac:dyDescent="0.15">
      <c r="A8547" s="45" t="s">
        <v>41</v>
      </c>
      <c r="D8547" s="45" t="s">
        <v>9726</v>
      </c>
    </row>
    <row r="8548" spans="1:4" s="45" customFormat="1" ht="13.5" x14ac:dyDescent="0.15">
      <c r="A8548" s="45" t="s">
        <v>41</v>
      </c>
      <c r="D8548" s="45" t="s">
        <v>9727</v>
      </c>
    </row>
    <row r="8549" spans="1:4" s="45" customFormat="1" ht="13.5" x14ac:dyDescent="0.15">
      <c r="A8549" s="45" t="s">
        <v>41</v>
      </c>
      <c r="D8549" s="45" t="s">
        <v>9728</v>
      </c>
    </row>
    <row r="8550" spans="1:4" s="45" customFormat="1" ht="13.5" x14ac:dyDescent="0.15">
      <c r="A8550" s="45" t="s">
        <v>41</v>
      </c>
      <c r="D8550" s="45" t="s">
        <v>2202</v>
      </c>
    </row>
    <row r="8551" spans="1:4" s="45" customFormat="1" ht="13.5" x14ac:dyDescent="0.15">
      <c r="A8551" s="45" t="s">
        <v>41</v>
      </c>
      <c r="D8551" s="45" t="s">
        <v>2203</v>
      </c>
    </row>
    <row r="8552" spans="1:4" s="45" customFormat="1" ht="13.5" x14ac:dyDescent="0.15">
      <c r="A8552" s="45" t="s">
        <v>41</v>
      </c>
      <c r="D8552" s="45" t="s">
        <v>1850</v>
      </c>
    </row>
    <row r="8553" spans="1:4" s="45" customFormat="1" ht="13.5" x14ac:dyDescent="0.15">
      <c r="A8553" s="45" t="s">
        <v>41</v>
      </c>
      <c r="D8553" s="45" t="s">
        <v>1841</v>
      </c>
    </row>
    <row r="8554" spans="1:4" s="45" customFormat="1" ht="13.5" x14ac:dyDescent="0.15">
      <c r="A8554" s="45" t="s">
        <v>41</v>
      </c>
      <c r="D8554" s="45" t="s">
        <v>9729</v>
      </c>
    </row>
    <row r="8555" spans="1:4" s="45" customFormat="1" ht="13.5" x14ac:dyDescent="0.15">
      <c r="A8555" s="45" t="s">
        <v>41</v>
      </c>
      <c r="D8555" s="45" t="s">
        <v>9730</v>
      </c>
    </row>
    <row r="8556" spans="1:4" s="45" customFormat="1" ht="13.5" x14ac:dyDescent="0.15">
      <c r="A8556" s="45" t="s">
        <v>41</v>
      </c>
      <c r="D8556" s="45" t="s">
        <v>9731</v>
      </c>
    </row>
    <row r="8557" spans="1:4" s="45" customFormat="1" ht="13.5" x14ac:dyDescent="0.15">
      <c r="A8557" s="45" t="s">
        <v>41</v>
      </c>
      <c r="D8557" s="45" t="s">
        <v>9732</v>
      </c>
    </row>
    <row r="8558" spans="1:4" s="45" customFormat="1" ht="13.5" x14ac:dyDescent="0.15">
      <c r="A8558" s="45" t="s">
        <v>41</v>
      </c>
      <c r="D8558" s="45" t="s">
        <v>9733</v>
      </c>
    </row>
    <row r="8559" spans="1:4" s="45" customFormat="1" ht="13.5" x14ac:dyDescent="0.15">
      <c r="A8559" s="45" t="s">
        <v>41</v>
      </c>
      <c r="D8559" s="45" t="s">
        <v>9734</v>
      </c>
    </row>
    <row r="8560" spans="1:4" s="45" customFormat="1" ht="13.5" x14ac:dyDescent="0.15">
      <c r="A8560" s="45" t="s">
        <v>41</v>
      </c>
      <c r="D8560" s="45" t="s">
        <v>9735</v>
      </c>
    </row>
    <row r="8561" spans="1:4" s="45" customFormat="1" ht="13.5" x14ac:dyDescent="0.15">
      <c r="A8561" s="45" t="s">
        <v>41</v>
      </c>
      <c r="D8561" s="45" t="s">
        <v>9736</v>
      </c>
    </row>
    <row r="8562" spans="1:4" s="45" customFormat="1" ht="13.5" x14ac:dyDescent="0.15">
      <c r="A8562" s="45" t="s">
        <v>41</v>
      </c>
      <c r="D8562" s="45" t="s">
        <v>2345</v>
      </c>
    </row>
    <row r="8563" spans="1:4" s="45" customFormat="1" ht="13.5" x14ac:dyDescent="0.15">
      <c r="A8563" s="45" t="s">
        <v>41</v>
      </c>
      <c r="D8563" s="45" t="s">
        <v>9737</v>
      </c>
    </row>
    <row r="8564" spans="1:4" s="45" customFormat="1" ht="13.5" x14ac:dyDescent="0.15">
      <c r="A8564" s="45" t="s">
        <v>41</v>
      </c>
      <c r="D8564" s="45" t="s">
        <v>264</v>
      </c>
    </row>
    <row r="8565" spans="1:4" s="45" customFormat="1" ht="13.5" x14ac:dyDescent="0.15">
      <c r="A8565" s="45" t="s">
        <v>41</v>
      </c>
      <c r="D8565" s="45" t="s">
        <v>263</v>
      </c>
    </row>
    <row r="8566" spans="1:4" s="45" customFormat="1" ht="13.5" x14ac:dyDescent="0.15">
      <c r="A8566" s="45" t="s">
        <v>41</v>
      </c>
      <c r="D8566" s="45" t="s">
        <v>265</v>
      </c>
    </row>
    <row r="8567" spans="1:4" s="45" customFormat="1" ht="13.5" x14ac:dyDescent="0.15">
      <c r="A8567" s="45" t="s">
        <v>41</v>
      </c>
      <c r="D8567" s="45" t="s">
        <v>9738</v>
      </c>
    </row>
    <row r="8568" spans="1:4" s="45" customFormat="1" ht="13.5" x14ac:dyDescent="0.15">
      <c r="A8568" s="45" t="s">
        <v>41</v>
      </c>
      <c r="D8568" s="45" t="s">
        <v>673</v>
      </c>
    </row>
    <row r="8569" spans="1:4" s="45" customFormat="1" ht="13.5" x14ac:dyDescent="0.15">
      <c r="A8569" s="45" t="s">
        <v>41</v>
      </c>
      <c r="D8569" s="45" t="s">
        <v>674</v>
      </c>
    </row>
    <row r="8570" spans="1:4" s="45" customFormat="1" ht="13.5" x14ac:dyDescent="0.15">
      <c r="A8570" s="45" t="s">
        <v>41</v>
      </c>
      <c r="D8570" s="45" t="s">
        <v>675</v>
      </c>
    </row>
    <row r="8571" spans="1:4" ht="13.5" x14ac:dyDescent="0.15">
      <c r="A8571" s="45" t="s">
        <v>41</v>
      </c>
      <c r="B8571" s="45"/>
      <c r="C8571" s="45"/>
      <c r="D8571" s="45" t="s">
        <v>9739</v>
      </c>
    </row>
    <row r="8572" spans="1:4" ht="13.5" x14ac:dyDescent="0.15">
      <c r="A8572" s="45" t="s">
        <v>41</v>
      </c>
      <c r="B8572" s="45"/>
      <c r="C8572" s="45"/>
      <c r="D8572" s="45" t="s">
        <v>2362</v>
      </c>
    </row>
    <row r="8573" spans="1:4" ht="13.5" x14ac:dyDescent="0.15">
      <c r="A8573" s="45" t="s">
        <v>41</v>
      </c>
      <c r="B8573" s="45"/>
      <c r="C8573" s="45"/>
      <c r="D8573" s="45" t="s">
        <v>1760</v>
      </c>
    </row>
    <row r="8574" spans="1:4" ht="13.5" x14ac:dyDescent="0.15">
      <c r="A8574" s="45" t="s">
        <v>41</v>
      </c>
      <c r="B8574" s="45"/>
      <c r="C8574" s="45"/>
      <c r="D8574" s="45" t="s">
        <v>9740</v>
      </c>
    </row>
    <row r="8575" spans="1:4" ht="13.5" x14ac:dyDescent="0.15">
      <c r="A8575" s="45" t="s">
        <v>41</v>
      </c>
      <c r="B8575" s="45"/>
      <c r="C8575" s="45"/>
      <c r="D8575" s="45" t="s">
        <v>307</v>
      </c>
    </row>
    <row r="8576" spans="1:4" ht="13.5" x14ac:dyDescent="0.15">
      <c r="A8576" s="45" t="s">
        <v>41</v>
      </c>
      <c r="B8576" s="45"/>
      <c r="C8576" s="45"/>
      <c r="D8576" s="45" t="s">
        <v>9741</v>
      </c>
    </row>
    <row r="8577" spans="1:4" ht="13.5" x14ac:dyDescent="0.15">
      <c r="A8577" s="45" t="s">
        <v>41</v>
      </c>
      <c r="B8577" s="45"/>
      <c r="C8577" s="45"/>
      <c r="D8577" s="45" t="s">
        <v>9742</v>
      </c>
    </row>
    <row r="8578" spans="1:4" ht="13.5" x14ac:dyDescent="0.15">
      <c r="A8578" s="45" t="s">
        <v>41</v>
      </c>
      <c r="B8578" s="45"/>
      <c r="C8578" s="45"/>
      <c r="D8578" s="45" t="s">
        <v>9743</v>
      </c>
    </row>
    <row r="8579" spans="1:4" ht="13.5" x14ac:dyDescent="0.15">
      <c r="A8579" s="45" t="s">
        <v>41</v>
      </c>
      <c r="B8579" s="45"/>
      <c r="C8579" s="45"/>
      <c r="D8579" s="45" t="s">
        <v>9744</v>
      </c>
    </row>
    <row r="8580" spans="1:4" ht="13.5" x14ac:dyDescent="0.15">
      <c r="A8580" s="45" t="s">
        <v>41</v>
      </c>
      <c r="B8580" s="45"/>
      <c r="C8580" s="45"/>
      <c r="D8580" s="45" t="s">
        <v>306</v>
      </c>
    </row>
    <row r="8581" spans="1:4" ht="13.5" x14ac:dyDescent="0.15">
      <c r="A8581" s="45" t="s">
        <v>41</v>
      </c>
      <c r="B8581" s="45"/>
      <c r="C8581" s="45"/>
      <c r="D8581" s="45" t="s">
        <v>9745</v>
      </c>
    </row>
    <row r="8582" spans="1:4" ht="13.5" x14ac:dyDescent="0.15">
      <c r="A8582" s="45" t="s">
        <v>41</v>
      </c>
      <c r="B8582" s="45"/>
      <c r="C8582" s="45"/>
      <c r="D8582" s="45" t="s">
        <v>9746</v>
      </c>
    </row>
    <row r="8583" spans="1:4" ht="13.5" x14ac:dyDescent="0.15">
      <c r="A8583" s="45" t="s">
        <v>41</v>
      </c>
      <c r="B8583" s="45"/>
      <c r="C8583" s="45"/>
      <c r="D8583" s="45" t="s">
        <v>9747</v>
      </c>
    </row>
    <row r="8584" spans="1:4" ht="13.5" x14ac:dyDescent="0.15">
      <c r="A8584" s="45" t="s">
        <v>41</v>
      </c>
      <c r="B8584" s="45"/>
      <c r="C8584" s="45"/>
      <c r="D8584" s="45" t="s">
        <v>9748</v>
      </c>
    </row>
    <row r="8585" spans="1:4" ht="13.5" x14ac:dyDescent="0.15">
      <c r="A8585" s="45" t="s">
        <v>41</v>
      </c>
      <c r="B8585" s="45"/>
      <c r="C8585" s="45"/>
      <c r="D8585" s="45" t="s">
        <v>9749</v>
      </c>
    </row>
    <row r="8586" spans="1:4" ht="13.5" x14ac:dyDescent="0.15">
      <c r="A8586" s="45" t="s">
        <v>41</v>
      </c>
      <c r="B8586" s="45"/>
      <c r="C8586" s="45"/>
      <c r="D8586" s="45" t="s">
        <v>9750</v>
      </c>
    </row>
    <row r="8587" spans="1:4" ht="13.5" x14ac:dyDescent="0.15">
      <c r="A8587" s="45" t="s">
        <v>41</v>
      </c>
      <c r="B8587" s="45"/>
      <c r="C8587" s="45"/>
      <c r="D8587" s="45" t="s">
        <v>9751</v>
      </c>
    </row>
    <row r="8588" spans="1:4" ht="13.5" x14ac:dyDescent="0.15">
      <c r="A8588" s="45" t="s">
        <v>41</v>
      </c>
      <c r="B8588" s="45"/>
      <c r="C8588" s="45"/>
      <c r="D8588" s="45" t="s">
        <v>74</v>
      </c>
    </row>
    <row r="8589" spans="1:4" ht="13.5" x14ac:dyDescent="0.15">
      <c r="A8589" s="45" t="s">
        <v>41</v>
      </c>
      <c r="B8589" s="45"/>
      <c r="C8589" s="45"/>
      <c r="D8589" s="45" t="s">
        <v>75</v>
      </c>
    </row>
    <row r="8590" spans="1:4" ht="13.5" x14ac:dyDescent="0.15">
      <c r="A8590" s="45" t="s">
        <v>41</v>
      </c>
      <c r="B8590" s="45"/>
      <c r="C8590" s="45"/>
      <c r="D8590" s="45" t="s">
        <v>76</v>
      </c>
    </row>
    <row r="8591" spans="1:4" ht="13.5" x14ac:dyDescent="0.15">
      <c r="A8591" s="45" t="s">
        <v>41</v>
      </c>
      <c r="B8591" s="45"/>
      <c r="C8591" s="45"/>
      <c r="D8591" s="45" t="s">
        <v>77</v>
      </c>
    </row>
    <row r="8592" spans="1:4" ht="13.5" x14ac:dyDescent="0.15">
      <c r="A8592" s="45" t="s">
        <v>41</v>
      </c>
      <c r="B8592" s="45"/>
      <c r="C8592" s="45"/>
      <c r="D8592" s="45" t="s">
        <v>78</v>
      </c>
    </row>
    <row r="8593" spans="1:4" ht="13.5" x14ac:dyDescent="0.15">
      <c r="A8593" s="45" t="s">
        <v>41</v>
      </c>
      <c r="B8593" s="45"/>
      <c r="C8593" s="45"/>
      <c r="D8593" s="45" t="s">
        <v>79</v>
      </c>
    </row>
    <row r="8594" spans="1:4" ht="13.5" x14ac:dyDescent="0.15">
      <c r="A8594" s="45" t="s">
        <v>41</v>
      </c>
      <c r="B8594" s="45"/>
      <c r="C8594" s="45"/>
      <c r="D8594" s="45" t="s">
        <v>80</v>
      </c>
    </row>
    <row r="8595" spans="1:4" ht="13.5" x14ac:dyDescent="0.15">
      <c r="A8595" s="45" t="s">
        <v>41</v>
      </c>
      <c r="B8595" s="45"/>
      <c r="C8595" s="45"/>
      <c r="D8595" s="45" t="s">
        <v>81</v>
      </c>
    </row>
    <row r="8596" spans="1:4" ht="13.5" x14ac:dyDescent="0.15">
      <c r="A8596" s="45" t="s">
        <v>41</v>
      </c>
      <c r="B8596" s="45"/>
      <c r="C8596" s="45"/>
      <c r="D8596" s="45" t="s">
        <v>82</v>
      </c>
    </row>
    <row r="8597" spans="1:4" ht="13.5" x14ac:dyDescent="0.15">
      <c r="A8597" s="45" t="s">
        <v>41</v>
      </c>
      <c r="B8597" s="45"/>
      <c r="C8597" s="45"/>
      <c r="D8597" s="45" t="s">
        <v>83</v>
      </c>
    </row>
    <row r="8598" spans="1:4" ht="13.5" x14ac:dyDescent="0.15">
      <c r="A8598" s="45"/>
      <c r="B8598" s="45"/>
      <c r="C8598" s="45"/>
      <c r="D8598" s="45"/>
    </row>
    <row r="8599" spans="1:4" ht="13.5" x14ac:dyDescent="0.15">
      <c r="A8599" s="45"/>
      <c r="B8599" s="45"/>
      <c r="C8599" s="45"/>
      <c r="D8599" s="45"/>
    </row>
    <row r="8600" spans="1:4" ht="13.5" x14ac:dyDescent="0.15">
      <c r="A8600" s="45"/>
      <c r="B8600" s="45"/>
      <c r="C8600" s="45"/>
      <c r="D8600" s="45"/>
    </row>
    <row r="8601" spans="1:4" ht="13.5" x14ac:dyDescent="0.15">
      <c r="A8601" s="45"/>
      <c r="B8601" s="45"/>
      <c r="C8601" s="45"/>
      <c r="D8601" s="45"/>
    </row>
    <row r="8602" spans="1:4" ht="13.5" x14ac:dyDescent="0.15">
      <c r="A8602" s="45"/>
      <c r="B8602" s="45"/>
      <c r="C8602" s="45"/>
      <c r="D8602" s="45"/>
    </row>
    <row r="8603" spans="1:4" ht="13.5" x14ac:dyDescent="0.15">
      <c r="A8603" s="45"/>
      <c r="B8603" s="45"/>
      <c r="C8603" s="45"/>
      <c r="D8603" s="45"/>
    </row>
    <row r="8604" spans="1:4" ht="13.5" x14ac:dyDescent="0.15">
      <c r="A8604" s="45"/>
      <c r="B8604" s="45"/>
      <c r="C8604" s="45"/>
      <c r="D8604" s="45"/>
    </row>
    <row r="8605" spans="1:4" ht="13.5" x14ac:dyDescent="0.15">
      <c r="A8605" s="45"/>
      <c r="B8605" s="45"/>
      <c r="C8605" s="45"/>
      <c r="D8605" s="45"/>
    </row>
    <row r="8606" spans="1:4" ht="13.5" x14ac:dyDescent="0.15">
      <c r="A8606" s="45"/>
      <c r="B8606" s="45"/>
      <c r="C8606" s="45"/>
      <c r="D8606" s="45"/>
    </row>
    <row r="8607" spans="1:4" ht="13.5" x14ac:dyDescent="0.15">
      <c r="A8607" s="45"/>
      <c r="B8607" s="45"/>
      <c r="C8607" s="45"/>
      <c r="D8607" s="45"/>
    </row>
    <row r="8608" spans="1:4" ht="13.5" x14ac:dyDescent="0.15">
      <c r="A8608" s="45"/>
      <c r="B8608" s="45"/>
      <c r="C8608" s="45"/>
      <c r="D8608" s="45"/>
    </row>
    <row r="8609" spans="1:4" ht="13.5" x14ac:dyDescent="0.15">
      <c r="A8609" s="45" t="s">
        <v>2641</v>
      </c>
      <c r="B8609" s="45"/>
      <c r="C8609" s="45"/>
      <c r="D8609" s="45"/>
    </row>
    <row r="8610" spans="1:4" ht="13.5" x14ac:dyDescent="0.15">
      <c r="A8610" s="45" t="s">
        <v>3</v>
      </c>
      <c r="B8610" s="45"/>
      <c r="C8610" s="45"/>
      <c r="D8610" s="45"/>
    </row>
  </sheetData>
  <phoneticPr fontId="7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general</vt:lpstr>
      <vt:lpstr>模板</vt:lpstr>
      <vt:lpstr>角色</vt:lpstr>
      <vt:lpstr>养成</vt:lpstr>
      <vt:lpstr>技能</vt:lpstr>
      <vt:lpstr>子弹</vt:lpstr>
      <vt:lpstr>陷阱</vt:lpstr>
      <vt:lpstr>Buff</vt:lpstr>
      <vt:lpstr>特效</vt:lpstr>
      <vt:lpstr>屏蔽字</vt:lpstr>
    </vt:vector>
  </TitlesOfParts>
  <Manager/>
  <Company>Users</Company>
  <LinksUpToDate>false</LinksUpToDate>
  <CharactersWithSpaces>0</CharactersWithSpaces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cp:keywords/>
  <dc:description/>
  <cp:lastModifiedBy>whc</cp:lastModifiedBy>
  <cp:revision/>
  <dcterms:created xsi:type="dcterms:W3CDTF">2013-03-21T06:56:51Z</dcterms:created>
  <dcterms:modified xsi:type="dcterms:W3CDTF">2016-12-27T06:47:07Z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2052-8.1.0.3260</vt:lpwstr>
  </property>
</Properties>
</file>